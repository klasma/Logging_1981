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45914</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45914</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45914</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45914</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45914</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45914</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45914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45914</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3567-2024</t>
        </is>
      </c>
      <c r="B18" s="1" t="n">
        <v>45320.63706018519</v>
      </c>
      <c r="C18" s="1" t="n">
        <v>45914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45914</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45914</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45914</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53019-2024</t>
        </is>
      </c>
      <c r="B22" s="1" t="n">
        <v>45610</v>
      </c>
      <c r="C22" s="1" t="n">
        <v>45914</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45914</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45914</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45914</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45914</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45914</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45914</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1500-2022</t>
        </is>
      </c>
      <c r="B29" s="1" t="n">
        <v>44573.54357638889</v>
      </c>
      <c r="C29" s="1" t="n">
        <v>45914</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24872-2025</t>
        </is>
      </c>
      <c r="B30" s="1" t="n">
        <v>45799.49038194444</v>
      </c>
      <c r="C30" s="1" t="n">
        <v>45914</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45914</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45914</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45914</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45914</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45914</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45914</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45914</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45914</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45914</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56704-2022</t>
        </is>
      </c>
      <c r="B40" s="1" t="n">
        <v>44893.78075231481</v>
      </c>
      <c r="C40" s="1" t="n">
        <v>45914</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37166-2024</t>
        </is>
      </c>
      <c r="B41" s="1" t="n">
        <v>45539</v>
      </c>
      <c r="C41" s="1" t="n">
        <v>45914</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60852-2024</t>
        </is>
      </c>
      <c r="B42" s="1" t="n">
        <v>45644</v>
      </c>
      <c r="C42" s="1" t="n">
        <v>45914</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22950-2025</t>
        </is>
      </c>
      <c r="B43" s="1" t="n">
        <v>45790.50728009259</v>
      </c>
      <c r="C43" s="1" t="n">
        <v>45914</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43175-2023</t>
        </is>
      </c>
      <c r="B44" s="1" t="n">
        <v>45183</v>
      </c>
      <c r="C44" s="1" t="n">
        <v>45914</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45914</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32594-2025</t>
        </is>
      </c>
      <c r="B46" s="1" t="n">
        <v>45838</v>
      </c>
      <c r="C46" s="1" t="n">
        <v>45914</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43068-2024</t>
        </is>
      </c>
      <c r="B47" s="1" t="n">
        <v>45567</v>
      </c>
      <c r="C47" s="1" t="n">
        <v>45914</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29985-2022</t>
        </is>
      </c>
      <c r="B48" s="1" t="n">
        <v>44756</v>
      </c>
      <c r="C48" s="1" t="n">
        <v>45914</v>
      </c>
      <c r="D48" t="inlineStr">
        <is>
          <t>VÄSTMANLANDS LÄN</t>
        </is>
      </c>
      <c r="E48" t="inlineStr">
        <is>
          <t>SALA</t>
        </is>
      </c>
      <c r="F48" t="inlineStr">
        <is>
          <t>Kommuner</t>
        </is>
      </c>
      <c r="G48" t="n">
        <v>1</v>
      </c>
      <c r="H48" t="n">
        <v>1</v>
      </c>
      <c r="I48" t="n">
        <v>1</v>
      </c>
      <c r="J48" t="n">
        <v>0</v>
      </c>
      <c r="K48" t="n">
        <v>0</v>
      </c>
      <c r="L48" t="n">
        <v>0</v>
      </c>
      <c r="M48" t="n">
        <v>0</v>
      </c>
      <c r="N48" t="n">
        <v>0</v>
      </c>
      <c r="O48" t="n">
        <v>0</v>
      </c>
      <c r="P48" t="n">
        <v>0</v>
      </c>
      <c r="Q48" t="n">
        <v>1</v>
      </c>
      <c r="R48" s="2" t="inlineStr">
        <is>
          <t>Skogsknipprot</t>
        </is>
      </c>
      <c r="S48">
        <f>HYPERLINK("https://klasma.github.io/Logging_1981/artfynd/A 29985-2022 artfynd.xlsx", "A 29985-2022")</f>
        <v/>
      </c>
      <c r="T48">
        <f>HYPERLINK("https://klasma.github.io/Logging_1981/kartor/A 29985-2022 karta.png", "A 29985-2022")</f>
        <v/>
      </c>
      <c r="V48">
        <f>HYPERLINK("https://klasma.github.io/Logging_1981/klagomål/A 29985-2022 FSC-klagomål.docx", "A 29985-2022")</f>
        <v/>
      </c>
      <c r="W48">
        <f>HYPERLINK("https://klasma.github.io/Logging_1981/klagomålsmail/A 29985-2022 FSC-klagomål mail.docx", "A 29985-2022")</f>
        <v/>
      </c>
      <c r="X48">
        <f>HYPERLINK("https://klasma.github.io/Logging_1981/tillsyn/A 29985-2022 tillsynsbegäran.docx", "A 29985-2022")</f>
        <v/>
      </c>
      <c r="Y48">
        <f>HYPERLINK("https://klasma.github.io/Logging_1981/tillsynsmail/A 29985-2022 tillsynsbegäran mail.docx", "A 29985-2022")</f>
        <v/>
      </c>
    </row>
    <row r="49" ht="15" customHeight="1">
      <c r="A49" t="inlineStr">
        <is>
          <t>A 7731-2023</t>
        </is>
      </c>
      <c r="B49" s="1" t="n">
        <v>44973</v>
      </c>
      <c r="C49" s="1" t="n">
        <v>45914</v>
      </c>
      <c r="D49" t="inlineStr">
        <is>
          <t>VÄSTMANLANDS LÄN</t>
        </is>
      </c>
      <c r="E49" t="inlineStr">
        <is>
          <t>SALA</t>
        </is>
      </c>
      <c r="F49" t="inlineStr">
        <is>
          <t>Bergvik skog öst AB</t>
        </is>
      </c>
      <c r="G49" t="n">
        <v>1.7</v>
      </c>
      <c r="H49" t="n">
        <v>1</v>
      </c>
      <c r="I49" t="n">
        <v>0</v>
      </c>
      <c r="J49" t="n">
        <v>1</v>
      </c>
      <c r="K49" t="n">
        <v>0</v>
      </c>
      <c r="L49" t="n">
        <v>0</v>
      </c>
      <c r="M49" t="n">
        <v>0</v>
      </c>
      <c r="N49" t="n">
        <v>0</v>
      </c>
      <c r="O49" t="n">
        <v>1</v>
      </c>
      <c r="P49" t="n">
        <v>0</v>
      </c>
      <c r="Q49" t="n">
        <v>1</v>
      </c>
      <c r="R49" s="2" t="inlineStr">
        <is>
          <t>Ävjepilört</t>
        </is>
      </c>
      <c r="S49">
        <f>HYPERLINK("https://klasma.github.io/Logging_1981/artfynd/A 7731-2023 artfynd.xlsx", "A 7731-2023")</f>
        <v/>
      </c>
      <c r="T49">
        <f>HYPERLINK("https://klasma.github.io/Logging_1981/kartor/A 7731-2023 karta.png", "A 7731-2023")</f>
        <v/>
      </c>
      <c r="V49">
        <f>HYPERLINK("https://klasma.github.io/Logging_1981/klagomål/A 7731-2023 FSC-klagomål.docx", "A 7731-2023")</f>
        <v/>
      </c>
      <c r="W49">
        <f>HYPERLINK("https://klasma.github.io/Logging_1981/klagomålsmail/A 7731-2023 FSC-klagomål mail.docx", "A 7731-2023")</f>
        <v/>
      </c>
      <c r="X49">
        <f>HYPERLINK("https://klasma.github.io/Logging_1981/tillsyn/A 7731-2023 tillsynsbegäran.docx", "A 7731-2023")</f>
        <v/>
      </c>
      <c r="Y49">
        <f>HYPERLINK("https://klasma.github.io/Logging_1981/tillsynsmail/A 7731-2023 tillsynsbegäran mail.docx", "A 7731-2023")</f>
        <v/>
      </c>
    </row>
    <row r="50" ht="15" customHeight="1">
      <c r="A50" t="inlineStr">
        <is>
          <t>A 7919-2022</t>
        </is>
      </c>
      <c r="B50" s="1" t="n">
        <v>44608</v>
      </c>
      <c r="C50" s="1" t="n">
        <v>45914</v>
      </c>
      <c r="D50" t="inlineStr">
        <is>
          <t>VÄSTMANLANDS LÄN</t>
        </is>
      </c>
      <c r="E50" t="inlineStr">
        <is>
          <t>SALA</t>
        </is>
      </c>
      <c r="F50" t="inlineStr">
        <is>
          <t>Bergvik skog öst AB</t>
        </is>
      </c>
      <c r="G50" t="n">
        <v>4.5</v>
      </c>
      <c r="H50" t="n">
        <v>1</v>
      </c>
      <c r="I50" t="n">
        <v>0</v>
      </c>
      <c r="J50" t="n">
        <v>1</v>
      </c>
      <c r="K50" t="n">
        <v>0</v>
      </c>
      <c r="L50" t="n">
        <v>0</v>
      </c>
      <c r="M50" t="n">
        <v>0</v>
      </c>
      <c r="N50" t="n">
        <v>0</v>
      </c>
      <c r="O50" t="n">
        <v>1</v>
      </c>
      <c r="P50" t="n">
        <v>0</v>
      </c>
      <c r="Q50" t="n">
        <v>1</v>
      </c>
      <c r="R50" s="2" t="inlineStr">
        <is>
          <t>Ävjepilört</t>
        </is>
      </c>
      <c r="S50">
        <f>HYPERLINK("https://klasma.github.io/Logging_1981/artfynd/A 7919-2022 artfynd.xlsx", "A 7919-2022")</f>
        <v/>
      </c>
      <c r="T50">
        <f>HYPERLINK("https://klasma.github.io/Logging_1981/kartor/A 7919-2022 karta.png", "A 7919-2022")</f>
        <v/>
      </c>
      <c r="V50">
        <f>HYPERLINK("https://klasma.github.io/Logging_1981/klagomål/A 7919-2022 FSC-klagomål.docx", "A 7919-2022")</f>
        <v/>
      </c>
      <c r="W50">
        <f>HYPERLINK("https://klasma.github.io/Logging_1981/klagomålsmail/A 7919-2022 FSC-klagomål mail.docx", "A 7919-2022")</f>
        <v/>
      </c>
      <c r="X50">
        <f>HYPERLINK("https://klasma.github.io/Logging_1981/tillsyn/A 7919-2022 tillsynsbegäran.docx", "A 7919-2022")</f>
        <v/>
      </c>
      <c r="Y50">
        <f>HYPERLINK("https://klasma.github.io/Logging_1981/tillsynsmail/A 7919-2022 tillsynsbegäran mail.docx", "A 7919-2022")</f>
        <v/>
      </c>
    </row>
    <row r="51" ht="15" customHeight="1">
      <c r="A51" t="inlineStr">
        <is>
          <t>A 38255-2025</t>
        </is>
      </c>
      <c r="B51" s="1" t="n">
        <v>45883.38020833334</v>
      </c>
      <c r="C51" s="1" t="n">
        <v>45914</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12509-2023</t>
        </is>
      </c>
      <c r="B52" s="1" t="n">
        <v>44999.95988425926</v>
      </c>
      <c r="C52" s="1" t="n">
        <v>45914</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14775-2023</t>
        </is>
      </c>
      <c r="B53" s="1" t="n">
        <v>45014</v>
      </c>
      <c r="C53" s="1" t="n">
        <v>45914</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19361-2025</t>
        </is>
      </c>
      <c r="B54" s="1" t="n">
        <v>45769.63357638889</v>
      </c>
      <c r="C54" s="1" t="n">
        <v>45914</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45914</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22350-2024</t>
        </is>
      </c>
      <c r="B56" s="1" t="n">
        <v>45446</v>
      </c>
      <c r="C56" s="1" t="n">
        <v>45914</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Blåsippa</t>
        </is>
      </c>
      <c r="S56">
        <f>HYPERLINK("https://klasma.github.io/Logging_1981/artfynd/A 22350-2024 artfynd.xlsx", "A 22350-2024")</f>
        <v/>
      </c>
      <c r="T56">
        <f>HYPERLINK("https://klasma.github.io/Logging_1981/kartor/A 22350-2024 karta.png", "A 22350-2024")</f>
        <v/>
      </c>
      <c r="V56">
        <f>HYPERLINK("https://klasma.github.io/Logging_1981/klagomål/A 22350-2024 FSC-klagomål.docx", "A 22350-2024")</f>
        <v/>
      </c>
      <c r="W56">
        <f>HYPERLINK("https://klasma.github.io/Logging_1981/klagomålsmail/A 22350-2024 FSC-klagomål mail.docx", "A 22350-2024")</f>
        <v/>
      </c>
      <c r="X56">
        <f>HYPERLINK("https://klasma.github.io/Logging_1981/tillsyn/A 22350-2024 tillsynsbegäran.docx", "A 22350-2024")</f>
        <v/>
      </c>
      <c r="Y56">
        <f>HYPERLINK("https://klasma.github.io/Logging_1981/tillsynsmail/A 22350-2024 tillsynsbegäran mail.docx", "A 22350-2024")</f>
        <v/>
      </c>
    </row>
    <row r="57" ht="15" customHeight="1">
      <c r="A57" t="inlineStr">
        <is>
          <t>A 56014-2020</t>
        </is>
      </c>
      <c r="B57" s="1" t="n">
        <v>44132</v>
      </c>
      <c r="C57" s="1" t="n">
        <v>45914</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29727-2023</t>
        </is>
      </c>
      <c r="B58" s="1" t="n">
        <v>45107</v>
      </c>
      <c r="C58" s="1" t="n">
        <v>45914</v>
      </c>
      <c r="D58" t="inlineStr">
        <is>
          <t>VÄSTMANLANDS LÄN</t>
        </is>
      </c>
      <c r="E58" t="inlineStr">
        <is>
          <t>SALA</t>
        </is>
      </c>
      <c r="G58" t="n">
        <v>1.9</v>
      </c>
      <c r="H58" t="n">
        <v>0</v>
      </c>
      <c r="I58" t="n">
        <v>0</v>
      </c>
      <c r="J58" t="n">
        <v>1</v>
      </c>
      <c r="K58" t="n">
        <v>0</v>
      </c>
      <c r="L58" t="n">
        <v>0</v>
      </c>
      <c r="M58" t="n">
        <v>0</v>
      </c>
      <c r="N58" t="n">
        <v>0</v>
      </c>
      <c r="O58" t="n">
        <v>1</v>
      </c>
      <c r="P58" t="n">
        <v>0</v>
      </c>
      <c r="Q58" t="n">
        <v>1</v>
      </c>
      <c r="R58" s="2" t="inlineStr">
        <is>
          <t>Vedtrappmossa</t>
        </is>
      </c>
      <c r="S58">
        <f>HYPERLINK("https://klasma.github.io/Logging_1981/artfynd/A 29727-2023 artfynd.xlsx", "A 29727-2023")</f>
        <v/>
      </c>
      <c r="T58">
        <f>HYPERLINK("https://klasma.github.io/Logging_1981/kartor/A 29727-2023 karta.png", "A 29727-2023")</f>
        <v/>
      </c>
      <c r="V58">
        <f>HYPERLINK("https://klasma.github.io/Logging_1981/klagomål/A 29727-2023 FSC-klagomål.docx", "A 29727-2023")</f>
        <v/>
      </c>
      <c r="W58">
        <f>HYPERLINK("https://klasma.github.io/Logging_1981/klagomålsmail/A 29727-2023 FSC-klagomål mail.docx", "A 29727-2023")</f>
        <v/>
      </c>
      <c r="X58">
        <f>HYPERLINK("https://klasma.github.io/Logging_1981/tillsyn/A 29727-2023 tillsynsbegäran.docx", "A 29727-2023")</f>
        <v/>
      </c>
      <c r="Y58">
        <f>HYPERLINK("https://klasma.github.io/Logging_1981/tillsynsmail/A 29727-2023 tillsynsbegäran mail.docx", "A 29727-2023")</f>
        <v/>
      </c>
    </row>
    <row r="59" ht="15" customHeight="1">
      <c r="A59" t="inlineStr">
        <is>
          <t>A 58314-2020</t>
        </is>
      </c>
      <c r="B59" s="1" t="n">
        <v>44145</v>
      </c>
      <c r="C59" s="1" t="n">
        <v>45914</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45914</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45914</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73124-2021</t>
        </is>
      </c>
      <c r="B62" s="1" t="n">
        <v>44550</v>
      </c>
      <c r="C62" s="1" t="n">
        <v>45914</v>
      </c>
      <c r="D62" t="inlineStr">
        <is>
          <t>VÄSTMANLANDS LÄN</t>
        </is>
      </c>
      <c r="E62" t="inlineStr">
        <is>
          <t>SALA</t>
        </is>
      </c>
      <c r="G62" t="n">
        <v>2.8</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45914</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45914</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45914</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45914</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45914</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45914</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45914</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45914</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45914</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45914</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45914</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45914</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45914</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45914</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45914</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45914</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45914</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45914</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45914</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45914</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45914</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45914</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45914</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45914</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45914</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45914</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45914</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45914</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45914</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45914</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45914</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45914</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45914</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45914</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45914</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45914</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45914</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45914</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45914</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45914</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45914</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45914</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45914</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45914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45914</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45914</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45914</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46965-2020</t>
        </is>
      </c>
      <c r="B110" s="1" t="n">
        <v>44096</v>
      </c>
      <c r="C110" s="1" t="n">
        <v>45914</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45914</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45914</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45914</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45914</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45914</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45914</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45914</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45914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45914</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45914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45914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45914</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45914</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45914</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44950-2020</t>
        </is>
      </c>
      <c r="B125" s="1" t="n">
        <v>44088</v>
      </c>
      <c r="C125" s="1" t="n">
        <v>45914</v>
      </c>
      <c r="D125" t="inlineStr">
        <is>
          <t>VÄSTMANLANDS LÄN</t>
        </is>
      </c>
      <c r="E125" t="inlineStr">
        <is>
          <t>SALA</t>
        </is>
      </c>
      <c r="G125" t="n">
        <v>9</v>
      </c>
      <c r="H125" t="n">
        <v>0</v>
      </c>
      <c r="I125" t="n">
        <v>0</v>
      </c>
      <c r="J125" t="n">
        <v>0</v>
      </c>
      <c r="K125" t="n">
        <v>0</v>
      </c>
      <c r="L125" t="n">
        <v>0</v>
      </c>
      <c r="M125" t="n">
        <v>0</v>
      </c>
      <c r="N125" t="n">
        <v>0</v>
      </c>
      <c r="O125" t="n">
        <v>0</v>
      </c>
      <c r="P125" t="n">
        <v>0</v>
      </c>
      <c r="Q125" t="n">
        <v>0</v>
      </c>
      <c r="R125" s="2" t="inlineStr"/>
    </row>
    <row r="126" ht="15" customHeight="1">
      <c r="A126" t="inlineStr">
        <is>
          <t>A 57517-2021</t>
        </is>
      </c>
      <c r="B126" s="1" t="n">
        <v>44483</v>
      </c>
      <c r="C126" s="1" t="n">
        <v>45914</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26575-2021</t>
        </is>
      </c>
      <c r="B127" s="1" t="n">
        <v>44348</v>
      </c>
      <c r="C127" s="1" t="n">
        <v>45914</v>
      </c>
      <c r="D127" t="inlineStr">
        <is>
          <t>VÄSTMANLANDS LÄN</t>
        </is>
      </c>
      <c r="E127" t="inlineStr">
        <is>
          <t>SALA</t>
        </is>
      </c>
      <c r="G127" t="n">
        <v>2.7</v>
      </c>
      <c r="H127" t="n">
        <v>0</v>
      </c>
      <c r="I127" t="n">
        <v>0</v>
      </c>
      <c r="J127" t="n">
        <v>0</v>
      </c>
      <c r="K127" t="n">
        <v>0</v>
      </c>
      <c r="L127" t="n">
        <v>0</v>
      </c>
      <c r="M127" t="n">
        <v>0</v>
      </c>
      <c r="N127" t="n">
        <v>0</v>
      </c>
      <c r="O127" t="n">
        <v>0</v>
      </c>
      <c r="P127" t="n">
        <v>0</v>
      </c>
      <c r="Q127" t="n">
        <v>0</v>
      </c>
      <c r="R127" s="2" t="inlineStr"/>
    </row>
    <row r="128" ht="15" customHeight="1">
      <c r="A128" t="inlineStr">
        <is>
          <t>A 29235-2022</t>
        </is>
      </c>
      <c r="B128" s="1" t="n">
        <v>44750</v>
      </c>
      <c r="C128" s="1" t="n">
        <v>45914</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3204-2022</t>
        </is>
      </c>
      <c r="B129" s="1" t="n">
        <v>44582</v>
      </c>
      <c r="C129" s="1" t="n">
        <v>45914</v>
      </c>
      <c r="D129" t="inlineStr">
        <is>
          <t>VÄSTMANLANDS LÄN</t>
        </is>
      </c>
      <c r="E129" t="inlineStr">
        <is>
          <t>SALA</t>
        </is>
      </c>
      <c r="G129" t="n">
        <v>0.7</v>
      </c>
      <c r="H129" t="n">
        <v>0</v>
      </c>
      <c r="I129" t="n">
        <v>0</v>
      </c>
      <c r="J129" t="n">
        <v>0</v>
      </c>
      <c r="K129" t="n">
        <v>0</v>
      </c>
      <c r="L129" t="n">
        <v>0</v>
      </c>
      <c r="M129" t="n">
        <v>0</v>
      </c>
      <c r="N129" t="n">
        <v>0</v>
      </c>
      <c r="O129" t="n">
        <v>0</v>
      </c>
      <c r="P129" t="n">
        <v>0</v>
      </c>
      <c r="Q129" t="n">
        <v>0</v>
      </c>
      <c r="R129" s="2" t="inlineStr"/>
    </row>
    <row r="130" ht="15" customHeight="1">
      <c r="A130" t="inlineStr">
        <is>
          <t>A 23757-2022</t>
        </is>
      </c>
      <c r="B130" s="1" t="n">
        <v>44722.37339120371</v>
      </c>
      <c r="C130" s="1" t="n">
        <v>45914</v>
      </c>
      <c r="D130" t="inlineStr">
        <is>
          <t>VÄSTMANLANDS LÄN</t>
        </is>
      </c>
      <c r="E130" t="inlineStr">
        <is>
          <t>SALA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26570-2021</t>
        </is>
      </c>
      <c r="B131" s="1" t="n">
        <v>44348</v>
      </c>
      <c r="C131" s="1" t="n">
        <v>45914</v>
      </c>
      <c r="D131" t="inlineStr">
        <is>
          <t>VÄSTMANLANDS LÄN</t>
        </is>
      </c>
      <c r="E131" t="inlineStr">
        <is>
          <t>SALA</t>
        </is>
      </c>
      <c r="G131" t="n">
        <v>2.5</v>
      </c>
      <c r="H131" t="n">
        <v>0</v>
      </c>
      <c r="I131" t="n">
        <v>0</v>
      </c>
      <c r="J131" t="n">
        <v>0</v>
      </c>
      <c r="K131" t="n">
        <v>0</v>
      </c>
      <c r="L131" t="n">
        <v>0</v>
      </c>
      <c r="M131" t="n">
        <v>0</v>
      </c>
      <c r="N131" t="n">
        <v>0</v>
      </c>
      <c r="O131" t="n">
        <v>0</v>
      </c>
      <c r="P131" t="n">
        <v>0</v>
      </c>
      <c r="Q131" t="n">
        <v>0</v>
      </c>
      <c r="R131" s="2" t="inlineStr"/>
    </row>
    <row r="132" ht="15" customHeight="1">
      <c r="A132" t="inlineStr">
        <is>
          <t>A 29233-2022</t>
        </is>
      </c>
      <c r="B132" s="1" t="n">
        <v>44750</v>
      </c>
      <c r="C132" s="1" t="n">
        <v>45914</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45914</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44519.33401620371</v>
      </c>
      <c r="C134" s="1" t="n">
        <v>45914</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30915-2021</t>
        </is>
      </c>
      <c r="B135" s="1" t="n">
        <v>44365</v>
      </c>
      <c r="C135" s="1" t="n">
        <v>45914</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30918-2021</t>
        </is>
      </c>
      <c r="B136" s="1" t="n">
        <v>44365.60569444444</v>
      </c>
      <c r="C136" s="1" t="n">
        <v>45914</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31452-2021</t>
        </is>
      </c>
      <c r="B137" s="1" t="n">
        <v>44369</v>
      </c>
      <c r="C137" s="1" t="n">
        <v>45914</v>
      </c>
      <c r="D137" t="inlineStr">
        <is>
          <t>VÄSTMANLANDS LÄN</t>
        </is>
      </c>
      <c r="E137" t="inlineStr">
        <is>
          <t>SALA</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22562-2022</t>
        </is>
      </c>
      <c r="B138" s="1" t="n">
        <v>44713</v>
      </c>
      <c r="C138" s="1" t="n">
        <v>45914</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45914</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22811-2022</t>
        </is>
      </c>
      <c r="B140" s="1" t="n">
        <v>44715</v>
      </c>
      <c r="C140" s="1" t="n">
        <v>45914</v>
      </c>
      <c r="D140" t="inlineStr">
        <is>
          <t>VÄSTMANLANDS LÄN</t>
        </is>
      </c>
      <c r="E140" t="inlineStr">
        <is>
          <t>SALA</t>
        </is>
      </c>
      <c r="G140" t="n">
        <v>5</v>
      </c>
      <c r="H140" t="n">
        <v>0</v>
      </c>
      <c r="I140" t="n">
        <v>0</v>
      </c>
      <c r="J140" t="n">
        <v>0</v>
      </c>
      <c r="K140" t="n">
        <v>0</v>
      </c>
      <c r="L140" t="n">
        <v>0</v>
      </c>
      <c r="M140" t="n">
        <v>0</v>
      </c>
      <c r="N140" t="n">
        <v>0</v>
      </c>
      <c r="O140" t="n">
        <v>0</v>
      </c>
      <c r="P140" t="n">
        <v>0</v>
      </c>
      <c r="Q140" t="n">
        <v>0</v>
      </c>
      <c r="R140" s="2" t="inlineStr"/>
    </row>
    <row r="141" ht="15" customHeight="1">
      <c r="A141" t="inlineStr">
        <is>
          <t>A 65213-2021</t>
        </is>
      </c>
      <c r="B141" s="1" t="n">
        <v>44515</v>
      </c>
      <c r="C141" s="1" t="n">
        <v>45914</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30904-2021</t>
        </is>
      </c>
      <c r="B142" s="1" t="n">
        <v>44365.5983449074</v>
      </c>
      <c r="C142" s="1" t="n">
        <v>45914</v>
      </c>
      <c r="D142" t="inlineStr">
        <is>
          <t>VÄSTMANLANDS LÄN</t>
        </is>
      </c>
      <c r="E142" t="inlineStr">
        <is>
          <t>SALA</t>
        </is>
      </c>
      <c r="G142" t="n">
        <v>1.9</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45914</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23181-2022</t>
        </is>
      </c>
      <c r="B144" s="1" t="n">
        <v>44719.79537037037</v>
      </c>
      <c r="C144" s="1" t="n">
        <v>45914</v>
      </c>
      <c r="D144" t="inlineStr">
        <is>
          <t>VÄSTMANLANDS LÄN</t>
        </is>
      </c>
      <c r="E144" t="inlineStr">
        <is>
          <t>SALA</t>
        </is>
      </c>
      <c r="G144" t="n">
        <v>0.8</v>
      </c>
      <c r="H144" t="n">
        <v>0</v>
      </c>
      <c r="I144" t="n">
        <v>0</v>
      </c>
      <c r="J144" t="n">
        <v>0</v>
      </c>
      <c r="K144" t="n">
        <v>0</v>
      </c>
      <c r="L144" t="n">
        <v>0</v>
      </c>
      <c r="M144" t="n">
        <v>0</v>
      </c>
      <c r="N144" t="n">
        <v>0</v>
      </c>
      <c r="O144" t="n">
        <v>0</v>
      </c>
      <c r="P144" t="n">
        <v>0</v>
      </c>
      <c r="Q144" t="n">
        <v>0</v>
      </c>
      <c r="R144" s="2" t="inlineStr"/>
    </row>
    <row r="145" ht="15" customHeight="1">
      <c r="A145" t="inlineStr">
        <is>
          <t>A 65860-2021</t>
        </is>
      </c>
      <c r="B145" s="1" t="n">
        <v>44517.38163194444</v>
      </c>
      <c r="C145" s="1" t="n">
        <v>45914</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41876-2022</t>
        </is>
      </c>
      <c r="B146" s="1" t="n">
        <v>44829.97008101852</v>
      </c>
      <c r="C146" s="1" t="n">
        <v>45914</v>
      </c>
      <c r="D146" t="inlineStr">
        <is>
          <t>VÄSTMANLANDS LÄN</t>
        </is>
      </c>
      <c r="E146" t="inlineStr">
        <is>
          <t>SALA</t>
        </is>
      </c>
      <c r="G146" t="n">
        <v>3.6</v>
      </c>
      <c r="H146" t="n">
        <v>0</v>
      </c>
      <c r="I146" t="n">
        <v>0</v>
      </c>
      <c r="J146" t="n">
        <v>0</v>
      </c>
      <c r="K146" t="n">
        <v>0</v>
      </c>
      <c r="L146" t="n">
        <v>0</v>
      </c>
      <c r="M146" t="n">
        <v>0</v>
      </c>
      <c r="N146" t="n">
        <v>0</v>
      </c>
      <c r="O146" t="n">
        <v>0</v>
      </c>
      <c r="P146" t="n">
        <v>0</v>
      </c>
      <c r="Q146" t="n">
        <v>0</v>
      </c>
      <c r="R146" s="2" t="inlineStr"/>
    </row>
    <row r="147" ht="15" customHeight="1">
      <c r="A147" t="inlineStr">
        <is>
          <t>A 67958-2021</t>
        </is>
      </c>
      <c r="B147" s="1" t="n">
        <v>44525</v>
      </c>
      <c r="C147" s="1" t="n">
        <v>45914</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67965-2021</t>
        </is>
      </c>
      <c r="B148" s="1" t="n">
        <v>44525</v>
      </c>
      <c r="C148" s="1" t="n">
        <v>45914</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44522.40886574074</v>
      </c>
      <c r="C149" s="1" t="n">
        <v>45914</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58912-2020</t>
        </is>
      </c>
      <c r="B150" s="1" t="n">
        <v>44146</v>
      </c>
      <c r="C150" s="1" t="n">
        <v>45914</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28402-2022</t>
        </is>
      </c>
      <c r="B151" s="1" t="n">
        <v>44747</v>
      </c>
      <c r="C151" s="1" t="n">
        <v>45914</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45015-2022</t>
        </is>
      </c>
      <c r="B152" s="1" t="n">
        <v>44841.63766203704</v>
      </c>
      <c r="C152" s="1" t="n">
        <v>45914</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73606-2021</t>
        </is>
      </c>
      <c r="B153" s="1" t="n">
        <v>44552</v>
      </c>
      <c r="C153" s="1" t="n">
        <v>45914</v>
      </c>
      <c r="D153" t="inlineStr">
        <is>
          <t>VÄSTMANLANDS LÄN</t>
        </is>
      </c>
      <c r="E153" t="inlineStr">
        <is>
          <t>SALA</t>
        </is>
      </c>
      <c r="G153" t="n">
        <v>1.5</v>
      </c>
      <c r="H153" t="n">
        <v>0</v>
      </c>
      <c r="I153" t="n">
        <v>0</v>
      </c>
      <c r="J153" t="n">
        <v>0</v>
      </c>
      <c r="K153" t="n">
        <v>0</v>
      </c>
      <c r="L153" t="n">
        <v>0</v>
      </c>
      <c r="M153" t="n">
        <v>0</v>
      </c>
      <c r="N153" t="n">
        <v>0</v>
      </c>
      <c r="O153" t="n">
        <v>0</v>
      </c>
      <c r="P153" t="n">
        <v>0</v>
      </c>
      <c r="Q153" t="n">
        <v>0</v>
      </c>
      <c r="R153" s="2" t="inlineStr"/>
    </row>
    <row r="154" ht="15" customHeight="1">
      <c r="A154" t="inlineStr">
        <is>
          <t>A 8130-2022</t>
        </is>
      </c>
      <c r="B154" s="1" t="n">
        <v>44609.5984837963</v>
      </c>
      <c r="C154" s="1" t="n">
        <v>45914</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69192-2020</t>
        </is>
      </c>
      <c r="B155" s="1" t="n">
        <v>44191</v>
      </c>
      <c r="C155" s="1" t="n">
        <v>45914</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65818-2021</t>
        </is>
      </c>
      <c r="B156" s="1" t="n">
        <v>44517</v>
      </c>
      <c r="C156" s="1" t="n">
        <v>45914</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10168-2022</t>
        </is>
      </c>
      <c r="B157" s="1" t="n">
        <v>44622.37693287037</v>
      </c>
      <c r="C157" s="1" t="n">
        <v>45914</v>
      </c>
      <c r="D157" t="inlineStr">
        <is>
          <t>VÄSTMANLANDS LÄN</t>
        </is>
      </c>
      <c r="E157" t="inlineStr">
        <is>
          <t>SALA</t>
        </is>
      </c>
      <c r="G157" t="n">
        <v>2.1</v>
      </c>
      <c r="H157" t="n">
        <v>0</v>
      </c>
      <c r="I157" t="n">
        <v>0</v>
      </c>
      <c r="J157" t="n">
        <v>0</v>
      </c>
      <c r="K157" t="n">
        <v>0</v>
      </c>
      <c r="L157" t="n">
        <v>0</v>
      </c>
      <c r="M157" t="n">
        <v>0</v>
      </c>
      <c r="N157" t="n">
        <v>0</v>
      </c>
      <c r="O157" t="n">
        <v>0</v>
      </c>
      <c r="P157" t="n">
        <v>0</v>
      </c>
      <c r="Q157" t="n">
        <v>0</v>
      </c>
      <c r="R157" s="2" t="inlineStr"/>
    </row>
    <row r="158" ht="15" customHeight="1">
      <c r="A158" t="inlineStr">
        <is>
          <t>A 55881-2020</t>
        </is>
      </c>
      <c r="B158" s="1" t="n">
        <v>44132</v>
      </c>
      <c r="C158" s="1" t="n">
        <v>45914</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45914</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53735-2022</t>
        </is>
      </c>
      <c r="B160" s="1" t="n">
        <v>44880.42752314815</v>
      </c>
      <c r="C160" s="1" t="n">
        <v>45914</v>
      </c>
      <c r="D160" t="inlineStr">
        <is>
          <t>VÄSTMANLANDS LÄN</t>
        </is>
      </c>
      <c r="E160" t="inlineStr">
        <is>
          <t>SALA</t>
        </is>
      </c>
      <c r="F160" t="inlineStr">
        <is>
          <t>Bergvik skog öst AB</t>
        </is>
      </c>
      <c r="G160" t="n">
        <v>1.8</v>
      </c>
      <c r="H160" t="n">
        <v>0</v>
      </c>
      <c r="I160" t="n">
        <v>0</v>
      </c>
      <c r="J160" t="n">
        <v>0</v>
      </c>
      <c r="K160" t="n">
        <v>0</v>
      </c>
      <c r="L160" t="n">
        <v>0</v>
      </c>
      <c r="M160" t="n">
        <v>0</v>
      </c>
      <c r="N160" t="n">
        <v>0</v>
      </c>
      <c r="O160" t="n">
        <v>0</v>
      </c>
      <c r="P160" t="n">
        <v>0</v>
      </c>
      <c r="Q160" t="n">
        <v>0</v>
      </c>
      <c r="R160" s="2" t="inlineStr"/>
    </row>
    <row r="161" ht="15" customHeight="1">
      <c r="A161" t="inlineStr">
        <is>
          <t>A 9050-2022</t>
        </is>
      </c>
      <c r="B161" s="1" t="n">
        <v>44615.45451388889</v>
      </c>
      <c r="C161" s="1" t="n">
        <v>45914</v>
      </c>
      <c r="D161" t="inlineStr">
        <is>
          <t>VÄSTMANLANDS LÄN</t>
        </is>
      </c>
      <c r="E161" t="inlineStr">
        <is>
          <t>SALA</t>
        </is>
      </c>
      <c r="G161" t="n">
        <v>3.1</v>
      </c>
      <c r="H161" t="n">
        <v>0</v>
      </c>
      <c r="I161" t="n">
        <v>0</v>
      </c>
      <c r="J161" t="n">
        <v>0</v>
      </c>
      <c r="K161" t="n">
        <v>0</v>
      </c>
      <c r="L161" t="n">
        <v>0</v>
      </c>
      <c r="M161" t="n">
        <v>0</v>
      </c>
      <c r="N161" t="n">
        <v>0</v>
      </c>
      <c r="O161" t="n">
        <v>0</v>
      </c>
      <c r="P161" t="n">
        <v>0</v>
      </c>
      <c r="Q161" t="n">
        <v>0</v>
      </c>
      <c r="R161" s="2" t="inlineStr"/>
    </row>
    <row r="162" ht="15" customHeight="1">
      <c r="A162" t="inlineStr">
        <is>
          <t>A 49254-2022</t>
        </is>
      </c>
      <c r="B162" s="1" t="n">
        <v>44861</v>
      </c>
      <c r="C162" s="1" t="n">
        <v>45914</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65856-2021</t>
        </is>
      </c>
      <c r="B163" s="1" t="n">
        <v>44517</v>
      </c>
      <c r="C163" s="1" t="n">
        <v>45914</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47054-2020</t>
        </is>
      </c>
      <c r="B164" s="1" t="n">
        <v>44096</v>
      </c>
      <c r="C164" s="1" t="n">
        <v>45914</v>
      </c>
      <c r="D164" t="inlineStr">
        <is>
          <t>VÄSTMANLANDS LÄN</t>
        </is>
      </c>
      <c r="E164" t="inlineStr">
        <is>
          <t>SALA</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22575-2022</t>
        </is>
      </c>
      <c r="B165" s="1" t="n">
        <v>44713</v>
      </c>
      <c r="C165" s="1" t="n">
        <v>45914</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11370-2022</t>
        </is>
      </c>
      <c r="B166" s="1" t="n">
        <v>44630</v>
      </c>
      <c r="C166" s="1" t="n">
        <v>45914</v>
      </c>
      <c r="D166" t="inlineStr">
        <is>
          <t>VÄSTMANLANDS LÄN</t>
        </is>
      </c>
      <c r="E166" t="inlineStr">
        <is>
          <t>SALA</t>
        </is>
      </c>
      <c r="G166" t="n">
        <v>4.3</v>
      </c>
      <c r="H166" t="n">
        <v>0</v>
      </c>
      <c r="I166" t="n">
        <v>0</v>
      </c>
      <c r="J166" t="n">
        <v>0</v>
      </c>
      <c r="K166" t="n">
        <v>0</v>
      </c>
      <c r="L166" t="n">
        <v>0</v>
      </c>
      <c r="M166" t="n">
        <v>0</v>
      </c>
      <c r="N166" t="n">
        <v>0</v>
      </c>
      <c r="O166" t="n">
        <v>0</v>
      </c>
      <c r="P166" t="n">
        <v>0</v>
      </c>
      <c r="Q166" t="n">
        <v>0</v>
      </c>
      <c r="R166" s="2" t="inlineStr"/>
    </row>
    <row r="167" ht="15" customHeight="1">
      <c r="A167" t="inlineStr">
        <is>
          <t>A 44224-2022</t>
        </is>
      </c>
      <c r="B167" s="1" t="n">
        <v>44839.506875</v>
      </c>
      <c r="C167" s="1" t="n">
        <v>45914</v>
      </c>
      <c r="D167" t="inlineStr">
        <is>
          <t>VÄSTMANLANDS LÄN</t>
        </is>
      </c>
      <c r="E167" t="inlineStr">
        <is>
          <t>SALA</t>
        </is>
      </c>
      <c r="G167" t="n">
        <v>2.1</v>
      </c>
      <c r="H167" t="n">
        <v>0</v>
      </c>
      <c r="I167" t="n">
        <v>0</v>
      </c>
      <c r="J167" t="n">
        <v>0</v>
      </c>
      <c r="K167" t="n">
        <v>0</v>
      </c>
      <c r="L167" t="n">
        <v>0</v>
      </c>
      <c r="M167" t="n">
        <v>0</v>
      </c>
      <c r="N167" t="n">
        <v>0</v>
      </c>
      <c r="O167" t="n">
        <v>0</v>
      </c>
      <c r="P167" t="n">
        <v>0</v>
      </c>
      <c r="Q167" t="n">
        <v>0</v>
      </c>
      <c r="R167" s="2" t="inlineStr"/>
    </row>
    <row r="168" ht="15" customHeight="1">
      <c r="A168" t="inlineStr">
        <is>
          <t>A 58781-2020</t>
        </is>
      </c>
      <c r="B168" s="1" t="n">
        <v>44146</v>
      </c>
      <c r="C168" s="1" t="n">
        <v>45914</v>
      </c>
      <c r="D168" t="inlineStr">
        <is>
          <t>VÄSTMANLANDS LÄN</t>
        </is>
      </c>
      <c r="E168" t="inlineStr">
        <is>
          <t>SALA</t>
        </is>
      </c>
      <c r="G168" t="n">
        <v>1.2</v>
      </c>
      <c r="H168" t="n">
        <v>0</v>
      </c>
      <c r="I168" t="n">
        <v>0</v>
      </c>
      <c r="J168" t="n">
        <v>0</v>
      </c>
      <c r="K168" t="n">
        <v>0</v>
      </c>
      <c r="L168" t="n">
        <v>0</v>
      </c>
      <c r="M168" t="n">
        <v>0</v>
      </c>
      <c r="N168" t="n">
        <v>0</v>
      </c>
      <c r="O168" t="n">
        <v>0</v>
      </c>
      <c r="P168" t="n">
        <v>0</v>
      </c>
      <c r="Q168" t="n">
        <v>0</v>
      </c>
      <c r="R168" s="2" t="inlineStr"/>
    </row>
    <row r="169" ht="15" customHeight="1">
      <c r="A169" t="inlineStr">
        <is>
          <t>A 25603-2022</t>
        </is>
      </c>
      <c r="B169" s="1" t="n">
        <v>44732</v>
      </c>
      <c r="C169" s="1" t="n">
        <v>45914</v>
      </c>
      <c r="D169" t="inlineStr">
        <is>
          <t>VÄSTMANLANDS LÄN</t>
        </is>
      </c>
      <c r="E169" t="inlineStr">
        <is>
          <t>SALA</t>
        </is>
      </c>
      <c r="G169" t="n">
        <v>2</v>
      </c>
      <c r="H169" t="n">
        <v>0</v>
      </c>
      <c r="I169" t="n">
        <v>0</v>
      </c>
      <c r="J169" t="n">
        <v>0</v>
      </c>
      <c r="K169" t="n">
        <v>0</v>
      </c>
      <c r="L169" t="n">
        <v>0</v>
      </c>
      <c r="M169" t="n">
        <v>0</v>
      </c>
      <c r="N169" t="n">
        <v>0</v>
      </c>
      <c r="O169" t="n">
        <v>0</v>
      </c>
      <c r="P169" t="n">
        <v>0</v>
      </c>
      <c r="Q169" t="n">
        <v>0</v>
      </c>
      <c r="R169" s="2" t="inlineStr"/>
    </row>
    <row r="170" ht="15" customHeight="1">
      <c r="A170" t="inlineStr">
        <is>
          <t>A 57000-2021</t>
        </is>
      </c>
      <c r="B170" s="1" t="n">
        <v>44482.46760416667</v>
      </c>
      <c r="C170" s="1" t="n">
        <v>45914</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40094-2022</t>
        </is>
      </c>
      <c r="B171" s="1" t="n">
        <v>44819</v>
      </c>
      <c r="C171" s="1" t="n">
        <v>45914</v>
      </c>
      <c r="D171" t="inlineStr">
        <is>
          <t>VÄSTMANLANDS LÄN</t>
        </is>
      </c>
      <c r="E171" t="inlineStr">
        <is>
          <t>SALA</t>
        </is>
      </c>
      <c r="G171" t="n">
        <v>1.7</v>
      </c>
      <c r="H171" t="n">
        <v>0</v>
      </c>
      <c r="I171" t="n">
        <v>0</v>
      </c>
      <c r="J171" t="n">
        <v>0</v>
      </c>
      <c r="K171" t="n">
        <v>0</v>
      </c>
      <c r="L171" t="n">
        <v>0</v>
      </c>
      <c r="M171" t="n">
        <v>0</v>
      </c>
      <c r="N171" t="n">
        <v>0</v>
      </c>
      <c r="O171" t="n">
        <v>0</v>
      </c>
      <c r="P171" t="n">
        <v>0</v>
      </c>
      <c r="Q171" t="n">
        <v>0</v>
      </c>
      <c r="R171" s="2" t="inlineStr"/>
    </row>
    <row r="172" ht="15" customHeight="1">
      <c r="A172" t="inlineStr">
        <is>
          <t>A 26579-2021</t>
        </is>
      </c>
      <c r="B172" s="1" t="n">
        <v>44348</v>
      </c>
      <c r="C172" s="1" t="n">
        <v>45914</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67962-2021</t>
        </is>
      </c>
      <c r="B173" s="1" t="n">
        <v>44525</v>
      </c>
      <c r="C173" s="1" t="n">
        <v>45914</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53628-2022</t>
        </is>
      </c>
      <c r="B174" s="1" t="n">
        <v>44879.87171296297</v>
      </c>
      <c r="C174" s="1" t="n">
        <v>45914</v>
      </c>
      <c r="D174" t="inlineStr">
        <is>
          <t>VÄSTMANLANDS LÄN</t>
        </is>
      </c>
      <c r="E174" t="inlineStr">
        <is>
          <t>SALA</t>
        </is>
      </c>
      <c r="G174" t="n">
        <v>2.7</v>
      </c>
      <c r="H174" t="n">
        <v>0</v>
      </c>
      <c r="I174" t="n">
        <v>0</v>
      </c>
      <c r="J174" t="n">
        <v>0</v>
      </c>
      <c r="K174" t="n">
        <v>0</v>
      </c>
      <c r="L174" t="n">
        <v>0</v>
      </c>
      <c r="M174" t="n">
        <v>0</v>
      </c>
      <c r="N174" t="n">
        <v>0</v>
      </c>
      <c r="O174" t="n">
        <v>0</v>
      </c>
      <c r="P174" t="n">
        <v>0</v>
      </c>
      <c r="Q174" t="n">
        <v>0</v>
      </c>
      <c r="R174" s="2" t="inlineStr"/>
    </row>
    <row r="175" ht="15" customHeight="1">
      <c r="A175" t="inlineStr">
        <is>
          <t>A 23847-2022</t>
        </is>
      </c>
      <c r="B175" s="1" t="n">
        <v>44722</v>
      </c>
      <c r="C175" s="1" t="n">
        <v>45914</v>
      </c>
      <c r="D175" t="inlineStr">
        <is>
          <t>VÄSTMANLANDS LÄN</t>
        </is>
      </c>
      <c r="E175" t="inlineStr">
        <is>
          <t>SALA</t>
        </is>
      </c>
      <c r="G175" t="n">
        <v>1</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45914</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61415-2020</t>
        </is>
      </c>
      <c r="B177" s="1" t="n">
        <v>44156</v>
      </c>
      <c r="C177" s="1" t="n">
        <v>45914</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39597-2022</t>
        </is>
      </c>
      <c r="B178" s="1" t="n">
        <v>44818</v>
      </c>
      <c r="C178" s="1" t="n">
        <v>45914</v>
      </c>
      <c r="D178" t="inlineStr">
        <is>
          <t>VÄSTMANLANDS LÄN</t>
        </is>
      </c>
      <c r="E178" t="inlineStr">
        <is>
          <t>SALA</t>
        </is>
      </c>
      <c r="G178" t="n">
        <v>2.3</v>
      </c>
      <c r="H178" t="n">
        <v>0</v>
      </c>
      <c r="I178" t="n">
        <v>0</v>
      </c>
      <c r="J178" t="n">
        <v>0</v>
      </c>
      <c r="K178" t="n">
        <v>0</v>
      </c>
      <c r="L178" t="n">
        <v>0</v>
      </c>
      <c r="M178" t="n">
        <v>0</v>
      </c>
      <c r="N178" t="n">
        <v>0</v>
      </c>
      <c r="O178" t="n">
        <v>0</v>
      </c>
      <c r="P178" t="n">
        <v>0</v>
      </c>
      <c r="Q178" t="n">
        <v>0</v>
      </c>
      <c r="R178" s="2" t="inlineStr"/>
    </row>
    <row r="179" ht="15" customHeight="1">
      <c r="A179" t="inlineStr">
        <is>
          <t>A 14047-2021</t>
        </is>
      </c>
      <c r="B179" s="1" t="n">
        <v>44277</v>
      </c>
      <c r="C179" s="1" t="n">
        <v>45914</v>
      </c>
      <c r="D179" t="inlineStr">
        <is>
          <t>VÄSTMANLANDS LÄN</t>
        </is>
      </c>
      <c r="E179" t="inlineStr">
        <is>
          <t>SALA</t>
        </is>
      </c>
      <c r="F179" t="inlineStr">
        <is>
          <t>Kyrkan</t>
        </is>
      </c>
      <c r="G179" t="n">
        <v>0.7</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45914</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24882-2022</t>
        </is>
      </c>
      <c r="B181" s="1" t="n">
        <v>44728.56488425926</v>
      </c>
      <c r="C181" s="1" t="n">
        <v>45914</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25860-2024</t>
        </is>
      </c>
      <c r="B182" s="1" t="n">
        <v>45467.46278935186</v>
      </c>
      <c r="C182" s="1" t="n">
        <v>45914</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53630-2022</t>
        </is>
      </c>
      <c r="B183" s="1" t="n">
        <v>44879.87533564815</v>
      </c>
      <c r="C183" s="1" t="n">
        <v>45914</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45914</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22026-2021</t>
        </is>
      </c>
      <c r="B185" s="1" t="n">
        <v>44323</v>
      </c>
      <c r="C185" s="1" t="n">
        <v>45914</v>
      </c>
      <c r="D185" t="inlineStr">
        <is>
          <t>VÄSTMANLANDS LÄN</t>
        </is>
      </c>
      <c r="E185" t="inlineStr">
        <is>
          <t>SALA</t>
        </is>
      </c>
      <c r="G185" t="n">
        <v>2.9</v>
      </c>
      <c r="H185" t="n">
        <v>0</v>
      </c>
      <c r="I185" t="n">
        <v>0</v>
      </c>
      <c r="J185" t="n">
        <v>0</v>
      </c>
      <c r="K185" t="n">
        <v>0</v>
      </c>
      <c r="L185" t="n">
        <v>0</v>
      </c>
      <c r="M185" t="n">
        <v>0</v>
      </c>
      <c r="N185" t="n">
        <v>0</v>
      </c>
      <c r="O185" t="n">
        <v>0</v>
      </c>
      <c r="P185" t="n">
        <v>0</v>
      </c>
      <c r="Q185" t="n">
        <v>0</v>
      </c>
      <c r="R185" s="2" t="inlineStr"/>
    </row>
    <row r="186" ht="15" customHeight="1">
      <c r="A186" t="inlineStr">
        <is>
          <t>A 18713-2025</t>
        </is>
      </c>
      <c r="B186" s="1" t="n">
        <v>45763</v>
      </c>
      <c r="C186" s="1" t="n">
        <v>45914</v>
      </c>
      <c r="D186" t="inlineStr">
        <is>
          <t>VÄSTMANLANDS LÄN</t>
        </is>
      </c>
      <c r="E186" t="inlineStr">
        <is>
          <t>SALA</t>
        </is>
      </c>
      <c r="F186" t="inlineStr">
        <is>
          <t>Bergvik skog öst AB</t>
        </is>
      </c>
      <c r="G186" t="n">
        <v>11.6</v>
      </c>
      <c r="H186" t="n">
        <v>0</v>
      </c>
      <c r="I186" t="n">
        <v>0</v>
      </c>
      <c r="J186" t="n">
        <v>0</v>
      </c>
      <c r="K186" t="n">
        <v>0</v>
      </c>
      <c r="L186" t="n">
        <v>0</v>
      </c>
      <c r="M186" t="n">
        <v>0</v>
      </c>
      <c r="N186" t="n">
        <v>0</v>
      </c>
      <c r="O186" t="n">
        <v>0</v>
      </c>
      <c r="P186" t="n">
        <v>0</v>
      </c>
      <c r="Q186" t="n">
        <v>0</v>
      </c>
      <c r="R186" s="2" t="inlineStr"/>
    </row>
    <row r="187" ht="15" customHeight="1">
      <c r="A187" t="inlineStr">
        <is>
          <t>A 54959-2024</t>
        </is>
      </c>
      <c r="B187" s="1" t="n">
        <v>45619</v>
      </c>
      <c r="C187" s="1" t="n">
        <v>45914</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27486-2022</t>
        </is>
      </c>
      <c r="B188" s="1" t="n">
        <v>44742.60846064815</v>
      </c>
      <c r="C188" s="1" t="n">
        <v>45914</v>
      </c>
      <c r="D188" t="inlineStr">
        <is>
          <t>VÄSTMANLANDS LÄN</t>
        </is>
      </c>
      <c r="E188" t="inlineStr">
        <is>
          <t>SALA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16651-2021</t>
        </is>
      </c>
      <c r="B189" s="1" t="n">
        <v>44294.50096064815</v>
      </c>
      <c r="C189" s="1" t="n">
        <v>45914</v>
      </c>
      <c r="D189" t="inlineStr">
        <is>
          <t>VÄSTMANLANDS LÄN</t>
        </is>
      </c>
      <c r="E189" t="inlineStr">
        <is>
          <t>SALA</t>
        </is>
      </c>
      <c r="G189" t="n">
        <v>7.7</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45914</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40597-2022</t>
        </is>
      </c>
      <c r="B191" s="1" t="n">
        <v>44823.84862268518</v>
      </c>
      <c r="C191" s="1" t="n">
        <v>45914</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45914</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6183-2025</t>
        </is>
      </c>
      <c r="B193" s="1" t="n">
        <v>45698</v>
      </c>
      <c r="C193" s="1" t="n">
        <v>45914</v>
      </c>
      <c r="D193" t="inlineStr">
        <is>
          <t>VÄSTMANLANDS LÄN</t>
        </is>
      </c>
      <c r="E193" t="inlineStr">
        <is>
          <t>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70218-2021</t>
        </is>
      </c>
      <c r="B194" s="1" t="n">
        <v>44535.6571412037</v>
      </c>
      <c r="C194" s="1" t="n">
        <v>45914</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6134-2024</t>
        </is>
      </c>
      <c r="B195" s="1" t="n">
        <v>45337</v>
      </c>
      <c r="C195" s="1" t="n">
        <v>45914</v>
      </c>
      <c r="D195" t="inlineStr">
        <is>
          <t>VÄSTMANLANDS LÄN</t>
        </is>
      </c>
      <c r="E195" t="inlineStr">
        <is>
          <t>SALA</t>
        </is>
      </c>
      <c r="G195" t="n">
        <v>1.8</v>
      </c>
      <c r="H195" t="n">
        <v>0</v>
      </c>
      <c r="I195" t="n">
        <v>0</v>
      </c>
      <c r="J195" t="n">
        <v>0</v>
      </c>
      <c r="K195" t="n">
        <v>0</v>
      </c>
      <c r="L195" t="n">
        <v>0</v>
      </c>
      <c r="M195" t="n">
        <v>0</v>
      </c>
      <c r="N195" t="n">
        <v>0</v>
      </c>
      <c r="O195" t="n">
        <v>0</v>
      </c>
      <c r="P195" t="n">
        <v>0</v>
      </c>
      <c r="Q195" t="n">
        <v>0</v>
      </c>
      <c r="R195" s="2" t="inlineStr"/>
    </row>
    <row r="196" ht="15" customHeight="1">
      <c r="A196" t="inlineStr">
        <is>
          <t>A 12921-2025</t>
        </is>
      </c>
      <c r="B196" s="1" t="n">
        <v>45734.28016203704</v>
      </c>
      <c r="C196" s="1" t="n">
        <v>45914</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15354-2021</t>
        </is>
      </c>
      <c r="B197" s="1" t="n">
        <v>44284</v>
      </c>
      <c r="C197" s="1" t="n">
        <v>45914</v>
      </c>
      <c r="D197" t="inlineStr">
        <is>
          <t>VÄSTMANLANDS LÄN</t>
        </is>
      </c>
      <c r="E197" t="inlineStr">
        <is>
          <t>SALA</t>
        </is>
      </c>
      <c r="F197" t="inlineStr">
        <is>
          <t>Kyrkan</t>
        </is>
      </c>
      <c r="G197" t="n">
        <v>8.5</v>
      </c>
      <c r="H197" t="n">
        <v>0</v>
      </c>
      <c r="I197" t="n">
        <v>0</v>
      </c>
      <c r="J197" t="n">
        <v>0</v>
      </c>
      <c r="K197" t="n">
        <v>0</v>
      </c>
      <c r="L197" t="n">
        <v>0</v>
      </c>
      <c r="M197" t="n">
        <v>0</v>
      </c>
      <c r="N197" t="n">
        <v>0</v>
      </c>
      <c r="O197" t="n">
        <v>0</v>
      </c>
      <c r="P197" t="n">
        <v>0</v>
      </c>
      <c r="Q197" t="n">
        <v>0</v>
      </c>
      <c r="R197" s="2" t="inlineStr"/>
    </row>
    <row r="198" ht="15" customHeight="1">
      <c r="A198" t="inlineStr">
        <is>
          <t>A 6154-2025</t>
        </is>
      </c>
      <c r="B198" s="1" t="n">
        <v>45698.40719907408</v>
      </c>
      <c r="C198" s="1" t="n">
        <v>45914</v>
      </c>
      <c r="D198" t="inlineStr">
        <is>
          <t>VÄSTMANLANDS LÄN</t>
        </is>
      </c>
      <c r="E198" t="inlineStr">
        <is>
          <t>SALA</t>
        </is>
      </c>
      <c r="F198" t="inlineStr">
        <is>
          <t>Bergvik skog öst AB</t>
        </is>
      </c>
      <c r="G198" t="n">
        <v>3.9</v>
      </c>
      <c r="H198" t="n">
        <v>0</v>
      </c>
      <c r="I198" t="n">
        <v>0</v>
      </c>
      <c r="J198" t="n">
        <v>0</v>
      </c>
      <c r="K198" t="n">
        <v>0</v>
      </c>
      <c r="L198" t="n">
        <v>0</v>
      </c>
      <c r="M198" t="n">
        <v>0</v>
      </c>
      <c r="N198" t="n">
        <v>0</v>
      </c>
      <c r="O198" t="n">
        <v>0</v>
      </c>
      <c r="P198" t="n">
        <v>0</v>
      </c>
      <c r="Q198" t="n">
        <v>0</v>
      </c>
      <c r="R198" s="2" t="inlineStr"/>
    </row>
    <row r="199" ht="15" customHeight="1">
      <c r="A199" t="inlineStr">
        <is>
          <t>A 40871-2021</t>
        </is>
      </c>
      <c r="B199" s="1" t="n">
        <v>44421</v>
      </c>
      <c r="C199" s="1" t="n">
        <v>45914</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19803-2024</t>
        </is>
      </c>
      <c r="B200" s="1" t="n">
        <v>45432</v>
      </c>
      <c r="C200" s="1" t="n">
        <v>45914</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54347-2024</t>
        </is>
      </c>
      <c r="B201" s="1" t="n">
        <v>45617.39325231482</v>
      </c>
      <c r="C201" s="1" t="n">
        <v>45914</v>
      </c>
      <c r="D201" t="inlineStr">
        <is>
          <t>VÄSTMANLANDS LÄN</t>
        </is>
      </c>
      <c r="E201" t="inlineStr">
        <is>
          <t>SALA</t>
        </is>
      </c>
      <c r="G201" t="n">
        <v>2</v>
      </c>
      <c r="H201" t="n">
        <v>0</v>
      </c>
      <c r="I201" t="n">
        <v>0</v>
      </c>
      <c r="J201" t="n">
        <v>0</v>
      </c>
      <c r="K201" t="n">
        <v>0</v>
      </c>
      <c r="L201" t="n">
        <v>0</v>
      </c>
      <c r="M201" t="n">
        <v>0</v>
      </c>
      <c r="N201" t="n">
        <v>0</v>
      </c>
      <c r="O201" t="n">
        <v>0</v>
      </c>
      <c r="P201" t="n">
        <v>0</v>
      </c>
      <c r="Q201" t="n">
        <v>0</v>
      </c>
      <c r="R201" s="2" t="inlineStr"/>
    </row>
    <row r="202" ht="15" customHeight="1">
      <c r="A202" t="inlineStr">
        <is>
          <t>A 13022-2023</t>
        </is>
      </c>
      <c r="B202" s="1" t="n">
        <v>45002.33291666667</v>
      </c>
      <c r="C202" s="1" t="n">
        <v>45914</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35003-2024</t>
        </is>
      </c>
      <c r="B203" s="1" t="n">
        <v>45527.56790509259</v>
      </c>
      <c r="C203" s="1" t="n">
        <v>45914</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66307-2021</t>
        </is>
      </c>
      <c r="B204" s="1" t="n">
        <v>44518.48670138889</v>
      </c>
      <c r="C204" s="1" t="n">
        <v>45914</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6030-2024</t>
        </is>
      </c>
      <c r="B205" s="1" t="n">
        <v>45336.62782407407</v>
      </c>
      <c r="C205" s="1" t="n">
        <v>45914</v>
      </c>
      <c r="D205" t="inlineStr">
        <is>
          <t>VÄSTMANLANDS LÄN</t>
        </is>
      </c>
      <c r="E205" t="inlineStr">
        <is>
          <t>SALA</t>
        </is>
      </c>
      <c r="G205" t="n">
        <v>3.9</v>
      </c>
      <c r="H205" t="n">
        <v>0</v>
      </c>
      <c r="I205" t="n">
        <v>0</v>
      </c>
      <c r="J205" t="n">
        <v>0</v>
      </c>
      <c r="K205" t="n">
        <v>0</v>
      </c>
      <c r="L205" t="n">
        <v>0</v>
      </c>
      <c r="M205" t="n">
        <v>0</v>
      </c>
      <c r="N205" t="n">
        <v>0</v>
      </c>
      <c r="O205" t="n">
        <v>0</v>
      </c>
      <c r="P205" t="n">
        <v>0</v>
      </c>
      <c r="Q205" t="n">
        <v>0</v>
      </c>
      <c r="R205" s="2" t="inlineStr"/>
    </row>
    <row r="206" ht="15" customHeight="1">
      <c r="A206" t="inlineStr">
        <is>
          <t>A 26761-2023</t>
        </is>
      </c>
      <c r="B206" s="1" t="n">
        <v>45093</v>
      </c>
      <c r="C206" s="1" t="n">
        <v>45914</v>
      </c>
      <c r="D206" t="inlineStr">
        <is>
          <t>VÄSTMANLANDS LÄN</t>
        </is>
      </c>
      <c r="E206" t="inlineStr">
        <is>
          <t>SALA</t>
        </is>
      </c>
      <c r="G206" t="n">
        <v>4.3</v>
      </c>
      <c r="H206" t="n">
        <v>0</v>
      </c>
      <c r="I206" t="n">
        <v>0</v>
      </c>
      <c r="J206" t="n">
        <v>0</v>
      </c>
      <c r="K206" t="n">
        <v>0</v>
      </c>
      <c r="L206" t="n">
        <v>0</v>
      </c>
      <c r="M206" t="n">
        <v>0</v>
      </c>
      <c r="N206" t="n">
        <v>0</v>
      </c>
      <c r="O206" t="n">
        <v>0</v>
      </c>
      <c r="P206" t="n">
        <v>0</v>
      </c>
      <c r="Q206" t="n">
        <v>0</v>
      </c>
      <c r="R206" s="2" t="inlineStr"/>
    </row>
    <row r="207" ht="15" customHeight="1">
      <c r="A207" t="inlineStr">
        <is>
          <t>A 61892-2021</t>
        </is>
      </c>
      <c r="B207" s="1" t="n">
        <v>44502</v>
      </c>
      <c r="C207" s="1" t="n">
        <v>45914</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17495-2024</t>
        </is>
      </c>
      <c r="B208" s="1" t="n">
        <v>45415</v>
      </c>
      <c r="C208" s="1" t="n">
        <v>45914</v>
      </c>
      <c r="D208" t="inlineStr">
        <is>
          <t>VÄSTMANLANDS LÄN</t>
        </is>
      </c>
      <c r="E208" t="inlineStr">
        <is>
          <t>SALA</t>
        </is>
      </c>
      <c r="G208" t="n">
        <v>3.1</v>
      </c>
      <c r="H208" t="n">
        <v>0</v>
      </c>
      <c r="I208" t="n">
        <v>0</v>
      </c>
      <c r="J208" t="n">
        <v>0</v>
      </c>
      <c r="K208" t="n">
        <v>0</v>
      </c>
      <c r="L208" t="n">
        <v>0</v>
      </c>
      <c r="M208" t="n">
        <v>0</v>
      </c>
      <c r="N208" t="n">
        <v>0</v>
      </c>
      <c r="O208" t="n">
        <v>0</v>
      </c>
      <c r="P208" t="n">
        <v>0</v>
      </c>
      <c r="Q208" t="n">
        <v>0</v>
      </c>
      <c r="R208" s="2" t="inlineStr"/>
    </row>
    <row r="209" ht="15" customHeight="1">
      <c r="A209" t="inlineStr">
        <is>
          <t>A 72405-2021</t>
        </is>
      </c>
      <c r="B209" s="1" t="n">
        <v>44545</v>
      </c>
      <c r="C209" s="1" t="n">
        <v>45914</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2925-2024</t>
        </is>
      </c>
      <c r="B210" s="1" t="n">
        <v>45315.58909722222</v>
      </c>
      <c r="C210" s="1" t="n">
        <v>45914</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24864-2024</t>
        </is>
      </c>
      <c r="B211" s="1" t="n">
        <v>45461.48888888889</v>
      </c>
      <c r="C211" s="1" t="n">
        <v>45914</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44746-2024</t>
        </is>
      </c>
      <c r="B212" s="1" t="n">
        <v>45574.59813657407</v>
      </c>
      <c r="C212" s="1" t="n">
        <v>45914</v>
      </c>
      <c r="D212" t="inlineStr">
        <is>
          <t>VÄSTMANLANDS LÄN</t>
        </is>
      </c>
      <c r="E212" t="inlineStr">
        <is>
          <t>SALA</t>
        </is>
      </c>
      <c r="G212" t="n">
        <v>6.7</v>
      </c>
      <c r="H212" t="n">
        <v>0</v>
      </c>
      <c r="I212" t="n">
        <v>0</v>
      </c>
      <c r="J212" t="n">
        <v>0</v>
      </c>
      <c r="K212" t="n">
        <v>0</v>
      </c>
      <c r="L212" t="n">
        <v>0</v>
      </c>
      <c r="M212" t="n">
        <v>0</v>
      </c>
      <c r="N212" t="n">
        <v>0</v>
      </c>
      <c r="O212" t="n">
        <v>0</v>
      </c>
      <c r="P212" t="n">
        <v>0</v>
      </c>
      <c r="Q212" t="n">
        <v>0</v>
      </c>
      <c r="R212" s="2" t="inlineStr"/>
    </row>
    <row r="213" ht="15" customHeight="1">
      <c r="A213" t="inlineStr">
        <is>
          <t>A 1118-2024</t>
        </is>
      </c>
      <c r="B213" s="1" t="n">
        <v>45302</v>
      </c>
      <c r="C213" s="1" t="n">
        <v>45914</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44713-2023</t>
        </is>
      </c>
      <c r="B214" s="1" t="n">
        <v>45184</v>
      </c>
      <c r="C214" s="1" t="n">
        <v>45914</v>
      </c>
      <c r="D214" t="inlineStr">
        <is>
          <t>VÄSTMANLANDS LÄN</t>
        </is>
      </c>
      <c r="E214" t="inlineStr">
        <is>
          <t>SALA</t>
        </is>
      </c>
      <c r="F214" t="inlineStr">
        <is>
          <t>Kyrkan</t>
        </is>
      </c>
      <c r="G214" t="n">
        <v>7.6</v>
      </c>
      <c r="H214" t="n">
        <v>0</v>
      </c>
      <c r="I214" t="n">
        <v>0</v>
      </c>
      <c r="J214" t="n">
        <v>0</v>
      </c>
      <c r="K214" t="n">
        <v>0</v>
      </c>
      <c r="L214" t="n">
        <v>0</v>
      </c>
      <c r="M214" t="n">
        <v>0</v>
      </c>
      <c r="N214" t="n">
        <v>0</v>
      </c>
      <c r="O214" t="n">
        <v>0</v>
      </c>
      <c r="P214" t="n">
        <v>0</v>
      </c>
      <c r="Q214" t="n">
        <v>0</v>
      </c>
      <c r="R214" s="2" t="inlineStr"/>
    </row>
    <row r="215" ht="15" customHeight="1">
      <c r="A215" t="inlineStr">
        <is>
          <t>A 7772-2023</t>
        </is>
      </c>
      <c r="B215" s="1" t="n">
        <v>44973.40076388889</v>
      </c>
      <c r="C215" s="1" t="n">
        <v>45914</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63933-2023</t>
        </is>
      </c>
      <c r="B216" s="1" t="n">
        <v>45278</v>
      </c>
      <c r="C216" s="1" t="n">
        <v>45914</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37190-2024</t>
        </is>
      </c>
      <c r="B217" s="1" t="n">
        <v>45539</v>
      </c>
      <c r="C217" s="1" t="n">
        <v>45914</v>
      </c>
      <c r="D217" t="inlineStr">
        <is>
          <t>VÄSTMANLANDS LÄN</t>
        </is>
      </c>
      <c r="E217" t="inlineStr">
        <is>
          <t>SALA</t>
        </is>
      </c>
      <c r="G217" t="n">
        <v>0.9</v>
      </c>
      <c r="H217" t="n">
        <v>0</v>
      </c>
      <c r="I217" t="n">
        <v>0</v>
      </c>
      <c r="J217" t="n">
        <v>0</v>
      </c>
      <c r="K217" t="n">
        <v>0</v>
      </c>
      <c r="L217" t="n">
        <v>0</v>
      </c>
      <c r="M217" t="n">
        <v>0</v>
      </c>
      <c r="N217" t="n">
        <v>0</v>
      </c>
      <c r="O217" t="n">
        <v>0</v>
      </c>
      <c r="P217" t="n">
        <v>0</v>
      </c>
      <c r="Q217" t="n">
        <v>0</v>
      </c>
      <c r="R217" s="2" t="inlineStr"/>
    </row>
    <row r="218" ht="15" customHeight="1">
      <c r="A218" t="inlineStr">
        <is>
          <t>A 23431-2024</t>
        </is>
      </c>
      <c r="B218" s="1" t="n">
        <v>45453</v>
      </c>
      <c r="C218" s="1" t="n">
        <v>45914</v>
      </c>
      <c r="D218" t="inlineStr">
        <is>
          <t>VÄSTMANLANDS LÄN</t>
        </is>
      </c>
      <c r="E218" t="inlineStr">
        <is>
          <t>SALA</t>
        </is>
      </c>
      <c r="G218" t="n">
        <v>1.6</v>
      </c>
      <c r="H218" t="n">
        <v>0</v>
      </c>
      <c r="I218" t="n">
        <v>0</v>
      </c>
      <c r="J218" t="n">
        <v>0</v>
      </c>
      <c r="K218" t="n">
        <v>0</v>
      </c>
      <c r="L218" t="n">
        <v>0</v>
      </c>
      <c r="M218" t="n">
        <v>0</v>
      </c>
      <c r="N218" t="n">
        <v>0</v>
      </c>
      <c r="O218" t="n">
        <v>0</v>
      </c>
      <c r="P218" t="n">
        <v>0</v>
      </c>
      <c r="Q218" t="n">
        <v>0</v>
      </c>
      <c r="R218" s="2" t="inlineStr"/>
    </row>
    <row r="219" ht="15" customHeight="1">
      <c r="A219" t="inlineStr">
        <is>
          <t>A 39439-2021</t>
        </is>
      </c>
      <c r="B219" s="1" t="n">
        <v>44414</v>
      </c>
      <c r="C219" s="1" t="n">
        <v>45914</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42416-2022</t>
        </is>
      </c>
      <c r="B220" s="1" t="n">
        <v>44831</v>
      </c>
      <c r="C220" s="1" t="n">
        <v>45914</v>
      </c>
      <c r="D220" t="inlineStr">
        <is>
          <t>VÄSTMANLANDS LÄN</t>
        </is>
      </c>
      <c r="E220" t="inlineStr">
        <is>
          <t>SALA</t>
        </is>
      </c>
      <c r="G220" t="n">
        <v>2.2</v>
      </c>
      <c r="H220" t="n">
        <v>0</v>
      </c>
      <c r="I220" t="n">
        <v>0</v>
      </c>
      <c r="J220" t="n">
        <v>0</v>
      </c>
      <c r="K220" t="n">
        <v>0</v>
      </c>
      <c r="L220" t="n">
        <v>0</v>
      </c>
      <c r="M220" t="n">
        <v>0</v>
      </c>
      <c r="N220" t="n">
        <v>0</v>
      </c>
      <c r="O220" t="n">
        <v>0</v>
      </c>
      <c r="P220" t="n">
        <v>0</v>
      </c>
      <c r="Q220" t="n">
        <v>0</v>
      </c>
      <c r="R220" s="2" t="inlineStr"/>
    </row>
    <row r="221" ht="15" customHeight="1">
      <c r="A221" t="inlineStr">
        <is>
          <t>A 63290-2021</t>
        </is>
      </c>
      <c r="B221" s="1" t="n">
        <v>44505</v>
      </c>
      <c r="C221" s="1" t="n">
        <v>45914</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19381-2025</t>
        </is>
      </c>
      <c r="B222" s="1" t="n">
        <v>45769</v>
      </c>
      <c r="C222" s="1" t="n">
        <v>45914</v>
      </c>
      <c r="D222" t="inlineStr">
        <is>
          <t>VÄSTMANLANDS LÄN</t>
        </is>
      </c>
      <c r="E222" t="inlineStr">
        <is>
          <t>SALA</t>
        </is>
      </c>
      <c r="G222" t="n">
        <v>0.6</v>
      </c>
      <c r="H222" t="n">
        <v>0</v>
      </c>
      <c r="I222" t="n">
        <v>0</v>
      </c>
      <c r="J222" t="n">
        <v>0</v>
      </c>
      <c r="K222" t="n">
        <v>0</v>
      </c>
      <c r="L222" t="n">
        <v>0</v>
      </c>
      <c r="M222" t="n">
        <v>0</v>
      </c>
      <c r="N222" t="n">
        <v>0</v>
      </c>
      <c r="O222" t="n">
        <v>0</v>
      </c>
      <c r="P222" t="n">
        <v>0</v>
      </c>
      <c r="Q222" t="n">
        <v>0</v>
      </c>
      <c r="R222" s="2" t="inlineStr"/>
    </row>
    <row r="223" ht="15" customHeight="1">
      <c r="A223" t="inlineStr">
        <is>
          <t>A 21168-2025</t>
        </is>
      </c>
      <c r="B223" s="1" t="n">
        <v>45777</v>
      </c>
      <c r="C223" s="1" t="n">
        <v>45914</v>
      </c>
      <c r="D223" t="inlineStr">
        <is>
          <t>VÄSTMANLANDS LÄN</t>
        </is>
      </c>
      <c r="E223" t="inlineStr">
        <is>
          <t>SALA</t>
        </is>
      </c>
      <c r="G223" t="n">
        <v>4.5</v>
      </c>
      <c r="H223" t="n">
        <v>0</v>
      </c>
      <c r="I223" t="n">
        <v>0</v>
      </c>
      <c r="J223" t="n">
        <v>0</v>
      </c>
      <c r="K223" t="n">
        <v>0</v>
      </c>
      <c r="L223" t="n">
        <v>0</v>
      </c>
      <c r="M223" t="n">
        <v>0</v>
      </c>
      <c r="N223" t="n">
        <v>0</v>
      </c>
      <c r="O223" t="n">
        <v>0</v>
      </c>
      <c r="P223" t="n">
        <v>0</v>
      </c>
      <c r="Q223" t="n">
        <v>0</v>
      </c>
      <c r="R223" s="2" t="inlineStr"/>
    </row>
    <row r="224" ht="15" customHeight="1">
      <c r="A224" t="inlineStr">
        <is>
          <t>A 48688-2024</t>
        </is>
      </c>
      <c r="B224" s="1" t="n">
        <v>45593.50541666667</v>
      </c>
      <c r="C224" s="1" t="n">
        <v>45914</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21751-2025</t>
        </is>
      </c>
      <c r="B225" s="1" t="n">
        <v>45783.61372685185</v>
      </c>
      <c r="C225" s="1" t="n">
        <v>45914</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21721-2025</t>
        </is>
      </c>
      <c r="B226" s="1" t="n">
        <v>45783</v>
      </c>
      <c r="C226" s="1" t="n">
        <v>45914</v>
      </c>
      <c r="D226" t="inlineStr">
        <is>
          <t>VÄSTMANLANDS LÄN</t>
        </is>
      </c>
      <c r="E226" t="inlineStr">
        <is>
          <t>SALA</t>
        </is>
      </c>
      <c r="G226" t="n">
        <v>6.1</v>
      </c>
      <c r="H226" t="n">
        <v>0</v>
      </c>
      <c r="I226" t="n">
        <v>0</v>
      </c>
      <c r="J226" t="n">
        <v>0</v>
      </c>
      <c r="K226" t="n">
        <v>0</v>
      </c>
      <c r="L226" t="n">
        <v>0</v>
      </c>
      <c r="M226" t="n">
        <v>0</v>
      </c>
      <c r="N226" t="n">
        <v>0</v>
      </c>
      <c r="O226" t="n">
        <v>0</v>
      </c>
      <c r="P226" t="n">
        <v>0</v>
      </c>
      <c r="Q226" t="n">
        <v>0</v>
      </c>
      <c r="R226" s="2" t="inlineStr"/>
    </row>
    <row r="227" ht="15" customHeight="1">
      <c r="A227" t="inlineStr">
        <is>
          <t>A 11389-2024</t>
        </is>
      </c>
      <c r="B227" s="1" t="n">
        <v>45372.45016203704</v>
      </c>
      <c r="C227" s="1" t="n">
        <v>45914</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56706-2022</t>
        </is>
      </c>
      <c r="B228" s="1" t="n">
        <v>44893.78893518518</v>
      </c>
      <c r="C228" s="1" t="n">
        <v>45914</v>
      </c>
      <c r="D228" t="inlineStr">
        <is>
          <t>VÄSTMANLANDS LÄN</t>
        </is>
      </c>
      <c r="E228" t="inlineStr">
        <is>
          <t>SALA</t>
        </is>
      </c>
      <c r="G228" t="n">
        <v>4.5</v>
      </c>
      <c r="H228" t="n">
        <v>0</v>
      </c>
      <c r="I228" t="n">
        <v>0</v>
      </c>
      <c r="J228" t="n">
        <v>0</v>
      </c>
      <c r="K228" t="n">
        <v>0</v>
      </c>
      <c r="L228" t="n">
        <v>0</v>
      </c>
      <c r="M228" t="n">
        <v>0</v>
      </c>
      <c r="N228" t="n">
        <v>0</v>
      </c>
      <c r="O228" t="n">
        <v>0</v>
      </c>
      <c r="P228" t="n">
        <v>0</v>
      </c>
      <c r="Q228" t="n">
        <v>0</v>
      </c>
      <c r="R228" s="2" t="inlineStr"/>
    </row>
    <row r="229" ht="15" customHeight="1">
      <c r="A229" t="inlineStr">
        <is>
          <t>A 56707-2022</t>
        </is>
      </c>
      <c r="B229" s="1" t="n">
        <v>44893.79412037037</v>
      </c>
      <c r="C229" s="1" t="n">
        <v>45914</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21738-2025</t>
        </is>
      </c>
      <c r="B230" s="1" t="n">
        <v>45783.59173611111</v>
      </c>
      <c r="C230" s="1" t="n">
        <v>45914</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30971-2022</t>
        </is>
      </c>
      <c r="B231" s="1" t="n">
        <v>44768.46725694444</v>
      </c>
      <c r="C231" s="1" t="n">
        <v>45914</v>
      </c>
      <c r="D231" t="inlineStr">
        <is>
          <t>VÄSTMANLANDS LÄN</t>
        </is>
      </c>
      <c r="E231" t="inlineStr">
        <is>
          <t>SALA</t>
        </is>
      </c>
      <c r="G231" t="n">
        <v>2.4</v>
      </c>
      <c r="H231" t="n">
        <v>0</v>
      </c>
      <c r="I231" t="n">
        <v>0</v>
      </c>
      <c r="J231" t="n">
        <v>0</v>
      </c>
      <c r="K231" t="n">
        <v>0</v>
      </c>
      <c r="L231" t="n">
        <v>0</v>
      </c>
      <c r="M231" t="n">
        <v>0</v>
      </c>
      <c r="N231" t="n">
        <v>0</v>
      </c>
      <c r="O231" t="n">
        <v>0</v>
      </c>
      <c r="P231" t="n">
        <v>0</v>
      </c>
      <c r="Q231" t="n">
        <v>0</v>
      </c>
      <c r="R231" s="2" t="inlineStr"/>
    </row>
    <row r="232" ht="15" customHeight="1">
      <c r="A232" t="inlineStr">
        <is>
          <t>A 21754-2025</t>
        </is>
      </c>
      <c r="B232" s="1" t="n">
        <v>45783.61837962963</v>
      </c>
      <c r="C232" s="1" t="n">
        <v>45914</v>
      </c>
      <c r="D232" t="inlineStr">
        <is>
          <t>VÄSTMANLANDS LÄN</t>
        </is>
      </c>
      <c r="E232" t="inlineStr">
        <is>
          <t>SALA</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45187-2024</t>
        </is>
      </c>
      <c r="B233" s="1" t="n">
        <v>45575</v>
      </c>
      <c r="C233" s="1" t="n">
        <v>45914</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15968-2024</t>
        </is>
      </c>
      <c r="B234" s="1" t="n">
        <v>45405.56021990741</v>
      </c>
      <c r="C234" s="1" t="n">
        <v>45914</v>
      </c>
      <c r="D234" t="inlineStr">
        <is>
          <t>VÄSTMANLANDS LÄN</t>
        </is>
      </c>
      <c r="E234" t="inlineStr">
        <is>
          <t>SALA</t>
        </is>
      </c>
      <c r="G234" t="n">
        <v>0.7</v>
      </c>
      <c r="H234" t="n">
        <v>0</v>
      </c>
      <c r="I234" t="n">
        <v>0</v>
      </c>
      <c r="J234" t="n">
        <v>0</v>
      </c>
      <c r="K234" t="n">
        <v>0</v>
      </c>
      <c r="L234" t="n">
        <v>0</v>
      </c>
      <c r="M234" t="n">
        <v>0</v>
      </c>
      <c r="N234" t="n">
        <v>0</v>
      </c>
      <c r="O234" t="n">
        <v>0</v>
      </c>
      <c r="P234" t="n">
        <v>0</v>
      </c>
      <c r="Q234" t="n">
        <v>0</v>
      </c>
      <c r="R234" s="2" t="inlineStr"/>
    </row>
    <row r="235" ht="15" customHeight="1">
      <c r="A235" t="inlineStr">
        <is>
          <t>A 37587-2024</t>
        </is>
      </c>
      <c r="B235" s="1" t="n">
        <v>45541</v>
      </c>
      <c r="C235" s="1" t="n">
        <v>45914</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3733-2023</t>
        </is>
      </c>
      <c r="B236" s="1" t="n">
        <v>44951.42501157407</v>
      </c>
      <c r="C236" s="1" t="n">
        <v>45914</v>
      </c>
      <c r="D236" t="inlineStr">
        <is>
          <t>VÄSTMANLANDS LÄN</t>
        </is>
      </c>
      <c r="E236" t="inlineStr">
        <is>
          <t>SALA</t>
        </is>
      </c>
      <c r="G236" t="n">
        <v>3.1</v>
      </c>
      <c r="H236" t="n">
        <v>0</v>
      </c>
      <c r="I236" t="n">
        <v>0</v>
      </c>
      <c r="J236" t="n">
        <v>0</v>
      </c>
      <c r="K236" t="n">
        <v>0</v>
      </c>
      <c r="L236" t="n">
        <v>0</v>
      </c>
      <c r="M236" t="n">
        <v>0</v>
      </c>
      <c r="N236" t="n">
        <v>0</v>
      </c>
      <c r="O236" t="n">
        <v>0</v>
      </c>
      <c r="P236" t="n">
        <v>0</v>
      </c>
      <c r="Q236" t="n">
        <v>0</v>
      </c>
      <c r="R236" s="2" t="inlineStr"/>
    </row>
    <row r="237" ht="15" customHeight="1">
      <c r="A237" t="inlineStr">
        <is>
          <t>A 22353-2025</t>
        </is>
      </c>
      <c r="B237" s="1" t="n">
        <v>45786</v>
      </c>
      <c r="C237" s="1" t="n">
        <v>45914</v>
      </c>
      <c r="D237" t="inlineStr">
        <is>
          <t>VÄSTMANLANDS LÄN</t>
        </is>
      </c>
      <c r="E237" t="inlineStr">
        <is>
          <t>SALA</t>
        </is>
      </c>
      <c r="G237" t="n">
        <v>2.5</v>
      </c>
      <c r="H237" t="n">
        <v>0</v>
      </c>
      <c r="I237" t="n">
        <v>0</v>
      </c>
      <c r="J237" t="n">
        <v>0</v>
      </c>
      <c r="K237" t="n">
        <v>0</v>
      </c>
      <c r="L237" t="n">
        <v>0</v>
      </c>
      <c r="M237" t="n">
        <v>0</v>
      </c>
      <c r="N237" t="n">
        <v>0</v>
      </c>
      <c r="O237" t="n">
        <v>0</v>
      </c>
      <c r="P237" t="n">
        <v>0</v>
      </c>
      <c r="Q237" t="n">
        <v>0</v>
      </c>
      <c r="R237" s="2" t="inlineStr"/>
    </row>
    <row r="238" ht="15" customHeight="1">
      <c r="A238" t="inlineStr">
        <is>
          <t>A 44544-2024</t>
        </is>
      </c>
      <c r="B238" s="1" t="n">
        <v>45574.46119212963</v>
      </c>
      <c r="C238" s="1" t="n">
        <v>45914</v>
      </c>
      <c r="D238" t="inlineStr">
        <is>
          <t>VÄSTMANLANDS LÄN</t>
        </is>
      </c>
      <c r="E238" t="inlineStr">
        <is>
          <t>SALA</t>
        </is>
      </c>
      <c r="G238" t="n">
        <v>3.3</v>
      </c>
      <c r="H238" t="n">
        <v>0</v>
      </c>
      <c r="I238" t="n">
        <v>0</v>
      </c>
      <c r="J238" t="n">
        <v>0</v>
      </c>
      <c r="K238" t="n">
        <v>0</v>
      </c>
      <c r="L238" t="n">
        <v>0</v>
      </c>
      <c r="M238" t="n">
        <v>0</v>
      </c>
      <c r="N238" t="n">
        <v>0</v>
      </c>
      <c r="O238" t="n">
        <v>0</v>
      </c>
      <c r="P238" t="n">
        <v>0</v>
      </c>
      <c r="Q238" t="n">
        <v>0</v>
      </c>
      <c r="R238" s="2" t="inlineStr"/>
    </row>
    <row r="239" ht="15" customHeight="1">
      <c r="A239" t="inlineStr">
        <is>
          <t>A 64724-2023</t>
        </is>
      </c>
      <c r="B239" s="1" t="n">
        <v>45281.7602662037</v>
      </c>
      <c r="C239" s="1" t="n">
        <v>45914</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64729-2023</t>
        </is>
      </c>
      <c r="B240" s="1" t="n">
        <v>45281</v>
      </c>
      <c r="C240" s="1" t="n">
        <v>45914</v>
      </c>
      <c r="D240" t="inlineStr">
        <is>
          <t>VÄSTMANLANDS LÄN</t>
        </is>
      </c>
      <c r="E240" t="inlineStr">
        <is>
          <t>SALA</t>
        </is>
      </c>
      <c r="G240" t="n">
        <v>1.8</v>
      </c>
      <c r="H240" t="n">
        <v>0</v>
      </c>
      <c r="I240" t="n">
        <v>0</v>
      </c>
      <c r="J240" t="n">
        <v>0</v>
      </c>
      <c r="K240" t="n">
        <v>0</v>
      </c>
      <c r="L240" t="n">
        <v>0</v>
      </c>
      <c r="M240" t="n">
        <v>0</v>
      </c>
      <c r="N240" t="n">
        <v>0</v>
      </c>
      <c r="O240" t="n">
        <v>0</v>
      </c>
      <c r="P240" t="n">
        <v>0</v>
      </c>
      <c r="Q240" t="n">
        <v>0</v>
      </c>
      <c r="R240" s="2" t="inlineStr"/>
    </row>
    <row r="241" ht="15" customHeight="1">
      <c r="A241" t="inlineStr">
        <is>
          <t>A 2900-2023</t>
        </is>
      </c>
      <c r="B241" s="1" t="n">
        <v>44943</v>
      </c>
      <c r="C241" s="1" t="n">
        <v>45914</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22370-2025</t>
        </is>
      </c>
      <c r="B242" s="1" t="n">
        <v>45786</v>
      </c>
      <c r="C242" s="1" t="n">
        <v>45914</v>
      </c>
      <c r="D242" t="inlineStr">
        <is>
          <t>VÄSTMANLANDS LÄN</t>
        </is>
      </c>
      <c r="E242" t="inlineStr">
        <is>
          <t>SALA</t>
        </is>
      </c>
      <c r="G242" t="n">
        <v>3.2</v>
      </c>
      <c r="H242" t="n">
        <v>0</v>
      </c>
      <c r="I242" t="n">
        <v>0</v>
      </c>
      <c r="J242" t="n">
        <v>0</v>
      </c>
      <c r="K242" t="n">
        <v>0</v>
      </c>
      <c r="L242" t="n">
        <v>0</v>
      </c>
      <c r="M242" t="n">
        <v>0</v>
      </c>
      <c r="N242" t="n">
        <v>0</v>
      </c>
      <c r="O242" t="n">
        <v>0</v>
      </c>
      <c r="P242" t="n">
        <v>0</v>
      </c>
      <c r="Q242" t="n">
        <v>0</v>
      </c>
      <c r="R242" s="2" t="inlineStr"/>
    </row>
    <row r="243" ht="15" customHeight="1">
      <c r="A243" t="inlineStr">
        <is>
          <t>A 22383-2025</t>
        </is>
      </c>
      <c r="B243" s="1" t="n">
        <v>45786</v>
      </c>
      <c r="C243" s="1" t="n">
        <v>45914</v>
      </c>
      <c r="D243" t="inlineStr">
        <is>
          <t>VÄSTMANLANDS LÄN</t>
        </is>
      </c>
      <c r="E243" t="inlineStr">
        <is>
          <t>SALA</t>
        </is>
      </c>
      <c r="G243" t="n">
        <v>2.2</v>
      </c>
      <c r="H243" t="n">
        <v>0</v>
      </c>
      <c r="I243" t="n">
        <v>0</v>
      </c>
      <c r="J243" t="n">
        <v>0</v>
      </c>
      <c r="K243" t="n">
        <v>0</v>
      </c>
      <c r="L243" t="n">
        <v>0</v>
      </c>
      <c r="M243" t="n">
        <v>0</v>
      </c>
      <c r="N243" t="n">
        <v>0</v>
      </c>
      <c r="O243" t="n">
        <v>0</v>
      </c>
      <c r="P243" t="n">
        <v>0</v>
      </c>
      <c r="Q243" t="n">
        <v>0</v>
      </c>
      <c r="R243" s="2" t="inlineStr"/>
    </row>
    <row r="244" ht="15" customHeight="1">
      <c r="A244" t="inlineStr">
        <is>
          <t>A 68864-2021</t>
        </is>
      </c>
      <c r="B244" s="1" t="n">
        <v>44530</v>
      </c>
      <c r="C244" s="1" t="n">
        <v>45914</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60730-2023</t>
        </is>
      </c>
      <c r="B245" s="1" t="n">
        <v>45260</v>
      </c>
      <c r="C245" s="1" t="n">
        <v>45914</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60731-2023</t>
        </is>
      </c>
      <c r="B246" s="1" t="n">
        <v>45260</v>
      </c>
      <c r="C246" s="1" t="n">
        <v>45914</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7176-2023</t>
        </is>
      </c>
      <c r="B247" s="1" t="n">
        <v>44970</v>
      </c>
      <c r="C247" s="1" t="n">
        <v>45914</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47208-2020</t>
        </is>
      </c>
      <c r="B248" s="1" t="n">
        <v>44097.41038194444</v>
      </c>
      <c r="C248" s="1" t="n">
        <v>45914</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64925-2023</t>
        </is>
      </c>
      <c r="B249" s="1" t="n">
        <v>45282</v>
      </c>
      <c r="C249" s="1" t="n">
        <v>45914</v>
      </c>
      <c r="D249" t="inlineStr">
        <is>
          <t>VÄSTMANLANDS LÄN</t>
        </is>
      </c>
      <c r="E249" t="inlineStr">
        <is>
          <t>SALA</t>
        </is>
      </c>
      <c r="G249" t="n">
        <v>2.5</v>
      </c>
      <c r="H249" t="n">
        <v>0</v>
      </c>
      <c r="I249" t="n">
        <v>0</v>
      </c>
      <c r="J249" t="n">
        <v>0</v>
      </c>
      <c r="K249" t="n">
        <v>0</v>
      </c>
      <c r="L249" t="n">
        <v>0</v>
      </c>
      <c r="M249" t="n">
        <v>0</v>
      </c>
      <c r="N249" t="n">
        <v>0</v>
      </c>
      <c r="O249" t="n">
        <v>0</v>
      </c>
      <c r="P249" t="n">
        <v>0</v>
      </c>
      <c r="Q249" t="n">
        <v>0</v>
      </c>
      <c r="R249" s="2" t="inlineStr"/>
    </row>
    <row r="250" ht="15" customHeight="1">
      <c r="A250" t="inlineStr">
        <is>
          <t>A 48570-2024</t>
        </is>
      </c>
      <c r="B250" s="1" t="n">
        <v>45591</v>
      </c>
      <c r="C250" s="1" t="n">
        <v>45914</v>
      </c>
      <c r="D250" t="inlineStr">
        <is>
          <t>VÄSTMANLANDS LÄN</t>
        </is>
      </c>
      <c r="E250" t="inlineStr">
        <is>
          <t>SALA</t>
        </is>
      </c>
      <c r="G250" t="n">
        <v>3</v>
      </c>
      <c r="H250" t="n">
        <v>0</v>
      </c>
      <c r="I250" t="n">
        <v>0</v>
      </c>
      <c r="J250" t="n">
        <v>0</v>
      </c>
      <c r="K250" t="n">
        <v>0</v>
      </c>
      <c r="L250" t="n">
        <v>0</v>
      </c>
      <c r="M250" t="n">
        <v>0</v>
      </c>
      <c r="N250" t="n">
        <v>0</v>
      </c>
      <c r="O250" t="n">
        <v>0</v>
      </c>
      <c r="P250" t="n">
        <v>0</v>
      </c>
      <c r="Q250" t="n">
        <v>0</v>
      </c>
      <c r="R250" s="2" t="inlineStr"/>
    </row>
    <row r="251" ht="15" customHeight="1">
      <c r="A251" t="inlineStr">
        <is>
          <t>A 61517-2024</t>
        </is>
      </c>
      <c r="B251" s="1" t="n">
        <v>45645</v>
      </c>
      <c r="C251" s="1" t="n">
        <v>45914</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22624-2025</t>
        </is>
      </c>
      <c r="B252" s="1" t="n">
        <v>45789.43327546296</v>
      </c>
      <c r="C252" s="1" t="n">
        <v>45914</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16760-2024</t>
        </is>
      </c>
      <c r="B253" s="1" t="n">
        <v>45411</v>
      </c>
      <c r="C253" s="1" t="n">
        <v>45914</v>
      </c>
      <c r="D253" t="inlineStr">
        <is>
          <t>VÄSTMANLANDS LÄN</t>
        </is>
      </c>
      <c r="E253" t="inlineStr">
        <is>
          <t>SALA</t>
        </is>
      </c>
      <c r="G253" t="n">
        <v>2.6</v>
      </c>
      <c r="H253" t="n">
        <v>0</v>
      </c>
      <c r="I253" t="n">
        <v>0</v>
      </c>
      <c r="J253" t="n">
        <v>0</v>
      </c>
      <c r="K253" t="n">
        <v>0</v>
      </c>
      <c r="L253" t="n">
        <v>0</v>
      </c>
      <c r="M253" t="n">
        <v>0</v>
      </c>
      <c r="N253" t="n">
        <v>0</v>
      </c>
      <c r="O253" t="n">
        <v>0</v>
      </c>
      <c r="P253" t="n">
        <v>0</v>
      </c>
      <c r="Q253" t="n">
        <v>0</v>
      </c>
      <c r="R253" s="2" t="inlineStr"/>
    </row>
    <row r="254" ht="15" customHeight="1">
      <c r="A254" t="inlineStr">
        <is>
          <t>A 53164-2024</t>
        </is>
      </c>
      <c r="B254" s="1" t="n">
        <v>45611.64887731482</v>
      </c>
      <c r="C254" s="1" t="n">
        <v>45914</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56098-2020</t>
        </is>
      </c>
      <c r="B255" s="1" t="n">
        <v>44132</v>
      </c>
      <c r="C255" s="1" t="n">
        <v>45914</v>
      </c>
      <c r="D255" t="inlineStr">
        <is>
          <t>VÄSTMANLANDS LÄN</t>
        </is>
      </c>
      <c r="E255" t="inlineStr">
        <is>
          <t>SALA</t>
        </is>
      </c>
      <c r="G255" t="n">
        <v>1.9</v>
      </c>
      <c r="H255" t="n">
        <v>0</v>
      </c>
      <c r="I255" t="n">
        <v>0</v>
      </c>
      <c r="J255" t="n">
        <v>0</v>
      </c>
      <c r="K255" t="n">
        <v>0</v>
      </c>
      <c r="L255" t="n">
        <v>0</v>
      </c>
      <c r="M255" t="n">
        <v>0</v>
      </c>
      <c r="N255" t="n">
        <v>0</v>
      </c>
      <c r="O255" t="n">
        <v>0</v>
      </c>
      <c r="P255" t="n">
        <v>0</v>
      </c>
      <c r="Q255" t="n">
        <v>0</v>
      </c>
      <c r="R255" s="2" t="inlineStr"/>
    </row>
    <row r="256" ht="15" customHeight="1">
      <c r="A256" t="inlineStr">
        <is>
          <t>A 54603-2024</t>
        </is>
      </c>
      <c r="B256" s="1" t="n">
        <v>45617.68224537037</v>
      </c>
      <c r="C256" s="1" t="n">
        <v>45914</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31405-2024</t>
        </is>
      </c>
      <c r="B257" s="1" t="n">
        <v>45505.5490625</v>
      </c>
      <c r="C257" s="1" t="n">
        <v>45914</v>
      </c>
      <c r="D257" t="inlineStr">
        <is>
          <t>VÄSTMANLANDS LÄN</t>
        </is>
      </c>
      <c r="E257" t="inlineStr">
        <is>
          <t>SALA</t>
        </is>
      </c>
      <c r="G257" t="n">
        <v>5.2</v>
      </c>
      <c r="H257" t="n">
        <v>0</v>
      </c>
      <c r="I257" t="n">
        <v>0</v>
      </c>
      <c r="J257" t="n">
        <v>0</v>
      </c>
      <c r="K257" t="n">
        <v>0</v>
      </c>
      <c r="L257" t="n">
        <v>0</v>
      </c>
      <c r="M257" t="n">
        <v>0</v>
      </c>
      <c r="N257" t="n">
        <v>0</v>
      </c>
      <c r="O257" t="n">
        <v>0</v>
      </c>
      <c r="P257" t="n">
        <v>0</v>
      </c>
      <c r="Q257" t="n">
        <v>0</v>
      </c>
      <c r="R257" s="2" t="inlineStr"/>
    </row>
    <row r="258" ht="15" customHeight="1">
      <c r="A258" t="inlineStr">
        <is>
          <t>A 73519-2021</t>
        </is>
      </c>
      <c r="B258" s="1" t="n">
        <v>44551</v>
      </c>
      <c r="C258" s="1" t="n">
        <v>45914</v>
      </c>
      <c r="D258" t="inlineStr">
        <is>
          <t>VÄSTMANLANDS LÄN</t>
        </is>
      </c>
      <c r="E258" t="inlineStr">
        <is>
          <t>SALA</t>
        </is>
      </c>
      <c r="G258" t="n">
        <v>0.3</v>
      </c>
      <c r="H258" t="n">
        <v>0</v>
      </c>
      <c r="I258" t="n">
        <v>0</v>
      </c>
      <c r="J258" t="n">
        <v>0</v>
      </c>
      <c r="K258" t="n">
        <v>0</v>
      </c>
      <c r="L258" t="n">
        <v>0</v>
      </c>
      <c r="M258" t="n">
        <v>0</v>
      </c>
      <c r="N258" t="n">
        <v>0</v>
      </c>
      <c r="O258" t="n">
        <v>0</v>
      </c>
      <c r="P258" t="n">
        <v>0</v>
      </c>
      <c r="Q258" t="n">
        <v>0</v>
      </c>
      <c r="R258" s="2" t="inlineStr"/>
    </row>
    <row r="259" ht="15" customHeight="1">
      <c r="A259" t="inlineStr">
        <is>
          <t>A 22616-2025</t>
        </is>
      </c>
      <c r="B259" s="1" t="n">
        <v>45789.42752314815</v>
      </c>
      <c r="C259" s="1" t="n">
        <v>45914</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43600-2024</t>
        </is>
      </c>
      <c r="B260" s="1" t="n">
        <v>45569</v>
      </c>
      <c r="C260" s="1" t="n">
        <v>45914</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13130-2025</t>
        </is>
      </c>
      <c r="B261" s="1" t="n">
        <v>45734</v>
      </c>
      <c r="C261" s="1" t="n">
        <v>45914</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37881-2021</t>
        </is>
      </c>
      <c r="B262" s="1" t="n">
        <v>44403</v>
      </c>
      <c r="C262" s="1" t="n">
        <v>45914</v>
      </c>
      <c r="D262" t="inlineStr">
        <is>
          <t>VÄSTMANLANDS LÄN</t>
        </is>
      </c>
      <c r="E262" t="inlineStr">
        <is>
          <t>SALA</t>
        </is>
      </c>
      <c r="G262" t="n">
        <v>4.6</v>
      </c>
      <c r="H262" t="n">
        <v>0</v>
      </c>
      <c r="I262" t="n">
        <v>0</v>
      </c>
      <c r="J262" t="n">
        <v>0</v>
      </c>
      <c r="K262" t="n">
        <v>0</v>
      </c>
      <c r="L262" t="n">
        <v>0</v>
      </c>
      <c r="M262" t="n">
        <v>0</v>
      </c>
      <c r="N262" t="n">
        <v>0</v>
      </c>
      <c r="O262" t="n">
        <v>0</v>
      </c>
      <c r="P262" t="n">
        <v>0</v>
      </c>
      <c r="Q262" t="n">
        <v>0</v>
      </c>
      <c r="R262" s="2" t="inlineStr"/>
    </row>
    <row r="263" ht="15" customHeight="1">
      <c r="A263" t="inlineStr">
        <is>
          <t>A 35976-2024</t>
        </is>
      </c>
      <c r="B263" s="1" t="n">
        <v>45533.49555555556</v>
      </c>
      <c r="C263" s="1" t="n">
        <v>45914</v>
      </c>
      <c r="D263" t="inlineStr">
        <is>
          <t>VÄSTMANLANDS LÄN</t>
        </is>
      </c>
      <c r="E263" t="inlineStr">
        <is>
          <t>SALA</t>
        </is>
      </c>
      <c r="G263" t="n">
        <v>2.3</v>
      </c>
      <c r="H263" t="n">
        <v>0</v>
      </c>
      <c r="I263" t="n">
        <v>0</v>
      </c>
      <c r="J263" t="n">
        <v>0</v>
      </c>
      <c r="K263" t="n">
        <v>0</v>
      </c>
      <c r="L263" t="n">
        <v>0</v>
      </c>
      <c r="M263" t="n">
        <v>0</v>
      </c>
      <c r="N263" t="n">
        <v>0</v>
      </c>
      <c r="O263" t="n">
        <v>0</v>
      </c>
      <c r="P263" t="n">
        <v>0</v>
      </c>
      <c r="Q263" t="n">
        <v>0</v>
      </c>
      <c r="R263" s="2" t="inlineStr"/>
    </row>
    <row r="264" ht="15" customHeight="1">
      <c r="A264" t="inlineStr">
        <is>
          <t>A 18762-2024</t>
        </is>
      </c>
      <c r="B264" s="1" t="n">
        <v>45426.55240740741</v>
      </c>
      <c r="C264" s="1" t="n">
        <v>45914</v>
      </c>
      <c r="D264" t="inlineStr">
        <is>
          <t>VÄSTMANLANDS LÄN</t>
        </is>
      </c>
      <c r="E264" t="inlineStr">
        <is>
          <t>SALA</t>
        </is>
      </c>
      <c r="G264" t="n">
        <v>6.2</v>
      </c>
      <c r="H264" t="n">
        <v>0</v>
      </c>
      <c r="I264" t="n">
        <v>0</v>
      </c>
      <c r="J264" t="n">
        <v>0</v>
      </c>
      <c r="K264" t="n">
        <v>0</v>
      </c>
      <c r="L264" t="n">
        <v>0</v>
      </c>
      <c r="M264" t="n">
        <v>0</v>
      </c>
      <c r="N264" t="n">
        <v>0</v>
      </c>
      <c r="O264" t="n">
        <v>0</v>
      </c>
      <c r="P264" t="n">
        <v>0</v>
      </c>
      <c r="Q264" t="n">
        <v>0</v>
      </c>
      <c r="R264" s="2" t="inlineStr"/>
    </row>
    <row r="265" ht="15" customHeight="1">
      <c r="A265" t="inlineStr">
        <is>
          <t>A 17120-2023</t>
        </is>
      </c>
      <c r="B265" s="1" t="n">
        <v>45034</v>
      </c>
      <c r="C265" s="1" t="n">
        <v>45914</v>
      </c>
      <c r="D265" t="inlineStr">
        <is>
          <t>VÄSTMANLANDS LÄN</t>
        </is>
      </c>
      <c r="E265" t="inlineStr">
        <is>
          <t>SALA</t>
        </is>
      </c>
      <c r="G265" t="n">
        <v>0.1</v>
      </c>
      <c r="H265" t="n">
        <v>0</v>
      </c>
      <c r="I265" t="n">
        <v>0</v>
      </c>
      <c r="J265" t="n">
        <v>0</v>
      </c>
      <c r="K265" t="n">
        <v>0</v>
      </c>
      <c r="L265" t="n">
        <v>0</v>
      </c>
      <c r="M265" t="n">
        <v>0</v>
      </c>
      <c r="N265" t="n">
        <v>0</v>
      </c>
      <c r="O265" t="n">
        <v>0</v>
      </c>
      <c r="P265" t="n">
        <v>0</v>
      </c>
      <c r="Q265" t="n">
        <v>0</v>
      </c>
      <c r="R265" s="2" t="inlineStr"/>
    </row>
    <row r="266" ht="15" customHeight="1">
      <c r="A266" t="inlineStr">
        <is>
          <t>A 42938-2023</t>
        </is>
      </c>
      <c r="B266" s="1" t="n">
        <v>45179</v>
      </c>
      <c r="C266" s="1" t="n">
        <v>45914</v>
      </c>
      <c r="D266" t="inlineStr">
        <is>
          <t>VÄSTMANLANDS LÄN</t>
        </is>
      </c>
      <c r="E266" t="inlineStr">
        <is>
          <t>SALA</t>
        </is>
      </c>
      <c r="G266" t="n">
        <v>10.9</v>
      </c>
      <c r="H266" t="n">
        <v>0</v>
      </c>
      <c r="I266" t="n">
        <v>0</v>
      </c>
      <c r="J266" t="n">
        <v>0</v>
      </c>
      <c r="K266" t="n">
        <v>0</v>
      </c>
      <c r="L266" t="n">
        <v>0</v>
      </c>
      <c r="M266" t="n">
        <v>0</v>
      </c>
      <c r="N266" t="n">
        <v>0</v>
      </c>
      <c r="O266" t="n">
        <v>0</v>
      </c>
      <c r="P266" t="n">
        <v>0</v>
      </c>
      <c r="Q266" t="n">
        <v>0</v>
      </c>
      <c r="R266" s="2" t="inlineStr"/>
    </row>
    <row r="267" ht="15" customHeight="1">
      <c r="A267" t="inlineStr">
        <is>
          <t>A 42984-2023</t>
        </is>
      </c>
      <c r="B267" s="1" t="n">
        <v>45179</v>
      </c>
      <c r="C267" s="1" t="n">
        <v>45914</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15972-2024</t>
        </is>
      </c>
      <c r="B268" s="1" t="n">
        <v>45405.56498842593</v>
      </c>
      <c r="C268" s="1" t="n">
        <v>45914</v>
      </c>
      <c r="D268" t="inlineStr">
        <is>
          <t>VÄSTMANLANDS LÄN</t>
        </is>
      </c>
      <c r="E268" t="inlineStr">
        <is>
          <t>SALA</t>
        </is>
      </c>
      <c r="G268" t="n">
        <v>1.8</v>
      </c>
      <c r="H268" t="n">
        <v>0</v>
      </c>
      <c r="I268" t="n">
        <v>0</v>
      </c>
      <c r="J268" t="n">
        <v>0</v>
      </c>
      <c r="K268" t="n">
        <v>0</v>
      </c>
      <c r="L268" t="n">
        <v>0</v>
      </c>
      <c r="M268" t="n">
        <v>0</v>
      </c>
      <c r="N268" t="n">
        <v>0</v>
      </c>
      <c r="O268" t="n">
        <v>0</v>
      </c>
      <c r="P268" t="n">
        <v>0</v>
      </c>
      <c r="Q268" t="n">
        <v>0</v>
      </c>
      <c r="R268" s="2" t="inlineStr"/>
    </row>
    <row r="269" ht="15" customHeight="1">
      <c r="A269" t="inlineStr">
        <is>
          <t>A 38636-2024</t>
        </is>
      </c>
      <c r="B269" s="1" t="n">
        <v>45546</v>
      </c>
      <c r="C269" s="1" t="n">
        <v>45914</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39714-2023</t>
        </is>
      </c>
      <c r="B270" s="1" t="n">
        <v>45167.62133101852</v>
      </c>
      <c r="C270" s="1" t="n">
        <v>45914</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72805-2021</t>
        </is>
      </c>
      <c r="B271" s="1" t="n">
        <v>44546</v>
      </c>
      <c r="C271" s="1" t="n">
        <v>45914</v>
      </c>
      <c r="D271" t="inlineStr">
        <is>
          <t>VÄSTMANLANDS LÄN</t>
        </is>
      </c>
      <c r="E271" t="inlineStr">
        <is>
          <t>SALA</t>
        </is>
      </c>
      <c r="G271" t="n">
        <v>7.8</v>
      </c>
      <c r="H271" t="n">
        <v>0</v>
      </c>
      <c r="I271" t="n">
        <v>0</v>
      </c>
      <c r="J271" t="n">
        <v>0</v>
      </c>
      <c r="K271" t="n">
        <v>0</v>
      </c>
      <c r="L271" t="n">
        <v>0</v>
      </c>
      <c r="M271" t="n">
        <v>0</v>
      </c>
      <c r="N271" t="n">
        <v>0</v>
      </c>
      <c r="O271" t="n">
        <v>0</v>
      </c>
      <c r="P271" t="n">
        <v>0</v>
      </c>
      <c r="Q271" t="n">
        <v>0</v>
      </c>
      <c r="R271" s="2" t="inlineStr"/>
    </row>
    <row r="272" ht="15" customHeight="1">
      <c r="A272" t="inlineStr">
        <is>
          <t>A 72808-2021</t>
        </is>
      </c>
      <c r="B272" s="1" t="n">
        <v>44546</v>
      </c>
      <c r="C272" s="1" t="n">
        <v>45914</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33527-2023</t>
        </is>
      </c>
      <c r="B273" s="1" t="n">
        <v>45131</v>
      </c>
      <c r="C273" s="1" t="n">
        <v>45914</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10913-2025</t>
        </is>
      </c>
      <c r="B274" s="1" t="n">
        <v>45722.73423611111</v>
      </c>
      <c r="C274" s="1" t="n">
        <v>45914</v>
      </c>
      <c r="D274" t="inlineStr">
        <is>
          <t>VÄSTMANLANDS LÄN</t>
        </is>
      </c>
      <c r="E274" t="inlineStr">
        <is>
          <t>SALA</t>
        </is>
      </c>
      <c r="G274" t="n">
        <v>7.6</v>
      </c>
      <c r="H274" t="n">
        <v>0</v>
      </c>
      <c r="I274" t="n">
        <v>0</v>
      </c>
      <c r="J274" t="n">
        <v>0</v>
      </c>
      <c r="K274" t="n">
        <v>0</v>
      </c>
      <c r="L274" t="n">
        <v>0</v>
      </c>
      <c r="M274" t="n">
        <v>0</v>
      </c>
      <c r="N274" t="n">
        <v>0</v>
      </c>
      <c r="O274" t="n">
        <v>0</v>
      </c>
      <c r="P274" t="n">
        <v>0</v>
      </c>
      <c r="Q274" t="n">
        <v>0</v>
      </c>
      <c r="R274" s="2" t="inlineStr"/>
    </row>
    <row r="275" ht="15" customHeight="1">
      <c r="A275" t="inlineStr">
        <is>
          <t>A 58107-2021</t>
        </is>
      </c>
      <c r="B275" s="1" t="n">
        <v>44487</v>
      </c>
      <c r="C275" s="1" t="n">
        <v>45914</v>
      </c>
      <c r="D275" t="inlineStr">
        <is>
          <t>VÄSTMANLANDS LÄN</t>
        </is>
      </c>
      <c r="E275" t="inlineStr">
        <is>
          <t>SALA</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25868-2024</t>
        </is>
      </c>
      <c r="B276" s="1" t="n">
        <v>45467.47506944444</v>
      </c>
      <c r="C276" s="1" t="n">
        <v>45914</v>
      </c>
      <c r="D276" t="inlineStr">
        <is>
          <t>VÄSTMANLANDS LÄN</t>
        </is>
      </c>
      <c r="E276" t="inlineStr">
        <is>
          <t>SALA</t>
        </is>
      </c>
      <c r="G276" t="n">
        <v>0.8</v>
      </c>
      <c r="H276" t="n">
        <v>0</v>
      </c>
      <c r="I276" t="n">
        <v>0</v>
      </c>
      <c r="J276" t="n">
        <v>0</v>
      </c>
      <c r="K276" t="n">
        <v>0</v>
      </c>
      <c r="L276" t="n">
        <v>0</v>
      </c>
      <c r="M276" t="n">
        <v>0</v>
      </c>
      <c r="N276" t="n">
        <v>0</v>
      </c>
      <c r="O276" t="n">
        <v>0</v>
      </c>
      <c r="P276" t="n">
        <v>0</v>
      </c>
      <c r="Q276" t="n">
        <v>0</v>
      </c>
      <c r="R276" s="2" t="inlineStr"/>
    </row>
    <row r="277" ht="15" customHeight="1">
      <c r="A277" t="inlineStr">
        <is>
          <t>A 2927-2024</t>
        </is>
      </c>
      <c r="B277" s="1" t="n">
        <v>45315.58989583333</v>
      </c>
      <c r="C277" s="1" t="n">
        <v>45914</v>
      </c>
      <c r="D277" t="inlineStr">
        <is>
          <t>VÄSTMANLANDS LÄN</t>
        </is>
      </c>
      <c r="E277" t="inlineStr">
        <is>
          <t>SALA</t>
        </is>
      </c>
      <c r="G277" t="n">
        <v>2.5</v>
      </c>
      <c r="H277" t="n">
        <v>0</v>
      </c>
      <c r="I277" t="n">
        <v>0</v>
      </c>
      <c r="J277" t="n">
        <v>0</v>
      </c>
      <c r="K277" t="n">
        <v>0</v>
      </c>
      <c r="L277" t="n">
        <v>0</v>
      </c>
      <c r="M277" t="n">
        <v>0</v>
      </c>
      <c r="N277" t="n">
        <v>0</v>
      </c>
      <c r="O277" t="n">
        <v>0</v>
      </c>
      <c r="P277" t="n">
        <v>0</v>
      </c>
      <c r="Q277" t="n">
        <v>0</v>
      </c>
      <c r="R277" s="2" t="inlineStr"/>
    </row>
    <row r="278" ht="15" customHeight="1">
      <c r="A278" t="inlineStr">
        <is>
          <t>A 37183-2024</t>
        </is>
      </c>
      <c r="B278" s="1" t="n">
        <v>45539</v>
      </c>
      <c r="C278" s="1" t="n">
        <v>45914</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71471-2021</t>
        </is>
      </c>
      <c r="B279" s="1" t="n">
        <v>44540.53421296296</v>
      </c>
      <c r="C279" s="1" t="n">
        <v>45914</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8775-2024</t>
        </is>
      </c>
      <c r="B280" s="1" t="n">
        <v>45356</v>
      </c>
      <c r="C280" s="1" t="n">
        <v>45914</v>
      </c>
      <c r="D280" t="inlineStr">
        <is>
          <t>VÄSTMANLANDS LÄN</t>
        </is>
      </c>
      <c r="E280" t="inlineStr">
        <is>
          <t>SALA</t>
        </is>
      </c>
      <c r="G280" t="n">
        <v>0.6</v>
      </c>
      <c r="H280" t="n">
        <v>0</v>
      </c>
      <c r="I280" t="n">
        <v>0</v>
      </c>
      <c r="J280" t="n">
        <v>0</v>
      </c>
      <c r="K280" t="n">
        <v>0</v>
      </c>
      <c r="L280" t="n">
        <v>0</v>
      </c>
      <c r="M280" t="n">
        <v>0</v>
      </c>
      <c r="N280" t="n">
        <v>0</v>
      </c>
      <c r="O280" t="n">
        <v>0</v>
      </c>
      <c r="P280" t="n">
        <v>0</v>
      </c>
      <c r="Q280" t="n">
        <v>0</v>
      </c>
      <c r="R280" s="2" t="inlineStr"/>
    </row>
    <row r="281" ht="15" customHeight="1">
      <c r="A281" t="inlineStr">
        <is>
          <t>A 24169-2025</t>
        </is>
      </c>
      <c r="B281" s="1" t="n">
        <v>45796</v>
      </c>
      <c r="C281" s="1" t="n">
        <v>45914</v>
      </c>
      <c r="D281" t="inlineStr">
        <is>
          <t>VÄSTMANLANDS LÄN</t>
        </is>
      </c>
      <c r="E281" t="inlineStr">
        <is>
          <t>SALA</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22126-2025</t>
        </is>
      </c>
      <c r="B282" s="1" t="n">
        <v>45785</v>
      </c>
      <c r="C282" s="1" t="n">
        <v>45914</v>
      </c>
      <c r="D282" t="inlineStr">
        <is>
          <t>VÄSTMANLANDS LÄN</t>
        </is>
      </c>
      <c r="E282" t="inlineStr">
        <is>
          <t>SALA</t>
        </is>
      </c>
      <c r="G282" t="n">
        <v>10.6</v>
      </c>
      <c r="H282" t="n">
        <v>0</v>
      </c>
      <c r="I282" t="n">
        <v>0</v>
      </c>
      <c r="J282" t="n">
        <v>0</v>
      </c>
      <c r="K282" t="n">
        <v>0</v>
      </c>
      <c r="L282" t="n">
        <v>0</v>
      </c>
      <c r="M282" t="n">
        <v>0</v>
      </c>
      <c r="N282" t="n">
        <v>0</v>
      </c>
      <c r="O282" t="n">
        <v>0</v>
      </c>
      <c r="P282" t="n">
        <v>0</v>
      </c>
      <c r="Q282" t="n">
        <v>0</v>
      </c>
      <c r="R282" s="2" t="inlineStr"/>
    </row>
    <row r="283" ht="15" customHeight="1">
      <c r="A283" t="inlineStr">
        <is>
          <t>A 23810-2025</t>
        </is>
      </c>
      <c r="B283" s="1" t="n">
        <v>45793.56989583333</v>
      </c>
      <c r="C283" s="1" t="n">
        <v>45914</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54199-2024</t>
        </is>
      </c>
      <c r="B284" s="1" t="n">
        <v>45616.64703703704</v>
      </c>
      <c r="C284" s="1" t="n">
        <v>45914</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60548-2024</t>
        </is>
      </c>
      <c r="B285" s="1" t="n">
        <v>45643.80978009259</v>
      </c>
      <c r="C285" s="1" t="n">
        <v>45914</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39011-2023</t>
        </is>
      </c>
      <c r="B286" s="1" t="n">
        <v>45162</v>
      </c>
      <c r="C286" s="1" t="n">
        <v>45914</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24944-2023</t>
        </is>
      </c>
      <c r="B287" s="1" t="n">
        <v>45085</v>
      </c>
      <c r="C287" s="1" t="n">
        <v>45914</v>
      </c>
      <c r="D287" t="inlineStr">
        <is>
          <t>VÄSTMANLANDS LÄN</t>
        </is>
      </c>
      <c r="E287" t="inlineStr">
        <is>
          <t>SALA</t>
        </is>
      </c>
      <c r="G287" t="n">
        <v>3.8</v>
      </c>
      <c r="H287" t="n">
        <v>0</v>
      </c>
      <c r="I287" t="n">
        <v>0</v>
      </c>
      <c r="J287" t="n">
        <v>0</v>
      </c>
      <c r="K287" t="n">
        <v>0</v>
      </c>
      <c r="L287" t="n">
        <v>0</v>
      </c>
      <c r="M287" t="n">
        <v>0</v>
      </c>
      <c r="N287" t="n">
        <v>0</v>
      </c>
      <c r="O287" t="n">
        <v>0</v>
      </c>
      <c r="P287" t="n">
        <v>0</v>
      </c>
      <c r="Q287" t="n">
        <v>0</v>
      </c>
      <c r="R287" s="2" t="inlineStr"/>
    </row>
    <row r="288" ht="15" customHeight="1">
      <c r="A288" t="inlineStr">
        <is>
          <t>A 56547-2022</t>
        </is>
      </c>
      <c r="B288" s="1" t="n">
        <v>44893.48284722222</v>
      </c>
      <c r="C288" s="1" t="n">
        <v>45914</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23804-2025</t>
        </is>
      </c>
      <c r="B289" s="1" t="n">
        <v>45793.55995370371</v>
      </c>
      <c r="C289" s="1" t="n">
        <v>45914</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11210-2025</t>
        </is>
      </c>
      <c r="B290" s="1" t="n">
        <v>45726</v>
      </c>
      <c r="C290" s="1" t="n">
        <v>45914</v>
      </c>
      <c r="D290" t="inlineStr">
        <is>
          <t>VÄSTMANLANDS LÄN</t>
        </is>
      </c>
      <c r="E290" t="inlineStr">
        <is>
          <t>SALA</t>
        </is>
      </c>
      <c r="G290" t="n">
        <v>4.1</v>
      </c>
      <c r="H290" t="n">
        <v>0</v>
      </c>
      <c r="I290" t="n">
        <v>0</v>
      </c>
      <c r="J290" t="n">
        <v>0</v>
      </c>
      <c r="K290" t="n">
        <v>0</v>
      </c>
      <c r="L290" t="n">
        <v>0</v>
      </c>
      <c r="M290" t="n">
        <v>0</v>
      </c>
      <c r="N290" t="n">
        <v>0</v>
      </c>
      <c r="O290" t="n">
        <v>0</v>
      </c>
      <c r="P290" t="n">
        <v>0</v>
      </c>
      <c r="Q290" t="n">
        <v>0</v>
      </c>
      <c r="R290" s="2" t="inlineStr"/>
    </row>
    <row r="291" ht="15" customHeight="1">
      <c r="A291" t="inlineStr">
        <is>
          <t>A 19297-2025</t>
        </is>
      </c>
      <c r="B291" s="1" t="n">
        <v>45769.56261574074</v>
      </c>
      <c r="C291" s="1" t="n">
        <v>45914</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56916-2022</t>
        </is>
      </c>
      <c r="B292" s="1" t="n">
        <v>44888</v>
      </c>
      <c r="C292" s="1" t="n">
        <v>45914</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57895-2024</t>
        </is>
      </c>
      <c r="B293" s="1" t="n">
        <v>45631</v>
      </c>
      <c r="C293" s="1" t="n">
        <v>45914</v>
      </c>
      <c r="D293" t="inlineStr">
        <is>
          <t>VÄSTMANLANDS LÄN</t>
        </is>
      </c>
      <c r="E293" t="inlineStr">
        <is>
          <t>SALA</t>
        </is>
      </c>
      <c r="G293" t="n">
        <v>1</v>
      </c>
      <c r="H293" t="n">
        <v>0</v>
      </c>
      <c r="I293" t="n">
        <v>0</v>
      </c>
      <c r="J293" t="n">
        <v>0</v>
      </c>
      <c r="K293" t="n">
        <v>0</v>
      </c>
      <c r="L293" t="n">
        <v>0</v>
      </c>
      <c r="M293" t="n">
        <v>0</v>
      </c>
      <c r="N293" t="n">
        <v>0</v>
      </c>
      <c r="O293" t="n">
        <v>0</v>
      </c>
      <c r="P293" t="n">
        <v>0</v>
      </c>
      <c r="Q293" t="n">
        <v>0</v>
      </c>
      <c r="R293" s="2" t="inlineStr"/>
    </row>
    <row r="294" ht="15" customHeight="1">
      <c r="A294" t="inlineStr">
        <is>
          <t>A 24460-2025</t>
        </is>
      </c>
      <c r="B294" s="1" t="n">
        <v>45798</v>
      </c>
      <c r="C294" s="1" t="n">
        <v>45914</v>
      </c>
      <c r="D294" t="inlineStr">
        <is>
          <t>VÄSTMANLANDS LÄN</t>
        </is>
      </c>
      <c r="E294" t="inlineStr">
        <is>
          <t>SALA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31597-2024</t>
        </is>
      </c>
      <c r="B295" s="1" t="n">
        <v>45506</v>
      </c>
      <c r="C295" s="1" t="n">
        <v>45914</v>
      </c>
      <c r="D295" t="inlineStr">
        <is>
          <t>VÄSTMANLANDS LÄN</t>
        </is>
      </c>
      <c r="E295" t="inlineStr">
        <is>
          <t>SALA</t>
        </is>
      </c>
      <c r="G295" t="n">
        <v>2.4</v>
      </c>
      <c r="H295" t="n">
        <v>0</v>
      </c>
      <c r="I295" t="n">
        <v>0</v>
      </c>
      <c r="J295" t="n">
        <v>0</v>
      </c>
      <c r="K295" t="n">
        <v>0</v>
      </c>
      <c r="L295" t="n">
        <v>0</v>
      </c>
      <c r="M295" t="n">
        <v>0</v>
      </c>
      <c r="N295" t="n">
        <v>0</v>
      </c>
      <c r="O295" t="n">
        <v>0</v>
      </c>
      <c r="P295" t="n">
        <v>0</v>
      </c>
      <c r="Q295" t="n">
        <v>0</v>
      </c>
      <c r="R295" s="2" t="inlineStr"/>
    </row>
    <row r="296" ht="15" customHeight="1">
      <c r="A296" t="inlineStr">
        <is>
          <t>A 17458-2024</t>
        </is>
      </c>
      <c r="B296" s="1" t="n">
        <v>45415</v>
      </c>
      <c r="C296" s="1" t="n">
        <v>45914</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56543-2024</t>
        </is>
      </c>
      <c r="B297" s="1" t="n">
        <v>45625</v>
      </c>
      <c r="C297" s="1" t="n">
        <v>45914</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55065-2024</t>
        </is>
      </c>
      <c r="B298" s="1" t="n">
        <v>45618</v>
      </c>
      <c r="C298" s="1" t="n">
        <v>45914</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24463-2025</t>
        </is>
      </c>
      <c r="B299" s="1" t="n">
        <v>45798</v>
      </c>
      <c r="C299" s="1" t="n">
        <v>45914</v>
      </c>
      <c r="D299" t="inlineStr">
        <is>
          <t>VÄSTMANLANDS LÄN</t>
        </is>
      </c>
      <c r="E299" t="inlineStr">
        <is>
          <t>SALA</t>
        </is>
      </c>
      <c r="F299" t="inlineStr">
        <is>
          <t>Bergvik skog öst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40113-2022</t>
        </is>
      </c>
      <c r="B300" s="1" t="n">
        <v>44819</v>
      </c>
      <c r="C300" s="1" t="n">
        <v>45914</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28661-2024</t>
        </is>
      </c>
      <c r="B301" s="1" t="n">
        <v>45478</v>
      </c>
      <c r="C301" s="1" t="n">
        <v>45914</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2529-2022</t>
        </is>
      </c>
      <c r="B302" s="1" t="n">
        <v>44579.86452546297</v>
      </c>
      <c r="C302" s="1" t="n">
        <v>45914</v>
      </c>
      <c r="D302" t="inlineStr">
        <is>
          <t>VÄSTMANLANDS LÄN</t>
        </is>
      </c>
      <c r="E302" t="inlineStr">
        <is>
          <t>SALA</t>
        </is>
      </c>
      <c r="G302" t="n">
        <v>1.7</v>
      </c>
      <c r="H302" t="n">
        <v>0</v>
      </c>
      <c r="I302" t="n">
        <v>0</v>
      </c>
      <c r="J302" t="n">
        <v>0</v>
      </c>
      <c r="K302" t="n">
        <v>0</v>
      </c>
      <c r="L302" t="n">
        <v>0</v>
      </c>
      <c r="M302" t="n">
        <v>0</v>
      </c>
      <c r="N302" t="n">
        <v>0</v>
      </c>
      <c r="O302" t="n">
        <v>0</v>
      </c>
      <c r="P302" t="n">
        <v>0</v>
      </c>
      <c r="Q302" t="n">
        <v>0</v>
      </c>
      <c r="R302" s="2" t="inlineStr"/>
    </row>
    <row r="303" ht="15" customHeight="1">
      <c r="A303" t="inlineStr">
        <is>
          <t>A 56540-2024</t>
        </is>
      </c>
      <c r="B303" s="1" t="n">
        <v>45625</v>
      </c>
      <c r="C303" s="1" t="n">
        <v>45914</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31599-2024</t>
        </is>
      </c>
      <c r="B304" s="1" t="n">
        <v>45506</v>
      </c>
      <c r="C304" s="1" t="n">
        <v>45914</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31601-2024</t>
        </is>
      </c>
      <c r="B305" s="1" t="n">
        <v>45506</v>
      </c>
      <c r="C305" s="1" t="n">
        <v>45914</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31608-2024</t>
        </is>
      </c>
      <c r="B306" s="1" t="n">
        <v>45506</v>
      </c>
      <c r="C306" s="1" t="n">
        <v>45914</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31612-2024</t>
        </is>
      </c>
      <c r="B307" s="1" t="n">
        <v>45506</v>
      </c>
      <c r="C307" s="1" t="n">
        <v>45914</v>
      </c>
      <c r="D307" t="inlineStr">
        <is>
          <t>VÄSTMANLANDS LÄN</t>
        </is>
      </c>
      <c r="E307" t="inlineStr">
        <is>
          <t>SALA</t>
        </is>
      </c>
      <c r="G307" t="n">
        <v>3.2</v>
      </c>
      <c r="H307" t="n">
        <v>0</v>
      </c>
      <c r="I307" t="n">
        <v>0</v>
      </c>
      <c r="J307" t="n">
        <v>0</v>
      </c>
      <c r="K307" t="n">
        <v>0</v>
      </c>
      <c r="L307" t="n">
        <v>0</v>
      </c>
      <c r="M307" t="n">
        <v>0</v>
      </c>
      <c r="N307" t="n">
        <v>0</v>
      </c>
      <c r="O307" t="n">
        <v>0</v>
      </c>
      <c r="P307" t="n">
        <v>0</v>
      </c>
      <c r="Q307" t="n">
        <v>0</v>
      </c>
      <c r="R307" s="2" t="inlineStr"/>
    </row>
    <row r="308" ht="15" customHeight="1">
      <c r="A308" t="inlineStr">
        <is>
          <t>A 45313-2024</t>
        </is>
      </c>
      <c r="B308" s="1" t="n">
        <v>45576</v>
      </c>
      <c r="C308" s="1" t="n">
        <v>45914</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56535-2022</t>
        </is>
      </c>
      <c r="B309" s="1" t="n">
        <v>44893.47173611111</v>
      </c>
      <c r="C309" s="1" t="n">
        <v>45914</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47909-2022</t>
        </is>
      </c>
      <c r="B310" s="1" t="n">
        <v>44855</v>
      </c>
      <c r="C310" s="1" t="n">
        <v>45914</v>
      </c>
      <c r="D310" t="inlineStr">
        <is>
          <t>VÄSTMANLANDS LÄN</t>
        </is>
      </c>
      <c r="E310" t="inlineStr">
        <is>
          <t>SALA</t>
        </is>
      </c>
      <c r="F310" t="inlineStr">
        <is>
          <t>Bergvik skog öst AB</t>
        </is>
      </c>
      <c r="G310" t="n">
        <v>2</v>
      </c>
      <c r="H310" t="n">
        <v>0</v>
      </c>
      <c r="I310" t="n">
        <v>0</v>
      </c>
      <c r="J310" t="n">
        <v>0</v>
      </c>
      <c r="K310" t="n">
        <v>0</v>
      </c>
      <c r="L310" t="n">
        <v>0</v>
      </c>
      <c r="M310" t="n">
        <v>0</v>
      </c>
      <c r="N310" t="n">
        <v>0</v>
      </c>
      <c r="O310" t="n">
        <v>0</v>
      </c>
      <c r="P310" t="n">
        <v>0</v>
      </c>
      <c r="Q310" t="n">
        <v>0</v>
      </c>
      <c r="R310" s="2" t="inlineStr"/>
    </row>
    <row r="311" ht="15" customHeight="1">
      <c r="A311" t="inlineStr">
        <is>
          <t>A 10579-2022</t>
        </is>
      </c>
      <c r="B311" s="1" t="n">
        <v>44624</v>
      </c>
      <c r="C311" s="1" t="n">
        <v>45914</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52630-2022</t>
        </is>
      </c>
      <c r="B312" s="1" t="n">
        <v>44874</v>
      </c>
      <c r="C312" s="1" t="n">
        <v>45914</v>
      </c>
      <c r="D312" t="inlineStr">
        <is>
          <t>VÄSTMANLANDS LÄN</t>
        </is>
      </c>
      <c r="E312" t="inlineStr">
        <is>
          <t>SALA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64693-2023</t>
        </is>
      </c>
      <c r="B313" s="1" t="n">
        <v>45281.63850694444</v>
      </c>
      <c r="C313" s="1" t="n">
        <v>45914</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64695-2023</t>
        </is>
      </c>
      <c r="B314" s="1" t="n">
        <v>45281.64099537037</v>
      </c>
      <c r="C314" s="1" t="n">
        <v>45914</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24907-2025</t>
        </is>
      </c>
      <c r="B315" s="1" t="n">
        <v>45799</v>
      </c>
      <c r="C315" s="1" t="n">
        <v>45914</v>
      </c>
      <c r="D315" t="inlineStr">
        <is>
          <t>VÄSTMANLANDS LÄN</t>
        </is>
      </c>
      <c r="E315" t="inlineStr">
        <is>
          <t>SALA</t>
        </is>
      </c>
      <c r="G315" t="n">
        <v>3.5</v>
      </c>
      <c r="H315" t="n">
        <v>0</v>
      </c>
      <c r="I315" t="n">
        <v>0</v>
      </c>
      <c r="J315" t="n">
        <v>0</v>
      </c>
      <c r="K315" t="n">
        <v>0</v>
      </c>
      <c r="L315" t="n">
        <v>0</v>
      </c>
      <c r="M315" t="n">
        <v>0</v>
      </c>
      <c r="N315" t="n">
        <v>0</v>
      </c>
      <c r="O315" t="n">
        <v>0</v>
      </c>
      <c r="P315" t="n">
        <v>0</v>
      </c>
      <c r="Q315" t="n">
        <v>0</v>
      </c>
      <c r="R315" s="2" t="inlineStr"/>
    </row>
    <row r="316" ht="15" customHeight="1">
      <c r="A316" t="inlineStr">
        <is>
          <t>A 24910-2025</t>
        </is>
      </c>
      <c r="B316" s="1" t="n">
        <v>45799.53775462963</v>
      </c>
      <c r="C316" s="1" t="n">
        <v>45914</v>
      </c>
      <c r="D316" t="inlineStr">
        <is>
          <t>VÄSTMANLANDS LÄN</t>
        </is>
      </c>
      <c r="E316" t="inlineStr">
        <is>
          <t>SALA</t>
        </is>
      </c>
      <c r="G316" t="n">
        <v>3.5</v>
      </c>
      <c r="H316" t="n">
        <v>0</v>
      </c>
      <c r="I316" t="n">
        <v>0</v>
      </c>
      <c r="J316" t="n">
        <v>0</v>
      </c>
      <c r="K316" t="n">
        <v>0</v>
      </c>
      <c r="L316" t="n">
        <v>0</v>
      </c>
      <c r="M316" t="n">
        <v>0</v>
      </c>
      <c r="N316" t="n">
        <v>0</v>
      </c>
      <c r="O316" t="n">
        <v>0</v>
      </c>
      <c r="P316" t="n">
        <v>0</v>
      </c>
      <c r="Q316" t="n">
        <v>0</v>
      </c>
      <c r="R316" s="2" t="inlineStr"/>
    </row>
    <row r="317" ht="15" customHeight="1">
      <c r="A317" t="inlineStr">
        <is>
          <t>A 56687-2024</t>
        </is>
      </c>
      <c r="B317" s="1" t="n">
        <v>45627.63271990741</v>
      </c>
      <c r="C317" s="1" t="n">
        <v>45914</v>
      </c>
      <c r="D317" t="inlineStr">
        <is>
          <t>VÄSTMANLANDS LÄN</t>
        </is>
      </c>
      <c r="E317" t="inlineStr">
        <is>
          <t>SALA</t>
        </is>
      </c>
      <c r="G317" t="n">
        <v>1.2</v>
      </c>
      <c r="H317" t="n">
        <v>0</v>
      </c>
      <c r="I317" t="n">
        <v>0</v>
      </c>
      <c r="J317" t="n">
        <v>0</v>
      </c>
      <c r="K317" t="n">
        <v>0</v>
      </c>
      <c r="L317" t="n">
        <v>0</v>
      </c>
      <c r="M317" t="n">
        <v>0</v>
      </c>
      <c r="N317" t="n">
        <v>0</v>
      </c>
      <c r="O317" t="n">
        <v>0</v>
      </c>
      <c r="P317" t="n">
        <v>0</v>
      </c>
      <c r="Q317" t="n">
        <v>0</v>
      </c>
      <c r="R317" s="2" t="inlineStr"/>
    </row>
    <row r="318" ht="15" customHeight="1">
      <c r="A318" t="inlineStr">
        <is>
          <t>A 54768-2024</t>
        </is>
      </c>
      <c r="B318" s="1" t="n">
        <v>45618</v>
      </c>
      <c r="C318" s="1" t="n">
        <v>45914</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10909-2024</t>
        </is>
      </c>
      <c r="B319" s="1" t="n">
        <v>45370</v>
      </c>
      <c r="C319" s="1" t="n">
        <v>45914</v>
      </c>
      <c r="D319" t="inlineStr">
        <is>
          <t>VÄSTMANLANDS LÄN</t>
        </is>
      </c>
      <c r="E319" t="inlineStr">
        <is>
          <t>SALA</t>
        </is>
      </c>
      <c r="G319" t="n">
        <v>3.3</v>
      </c>
      <c r="H319" t="n">
        <v>0</v>
      </c>
      <c r="I319" t="n">
        <v>0</v>
      </c>
      <c r="J319" t="n">
        <v>0</v>
      </c>
      <c r="K319" t="n">
        <v>0</v>
      </c>
      <c r="L319" t="n">
        <v>0</v>
      </c>
      <c r="M319" t="n">
        <v>0</v>
      </c>
      <c r="N319" t="n">
        <v>0</v>
      </c>
      <c r="O319" t="n">
        <v>0</v>
      </c>
      <c r="P319" t="n">
        <v>0</v>
      </c>
      <c r="Q319" t="n">
        <v>0</v>
      </c>
      <c r="R319" s="2" t="inlineStr"/>
    </row>
    <row r="320" ht="15" customHeight="1">
      <c r="A320" t="inlineStr">
        <is>
          <t>A 61715-2024</t>
        </is>
      </c>
      <c r="B320" s="1" t="n">
        <v>45648.89519675926</v>
      </c>
      <c r="C320" s="1" t="n">
        <v>45914</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17722-2025</t>
        </is>
      </c>
      <c r="B321" s="1" t="n">
        <v>45758</v>
      </c>
      <c r="C321" s="1" t="n">
        <v>45914</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55784-2024</t>
        </is>
      </c>
      <c r="B322" s="1" t="n">
        <v>45623</v>
      </c>
      <c r="C322" s="1" t="n">
        <v>45914</v>
      </c>
      <c r="D322" t="inlineStr">
        <is>
          <t>VÄSTMANLANDS LÄN</t>
        </is>
      </c>
      <c r="E322" t="inlineStr">
        <is>
          <t>SALA</t>
        </is>
      </c>
      <c r="F322" t="inlineStr">
        <is>
          <t>Bergvik skog öst AB</t>
        </is>
      </c>
      <c r="G322" t="n">
        <v>28.4</v>
      </c>
      <c r="H322" t="n">
        <v>0</v>
      </c>
      <c r="I322" t="n">
        <v>0</v>
      </c>
      <c r="J322" t="n">
        <v>0</v>
      </c>
      <c r="K322" t="n">
        <v>0</v>
      </c>
      <c r="L322" t="n">
        <v>0</v>
      </c>
      <c r="M322" t="n">
        <v>0</v>
      </c>
      <c r="N322" t="n">
        <v>0</v>
      </c>
      <c r="O322" t="n">
        <v>0</v>
      </c>
      <c r="P322" t="n">
        <v>0</v>
      </c>
      <c r="Q322" t="n">
        <v>0</v>
      </c>
      <c r="R322" s="2" t="inlineStr"/>
    </row>
    <row r="323" ht="15" customHeight="1">
      <c r="A323" t="inlineStr">
        <is>
          <t>A 16404-2022</t>
        </is>
      </c>
      <c r="B323" s="1" t="n">
        <v>44671</v>
      </c>
      <c r="C323" s="1" t="n">
        <v>45914</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6097-2022</t>
        </is>
      </c>
      <c r="B324" s="1" t="n">
        <v>44599</v>
      </c>
      <c r="C324" s="1" t="n">
        <v>45914</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29542-2023</t>
        </is>
      </c>
      <c r="B325" s="1" t="n">
        <v>45098</v>
      </c>
      <c r="C325" s="1" t="n">
        <v>45914</v>
      </c>
      <c r="D325" t="inlineStr">
        <is>
          <t>VÄSTMANLANDS LÄN</t>
        </is>
      </c>
      <c r="E325" t="inlineStr">
        <is>
          <t>SALA</t>
        </is>
      </c>
      <c r="G325" t="n">
        <v>4.8</v>
      </c>
      <c r="H325" t="n">
        <v>0</v>
      </c>
      <c r="I325" t="n">
        <v>0</v>
      </c>
      <c r="J325" t="n">
        <v>0</v>
      </c>
      <c r="K325" t="n">
        <v>0</v>
      </c>
      <c r="L325" t="n">
        <v>0</v>
      </c>
      <c r="M325" t="n">
        <v>0</v>
      </c>
      <c r="N325" t="n">
        <v>0</v>
      </c>
      <c r="O325" t="n">
        <v>0</v>
      </c>
      <c r="P325" t="n">
        <v>0</v>
      </c>
      <c r="Q325" t="n">
        <v>0</v>
      </c>
      <c r="R325" s="2" t="inlineStr"/>
    </row>
    <row r="326" ht="15" customHeight="1">
      <c r="A326" t="inlineStr">
        <is>
          <t>A 27038-2023</t>
        </is>
      </c>
      <c r="B326" s="1" t="n">
        <v>45095</v>
      </c>
      <c r="C326" s="1" t="n">
        <v>45914</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10559-2024</t>
        </is>
      </c>
      <c r="B327" s="1" t="n">
        <v>45366</v>
      </c>
      <c r="C327" s="1" t="n">
        <v>45914</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66821-2020</t>
        </is>
      </c>
      <c r="B328" s="1" t="n">
        <v>44179.88008101852</v>
      </c>
      <c r="C328" s="1" t="n">
        <v>45914</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60545-2024</t>
        </is>
      </c>
      <c r="B329" s="1" t="n">
        <v>45643</v>
      </c>
      <c r="C329" s="1" t="n">
        <v>45914</v>
      </c>
      <c r="D329" t="inlineStr">
        <is>
          <t>VÄSTMANLANDS LÄN</t>
        </is>
      </c>
      <c r="E329" t="inlineStr">
        <is>
          <t>SALA</t>
        </is>
      </c>
      <c r="G329" t="n">
        <v>3.3</v>
      </c>
      <c r="H329" t="n">
        <v>0</v>
      </c>
      <c r="I329" t="n">
        <v>0</v>
      </c>
      <c r="J329" t="n">
        <v>0</v>
      </c>
      <c r="K329" t="n">
        <v>0</v>
      </c>
      <c r="L329" t="n">
        <v>0</v>
      </c>
      <c r="M329" t="n">
        <v>0</v>
      </c>
      <c r="N329" t="n">
        <v>0</v>
      </c>
      <c r="O329" t="n">
        <v>0</v>
      </c>
      <c r="P329" t="n">
        <v>0</v>
      </c>
      <c r="Q329" t="n">
        <v>0</v>
      </c>
      <c r="R329" s="2" t="inlineStr"/>
    </row>
    <row r="330" ht="15" customHeight="1">
      <c r="A330" t="inlineStr">
        <is>
          <t>A 60547-2024</t>
        </is>
      </c>
      <c r="B330" s="1" t="n">
        <v>45643</v>
      </c>
      <c r="C330" s="1" t="n">
        <v>45914</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17051-2025</t>
        </is>
      </c>
      <c r="B331" s="1" t="n">
        <v>45755</v>
      </c>
      <c r="C331" s="1" t="n">
        <v>45914</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15965-2024</t>
        </is>
      </c>
      <c r="B332" s="1" t="n">
        <v>45405.55740740741</v>
      </c>
      <c r="C332" s="1" t="n">
        <v>45914</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1196-2023</t>
        </is>
      </c>
      <c r="B333" s="1" t="n">
        <v>44935.82290509259</v>
      </c>
      <c r="C333" s="1" t="n">
        <v>45914</v>
      </c>
      <c r="D333" t="inlineStr">
        <is>
          <t>VÄSTMANLANDS LÄN</t>
        </is>
      </c>
      <c r="E333" t="inlineStr">
        <is>
          <t>SALA</t>
        </is>
      </c>
      <c r="G333" t="n">
        <v>4.1</v>
      </c>
      <c r="H333" t="n">
        <v>0</v>
      </c>
      <c r="I333" t="n">
        <v>0</v>
      </c>
      <c r="J333" t="n">
        <v>0</v>
      </c>
      <c r="K333" t="n">
        <v>0</v>
      </c>
      <c r="L333" t="n">
        <v>0</v>
      </c>
      <c r="M333" t="n">
        <v>0</v>
      </c>
      <c r="N333" t="n">
        <v>0</v>
      </c>
      <c r="O333" t="n">
        <v>0</v>
      </c>
      <c r="P333" t="n">
        <v>0</v>
      </c>
      <c r="Q333" t="n">
        <v>0</v>
      </c>
      <c r="R333" s="2" t="inlineStr"/>
    </row>
    <row r="334" ht="15" customHeight="1">
      <c r="A334" t="inlineStr">
        <is>
          <t>A 8285-2025</t>
        </is>
      </c>
      <c r="B334" s="1" t="n">
        <v>45708</v>
      </c>
      <c r="C334" s="1" t="n">
        <v>45914</v>
      </c>
      <c r="D334" t="inlineStr">
        <is>
          <t>VÄSTMANLANDS LÄN</t>
        </is>
      </c>
      <c r="E334" t="inlineStr">
        <is>
          <t>SALA</t>
        </is>
      </c>
      <c r="G334" t="n">
        <v>5.7</v>
      </c>
      <c r="H334" t="n">
        <v>0</v>
      </c>
      <c r="I334" t="n">
        <v>0</v>
      </c>
      <c r="J334" t="n">
        <v>0</v>
      </c>
      <c r="K334" t="n">
        <v>0</v>
      </c>
      <c r="L334" t="n">
        <v>0</v>
      </c>
      <c r="M334" t="n">
        <v>0</v>
      </c>
      <c r="N334" t="n">
        <v>0</v>
      </c>
      <c r="O334" t="n">
        <v>0</v>
      </c>
      <c r="P334" t="n">
        <v>0</v>
      </c>
      <c r="Q334" t="n">
        <v>0</v>
      </c>
      <c r="R334" s="2" t="inlineStr"/>
    </row>
    <row r="335" ht="15" customHeight="1">
      <c r="A335" t="inlineStr">
        <is>
          <t>A 14010-2021</t>
        </is>
      </c>
      <c r="B335" s="1" t="n">
        <v>44277.63396990741</v>
      </c>
      <c r="C335" s="1" t="n">
        <v>45914</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62651-2022</t>
        </is>
      </c>
      <c r="B336" s="1" t="n">
        <v>44917</v>
      </c>
      <c r="C336" s="1" t="n">
        <v>45914</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54836-2024</t>
        </is>
      </c>
      <c r="B337" s="1" t="n">
        <v>45618</v>
      </c>
      <c r="C337" s="1" t="n">
        <v>45914</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13987-2023</t>
        </is>
      </c>
      <c r="B338" s="1" t="n">
        <v>45007</v>
      </c>
      <c r="C338" s="1" t="n">
        <v>45914</v>
      </c>
      <c r="D338" t="inlineStr">
        <is>
          <t>VÄSTMANLANDS LÄN</t>
        </is>
      </c>
      <c r="E338" t="inlineStr">
        <is>
          <t>SALA</t>
        </is>
      </c>
      <c r="G338" t="n">
        <v>3.2</v>
      </c>
      <c r="H338" t="n">
        <v>0</v>
      </c>
      <c r="I338" t="n">
        <v>0</v>
      </c>
      <c r="J338" t="n">
        <v>0</v>
      </c>
      <c r="K338" t="n">
        <v>0</v>
      </c>
      <c r="L338" t="n">
        <v>0</v>
      </c>
      <c r="M338" t="n">
        <v>0</v>
      </c>
      <c r="N338" t="n">
        <v>0</v>
      </c>
      <c r="O338" t="n">
        <v>0</v>
      </c>
      <c r="P338" t="n">
        <v>0</v>
      </c>
      <c r="Q338" t="n">
        <v>0</v>
      </c>
      <c r="R338" s="2" t="inlineStr"/>
    </row>
    <row r="339" ht="15" customHeight="1">
      <c r="A339" t="inlineStr">
        <is>
          <t>A 13990-2023</t>
        </is>
      </c>
      <c r="B339" s="1" t="n">
        <v>45007</v>
      </c>
      <c r="C339" s="1" t="n">
        <v>45914</v>
      </c>
      <c r="D339" t="inlineStr">
        <is>
          <t>VÄSTMANLANDS LÄN</t>
        </is>
      </c>
      <c r="E339" t="inlineStr">
        <is>
          <t>SALA</t>
        </is>
      </c>
      <c r="G339" t="n">
        <v>2.6</v>
      </c>
      <c r="H339" t="n">
        <v>0</v>
      </c>
      <c r="I339" t="n">
        <v>0</v>
      </c>
      <c r="J339" t="n">
        <v>0</v>
      </c>
      <c r="K339" t="n">
        <v>0</v>
      </c>
      <c r="L339" t="n">
        <v>0</v>
      </c>
      <c r="M339" t="n">
        <v>0</v>
      </c>
      <c r="N339" t="n">
        <v>0</v>
      </c>
      <c r="O339" t="n">
        <v>0</v>
      </c>
      <c r="P339" t="n">
        <v>0</v>
      </c>
      <c r="Q339" t="n">
        <v>0</v>
      </c>
      <c r="R339" s="2" t="inlineStr"/>
    </row>
    <row r="340" ht="15" customHeight="1">
      <c r="A340" t="inlineStr">
        <is>
          <t>A 51464-2024</t>
        </is>
      </c>
      <c r="B340" s="1" t="n">
        <v>45604.49768518518</v>
      </c>
      <c r="C340" s="1" t="n">
        <v>45914</v>
      </c>
      <c r="D340" t="inlineStr">
        <is>
          <t>VÄSTMANLANDS LÄN</t>
        </is>
      </c>
      <c r="E340" t="inlineStr">
        <is>
          <t>SALA</t>
        </is>
      </c>
      <c r="G340" t="n">
        <v>3.9</v>
      </c>
      <c r="H340" t="n">
        <v>0</v>
      </c>
      <c r="I340" t="n">
        <v>0</v>
      </c>
      <c r="J340" t="n">
        <v>0</v>
      </c>
      <c r="K340" t="n">
        <v>0</v>
      </c>
      <c r="L340" t="n">
        <v>0</v>
      </c>
      <c r="M340" t="n">
        <v>0</v>
      </c>
      <c r="N340" t="n">
        <v>0</v>
      </c>
      <c r="O340" t="n">
        <v>0</v>
      </c>
      <c r="P340" t="n">
        <v>0</v>
      </c>
      <c r="Q340" t="n">
        <v>0</v>
      </c>
      <c r="R340" s="2" t="inlineStr"/>
    </row>
    <row r="341" ht="15" customHeight="1">
      <c r="A341" t="inlineStr">
        <is>
          <t>A 1128-2025</t>
        </is>
      </c>
      <c r="B341" s="1" t="n">
        <v>45666.68469907407</v>
      </c>
      <c r="C341" s="1" t="n">
        <v>45914</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39364-2024</t>
        </is>
      </c>
      <c r="B342" s="1" t="n">
        <v>45551.46748842593</v>
      </c>
      <c r="C342" s="1" t="n">
        <v>45914</v>
      </c>
      <c r="D342" t="inlineStr">
        <is>
          <t>VÄSTMANLANDS LÄN</t>
        </is>
      </c>
      <c r="E342" t="inlineStr">
        <is>
          <t>SALA</t>
        </is>
      </c>
      <c r="G342" t="n">
        <v>2.8</v>
      </c>
      <c r="H342" t="n">
        <v>0</v>
      </c>
      <c r="I342" t="n">
        <v>0</v>
      </c>
      <c r="J342" t="n">
        <v>0</v>
      </c>
      <c r="K342" t="n">
        <v>0</v>
      </c>
      <c r="L342" t="n">
        <v>0</v>
      </c>
      <c r="M342" t="n">
        <v>0</v>
      </c>
      <c r="N342" t="n">
        <v>0</v>
      </c>
      <c r="O342" t="n">
        <v>0</v>
      </c>
      <c r="P342" t="n">
        <v>0</v>
      </c>
      <c r="Q342" t="n">
        <v>0</v>
      </c>
      <c r="R342" s="2" t="inlineStr"/>
    </row>
    <row r="343" ht="15" customHeight="1">
      <c r="A343" t="inlineStr">
        <is>
          <t>A 43176-2023</t>
        </is>
      </c>
      <c r="B343" s="1" t="n">
        <v>45183</v>
      </c>
      <c r="C343" s="1" t="n">
        <v>45914</v>
      </c>
      <c r="D343" t="inlineStr">
        <is>
          <t>VÄSTMANLANDS LÄN</t>
        </is>
      </c>
      <c r="E343" t="inlineStr">
        <is>
          <t>SALA</t>
        </is>
      </c>
      <c r="G343" t="n">
        <v>1.2</v>
      </c>
      <c r="H343" t="n">
        <v>0</v>
      </c>
      <c r="I343" t="n">
        <v>0</v>
      </c>
      <c r="J343" t="n">
        <v>0</v>
      </c>
      <c r="K343" t="n">
        <v>0</v>
      </c>
      <c r="L343" t="n">
        <v>0</v>
      </c>
      <c r="M343" t="n">
        <v>0</v>
      </c>
      <c r="N343" t="n">
        <v>0</v>
      </c>
      <c r="O343" t="n">
        <v>0</v>
      </c>
      <c r="P343" t="n">
        <v>0</v>
      </c>
      <c r="Q343" t="n">
        <v>0</v>
      </c>
      <c r="R343" s="2" t="inlineStr"/>
    </row>
    <row r="344" ht="15" customHeight="1">
      <c r="A344" t="inlineStr">
        <is>
          <t>A 22019-2021</t>
        </is>
      </c>
      <c r="B344" s="1" t="n">
        <v>44323</v>
      </c>
      <c r="C344" s="1" t="n">
        <v>45914</v>
      </c>
      <c r="D344" t="inlineStr">
        <is>
          <t>VÄSTMANLANDS LÄN</t>
        </is>
      </c>
      <c r="E344" t="inlineStr">
        <is>
          <t>SALA</t>
        </is>
      </c>
      <c r="G344" t="n">
        <v>1.9</v>
      </c>
      <c r="H344" t="n">
        <v>0</v>
      </c>
      <c r="I344" t="n">
        <v>0</v>
      </c>
      <c r="J344" t="n">
        <v>0</v>
      </c>
      <c r="K344" t="n">
        <v>0</v>
      </c>
      <c r="L344" t="n">
        <v>0</v>
      </c>
      <c r="M344" t="n">
        <v>0</v>
      </c>
      <c r="N344" t="n">
        <v>0</v>
      </c>
      <c r="O344" t="n">
        <v>0</v>
      </c>
      <c r="P344" t="n">
        <v>0</v>
      </c>
      <c r="Q344" t="n">
        <v>0</v>
      </c>
      <c r="R344" s="2" t="inlineStr"/>
    </row>
    <row r="345" ht="15" customHeight="1">
      <c r="A345" t="inlineStr">
        <is>
          <t>A 26661-2025</t>
        </is>
      </c>
      <c r="B345" s="1" t="n">
        <v>45810</v>
      </c>
      <c r="C345" s="1" t="n">
        <v>45914</v>
      </c>
      <c r="D345" t="inlineStr">
        <is>
          <t>VÄSTMANLANDS LÄN</t>
        </is>
      </c>
      <c r="E345" t="inlineStr">
        <is>
          <t>SALA</t>
        </is>
      </c>
      <c r="G345" t="n">
        <v>3.5</v>
      </c>
      <c r="H345" t="n">
        <v>0</v>
      </c>
      <c r="I345" t="n">
        <v>0</v>
      </c>
      <c r="J345" t="n">
        <v>0</v>
      </c>
      <c r="K345" t="n">
        <v>0</v>
      </c>
      <c r="L345" t="n">
        <v>0</v>
      </c>
      <c r="M345" t="n">
        <v>0</v>
      </c>
      <c r="N345" t="n">
        <v>0</v>
      </c>
      <c r="O345" t="n">
        <v>0</v>
      </c>
      <c r="P345" t="n">
        <v>0</v>
      </c>
      <c r="Q345" t="n">
        <v>0</v>
      </c>
      <c r="R345" s="2" t="inlineStr"/>
    </row>
    <row r="346" ht="15" customHeight="1">
      <c r="A346" t="inlineStr">
        <is>
          <t>A 73835-2021</t>
        </is>
      </c>
      <c r="B346" s="1" t="n">
        <v>44552.92112268518</v>
      </c>
      <c r="C346" s="1" t="n">
        <v>45914</v>
      </c>
      <c r="D346" t="inlineStr">
        <is>
          <t>VÄSTMANLANDS LÄN</t>
        </is>
      </c>
      <c r="E346" t="inlineStr">
        <is>
          <t>SALA</t>
        </is>
      </c>
      <c r="G346" t="n">
        <v>2</v>
      </c>
      <c r="H346" t="n">
        <v>0</v>
      </c>
      <c r="I346" t="n">
        <v>0</v>
      </c>
      <c r="J346" t="n">
        <v>0</v>
      </c>
      <c r="K346" t="n">
        <v>0</v>
      </c>
      <c r="L346" t="n">
        <v>0</v>
      </c>
      <c r="M346" t="n">
        <v>0</v>
      </c>
      <c r="N346" t="n">
        <v>0</v>
      </c>
      <c r="O346" t="n">
        <v>0</v>
      </c>
      <c r="P346" t="n">
        <v>0</v>
      </c>
      <c r="Q346" t="n">
        <v>0</v>
      </c>
      <c r="R346" s="2" t="inlineStr"/>
    </row>
    <row r="347" ht="15" customHeight="1">
      <c r="A347" t="inlineStr">
        <is>
          <t>A 60379-2022</t>
        </is>
      </c>
      <c r="B347" s="1" t="n">
        <v>44910</v>
      </c>
      <c r="C347" s="1" t="n">
        <v>45914</v>
      </c>
      <c r="D347" t="inlineStr">
        <is>
          <t>VÄSTMANLANDS LÄN</t>
        </is>
      </c>
      <c r="E347" t="inlineStr">
        <is>
          <t>SALA</t>
        </is>
      </c>
      <c r="F347" t="inlineStr">
        <is>
          <t>Kyrkan</t>
        </is>
      </c>
      <c r="G347" t="n">
        <v>2.5</v>
      </c>
      <c r="H347" t="n">
        <v>0</v>
      </c>
      <c r="I347" t="n">
        <v>0</v>
      </c>
      <c r="J347" t="n">
        <v>0</v>
      </c>
      <c r="K347" t="n">
        <v>0</v>
      </c>
      <c r="L347" t="n">
        <v>0</v>
      </c>
      <c r="M347" t="n">
        <v>0</v>
      </c>
      <c r="N347" t="n">
        <v>0</v>
      </c>
      <c r="O347" t="n">
        <v>0</v>
      </c>
      <c r="P347" t="n">
        <v>0</v>
      </c>
      <c r="Q347" t="n">
        <v>0</v>
      </c>
      <c r="R347" s="2" t="inlineStr"/>
    </row>
    <row r="348" ht="15" customHeight="1">
      <c r="A348" t="inlineStr">
        <is>
          <t>A 57404-2024</t>
        </is>
      </c>
      <c r="B348" s="1" t="n">
        <v>45629.71967592592</v>
      </c>
      <c r="C348" s="1" t="n">
        <v>45914</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1638-2023</t>
        </is>
      </c>
      <c r="B349" s="1" t="n">
        <v>44937</v>
      </c>
      <c r="C349" s="1" t="n">
        <v>45914</v>
      </c>
      <c r="D349" t="inlineStr">
        <is>
          <t>VÄSTMANLANDS LÄN</t>
        </is>
      </c>
      <c r="E349" t="inlineStr">
        <is>
          <t>SALA</t>
        </is>
      </c>
      <c r="G349" t="n">
        <v>3.1</v>
      </c>
      <c r="H349" t="n">
        <v>0</v>
      </c>
      <c r="I349" t="n">
        <v>0</v>
      </c>
      <c r="J349" t="n">
        <v>0</v>
      </c>
      <c r="K349" t="n">
        <v>0</v>
      </c>
      <c r="L349" t="n">
        <v>0</v>
      </c>
      <c r="M349" t="n">
        <v>0</v>
      </c>
      <c r="N349" t="n">
        <v>0</v>
      </c>
      <c r="O349" t="n">
        <v>0</v>
      </c>
      <c r="P349" t="n">
        <v>0</v>
      </c>
      <c r="Q349" t="n">
        <v>0</v>
      </c>
      <c r="R349" s="2" t="inlineStr"/>
    </row>
    <row r="350" ht="15" customHeight="1">
      <c r="A350" t="inlineStr">
        <is>
          <t>A 7953-2024</t>
        </is>
      </c>
      <c r="B350" s="1" t="n">
        <v>45350</v>
      </c>
      <c r="C350" s="1" t="n">
        <v>45914</v>
      </c>
      <c r="D350" t="inlineStr">
        <is>
          <t>VÄSTMANLANDS LÄN</t>
        </is>
      </c>
      <c r="E350" t="inlineStr">
        <is>
          <t>SALA</t>
        </is>
      </c>
      <c r="G350" t="n">
        <v>2.6</v>
      </c>
      <c r="H350" t="n">
        <v>0</v>
      </c>
      <c r="I350" t="n">
        <v>0</v>
      </c>
      <c r="J350" t="n">
        <v>0</v>
      </c>
      <c r="K350" t="n">
        <v>0</v>
      </c>
      <c r="L350" t="n">
        <v>0</v>
      </c>
      <c r="M350" t="n">
        <v>0</v>
      </c>
      <c r="N350" t="n">
        <v>0</v>
      </c>
      <c r="O350" t="n">
        <v>0</v>
      </c>
      <c r="P350" t="n">
        <v>0</v>
      </c>
      <c r="Q350" t="n">
        <v>0</v>
      </c>
      <c r="R350" s="2" t="inlineStr"/>
    </row>
    <row r="351" ht="15" customHeight="1">
      <c r="A351" t="inlineStr">
        <is>
          <t>A 5477-2024</t>
        </is>
      </c>
      <c r="B351" s="1" t="n">
        <v>45333.67833333334</v>
      </c>
      <c r="C351" s="1" t="n">
        <v>45914</v>
      </c>
      <c r="D351" t="inlineStr">
        <is>
          <t>VÄSTMANLANDS LÄN</t>
        </is>
      </c>
      <c r="E351" t="inlineStr">
        <is>
          <t>SALA</t>
        </is>
      </c>
      <c r="G351" t="n">
        <v>2.3</v>
      </c>
      <c r="H351" t="n">
        <v>0</v>
      </c>
      <c r="I351" t="n">
        <v>0</v>
      </c>
      <c r="J351" t="n">
        <v>0</v>
      </c>
      <c r="K351" t="n">
        <v>0</v>
      </c>
      <c r="L351" t="n">
        <v>0</v>
      </c>
      <c r="M351" t="n">
        <v>0</v>
      </c>
      <c r="N351" t="n">
        <v>0</v>
      </c>
      <c r="O351" t="n">
        <v>0</v>
      </c>
      <c r="P351" t="n">
        <v>0</v>
      </c>
      <c r="Q351" t="n">
        <v>0</v>
      </c>
      <c r="R351" s="2" t="inlineStr"/>
    </row>
    <row r="352" ht="15" customHeight="1">
      <c r="A352" t="inlineStr">
        <is>
          <t>A 21777-2022</t>
        </is>
      </c>
      <c r="B352" s="1" t="n">
        <v>44708.48194444444</v>
      </c>
      <c r="C352" s="1" t="n">
        <v>45914</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17866-2025</t>
        </is>
      </c>
      <c r="B353" s="1" t="n">
        <v>45758</v>
      </c>
      <c r="C353" s="1" t="n">
        <v>45914</v>
      </c>
      <c r="D353" t="inlineStr">
        <is>
          <t>VÄSTMANLANDS LÄN</t>
        </is>
      </c>
      <c r="E353" t="inlineStr">
        <is>
          <t>SALA</t>
        </is>
      </c>
      <c r="F353" t="inlineStr">
        <is>
          <t>Bergvik skog öst AB</t>
        </is>
      </c>
      <c r="G353" t="n">
        <v>2.1</v>
      </c>
      <c r="H353" t="n">
        <v>0</v>
      </c>
      <c r="I353" t="n">
        <v>0</v>
      </c>
      <c r="J353" t="n">
        <v>0</v>
      </c>
      <c r="K353" t="n">
        <v>0</v>
      </c>
      <c r="L353" t="n">
        <v>0</v>
      </c>
      <c r="M353" t="n">
        <v>0</v>
      </c>
      <c r="N353" t="n">
        <v>0</v>
      </c>
      <c r="O353" t="n">
        <v>0</v>
      </c>
      <c r="P353" t="n">
        <v>0</v>
      </c>
      <c r="Q353" t="n">
        <v>0</v>
      </c>
      <c r="R353" s="2" t="inlineStr"/>
    </row>
    <row r="354" ht="15" customHeight="1">
      <c r="A354" t="inlineStr">
        <is>
          <t>A 33732-2023</t>
        </is>
      </c>
      <c r="B354" s="1" t="n">
        <v>45133.32409722222</v>
      </c>
      <c r="C354" s="1" t="n">
        <v>45914</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26507-2023</t>
        </is>
      </c>
      <c r="B355" s="1" t="n">
        <v>45092</v>
      </c>
      <c r="C355" s="1" t="n">
        <v>45914</v>
      </c>
      <c r="D355" t="inlineStr">
        <is>
          <t>VÄSTMANLANDS LÄN</t>
        </is>
      </c>
      <c r="E355" t="inlineStr">
        <is>
          <t>SALA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6032-2025</t>
        </is>
      </c>
      <c r="B356" s="1" t="n">
        <v>45695.6371875</v>
      </c>
      <c r="C356" s="1" t="n">
        <v>45914</v>
      </c>
      <c r="D356" t="inlineStr">
        <is>
          <t>VÄSTMANLANDS LÄN</t>
        </is>
      </c>
      <c r="E356" t="inlineStr">
        <is>
          <t>SALA</t>
        </is>
      </c>
      <c r="F356" t="inlineStr">
        <is>
          <t>Bergvik skog öst AB</t>
        </is>
      </c>
      <c r="G356" t="n">
        <v>8.1</v>
      </c>
      <c r="H356" t="n">
        <v>0</v>
      </c>
      <c r="I356" t="n">
        <v>0</v>
      </c>
      <c r="J356" t="n">
        <v>0</v>
      </c>
      <c r="K356" t="n">
        <v>0</v>
      </c>
      <c r="L356" t="n">
        <v>0</v>
      </c>
      <c r="M356" t="n">
        <v>0</v>
      </c>
      <c r="N356" t="n">
        <v>0</v>
      </c>
      <c r="O356" t="n">
        <v>0</v>
      </c>
      <c r="P356" t="n">
        <v>0</v>
      </c>
      <c r="Q356" t="n">
        <v>0</v>
      </c>
      <c r="R356" s="2" t="inlineStr"/>
    </row>
    <row r="357" ht="15" customHeight="1">
      <c r="A357" t="inlineStr">
        <is>
          <t>A 7166-2025</t>
        </is>
      </c>
      <c r="B357" s="1" t="n">
        <v>45702</v>
      </c>
      <c r="C357" s="1" t="n">
        <v>45914</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44857-2023</t>
        </is>
      </c>
      <c r="B358" s="1" t="n">
        <v>45190.58479166667</v>
      </c>
      <c r="C358" s="1" t="n">
        <v>45914</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46352-2023</t>
        </is>
      </c>
      <c r="B359" s="1" t="n">
        <v>45192</v>
      </c>
      <c r="C359" s="1" t="n">
        <v>45914</v>
      </c>
      <c r="D359" t="inlineStr">
        <is>
          <t>VÄSTMANLANDS LÄN</t>
        </is>
      </c>
      <c r="E359" t="inlineStr">
        <is>
          <t>SALA</t>
        </is>
      </c>
      <c r="G359" t="n">
        <v>1.9</v>
      </c>
      <c r="H359" t="n">
        <v>0</v>
      </c>
      <c r="I359" t="n">
        <v>0</v>
      </c>
      <c r="J359" t="n">
        <v>0</v>
      </c>
      <c r="K359" t="n">
        <v>0</v>
      </c>
      <c r="L359" t="n">
        <v>0</v>
      </c>
      <c r="M359" t="n">
        <v>0</v>
      </c>
      <c r="N359" t="n">
        <v>0</v>
      </c>
      <c r="O359" t="n">
        <v>0</v>
      </c>
      <c r="P359" t="n">
        <v>0</v>
      </c>
      <c r="Q359" t="n">
        <v>0</v>
      </c>
      <c r="R359" s="2" t="inlineStr"/>
    </row>
    <row r="360" ht="15" customHeight="1">
      <c r="A360" t="inlineStr">
        <is>
          <t>A 22397-2022</t>
        </is>
      </c>
      <c r="B360" s="1" t="n">
        <v>44713</v>
      </c>
      <c r="C360" s="1" t="n">
        <v>45914</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27424-2023</t>
        </is>
      </c>
      <c r="B361" s="1" t="n">
        <v>45097.37690972222</v>
      </c>
      <c r="C361" s="1" t="n">
        <v>45914</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34814-2021</t>
        </is>
      </c>
      <c r="B362" s="1" t="n">
        <v>44383</v>
      </c>
      <c r="C362" s="1" t="n">
        <v>45914</v>
      </c>
      <c r="D362" t="inlineStr">
        <is>
          <t>VÄSTMANLANDS LÄN</t>
        </is>
      </c>
      <c r="E362" t="inlineStr">
        <is>
          <t>SALA</t>
        </is>
      </c>
      <c r="F362" t="inlineStr">
        <is>
          <t>Sveaskog</t>
        </is>
      </c>
      <c r="G362" t="n">
        <v>0.5</v>
      </c>
      <c r="H362" t="n">
        <v>0</v>
      </c>
      <c r="I362" t="n">
        <v>0</v>
      </c>
      <c r="J362" t="n">
        <v>0</v>
      </c>
      <c r="K362" t="n">
        <v>0</v>
      </c>
      <c r="L362" t="n">
        <v>0</v>
      </c>
      <c r="M362" t="n">
        <v>0</v>
      </c>
      <c r="N362" t="n">
        <v>0</v>
      </c>
      <c r="O362" t="n">
        <v>0</v>
      </c>
      <c r="P362" t="n">
        <v>0</v>
      </c>
      <c r="Q362" t="n">
        <v>0</v>
      </c>
      <c r="R362" s="2" t="inlineStr"/>
    </row>
    <row r="363" ht="15" customHeight="1">
      <c r="A363" t="inlineStr">
        <is>
          <t>A 28193-2025</t>
        </is>
      </c>
      <c r="B363" s="1" t="n">
        <v>45818.425625</v>
      </c>
      <c r="C363" s="1" t="n">
        <v>45914</v>
      </c>
      <c r="D363" t="inlineStr">
        <is>
          <t>VÄSTMANLANDS LÄN</t>
        </is>
      </c>
      <c r="E363" t="inlineStr">
        <is>
          <t>SALA</t>
        </is>
      </c>
      <c r="G363" t="n">
        <v>1.8</v>
      </c>
      <c r="H363" t="n">
        <v>0</v>
      </c>
      <c r="I363" t="n">
        <v>0</v>
      </c>
      <c r="J363" t="n">
        <v>0</v>
      </c>
      <c r="K363" t="n">
        <v>0</v>
      </c>
      <c r="L363" t="n">
        <v>0</v>
      </c>
      <c r="M363" t="n">
        <v>0</v>
      </c>
      <c r="N363" t="n">
        <v>0</v>
      </c>
      <c r="O363" t="n">
        <v>0</v>
      </c>
      <c r="P363" t="n">
        <v>0</v>
      </c>
      <c r="Q363" t="n">
        <v>0</v>
      </c>
      <c r="R363" s="2" t="inlineStr"/>
    </row>
    <row r="364" ht="15" customHeight="1">
      <c r="A364" t="inlineStr">
        <is>
          <t>A 27981-2025</t>
        </is>
      </c>
      <c r="B364" s="1" t="n">
        <v>45817.57471064815</v>
      </c>
      <c r="C364" s="1" t="n">
        <v>45914</v>
      </c>
      <c r="D364" t="inlineStr">
        <is>
          <t>VÄSTMANLANDS LÄN</t>
        </is>
      </c>
      <c r="E364" t="inlineStr">
        <is>
          <t>SALA</t>
        </is>
      </c>
      <c r="G364" t="n">
        <v>1.7</v>
      </c>
      <c r="H364" t="n">
        <v>0</v>
      </c>
      <c r="I364" t="n">
        <v>0</v>
      </c>
      <c r="J364" t="n">
        <v>0</v>
      </c>
      <c r="K364" t="n">
        <v>0</v>
      </c>
      <c r="L364" t="n">
        <v>0</v>
      </c>
      <c r="M364" t="n">
        <v>0</v>
      </c>
      <c r="N364" t="n">
        <v>0</v>
      </c>
      <c r="O364" t="n">
        <v>0</v>
      </c>
      <c r="P364" t="n">
        <v>0</v>
      </c>
      <c r="Q364" t="n">
        <v>0</v>
      </c>
      <c r="R364" s="2" t="inlineStr"/>
    </row>
    <row r="365" ht="15" customHeight="1">
      <c r="A365" t="inlineStr">
        <is>
          <t>A 7469-2025</t>
        </is>
      </c>
      <c r="B365" s="1" t="n">
        <v>45705</v>
      </c>
      <c r="C365" s="1" t="n">
        <v>45914</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54118-2023</t>
        </is>
      </c>
      <c r="B366" s="1" t="n">
        <v>45232</v>
      </c>
      <c r="C366" s="1" t="n">
        <v>45914</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28278-2025</t>
        </is>
      </c>
      <c r="B367" s="1" t="n">
        <v>45818.58454861111</v>
      </c>
      <c r="C367" s="1" t="n">
        <v>45914</v>
      </c>
      <c r="D367" t="inlineStr">
        <is>
          <t>VÄSTMANLANDS LÄN</t>
        </is>
      </c>
      <c r="E367" t="inlineStr">
        <is>
          <t>SALA</t>
        </is>
      </c>
      <c r="G367" t="n">
        <v>7.6</v>
      </c>
      <c r="H367" t="n">
        <v>0</v>
      </c>
      <c r="I367" t="n">
        <v>0</v>
      </c>
      <c r="J367" t="n">
        <v>0</v>
      </c>
      <c r="K367" t="n">
        <v>0</v>
      </c>
      <c r="L367" t="n">
        <v>0</v>
      </c>
      <c r="M367" t="n">
        <v>0</v>
      </c>
      <c r="N367" t="n">
        <v>0</v>
      </c>
      <c r="O367" t="n">
        <v>0</v>
      </c>
      <c r="P367" t="n">
        <v>0</v>
      </c>
      <c r="Q367" t="n">
        <v>0</v>
      </c>
      <c r="R367" s="2" t="inlineStr"/>
    </row>
    <row r="368" ht="15" customHeight="1">
      <c r="A368" t="inlineStr">
        <is>
          <t>A 35462-2024</t>
        </is>
      </c>
      <c r="B368" s="1" t="n">
        <v>45531</v>
      </c>
      <c r="C368" s="1" t="n">
        <v>45914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6691-2025</t>
        </is>
      </c>
      <c r="B369" s="1" t="n">
        <v>45700.50625</v>
      </c>
      <c r="C369" s="1" t="n">
        <v>45914</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60036-2024</t>
        </is>
      </c>
      <c r="B370" s="1" t="n">
        <v>45642.46434027778</v>
      </c>
      <c r="C370" s="1" t="n">
        <v>45914</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27989-2025</t>
        </is>
      </c>
      <c r="B371" s="1" t="n">
        <v>45817.58716435185</v>
      </c>
      <c r="C371" s="1" t="n">
        <v>45914</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28284-2025</t>
        </is>
      </c>
      <c r="B372" s="1" t="n">
        <v>45818.58893518519</v>
      </c>
      <c r="C372" s="1" t="n">
        <v>45914</v>
      </c>
      <c r="D372" t="inlineStr">
        <is>
          <t>VÄSTMANLANDS LÄN</t>
        </is>
      </c>
      <c r="E372" t="inlineStr">
        <is>
          <t>SALA</t>
        </is>
      </c>
      <c r="G372" t="n">
        <v>2.4</v>
      </c>
      <c r="H372" t="n">
        <v>0</v>
      </c>
      <c r="I372" t="n">
        <v>0</v>
      </c>
      <c r="J372" t="n">
        <v>0</v>
      </c>
      <c r="K372" t="n">
        <v>0</v>
      </c>
      <c r="L372" t="n">
        <v>0</v>
      </c>
      <c r="M372" t="n">
        <v>0</v>
      </c>
      <c r="N372" t="n">
        <v>0</v>
      </c>
      <c r="O372" t="n">
        <v>0</v>
      </c>
      <c r="P372" t="n">
        <v>0</v>
      </c>
      <c r="Q372" t="n">
        <v>0</v>
      </c>
      <c r="R372" s="2" t="inlineStr"/>
    </row>
    <row r="373" ht="15" customHeight="1">
      <c r="A373" t="inlineStr">
        <is>
          <t>A 28632-2025</t>
        </is>
      </c>
      <c r="B373" s="1" t="n">
        <v>45819.62344907408</v>
      </c>
      <c r="C373" s="1" t="n">
        <v>45914</v>
      </c>
      <c r="D373" t="inlineStr">
        <is>
          <t>VÄSTMANLANDS LÄN</t>
        </is>
      </c>
      <c r="E373" t="inlineStr">
        <is>
          <t>SALA</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28628-2025</t>
        </is>
      </c>
      <c r="B374" s="1" t="n">
        <v>45819.62158564815</v>
      </c>
      <c r="C374" s="1" t="n">
        <v>45914</v>
      </c>
      <c r="D374" t="inlineStr">
        <is>
          <t>VÄSTMANLANDS LÄN</t>
        </is>
      </c>
      <c r="E374" t="inlineStr">
        <is>
          <t>SALA</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43188-2023</t>
        </is>
      </c>
      <c r="B375" s="1" t="n">
        <v>45183</v>
      </c>
      <c r="C375" s="1" t="n">
        <v>45914</v>
      </c>
      <c r="D375" t="inlineStr">
        <is>
          <t>VÄSTMANLANDS LÄN</t>
        </is>
      </c>
      <c r="E375" t="inlineStr">
        <is>
          <t>SALA</t>
        </is>
      </c>
      <c r="G375" t="n">
        <v>1.2</v>
      </c>
      <c r="H375" t="n">
        <v>0</v>
      </c>
      <c r="I375" t="n">
        <v>0</v>
      </c>
      <c r="J375" t="n">
        <v>0</v>
      </c>
      <c r="K375" t="n">
        <v>0</v>
      </c>
      <c r="L375" t="n">
        <v>0</v>
      </c>
      <c r="M375" t="n">
        <v>0</v>
      </c>
      <c r="N375" t="n">
        <v>0</v>
      </c>
      <c r="O375" t="n">
        <v>0</v>
      </c>
      <c r="P375" t="n">
        <v>0</v>
      </c>
      <c r="Q375" t="n">
        <v>0</v>
      </c>
      <c r="R375" s="2" t="inlineStr"/>
    </row>
    <row r="376" ht="15" customHeight="1">
      <c r="A376" t="inlineStr">
        <is>
          <t>A 43205-2023</t>
        </is>
      </c>
      <c r="B376" s="1" t="n">
        <v>45183</v>
      </c>
      <c r="C376" s="1" t="n">
        <v>45914</v>
      </c>
      <c r="D376" t="inlineStr">
        <is>
          <t>VÄSTMANLANDS LÄN</t>
        </is>
      </c>
      <c r="E376" t="inlineStr">
        <is>
          <t>SALA</t>
        </is>
      </c>
      <c r="G376" t="n">
        <v>2.1</v>
      </c>
      <c r="H376" t="n">
        <v>0</v>
      </c>
      <c r="I376" t="n">
        <v>0</v>
      </c>
      <c r="J376" t="n">
        <v>0</v>
      </c>
      <c r="K376" t="n">
        <v>0</v>
      </c>
      <c r="L376" t="n">
        <v>0</v>
      </c>
      <c r="M376" t="n">
        <v>0</v>
      </c>
      <c r="N376" t="n">
        <v>0</v>
      </c>
      <c r="O376" t="n">
        <v>0</v>
      </c>
      <c r="P376" t="n">
        <v>0</v>
      </c>
      <c r="Q376" t="n">
        <v>0</v>
      </c>
      <c r="R376" s="2" t="inlineStr"/>
    </row>
    <row r="377" ht="15" customHeight="1">
      <c r="A377" t="inlineStr">
        <is>
          <t>A 36393-2023</t>
        </is>
      </c>
      <c r="B377" s="1" t="n">
        <v>45152</v>
      </c>
      <c r="C377" s="1" t="n">
        <v>45914</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28827-2022</t>
        </is>
      </c>
      <c r="B378" s="1" t="n">
        <v>44749.45561342593</v>
      </c>
      <c r="C378" s="1" t="n">
        <v>45914</v>
      </c>
      <c r="D378" t="inlineStr">
        <is>
          <t>VÄSTMANLANDS LÄN</t>
        </is>
      </c>
      <c r="E378" t="inlineStr">
        <is>
          <t>SALA</t>
        </is>
      </c>
      <c r="F378" t="inlineStr">
        <is>
          <t>Kommuner</t>
        </is>
      </c>
      <c r="G378" t="n">
        <v>11.9</v>
      </c>
      <c r="H378" t="n">
        <v>0</v>
      </c>
      <c r="I378" t="n">
        <v>0</v>
      </c>
      <c r="J378" t="n">
        <v>0</v>
      </c>
      <c r="K378" t="n">
        <v>0</v>
      </c>
      <c r="L378" t="n">
        <v>0</v>
      </c>
      <c r="M378" t="n">
        <v>0</v>
      </c>
      <c r="N378" t="n">
        <v>0</v>
      </c>
      <c r="O378" t="n">
        <v>0</v>
      </c>
      <c r="P378" t="n">
        <v>0</v>
      </c>
      <c r="Q378" t="n">
        <v>0</v>
      </c>
      <c r="R378" s="2" t="inlineStr"/>
    </row>
    <row r="379" ht="15" customHeight="1">
      <c r="A379" t="inlineStr">
        <is>
          <t>A 45790-2023</t>
        </is>
      </c>
      <c r="B379" s="1" t="n">
        <v>45195.45958333334</v>
      </c>
      <c r="C379" s="1" t="n">
        <v>45914</v>
      </c>
      <c r="D379" t="inlineStr">
        <is>
          <t>VÄSTMANLANDS LÄN</t>
        </is>
      </c>
      <c r="E379" t="inlineStr">
        <is>
          <t>SALA</t>
        </is>
      </c>
      <c r="G379" t="n">
        <v>5.7</v>
      </c>
      <c r="H379" t="n">
        <v>0</v>
      </c>
      <c r="I379" t="n">
        <v>0</v>
      </c>
      <c r="J379" t="n">
        <v>0</v>
      </c>
      <c r="K379" t="n">
        <v>0</v>
      </c>
      <c r="L379" t="n">
        <v>0</v>
      </c>
      <c r="M379" t="n">
        <v>0</v>
      </c>
      <c r="N379" t="n">
        <v>0</v>
      </c>
      <c r="O379" t="n">
        <v>0</v>
      </c>
      <c r="P379" t="n">
        <v>0</v>
      </c>
      <c r="Q379" t="n">
        <v>0</v>
      </c>
      <c r="R379" s="2" t="inlineStr"/>
    </row>
    <row r="380" ht="15" customHeight="1">
      <c r="A380" t="inlineStr">
        <is>
          <t>A 28630-2025</t>
        </is>
      </c>
      <c r="B380" s="1" t="n">
        <v>45819.62274305556</v>
      </c>
      <c r="C380" s="1" t="n">
        <v>45914</v>
      </c>
      <c r="D380" t="inlineStr">
        <is>
          <t>VÄSTMANLANDS LÄN</t>
        </is>
      </c>
      <c r="E380" t="inlineStr">
        <is>
          <t>SALA</t>
        </is>
      </c>
      <c r="F380" t="inlineStr">
        <is>
          <t>Sveaskog</t>
        </is>
      </c>
      <c r="G380" t="n">
        <v>9</v>
      </c>
      <c r="H380" t="n">
        <v>0</v>
      </c>
      <c r="I380" t="n">
        <v>0</v>
      </c>
      <c r="J380" t="n">
        <v>0</v>
      </c>
      <c r="K380" t="n">
        <v>0</v>
      </c>
      <c r="L380" t="n">
        <v>0</v>
      </c>
      <c r="M380" t="n">
        <v>0</v>
      </c>
      <c r="N380" t="n">
        <v>0</v>
      </c>
      <c r="O380" t="n">
        <v>0</v>
      </c>
      <c r="P380" t="n">
        <v>0</v>
      </c>
      <c r="Q380" t="n">
        <v>0</v>
      </c>
      <c r="R380" s="2" t="inlineStr"/>
    </row>
    <row r="381" ht="15" customHeight="1">
      <c r="A381" t="inlineStr">
        <is>
          <t>A 56949-2023</t>
        </is>
      </c>
      <c r="B381" s="1" t="n">
        <v>45244.61589120371</v>
      </c>
      <c r="C381" s="1" t="n">
        <v>45914</v>
      </c>
      <c r="D381" t="inlineStr">
        <is>
          <t>VÄSTMANLANDS LÄN</t>
        </is>
      </c>
      <c r="E381" t="inlineStr">
        <is>
          <t>SALA</t>
        </is>
      </c>
      <c r="G381" t="n">
        <v>4.7</v>
      </c>
      <c r="H381" t="n">
        <v>0</v>
      </c>
      <c r="I381" t="n">
        <v>0</v>
      </c>
      <c r="J381" t="n">
        <v>0</v>
      </c>
      <c r="K381" t="n">
        <v>0</v>
      </c>
      <c r="L381" t="n">
        <v>0</v>
      </c>
      <c r="M381" t="n">
        <v>0</v>
      </c>
      <c r="N381" t="n">
        <v>0</v>
      </c>
      <c r="O381" t="n">
        <v>0</v>
      </c>
      <c r="P381" t="n">
        <v>0</v>
      </c>
      <c r="Q381" t="n">
        <v>0</v>
      </c>
      <c r="R381" s="2" t="inlineStr"/>
    </row>
    <row r="382" ht="15" customHeight="1">
      <c r="A382" t="inlineStr">
        <is>
          <t>A 28837-2025</t>
        </is>
      </c>
      <c r="B382" s="1" t="n">
        <v>45820.56243055555</v>
      </c>
      <c r="C382" s="1" t="n">
        <v>45914</v>
      </c>
      <c r="D382" t="inlineStr">
        <is>
          <t>VÄSTMANLANDS LÄN</t>
        </is>
      </c>
      <c r="E382" t="inlineStr">
        <is>
          <t>SALA</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28849-2025</t>
        </is>
      </c>
      <c r="B383" s="1" t="n">
        <v>45820</v>
      </c>
      <c r="C383" s="1" t="n">
        <v>45914</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15756-2025</t>
        </is>
      </c>
      <c r="B384" s="1" t="n">
        <v>45748.56810185185</v>
      </c>
      <c r="C384" s="1" t="n">
        <v>45914</v>
      </c>
      <c r="D384" t="inlineStr">
        <is>
          <t>VÄSTMANLANDS LÄN</t>
        </is>
      </c>
      <c r="E384" t="inlineStr">
        <is>
          <t>SALA</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19243-2025</t>
        </is>
      </c>
      <c r="B385" s="1" t="n">
        <v>45769</v>
      </c>
      <c r="C385" s="1" t="n">
        <v>45914</v>
      </c>
      <c r="D385" t="inlineStr">
        <is>
          <t>VÄSTMANLANDS LÄN</t>
        </is>
      </c>
      <c r="E385" t="inlineStr">
        <is>
          <t>SALA</t>
        </is>
      </c>
      <c r="F385" t="inlineStr">
        <is>
          <t>Bergvik skog öst AB</t>
        </is>
      </c>
      <c r="G385" t="n">
        <v>1.5</v>
      </c>
      <c r="H385" t="n">
        <v>0</v>
      </c>
      <c r="I385" t="n">
        <v>0</v>
      </c>
      <c r="J385" t="n">
        <v>0</v>
      </c>
      <c r="K385" t="n">
        <v>0</v>
      </c>
      <c r="L385" t="n">
        <v>0</v>
      </c>
      <c r="M385" t="n">
        <v>0</v>
      </c>
      <c r="N385" t="n">
        <v>0</v>
      </c>
      <c r="O385" t="n">
        <v>0</v>
      </c>
      <c r="P385" t="n">
        <v>0</v>
      </c>
      <c r="Q385" t="n">
        <v>0</v>
      </c>
      <c r="R385" s="2" t="inlineStr"/>
    </row>
    <row r="386" ht="15" customHeight="1">
      <c r="A386" t="inlineStr">
        <is>
          <t>A 59297-2023</t>
        </is>
      </c>
      <c r="B386" s="1" t="n">
        <v>45253</v>
      </c>
      <c r="C386" s="1" t="n">
        <v>45914</v>
      </c>
      <c r="D386" t="inlineStr">
        <is>
          <t>VÄSTMANLANDS LÄN</t>
        </is>
      </c>
      <c r="E386" t="inlineStr">
        <is>
          <t>SALA</t>
        </is>
      </c>
      <c r="G386" t="n">
        <v>2</v>
      </c>
      <c r="H386" t="n">
        <v>0</v>
      </c>
      <c r="I386" t="n">
        <v>0</v>
      </c>
      <c r="J386" t="n">
        <v>0</v>
      </c>
      <c r="K386" t="n">
        <v>0</v>
      </c>
      <c r="L386" t="n">
        <v>0</v>
      </c>
      <c r="M386" t="n">
        <v>0</v>
      </c>
      <c r="N386" t="n">
        <v>0</v>
      </c>
      <c r="O386" t="n">
        <v>0</v>
      </c>
      <c r="P386" t="n">
        <v>0</v>
      </c>
      <c r="Q386" t="n">
        <v>0</v>
      </c>
      <c r="R386" s="2" t="inlineStr"/>
    </row>
    <row r="387" ht="15" customHeight="1">
      <c r="A387" t="inlineStr">
        <is>
          <t>A 6136-2025</t>
        </is>
      </c>
      <c r="B387" s="1" t="n">
        <v>45698.37601851852</v>
      </c>
      <c r="C387" s="1" t="n">
        <v>45914</v>
      </c>
      <c r="D387" t="inlineStr">
        <is>
          <t>VÄSTMANLANDS LÄN</t>
        </is>
      </c>
      <c r="E387" t="inlineStr">
        <is>
          <t>SALA</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6190-2025</t>
        </is>
      </c>
      <c r="B388" s="1" t="n">
        <v>45698</v>
      </c>
      <c r="C388" s="1" t="n">
        <v>45914</v>
      </c>
      <c r="D388" t="inlineStr">
        <is>
          <t>VÄSTMANLANDS LÄN</t>
        </is>
      </c>
      <c r="E388" t="inlineStr">
        <is>
          <t>SALA</t>
        </is>
      </c>
      <c r="F388" t="inlineStr">
        <is>
          <t>Bergvik skog öst AB</t>
        </is>
      </c>
      <c r="G388" t="n">
        <v>4.6</v>
      </c>
      <c r="H388" t="n">
        <v>0</v>
      </c>
      <c r="I388" t="n">
        <v>0</v>
      </c>
      <c r="J388" t="n">
        <v>0</v>
      </c>
      <c r="K388" t="n">
        <v>0</v>
      </c>
      <c r="L388" t="n">
        <v>0</v>
      </c>
      <c r="M388" t="n">
        <v>0</v>
      </c>
      <c r="N388" t="n">
        <v>0</v>
      </c>
      <c r="O388" t="n">
        <v>0</v>
      </c>
      <c r="P388" t="n">
        <v>0</v>
      </c>
      <c r="Q388" t="n">
        <v>0</v>
      </c>
      <c r="R388" s="2" t="inlineStr"/>
    </row>
    <row r="389" ht="15" customHeight="1">
      <c r="A389" t="inlineStr">
        <is>
          <t>A 29085-2025</t>
        </is>
      </c>
      <c r="B389" s="1" t="n">
        <v>45821</v>
      </c>
      <c r="C389" s="1" t="n">
        <v>45914</v>
      </c>
      <c r="D389" t="inlineStr">
        <is>
          <t>VÄSTMANLANDS LÄN</t>
        </is>
      </c>
      <c r="E389" t="inlineStr">
        <is>
          <t>SALA</t>
        </is>
      </c>
      <c r="G389" t="n">
        <v>3.5</v>
      </c>
      <c r="H389" t="n">
        <v>0</v>
      </c>
      <c r="I389" t="n">
        <v>0</v>
      </c>
      <c r="J389" t="n">
        <v>0</v>
      </c>
      <c r="K389" t="n">
        <v>0</v>
      </c>
      <c r="L389" t="n">
        <v>0</v>
      </c>
      <c r="M389" t="n">
        <v>0</v>
      </c>
      <c r="N389" t="n">
        <v>0</v>
      </c>
      <c r="O389" t="n">
        <v>0</v>
      </c>
      <c r="P389" t="n">
        <v>0</v>
      </c>
      <c r="Q389" t="n">
        <v>0</v>
      </c>
      <c r="R389" s="2" t="inlineStr"/>
    </row>
    <row r="390" ht="15" customHeight="1">
      <c r="A390" t="inlineStr">
        <is>
          <t>A 40214-2023</t>
        </is>
      </c>
      <c r="B390" s="1" t="n">
        <v>45169.45173611111</v>
      </c>
      <c r="C390" s="1" t="n">
        <v>45914</v>
      </c>
      <c r="D390" t="inlineStr">
        <is>
          <t>VÄSTMANLANDS LÄN</t>
        </is>
      </c>
      <c r="E390" t="inlineStr">
        <is>
          <t>SALA</t>
        </is>
      </c>
      <c r="G390" t="n">
        <v>5.5</v>
      </c>
      <c r="H390" t="n">
        <v>0</v>
      </c>
      <c r="I390" t="n">
        <v>0</v>
      </c>
      <c r="J390" t="n">
        <v>0</v>
      </c>
      <c r="K390" t="n">
        <v>0</v>
      </c>
      <c r="L390" t="n">
        <v>0</v>
      </c>
      <c r="M390" t="n">
        <v>0</v>
      </c>
      <c r="N390" t="n">
        <v>0</v>
      </c>
      <c r="O390" t="n">
        <v>0</v>
      </c>
      <c r="P390" t="n">
        <v>0</v>
      </c>
      <c r="Q390" t="n">
        <v>0</v>
      </c>
      <c r="R390" s="2" t="inlineStr"/>
    </row>
    <row r="391" ht="15" customHeight="1">
      <c r="A391" t="inlineStr">
        <is>
          <t>A 28863-2022</t>
        </is>
      </c>
      <c r="B391" s="1" t="n">
        <v>44749.50649305555</v>
      </c>
      <c r="C391" s="1" t="n">
        <v>45914</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60541-2024</t>
        </is>
      </c>
      <c r="B392" s="1" t="n">
        <v>45643</v>
      </c>
      <c r="C392" s="1" t="n">
        <v>45914</v>
      </c>
      <c r="D392" t="inlineStr">
        <is>
          <t>VÄSTMANLANDS LÄN</t>
        </is>
      </c>
      <c r="E392" t="inlineStr">
        <is>
          <t>SALA</t>
        </is>
      </c>
      <c r="G392" t="n">
        <v>10.6</v>
      </c>
      <c r="H392" t="n">
        <v>0</v>
      </c>
      <c r="I392" t="n">
        <v>0</v>
      </c>
      <c r="J392" t="n">
        <v>0</v>
      </c>
      <c r="K392" t="n">
        <v>0</v>
      </c>
      <c r="L392" t="n">
        <v>0</v>
      </c>
      <c r="M392" t="n">
        <v>0</v>
      </c>
      <c r="N392" t="n">
        <v>0</v>
      </c>
      <c r="O392" t="n">
        <v>0</v>
      </c>
      <c r="P392" t="n">
        <v>0</v>
      </c>
      <c r="Q392" t="n">
        <v>0</v>
      </c>
      <c r="R392" s="2" t="inlineStr"/>
    </row>
    <row r="393" ht="15" customHeight="1">
      <c r="A393" t="inlineStr">
        <is>
          <t>A 29826-2025</t>
        </is>
      </c>
      <c r="B393" s="1" t="n">
        <v>45825.85761574074</v>
      </c>
      <c r="C393" s="1" t="n">
        <v>45914</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35016-2024</t>
        </is>
      </c>
      <c r="B394" s="1" t="n">
        <v>45527.59115740741</v>
      </c>
      <c r="C394" s="1" t="n">
        <v>45914</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25541-2024</t>
        </is>
      </c>
      <c r="B395" s="1" t="n">
        <v>45463.56337962963</v>
      </c>
      <c r="C395" s="1" t="n">
        <v>45914</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37612-2024</t>
        </is>
      </c>
      <c r="B396" s="1" t="n">
        <v>45541</v>
      </c>
      <c r="C396" s="1" t="n">
        <v>45914</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37615-2024</t>
        </is>
      </c>
      <c r="B397" s="1" t="n">
        <v>45541.50673611111</v>
      </c>
      <c r="C397" s="1" t="n">
        <v>45914</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5728-2022</t>
        </is>
      </c>
      <c r="B398" s="1" t="n">
        <v>44596.42082175926</v>
      </c>
      <c r="C398" s="1" t="n">
        <v>45914</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29691-2025</t>
        </is>
      </c>
      <c r="B399" s="1" t="n">
        <v>45825.53645833334</v>
      </c>
      <c r="C399" s="1" t="n">
        <v>45914</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29213-2022</t>
        </is>
      </c>
      <c r="B400" s="1" t="n">
        <v>44750.57474537037</v>
      </c>
      <c r="C400" s="1" t="n">
        <v>45914</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7681-2021</t>
        </is>
      </c>
      <c r="B401" s="1" t="n">
        <v>44242</v>
      </c>
      <c r="C401" s="1" t="n">
        <v>45914</v>
      </c>
      <c r="D401" t="inlineStr">
        <is>
          <t>VÄSTMANLANDS LÄN</t>
        </is>
      </c>
      <c r="E401" t="inlineStr">
        <is>
          <t>SALA</t>
        </is>
      </c>
      <c r="F401" t="inlineStr">
        <is>
          <t>Sveaskog</t>
        </is>
      </c>
      <c r="G401" t="n">
        <v>16.1</v>
      </c>
      <c r="H401" t="n">
        <v>0</v>
      </c>
      <c r="I401" t="n">
        <v>0</v>
      </c>
      <c r="J401" t="n">
        <v>0</v>
      </c>
      <c r="K401" t="n">
        <v>0</v>
      </c>
      <c r="L401" t="n">
        <v>0</v>
      </c>
      <c r="M401" t="n">
        <v>0</v>
      </c>
      <c r="N401" t="n">
        <v>0</v>
      </c>
      <c r="O401" t="n">
        <v>0</v>
      </c>
      <c r="P401" t="n">
        <v>0</v>
      </c>
      <c r="Q401" t="n">
        <v>0</v>
      </c>
      <c r="R401" s="2" t="inlineStr"/>
    </row>
    <row r="402" ht="15" customHeight="1">
      <c r="A402" t="inlineStr">
        <is>
          <t>A 29972-2025</t>
        </is>
      </c>
      <c r="B402" s="1" t="n">
        <v>45826</v>
      </c>
      <c r="C402" s="1" t="n">
        <v>45914</v>
      </c>
      <c r="D402" t="inlineStr">
        <is>
          <t>VÄSTMANLANDS LÄN</t>
        </is>
      </c>
      <c r="E402" t="inlineStr">
        <is>
          <t>SALA</t>
        </is>
      </c>
      <c r="G402" t="n">
        <v>2.7</v>
      </c>
      <c r="H402" t="n">
        <v>0</v>
      </c>
      <c r="I402" t="n">
        <v>0</v>
      </c>
      <c r="J402" t="n">
        <v>0</v>
      </c>
      <c r="K402" t="n">
        <v>0</v>
      </c>
      <c r="L402" t="n">
        <v>0</v>
      </c>
      <c r="M402" t="n">
        <v>0</v>
      </c>
      <c r="N402" t="n">
        <v>0</v>
      </c>
      <c r="O402" t="n">
        <v>0</v>
      </c>
      <c r="P402" t="n">
        <v>0</v>
      </c>
      <c r="Q402" t="n">
        <v>0</v>
      </c>
      <c r="R402" s="2" t="inlineStr"/>
    </row>
    <row r="403" ht="15" customHeight="1">
      <c r="A403" t="inlineStr">
        <is>
          <t>A 56964-2023</t>
        </is>
      </c>
      <c r="B403" s="1" t="n">
        <v>45244.63140046296</v>
      </c>
      <c r="C403" s="1" t="n">
        <v>45914</v>
      </c>
      <c r="D403" t="inlineStr">
        <is>
          <t>VÄSTMANLANDS LÄN</t>
        </is>
      </c>
      <c r="E403" t="inlineStr">
        <is>
          <t>SALA</t>
        </is>
      </c>
      <c r="G403" t="n">
        <v>4.6</v>
      </c>
      <c r="H403" t="n">
        <v>0</v>
      </c>
      <c r="I403" t="n">
        <v>0</v>
      </c>
      <c r="J403" t="n">
        <v>0</v>
      </c>
      <c r="K403" t="n">
        <v>0</v>
      </c>
      <c r="L403" t="n">
        <v>0</v>
      </c>
      <c r="M403" t="n">
        <v>0</v>
      </c>
      <c r="N403" t="n">
        <v>0</v>
      </c>
      <c r="O403" t="n">
        <v>0</v>
      </c>
      <c r="P403" t="n">
        <v>0</v>
      </c>
      <c r="Q403" t="n">
        <v>0</v>
      </c>
      <c r="R403" s="2" t="inlineStr"/>
    </row>
    <row r="404" ht="15" customHeight="1">
      <c r="A404" t="inlineStr">
        <is>
          <t>A 43359-2024</t>
        </is>
      </c>
      <c r="B404" s="1" t="n">
        <v>45568.57724537037</v>
      </c>
      <c r="C404" s="1" t="n">
        <v>45914</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19751-2022</t>
        </is>
      </c>
      <c r="B405" s="1" t="n">
        <v>44694</v>
      </c>
      <c r="C405" s="1" t="n">
        <v>45914</v>
      </c>
      <c r="D405" t="inlineStr">
        <is>
          <t>VÄSTMANLANDS LÄN</t>
        </is>
      </c>
      <c r="E405" t="inlineStr">
        <is>
          <t>SALA</t>
        </is>
      </c>
      <c r="G405" t="n">
        <v>2.7</v>
      </c>
      <c r="H405" t="n">
        <v>0</v>
      </c>
      <c r="I405" t="n">
        <v>0</v>
      </c>
      <c r="J405" t="n">
        <v>0</v>
      </c>
      <c r="K405" t="n">
        <v>0</v>
      </c>
      <c r="L405" t="n">
        <v>0</v>
      </c>
      <c r="M405" t="n">
        <v>0</v>
      </c>
      <c r="N405" t="n">
        <v>0</v>
      </c>
      <c r="O405" t="n">
        <v>0</v>
      </c>
      <c r="P405" t="n">
        <v>0</v>
      </c>
      <c r="Q405" t="n">
        <v>0</v>
      </c>
      <c r="R405" s="2" t="inlineStr"/>
    </row>
    <row r="406" ht="15" customHeight="1">
      <c r="A406" t="inlineStr">
        <is>
          <t>A 30874-2025</t>
        </is>
      </c>
      <c r="B406" s="1" t="n">
        <v>45832.34430555555</v>
      </c>
      <c r="C406" s="1" t="n">
        <v>45914</v>
      </c>
      <c r="D406" t="inlineStr">
        <is>
          <t>VÄSTMANLANDS LÄN</t>
        </is>
      </c>
      <c r="E406" t="inlineStr">
        <is>
          <t>SALA</t>
        </is>
      </c>
      <c r="G406" t="n">
        <v>8.4</v>
      </c>
      <c r="H406" t="n">
        <v>0</v>
      </c>
      <c r="I406" t="n">
        <v>0</v>
      </c>
      <c r="J406" t="n">
        <v>0</v>
      </c>
      <c r="K406" t="n">
        <v>0</v>
      </c>
      <c r="L406" t="n">
        <v>0</v>
      </c>
      <c r="M406" t="n">
        <v>0</v>
      </c>
      <c r="N406" t="n">
        <v>0</v>
      </c>
      <c r="O406" t="n">
        <v>0</v>
      </c>
      <c r="P406" t="n">
        <v>0</v>
      </c>
      <c r="Q406" t="n">
        <v>0</v>
      </c>
      <c r="R406" s="2" t="inlineStr"/>
    </row>
    <row r="407" ht="15" customHeight="1">
      <c r="A407" t="inlineStr">
        <is>
          <t>A 46279-2021</t>
        </is>
      </c>
      <c r="B407" s="1" t="n">
        <v>44442.57797453704</v>
      </c>
      <c r="C407" s="1" t="n">
        <v>45914</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1555-2024</t>
        </is>
      </c>
      <c r="B408" s="1" t="n">
        <v>45306</v>
      </c>
      <c r="C408" s="1" t="n">
        <v>45914</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13188-2025</t>
        </is>
      </c>
      <c r="B409" s="1" t="n">
        <v>45735.39246527778</v>
      </c>
      <c r="C409" s="1" t="n">
        <v>45914</v>
      </c>
      <c r="D409" t="inlineStr">
        <is>
          <t>VÄSTMANLANDS LÄN</t>
        </is>
      </c>
      <c r="E409" t="inlineStr">
        <is>
          <t>SALA</t>
        </is>
      </c>
      <c r="F409" t="inlineStr">
        <is>
          <t>Naturvårdsverket</t>
        </is>
      </c>
      <c r="G409" t="n">
        <v>18.4</v>
      </c>
      <c r="H409" t="n">
        <v>0</v>
      </c>
      <c r="I409" t="n">
        <v>0</v>
      </c>
      <c r="J409" t="n">
        <v>0</v>
      </c>
      <c r="K409" t="n">
        <v>0</v>
      </c>
      <c r="L409" t="n">
        <v>0</v>
      </c>
      <c r="M409" t="n">
        <v>0</v>
      </c>
      <c r="N409" t="n">
        <v>0</v>
      </c>
      <c r="O409" t="n">
        <v>0</v>
      </c>
      <c r="P409" t="n">
        <v>0</v>
      </c>
      <c r="Q409" t="n">
        <v>0</v>
      </c>
      <c r="R409" s="2" t="inlineStr"/>
    </row>
    <row r="410" ht="15" customHeight="1">
      <c r="A410" t="inlineStr">
        <is>
          <t>A 37017-2025</t>
        </is>
      </c>
      <c r="B410" s="1" t="n">
        <v>45874</v>
      </c>
      <c r="C410" s="1" t="n">
        <v>45914</v>
      </c>
      <c r="D410" t="inlineStr">
        <is>
          <t>VÄSTMANLANDS LÄN</t>
        </is>
      </c>
      <c r="E410" t="inlineStr">
        <is>
          <t>SALA</t>
        </is>
      </c>
      <c r="G410" t="n">
        <v>11.1</v>
      </c>
      <c r="H410" t="n">
        <v>0</v>
      </c>
      <c r="I410" t="n">
        <v>0</v>
      </c>
      <c r="J410" t="n">
        <v>0</v>
      </c>
      <c r="K410" t="n">
        <v>0</v>
      </c>
      <c r="L410" t="n">
        <v>0</v>
      </c>
      <c r="M410" t="n">
        <v>0</v>
      </c>
      <c r="N410" t="n">
        <v>0</v>
      </c>
      <c r="O410" t="n">
        <v>0</v>
      </c>
      <c r="P410" t="n">
        <v>0</v>
      </c>
      <c r="Q410" t="n">
        <v>0</v>
      </c>
      <c r="R410" s="2" t="inlineStr"/>
    </row>
    <row r="411" ht="15" customHeight="1">
      <c r="A411" t="inlineStr">
        <is>
          <t>A 30899-2025</t>
        </is>
      </c>
      <c r="B411" s="1" t="n">
        <v>45832.35767361111</v>
      </c>
      <c r="C411" s="1" t="n">
        <v>45914</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30866-2025</t>
        </is>
      </c>
      <c r="B412" s="1" t="n">
        <v>45832.3246875</v>
      </c>
      <c r="C412" s="1" t="n">
        <v>45914</v>
      </c>
      <c r="D412" t="inlineStr">
        <is>
          <t>VÄSTMANLANDS LÄN</t>
        </is>
      </c>
      <c r="E412" t="inlineStr">
        <is>
          <t>SALA</t>
        </is>
      </c>
      <c r="G412" t="n">
        <v>14.3</v>
      </c>
      <c r="H412" t="n">
        <v>0</v>
      </c>
      <c r="I412" t="n">
        <v>0</v>
      </c>
      <c r="J412" t="n">
        <v>0</v>
      </c>
      <c r="K412" t="n">
        <v>0</v>
      </c>
      <c r="L412" t="n">
        <v>0</v>
      </c>
      <c r="M412" t="n">
        <v>0</v>
      </c>
      <c r="N412" t="n">
        <v>0</v>
      </c>
      <c r="O412" t="n">
        <v>0</v>
      </c>
      <c r="P412" t="n">
        <v>0</v>
      </c>
      <c r="Q412" t="n">
        <v>0</v>
      </c>
      <c r="R412" s="2" t="inlineStr"/>
    </row>
    <row r="413" ht="15" customHeight="1">
      <c r="A413" t="inlineStr">
        <is>
          <t>A 6312-2025</t>
        </is>
      </c>
      <c r="B413" s="1" t="n">
        <v>45698</v>
      </c>
      <c r="C413" s="1" t="n">
        <v>45914</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7197-2025</t>
        </is>
      </c>
      <c r="B414" s="1" t="n">
        <v>45702</v>
      </c>
      <c r="C414" s="1" t="n">
        <v>45914</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31065-2025</t>
        </is>
      </c>
      <c r="B415" s="1" t="n">
        <v>45832.57571759259</v>
      </c>
      <c r="C415" s="1" t="n">
        <v>45914</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55035-2023</t>
        </is>
      </c>
      <c r="B416" s="1" t="n">
        <v>45229</v>
      </c>
      <c r="C416" s="1" t="n">
        <v>45914</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15099-2025</t>
        </is>
      </c>
      <c r="B417" s="1" t="n">
        <v>45744.3434837963</v>
      </c>
      <c r="C417" s="1" t="n">
        <v>45914</v>
      </c>
      <c r="D417" t="inlineStr">
        <is>
          <t>VÄSTMANLANDS LÄN</t>
        </is>
      </c>
      <c r="E417" t="inlineStr">
        <is>
          <t>SALA</t>
        </is>
      </c>
      <c r="F417" t="inlineStr">
        <is>
          <t>Sveaskog</t>
        </is>
      </c>
      <c r="G417" t="n">
        <v>14.4</v>
      </c>
      <c r="H417" t="n">
        <v>0</v>
      </c>
      <c r="I417" t="n">
        <v>0</v>
      </c>
      <c r="J417" t="n">
        <v>0</v>
      </c>
      <c r="K417" t="n">
        <v>0</v>
      </c>
      <c r="L417" t="n">
        <v>0</v>
      </c>
      <c r="M417" t="n">
        <v>0</v>
      </c>
      <c r="N417" t="n">
        <v>0</v>
      </c>
      <c r="O417" t="n">
        <v>0</v>
      </c>
      <c r="P417" t="n">
        <v>0</v>
      </c>
      <c r="Q417" t="n">
        <v>0</v>
      </c>
      <c r="R417" s="2" t="inlineStr"/>
    </row>
    <row r="418" ht="15" customHeight="1">
      <c r="A418" t="inlineStr">
        <is>
          <t>A 4736-2021</t>
        </is>
      </c>
      <c r="B418" s="1" t="n">
        <v>44225</v>
      </c>
      <c r="C418" s="1" t="n">
        <v>45914</v>
      </c>
      <c r="D418" t="inlineStr">
        <is>
          <t>VÄSTMANLANDS LÄN</t>
        </is>
      </c>
      <c r="E418" t="inlineStr">
        <is>
          <t>SALA</t>
        </is>
      </c>
      <c r="G418" t="n">
        <v>4.2</v>
      </c>
      <c r="H418" t="n">
        <v>0</v>
      </c>
      <c r="I418" t="n">
        <v>0</v>
      </c>
      <c r="J418" t="n">
        <v>0</v>
      </c>
      <c r="K418" t="n">
        <v>0</v>
      </c>
      <c r="L418" t="n">
        <v>0</v>
      </c>
      <c r="M418" t="n">
        <v>0</v>
      </c>
      <c r="N418" t="n">
        <v>0</v>
      </c>
      <c r="O418" t="n">
        <v>0</v>
      </c>
      <c r="P418" t="n">
        <v>0</v>
      </c>
      <c r="Q418" t="n">
        <v>0</v>
      </c>
      <c r="R418" s="2" t="inlineStr"/>
    </row>
    <row r="419" ht="15" customHeight="1">
      <c r="A419" t="inlineStr">
        <is>
          <t>A 31612-2025</t>
        </is>
      </c>
      <c r="B419" s="1" t="n">
        <v>45833.80056712963</v>
      </c>
      <c r="C419" s="1" t="n">
        <v>45914</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31748-2025</t>
        </is>
      </c>
      <c r="B420" s="1" t="n">
        <v>45834</v>
      </c>
      <c r="C420" s="1" t="n">
        <v>45914</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2928-2024</t>
        </is>
      </c>
      <c r="B421" s="1" t="n">
        <v>45315.59041666667</v>
      </c>
      <c r="C421" s="1" t="n">
        <v>45914</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31288-2025</t>
        </is>
      </c>
      <c r="B422" s="1" t="n">
        <v>45833</v>
      </c>
      <c r="C422" s="1" t="n">
        <v>45914</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31771-2025</t>
        </is>
      </c>
      <c r="B423" s="1" t="n">
        <v>45834.50910879629</v>
      </c>
      <c r="C423" s="1" t="n">
        <v>45914</v>
      </c>
      <c r="D423" t="inlineStr">
        <is>
          <t>VÄSTMANLANDS LÄN</t>
        </is>
      </c>
      <c r="E423" t="inlineStr">
        <is>
          <t>SALA</t>
        </is>
      </c>
      <c r="G423" t="n">
        <v>5.1</v>
      </c>
      <c r="H423" t="n">
        <v>0</v>
      </c>
      <c r="I423" t="n">
        <v>0</v>
      </c>
      <c r="J423" t="n">
        <v>0</v>
      </c>
      <c r="K423" t="n">
        <v>0</v>
      </c>
      <c r="L423" t="n">
        <v>0</v>
      </c>
      <c r="M423" t="n">
        <v>0</v>
      </c>
      <c r="N423" t="n">
        <v>0</v>
      </c>
      <c r="O423" t="n">
        <v>0</v>
      </c>
      <c r="P423" t="n">
        <v>0</v>
      </c>
      <c r="Q423" t="n">
        <v>0</v>
      </c>
      <c r="R423" s="2" t="inlineStr"/>
    </row>
    <row r="424" ht="15" customHeight="1">
      <c r="A424" t="inlineStr">
        <is>
          <t>A 31860-2025</t>
        </is>
      </c>
      <c r="B424" s="1" t="n">
        <v>45834</v>
      </c>
      <c r="C424" s="1" t="n">
        <v>45914</v>
      </c>
      <c r="D424" t="inlineStr">
        <is>
          <t>VÄSTMANLANDS LÄN</t>
        </is>
      </c>
      <c r="E424" t="inlineStr">
        <is>
          <t>SALA</t>
        </is>
      </c>
      <c r="G424" t="n">
        <v>7.4</v>
      </c>
      <c r="H424" t="n">
        <v>0</v>
      </c>
      <c r="I424" t="n">
        <v>0</v>
      </c>
      <c r="J424" t="n">
        <v>0</v>
      </c>
      <c r="K424" t="n">
        <v>0</v>
      </c>
      <c r="L424" t="n">
        <v>0</v>
      </c>
      <c r="M424" t="n">
        <v>0</v>
      </c>
      <c r="N424" t="n">
        <v>0</v>
      </c>
      <c r="O424" t="n">
        <v>0</v>
      </c>
      <c r="P424" t="n">
        <v>0</v>
      </c>
      <c r="Q424" t="n">
        <v>0</v>
      </c>
      <c r="R424" s="2" t="inlineStr"/>
    </row>
    <row r="425" ht="15" customHeight="1">
      <c r="A425" t="inlineStr">
        <is>
          <t>A 31864-2025</t>
        </is>
      </c>
      <c r="B425" s="1" t="n">
        <v>45834.63819444444</v>
      </c>
      <c r="C425" s="1" t="n">
        <v>45914</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37263-2025</t>
        </is>
      </c>
      <c r="B426" s="1" t="n">
        <v>45876.4584837963</v>
      </c>
      <c r="C426" s="1" t="n">
        <v>45914</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31887-2025</t>
        </is>
      </c>
      <c r="B427" s="1" t="n">
        <v>45834.6608449074</v>
      </c>
      <c r="C427" s="1" t="n">
        <v>45914</v>
      </c>
      <c r="D427" t="inlineStr">
        <is>
          <t>VÄSTMANLANDS LÄN</t>
        </is>
      </c>
      <c r="E427" t="inlineStr">
        <is>
          <t>SALA</t>
        </is>
      </c>
      <c r="G427" t="n">
        <v>7</v>
      </c>
      <c r="H427" t="n">
        <v>0</v>
      </c>
      <c r="I427" t="n">
        <v>0</v>
      </c>
      <c r="J427" t="n">
        <v>0</v>
      </c>
      <c r="K427" t="n">
        <v>0</v>
      </c>
      <c r="L427" t="n">
        <v>0</v>
      </c>
      <c r="M427" t="n">
        <v>0</v>
      </c>
      <c r="N427" t="n">
        <v>0</v>
      </c>
      <c r="O427" t="n">
        <v>0</v>
      </c>
      <c r="P427" t="n">
        <v>0</v>
      </c>
      <c r="Q427" t="n">
        <v>0</v>
      </c>
      <c r="R427" s="2" t="inlineStr"/>
    </row>
    <row r="428" ht="15" customHeight="1">
      <c r="A428" t="inlineStr">
        <is>
          <t>A 37253-2025</t>
        </is>
      </c>
      <c r="B428" s="1" t="n">
        <v>45876.42290509259</v>
      </c>
      <c r="C428" s="1" t="n">
        <v>45914</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9962-2025</t>
        </is>
      </c>
      <c r="B429" s="1" t="n">
        <v>45719.37072916667</v>
      </c>
      <c r="C429" s="1" t="n">
        <v>45914</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31554-2025</t>
        </is>
      </c>
      <c r="B430" s="1" t="n">
        <v>45833</v>
      </c>
      <c r="C430" s="1" t="n">
        <v>45914</v>
      </c>
      <c r="D430" t="inlineStr">
        <is>
          <t>VÄSTMANLANDS LÄN</t>
        </is>
      </c>
      <c r="E430" t="inlineStr">
        <is>
          <t>SALA</t>
        </is>
      </c>
      <c r="G430" t="n">
        <v>1.5</v>
      </c>
      <c r="H430" t="n">
        <v>0</v>
      </c>
      <c r="I430" t="n">
        <v>0</v>
      </c>
      <c r="J430" t="n">
        <v>0</v>
      </c>
      <c r="K430" t="n">
        <v>0</v>
      </c>
      <c r="L430" t="n">
        <v>0</v>
      </c>
      <c r="M430" t="n">
        <v>0</v>
      </c>
      <c r="N430" t="n">
        <v>0</v>
      </c>
      <c r="O430" t="n">
        <v>0</v>
      </c>
      <c r="P430" t="n">
        <v>0</v>
      </c>
      <c r="Q430" t="n">
        <v>0</v>
      </c>
      <c r="R430" s="2" t="inlineStr"/>
    </row>
    <row r="431" ht="15" customHeight="1">
      <c r="A431" t="inlineStr">
        <is>
          <t>A 31762-2025</t>
        </is>
      </c>
      <c r="B431" s="1" t="n">
        <v>45834.49288194445</v>
      </c>
      <c r="C431" s="1" t="n">
        <v>45914</v>
      </c>
      <c r="D431" t="inlineStr">
        <is>
          <t>VÄSTMANLANDS LÄN</t>
        </is>
      </c>
      <c r="E431" t="inlineStr">
        <is>
          <t>SALA</t>
        </is>
      </c>
      <c r="G431" t="n">
        <v>5.9</v>
      </c>
      <c r="H431" t="n">
        <v>0</v>
      </c>
      <c r="I431" t="n">
        <v>0</v>
      </c>
      <c r="J431" t="n">
        <v>0</v>
      </c>
      <c r="K431" t="n">
        <v>0</v>
      </c>
      <c r="L431" t="n">
        <v>0</v>
      </c>
      <c r="M431" t="n">
        <v>0</v>
      </c>
      <c r="N431" t="n">
        <v>0</v>
      </c>
      <c r="O431" t="n">
        <v>0</v>
      </c>
      <c r="P431" t="n">
        <v>0</v>
      </c>
      <c r="Q431" t="n">
        <v>0</v>
      </c>
      <c r="R431" s="2" t="inlineStr"/>
    </row>
    <row r="432" ht="15" customHeight="1">
      <c r="A432" t="inlineStr">
        <is>
          <t>A 31608-2025</t>
        </is>
      </c>
      <c r="B432" s="1" t="n">
        <v>45833</v>
      </c>
      <c r="C432" s="1" t="n">
        <v>45914</v>
      </c>
      <c r="D432" t="inlineStr">
        <is>
          <t>VÄSTMANLANDS LÄN</t>
        </is>
      </c>
      <c r="E432" t="inlineStr">
        <is>
          <t>SALA</t>
        </is>
      </c>
      <c r="G432" t="n">
        <v>6.1</v>
      </c>
      <c r="H432" t="n">
        <v>0</v>
      </c>
      <c r="I432" t="n">
        <v>0</v>
      </c>
      <c r="J432" t="n">
        <v>0</v>
      </c>
      <c r="K432" t="n">
        <v>0</v>
      </c>
      <c r="L432" t="n">
        <v>0</v>
      </c>
      <c r="M432" t="n">
        <v>0</v>
      </c>
      <c r="N432" t="n">
        <v>0</v>
      </c>
      <c r="O432" t="n">
        <v>0</v>
      </c>
      <c r="P432" t="n">
        <v>0</v>
      </c>
      <c r="Q432" t="n">
        <v>0</v>
      </c>
      <c r="R432" s="2" t="inlineStr"/>
    </row>
    <row r="433" ht="15" customHeight="1">
      <c r="A433" t="inlineStr">
        <is>
          <t>A 31610-2025</t>
        </is>
      </c>
      <c r="B433" s="1" t="n">
        <v>45833.78650462963</v>
      </c>
      <c r="C433" s="1" t="n">
        <v>45914</v>
      </c>
      <c r="D433" t="inlineStr">
        <is>
          <t>VÄSTMANLANDS LÄN</t>
        </is>
      </c>
      <c r="E433" t="inlineStr">
        <is>
          <t>SALA</t>
        </is>
      </c>
      <c r="G433" t="n">
        <v>8</v>
      </c>
      <c r="H433" t="n">
        <v>0</v>
      </c>
      <c r="I433" t="n">
        <v>0</v>
      </c>
      <c r="J433" t="n">
        <v>0</v>
      </c>
      <c r="K433" t="n">
        <v>0</v>
      </c>
      <c r="L433" t="n">
        <v>0</v>
      </c>
      <c r="M433" t="n">
        <v>0</v>
      </c>
      <c r="N433" t="n">
        <v>0</v>
      </c>
      <c r="O433" t="n">
        <v>0</v>
      </c>
      <c r="P433" t="n">
        <v>0</v>
      </c>
      <c r="Q433" t="n">
        <v>0</v>
      </c>
      <c r="R433" s="2" t="inlineStr"/>
    </row>
    <row r="434" ht="15" customHeight="1">
      <c r="A434" t="inlineStr">
        <is>
          <t>A 52500-2024</t>
        </is>
      </c>
      <c r="B434" s="1" t="n">
        <v>45609</v>
      </c>
      <c r="C434" s="1" t="n">
        <v>45914</v>
      </c>
      <c r="D434" t="inlineStr">
        <is>
          <t>VÄSTMANLANDS LÄN</t>
        </is>
      </c>
      <c r="E434" t="inlineStr">
        <is>
          <t>SALA</t>
        </is>
      </c>
      <c r="G434" t="n">
        <v>1.3</v>
      </c>
      <c r="H434" t="n">
        <v>0</v>
      </c>
      <c r="I434" t="n">
        <v>0</v>
      </c>
      <c r="J434" t="n">
        <v>0</v>
      </c>
      <c r="K434" t="n">
        <v>0</v>
      </c>
      <c r="L434" t="n">
        <v>0</v>
      </c>
      <c r="M434" t="n">
        <v>0</v>
      </c>
      <c r="N434" t="n">
        <v>0</v>
      </c>
      <c r="O434" t="n">
        <v>0</v>
      </c>
      <c r="P434" t="n">
        <v>0</v>
      </c>
      <c r="Q434" t="n">
        <v>0</v>
      </c>
      <c r="R434" s="2" t="inlineStr"/>
    </row>
    <row r="435" ht="15" customHeight="1">
      <c r="A435" t="inlineStr">
        <is>
          <t>A 31296-2025</t>
        </is>
      </c>
      <c r="B435" s="1" t="n">
        <v>45833.36765046296</v>
      </c>
      <c r="C435" s="1" t="n">
        <v>45914</v>
      </c>
      <c r="D435" t="inlineStr">
        <is>
          <t>VÄSTMANLANDS LÄN</t>
        </is>
      </c>
      <c r="E435" t="inlineStr">
        <is>
          <t>SALA</t>
        </is>
      </c>
      <c r="G435" t="n">
        <v>3.7</v>
      </c>
      <c r="H435" t="n">
        <v>0</v>
      </c>
      <c r="I435" t="n">
        <v>0</v>
      </c>
      <c r="J435" t="n">
        <v>0</v>
      </c>
      <c r="K435" t="n">
        <v>0</v>
      </c>
      <c r="L435" t="n">
        <v>0</v>
      </c>
      <c r="M435" t="n">
        <v>0</v>
      </c>
      <c r="N435" t="n">
        <v>0</v>
      </c>
      <c r="O435" t="n">
        <v>0</v>
      </c>
      <c r="P435" t="n">
        <v>0</v>
      </c>
      <c r="Q435" t="n">
        <v>0</v>
      </c>
      <c r="R435" s="2" t="inlineStr"/>
    </row>
    <row r="436" ht="15" customHeight="1">
      <c r="A436" t="inlineStr">
        <is>
          <t>A 14024-2025</t>
        </is>
      </c>
      <c r="B436" s="1" t="n">
        <v>45740.34650462963</v>
      </c>
      <c r="C436" s="1" t="n">
        <v>45914</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37246-2025</t>
        </is>
      </c>
      <c r="B437" s="1" t="n">
        <v>45876.39435185185</v>
      </c>
      <c r="C437" s="1" t="n">
        <v>45914</v>
      </c>
      <c r="D437" t="inlineStr">
        <is>
          <t>VÄSTMANLANDS LÄN</t>
        </is>
      </c>
      <c r="E437" t="inlineStr">
        <is>
          <t>SALA</t>
        </is>
      </c>
      <c r="G437" t="n">
        <v>2.3</v>
      </c>
      <c r="H437" t="n">
        <v>0</v>
      </c>
      <c r="I437" t="n">
        <v>0</v>
      </c>
      <c r="J437" t="n">
        <v>0</v>
      </c>
      <c r="K437" t="n">
        <v>0</v>
      </c>
      <c r="L437" t="n">
        <v>0</v>
      </c>
      <c r="M437" t="n">
        <v>0</v>
      </c>
      <c r="N437" t="n">
        <v>0</v>
      </c>
      <c r="O437" t="n">
        <v>0</v>
      </c>
      <c r="P437" t="n">
        <v>0</v>
      </c>
      <c r="Q437" t="n">
        <v>0</v>
      </c>
      <c r="R437" s="2" t="inlineStr"/>
    </row>
    <row r="438" ht="15" customHeight="1">
      <c r="A438" t="inlineStr">
        <is>
          <t>A 31573-2025</t>
        </is>
      </c>
      <c r="B438" s="1" t="n">
        <v>45833</v>
      </c>
      <c r="C438" s="1" t="n">
        <v>45914</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3551-2024</t>
        </is>
      </c>
      <c r="B439" s="1" t="n">
        <v>45320.61099537037</v>
      </c>
      <c r="C439" s="1" t="n">
        <v>45914</v>
      </c>
      <c r="D439" t="inlineStr">
        <is>
          <t>VÄSTMANLANDS LÄN</t>
        </is>
      </c>
      <c r="E439" t="inlineStr">
        <is>
          <t>SALA</t>
        </is>
      </c>
      <c r="F439" t="inlineStr">
        <is>
          <t>Kommuner</t>
        </is>
      </c>
      <c r="G439" t="n">
        <v>6</v>
      </c>
      <c r="H439" t="n">
        <v>0</v>
      </c>
      <c r="I439" t="n">
        <v>0</v>
      </c>
      <c r="J439" t="n">
        <v>0</v>
      </c>
      <c r="K439" t="n">
        <v>0</v>
      </c>
      <c r="L439" t="n">
        <v>0</v>
      </c>
      <c r="M439" t="n">
        <v>0</v>
      </c>
      <c r="N439" t="n">
        <v>0</v>
      </c>
      <c r="O439" t="n">
        <v>0</v>
      </c>
      <c r="P439" t="n">
        <v>0</v>
      </c>
      <c r="Q439" t="n">
        <v>0</v>
      </c>
      <c r="R439" s="2" t="inlineStr"/>
    </row>
    <row r="440" ht="15" customHeight="1">
      <c r="A440" t="inlineStr">
        <is>
          <t>A 7950-2025</t>
        </is>
      </c>
      <c r="B440" s="1" t="n">
        <v>45707.41799768519</v>
      </c>
      <c r="C440" s="1" t="n">
        <v>45914</v>
      </c>
      <c r="D440" t="inlineStr">
        <is>
          <t>VÄSTMANLANDS LÄN</t>
        </is>
      </c>
      <c r="E440" t="inlineStr">
        <is>
          <t>SALA</t>
        </is>
      </c>
      <c r="G440" t="n">
        <v>3.2</v>
      </c>
      <c r="H440" t="n">
        <v>0</v>
      </c>
      <c r="I440" t="n">
        <v>0</v>
      </c>
      <c r="J440" t="n">
        <v>0</v>
      </c>
      <c r="K440" t="n">
        <v>0</v>
      </c>
      <c r="L440" t="n">
        <v>0</v>
      </c>
      <c r="M440" t="n">
        <v>0</v>
      </c>
      <c r="N440" t="n">
        <v>0</v>
      </c>
      <c r="O440" t="n">
        <v>0</v>
      </c>
      <c r="P440" t="n">
        <v>0</v>
      </c>
      <c r="Q440" t="n">
        <v>0</v>
      </c>
      <c r="R440" s="2" t="inlineStr"/>
    </row>
    <row r="441" ht="15" customHeight="1">
      <c r="A441" t="inlineStr">
        <is>
          <t>A 10812-2021</t>
        </is>
      </c>
      <c r="B441" s="1" t="n">
        <v>44259</v>
      </c>
      <c r="C441" s="1" t="n">
        <v>45914</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10154-2021</t>
        </is>
      </c>
      <c r="B442" s="1" t="n">
        <v>44256</v>
      </c>
      <c r="C442" s="1" t="n">
        <v>45914</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16328-2025</t>
        </is>
      </c>
      <c r="B443" s="1" t="n">
        <v>45751</v>
      </c>
      <c r="C443" s="1" t="n">
        <v>45914</v>
      </c>
      <c r="D443" t="inlineStr">
        <is>
          <t>VÄSTMANLANDS LÄN</t>
        </is>
      </c>
      <c r="E443" t="inlineStr">
        <is>
          <t>SALA</t>
        </is>
      </c>
      <c r="G443" t="n">
        <v>2.9</v>
      </c>
      <c r="H443" t="n">
        <v>0</v>
      </c>
      <c r="I443" t="n">
        <v>0</v>
      </c>
      <c r="J443" t="n">
        <v>0</v>
      </c>
      <c r="K443" t="n">
        <v>0</v>
      </c>
      <c r="L443" t="n">
        <v>0</v>
      </c>
      <c r="M443" t="n">
        <v>0</v>
      </c>
      <c r="N443" t="n">
        <v>0</v>
      </c>
      <c r="O443" t="n">
        <v>0</v>
      </c>
      <c r="P443" t="n">
        <v>0</v>
      </c>
      <c r="Q443" t="n">
        <v>0</v>
      </c>
      <c r="R443" s="2" t="inlineStr"/>
    </row>
    <row r="444" ht="15" customHeight="1">
      <c r="A444" t="inlineStr">
        <is>
          <t>A 31609-2024</t>
        </is>
      </c>
      <c r="B444" s="1" t="n">
        <v>45506</v>
      </c>
      <c r="C444" s="1" t="n">
        <v>45914</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62635-2022</t>
        </is>
      </c>
      <c r="B445" s="1" t="n">
        <v>44917</v>
      </c>
      <c r="C445" s="1" t="n">
        <v>45914</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32201-2025</t>
        </is>
      </c>
      <c r="B446" s="1" t="n">
        <v>45835</v>
      </c>
      <c r="C446" s="1" t="n">
        <v>45914</v>
      </c>
      <c r="D446" t="inlineStr">
        <is>
          <t>VÄSTMANLANDS LÄN</t>
        </is>
      </c>
      <c r="E446" t="inlineStr">
        <is>
          <t>SALA</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32205-2025</t>
        </is>
      </c>
      <c r="B447" s="1" t="n">
        <v>45835</v>
      </c>
      <c r="C447" s="1" t="n">
        <v>45914</v>
      </c>
      <c r="D447" t="inlineStr">
        <is>
          <t>VÄSTMANLANDS LÄN</t>
        </is>
      </c>
      <c r="E447" t="inlineStr">
        <is>
          <t>SALA</t>
        </is>
      </c>
      <c r="F447" t="inlineStr">
        <is>
          <t>Bergvik skog öst AB</t>
        </is>
      </c>
      <c r="G447" t="n">
        <v>1.1</v>
      </c>
      <c r="H447" t="n">
        <v>0</v>
      </c>
      <c r="I447" t="n">
        <v>0</v>
      </c>
      <c r="J447" t="n">
        <v>0</v>
      </c>
      <c r="K447" t="n">
        <v>0</v>
      </c>
      <c r="L447" t="n">
        <v>0</v>
      </c>
      <c r="M447" t="n">
        <v>0</v>
      </c>
      <c r="N447" t="n">
        <v>0</v>
      </c>
      <c r="O447" t="n">
        <v>0</v>
      </c>
      <c r="P447" t="n">
        <v>0</v>
      </c>
      <c r="Q447" t="n">
        <v>0</v>
      </c>
      <c r="R447" s="2" t="inlineStr"/>
    </row>
    <row r="448" ht="15" customHeight="1">
      <c r="A448" t="inlineStr">
        <is>
          <t>A 32210-2025</t>
        </is>
      </c>
      <c r="B448" s="1" t="n">
        <v>45835</v>
      </c>
      <c r="C448" s="1" t="n">
        <v>45914</v>
      </c>
      <c r="D448" t="inlineStr">
        <is>
          <t>VÄSTMANLANDS LÄN</t>
        </is>
      </c>
      <c r="E448" t="inlineStr">
        <is>
          <t>SALA</t>
        </is>
      </c>
      <c r="F448" t="inlineStr">
        <is>
          <t>Bergvik skog öst AB</t>
        </is>
      </c>
      <c r="G448" t="n">
        <v>1.5</v>
      </c>
      <c r="H448" t="n">
        <v>0</v>
      </c>
      <c r="I448" t="n">
        <v>0</v>
      </c>
      <c r="J448" t="n">
        <v>0</v>
      </c>
      <c r="K448" t="n">
        <v>0</v>
      </c>
      <c r="L448" t="n">
        <v>0</v>
      </c>
      <c r="M448" t="n">
        <v>0</v>
      </c>
      <c r="N448" t="n">
        <v>0</v>
      </c>
      <c r="O448" t="n">
        <v>0</v>
      </c>
      <c r="P448" t="n">
        <v>0</v>
      </c>
      <c r="Q448" t="n">
        <v>0</v>
      </c>
      <c r="R448" s="2" t="inlineStr"/>
    </row>
    <row r="449" ht="15" customHeight="1">
      <c r="A449" t="inlineStr">
        <is>
          <t>A 19304-2025</t>
        </is>
      </c>
      <c r="B449" s="1" t="n">
        <v>45769</v>
      </c>
      <c r="C449" s="1" t="n">
        <v>45914</v>
      </c>
      <c r="D449" t="inlineStr">
        <is>
          <t>VÄSTMANLANDS LÄN</t>
        </is>
      </c>
      <c r="E449" t="inlineStr">
        <is>
          <t>SALA</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32286-2025</t>
        </is>
      </c>
      <c r="B450" s="1" t="n">
        <v>45835</v>
      </c>
      <c r="C450" s="1" t="n">
        <v>45914</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32207-2025</t>
        </is>
      </c>
      <c r="B451" s="1" t="n">
        <v>45835</v>
      </c>
      <c r="C451" s="1" t="n">
        <v>45914</v>
      </c>
      <c r="D451" t="inlineStr">
        <is>
          <t>VÄSTMANLANDS LÄN</t>
        </is>
      </c>
      <c r="E451" t="inlineStr">
        <is>
          <t>SALA</t>
        </is>
      </c>
      <c r="F451" t="inlineStr">
        <is>
          <t>Bergvik skog öst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56057-2023</t>
        </is>
      </c>
      <c r="B452" s="1" t="n">
        <v>45233</v>
      </c>
      <c r="C452" s="1" t="n">
        <v>45914</v>
      </c>
      <c r="D452" t="inlineStr">
        <is>
          <t>VÄSTMANLANDS LÄN</t>
        </is>
      </c>
      <c r="E452" t="inlineStr">
        <is>
          <t>SALA</t>
        </is>
      </c>
      <c r="G452" t="n">
        <v>0.6</v>
      </c>
      <c r="H452" t="n">
        <v>0</v>
      </c>
      <c r="I452" t="n">
        <v>0</v>
      </c>
      <c r="J452" t="n">
        <v>0</v>
      </c>
      <c r="K452" t="n">
        <v>0</v>
      </c>
      <c r="L452" t="n">
        <v>0</v>
      </c>
      <c r="M452" t="n">
        <v>0</v>
      </c>
      <c r="N452" t="n">
        <v>0</v>
      </c>
      <c r="O452" t="n">
        <v>0</v>
      </c>
      <c r="P452" t="n">
        <v>0</v>
      </c>
      <c r="Q452" t="n">
        <v>0</v>
      </c>
      <c r="R452" s="2" t="inlineStr"/>
    </row>
    <row r="453" ht="15" customHeight="1">
      <c r="A453" t="inlineStr">
        <is>
          <t>A 35410-2022</t>
        </is>
      </c>
      <c r="B453" s="1" t="n">
        <v>44798.62576388889</v>
      </c>
      <c r="C453" s="1" t="n">
        <v>45914</v>
      </c>
      <c r="D453" t="inlineStr">
        <is>
          <t>VÄSTMANLANDS LÄN</t>
        </is>
      </c>
      <c r="E453" t="inlineStr">
        <is>
          <t>SALA</t>
        </is>
      </c>
      <c r="G453" t="n">
        <v>1.6</v>
      </c>
      <c r="H453" t="n">
        <v>0</v>
      </c>
      <c r="I453" t="n">
        <v>0</v>
      </c>
      <c r="J453" t="n">
        <v>0</v>
      </c>
      <c r="K453" t="n">
        <v>0</v>
      </c>
      <c r="L453" t="n">
        <v>0</v>
      </c>
      <c r="M453" t="n">
        <v>0</v>
      </c>
      <c r="N453" t="n">
        <v>0</v>
      </c>
      <c r="O453" t="n">
        <v>0</v>
      </c>
      <c r="P453" t="n">
        <v>0</v>
      </c>
      <c r="Q453" t="n">
        <v>0</v>
      </c>
      <c r="R453" s="2" t="inlineStr"/>
    </row>
    <row r="454" ht="15" customHeight="1">
      <c r="A454" t="inlineStr">
        <is>
          <t>A 37590-2025</t>
        </is>
      </c>
      <c r="B454" s="1" t="n">
        <v>45880.41138888889</v>
      </c>
      <c r="C454" s="1" t="n">
        <v>45914</v>
      </c>
      <c r="D454" t="inlineStr">
        <is>
          <t>VÄSTMANLANDS LÄN</t>
        </is>
      </c>
      <c r="E454" t="inlineStr">
        <is>
          <t>SALA</t>
        </is>
      </c>
      <c r="G454" t="n">
        <v>2.2</v>
      </c>
      <c r="H454" t="n">
        <v>0</v>
      </c>
      <c r="I454" t="n">
        <v>0</v>
      </c>
      <c r="J454" t="n">
        <v>0</v>
      </c>
      <c r="K454" t="n">
        <v>0</v>
      </c>
      <c r="L454" t="n">
        <v>0</v>
      </c>
      <c r="M454" t="n">
        <v>0</v>
      </c>
      <c r="N454" t="n">
        <v>0</v>
      </c>
      <c r="O454" t="n">
        <v>0</v>
      </c>
      <c r="P454" t="n">
        <v>0</v>
      </c>
      <c r="Q454" t="n">
        <v>0</v>
      </c>
      <c r="R454" s="2" t="inlineStr"/>
    </row>
    <row r="455" ht="15" customHeight="1">
      <c r="A455" t="inlineStr">
        <is>
          <t>A 37593-2025</t>
        </is>
      </c>
      <c r="B455" s="1" t="n">
        <v>45880.41325231481</v>
      </c>
      <c r="C455" s="1" t="n">
        <v>45914</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55024-2023</t>
        </is>
      </c>
      <c r="B456" s="1" t="n">
        <v>45229</v>
      </c>
      <c r="C456" s="1" t="n">
        <v>45914</v>
      </c>
      <c r="D456" t="inlineStr">
        <is>
          <t>VÄSTMANLANDS LÄN</t>
        </is>
      </c>
      <c r="E456" t="inlineStr">
        <is>
          <t>SALA</t>
        </is>
      </c>
      <c r="G456" t="n">
        <v>0.9</v>
      </c>
      <c r="H456" t="n">
        <v>0</v>
      </c>
      <c r="I456" t="n">
        <v>0</v>
      </c>
      <c r="J456" t="n">
        <v>0</v>
      </c>
      <c r="K456" t="n">
        <v>0</v>
      </c>
      <c r="L456" t="n">
        <v>0</v>
      </c>
      <c r="M456" t="n">
        <v>0</v>
      </c>
      <c r="N456" t="n">
        <v>0</v>
      </c>
      <c r="O456" t="n">
        <v>0</v>
      </c>
      <c r="P456" t="n">
        <v>0</v>
      </c>
      <c r="Q456" t="n">
        <v>0</v>
      </c>
      <c r="R456" s="2" t="inlineStr"/>
    </row>
    <row r="457" ht="15" customHeight="1">
      <c r="A457" t="inlineStr">
        <is>
          <t>A 55032-2023</t>
        </is>
      </c>
      <c r="B457" s="1" t="n">
        <v>45229</v>
      </c>
      <c r="C457" s="1" t="n">
        <v>45914</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32902-2025</t>
        </is>
      </c>
      <c r="B458" s="1" t="n">
        <v>45839</v>
      </c>
      <c r="C458" s="1" t="n">
        <v>45914</v>
      </c>
      <c r="D458" t="inlineStr">
        <is>
          <t>VÄSTMANLANDS LÄN</t>
        </is>
      </c>
      <c r="E458" t="inlineStr">
        <is>
          <t>SALA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50801-2020</t>
        </is>
      </c>
      <c r="B459" s="1" t="n">
        <v>44111</v>
      </c>
      <c r="C459" s="1" t="n">
        <v>45914</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21159-2022</t>
        </is>
      </c>
      <c r="B460" s="1" t="n">
        <v>44704</v>
      </c>
      <c r="C460" s="1" t="n">
        <v>45914</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41292-2021</t>
        </is>
      </c>
      <c r="B461" s="1" t="n">
        <v>44424</v>
      </c>
      <c r="C461" s="1" t="n">
        <v>45914</v>
      </c>
      <c r="D461" t="inlineStr">
        <is>
          <t>VÄSTMANLANDS LÄN</t>
        </is>
      </c>
      <c r="E461" t="inlineStr">
        <is>
          <t>SALA</t>
        </is>
      </c>
      <c r="G461" t="n">
        <v>0.3</v>
      </c>
      <c r="H461" t="n">
        <v>0</v>
      </c>
      <c r="I461" t="n">
        <v>0</v>
      </c>
      <c r="J461" t="n">
        <v>0</v>
      </c>
      <c r="K461" t="n">
        <v>0</v>
      </c>
      <c r="L461" t="n">
        <v>0</v>
      </c>
      <c r="M461" t="n">
        <v>0</v>
      </c>
      <c r="N461" t="n">
        <v>0</v>
      </c>
      <c r="O461" t="n">
        <v>0</v>
      </c>
      <c r="P461" t="n">
        <v>0</v>
      </c>
      <c r="Q461" t="n">
        <v>0</v>
      </c>
      <c r="R461" s="2" t="inlineStr"/>
    </row>
    <row r="462" ht="15" customHeight="1">
      <c r="A462" t="inlineStr">
        <is>
          <t>A 60328-2024</t>
        </is>
      </c>
      <c r="B462" s="1" t="n">
        <v>45643.38416666666</v>
      </c>
      <c r="C462" s="1" t="n">
        <v>45914</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29248-2022</t>
        </is>
      </c>
      <c r="B463" s="1" t="n">
        <v>44750</v>
      </c>
      <c r="C463" s="1" t="n">
        <v>45914</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59175-2022</t>
        </is>
      </c>
      <c r="B464" s="1" t="n">
        <v>44904.48502314815</v>
      </c>
      <c r="C464" s="1" t="n">
        <v>45914</v>
      </c>
      <c r="D464" t="inlineStr">
        <is>
          <t>VÄSTMANLANDS LÄN</t>
        </is>
      </c>
      <c r="E464" t="inlineStr">
        <is>
          <t>SALA</t>
        </is>
      </c>
      <c r="G464" t="n">
        <v>2.1</v>
      </c>
      <c r="H464" t="n">
        <v>0</v>
      </c>
      <c r="I464" t="n">
        <v>0</v>
      </c>
      <c r="J464" t="n">
        <v>0</v>
      </c>
      <c r="K464" t="n">
        <v>0</v>
      </c>
      <c r="L464" t="n">
        <v>0</v>
      </c>
      <c r="M464" t="n">
        <v>0</v>
      </c>
      <c r="N464" t="n">
        <v>0</v>
      </c>
      <c r="O464" t="n">
        <v>0</v>
      </c>
      <c r="P464" t="n">
        <v>0</v>
      </c>
      <c r="Q464" t="n">
        <v>0</v>
      </c>
      <c r="R464" s="2" t="inlineStr"/>
    </row>
    <row r="465" ht="15" customHeight="1">
      <c r="A465" t="inlineStr">
        <is>
          <t>A 39451-2022</t>
        </is>
      </c>
      <c r="B465" s="1" t="n">
        <v>44818.36606481481</v>
      </c>
      <c r="C465" s="1" t="n">
        <v>45914</v>
      </c>
      <c r="D465" t="inlineStr">
        <is>
          <t>VÄSTMANLANDS LÄN</t>
        </is>
      </c>
      <c r="E465" t="inlineStr">
        <is>
          <t>SALA</t>
        </is>
      </c>
      <c r="G465" t="n">
        <v>9.4</v>
      </c>
      <c r="H465" t="n">
        <v>0</v>
      </c>
      <c r="I465" t="n">
        <v>0</v>
      </c>
      <c r="J465" t="n">
        <v>0</v>
      </c>
      <c r="K465" t="n">
        <v>0</v>
      </c>
      <c r="L465" t="n">
        <v>0</v>
      </c>
      <c r="M465" t="n">
        <v>0</v>
      </c>
      <c r="N465" t="n">
        <v>0</v>
      </c>
      <c r="O465" t="n">
        <v>0</v>
      </c>
      <c r="P465" t="n">
        <v>0</v>
      </c>
      <c r="Q465" t="n">
        <v>0</v>
      </c>
      <c r="R465" s="2" t="inlineStr"/>
    </row>
    <row r="466" ht="15" customHeight="1">
      <c r="A466" t="inlineStr">
        <is>
          <t>A 6088-2021</t>
        </is>
      </c>
      <c r="B466" s="1" t="n">
        <v>44232</v>
      </c>
      <c r="C466" s="1" t="n">
        <v>45914</v>
      </c>
      <c r="D466" t="inlineStr">
        <is>
          <t>VÄSTMANLANDS LÄN</t>
        </is>
      </c>
      <c r="E466" t="inlineStr">
        <is>
          <t>SALA</t>
        </is>
      </c>
      <c r="G466" t="n">
        <v>0.2</v>
      </c>
      <c r="H466" t="n">
        <v>0</v>
      </c>
      <c r="I466" t="n">
        <v>0</v>
      </c>
      <c r="J466" t="n">
        <v>0</v>
      </c>
      <c r="K466" t="n">
        <v>0</v>
      </c>
      <c r="L466" t="n">
        <v>0</v>
      </c>
      <c r="M466" t="n">
        <v>0</v>
      </c>
      <c r="N466" t="n">
        <v>0</v>
      </c>
      <c r="O466" t="n">
        <v>0</v>
      </c>
      <c r="P466" t="n">
        <v>0</v>
      </c>
      <c r="Q466" t="n">
        <v>0</v>
      </c>
      <c r="R466" s="2" t="inlineStr"/>
    </row>
    <row r="467" ht="15" customHeight="1">
      <c r="A467" t="inlineStr">
        <is>
          <t>A 33273-2023</t>
        </is>
      </c>
      <c r="B467" s="1" t="n">
        <v>45127</v>
      </c>
      <c r="C467" s="1" t="n">
        <v>45914</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11631-2023</t>
        </is>
      </c>
      <c r="B468" s="1" t="n">
        <v>44994.44001157407</v>
      </c>
      <c r="C468" s="1" t="n">
        <v>45914</v>
      </c>
      <c r="D468" t="inlineStr">
        <is>
          <t>VÄSTMANLANDS LÄN</t>
        </is>
      </c>
      <c r="E468" t="inlineStr">
        <is>
          <t>SALA</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52827-2024</t>
        </is>
      </c>
      <c r="B469" s="1" t="n">
        <v>45610</v>
      </c>
      <c r="C469" s="1" t="n">
        <v>45914</v>
      </c>
      <c r="D469" t="inlineStr">
        <is>
          <t>VÄSTMANLANDS LÄN</t>
        </is>
      </c>
      <c r="E469" t="inlineStr">
        <is>
          <t>SALA</t>
        </is>
      </c>
      <c r="G469" t="n">
        <v>0.2</v>
      </c>
      <c r="H469" t="n">
        <v>0</v>
      </c>
      <c r="I469" t="n">
        <v>0</v>
      </c>
      <c r="J469" t="n">
        <v>0</v>
      </c>
      <c r="K469" t="n">
        <v>0</v>
      </c>
      <c r="L469" t="n">
        <v>0</v>
      </c>
      <c r="M469" t="n">
        <v>0</v>
      </c>
      <c r="N469" t="n">
        <v>0</v>
      </c>
      <c r="O469" t="n">
        <v>0</v>
      </c>
      <c r="P469" t="n">
        <v>0</v>
      </c>
      <c r="Q469" t="n">
        <v>0</v>
      </c>
      <c r="R469" s="2" t="inlineStr"/>
    </row>
    <row r="470" ht="15" customHeight="1">
      <c r="A470" t="inlineStr">
        <is>
          <t>A 53166-2024</t>
        </is>
      </c>
      <c r="B470" s="1" t="n">
        <v>45611</v>
      </c>
      <c r="C470" s="1" t="n">
        <v>45914</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11244-2024</t>
        </is>
      </c>
      <c r="B471" s="1" t="n">
        <v>45371</v>
      </c>
      <c r="C471" s="1" t="n">
        <v>45914</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62654-2022</t>
        </is>
      </c>
      <c r="B472" s="1" t="n">
        <v>44917</v>
      </c>
      <c r="C472" s="1" t="n">
        <v>45914</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6135-2023</t>
        </is>
      </c>
      <c r="B473" s="1" t="n">
        <v>44964.62628472222</v>
      </c>
      <c r="C473" s="1" t="n">
        <v>45914</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53864-2022</t>
        </is>
      </c>
      <c r="B474" s="1" t="n">
        <v>44880.64016203704</v>
      </c>
      <c r="C474" s="1" t="n">
        <v>45914</v>
      </c>
      <c r="D474" t="inlineStr">
        <is>
          <t>VÄSTMANLANDS LÄN</t>
        </is>
      </c>
      <c r="E474" t="inlineStr">
        <is>
          <t>SALA</t>
        </is>
      </c>
      <c r="G474" t="n">
        <v>5.9</v>
      </c>
      <c r="H474" t="n">
        <v>0</v>
      </c>
      <c r="I474" t="n">
        <v>0</v>
      </c>
      <c r="J474" t="n">
        <v>0</v>
      </c>
      <c r="K474" t="n">
        <v>0</v>
      </c>
      <c r="L474" t="n">
        <v>0</v>
      </c>
      <c r="M474" t="n">
        <v>0</v>
      </c>
      <c r="N474" t="n">
        <v>0</v>
      </c>
      <c r="O474" t="n">
        <v>0</v>
      </c>
      <c r="P474" t="n">
        <v>0</v>
      </c>
      <c r="Q474" t="n">
        <v>0</v>
      </c>
      <c r="R474" s="2" t="inlineStr"/>
    </row>
    <row r="475" ht="15" customHeight="1">
      <c r="A475" t="inlineStr">
        <is>
          <t>A 27255-2023</t>
        </is>
      </c>
      <c r="B475" s="1" t="n">
        <v>45096</v>
      </c>
      <c r="C475" s="1" t="n">
        <v>45914</v>
      </c>
      <c r="D475" t="inlineStr">
        <is>
          <t>VÄSTMANLANDS LÄN</t>
        </is>
      </c>
      <c r="E475" t="inlineStr">
        <is>
          <t>SALA</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60034-2024</t>
        </is>
      </c>
      <c r="B476" s="1" t="n">
        <v>45642.46261574074</v>
      </c>
      <c r="C476" s="1" t="n">
        <v>45914</v>
      </c>
      <c r="D476" t="inlineStr">
        <is>
          <t>VÄSTMANLANDS LÄN</t>
        </is>
      </c>
      <c r="E476" t="inlineStr">
        <is>
          <t>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3810-2023</t>
        </is>
      </c>
      <c r="B477" s="1" t="n">
        <v>44951.60454861111</v>
      </c>
      <c r="C477" s="1" t="n">
        <v>45914</v>
      </c>
      <c r="D477" t="inlineStr">
        <is>
          <t>VÄSTMANLANDS LÄN</t>
        </is>
      </c>
      <c r="E477" t="inlineStr">
        <is>
          <t>SALA</t>
        </is>
      </c>
      <c r="G477" t="n">
        <v>4.2</v>
      </c>
      <c r="H477" t="n">
        <v>0</v>
      </c>
      <c r="I477" t="n">
        <v>0</v>
      </c>
      <c r="J477" t="n">
        <v>0</v>
      </c>
      <c r="K477" t="n">
        <v>0</v>
      </c>
      <c r="L477" t="n">
        <v>0</v>
      </c>
      <c r="M477" t="n">
        <v>0</v>
      </c>
      <c r="N477" t="n">
        <v>0</v>
      </c>
      <c r="O477" t="n">
        <v>0</v>
      </c>
      <c r="P477" t="n">
        <v>0</v>
      </c>
      <c r="Q477" t="n">
        <v>0</v>
      </c>
      <c r="R477" s="2" t="inlineStr"/>
    </row>
    <row r="478" ht="15" customHeight="1">
      <c r="A478" t="inlineStr">
        <is>
          <t>A 52503-2024</t>
        </is>
      </c>
      <c r="B478" s="1" t="n">
        <v>45609.58806712963</v>
      </c>
      <c r="C478" s="1" t="n">
        <v>45914</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2521-2025</t>
        </is>
      </c>
      <c r="B479" s="1" t="n">
        <v>45674</v>
      </c>
      <c r="C479" s="1" t="n">
        <v>45914</v>
      </c>
      <c r="D479" t="inlineStr">
        <is>
          <t>VÄSTMANLANDS LÄN</t>
        </is>
      </c>
      <c r="E479" t="inlineStr">
        <is>
          <t>SALA</t>
        </is>
      </c>
      <c r="G479" t="n">
        <v>3.5</v>
      </c>
      <c r="H479" t="n">
        <v>0</v>
      </c>
      <c r="I479" t="n">
        <v>0</v>
      </c>
      <c r="J479" t="n">
        <v>0</v>
      </c>
      <c r="K479" t="n">
        <v>0</v>
      </c>
      <c r="L479" t="n">
        <v>0</v>
      </c>
      <c r="M479" t="n">
        <v>0</v>
      </c>
      <c r="N479" t="n">
        <v>0</v>
      </c>
      <c r="O479" t="n">
        <v>0</v>
      </c>
      <c r="P479" t="n">
        <v>0</v>
      </c>
      <c r="Q479" t="n">
        <v>0</v>
      </c>
      <c r="R479" s="2" t="inlineStr"/>
    </row>
    <row r="480" ht="15" customHeight="1">
      <c r="A480" t="inlineStr">
        <is>
          <t>A 31000-2022</t>
        </is>
      </c>
      <c r="B480" s="1" t="n">
        <v>44768</v>
      </c>
      <c r="C480" s="1" t="n">
        <v>45914</v>
      </c>
      <c r="D480" t="inlineStr">
        <is>
          <t>VÄSTMANLANDS LÄN</t>
        </is>
      </c>
      <c r="E480" t="inlineStr">
        <is>
          <t>SALA</t>
        </is>
      </c>
      <c r="G480" t="n">
        <v>5.7</v>
      </c>
      <c r="H480" t="n">
        <v>0</v>
      </c>
      <c r="I480" t="n">
        <v>0</v>
      </c>
      <c r="J480" t="n">
        <v>0</v>
      </c>
      <c r="K480" t="n">
        <v>0</v>
      </c>
      <c r="L480" t="n">
        <v>0</v>
      </c>
      <c r="M480" t="n">
        <v>0</v>
      </c>
      <c r="N480" t="n">
        <v>0</v>
      </c>
      <c r="O480" t="n">
        <v>0</v>
      </c>
      <c r="P480" t="n">
        <v>0</v>
      </c>
      <c r="Q480" t="n">
        <v>0</v>
      </c>
      <c r="R480" s="2" t="inlineStr"/>
    </row>
    <row r="481" ht="15" customHeight="1">
      <c r="A481" t="inlineStr">
        <is>
          <t>A 62648-2022</t>
        </is>
      </c>
      <c r="B481" s="1" t="n">
        <v>44917</v>
      </c>
      <c r="C481" s="1" t="n">
        <v>45914</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1934-2023</t>
        </is>
      </c>
      <c r="B482" s="1" t="n">
        <v>44939.43024305555</v>
      </c>
      <c r="C482" s="1" t="n">
        <v>45914</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11927-2025</t>
        </is>
      </c>
      <c r="B483" s="1" t="n">
        <v>45728.5137962963</v>
      </c>
      <c r="C483" s="1" t="n">
        <v>45914</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60823-2024</t>
        </is>
      </c>
      <c r="B484" s="1" t="n">
        <v>45644</v>
      </c>
      <c r="C484" s="1" t="n">
        <v>45914</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96-2024</t>
        </is>
      </c>
      <c r="B485" s="1" t="n">
        <v>45293.85872685185</v>
      </c>
      <c r="C485" s="1" t="n">
        <v>45914</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31950-2023</t>
        </is>
      </c>
      <c r="B486" s="1" t="n">
        <v>45107</v>
      </c>
      <c r="C486" s="1" t="n">
        <v>45914</v>
      </c>
      <c r="D486" t="inlineStr">
        <is>
          <t>VÄSTMANLANDS LÄN</t>
        </is>
      </c>
      <c r="E486" t="inlineStr">
        <is>
          <t>SALA</t>
        </is>
      </c>
      <c r="G486" t="n">
        <v>0.1</v>
      </c>
      <c r="H486" t="n">
        <v>0</v>
      </c>
      <c r="I486" t="n">
        <v>0</v>
      </c>
      <c r="J486" t="n">
        <v>0</v>
      </c>
      <c r="K486" t="n">
        <v>0</v>
      </c>
      <c r="L486" t="n">
        <v>0</v>
      </c>
      <c r="M486" t="n">
        <v>0</v>
      </c>
      <c r="N486" t="n">
        <v>0</v>
      </c>
      <c r="O486" t="n">
        <v>0</v>
      </c>
      <c r="P486" t="n">
        <v>0</v>
      </c>
      <c r="Q486" t="n">
        <v>0</v>
      </c>
      <c r="R486" s="2" t="inlineStr"/>
    </row>
    <row r="487" ht="15" customHeight="1">
      <c r="A487" t="inlineStr">
        <is>
          <t>A 23374-2023</t>
        </is>
      </c>
      <c r="B487" s="1" t="n">
        <v>45076.4399537037</v>
      </c>
      <c r="C487" s="1" t="n">
        <v>45914</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16693-2023</t>
        </is>
      </c>
      <c r="B488" s="1" t="n">
        <v>45028</v>
      </c>
      <c r="C488" s="1" t="n">
        <v>45914</v>
      </c>
      <c r="D488" t="inlineStr">
        <is>
          <t>VÄSTMANLANDS LÄN</t>
        </is>
      </c>
      <c r="E488" t="inlineStr">
        <is>
          <t>SALA</t>
        </is>
      </c>
      <c r="G488" t="n">
        <v>1.5</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44719.79707175926</v>
      </c>
      <c r="C489" s="1" t="n">
        <v>45914</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61874-2021</t>
        </is>
      </c>
      <c r="B490" s="1" t="n">
        <v>44502</v>
      </c>
      <c r="C490" s="1" t="n">
        <v>45914</v>
      </c>
      <c r="D490" t="inlineStr">
        <is>
          <t>VÄSTMANLANDS LÄN</t>
        </is>
      </c>
      <c r="E490" t="inlineStr">
        <is>
          <t>SALA</t>
        </is>
      </c>
      <c r="F490" t="inlineStr">
        <is>
          <t>Kyrkan</t>
        </is>
      </c>
      <c r="G490" t="n">
        <v>1.3</v>
      </c>
      <c r="H490" t="n">
        <v>0</v>
      </c>
      <c r="I490" t="n">
        <v>0</v>
      </c>
      <c r="J490" t="n">
        <v>0</v>
      </c>
      <c r="K490" t="n">
        <v>0</v>
      </c>
      <c r="L490" t="n">
        <v>0</v>
      </c>
      <c r="M490" t="n">
        <v>0</v>
      </c>
      <c r="N490" t="n">
        <v>0</v>
      </c>
      <c r="O490" t="n">
        <v>0</v>
      </c>
      <c r="P490" t="n">
        <v>0</v>
      </c>
      <c r="Q490" t="n">
        <v>0</v>
      </c>
      <c r="R490" s="2" t="inlineStr"/>
    </row>
    <row r="491" ht="15" customHeight="1">
      <c r="A491" t="inlineStr">
        <is>
          <t>A 57371-2022</t>
        </is>
      </c>
      <c r="B491" s="1" t="n">
        <v>44896.43832175926</v>
      </c>
      <c r="C491" s="1" t="n">
        <v>45914</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9856-2022</t>
        </is>
      </c>
      <c r="B492" s="1" t="n">
        <v>44620</v>
      </c>
      <c r="C492" s="1" t="n">
        <v>45914</v>
      </c>
      <c r="D492" t="inlineStr">
        <is>
          <t>VÄSTMANLANDS LÄN</t>
        </is>
      </c>
      <c r="E492" t="inlineStr">
        <is>
          <t>SALA</t>
        </is>
      </c>
      <c r="G492" t="n">
        <v>2.4</v>
      </c>
      <c r="H492" t="n">
        <v>0</v>
      </c>
      <c r="I492" t="n">
        <v>0</v>
      </c>
      <c r="J492" t="n">
        <v>0</v>
      </c>
      <c r="K492" t="n">
        <v>0</v>
      </c>
      <c r="L492" t="n">
        <v>0</v>
      </c>
      <c r="M492" t="n">
        <v>0</v>
      </c>
      <c r="N492" t="n">
        <v>0</v>
      </c>
      <c r="O492" t="n">
        <v>0</v>
      </c>
      <c r="P492" t="n">
        <v>0</v>
      </c>
      <c r="Q492" t="n">
        <v>0</v>
      </c>
      <c r="R492" s="2" t="inlineStr"/>
    </row>
    <row r="493" ht="15" customHeight="1">
      <c r="A493" t="inlineStr">
        <is>
          <t>A 16159-2024</t>
        </is>
      </c>
      <c r="B493" s="1" t="n">
        <v>45406</v>
      </c>
      <c r="C493" s="1" t="n">
        <v>45914</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61717-2024</t>
        </is>
      </c>
      <c r="B494" s="1" t="n">
        <v>45648</v>
      </c>
      <c r="C494" s="1" t="n">
        <v>45914</v>
      </c>
      <c r="D494" t="inlineStr">
        <is>
          <t>VÄSTMANLANDS LÄN</t>
        </is>
      </c>
      <c r="E494" t="inlineStr">
        <is>
          <t>SALA</t>
        </is>
      </c>
      <c r="G494" t="n">
        <v>3.7</v>
      </c>
      <c r="H494" t="n">
        <v>0</v>
      </c>
      <c r="I494" t="n">
        <v>0</v>
      </c>
      <c r="J494" t="n">
        <v>0</v>
      </c>
      <c r="K494" t="n">
        <v>0</v>
      </c>
      <c r="L494" t="n">
        <v>0</v>
      </c>
      <c r="M494" t="n">
        <v>0</v>
      </c>
      <c r="N494" t="n">
        <v>0</v>
      </c>
      <c r="O494" t="n">
        <v>0</v>
      </c>
      <c r="P494" t="n">
        <v>0</v>
      </c>
      <c r="Q494" t="n">
        <v>0</v>
      </c>
      <c r="R494" s="2" t="inlineStr"/>
    </row>
    <row r="495" ht="15" customHeight="1">
      <c r="A495" t="inlineStr">
        <is>
          <t>A 56548-2024</t>
        </is>
      </c>
      <c r="B495" s="1" t="n">
        <v>45625</v>
      </c>
      <c r="C495" s="1" t="n">
        <v>45914</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47086-2022</t>
        </is>
      </c>
      <c r="B496" s="1" t="n">
        <v>44852</v>
      </c>
      <c r="C496" s="1" t="n">
        <v>45914</v>
      </c>
      <c r="D496" t="inlineStr">
        <is>
          <t>VÄSTMANLANDS LÄN</t>
        </is>
      </c>
      <c r="E496" t="inlineStr">
        <is>
          <t>SALA</t>
        </is>
      </c>
      <c r="G496" t="n">
        <v>12.5</v>
      </c>
      <c r="H496" t="n">
        <v>0</v>
      </c>
      <c r="I496" t="n">
        <v>0</v>
      </c>
      <c r="J496" t="n">
        <v>0</v>
      </c>
      <c r="K496" t="n">
        <v>0</v>
      </c>
      <c r="L496" t="n">
        <v>0</v>
      </c>
      <c r="M496" t="n">
        <v>0</v>
      </c>
      <c r="N496" t="n">
        <v>0</v>
      </c>
      <c r="O496" t="n">
        <v>0</v>
      </c>
      <c r="P496" t="n">
        <v>0</v>
      </c>
      <c r="Q496" t="n">
        <v>0</v>
      </c>
      <c r="R496" s="2" t="inlineStr"/>
    </row>
    <row r="497" ht="15" customHeight="1">
      <c r="A497" t="inlineStr">
        <is>
          <t>A 50241-2023</t>
        </is>
      </c>
      <c r="B497" s="1" t="n">
        <v>45216</v>
      </c>
      <c r="C497" s="1" t="n">
        <v>45914</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38294-2025</t>
        </is>
      </c>
      <c r="B498" s="1" t="n">
        <v>45883.44854166666</v>
      </c>
      <c r="C498" s="1" t="n">
        <v>45914</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3332-2024</t>
        </is>
      </c>
      <c r="B499" s="1" t="n">
        <v>45317</v>
      </c>
      <c r="C499" s="1" t="n">
        <v>45914</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988-2025</t>
        </is>
      </c>
      <c r="B500" s="1" t="n">
        <v>45666.44038194444</v>
      </c>
      <c r="C500" s="1" t="n">
        <v>45914</v>
      </c>
      <c r="D500" t="inlineStr">
        <is>
          <t>VÄSTMANLANDS LÄN</t>
        </is>
      </c>
      <c r="E500" t="inlineStr">
        <is>
          <t>SALA</t>
        </is>
      </c>
      <c r="G500" t="n">
        <v>1.3</v>
      </c>
      <c r="H500" t="n">
        <v>0</v>
      </c>
      <c r="I500" t="n">
        <v>0</v>
      </c>
      <c r="J500" t="n">
        <v>0</v>
      </c>
      <c r="K500" t="n">
        <v>0</v>
      </c>
      <c r="L500" t="n">
        <v>0</v>
      </c>
      <c r="M500" t="n">
        <v>0</v>
      </c>
      <c r="N500" t="n">
        <v>0</v>
      </c>
      <c r="O500" t="n">
        <v>0</v>
      </c>
      <c r="P500" t="n">
        <v>0</v>
      </c>
      <c r="Q500" t="n">
        <v>0</v>
      </c>
      <c r="R500" s="2" t="inlineStr"/>
    </row>
    <row r="501" ht="15" customHeight="1">
      <c r="A501" t="inlineStr">
        <is>
          <t>A 5032-2025</t>
        </is>
      </c>
      <c r="B501" s="1" t="n">
        <v>45691</v>
      </c>
      <c r="C501" s="1" t="n">
        <v>45914</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35637-2022</t>
        </is>
      </c>
      <c r="B502" s="1" t="n">
        <v>44799.55194444444</v>
      </c>
      <c r="C502" s="1" t="n">
        <v>45914</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19033-2025</t>
        </is>
      </c>
      <c r="B503" s="1" t="n">
        <v>45764.65796296296</v>
      </c>
      <c r="C503" s="1" t="n">
        <v>45914</v>
      </c>
      <c r="D503" t="inlineStr">
        <is>
          <t>VÄSTMANLANDS LÄN</t>
        </is>
      </c>
      <c r="E503" t="inlineStr">
        <is>
          <t>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66908-2021</t>
        </is>
      </c>
      <c r="B504" s="1" t="n">
        <v>44522</v>
      </c>
      <c r="C504" s="1" t="n">
        <v>45914</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11696-2025</t>
        </is>
      </c>
      <c r="B505" s="1" t="n">
        <v>45727</v>
      </c>
      <c r="C505" s="1" t="n">
        <v>45914</v>
      </c>
      <c r="D505" t="inlineStr">
        <is>
          <t>VÄSTMANLANDS LÄN</t>
        </is>
      </c>
      <c r="E505" t="inlineStr">
        <is>
          <t>SALA</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43509-2021</t>
        </is>
      </c>
      <c r="B506" s="1" t="n">
        <v>44433</v>
      </c>
      <c r="C506" s="1" t="n">
        <v>45914</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13746-2025</t>
        </is>
      </c>
      <c r="B507" s="1" t="n">
        <v>45737.40944444444</v>
      </c>
      <c r="C507" s="1" t="n">
        <v>45914</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25897-2024</t>
        </is>
      </c>
      <c r="B508" s="1" t="n">
        <v>45467.54435185185</v>
      </c>
      <c r="C508" s="1" t="n">
        <v>45914</v>
      </c>
      <c r="D508" t="inlineStr">
        <is>
          <t>VÄSTMANLANDS LÄN</t>
        </is>
      </c>
      <c r="E508" t="inlineStr">
        <is>
          <t>SALA</t>
        </is>
      </c>
      <c r="G508" t="n">
        <v>9.9</v>
      </c>
      <c r="H508" t="n">
        <v>0</v>
      </c>
      <c r="I508" t="n">
        <v>0</v>
      </c>
      <c r="J508" t="n">
        <v>0</v>
      </c>
      <c r="K508" t="n">
        <v>0</v>
      </c>
      <c r="L508" t="n">
        <v>0</v>
      </c>
      <c r="M508" t="n">
        <v>0</v>
      </c>
      <c r="N508" t="n">
        <v>0</v>
      </c>
      <c r="O508" t="n">
        <v>0</v>
      </c>
      <c r="P508" t="n">
        <v>0</v>
      </c>
      <c r="Q508" t="n">
        <v>0</v>
      </c>
      <c r="R508" s="2" t="inlineStr"/>
    </row>
    <row r="509" ht="15" customHeight="1">
      <c r="A509" t="inlineStr">
        <is>
          <t>A 23222-2023</t>
        </is>
      </c>
      <c r="B509" s="1" t="n">
        <v>45075</v>
      </c>
      <c r="C509" s="1" t="n">
        <v>45914</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23224-2023</t>
        </is>
      </c>
      <c r="B510" s="1" t="n">
        <v>45075.65040509259</v>
      </c>
      <c r="C510" s="1" t="n">
        <v>45914</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50479-2022</t>
        </is>
      </c>
      <c r="B511" s="1" t="n">
        <v>44861</v>
      </c>
      <c r="C511" s="1" t="n">
        <v>45914</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50818-2020</t>
        </is>
      </c>
      <c r="B512" s="1" t="n">
        <v>44111</v>
      </c>
      <c r="C512" s="1" t="n">
        <v>45914</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14919-2025</t>
        </is>
      </c>
      <c r="B513" s="1" t="n">
        <v>45743.54256944444</v>
      </c>
      <c r="C513" s="1" t="n">
        <v>45914</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14920-2025</t>
        </is>
      </c>
      <c r="B514" s="1" t="n">
        <v>45743</v>
      </c>
      <c r="C514" s="1" t="n">
        <v>45914</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13855-2023</t>
        </is>
      </c>
      <c r="B515" s="1" t="n">
        <v>45007</v>
      </c>
      <c r="C515" s="1" t="n">
        <v>45914</v>
      </c>
      <c r="D515" t="inlineStr">
        <is>
          <t>VÄSTMANLANDS LÄN</t>
        </is>
      </c>
      <c r="E515" t="inlineStr">
        <is>
          <t>SALA</t>
        </is>
      </c>
      <c r="G515" t="n">
        <v>2.9</v>
      </c>
      <c r="H515" t="n">
        <v>0</v>
      </c>
      <c r="I515" t="n">
        <v>0</v>
      </c>
      <c r="J515" t="n">
        <v>0</v>
      </c>
      <c r="K515" t="n">
        <v>0</v>
      </c>
      <c r="L515" t="n">
        <v>0</v>
      </c>
      <c r="M515" t="n">
        <v>0</v>
      </c>
      <c r="N515" t="n">
        <v>0</v>
      </c>
      <c r="O515" t="n">
        <v>0</v>
      </c>
      <c r="P515" t="n">
        <v>0</v>
      </c>
      <c r="Q515" t="n">
        <v>0</v>
      </c>
      <c r="R515" s="2" t="inlineStr"/>
    </row>
    <row r="516" ht="15" customHeight="1">
      <c r="A516" t="inlineStr">
        <is>
          <t>A 18877-2023</t>
        </is>
      </c>
      <c r="B516" s="1" t="n">
        <v>45044</v>
      </c>
      <c r="C516" s="1" t="n">
        <v>45914</v>
      </c>
      <c r="D516" t="inlineStr">
        <is>
          <t>VÄSTMANLANDS LÄN</t>
        </is>
      </c>
      <c r="E516" t="inlineStr">
        <is>
          <t>SALA</t>
        </is>
      </c>
      <c r="F516" t="inlineStr">
        <is>
          <t>Kommuner</t>
        </is>
      </c>
      <c r="G516" t="n">
        <v>4.4</v>
      </c>
      <c r="H516" t="n">
        <v>0</v>
      </c>
      <c r="I516" t="n">
        <v>0</v>
      </c>
      <c r="J516" t="n">
        <v>0</v>
      </c>
      <c r="K516" t="n">
        <v>0</v>
      </c>
      <c r="L516" t="n">
        <v>0</v>
      </c>
      <c r="M516" t="n">
        <v>0</v>
      </c>
      <c r="N516" t="n">
        <v>0</v>
      </c>
      <c r="O516" t="n">
        <v>0</v>
      </c>
      <c r="P516" t="n">
        <v>0</v>
      </c>
      <c r="Q516" t="n">
        <v>0</v>
      </c>
      <c r="R516" s="2" t="inlineStr"/>
    </row>
    <row r="517" ht="15" customHeight="1">
      <c r="A517" t="inlineStr">
        <is>
          <t>A 55556-2023</t>
        </is>
      </c>
      <c r="B517" s="1" t="n">
        <v>45232</v>
      </c>
      <c r="C517" s="1" t="n">
        <v>45914</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34494-2023</t>
        </is>
      </c>
      <c r="B518" s="1" t="n">
        <v>45133</v>
      </c>
      <c r="C518" s="1" t="n">
        <v>45914</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15650-2025</t>
        </is>
      </c>
      <c r="B519" s="1" t="n">
        <v>45748.40172453703</v>
      </c>
      <c r="C519" s="1" t="n">
        <v>45914</v>
      </c>
      <c r="D519" t="inlineStr">
        <is>
          <t>VÄSTMANLANDS LÄN</t>
        </is>
      </c>
      <c r="E519" t="inlineStr">
        <is>
          <t>SALA</t>
        </is>
      </c>
      <c r="F519" t="inlineStr">
        <is>
          <t>Bergvik skog öst AB</t>
        </is>
      </c>
      <c r="G519" t="n">
        <v>3</v>
      </c>
      <c r="H519" t="n">
        <v>0</v>
      </c>
      <c r="I519" t="n">
        <v>0</v>
      </c>
      <c r="J519" t="n">
        <v>0</v>
      </c>
      <c r="K519" t="n">
        <v>0</v>
      </c>
      <c r="L519" t="n">
        <v>0</v>
      </c>
      <c r="M519" t="n">
        <v>0</v>
      </c>
      <c r="N519" t="n">
        <v>0</v>
      </c>
      <c r="O519" t="n">
        <v>0</v>
      </c>
      <c r="P519" t="n">
        <v>0</v>
      </c>
      <c r="Q519" t="n">
        <v>0</v>
      </c>
      <c r="R519" s="2" t="inlineStr"/>
    </row>
    <row r="520" ht="15" customHeight="1">
      <c r="A520" t="inlineStr">
        <is>
          <t>A 13752-2025</t>
        </is>
      </c>
      <c r="B520" s="1" t="n">
        <v>45737.41416666667</v>
      </c>
      <c r="C520" s="1" t="n">
        <v>45914</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57883-2024</t>
        </is>
      </c>
      <c r="B521" s="1" t="n">
        <v>45630</v>
      </c>
      <c r="C521" s="1" t="n">
        <v>45914</v>
      </c>
      <c r="D521" t="inlineStr">
        <is>
          <t>VÄSTMANLANDS LÄN</t>
        </is>
      </c>
      <c r="E521" t="inlineStr">
        <is>
          <t>SALA</t>
        </is>
      </c>
      <c r="G521" t="n">
        <v>5.4</v>
      </c>
      <c r="H521" t="n">
        <v>0</v>
      </c>
      <c r="I521" t="n">
        <v>0</v>
      </c>
      <c r="J521" t="n">
        <v>0</v>
      </c>
      <c r="K521" t="n">
        <v>0</v>
      </c>
      <c r="L521" t="n">
        <v>0</v>
      </c>
      <c r="M521" t="n">
        <v>0</v>
      </c>
      <c r="N521" t="n">
        <v>0</v>
      </c>
      <c r="O521" t="n">
        <v>0</v>
      </c>
      <c r="P521" t="n">
        <v>0</v>
      </c>
      <c r="Q521" t="n">
        <v>0</v>
      </c>
      <c r="R521" s="2" t="inlineStr"/>
    </row>
    <row r="522" ht="15" customHeight="1">
      <c r="A522" t="inlineStr">
        <is>
          <t>A 19398-2025</t>
        </is>
      </c>
      <c r="B522" s="1" t="n">
        <v>45769</v>
      </c>
      <c r="C522" s="1" t="n">
        <v>45914</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22921-2023</t>
        </is>
      </c>
      <c r="B523" s="1" t="n">
        <v>45070</v>
      </c>
      <c r="C523" s="1" t="n">
        <v>45914</v>
      </c>
      <c r="D523" t="inlineStr">
        <is>
          <t>VÄSTMANLANDS LÄN</t>
        </is>
      </c>
      <c r="E523" t="inlineStr">
        <is>
          <t>SALA</t>
        </is>
      </c>
      <c r="G523" t="n">
        <v>1.3</v>
      </c>
      <c r="H523" t="n">
        <v>0</v>
      </c>
      <c r="I523" t="n">
        <v>0</v>
      </c>
      <c r="J523" t="n">
        <v>0</v>
      </c>
      <c r="K523" t="n">
        <v>0</v>
      </c>
      <c r="L523" t="n">
        <v>0</v>
      </c>
      <c r="M523" t="n">
        <v>0</v>
      </c>
      <c r="N523" t="n">
        <v>0</v>
      </c>
      <c r="O523" t="n">
        <v>0</v>
      </c>
      <c r="P523" t="n">
        <v>0</v>
      </c>
      <c r="Q523" t="n">
        <v>0</v>
      </c>
      <c r="R523" s="2" t="inlineStr"/>
    </row>
    <row r="524" ht="15" customHeight="1">
      <c r="A524" t="inlineStr">
        <is>
          <t>A 16133-2025</t>
        </is>
      </c>
      <c r="B524" s="1" t="n">
        <v>45750</v>
      </c>
      <c r="C524" s="1" t="n">
        <v>45914</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6127-2025</t>
        </is>
      </c>
      <c r="B525" s="1" t="n">
        <v>45698</v>
      </c>
      <c r="C525" s="1" t="n">
        <v>45914</v>
      </c>
      <c r="D525" t="inlineStr">
        <is>
          <t>VÄSTMANLANDS LÄN</t>
        </is>
      </c>
      <c r="E525" t="inlineStr">
        <is>
          <t>SALA</t>
        </is>
      </c>
      <c r="F525" t="inlineStr">
        <is>
          <t>Bergvik skog öst AB</t>
        </is>
      </c>
      <c r="G525" t="n">
        <v>4.3</v>
      </c>
      <c r="H525" t="n">
        <v>0</v>
      </c>
      <c r="I525" t="n">
        <v>0</v>
      </c>
      <c r="J525" t="n">
        <v>0</v>
      </c>
      <c r="K525" t="n">
        <v>0</v>
      </c>
      <c r="L525" t="n">
        <v>0</v>
      </c>
      <c r="M525" t="n">
        <v>0</v>
      </c>
      <c r="N525" t="n">
        <v>0</v>
      </c>
      <c r="O525" t="n">
        <v>0</v>
      </c>
      <c r="P525" t="n">
        <v>0</v>
      </c>
      <c r="Q525" t="n">
        <v>0</v>
      </c>
      <c r="R525" s="2" t="inlineStr"/>
    </row>
    <row r="526" ht="15" customHeight="1">
      <c r="A526" t="inlineStr">
        <is>
          <t>A 15272-2025</t>
        </is>
      </c>
      <c r="B526" s="1" t="n">
        <v>45744</v>
      </c>
      <c r="C526" s="1" t="n">
        <v>45914</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50876-2023</t>
        </is>
      </c>
      <c r="B527" s="1" t="n">
        <v>45211</v>
      </c>
      <c r="C527" s="1" t="n">
        <v>45914</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38574-2025</t>
        </is>
      </c>
      <c r="B528" s="1" t="n">
        <v>45884.46390046296</v>
      </c>
      <c r="C528" s="1" t="n">
        <v>45914</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37624-2024</t>
        </is>
      </c>
      <c r="B529" s="1" t="n">
        <v>45541</v>
      </c>
      <c r="C529" s="1" t="n">
        <v>45914</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24248-2023</t>
        </is>
      </c>
      <c r="B530" s="1" t="n">
        <v>45079</v>
      </c>
      <c r="C530" s="1" t="n">
        <v>45914</v>
      </c>
      <c r="D530" t="inlineStr">
        <is>
          <t>VÄSTMANLANDS LÄN</t>
        </is>
      </c>
      <c r="E530" t="inlineStr">
        <is>
          <t>SALA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40398-2021</t>
        </is>
      </c>
      <c r="B531" s="1" t="n">
        <v>44419</v>
      </c>
      <c r="C531" s="1" t="n">
        <v>45914</v>
      </c>
      <c r="D531" t="inlineStr">
        <is>
          <t>VÄSTMANLANDS LÄN</t>
        </is>
      </c>
      <c r="E531" t="inlineStr">
        <is>
          <t>SALA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38195-2021</t>
        </is>
      </c>
      <c r="B532" s="1" t="n">
        <v>44405</v>
      </c>
      <c r="C532" s="1" t="n">
        <v>45914</v>
      </c>
      <c r="D532" t="inlineStr">
        <is>
          <t>VÄSTMANLANDS LÄN</t>
        </is>
      </c>
      <c r="E532" t="inlineStr">
        <is>
          <t>SALA</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27228-2023</t>
        </is>
      </c>
      <c r="B533" s="1" t="n">
        <v>45096.59189814814</v>
      </c>
      <c r="C533" s="1" t="n">
        <v>45914</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6351-2023</t>
        </is>
      </c>
      <c r="B534" s="1" t="n">
        <v>44965</v>
      </c>
      <c r="C534" s="1" t="n">
        <v>45914</v>
      </c>
      <c r="D534" t="inlineStr">
        <is>
          <t>VÄSTMANLANDS LÄN</t>
        </is>
      </c>
      <c r="E534" t="inlineStr">
        <is>
          <t>SALA</t>
        </is>
      </c>
      <c r="F534" t="inlineStr">
        <is>
          <t>Kommuner</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34069-2025</t>
        </is>
      </c>
      <c r="B535" s="1" t="n">
        <v>45845.43560185185</v>
      </c>
      <c r="C535" s="1" t="n">
        <v>45914</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c r="U535">
        <f>HYPERLINK("https://klasma.github.io/Logging_1981/knärot/A 34069-2025 karta knärot.png", "A 34069-2025")</f>
        <v/>
      </c>
      <c r="V535">
        <f>HYPERLINK("https://klasma.github.io/Logging_1981/klagomål/A 34069-2025 FSC-klagomål.docx", "A 34069-2025")</f>
        <v/>
      </c>
      <c r="W535">
        <f>HYPERLINK("https://klasma.github.io/Logging_1981/klagomålsmail/A 34069-2025 FSC-klagomål mail.docx", "A 34069-2025")</f>
        <v/>
      </c>
      <c r="X535">
        <f>HYPERLINK("https://klasma.github.io/Logging_1981/tillsyn/A 34069-2025 tillsynsbegäran.docx", "A 34069-2025")</f>
        <v/>
      </c>
      <c r="Y535">
        <f>HYPERLINK("https://klasma.github.io/Logging_1981/tillsynsmail/A 34069-2025 tillsynsbegäran mail.docx", "A 34069-2025")</f>
        <v/>
      </c>
    </row>
    <row r="536" ht="15" customHeight="1">
      <c r="A536" t="inlineStr">
        <is>
          <t>A 53838-2022</t>
        </is>
      </c>
      <c r="B536" s="1" t="n">
        <v>44880.59363425926</v>
      </c>
      <c r="C536" s="1" t="n">
        <v>45914</v>
      </c>
      <c r="D536" t="inlineStr">
        <is>
          <t>VÄSTMANLANDS LÄN</t>
        </is>
      </c>
      <c r="E536" t="inlineStr">
        <is>
          <t>SALA</t>
        </is>
      </c>
      <c r="G536" t="n">
        <v>3.9</v>
      </c>
      <c r="H536" t="n">
        <v>0</v>
      </c>
      <c r="I536" t="n">
        <v>0</v>
      </c>
      <c r="J536" t="n">
        <v>0</v>
      </c>
      <c r="K536" t="n">
        <v>0</v>
      </c>
      <c r="L536" t="n">
        <v>0</v>
      </c>
      <c r="M536" t="n">
        <v>0</v>
      </c>
      <c r="N536" t="n">
        <v>0</v>
      </c>
      <c r="O536" t="n">
        <v>0</v>
      </c>
      <c r="P536" t="n">
        <v>0</v>
      </c>
      <c r="Q536" t="n">
        <v>0</v>
      </c>
      <c r="R536" s="2" t="inlineStr"/>
    </row>
    <row r="537" ht="15" customHeight="1">
      <c r="A537" t="inlineStr">
        <is>
          <t>A 27262-2024</t>
        </is>
      </c>
      <c r="B537" s="1" t="n">
        <v>45471</v>
      </c>
      <c r="C537" s="1" t="n">
        <v>45914</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15584-2021</t>
        </is>
      </c>
      <c r="B538" s="1" t="n">
        <v>44285</v>
      </c>
      <c r="C538" s="1" t="n">
        <v>45914</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54923-2020</t>
        </is>
      </c>
      <c r="B539" s="1" t="n">
        <v>44127</v>
      </c>
      <c r="C539" s="1" t="n">
        <v>45914</v>
      </c>
      <c r="D539" t="inlineStr">
        <is>
          <t>VÄSTMANLANDS LÄN</t>
        </is>
      </c>
      <c r="E539" t="inlineStr">
        <is>
          <t>SALA</t>
        </is>
      </c>
      <c r="G539" t="n">
        <v>4.9</v>
      </c>
      <c r="H539" t="n">
        <v>0</v>
      </c>
      <c r="I539" t="n">
        <v>0</v>
      </c>
      <c r="J539" t="n">
        <v>0</v>
      </c>
      <c r="K539" t="n">
        <v>0</v>
      </c>
      <c r="L539" t="n">
        <v>0</v>
      </c>
      <c r="M539" t="n">
        <v>0</v>
      </c>
      <c r="N539" t="n">
        <v>0</v>
      </c>
      <c r="O539" t="n">
        <v>0</v>
      </c>
      <c r="P539" t="n">
        <v>0</v>
      </c>
      <c r="Q539" t="n">
        <v>0</v>
      </c>
      <c r="R539" s="2" t="inlineStr"/>
    </row>
    <row r="540" ht="15" customHeight="1">
      <c r="A540" t="inlineStr">
        <is>
          <t>A 54771-2024</t>
        </is>
      </c>
      <c r="B540" s="1" t="n">
        <v>45618</v>
      </c>
      <c r="C540" s="1" t="n">
        <v>45914</v>
      </c>
      <c r="D540" t="inlineStr">
        <is>
          <t>VÄSTMANLANDS LÄN</t>
        </is>
      </c>
      <c r="E540" t="inlineStr">
        <is>
          <t>SALA</t>
        </is>
      </c>
      <c r="G540" t="n">
        <v>2.8</v>
      </c>
      <c r="H540" t="n">
        <v>0</v>
      </c>
      <c r="I540" t="n">
        <v>0</v>
      </c>
      <c r="J540" t="n">
        <v>0</v>
      </c>
      <c r="K540" t="n">
        <v>0</v>
      </c>
      <c r="L540" t="n">
        <v>0</v>
      </c>
      <c r="M540" t="n">
        <v>0</v>
      </c>
      <c r="N540" t="n">
        <v>0</v>
      </c>
      <c r="O540" t="n">
        <v>0</v>
      </c>
      <c r="P540" t="n">
        <v>0</v>
      </c>
      <c r="Q540" t="n">
        <v>0</v>
      </c>
      <c r="R540" s="2" t="inlineStr"/>
    </row>
    <row r="541" ht="15" customHeight="1">
      <c r="A541" t="inlineStr">
        <is>
          <t>A 25260-2023</t>
        </is>
      </c>
      <c r="B541" s="1" t="n">
        <v>45086</v>
      </c>
      <c r="C541" s="1" t="n">
        <v>45914</v>
      </c>
      <c r="D541" t="inlineStr">
        <is>
          <t>VÄSTMANLANDS LÄN</t>
        </is>
      </c>
      <c r="E541" t="inlineStr">
        <is>
          <t>SALA</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23119-2022</t>
        </is>
      </c>
      <c r="B542" s="1" t="n">
        <v>44719.56697916667</v>
      </c>
      <c r="C542" s="1" t="n">
        <v>45914</v>
      </c>
      <c r="D542" t="inlineStr">
        <is>
          <t>VÄSTMANLANDS LÄN</t>
        </is>
      </c>
      <c r="E542" t="inlineStr">
        <is>
          <t>SALA</t>
        </is>
      </c>
      <c r="G542" t="n">
        <v>7</v>
      </c>
      <c r="H542" t="n">
        <v>0</v>
      </c>
      <c r="I542" t="n">
        <v>0</v>
      </c>
      <c r="J542" t="n">
        <v>0</v>
      </c>
      <c r="K542" t="n">
        <v>0</v>
      </c>
      <c r="L542" t="n">
        <v>0</v>
      </c>
      <c r="M542" t="n">
        <v>0</v>
      </c>
      <c r="N542" t="n">
        <v>0</v>
      </c>
      <c r="O542" t="n">
        <v>0</v>
      </c>
      <c r="P542" t="n">
        <v>0</v>
      </c>
      <c r="Q542" t="n">
        <v>0</v>
      </c>
      <c r="R542" s="2" t="inlineStr"/>
    </row>
    <row r="543" ht="15" customHeight="1">
      <c r="A543" t="inlineStr">
        <is>
          <t>A 16769-2024</t>
        </is>
      </c>
      <c r="B543" s="1" t="n">
        <v>45411.38738425926</v>
      </c>
      <c r="C543" s="1" t="n">
        <v>45914</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43751-2021</t>
        </is>
      </c>
      <c r="B544" s="1" t="n">
        <v>44433</v>
      </c>
      <c r="C544" s="1" t="n">
        <v>45914</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59483-2022</t>
        </is>
      </c>
      <c r="B545" s="1" t="n">
        <v>44907.45679398148</v>
      </c>
      <c r="C545" s="1" t="n">
        <v>45914</v>
      </c>
      <c r="D545" t="inlineStr">
        <is>
          <t>VÄSTMANLANDS LÄN</t>
        </is>
      </c>
      <c r="E545" t="inlineStr">
        <is>
          <t>SALA</t>
        </is>
      </c>
      <c r="G545" t="n">
        <v>5.2</v>
      </c>
      <c r="H545" t="n">
        <v>0</v>
      </c>
      <c r="I545" t="n">
        <v>0</v>
      </c>
      <c r="J545" t="n">
        <v>0</v>
      </c>
      <c r="K545" t="n">
        <v>0</v>
      </c>
      <c r="L545" t="n">
        <v>0</v>
      </c>
      <c r="M545" t="n">
        <v>0</v>
      </c>
      <c r="N545" t="n">
        <v>0</v>
      </c>
      <c r="O545" t="n">
        <v>0</v>
      </c>
      <c r="P545" t="n">
        <v>0</v>
      </c>
      <c r="Q545" t="n">
        <v>0</v>
      </c>
      <c r="R545" s="2" t="inlineStr"/>
    </row>
    <row r="546" ht="15" customHeight="1">
      <c r="A546" t="inlineStr">
        <is>
          <t>A 60249-2023</t>
        </is>
      </c>
      <c r="B546" s="1" t="n">
        <v>45258</v>
      </c>
      <c r="C546" s="1" t="n">
        <v>45914</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14271-2025</t>
        </is>
      </c>
      <c r="B547" s="1" t="n">
        <v>45740.64129629629</v>
      </c>
      <c r="C547" s="1" t="n">
        <v>45914</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69232-2021</t>
        </is>
      </c>
      <c r="B548" s="1" t="n">
        <v>44531.39696759259</v>
      </c>
      <c r="C548" s="1" t="n">
        <v>45914</v>
      </c>
      <c r="D548" t="inlineStr">
        <is>
          <t>VÄSTMANLANDS LÄN</t>
        </is>
      </c>
      <c r="E548" t="inlineStr">
        <is>
          <t>SALA</t>
        </is>
      </c>
      <c r="G548" t="n">
        <v>2.3</v>
      </c>
      <c r="H548" t="n">
        <v>0</v>
      </c>
      <c r="I548" t="n">
        <v>0</v>
      </c>
      <c r="J548" t="n">
        <v>0</v>
      </c>
      <c r="K548" t="n">
        <v>0</v>
      </c>
      <c r="L548" t="n">
        <v>0</v>
      </c>
      <c r="M548" t="n">
        <v>0</v>
      </c>
      <c r="N548" t="n">
        <v>0</v>
      </c>
      <c r="O548" t="n">
        <v>0</v>
      </c>
      <c r="P548" t="n">
        <v>0</v>
      </c>
      <c r="Q548" t="n">
        <v>0</v>
      </c>
      <c r="R548" s="2" t="inlineStr"/>
    </row>
    <row r="549" ht="15" customHeight="1">
      <c r="A549" t="inlineStr">
        <is>
          <t>A 73673-2021</t>
        </is>
      </c>
      <c r="B549" s="1" t="n">
        <v>44552.46501157407</v>
      </c>
      <c r="C549" s="1" t="n">
        <v>45914</v>
      </c>
      <c r="D549" t="inlineStr">
        <is>
          <t>VÄSTMANLANDS LÄN</t>
        </is>
      </c>
      <c r="E549" t="inlineStr">
        <is>
          <t>SALA</t>
        </is>
      </c>
      <c r="G549" t="n">
        <v>11.4</v>
      </c>
      <c r="H549" t="n">
        <v>0</v>
      </c>
      <c r="I549" t="n">
        <v>0</v>
      </c>
      <c r="J549" t="n">
        <v>0</v>
      </c>
      <c r="K549" t="n">
        <v>0</v>
      </c>
      <c r="L549" t="n">
        <v>0</v>
      </c>
      <c r="M549" t="n">
        <v>0</v>
      </c>
      <c r="N549" t="n">
        <v>0</v>
      </c>
      <c r="O549" t="n">
        <v>0</v>
      </c>
      <c r="P549" t="n">
        <v>0</v>
      </c>
      <c r="Q549" t="n">
        <v>0</v>
      </c>
      <c r="R549" s="2" t="inlineStr"/>
    </row>
    <row r="550" ht="15" customHeight="1">
      <c r="A550" t="inlineStr">
        <is>
          <t>A 922-2025</t>
        </is>
      </c>
      <c r="B550" s="1" t="n">
        <v>45665.80069444444</v>
      </c>
      <c r="C550" s="1" t="n">
        <v>45914</v>
      </c>
      <c r="D550" t="inlineStr">
        <is>
          <t>VÄSTMANLANDS LÄN</t>
        </is>
      </c>
      <c r="E550" t="inlineStr">
        <is>
          <t>SALA</t>
        </is>
      </c>
      <c r="G550" t="n">
        <v>6.2</v>
      </c>
      <c r="H550" t="n">
        <v>0</v>
      </c>
      <c r="I550" t="n">
        <v>0</v>
      </c>
      <c r="J550" t="n">
        <v>0</v>
      </c>
      <c r="K550" t="n">
        <v>0</v>
      </c>
      <c r="L550" t="n">
        <v>0</v>
      </c>
      <c r="M550" t="n">
        <v>0</v>
      </c>
      <c r="N550" t="n">
        <v>0</v>
      </c>
      <c r="O550" t="n">
        <v>0</v>
      </c>
      <c r="P550" t="n">
        <v>0</v>
      </c>
      <c r="Q550" t="n">
        <v>0</v>
      </c>
      <c r="R550" s="2" t="inlineStr"/>
    </row>
    <row r="551" ht="15" customHeight="1">
      <c r="A551" t="inlineStr">
        <is>
          <t>A 28328-2023</t>
        </is>
      </c>
      <c r="B551" s="1" t="n">
        <v>45099.71063657408</v>
      </c>
      <c r="C551" s="1" t="n">
        <v>45914</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40085-2024</t>
        </is>
      </c>
      <c r="B552" s="1" t="n">
        <v>45554</v>
      </c>
      <c r="C552" s="1" t="n">
        <v>45914</v>
      </c>
      <c r="D552" t="inlineStr">
        <is>
          <t>VÄSTMANLANDS LÄN</t>
        </is>
      </c>
      <c r="E552" t="inlineStr">
        <is>
          <t>SALA</t>
        </is>
      </c>
      <c r="G552" t="n">
        <v>2.8</v>
      </c>
      <c r="H552" t="n">
        <v>0</v>
      </c>
      <c r="I552" t="n">
        <v>0</v>
      </c>
      <c r="J552" t="n">
        <v>0</v>
      </c>
      <c r="K552" t="n">
        <v>0</v>
      </c>
      <c r="L552" t="n">
        <v>0</v>
      </c>
      <c r="M552" t="n">
        <v>0</v>
      </c>
      <c r="N552" t="n">
        <v>0</v>
      </c>
      <c r="O552" t="n">
        <v>0</v>
      </c>
      <c r="P552" t="n">
        <v>0</v>
      </c>
      <c r="Q552" t="n">
        <v>0</v>
      </c>
      <c r="R552" s="2" t="inlineStr"/>
    </row>
    <row r="553" ht="15" customHeight="1">
      <c r="A553" t="inlineStr">
        <is>
          <t>A 4853-2023</t>
        </is>
      </c>
      <c r="B553" s="1" t="n">
        <v>44957.73234953704</v>
      </c>
      <c r="C553" s="1" t="n">
        <v>45914</v>
      </c>
      <c r="D553" t="inlineStr">
        <is>
          <t>VÄSTMANLANDS LÄN</t>
        </is>
      </c>
      <c r="E553" t="inlineStr">
        <is>
          <t>SALA</t>
        </is>
      </c>
      <c r="G553" t="n">
        <v>2.7</v>
      </c>
      <c r="H553" t="n">
        <v>0</v>
      </c>
      <c r="I553" t="n">
        <v>0</v>
      </c>
      <c r="J553" t="n">
        <v>0</v>
      </c>
      <c r="K553" t="n">
        <v>0</v>
      </c>
      <c r="L553" t="n">
        <v>0</v>
      </c>
      <c r="M553" t="n">
        <v>0</v>
      </c>
      <c r="N553" t="n">
        <v>0</v>
      </c>
      <c r="O553" t="n">
        <v>0</v>
      </c>
      <c r="P553" t="n">
        <v>0</v>
      </c>
      <c r="Q553" t="n">
        <v>0</v>
      </c>
      <c r="R553" s="2" t="inlineStr"/>
    </row>
    <row r="554" ht="15" customHeight="1">
      <c r="A554" t="inlineStr">
        <is>
          <t>A 15744-2025</t>
        </is>
      </c>
      <c r="B554" s="1" t="n">
        <v>45748</v>
      </c>
      <c r="C554" s="1" t="n">
        <v>45914</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18158-2025</t>
        </is>
      </c>
      <c r="B555" s="1" t="n">
        <v>45761</v>
      </c>
      <c r="C555" s="1" t="n">
        <v>45914</v>
      </c>
      <c r="D555" t="inlineStr">
        <is>
          <t>VÄSTMANLANDS LÄN</t>
        </is>
      </c>
      <c r="E555" t="inlineStr">
        <is>
          <t>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49661-2024</t>
        </is>
      </c>
      <c r="B556" s="1" t="n">
        <v>45596</v>
      </c>
      <c r="C556" s="1" t="n">
        <v>45914</v>
      </c>
      <c r="D556" t="inlineStr">
        <is>
          <t>VÄSTMANLANDS LÄN</t>
        </is>
      </c>
      <c r="E556" t="inlineStr">
        <is>
          <t>SALA</t>
        </is>
      </c>
      <c r="G556" t="n">
        <v>6.7</v>
      </c>
      <c r="H556" t="n">
        <v>0</v>
      </c>
      <c r="I556" t="n">
        <v>0</v>
      </c>
      <c r="J556" t="n">
        <v>0</v>
      </c>
      <c r="K556" t="n">
        <v>0</v>
      </c>
      <c r="L556" t="n">
        <v>0</v>
      </c>
      <c r="M556" t="n">
        <v>0</v>
      </c>
      <c r="N556" t="n">
        <v>0</v>
      </c>
      <c r="O556" t="n">
        <v>0</v>
      </c>
      <c r="P556" t="n">
        <v>0</v>
      </c>
      <c r="Q556" t="n">
        <v>0</v>
      </c>
      <c r="R556" s="2" t="inlineStr"/>
    </row>
    <row r="557" ht="15" customHeight="1">
      <c r="A557" t="inlineStr">
        <is>
          <t>A 1993-2022</t>
        </is>
      </c>
      <c r="B557" s="1" t="n">
        <v>44575</v>
      </c>
      <c r="C557" s="1" t="n">
        <v>45914</v>
      </c>
      <c r="D557" t="inlineStr">
        <is>
          <t>VÄSTMANLANDS LÄN</t>
        </is>
      </c>
      <c r="E557" t="inlineStr">
        <is>
          <t>SALA</t>
        </is>
      </c>
      <c r="G557" t="n">
        <v>1.6</v>
      </c>
      <c r="H557" t="n">
        <v>0</v>
      </c>
      <c r="I557" t="n">
        <v>0</v>
      </c>
      <c r="J557" t="n">
        <v>0</v>
      </c>
      <c r="K557" t="n">
        <v>0</v>
      </c>
      <c r="L557" t="n">
        <v>0</v>
      </c>
      <c r="M557" t="n">
        <v>0</v>
      </c>
      <c r="N557" t="n">
        <v>0</v>
      </c>
      <c r="O557" t="n">
        <v>0</v>
      </c>
      <c r="P557" t="n">
        <v>0</v>
      </c>
      <c r="Q557" t="n">
        <v>0</v>
      </c>
      <c r="R557" s="2" t="inlineStr"/>
    </row>
    <row r="558" ht="15" customHeight="1">
      <c r="A558" t="inlineStr">
        <is>
          <t>A 1793-2023</t>
        </is>
      </c>
      <c r="B558" s="1" t="n">
        <v>44937</v>
      </c>
      <c r="C558" s="1" t="n">
        <v>45914</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39167-2025</t>
        </is>
      </c>
      <c r="B559" s="1" t="n">
        <v>45888</v>
      </c>
      <c r="C559" s="1" t="n">
        <v>45914</v>
      </c>
      <c r="D559" t="inlineStr">
        <is>
          <t>VÄSTMANLANDS LÄN</t>
        </is>
      </c>
      <c r="E559" t="inlineStr">
        <is>
          <t>SALA</t>
        </is>
      </c>
      <c r="G559" t="n">
        <v>5.5</v>
      </c>
      <c r="H559" t="n">
        <v>0</v>
      </c>
      <c r="I559" t="n">
        <v>0</v>
      </c>
      <c r="J559" t="n">
        <v>0</v>
      </c>
      <c r="K559" t="n">
        <v>0</v>
      </c>
      <c r="L559" t="n">
        <v>0</v>
      </c>
      <c r="M559" t="n">
        <v>0</v>
      </c>
      <c r="N559" t="n">
        <v>0</v>
      </c>
      <c r="O559" t="n">
        <v>0</v>
      </c>
      <c r="P559" t="n">
        <v>0</v>
      </c>
      <c r="Q559" t="n">
        <v>0</v>
      </c>
      <c r="R559" s="2" t="inlineStr"/>
    </row>
    <row r="560" ht="15" customHeight="1">
      <c r="A560" t="inlineStr">
        <is>
          <t>A 35519-2024</t>
        </is>
      </c>
      <c r="B560" s="1" t="n">
        <v>45531</v>
      </c>
      <c r="C560" s="1" t="n">
        <v>45914</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45914</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11183-2023</t>
        </is>
      </c>
      <c r="B562" s="1" t="n">
        <v>44992.57782407408</v>
      </c>
      <c r="C562" s="1" t="n">
        <v>45914</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11190-2023</t>
        </is>
      </c>
      <c r="B563" s="1" t="n">
        <v>44992</v>
      </c>
      <c r="C563" s="1" t="n">
        <v>45914</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31950-2023</t>
        </is>
      </c>
      <c r="B564" s="1" t="n">
        <v>45107</v>
      </c>
      <c r="C564" s="1" t="n">
        <v>45914</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39182-2025</t>
        </is>
      </c>
      <c r="B565" s="1" t="n">
        <v>45888.66204861111</v>
      </c>
      <c r="C565" s="1" t="n">
        <v>45914</v>
      </c>
      <c r="D565" t="inlineStr">
        <is>
          <t>VÄSTMANLANDS LÄN</t>
        </is>
      </c>
      <c r="E565" t="inlineStr">
        <is>
          <t>SALA</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40559-2025</t>
        </is>
      </c>
      <c r="B566" s="1" t="n">
        <v>45896.45037037037</v>
      </c>
      <c r="C566" s="1" t="n">
        <v>45914</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40554-2025</t>
        </is>
      </c>
      <c r="B567" s="1" t="n">
        <v>45896.44506944445</v>
      </c>
      <c r="C567" s="1" t="n">
        <v>45914</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48710-2024</t>
        </is>
      </c>
      <c r="B568" s="1" t="n">
        <v>45593.53636574074</v>
      </c>
      <c r="C568" s="1" t="n">
        <v>45914</v>
      </c>
      <c r="D568" t="inlineStr">
        <is>
          <t>VÄSTMANLANDS LÄN</t>
        </is>
      </c>
      <c r="E568" t="inlineStr">
        <is>
          <t>SALA</t>
        </is>
      </c>
      <c r="G568" t="n">
        <v>6.5</v>
      </c>
      <c r="H568" t="n">
        <v>0</v>
      </c>
      <c r="I568" t="n">
        <v>0</v>
      </c>
      <c r="J568" t="n">
        <v>0</v>
      </c>
      <c r="K568" t="n">
        <v>0</v>
      </c>
      <c r="L568" t="n">
        <v>0</v>
      </c>
      <c r="M568" t="n">
        <v>0</v>
      </c>
      <c r="N568" t="n">
        <v>0</v>
      </c>
      <c r="O568" t="n">
        <v>0</v>
      </c>
      <c r="P568" t="n">
        <v>0</v>
      </c>
      <c r="Q568" t="n">
        <v>0</v>
      </c>
      <c r="R568" s="2" t="inlineStr"/>
    </row>
    <row r="569" ht="15" customHeight="1">
      <c r="A569" t="inlineStr">
        <is>
          <t>A 40620-2025</t>
        </is>
      </c>
      <c r="B569" s="1" t="n">
        <v>45896.58609953704</v>
      </c>
      <c r="C569" s="1" t="n">
        <v>45914</v>
      </c>
      <c r="D569" t="inlineStr">
        <is>
          <t>VÄSTMANLANDS LÄN</t>
        </is>
      </c>
      <c r="E569" t="inlineStr">
        <is>
          <t>SALA</t>
        </is>
      </c>
      <c r="G569" t="n">
        <v>6.7</v>
      </c>
      <c r="H569" t="n">
        <v>0</v>
      </c>
      <c r="I569" t="n">
        <v>0</v>
      </c>
      <c r="J569" t="n">
        <v>0</v>
      </c>
      <c r="K569" t="n">
        <v>0</v>
      </c>
      <c r="L569" t="n">
        <v>0</v>
      </c>
      <c r="M569" t="n">
        <v>0</v>
      </c>
      <c r="N569" t="n">
        <v>0</v>
      </c>
      <c r="O569" t="n">
        <v>0</v>
      </c>
      <c r="P569" t="n">
        <v>0</v>
      </c>
      <c r="Q569" t="n">
        <v>0</v>
      </c>
      <c r="R569" s="2" t="inlineStr"/>
    </row>
    <row r="570" ht="15" customHeight="1">
      <c r="A570" t="inlineStr">
        <is>
          <t>A 37103-2025</t>
        </is>
      </c>
      <c r="B570" s="1" t="n">
        <v>45875.47743055555</v>
      </c>
      <c r="C570" s="1" t="n">
        <v>45914</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23406-2024</t>
        </is>
      </c>
      <c r="B571" s="1" t="n">
        <v>45453.58296296297</v>
      </c>
      <c r="C571" s="1" t="n">
        <v>45914</v>
      </c>
      <c r="D571" t="inlineStr">
        <is>
          <t>VÄSTMANLANDS LÄN</t>
        </is>
      </c>
      <c r="E571" t="inlineStr">
        <is>
          <t>SALA</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12246-2023</t>
        </is>
      </c>
      <c r="B572" s="1" t="n">
        <v>44995</v>
      </c>
      <c r="C572" s="1" t="n">
        <v>45914</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57800-2020</t>
        </is>
      </c>
      <c r="B573" s="1" t="n">
        <v>44141</v>
      </c>
      <c r="C573" s="1" t="n">
        <v>45914</v>
      </c>
      <c r="D573" t="inlineStr">
        <is>
          <t>VÄSTMANLANDS LÄN</t>
        </is>
      </c>
      <c r="E573" t="inlineStr">
        <is>
          <t>SALA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40556-2025</t>
        </is>
      </c>
      <c r="B574" s="1" t="n">
        <v>45896.44944444444</v>
      </c>
      <c r="C574" s="1" t="n">
        <v>45914</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48571-2024</t>
        </is>
      </c>
      <c r="B575" s="1" t="n">
        <v>45591</v>
      </c>
      <c r="C575" s="1" t="n">
        <v>45914</v>
      </c>
      <c r="D575" t="inlineStr">
        <is>
          <t>VÄSTMANLANDS LÄN</t>
        </is>
      </c>
      <c r="E575" t="inlineStr">
        <is>
          <t>SALA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43362-2023</t>
        </is>
      </c>
      <c r="B576" s="1" t="n">
        <v>45183</v>
      </c>
      <c r="C576" s="1" t="n">
        <v>45914</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16767-2024</t>
        </is>
      </c>
      <c r="B577" s="1" t="n">
        <v>45411.38171296296</v>
      </c>
      <c r="C577" s="1" t="n">
        <v>45914</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41230-2025</t>
        </is>
      </c>
      <c r="B578" s="1" t="n">
        <v>45898</v>
      </c>
      <c r="C578" s="1" t="n">
        <v>45914</v>
      </c>
      <c r="D578" t="inlineStr">
        <is>
          <t>VÄSTMANLANDS LÄN</t>
        </is>
      </c>
      <c r="E578" t="inlineStr">
        <is>
          <t>SALA</t>
        </is>
      </c>
      <c r="G578" t="n">
        <v>2.3</v>
      </c>
      <c r="H578" t="n">
        <v>0</v>
      </c>
      <c r="I578" t="n">
        <v>0</v>
      </c>
      <c r="J578" t="n">
        <v>0</v>
      </c>
      <c r="K578" t="n">
        <v>0</v>
      </c>
      <c r="L578" t="n">
        <v>0</v>
      </c>
      <c r="M578" t="n">
        <v>0</v>
      </c>
      <c r="N578" t="n">
        <v>0</v>
      </c>
      <c r="O578" t="n">
        <v>0</v>
      </c>
      <c r="P578" t="n">
        <v>0</v>
      </c>
      <c r="Q578" t="n">
        <v>0</v>
      </c>
      <c r="R578" s="2" t="inlineStr"/>
    </row>
    <row r="579" ht="15" customHeight="1">
      <c r="A579" t="inlineStr">
        <is>
          <t>A 31470-2021</t>
        </is>
      </c>
      <c r="B579" s="1" t="n">
        <v>44369</v>
      </c>
      <c r="C579" s="1" t="n">
        <v>45914</v>
      </c>
      <c r="D579" t="inlineStr">
        <is>
          <t>VÄSTMANLANDS LÄN</t>
        </is>
      </c>
      <c r="E579" t="inlineStr">
        <is>
          <t>SALA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18461-2024</t>
        </is>
      </c>
      <c r="B580" s="1" t="n">
        <v>45425.47435185185</v>
      </c>
      <c r="C580" s="1" t="n">
        <v>45914</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35715-2025</t>
        </is>
      </c>
      <c r="B581" s="1" t="n">
        <v>45860.42148148148</v>
      </c>
      <c r="C581" s="1" t="n">
        <v>45914</v>
      </c>
      <c r="D581" t="inlineStr">
        <is>
          <t>VÄSTMANLANDS LÄN</t>
        </is>
      </c>
      <c r="E581" t="inlineStr">
        <is>
          <t>SALA</t>
        </is>
      </c>
      <c r="G581" t="n">
        <v>3.8</v>
      </c>
      <c r="H581" t="n">
        <v>0</v>
      </c>
      <c r="I581" t="n">
        <v>0</v>
      </c>
      <c r="J581" t="n">
        <v>0</v>
      </c>
      <c r="K581" t="n">
        <v>0</v>
      </c>
      <c r="L581" t="n">
        <v>0</v>
      </c>
      <c r="M581" t="n">
        <v>0</v>
      </c>
      <c r="N581" t="n">
        <v>0</v>
      </c>
      <c r="O581" t="n">
        <v>0</v>
      </c>
      <c r="P581" t="n">
        <v>0</v>
      </c>
      <c r="Q581" t="n">
        <v>0</v>
      </c>
      <c r="R581" s="2" t="inlineStr"/>
    </row>
    <row r="582" ht="15" customHeight="1">
      <c r="A582" t="inlineStr">
        <is>
          <t>A 35651-2025</t>
        </is>
      </c>
      <c r="B582" s="1" t="n">
        <v>45859.52435185185</v>
      </c>
      <c r="C582" s="1" t="n">
        <v>45914</v>
      </c>
      <c r="D582" t="inlineStr">
        <is>
          <t>VÄSTMANLANDS LÄN</t>
        </is>
      </c>
      <c r="E582" t="inlineStr">
        <is>
          <t>SALA</t>
        </is>
      </c>
      <c r="G582" t="n">
        <v>6.3</v>
      </c>
      <c r="H582" t="n">
        <v>0</v>
      </c>
      <c r="I582" t="n">
        <v>0</v>
      </c>
      <c r="J582" t="n">
        <v>0</v>
      </c>
      <c r="K582" t="n">
        <v>0</v>
      </c>
      <c r="L582" t="n">
        <v>0</v>
      </c>
      <c r="M582" t="n">
        <v>0</v>
      </c>
      <c r="N582" t="n">
        <v>0</v>
      </c>
      <c r="O582" t="n">
        <v>0</v>
      </c>
      <c r="P582" t="n">
        <v>0</v>
      </c>
      <c r="Q582" t="n">
        <v>0</v>
      </c>
      <c r="R582" s="2" t="inlineStr"/>
    </row>
    <row r="583" ht="15" customHeight="1">
      <c r="A583" t="inlineStr">
        <is>
          <t>A 35775-2025</t>
        </is>
      </c>
      <c r="B583" s="1" t="n">
        <v>45860</v>
      </c>
      <c r="C583" s="1" t="n">
        <v>45914</v>
      </c>
      <c r="D583" t="inlineStr">
        <is>
          <t>VÄSTMANLANDS LÄN</t>
        </is>
      </c>
      <c r="E583" t="inlineStr">
        <is>
          <t>SALA</t>
        </is>
      </c>
      <c r="G583" t="n">
        <v>2.6</v>
      </c>
      <c r="H583" t="n">
        <v>0</v>
      </c>
      <c r="I583" t="n">
        <v>0</v>
      </c>
      <c r="J583" t="n">
        <v>0</v>
      </c>
      <c r="K583" t="n">
        <v>0</v>
      </c>
      <c r="L583" t="n">
        <v>0</v>
      </c>
      <c r="M583" t="n">
        <v>0</v>
      </c>
      <c r="N583" t="n">
        <v>0</v>
      </c>
      <c r="O583" t="n">
        <v>0</v>
      </c>
      <c r="P583" t="n">
        <v>0</v>
      </c>
      <c r="Q583" t="n">
        <v>0</v>
      </c>
      <c r="R583" s="2" t="inlineStr"/>
    </row>
    <row r="584" ht="15" customHeight="1">
      <c r="A584" t="inlineStr">
        <is>
          <t>A 29230-2022</t>
        </is>
      </c>
      <c r="B584" s="1" t="n">
        <v>44750</v>
      </c>
      <c r="C584" s="1" t="n">
        <v>45914</v>
      </c>
      <c r="D584" t="inlineStr">
        <is>
          <t>VÄSTMANLANDS LÄN</t>
        </is>
      </c>
      <c r="E584" t="inlineStr">
        <is>
          <t>SALA</t>
        </is>
      </c>
      <c r="G584" t="n">
        <v>1.1</v>
      </c>
      <c r="H584" t="n">
        <v>0</v>
      </c>
      <c r="I584" t="n">
        <v>0</v>
      </c>
      <c r="J584" t="n">
        <v>0</v>
      </c>
      <c r="K584" t="n">
        <v>0</v>
      </c>
      <c r="L584" t="n">
        <v>0</v>
      </c>
      <c r="M584" t="n">
        <v>0</v>
      </c>
      <c r="N584" t="n">
        <v>0</v>
      </c>
      <c r="O584" t="n">
        <v>0</v>
      </c>
      <c r="P584" t="n">
        <v>0</v>
      </c>
      <c r="Q584" t="n">
        <v>0</v>
      </c>
      <c r="R584" s="2" t="inlineStr"/>
    </row>
    <row r="585" ht="15" customHeight="1">
      <c r="A585" t="inlineStr">
        <is>
          <t>A 35774-2025</t>
        </is>
      </c>
      <c r="B585" s="1" t="n">
        <v>45860.68780092592</v>
      </c>
      <c r="C585" s="1" t="n">
        <v>45914</v>
      </c>
      <c r="D585" t="inlineStr">
        <is>
          <t>VÄSTMANLANDS LÄN</t>
        </is>
      </c>
      <c r="E585" t="inlineStr">
        <is>
          <t>SALA</t>
        </is>
      </c>
      <c r="G585" t="n">
        <v>6.5</v>
      </c>
      <c r="H585" t="n">
        <v>0</v>
      </c>
      <c r="I585" t="n">
        <v>0</v>
      </c>
      <c r="J585" t="n">
        <v>0</v>
      </c>
      <c r="K585" t="n">
        <v>0</v>
      </c>
      <c r="L585" t="n">
        <v>0</v>
      </c>
      <c r="M585" t="n">
        <v>0</v>
      </c>
      <c r="N585" t="n">
        <v>0</v>
      </c>
      <c r="O585" t="n">
        <v>0</v>
      </c>
      <c r="P585" t="n">
        <v>0</v>
      </c>
      <c r="Q585" t="n">
        <v>0</v>
      </c>
      <c r="R585" s="2" t="inlineStr"/>
    </row>
    <row r="586" ht="15" customHeight="1">
      <c r="A586" t="inlineStr">
        <is>
          <t>A 9335-2022</t>
        </is>
      </c>
      <c r="B586" s="1" t="n">
        <v>44616.56579861111</v>
      </c>
      <c r="C586" s="1" t="n">
        <v>45914</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35776-2025</t>
        </is>
      </c>
      <c r="B587" s="1" t="n">
        <v>45860.69211805556</v>
      </c>
      <c r="C587" s="1" t="n">
        <v>45914</v>
      </c>
      <c r="D587" t="inlineStr">
        <is>
          <t>VÄSTMANLANDS LÄN</t>
        </is>
      </c>
      <c r="E587" t="inlineStr">
        <is>
          <t>SALA</t>
        </is>
      </c>
      <c r="G587" t="n">
        <v>14.2</v>
      </c>
      <c r="H587" t="n">
        <v>0</v>
      </c>
      <c r="I587" t="n">
        <v>0</v>
      </c>
      <c r="J587" t="n">
        <v>0</v>
      </c>
      <c r="K587" t="n">
        <v>0</v>
      </c>
      <c r="L587" t="n">
        <v>0</v>
      </c>
      <c r="M587" t="n">
        <v>0</v>
      </c>
      <c r="N587" t="n">
        <v>0</v>
      </c>
      <c r="O587" t="n">
        <v>0</v>
      </c>
      <c r="P587" t="n">
        <v>0</v>
      </c>
      <c r="Q587" t="n">
        <v>0</v>
      </c>
      <c r="R587" s="2" t="inlineStr"/>
    </row>
    <row r="588" ht="15" customHeight="1">
      <c r="A588" t="inlineStr">
        <is>
          <t>A 35779-2025</t>
        </is>
      </c>
      <c r="B588" s="1" t="n">
        <v>45860.69495370371</v>
      </c>
      <c r="C588" s="1" t="n">
        <v>45914</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41414-2025</t>
        </is>
      </c>
      <c r="B589" s="1" t="n">
        <v>45901.360625</v>
      </c>
      <c r="C589" s="1" t="n">
        <v>45914</v>
      </c>
      <c r="D589" t="inlineStr">
        <is>
          <t>VÄSTMANLANDS LÄN</t>
        </is>
      </c>
      <c r="E589" t="inlineStr">
        <is>
          <t>SALA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41431-2025</t>
        </is>
      </c>
      <c r="B590" s="1" t="n">
        <v>45901.39347222223</v>
      </c>
      <c r="C590" s="1" t="n">
        <v>45914</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47479-2024</t>
        </is>
      </c>
      <c r="B591" s="1" t="n">
        <v>45587</v>
      </c>
      <c r="C591" s="1" t="n">
        <v>45914</v>
      </c>
      <c r="D591" t="inlineStr">
        <is>
          <t>VÄSTMANLANDS LÄN</t>
        </is>
      </c>
      <c r="E591" t="inlineStr">
        <is>
          <t>SALA</t>
        </is>
      </c>
      <c r="F591" t="inlineStr">
        <is>
          <t>Kommuner</t>
        </is>
      </c>
      <c r="G591" t="n">
        <v>0.8</v>
      </c>
      <c r="H591" t="n">
        <v>0</v>
      </c>
      <c r="I591" t="n">
        <v>0</v>
      </c>
      <c r="J591" t="n">
        <v>0</v>
      </c>
      <c r="K591" t="n">
        <v>0</v>
      </c>
      <c r="L591" t="n">
        <v>0</v>
      </c>
      <c r="M591" t="n">
        <v>0</v>
      </c>
      <c r="N591" t="n">
        <v>0</v>
      </c>
      <c r="O591" t="n">
        <v>0</v>
      </c>
      <c r="P591" t="n">
        <v>0</v>
      </c>
      <c r="Q591" t="n">
        <v>0</v>
      </c>
      <c r="R591" s="2" t="inlineStr"/>
    </row>
    <row r="592" ht="15" customHeight="1">
      <c r="A592" t="inlineStr">
        <is>
          <t>A 19065-2022</t>
        </is>
      </c>
      <c r="B592" s="1" t="n">
        <v>44691.44309027777</v>
      </c>
      <c r="C592" s="1" t="n">
        <v>45914</v>
      </c>
      <c r="D592" t="inlineStr">
        <is>
          <t>VÄSTMANLANDS LÄN</t>
        </is>
      </c>
      <c r="E592" t="inlineStr">
        <is>
          <t>SALA</t>
        </is>
      </c>
      <c r="G592" t="n">
        <v>3.4</v>
      </c>
      <c r="H592" t="n">
        <v>0</v>
      </c>
      <c r="I592" t="n">
        <v>0</v>
      </c>
      <c r="J592" t="n">
        <v>0</v>
      </c>
      <c r="K592" t="n">
        <v>0</v>
      </c>
      <c r="L592" t="n">
        <v>0</v>
      </c>
      <c r="M592" t="n">
        <v>0</v>
      </c>
      <c r="N592" t="n">
        <v>0</v>
      </c>
      <c r="O592" t="n">
        <v>0</v>
      </c>
      <c r="P592" t="n">
        <v>0</v>
      </c>
      <c r="Q592" t="n">
        <v>0</v>
      </c>
      <c r="R592" s="2" t="inlineStr"/>
    </row>
    <row r="593" ht="15" customHeight="1">
      <c r="A593" t="inlineStr">
        <is>
          <t>A 22961-2023</t>
        </is>
      </c>
      <c r="B593" s="1" t="n">
        <v>45072</v>
      </c>
      <c r="C593" s="1" t="n">
        <v>45914</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22963-2023</t>
        </is>
      </c>
      <c r="B594" s="1" t="n">
        <v>45072</v>
      </c>
      <c r="C594" s="1" t="n">
        <v>45914</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10585-2022</t>
        </is>
      </c>
      <c r="B595" s="1" t="n">
        <v>44624</v>
      </c>
      <c r="C595" s="1" t="n">
        <v>45914</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69236-2021</t>
        </is>
      </c>
      <c r="B596" s="1" t="n">
        <v>44531.4047337963</v>
      </c>
      <c r="C596" s="1" t="n">
        <v>45914</v>
      </c>
      <c r="D596" t="inlineStr">
        <is>
          <t>VÄSTMANLANDS LÄN</t>
        </is>
      </c>
      <c r="E596" t="inlineStr">
        <is>
          <t>SALA</t>
        </is>
      </c>
      <c r="G596" t="n">
        <v>2.8</v>
      </c>
      <c r="H596" t="n">
        <v>0</v>
      </c>
      <c r="I596" t="n">
        <v>0</v>
      </c>
      <c r="J596" t="n">
        <v>0</v>
      </c>
      <c r="K596" t="n">
        <v>0</v>
      </c>
      <c r="L596" t="n">
        <v>0</v>
      </c>
      <c r="M596" t="n">
        <v>0</v>
      </c>
      <c r="N596" t="n">
        <v>0</v>
      </c>
      <c r="O596" t="n">
        <v>0</v>
      </c>
      <c r="P596" t="n">
        <v>0</v>
      </c>
      <c r="Q596" t="n">
        <v>0</v>
      </c>
      <c r="R596" s="2" t="inlineStr"/>
    </row>
    <row r="597" ht="15" customHeight="1">
      <c r="A597" t="inlineStr">
        <is>
          <t>A 48117-2024</t>
        </is>
      </c>
      <c r="B597" s="1" t="n">
        <v>45589</v>
      </c>
      <c r="C597" s="1" t="n">
        <v>45914</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36049-2025</t>
        </is>
      </c>
      <c r="B598" s="1" t="n">
        <v>45866.37065972222</v>
      </c>
      <c r="C598" s="1" t="n">
        <v>45914</v>
      </c>
      <c r="D598" t="inlineStr">
        <is>
          <t>VÄSTMANLANDS LÄN</t>
        </is>
      </c>
      <c r="E598" t="inlineStr">
        <is>
          <t>SALA</t>
        </is>
      </c>
      <c r="F598" t="inlineStr">
        <is>
          <t>Kommuner</t>
        </is>
      </c>
      <c r="G598" t="n">
        <v>1.9</v>
      </c>
      <c r="H598" t="n">
        <v>0</v>
      </c>
      <c r="I598" t="n">
        <v>0</v>
      </c>
      <c r="J598" t="n">
        <v>0</v>
      </c>
      <c r="K598" t="n">
        <v>0</v>
      </c>
      <c r="L598" t="n">
        <v>0</v>
      </c>
      <c r="M598" t="n">
        <v>0</v>
      </c>
      <c r="N598" t="n">
        <v>0</v>
      </c>
      <c r="O598" t="n">
        <v>0</v>
      </c>
      <c r="P598" t="n">
        <v>0</v>
      </c>
      <c r="Q598" t="n">
        <v>0</v>
      </c>
      <c r="R598" s="2" t="inlineStr"/>
    </row>
    <row r="599" ht="15" customHeight="1">
      <c r="A599" t="inlineStr">
        <is>
          <t>A 12225-2023</t>
        </is>
      </c>
      <c r="B599" s="1" t="n">
        <v>44995</v>
      </c>
      <c r="C599" s="1" t="n">
        <v>45914</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12252-2023</t>
        </is>
      </c>
      <c r="B600" s="1" t="n">
        <v>44995</v>
      </c>
      <c r="C600" s="1" t="n">
        <v>45914</v>
      </c>
      <c r="D600" t="inlineStr">
        <is>
          <t>VÄSTMANLANDS LÄN</t>
        </is>
      </c>
      <c r="E600" t="inlineStr">
        <is>
          <t>SALA</t>
        </is>
      </c>
      <c r="G600" t="n">
        <v>2.6</v>
      </c>
      <c r="H600" t="n">
        <v>0</v>
      </c>
      <c r="I600" t="n">
        <v>0</v>
      </c>
      <c r="J600" t="n">
        <v>0</v>
      </c>
      <c r="K600" t="n">
        <v>0</v>
      </c>
      <c r="L600" t="n">
        <v>0</v>
      </c>
      <c r="M600" t="n">
        <v>0</v>
      </c>
      <c r="N600" t="n">
        <v>0</v>
      </c>
      <c r="O600" t="n">
        <v>0</v>
      </c>
      <c r="P600" t="n">
        <v>0</v>
      </c>
      <c r="Q600" t="n">
        <v>0</v>
      </c>
      <c r="R600" s="2" t="inlineStr"/>
    </row>
    <row r="601" ht="15" customHeight="1">
      <c r="A601" t="inlineStr">
        <is>
          <t>A 42421-2025</t>
        </is>
      </c>
      <c r="B601" s="1" t="n">
        <v>45905.40067129629</v>
      </c>
      <c r="C601" s="1" t="n">
        <v>45914</v>
      </c>
      <c r="D601" t="inlineStr">
        <is>
          <t>VÄSTMANLANDS LÄN</t>
        </is>
      </c>
      <c r="E601" t="inlineStr">
        <is>
          <t>SALA</t>
        </is>
      </c>
      <c r="G601" t="n">
        <v>1.3</v>
      </c>
      <c r="H601" t="n">
        <v>0</v>
      </c>
      <c r="I601" t="n">
        <v>0</v>
      </c>
      <c r="J601" t="n">
        <v>0</v>
      </c>
      <c r="K601" t="n">
        <v>0</v>
      </c>
      <c r="L601" t="n">
        <v>0</v>
      </c>
      <c r="M601" t="n">
        <v>0</v>
      </c>
      <c r="N601" t="n">
        <v>0</v>
      </c>
      <c r="O601" t="n">
        <v>0</v>
      </c>
      <c r="P601" t="n">
        <v>0</v>
      </c>
      <c r="Q601" t="n">
        <v>0</v>
      </c>
      <c r="R601" s="2" t="inlineStr"/>
    </row>
    <row r="602" ht="15" customHeight="1">
      <c r="A602" t="inlineStr">
        <is>
          <t>A 36031-2025</t>
        </is>
      </c>
      <c r="B602" s="1" t="n">
        <v>45865.46111111111</v>
      </c>
      <c r="C602" s="1" t="n">
        <v>45914</v>
      </c>
      <c r="D602" t="inlineStr">
        <is>
          <t>VÄSTMANLANDS LÄN</t>
        </is>
      </c>
      <c r="E602" t="inlineStr">
        <is>
          <t>SALA</t>
        </is>
      </c>
      <c r="G602" t="n">
        <v>7.2</v>
      </c>
      <c r="H602" t="n">
        <v>0</v>
      </c>
      <c r="I602" t="n">
        <v>0</v>
      </c>
      <c r="J602" t="n">
        <v>0</v>
      </c>
      <c r="K602" t="n">
        <v>0</v>
      </c>
      <c r="L602" t="n">
        <v>0</v>
      </c>
      <c r="M602" t="n">
        <v>0</v>
      </c>
      <c r="N602" t="n">
        <v>0</v>
      </c>
      <c r="O602" t="n">
        <v>0</v>
      </c>
      <c r="P602" t="n">
        <v>0</v>
      </c>
      <c r="Q602" t="n">
        <v>0</v>
      </c>
      <c r="R602" s="2" t="inlineStr"/>
    </row>
    <row r="603" ht="15" customHeight="1">
      <c r="A603" t="inlineStr">
        <is>
          <t>A 36060-2025</t>
        </is>
      </c>
      <c r="B603" s="1" t="n">
        <v>45866.39469907407</v>
      </c>
      <c r="C603" s="1" t="n">
        <v>45914</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6116-2023</t>
        </is>
      </c>
      <c r="B604" s="1" t="n">
        <v>44964</v>
      </c>
      <c r="C604" s="1" t="n">
        <v>45914</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18100-2023</t>
        </is>
      </c>
      <c r="B605" s="1" t="n">
        <v>45040</v>
      </c>
      <c r="C605" s="1" t="n">
        <v>45914</v>
      </c>
      <c r="D605" t="inlineStr">
        <is>
          <t>VÄSTMANLANDS LÄN</t>
        </is>
      </c>
      <c r="E605" t="inlineStr">
        <is>
          <t>SALA</t>
        </is>
      </c>
      <c r="G605" t="n">
        <v>1.8</v>
      </c>
      <c r="H605" t="n">
        <v>0</v>
      </c>
      <c r="I605" t="n">
        <v>0</v>
      </c>
      <c r="J605" t="n">
        <v>0</v>
      </c>
      <c r="K605" t="n">
        <v>0</v>
      </c>
      <c r="L605" t="n">
        <v>0</v>
      </c>
      <c r="M605" t="n">
        <v>0</v>
      </c>
      <c r="N605" t="n">
        <v>0</v>
      </c>
      <c r="O605" t="n">
        <v>0</v>
      </c>
      <c r="P605" t="n">
        <v>0</v>
      </c>
      <c r="Q605" t="n">
        <v>0</v>
      </c>
      <c r="R605" s="2" t="inlineStr"/>
    </row>
    <row r="606" ht="15" customHeight="1">
      <c r="A606" t="inlineStr">
        <is>
          <t>A 36032-2025</t>
        </is>
      </c>
      <c r="B606" s="1" t="n">
        <v>45865.48740740741</v>
      </c>
      <c r="C606" s="1" t="n">
        <v>45914</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36043-2025</t>
        </is>
      </c>
      <c r="B607" s="1" t="n">
        <v>45866.35333333333</v>
      </c>
      <c r="C607" s="1" t="n">
        <v>45914</v>
      </c>
      <c r="D607" t="inlineStr">
        <is>
          <t>VÄSTMANLANDS LÄN</t>
        </is>
      </c>
      <c r="E607" t="inlineStr">
        <is>
          <t>SALA</t>
        </is>
      </c>
      <c r="F607" t="inlineStr">
        <is>
          <t>Kommuner</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36045-2025</t>
        </is>
      </c>
      <c r="B608" s="1" t="n">
        <v>45866.36200231482</v>
      </c>
      <c r="C608" s="1" t="n">
        <v>45914</v>
      </c>
      <c r="D608" t="inlineStr">
        <is>
          <t>VÄSTMANLANDS LÄN</t>
        </is>
      </c>
      <c r="E608" t="inlineStr">
        <is>
          <t>SALA</t>
        </is>
      </c>
      <c r="F608" t="inlineStr">
        <is>
          <t>Kommuner</t>
        </is>
      </c>
      <c r="G608" t="n">
        <v>1.7</v>
      </c>
      <c r="H608" t="n">
        <v>0</v>
      </c>
      <c r="I608" t="n">
        <v>0</v>
      </c>
      <c r="J608" t="n">
        <v>0</v>
      </c>
      <c r="K608" t="n">
        <v>0</v>
      </c>
      <c r="L608" t="n">
        <v>0</v>
      </c>
      <c r="M608" t="n">
        <v>0</v>
      </c>
      <c r="N608" t="n">
        <v>0</v>
      </c>
      <c r="O608" t="n">
        <v>0</v>
      </c>
      <c r="P608" t="n">
        <v>0</v>
      </c>
      <c r="Q608" t="n">
        <v>0</v>
      </c>
      <c r="R608" s="2" t="inlineStr"/>
    </row>
    <row r="609" ht="15" customHeight="1">
      <c r="A609" t="inlineStr">
        <is>
          <t>A 13471-2025</t>
        </is>
      </c>
      <c r="B609" s="1" t="n">
        <v>45736.40579861111</v>
      </c>
      <c r="C609" s="1" t="n">
        <v>45914</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26854-2024</t>
        </is>
      </c>
      <c r="B610" s="1" t="n">
        <v>45470</v>
      </c>
      <c r="C610" s="1" t="n">
        <v>45914</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43028-2025</t>
        </is>
      </c>
      <c r="B611" s="1" t="n">
        <v>45909.53472222222</v>
      </c>
      <c r="C611" s="1" t="n">
        <v>45914</v>
      </c>
      <c r="D611" t="inlineStr">
        <is>
          <t>VÄSTMANLANDS LÄN</t>
        </is>
      </c>
      <c r="E611" t="inlineStr">
        <is>
          <t>SALA</t>
        </is>
      </c>
      <c r="G611" t="n">
        <v>3.8</v>
      </c>
      <c r="H611" t="n">
        <v>0</v>
      </c>
      <c r="I611" t="n">
        <v>0</v>
      </c>
      <c r="J611" t="n">
        <v>0</v>
      </c>
      <c r="K611" t="n">
        <v>0</v>
      </c>
      <c r="L611" t="n">
        <v>0</v>
      </c>
      <c r="M611" t="n">
        <v>0</v>
      </c>
      <c r="N611" t="n">
        <v>0</v>
      </c>
      <c r="O611" t="n">
        <v>0</v>
      </c>
      <c r="P611" t="n">
        <v>0</v>
      </c>
      <c r="Q611" t="n">
        <v>0</v>
      </c>
      <c r="R611" s="2" t="inlineStr"/>
    </row>
    <row r="612" ht="15" customHeight="1">
      <c r="A612" t="inlineStr">
        <is>
          <t>A 37602-2024</t>
        </is>
      </c>
      <c r="B612" s="1" t="n">
        <v>45541</v>
      </c>
      <c r="C612" s="1" t="n">
        <v>45914</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1985-2022</t>
        </is>
      </c>
      <c r="B613" s="1" t="n">
        <v>44575</v>
      </c>
      <c r="C613" s="1" t="n">
        <v>45914</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6308-2021</t>
        </is>
      </c>
      <c r="B614" s="1" t="n">
        <v>44235</v>
      </c>
      <c r="C614" s="1" t="n">
        <v>45914</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21455-2023</t>
        </is>
      </c>
      <c r="B615" s="1" t="n">
        <v>45058</v>
      </c>
      <c r="C615" s="1" t="n">
        <v>45914</v>
      </c>
      <c r="D615" t="inlineStr">
        <is>
          <t>VÄSTMANLANDS LÄN</t>
        </is>
      </c>
      <c r="E615" t="inlineStr">
        <is>
          <t>SALA</t>
        </is>
      </c>
      <c r="G615" t="n">
        <v>6.4</v>
      </c>
      <c r="H615" t="n">
        <v>0</v>
      </c>
      <c r="I615" t="n">
        <v>0</v>
      </c>
      <c r="J615" t="n">
        <v>0</v>
      </c>
      <c r="K615" t="n">
        <v>0</v>
      </c>
      <c r="L615" t="n">
        <v>0</v>
      </c>
      <c r="M615" t="n">
        <v>0</v>
      </c>
      <c r="N615" t="n">
        <v>0</v>
      </c>
      <c r="O615" t="n">
        <v>0</v>
      </c>
      <c r="P615" t="n">
        <v>0</v>
      </c>
      <c r="Q615" t="n">
        <v>0</v>
      </c>
      <c r="R615" s="2" t="inlineStr"/>
    </row>
    <row r="616" ht="15" customHeight="1">
      <c r="A616" t="inlineStr">
        <is>
          <t>A 4797-2023</t>
        </is>
      </c>
      <c r="B616" s="1" t="n">
        <v>44957</v>
      </c>
      <c r="C616" s="1" t="n">
        <v>45914</v>
      </c>
      <c r="D616" t="inlineStr">
        <is>
          <t>VÄSTMANLANDS LÄN</t>
        </is>
      </c>
      <c r="E616" t="inlineStr">
        <is>
          <t>SALA</t>
        </is>
      </c>
      <c r="G616" t="n">
        <v>5.7</v>
      </c>
      <c r="H616" t="n">
        <v>0</v>
      </c>
      <c r="I616" t="n">
        <v>0</v>
      </c>
      <c r="J616" t="n">
        <v>0</v>
      </c>
      <c r="K616" t="n">
        <v>0</v>
      </c>
      <c r="L616" t="n">
        <v>0</v>
      </c>
      <c r="M616" t="n">
        <v>0</v>
      </c>
      <c r="N616" t="n">
        <v>0</v>
      </c>
      <c r="O616" t="n">
        <v>0</v>
      </c>
      <c r="P616" t="n">
        <v>0</v>
      </c>
      <c r="Q616" t="n">
        <v>0</v>
      </c>
      <c r="R616" s="2" t="inlineStr"/>
    </row>
    <row r="617" ht="15" customHeight="1">
      <c r="A617" t="inlineStr">
        <is>
          <t>A 4852-2023</t>
        </is>
      </c>
      <c r="B617" s="1" t="n">
        <v>44957.72496527778</v>
      </c>
      <c r="C617" s="1" t="n">
        <v>45914</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36858-2023</t>
        </is>
      </c>
      <c r="B618" s="1" t="n">
        <v>45154.55184027777</v>
      </c>
      <c r="C618" s="1" t="n">
        <v>45914</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43031-2025</t>
        </is>
      </c>
      <c r="B619" s="1" t="n">
        <v>45909.53856481481</v>
      </c>
      <c r="C619" s="1" t="n">
        <v>45914</v>
      </c>
      <c r="D619" t="inlineStr">
        <is>
          <t>VÄSTMANLANDS LÄN</t>
        </is>
      </c>
      <c r="E619" t="inlineStr">
        <is>
          <t>SALA</t>
        </is>
      </c>
      <c r="G619" t="n">
        <v>0.2</v>
      </c>
      <c r="H619" t="n">
        <v>0</v>
      </c>
      <c r="I619" t="n">
        <v>0</v>
      </c>
      <c r="J619" t="n">
        <v>0</v>
      </c>
      <c r="K619" t="n">
        <v>0</v>
      </c>
      <c r="L619" t="n">
        <v>0</v>
      </c>
      <c r="M619" t="n">
        <v>0</v>
      </c>
      <c r="N619" t="n">
        <v>0</v>
      </c>
      <c r="O619" t="n">
        <v>0</v>
      </c>
      <c r="P619" t="n">
        <v>0</v>
      </c>
      <c r="Q619" t="n">
        <v>0</v>
      </c>
      <c r="R619" s="2" t="inlineStr"/>
    </row>
    <row r="620" ht="15" customHeight="1">
      <c r="A620" t="inlineStr">
        <is>
          <t>A 58701-2021</t>
        </is>
      </c>
      <c r="B620" s="1" t="n">
        <v>44489.46454861111</v>
      </c>
      <c r="C620" s="1" t="n">
        <v>45914</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17985-2025</t>
        </is>
      </c>
      <c r="B621" s="1" t="n">
        <v>45761</v>
      </c>
      <c r="C621" s="1" t="n">
        <v>45914</v>
      </c>
      <c r="D621" t="inlineStr">
        <is>
          <t>VÄSTMANLANDS LÄN</t>
        </is>
      </c>
      <c r="E621" t="inlineStr">
        <is>
          <t>SALA</t>
        </is>
      </c>
      <c r="G621" t="n">
        <v>12.5</v>
      </c>
      <c r="H621" t="n">
        <v>0</v>
      </c>
      <c r="I621" t="n">
        <v>0</v>
      </c>
      <c r="J621" t="n">
        <v>0</v>
      </c>
      <c r="K621" t="n">
        <v>0</v>
      </c>
      <c r="L621" t="n">
        <v>0</v>
      </c>
      <c r="M621" t="n">
        <v>0</v>
      </c>
      <c r="N621" t="n">
        <v>0</v>
      </c>
      <c r="O621" t="n">
        <v>0</v>
      </c>
      <c r="P621" t="n">
        <v>0</v>
      </c>
      <c r="Q621" t="n">
        <v>0</v>
      </c>
      <c r="R621" s="2" t="inlineStr"/>
    </row>
    <row r="622" ht="15" customHeight="1">
      <c r="A622" t="inlineStr">
        <is>
          <t>A 31869-2025</t>
        </is>
      </c>
      <c r="B622" s="1" t="n">
        <v>45834.64555555556</v>
      </c>
      <c r="C622" s="1" t="n">
        <v>45914</v>
      </c>
      <c r="D622" t="inlineStr">
        <is>
          <t>VÄSTMANLANDS LÄN</t>
        </is>
      </c>
      <c r="E622" t="inlineStr">
        <is>
          <t>SALA</t>
        </is>
      </c>
      <c r="G622" t="n">
        <v>17.5</v>
      </c>
      <c r="H622" t="n">
        <v>0</v>
      </c>
      <c r="I622" t="n">
        <v>0</v>
      </c>
      <c r="J622" t="n">
        <v>0</v>
      </c>
      <c r="K622" t="n">
        <v>0</v>
      </c>
      <c r="L622" t="n">
        <v>0</v>
      </c>
      <c r="M622" t="n">
        <v>0</v>
      </c>
      <c r="N622" t="n">
        <v>0</v>
      </c>
      <c r="O622" t="n">
        <v>0</v>
      </c>
      <c r="P622" t="n">
        <v>0</v>
      </c>
      <c r="Q622" t="n">
        <v>0</v>
      </c>
      <c r="R622" s="2" t="inlineStr"/>
    </row>
    <row r="623" ht="15" customHeight="1">
      <c r="A623" t="inlineStr">
        <is>
          <t>A 31863-2025</t>
        </is>
      </c>
      <c r="B623" s="1" t="n">
        <v>45834.63303240741</v>
      </c>
      <c r="C623" s="1" t="n">
        <v>45914</v>
      </c>
      <c r="D623" t="inlineStr">
        <is>
          <t>VÄSTMANLANDS LÄN</t>
        </is>
      </c>
      <c r="E623" t="inlineStr">
        <is>
          <t>SALA</t>
        </is>
      </c>
      <c r="G623" t="n">
        <v>2.5</v>
      </c>
      <c r="H623" t="n">
        <v>0</v>
      </c>
      <c r="I623" t="n">
        <v>0</v>
      </c>
      <c r="J623" t="n">
        <v>0</v>
      </c>
      <c r="K623" t="n">
        <v>0</v>
      </c>
      <c r="L623" t="n">
        <v>0</v>
      </c>
      <c r="M623" t="n">
        <v>0</v>
      </c>
      <c r="N623" t="n">
        <v>0</v>
      </c>
      <c r="O623" t="n">
        <v>0</v>
      </c>
      <c r="P623" t="n">
        <v>0</v>
      </c>
      <c r="Q623" t="n">
        <v>0</v>
      </c>
      <c r="R623" s="2" t="inlineStr"/>
    </row>
    <row r="624" ht="15" customHeight="1">
      <c r="A624" t="inlineStr">
        <is>
          <t>A 17766-2025</t>
        </is>
      </c>
      <c r="B624" s="1" t="n">
        <v>45758</v>
      </c>
      <c r="C624" s="1" t="n">
        <v>45914</v>
      </c>
      <c r="D624" t="inlineStr">
        <is>
          <t>VÄSTMANLANDS LÄN</t>
        </is>
      </c>
      <c r="E624" t="inlineStr">
        <is>
          <t>SALA</t>
        </is>
      </c>
      <c r="G624" t="n">
        <v>16.5</v>
      </c>
      <c r="H624" t="n">
        <v>0</v>
      </c>
      <c r="I624" t="n">
        <v>0</v>
      </c>
      <c r="J624" t="n">
        <v>0</v>
      </c>
      <c r="K624" t="n">
        <v>0</v>
      </c>
      <c r="L624" t="n">
        <v>0</v>
      </c>
      <c r="M624" t="n">
        <v>0</v>
      </c>
      <c r="N624" t="n">
        <v>0</v>
      </c>
      <c r="O624" t="n">
        <v>0</v>
      </c>
      <c r="P624" t="n">
        <v>0</v>
      </c>
      <c r="Q624" t="n">
        <v>0</v>
      </c>
      <c r="R624" s="2" t="inlineStr"/>
    </row>
    <row r="625" ht="15" customHeight="1">
      <c r="A625" t="inlineStr">
        <is>
          <t>A 7664-2023</t>
        </is>
      </c>
      <c r="B625" s="1" t="n">
        <v>44972</v>
      </c>
      <c r="C625" s="1" t="n">
        <v>45914</v>
      </c>
      <c r="D625" t="inlineStr">
        <is>
          <t>VÄSTMANLANDS LÄN</t>
        </is>
      </c>
      <c r="E625" t="inlineStr">
        <is>
          <t>SALA</t>
        </is>
      </c>
      <c r="G625" t="n">
        <v>1.4</v>
      </c>
      <c r="H625" t="n">
        <v>0</v>
      </c>
      <c r="I625" t="n">
        <v>0</v>
      </c>
      <c r="J625" t="n">
        <v>0</v>
      </c>
      <c r="K625" t="n">
        <v>0</v>
      </c>
      <c r="L625" t="n">
        <v>0</v>
      </c>
      <c r="M625" t="n">
        <v>0</v>
      </c>
      <c r="N625" t="n">
        <v>0</v>
      </c>
      <c r="O625" t="n">
        <v>0</v>
      </c>
      <c r="P625" t="n">
        <v>0</v>
      </c>
      <c r="Q625" t="n">
        <v>0</v>
      </c>
      <c r="R625" s="2" t="inlineStr"/>
    </row>
    <row r="626" ht="15" customHeight="1">
      <c r="A626" t="inlineStr">
        <is>
          <t>A 3546-2025</t>
        </is>
      </c>
      <c r="B626" s="1" t="n">
        <v>45680</v>
      </c>
      <c r="C626" s="1" t="n">
        <v>45914</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43328-2025</t>
        </is>
      </c>
      <c r="B627" s="1" t="n">
        <v>45910</v>
      </c>
      <c r="C627" s="1" t="n">
        <v>45914</v>
      </c>
      <c r="D627" t="inlineStr">
        <is>
          <t>VÄSTMANLANDS LÄN</t>
        </is>
      </c>
      <c r="E627" t="inlineStr">
        <is>
          <t>SALA</t>
        </is>
      </c>
      <c r="G627" t="n">
        <v>0.8</v>
      </c>
      <c r="H627" t="n">
        <v>0</v>
      </c>
      <c r="I627" t="n">
        <v>0</v>
      </c>
      <c r="J627" t="n">
        <v>0</v>
      </c>
      <c r="K627" t="n">
        <v>0</v>
      </c>
      <c r="L627" t="n">
        <v>0</v>
      </c>
      <c r="M627" t="n">
        <v>0</v>
      </c>
      <c r="N627" t="n">
        <v>0</v>
      </c>
      <c r="O627" t="n">
        <v>0</v>
      </c>
      <c r="P627" t="n">
        <v>0</v>
      </c>
      <c r="Q627" t="n">
        <v>0</v>
      </c>
      <c r="R627" s="2" t="inlineStr"/>
    </row>
    <row r="628" ht="15" customHeight="1">
      <c r="A628" t="inlineStr">
        <is>
          <t>A 70958-2021</t>
        </is>
      </c>
      <c r="B628" s="1" t="n">
        <v>44538</v>
      </c>
      <c r="C628" s="1" t="n">
        <v>45914</v>
      </c>
      <c r="D628" t="inlineStr">
        <is>
          <t>VÄSTMANLANDS LÄN</t>
        </is>
      </c>
      <c r="E628" t="inlineStr">
        <is>
          <t>SALA</t>
        </is>
      </c>
      <c r="G628" t="n">
        <v>6.5</v>
      </c>
      <c r="H628" t="n">
        <v>0</v>
      </c>
      <c r="I628" t="n">
        <v>0</v>
      </c>
      <c r="J628" t="n">
        <v>0</v>
      </c>
      <c r="K628" t="n">
        <v>0</v>
      </c>
      <c r="L628" t="n">
        <v>0</v>
      </c>
      <c r="M628" t="n">
        <v>0</v>
      </c>
      <c r="N628" t="n">
        <v>0</v>
      </c>
      <c r="O628" t="n">
        <v>0</v>
      </c>
      <c r="P628" t="n">
        <v>0</v>
      </c>
      <c r="Q628" t="n">
        <v>0</v>
      </c>
      <c r="R628" s="2" t="inlineStr"/>
    </row>
    <row r="629" ht="15" customHeight="1">
      <c r="A629" t="inlineStr">
        <is>
          <t>A 37337-2024</t>
        </is>
      </c>
      <c r="B629" s="1" t="n">
        <v>45540</v>
      </c>
      <c r="C629" s="1" t="n">
        <v>45914</v>
      </c>
      <c r="D629" t="inlineStr">
        <is>
          <t>VÄSTMANLANDS LÄN</t>
        </is>
      </c>
      <c r="E629" t="inlineStr">
        <is>
          <t>SALA</t>
        </is>
      </c>
      <c r="G629" t="n">
        <v>6.5</v>
      </c>
      <c r="H629" t="n">
        <v>0</v>
      </c>
      <c r="I629" t="n">
        <v>0</v>
      </c>
      <c r="J629" t="n">
        <v>0</v>
      </c>
      <c r="K629" t="n">
        <v>0</v>
      </c>
      <c r="L629" t="n">
        <v>0</v>
      </c>
      <c r="M629" t="n">
        <v>0</v>
      </c>
      <c r="N629" t="n">
        <v>0</v>
      </c>
      <c r="O629" t="n">
        <v>0</v>
      </c>
      <c r="P629" t="n">
        <v>0</v>
      </c>
      <c r="Q629" t="n">
        <v>0</v>
      </c>
      <c r="R629" s="2" t="inlineStr"/>
    </row>
    <row r="630" ht="15" customHeight="1">
      <c r="A630" t="inlineStr">
        <is>
          <t>A 10250-2025</t>
        </is>
      </c>
      <c r="B630" s="1" t="n">
        <v>45720.36165509259</v>
      </c>
      <c r="C630" s="1" t="n">
        <v>45914</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23180-2022</t>
        </is>
      </c>
      <c r="B631" s="1" t="n">
        <v>44719.79344907407</v>
      </c>
      <c r="C631" s="1" t="n">
        <v>45914</v>
      </c>
      <c r="D631" t="inlineStr">
        <is>
          <t>VÄSTMANLANDS LÄN</t>
        </is>
      </c>
      <c r="E631" t="inlineStr">
        <is>
          <t>SALA</t>
        </is>
      </c>
      <c r="G631" t="n">
        <v>1.2</v>
      </c>
      <c r="H631" t="n">
        <v>0</v>
      </c>
      <c r="I631" t="n">
        <v>0</v>
      </c>
      <c r="J631" t="n">
        <v>0</v>
      </c>
      <c r="K631" t="n">
        <v>0</v>
      </c>
      <c r="L631" t="n">
        <v>0</v>
      </c>
      <c r="M631" t="n">
        <v>0</v>
      </c>
      <c r="N631" t="n">
        <v>0</v>
      </c>
      <c r="O631" t="n">
        <v>0</v>
      </c>
      <c r="P631" t="n">
        <v>0</v>
      </c>
      <c r="Q631" t="n">
        <v>0</v>
      </c>
      <c r="R631" s="2" t="inlineStr"/>
    </row>
    <row r="632" ht="15" customHeight="1">
      <c r="A632" t="inlineStr">
        <is>
          <t>A 21053-2022</t>
        </is>
      </c>
      <c r="B632" s="1" t="n">
        <v>44704</v>
      </c>
      <c r="C632" s="1" t="n">
        <v>45914</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18340-2025</t>
        </is>
      </c>
      <c r="B633" s="1" t="n">
        <v>45762</v>
      </c>
      <c r="C633" s="1" t="n">
        <v>45914</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16638-2023</t>
        </is>
      </c>
      <c r="B634" s="1" t="n">
        <v>45027</v>
      </c>
      <c r="C634" s="1" t="n">
        <v>45914</v>
      </c>
      <c r="D634" t="inlineStr">
        <is>
          <t>VÄSTMANLANDS LÄN</t>
        </is>
      </c>
      <c r="E634" t="inlineStr">
        <is>
          <t>SALA</t>
        </is>
      </c>
      <c r="G634" t="n">
        <v>14.8</v>
      </c>
      <c r="H634" t="n">
        <v>0</v>
      </c>
      <c r="I634" t="n">
        <v>0</v>
      </c>
      <c r="J634" t="n">
        <v>0</v>
      </c>
      <c r="K634" t="n">
        <v>0</v>
      </c>
      <c r="L634" t="n">
        <v>0</v>
      </c>
      <c r="M634" t="n">
        <v>0</v>
      </c>
      <c r="N634" t="n">
        <v>0</v>
      </c>
      <c r="O634" t="n">
        <v>0</v>
      </c>
      <c r="P634" t="n">
        <v>0</v>
      </c>
      <c r="Q634" t="n">
        <v>0</v>
      </c>
      <c r="R634" s="2" t="inlineStr"/>
    </row>
    <row r="635" ht="15" customHeight="1">
      <c r="A635" t="inlineStr">
        <is>
          <t>A 52498-2022</t>
        </is>
      </c>
      <c r="B635" s="1" t="n">
        <v>44874.50152777778</v>
      </c>
      <c r="C635" s="1" t="n">
        <v>45914</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17117-2023</t>
        </is>
      </c>
      <c r="B636" s="1" t="n">
        <v>45034</v>
      </c>
      <c r="C636" s="1" t="n">
        <v>45914</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59909-2024</t>
        </is>
      </c>
      <c r="B637" s="1" t="n">
        <v>45641</v>
      </c>
      <c r="C637" s="1" t="n">
        <v>45914</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30028-2024</t>
        </is>
      </c>
      <c r="B638" s="1" t="n">
        <v>45485</v>
      </c>
      <c r="C638" s="1" t="n">
        <v>45914</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33309-2022</t>
        </is>
      </c>
      <c r="B639" s="1" t="n">
        <v>44788.40986111111</v>
      </c>
      <c r="C639" s="1" t="n">
        <v>45914</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45914</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27229-2022</t>
        </is>
      </c>
      <c r="B641" s="1" t="n">
        <v>44741</v>
      </c>
      <c r="C641" s="1" t="n">
        <v>45914</v>
      </c>
      <c r="D641" t="inlineStr">
        <is>
          <t>VÄSTMANLANDS LÄN</t>
        </is>
      </c>
      <c r="E641" t="inlineStr">
        <is>
          <t>SALA</t>
        </is>
      </c>
      <c r="F641" t="inlineStr">
        <is>
          <t>Kommuner</t>
        </is>
      </c>
      <c r="G641" t="n">
        <v>1.4</v>
      </c>
      <c r="H641" t="n">
        <v>0</v>
      </c>
      <c r="I641" t="n">
        <v>0</v>
      </c>
      <c r="J641" t="n">
        <v>0</v>
      </c>
      <c r="K641" t="n">
        <v>0</v>
      </c>
      <c r="L641" t="n">
        <v>0</v>
      </c>
      <c r="M641" t="n">
        <v>0</v>
      </c>
      <c r="N641" t="n">
        <v>0</v>
      </c>
      <c r="O641" t="n">
        <v>0</v>
      </c>
      <c r="P641" t="n">
        <v>0</v>
      </c>
      <c r="Q641" t="n">
        <v>0</v>
      </c>
      <c r="R641" s="2" t="inlineStr"/>
    </row>
    <row r="642" ht="15" customHeight="1">
      <c r="A642" t="inlineStr">
        <is>
          <t>A 24755-2021</t>
        </is>
      </c>
      <c r="B642" s="1" t="n">
        <v>44340</v>
      </c>
      <c r="C642" s="1" t="n">
        <v>45914</v>
      </c>
      <c r="D642" t="inlineStr">
        <is>
          <t>VÄSTMANLANDS LÄN</t>
        </is>
      </c>
      <c r="E642" t="inlineStr">
        <is>
          <t>SALA</t>
        </is>
      </c>
      <c r="G642" t="n">
        <v>1.2</v>
      </c>
      <c r="H642" t="n">
        <v>0</v>
      </c>
      <c r="I642" t="n">
        <v>0</v>
      </c>
      <c r="J642" t="n">
        <v>0</v>
      </c>
      <c r="K642" t="n">
        <v>0</v>
      </c>
      <c r="L642" t="n">
        <v>0</v>
      </c>
      <c r="M642" t="n">
        <v>0</v>
      </c>
      <c r="N642" t="n">
        <v>0</v>
      </c>
      <c r="O642" t="n">
        <v>0</v>
      </c>
      <c r="P642" t="n">
        <v>0</v>
      </c>
      <c r="Q642" t="n">
        <v>0</v>
      </c>
      <c r="R642" s="2" t="inlineStr"/>
    </row>
    <row r="643" ht="15" customHeight="1">
      <c r="A643" t="inlineStr">
        <is>
          <t>A 34867-2023</t>
        </is>
      </c>
      <c r="B643" s="1" t="n">
        <v>45142.33481481481</v>
      </c>
      <c r="C643" s="1" t="n">
        <v>45914</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25748-2022</t>
        </is>
      </c>
      <c r="B644" s="1" t="n">
        <v>44732</v>
      </c>
      <c r="C644" s="1" t="n">
        <v>45914</v>
      </c>
      <c r="D644" t="inlineStr">
        <is>
          <t>VÄSTMANLANDS LÄN</t>
        </is>
      </c>
      <c r="E644" t="inlineStr">
        <is>
          <t>SALA</t>
        </is>
      </c>
      <c r="G644" t="n">
        <v>7.7</v>
      </c>
      <c r="H644" t="n">
        <v>0</v>
      </c>
      <c r="I644" t="n">
        <v>0</v>
      </c>
      <c r="J644" t="n">
        <v>0</v>
      </c>
      <c r="K644" t="n">
        <v>0</v>
      </c>
      <c r="L644" t="n">
        <v>0</v>
      </c>
      <c r="M644" t="n">
        <v>0</v>
      </c>
      <c r="N644" t="n">
        <v>0</v>
      </c>
      <c r="O644" t="n">
        <v>0</v>
      </c>
      <c r="P644" t="n">
        <v>0</v>
      </c>
      <c r="Q644" t="n">
        <v>0</v>
      </c>
      <c r="R644" s="2" t="inlineStr"/>
    </row>
    <row r="645" ht="15" customHeight="1">
      <c r="A645" t="inlineStr">
        <is>
          <t>A 49512-2024</t>
        </is>
      </c>
      <c r="B645" s="1" t="n">
        <v>45591</v>
      </c>
      <c r="C645" s="1" t="n">
        <v>45914</v>
      </c>
      <c r="D645" t="inlineStr">
        <is>
          <t>VÄSTMANLANDS LÄN</t>
        </is>
      </c>
      <c r="E645" t="inlineStr">
        <is>
          <t>SALA</t>
        </is>
      </c>
      <c r="G645" t="n">
        <v>8.1</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45914</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37958-2024</t>
        </is>
      </c>
      <c r="B647" s="1" t="n">
        <v>45544</v>
      </c>
      <c r="C647" s="1" t="n">
        <v>45914</v>
      </c>
      <c r="D647" t="inlineStr">
        <is>
          <t>VÄSTMANLANDS LÄN</t>
        </is>
      </c>
      <c r="E647" t="inlineStr">
        <is>
          <t>SALA</t>
        </is>
      </c>
      <c r="G647" t="n">
        <v>5.6</v>
      </c>
      <c r="H647" t="n">
        <v>0</v>
      </c>
      <c r="I647" t="n">
        <v>0</v>
      </c>
      <c r="J647" t="n">
        <v>0</v>
      </c>
      <c r="K647" t="n">
        <v>0</v>
      </c>
      <c r="L647" t="n">
        <v>0</v>
      </c>
      <c r="M647" t="n">
        <v>0</v>
      </c>
      <c r="N647" t="n">
        <v>0</v>
      </c>
      <c r="O647" t="n">
        <v>0</v>
      </c>
      <c r="P647" t="n">
        <v>0</v>
      </c>
      <c r="Q647" t="n">
        <v>0</v>
      </c>
      <c r="R647" s="2" t="inlineStr"/>
    </row>
    <row r="648" ht="15" customHeight="1">
      <c r="A648" t="inlineStr">
        <is>
          <t>A 18431-2023</t>
        </is>
      </c>
      <c r="B648" s="1" t="n">
        <v>45042</v>
      </c>
      <c r="C648" s="1" t="n">
        <v>45914</v>
      </c>
      <c r="D648" t="inlineStr">
        <is>
          <t>VÄSTMANLANDS LÄN</t>
        </is>
      </c>
      <c r="E648" t="inlineStr">
        <is>
          <t>SALA</t>
        </is>
      </c>
      <c r="G648" t="n">
        <v>1.9</v>
      </c>
      <c r="H648" t="n">
        <v>0</v>
      </c>
      <c r="I648" t="n">
        <v>0</v>
      </c>
      <c r="J648" t="n">
        <v>0</v>
      </c>
      <c r="K648" t="n">
        <v>0</v>
      </c>
      <c r="L648" t="n">
        <v>0</v>
      </c>
      <c r="M648" t="n">
        <v>0</v>
      </c>
      <c r="N648" t="n">
        <v>0</v>
      </c>
      <c r="O648" t="n">
        <v>0</v>
      </c>
      <c r="P648" t="n">
        <v>0</v>
      </c>
      <c r="Q648" t="n">
        <v>0</v>
      </c>
      <c r="R648" s="2" t="inlineStr"/>
    </row>
    <row r="649" ht="15" customHeight="1">
      <c r="A649" t="inlineStr">
        <is>
          <t>A 57650-2024</t>
        </is>
      </c>
      <c r="B649" s="1" t="n">
        <v>45630</v>
      </c>
      <c r="C649" s="1" t="n">
        <v>45914</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10255-2024</t>
        </is>
      </c>
      <c r="B650" s="1" t="n">
        <v>45365</v>
      </c>
      <c r="C650" s="1" t="n">
        <v>45914</v>
      </c>
      <c r="D650" t="inlineStr">
        <is>
          <t>VÄSTMANLANDS LÄN</t>
        </is>
      </c>
      <c r="E650" t="inlineStr">
        <is>
          <t>SALA</t>
        </is>
      </c>
      <c r="F650" t="inlineStr">
        <is>
          <t>Kommuner</t>
        </is>
      </c>
      <c r="G650" t="n">
        <v>0.8</v>
      </c>
      <c r="H650" t="n">
        <v>0</v>
      </c>
      <c r="I650" t="n">
        <v>0</v>
      </c>
      <c r="J650" t="n">
        <v>0</v>
      </c>
      <c r="K650" t="n">
        <v>0</v>
      </c>
      <c r="L650" t="n">
        <v>0</v>
      </c>
      <c r="M650" t="n">
        <v>0</v>
      </c>
      <c r="N650" t="n">
        <v>0</v>
      </c>
      <c r="O650" t="n">
        <v>0</v>
      </c>
      <c r="P650" t="n">
        <v>0</v>
      </c>
      <c r="Q650" t="n">
        <v>0</v>
      </c>
      <c r="R650" s="2" t="inlineStr"/>
    </row>
    <row r="651" ht="15" customHeight="1">
      <c r="A651" t="inlineStr">
        <is>
          <t>A 28696-2023</t>
        </is>
      </c>
      <c r="B651" s="1" t="n">
        <v>45103.71759259259</v>
      </c>
      <c r="C651" s="1" t="n">
        <v>45914</v>
      </c>
      <c r="D651" t="inlineStr">
        <is>
          <t>VÄSTMANLANDS LÄN</t>
        </is>
      </c>
      <c r="E651" t="inlineStr">
        <is>
          <t>SALA</t>
        </is>
      </c>
      <c r="F651" t="inlineStr">
        <is>
          <t>Kommuner</t>
        </is>
      </c>
      <c r="G651" t="n">
        <v>5.9</v>
      </c>
      <c r="H651" t="n">
        <v>0</v>
      </c>
      <c r="I651" t="n">
        <v>0</v>
      </c>
      <c r="J651" t="n">
        <v>0</v>
      </c>
      <c r="K651" t="n">
        <v>0</v>
      </c>
      <c r="L651" t="n">
        <v>0</v>
      </c>
      <c r="M651" t="n">
        <v>0</v>
      </c>
      <c r="N651" t="n">
        <v>0</v>
      </c>
      <c r="O651" t="n">
        <v>0</v>
      </c>
      <c r="P651" t="n">
        <v>0</v>
      </c>
      <c r="Q651" t="n">
        <v>0</v>
      </c>
      <c r="R651" s="2" t="inlineStr"/>
    </row>
    <row r="652" ht="15" customHeight="1">
      <c r="A652" t="inlineStr">
        <is>
          <t>A 31072-2021</t>
        </is>
      </c>
      <c r="B652" s="1" t="n">
        <v>44368</v>
      </c>
      <c r="C652" s="1" t="n">
        <v>45914</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16543-2023</t>
        </is>
      </c>
      <c r="B653" s="1" t="n">
        <v>45029</v>
      </c>
      <c r="C653" s="1" t="n">
        <v>45914</v>
      </c>
      <c r="D653" t="inlineStr">
        <is>
          <t>VÄSTMANLANDS LÄN</t>
        </is>
      </c>
      <c r="E653" t="inlineStr">
        <is>
          <t>SALA</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22523-2023</t>
        </is>
      </c>
      <c r="B654" s="1" t="n">
        <v>45069</v>
      </c>
      <c r="C654" s="1" t="n">
        <v>45914</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4663-2022</t>
        </is>
      </c>
      <c r="B655" s="1" t="n">
        <v>44592.45429398148</v>
      </c>
      <c r="C655" s="1" t="n">
        <v>45914</v>
      </c>
      <c r="D655" t="inlineStr">
        <is>
          <t>VÄSTMANLANDS LÄN</t>
        </is>
      </c>
      <c r="E655" t="inlineStr">
        <is>
          <t>SALA</t>
        </is>
      </c>
      <c r="G655" t="n">
        <v>2.5</v>
      </c>
      <c r="H655" t="n">
        <v>0</v>
      </c>
      <c r="I655" t="n">
        <v>0</v>
      </c>
      <c r="J655" t="n">
        <v>0</v>
      </c>
      <c r="K655" t="n">
        <v>0</v>
      </c>
      <c r="L655" t="n">
        <v>0</v>
      </c>
      <c r="M655" t="n">
        <v>0</v>
      </c>
      <c r="N655" t="n">
        <v>0</v>
      </c>
      <c r="O655" t="n">
        <v>0</v>
      </c>
      <c r="P655" t="n">
        <v>0</v>
      </c>
      <c r="Q655" t="n">
        <v>0</v>
      </c>
      <c r="R655" s="2" t="inlineStr"/>
    </row>
    <row r="656" ht="15" customHeight="1">
      <c r="A656" t="inlineStr">
        <is>
          <t>A 6132-2025</t>
        </is>
      </c>
      <c r="B656" s="1" t="n">
        <v>45698</v>
      </c>
      <c r="C656" s="1" t="n">
        <v>45914</v>
      </c>
      <c r="D656" t="inlineStr">
        <is>
          <t>VÄSTMANLANDS LÄN</t>
        </is>
      </c>
      <c r="E656" t="inlineStr">
        <is>
          <t>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31859-2023</t>
        </is>
      </c>
      <c r="B657" s="1" t="n">
        <v>45118</v>
      </c>
      <c r="C657" s="1" t="n">
        <v>45914</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c r="U657">
        <f>HYPERLINK("https://klasma.github.io/Logging_1981/knärot/A 31859-2023 karta knärot.png", "A 31859-2023")</f>
        <v/>
      </c>
      <c r="V657">
        <f>HYPERLINK("https://klasma.github.io/Logging_1981/klagomål/A 31859-2023 FSC-klagomål.docx", "A 31859-2023")</f>
        <v/>
      </c>
      <c r="W657">
        <f>HYPERLINK("https://klasma.github.io/Logging_1981/klagomålsmail/A 31859-2023 FSC-klagomål mail.docx", "A 31859-2023")</f>
        <v/>
      </c>
      <c r="X657">
        <f>HYPERLINK("https://klasma.github.io/Logging_1981/tillsyn/A 31859-2023 tillsynsbegäran.docx", "A 31859-2023")</f>
        <v/>
      </c>
      <c r="Y657">
        <f>HYPERLINK("https://klasma.github.io/Logging_1981/tillsynsmail/A 31859-2023 tillsynsbegäran mail.docx", "A 31859-2023")</f>
        <v/>
      </c>
    </row>
    <row r="658" ht="15" customHeight="1">
      <c r="A658" t="inlineStr">
        <is>
          <t>A 61681-2024</t>
        </is>
      </c>
      <c r="B658" s="1" t="n">
        <v>45647</v>
      </c>
      <c r="C658" s="1" t="n">
        <v>45914</v>
      </c>
      <c r="D658" t="inlineStr">
        <is>
          <t>VÄSTMANLANDS LÄN</t>
        </is>
      </c>
      <c r="E658" t="inlineStr">
        <is>
          <t>SALA</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54960-2024</t>
        </is>
      </c>
      <c r="B659" s="1" t="n">
        <v>45619.85208333333</v>
      </c>
      <c r="C659" s="1" t="n">
        <v>45914</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21968-2024</t>
        </is>
      </c>
      <c r="B660" s="1" t="n">
        <v>45443</v>
      </c>
      <c r="C660" s="1" t="n">
        <v>45914</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31082-2021</t>
        </is>
      </c>
      <c r="B661" s="1" t="n">
        <v>44368</v>
      </c>
      <c r="C661" s="1" t="n">
        <v>45914</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20352-2022</t>
        </is>
      </c>
      <c r="B662" s="1" t="n">
        <v>44699.37318287037</v>
      </c>
      <c r="C662" s="1" t="n">
        <v>45914</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27657-2023</t>
        </is>
      </c>
      <c r="B663" s="1" t="n">
        <v>45097.76631944445</v>
      </c>
      <c r="C663" s="1" t="n">
        <v>45914</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2766-2024</t>
        </is>
      </c>
      <c r="B664" s="1" t="n">
        <v>45314.60950231482</v>
      </c>
      <c r="C664" s="1" t="n">
        <v>45914</v>
      </c>
      <c r="D664" t="inlineStr">
        <is>
          <t>VÄSTMANLANDS LÄN</t>
        </is>
      </c>
      <c r="E664" t="inlineStr">
        <is>
          <t>SALA</t>
        </is>
      </c>
      <c r="G664" t="n">
        <v>2.8</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45914</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14690-2025</t>
        </is>
      </c>
      <c r="B666" s="1" t="n">
        <v>45742.58212962963</v>
      </c>
      <c r="C666" s="1" t="n">
        <v>45914</v>
      </c>
      <c r="D666" t="inlineStr">
        <is>
          <t>VÄSTMANLANDS LÄN</t>
        </is>
      </c>
      <c r="E666" t="inlineStr">
        <is>
          <t>SALA</t>
        </is>
      </c>
      <c r="G666" t="n">
        <v>3.4</v>
      </c>
      <c r="H666" t="n">
        <v>0</v>
      </c>
      <c r="I666" t="n">
        <v>0</v>
      </c>
      <c r="J666" t="n">
        <v>0</v>
      </c>
      <c r="K666" t="n">
        <v>0</v>
      </c>
      <c r="L666" t="n">
        <v>0</v>
      </c>
      <c r="M666" t="n">
        <v>0</v>
      </c>
      <c r="N666" t="n">
        <v>0</v>
      </c>
      <c r="O666" t="n">
        <v>0</v>
      </c>
      <c r="P666" t="n">
        <v>0</v>
      </c>
      <c r="Q666" t="n">
        <v>0</v>
      </c>
      <c r="R666" s="2" t="inlineStr"/>
    </row>
    <row r="667" ht="15" customHeight="1">
      <c r="A667" t="inlineStr">
        <is>
          <t>A 24175-2024</t>
        </is>
      </c>
      <c r="B667" s="1" t="n">
        <v>45456</v>
      </c>
      <c r="C667" s="1" t="n">
        <v>45914</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62449-2023</t>
        </is>
      </c>
      <c r="B668" s="1" t="n">
        <v>45268.49008101852</v>
      </c>
      <c r="C668" s="1" t="n">
        <v>45914</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54910-2023</t>
        </is>
      </c>
      <c r="B669" s="1" t="n">
        <v>45229</v>
      </c>
      <c r="C669" s="1" t="n">
        <v>45914</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19222-2025</t>
        </is>
      </c>
      <c r="B670" s="1" t="n">
        <v>45769</v>
      </c>
      <c r="C670" s="1" t="n">
        <v>45914</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19241-2025</t>
        </is>
      </c>
      <c r="B671" s="1" t="n">
        <v>45769</v>
      </c>
      <c r="C671" s="1" t="n">
        <v>45914</v>
      </c>
      <c r="D671" t="inlineStr">
        <is>
          <t>VÄSTMANLANDS LÄN</t>
        </is>
      </c>
      <c r="E671" t="inlineStr">
        <is>
          <t>SALA</t>
        </is>
      </c>
      <c r="G671" t="n">
        <v>3.6</v>
      </c>
      <c r="H671" t="n">
        <v>0</v>
      </c>
      <c r="I671" t="n">
        <v>0</v>
      </c>
      <c r="J671" t="n">
        <v>0</v>
      </c>
      <c r="K671" t="n">
        <v>0</v>
      </c>
      <c r="L671" t="n">
        <v>0</v>
      </c>
      <c r="M671" t="n">
        <v>0</v>
      </c>
      <c r="N671" t="n">
        <v>0</v>
      </c>
      <c r="O671" t="n">
        <v>0</v>
      </c>
      <c r="P671" t="n">
        <v>0</v>
      </c>
      <c r="Q671" t="n">
        <v>0</v>
      </c>
      <c r="R671" s="2" t="inlineStr"/>
    </row>
    <row r="672" ht="15" customHeight="1">
      <c r="A672" t="inlineStr">
        <is>
          <t>A 26416-2023</t>
        </is>
      </c>
      <c r="B672" s="1" t="n">
        <v>45092.38087962963</v>
      </c>
      <c r="C672" s="1" t="n">
        <v>45914</v>
      </c>
      <c r="D672" t="inlineStr">
        <is>
          <t>VÄSTMANLANDS LÄN</t>
        </is>
      </c>
      <c r="E672" t="inlineStr">
        <is>
          <t>SALA</t>
        </is>
      </c>
      <c r="G672" t="n">
        <v>2.9</v>
      </c>
      <c r="H672" t="n">
        <v>0</v>
      </c>
      <c r="I672" t="n">
        <v>0</v>
      </c>
      <c r="J672" t="n">
        <v>0</v>
      </c>
      <c r="K672" t="n">
        <v>0</v>
      </c>
      <c r="L672" t="n">
        <v>0</v>
      </c>
      <c r="M672" t="n">
        <v>0</v>
      </c>
      <c r="N672" t="n">
        <v>0</v>
      </c>
      <c r="O672" t="n">
        <v>0</v>
      </c>
      <c r="P672" t="n">
        <v>0</v>
      </c>
      <c r="Q672" t="n">
        <v>0</v>
      </c>
      <c r="R672" s="2" t="inlineStr"/>
    </row>
    <row r="673" ht="15" customHeight="1">
      <c r="A673" t="inlineStr">
        <is>
          <t>A 26692-2023</t>
        </is>
      </c>
      <c r="B673" s="1" t="n">
        <v>45093.360625</v>
      </c>
      <c r="C673" s="1" t="n">
        <v>45914</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c r="A674" t="inlineStr">
        <is>
          <t>A 15681-2025</t>
        </is>
      </c>
      <c r="B674" s="1" t="n">
        <v>45748.45454861111</v>
      </c>
      <c r="C674" s="1" t="n">
        <v>45914</v>
      </c>
      <c r="D674" t="inlineStr">
        <is>
          <t>VÄSTMANLANDS LÄN</t>
        </is>
      </c>
      <c r="E674" t="inlineStr">
        <is>
          <t>SALA</t>
        </is>
      </c>
      <c r="F674" t="inlineStr">
        <is>
          <t>Bergvik skog öst AB</t>
        </is>
      </c>
      <c r="G674" t="n">
        <v>4.3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2025-09-14T13:26:01Z</dcterms:created>
  <dcterms:modified xmlns:dcterms="http://purl.org/dc/terms/" xmlns:xsi="http://www.w3.org/2001/XMLSchema-instance" xsi:type="dcterms:W3CDTF">2025-09-14T13:26:02Z</dcterms:modified>
</cp:coreProperties>
</file>