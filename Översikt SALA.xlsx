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45353</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45353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45353</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45353</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45353</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45353</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45353</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45353</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54719-2023</t>
        </is>
      </c>
      <c r="B10" s="1" t="n">
        <v>45236</v>
      </c>
      <c r="C10" s="1" t="n">
        <v>45353</v>
      </c>
      <c r="D10" t="inlineStr">
        <is>
          <t>VÄSTMANLANDS LÄN</t>
        </is>
      </c>
      <c r="E10" t="inlineStr">
        <is>
          <t>SALA</t>
        </is>
      </c>
      <c r="G10" t="n">
        <v>5.8</v>
      </c>
      <c r="H10" t="n">
        <v>3</v>
      </c>
      <c r="I10" t="n">
        <v>0</v>
      </c>
      <c r="J10" t="n">
        <v>2</v>
      </c>
      <c r="K10" t="n">
        <v>2</v>
      </c>
      <c r="L10" t="n">
        <v>0</v>
      </c>
      <c r="M10" t="n">
        <v>0</v>
      </c>
      <c r="N10" t="n">
        <v>0</v>
      </c>
      <c r="O10" t="n">
        <v>4</v>
      </c>
      <c r="P10" t="n">
        <v>2</v>
      </c>
      <c r="Q10" t="n">
        <v>5</v>
      </c>
      <c r="R10" s="2" t="inlineStr">
        <is>
          <t>Knärot
Vågticka
Gropticka
Spillkråka
Blåsippa</t>
        </is>
      </c>
      <c r="S10">
        <f>HYPERLINK("https://klasma.github.io/Logging_1981/artfynd/A 54719-2023 artfynd.xlsx", "A 54719-2023")</f>
        <v/>
      </c>
      <c r="T10">
        <f>HYPERLINK("https://klasma.github.io/Logging_1981/kartor/A 54719-2023 karta.png", "A 54719-2023")</f>
        <v/>
      </c>
      <c r="U10">
        <f>HYPERLINK("https://klasma.github.io/Logging_1981/knärot/A 54719-2023 karta knärot.png", "A 54719-2023")</f>
        <v/>
      </c>
      <c r="V10">
        <f>HYPERLINK("https://klasma.github.io/Logging_1981/klagomål/A 54719-2023 FSC-klagomål.docx", "A 54719-2023")</f>
        <v/>
      </c>
      <c r="W10">
        <f>HYPERLINK("https://klasma.github.io/Logging_1981/klagomålsmail/A 54719-2023 FSC-klagomål mail.docx", "A 54719-2023")</f>
        <v/>
      </c>
      <c r="X10">
        <f>HYPERLINK("https://klasma.github.io/Logging_1981/tillsyn/A 54719-2023 tillsynsbegäran.docx", "A 54719-2023")</f>
        <v/>
      </c>
      <c r="Y10">
        <f>HYPERLINK("https://klasma.github.io/Logging_1981/tillsynsmail/A 54719-2023 tillsynsbegäran mail.docx", "A 54719-2023")</f>
        <v/>
      </c>
      <c r="Z10">
        <f>HYPERLINK("https://klasma.github.io/Logging_1981/fåglar/A 54719-2023 prioriterade fågelarter.docx", "A 54719-2023")</f>
        <v/>
      </c>
    </row>
    <row r="11" ht="15" customHeight="1">
      <c r="A11" t="inlineStr">
        <is>
          <t>A 3566-2024</t>
        </is>
      </c>
      <c r="B11" s="1" t="n">
        <v>45320</v>
      </c>
      <c r="C11" s="1" t="n">
        <v>45353</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26774-2021</t>
        </is>
      </c>
      <c r="B12" s="1" t="n">
        <v>44349</v>
      </c>
      <c r="C12" s="1" t="n">
        <v>45353</v>
      </c>
      <c r="D12" t="inlineStr">
        <is>
          <t>VÄSTMANLANDS LÄN</t>
        </is>
      </c>
      <c r="E12" t="inlineStr">
        <is>
          <t>SALA</t>
        </is>
      </c>
      <c r="F12" t="inlineStr">
        <is>
          <t>Sveaskog</t>
        </is>
      </c>
      <c r="G12" t="n">
        <v>1.3</v>
      </c>
      <c r="H12" t="n">
        <v>2</v>
      </c>
      <c r="I12" t="n">
        <v>0</v>
      </c>
      <c r="J12" t="n">
        <v>2</v>
      </c>
      <c r="K12" t="n">
        <v>0</v>
      </c>
      <c r="L12" t="n">
        <v>0</v>
      </c>
      <c r="M12" t="n">
        <v>0</v>
      </c>
      <c r="N12" t="n">
        <v>0</v>
      </c>
      <c r="O12" t="n">
        <v>2</v>
      </c>
      <c r="P12" t="n">
        <v>0</v>
      </c>
      <c r="Q12" t="n">
        <v>4</v>
      </c>
      <c r="R12" s="2" t="inlineStr">
        <is>
          <t>Mindre bastardsvärmare
Skogshare
Åkergroda
Vanlig padda</t>
        </is>
      </c>
      <c r="S12">
        <f>HYPERLINK("https://klasma.github.io/Logging_1981/artfynd/A 26774-2021 artfynd.xlsx", "A 26774-2021")</f>
        <v/>
      </c>
      <c r="T12">
        <f>HYPERLINK("https://klasma.github.io/Logging_1981/kartor/A 26774-2021 karta.png", "A 26774-2021")</f>
        <v/>
      </c>
      <c r="V12">
        <f>HYPERLINK("https://klasma.github.io/Logging_1981/klagomål/A 26774-2021 FSC-klagomål.docx", "A 26774-2021")</f>
        <v/>
      </c>
      <c r="W12">
        <f>HYPERLINK("https://klasma.github.io/Logging_1981/klagomålsmail/A 26774-2021 FSC-klagomål mail.docx", "A 26774-2021")</f>
        <v/>
      </c>
      <c r="X12">
        <f>HYPERLINK("https://klasma.github.io/Logging_1981/tillsyn/A 26774-2021 tillsynsbegäran.docx", "A 26774-2021")</f>
        <v/>
      </c>
      <c r="Y12">
        <f>HYPERLINK("https://klasma.github.io/Logging_1981/tillsynsmail/A 26774-2021 tillsynsbegäran mail.docx", "A 26774-2021")</f>
        <v/>
      </c>
    </row>
    <row r="13" ht="15" customHeight="1">
      <c r="A13" t="inlineStr">
        <is>
          <t>A 27488-2023</t>
        </is>
      </c>
      <c r="B13" s="1" t="n">
        <v>45097</v>
      </c>
      <c r="C13" s="1" t="n">
        <v>45353</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55259-2023</t>
        </is>
      </c>
      <c r="B14" s="1" t="n">
        <v>45237</v>
      </c>
      <c r="C14" s="1" t="n">
        <v>45353</v>
      </c>
      <c r="D14" t="inlineStr">
        <is>
          <t>VÄSTMANLANDS LÄN</t>
        </is>
      </c>
      <c r="E14" t="inlineStr">
        <is>
          <t>SALA</t>
        </is>
      </c>
      <c r="G14" t="n">
        <v>1.6</v>
      </c>
      <c r="H14" t="n">
        <v>1</v>
      </c>
      <c r="I14" t="n">
        <v>1</v>
      </c>
      <c r="J14" t="n">
        <v>2</v>
      </c>
      <c r="K14" t="n">
        <v>1</v>
      </c>
      <c r="L14" t="n">
        <v>0</v>
      </c>
      <c r="M14" t="n">
        <v>0</v>
      </c>
      <c r="N14" t="n">
        <v>0</v>
      </c>
      <c r="O14" t="n">
        <v>3</v>
      </c>
      <c r="P14" t="n">
        <v>1</v>
      </c>
      <c r="Q14" t="n">
        <v>4</v>
      </c>
      <c r="R14" s="2" t="inlineStr">
        <is>
          <t>Knärot
Dofttaggsvamp
Gul taggsvamp
Skarp dropptaggsvamp</t>
        </is>
      </c>
      <c r="S14">
        <f>HYPERLINK("https://klasma.github.io/Logging_1981/artfynd/A 55259-2023 artfynd.xlsx", "A 55259-2023")</f>
        <v/>
      </c>
      <c r="T14">
        <f>HYPERLINK("https://klasma.github.io/Logging_1981/kartor/A 55259-2023 karta.png", "A 55259-2023")</f>
        <v/>
      </c>
      <c r="U14">
        <f>HYPERLINK("https://klasma.github.io/Logging_1981/knärot/A 55259-2023 karta knärot.png", "A 55259-2023")</f>
        <v/>
      </c>
      <c r="V14">
        <f>HYPERLINK("https://klasma.github.io/Logging_1981/klagomål/A 55259-2023 FSC-klagomål.docx", "A 55259-2023")</f>
        <v/>
      </c>
      <c r="W14">
        <f>HYPERLINK("https://klasma.github.io/Logging_1981/klagomålsmail/A 55259-2023 FSC-klagomål mail.docx", "A 55259-2023")</f>
        <v/>
      </c>
      <c r="X14">
        <f>HYPERLINK("https://klasma.github.io/Logging_1981/tillsyn/A 55259-2023 tillsynsbegäran.docx", "A 55259-2023")</f>
        <v/>
      </c>
      <c r="Y14">
        <f>HYPERLINK("https://klasma.github.io/Logging_1981/tillsynsmail/A 55259-2023 tillsynsbegäran mail.docx", "A 55259-2023")</f>
        <v/>
      </c>
    </row>
    <row r="15" ht="15" customHeight="1">
      <c r="A15" t="inlineStr">
        <is>
          <t>A 56092-2023</t>
        </is>
      </c>
      <c r="B15" s="1" t="n">
        <v>45240</v>
      </c>
      <c r="C15" s="1" t="n">
        <v>45353</v>
      </c>
      <c r="D15" t="inlineStr">
        <is>
          <t>VÄSTMANLANDS LÄN</t>
        </is>
      </c>
      <c r="E15" t="inlineStr">
        <is>
          <t>SALA</t>
        </is>
      </c>
      <c r="G15" t="n">
        <v>11.6</v>
      </c>
      <c r="H15" t="n">
        <v>2</v>
      </c>
      <c r="I15" t="n">
        <v>1</v>
      </c>
      <c r="J15" t="n">
        <v>2</v>
      </c>
      <c r="K15" t="n">
        <v>1</v>
      </c>
      <c r="L15" t="n">
        <v>0</v>
      </c>
      <c r="M15" t="n">
        <v>0</v>
      </c>
      <c r="N15" t="n">
        <v>0</v>
      </c>
      <c r="O15" t="n">
        <v>3</v>
      </c>
      <c r="P15" t="n">
        <v>1</v>
      </c>
      <c r="Q15" t="n">
        <v>4</v>
      </c>
      <c r="R15" s="2" t="inlineStr">
        <is>
          <t>Knärot
Havsörn
Motaggsvamp
Vedticka</t>
        </is>
      </c>
      <c r="S15">
        <f>HYPERLINK("https://klasma.github.io/Logging_1981/artfynd/A 56092-2023 artfynd.xlsx", "A 56092-2023")</f>
        <v/>
      </c>
      <c r="T15">
        <f>HYPERLINK("https://klasma.github.io/Logging_1981/kartor/A 56092-2023 karta.png", "A 56092-2023")</f>
        <v/>
      </c>
      <c r="U15">
        <f>HYPERLINK("https://klasma.github.io/Logging_1981/knärot/A 56092-2023 karta knärot.png", "A 56092-2023")</f>
        <v/>
      </c>
      <c r="V15">
        <f>HYPERLINK("https://klasma.github.io/Logging_1981/klagomål/A 56092-2023 FSC-klagomål.docx", "A 56092-2023")</f>
        <v/>
      </c>
      <c r="W15">
        <f>HYPERLINK("https://klasma.github.io/Logging_1981/klagomålsmail/A 56092-2023 FSC-klagomål mail.docx", "A 56092-2023")</f>
        <v/>
      </c>
      <c r="X15">
        <f>HYPERLINK("https://klasma.github.io/Logging_1981/tillsyn/A 56092-2023 tillsynsbegäran.docx", "A 56092-2023")</f>
        <v/>
      </c>
      <c r="Y15">
        <f>HYPERLINK("https://klasma.github.io/Logging_1981/tillsynsmail/A 56092-2023 tillsynsbegäran mail.docx", "A 56092-2023")</f>
        <v/>
      </c>
      <c r="Z15">
        <f>HYPERLINK("https://klasma.github.io/Logging_1981/fåglar/A 56092-2023 prioriterade fågelarter.docx", "A 56092-2023")</f>
        <v/>
      </c>
    </row>
    <row r="16" ht="15" customHeight="1">
      <c r="A16" t="inlineStr">
        <is>
          <t>A 66088-2019</t>
        </is>
      </c>
      <c r="B16" s="1" t="n">
        <v>43807</v>
      </c>
      <c r="C16" s="1" t="n">
        <v>45353</v>
      </c>
      <c r="D16" t="inlineStr">
        <is>
          <t>VÄSTMANLANDS LÄN</t>
        </is>
      </c>
      <c r="E16" t="inlineStr">
        <is>
          <t>SALA</t>
        </is>
      </c>
      <c r="G16" t="n">
        <v>6.4</v>
      </c>
      <c r="H16" t="n">
        <v>0</v>
      </c>
      <c r="I16" t="n">
        <v>1</v>
      </c>
      <c r="J16" t="n">
        <v>2</v>
      </c>
      <c r="K16" t="n">
        <v>0</v>
      </c>
      <c r="L16" t="n">
        <v>0</v>
      </c>
      <c r="M16" t="n">
        <v>0</v>
      </c>
      <c r="N16" t="n">
        <v>0</v>
      </c>
      <c r="O16" t="n">
        <v>2</v>
      </c>
      <c r="P16" t="n">
        <v>0</v>
      </c>
      <c r="Q16" t="n">
        <v>3</v>
      </c>
      <c r="R16" s="2" t="inlineStr">
        <is>
          <t>Ullticka
Vedtrappmossa
Flagellkvastmossa</t>
        </is>
      </c>
      <c r="S16">
        <f>HYPERLINK("https://klasma.github.io/Logging_1981/artfynd/A 66088-2019 artfynd.xlsx", "A 66088-2019")</f>
        <v/>
      </c>
      <c r="T16">
        <f>HYPERLINK("https://klasma.github.io/Logging_1981/kartor/A 66088-2019 karta.png", "A 66088-2019")</f>
        <v/>
      </c>
      <c r="V16">
        <f>HYPERLINK("https://klasma.github.io/Logging_1981/klagomål/A 66088-2019 FSC-klagomål.docx", "A 66088-2019")</f>
        <v/>
      </c>
      <c r="W16">
        <f>HYPERLINK("https://klasma.github.io/Logging_1981/klagomålsmail/A 66088-2019 FSC-klagomål mail.docx", "A 66088-2019")</f>
        <v/>
      </c>
      <c r="X16">
        <f>HYPERLINK("https://klasma.github.io/Logging_1981/tillsyn/A 66088-2019 tillsynsbegäran.docx", "A 66088-2019")</f>
        <v/>
      </c>
      <c r="Y16">
        <f>HYPERLINK("https://klasma.github.io/Logging_1981/tillsynsmail/A 66088-2019 tillsynsbegäran mail.docx", "A 66088-2019")</f>
        <v/>
      </c>
    </row>
    <row r="17" ht="15" customHeight="1">
      <c r="A17" t="inlineStr">
        <is>
          <t>A 62768-2021</t>
        </is>
      </c>
      <c r="B17" s="1" t="n">
        <v>44504</v>
      </c>
      <c r="C17" s="1" t="n">
        <v>45353</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15991-2022</t>
        </is>
      </c>
      <c r="B18" s="1" t="n">
        <v>44664</v>
      </c>
      <c r="C18" s="1" t="n">
        <v>45353</v>
      </c>
      <c r="D18" t="inlineStr">
        <is>
          <t>VÄSTMANLANDS LÄN</t>
        </is>
      </c>
      <c r="E18" t="inlineStr">
        <is>
          <t>SALA</t>
        </is>
      </c>
      <c r="G18" t="n">
        <v>4.5</v>
      </c>
      <c r="H18" t="n">
        <v>2</v>
      </c>
      <c r="I18" t="n">
        <v>1</v>
      </c>
      <c r="J18" t="n">
        <v>0</v>
      </c>
      <c r="K18" t="n">
        <v>1</v>
      </c>
      <c r="L18" t="n">
        <v>0</v>
      </c>
      <c r="M18" t="n">
        <v>0</v>
      </c>
      <c r="N18" t="n">
        <v>0</v>
      </c>
      <c r="O18" t="n">
        <v>1</v>
      </c>
      <c r="P18" t="n">
        <v>1</v>
      </c>
      <c r="Q18" t="n">
        <v>3</v>
      </c>
      <c r="R18" s="2" t="inlineStr">
        <is>
          <t>Knärot
Blåmossa
Revlummer</t>
        </is>
      </c>
      <c r="S18">
        <f>HYPERLINK("https://klasma.github.io/Logging_1981/artfynd/A 15991-2022 artfynd.xlsx", "A 15991-2022")</f>
        <v/>
      </c>
      <c r="T18">
        <f>HYPERLINK("https://klasma.github.io/Logging_1981/kartor/A 15991-2022 karta.png", "A 15991-2022")</f>
        <v/>
      </c>
      <c r="U18">
        <f>HYPERLINK("https://klasma.github.io/Logging_1981/knärot/A 15991-2022 karta knärot.png", "A 15991-2022")</f>
        <v/>
      </c>
      <c r="V18">
        <f>HYPERLINK("https://klasma.github.io/Logging_1981/klagomål/A 15991-2022 FSC-klagomål.docx", "A 15991-2022")</f>
        <v/>
      </c>
      <c r="W18">
        <f>HYPERLINK("https://klasma.github.io/Logging_1981/klagomålsmail/A 15991-2022 FSC-klagomål mail.docx", "A 15991-2022")</f>
        <v/>
      </c>
      <c r="X18">
        <f>HYPERLINK("https://klasma.github.io/Logging_1981/tillsyn/A 15991-2022 tillsynsbegäran.docx", "A 15991-2022")</f>
        <v/>
      </c>
      <c r="Y18">
        <f>HYPERLINK("https://klasma.github.io/Logging_1981/tillsynsmail/A 15991-2022 tillsynsbegäran mail.docx", "A 15991-2022")</f>
        <v/>
      </c>
    </row>
    <row r="19" ht="15" customHeight="1">
      <c r="A19" t="inlineStr">
        <is>
          <t>A 3567-2024</t>
        </is>
      </c>
      <c r="B19" s="1" t="n">
        <v>45320</v>
      </c>
      <c r="C19" s="1" t="n">
        <v>45353</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4264-2024</t>
        </is>
      </c>
      <c r="B20" s="1" t="n">
        <v>45324</v>
      </c>
      <c r="C20" s="1" t="n">
        <v>45353</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58714-2018</t>
        </is>
      </c>
      <c r="B21" s="1" t="n">
        <v>43410</v>
      </c>
      <c r="C21" s="1" t="n">
        <v>45353</v>
      </c>
      <c r="D21" t="inlineStr">
        <is>
          <t>VÄSTMANLANDS LÄN</t>
        </is>
      </c>
      <c r="E21" t="inlineStr">
        <is>
          <t>SALA</t>
        </is>
      </c>
      <c r="F21" t="inlineStr">
        <is>
          <t>Kommuner</t>
        </is>
      </c>
      <c r="G21" t="n">
        <v>8.4</v>
      </c>
      <c r="H21" t="n">
        <v>0</v>
      </c>
      <c r="I21" t="n">
        <v>2</v>
      </c>
      <c r="J21" t="n">
        <v>0</v>
      </c>
      <c r="K21" t="n">
        <v>0</v>
      </c>
      <c r="L21" t="n">
        <v>0</v>
      </c>
      <c r="M21" t="n">
        <v>0</v>
      </c>
      <c r="N21" t="n">
        <v>0</v>
      </c>
      <c r="O21" t="n">
        <v>0</v>
      </c>
      <c r="P21" t="n">
        <v>0</v>
      </c>
      <c r="Q21" t="n">
        <v>2</v>
      </c>
      <c r="R21" s="2" t="inlineStr">
        <is>
          <t>Grönpyrola
Svavelriska</t>
        </is>
      </c>
      <c r="S21">
        <f>HYPERLINK("https://klasma.github.io/Logging_1981/artfynd/A 58714-2018 artfynd.xlsx", "A 58714-2018")</f>
        <v/>
      </c>
      <c r="T21">
        <f>HYPERLINK("https://klasma.github.io/Logging_1981/kartor/A 58714-2018 karta.png", "A 58714-2018")</f>
        <v/>
      </c>
      <c r="V21">
        <f>HYPERLINK("https://klasma.github.io/Logging_1981/klagomål/A 58714-2018 FSC-klagomål.docx", "A 58714-2018")</f>
        <v/>
      </c>
      <c r="W21">
        <f>HYPERLINK("https://klasma.github.io/Logging_1981/klagomålsmail/A 58714-2018 FSC-klagomål mail.docx", "A 58714-2018")</f>
        <v/>
      </c>
      <c r="X21">
        <f>HYPERLINK("https://klasma.github.io/Logging_1981/tillsyn/A 58714-2018 tillsynsbegäran.docx", "A 58714-2018")</f>
        <v/>
      </c>
      <c r="Y21">
        <f>HYPERLINK("https://klasma.github.io/Logging_1981/tillsynsmail/A 58714-2018 tillsynsbegäran mail.docx", "A 58714-2018")</f>
        <v/>
      </c>
    </row>
    <row r="22" ht="15" customHeight="1">
      <c r="A22" t="inlineStr">
        <is>
          <t>A 35213-2019</t>
        </is>
      </c>
      <c r="B22" s="1" t="n">
        <v>43662</v>
      </c>
      <c r="C22" s="1" t="n">
        <v>45353</v>
      </c>
      <c r="D22" t="inlineStr">
        <is>
          <t>VÄSTMANLANDS LÄN</t>
        </is>
      </c>
      <c r="E22" t="inlineStr">
        <is>
          <t>SALA</t>
        </is>
      </c>
      <c r="G22" t="n">
        <v>44.3</v>
      </c>
      <c r="H22" t="n">
        <v>1</v>
      </c>
      <c r="I22" t="n">
        <v>1</v>
      </c>
      <c r="J22" t="n">
        <v>1</v>
      </c>
      <c r="K22" t="n">
        <v>0</v>
      </c>
      <c r="L22" t="n">
        <v>0</v>
      </c>
      <c r="M22" t="n">
        <v>0</v>
      </c>
      <c r="N22" t="n">
        <v>0</v>
      </c>
      <c r="O22" t="n">
        <v>1</v>
      </c>
      <c r="P22" t="n">
        <v>0</v>
      </c>
      <c r="Q22" t="n">
        <v>2</v>
      </c>
      <c r="R22" s="2" t="inlineStr">
        <is>
          <t>Järpe
Mörk husmossa</t>
        </is>
      </c>
      <c r="S22">
        <f>HYPERLINK("https://klasma.github.io/Logging_1981/artfynd/A 35213-2019 artfynd.xlsx", "A 35213-2019")</f>
        <v/>
      </c>
      <c r="T22">
        <f>HYPERLINK("https://klasma.github.io/Logging_1981/kartor/A 35213-2019 karta.png", "A 35213-2019")</f>
        <v/>
      </c>
      <c r="U22">
        <f>HYPERLINK("https://klasma.github.io/Logging_1981/knärot/A 35213-2019 karta knärot.png", "A 35213-2019")</f>
        <v/>
      </c>
      <c r="V22">
        <f>HYPERLINK("https://klasma.github.io/Logging_1981/klagomål/A 35213-2019 FSC-klagomål.docx", "A 35213-2019")</f>
        <v/>
      </c>
      <c r="W22">
        <f>HYPERLINK("https://klasma.github.io/Logging_1981/klagomålsmail/A 35213-2019 FSC-klagomål mail.docx", "A 35213-2019")</f>
        <v/>
      </c>
      <c r="X22">
        <f>HYPERLINK("https://klasma.github.io/Logging_1981/tillsyn/A 35213-2019 tillsynsbegäran.docx", "A 35213-2019")</f>
        <v/>
      </c>
      <c r="Y22">
        <f>HYPERLINK("https://klasma.github.io/Logging_1981/tillsynsmail/A 35213-2019 tillsynsbegäran mail.docx", "A 35213-2019")</f>
        <v/>
      </c>
      <c r="Z22">
        <f>HYPERLINK("https://klasma.github.io/Logging_1981/fåglar/A 35213-2019 prioriterade fågelarter.docx", "A 35213-2019")</f>
        <v/>
      </c>
    </row>
    <row r="23" ht="15" customHeight="1">
      <c r="A23" t="inlineStr">
        <is>
          <t>A 59152-2019</t>
        </is>
      </c>
      <c r="B23" s="1" t="n">
        <v>43775</v>
      </c>
      <c r="C23" s="1" t="n">
        <v>45353</v>
      </c>
      <c r="D23" t="inlineStr">
        <is>
          <t>VÄSTMANLANDS LÄN</t>
        </is>
      </c>
      <c r="E23" t="inlineStr">
        <is>
          <t>SALA</t>
        </is>
      </c>
      <c r="F23" t="inlineStr">
        <is>
          <t>Övriga Aktiebolag</t>
        </is>
      </c>
      <c r="G23" t="n">
        <v>4.6</v>
      </c>
      <c r="H23" t="n">
        <v>0</v>
      </c>
      <c r="I23" t="n">
        <v>1</v>
      </c>
      <c r="J23" t="n">
        <v>1</v>
      </c>
      <c r="K23" t="n">
        <v>0</v>
      </c>
      <c r="L23" t="n">
        <v>0</v>
      </c>
      <c r="M23" t="n">
        <v>0</v>
      </c>
      <c r="N23" t="n">
        <v>0</v>
      </c>
      <c r="O23" t="n">
        <v>1</v>
      </c>
      <c r="P23" t="n">
        <v>0</v>
      </c>
      <c r="Q23" t="n">
        <v>2</v>
      </c>
      <c r="R23" s="2" t="inlineStr">
        <is>
          <t>Svart taggsvamp
Vedticka</t>
        </is>
      </c>
      <c r="S23">
        <f>HYPERLINK("https://klasma.github.io/Logging_1981/artfynd/A 59152-2019 artfynd.xlsx", "A 59152-2019")</f>
        <v/>
      </c>
      <c r="T23">
        <f>HYPERLINK("https://klasma.github.io/Logging_1981/kartor/A 59152-2019 karta.png", "A 59152-2019")</f>
        <v/>
      </c>
      <c r="V23">
        <f>HYPERLINK("https://klasma.github.io/Logging_1981/klagomål/A 59152-2019 FSC-klagomål.docx", "A 59152-2019")</f>
        <v/>
      </c>
      <c r="W23">
        <f>HYPERLINK("https://klasma.github.io/Logging_1981/klagomålsmail/A 59152-2019 FSC-klagomål mail.docx", "A 59152-2019")</f>
        <v/>
      </c>
      <c r="X23">
        <f>HYPERLINK("https://klasma.github.io/Logging_1981/tillsyn/A 59152-2019 tillsynsbegäran.docx", "A 59152-2019")</f>
        <v/>
      </c>
      <c r="Y23">
        <f>HYPERLINK("https://klasma.github.io/Logging_1981/tillsynsmail/A 59152-2019 tillsynsbegäran mail.docx", "A 59152-2019")</f>
        <v/>
      </c>
    </row>
    <row r="24" ht="15" customHeight="1">
      <c r="A24" t="inlineStr">
        <is>
          <t>A 54555-2021</t>
        </is>
      </c>
      <c r="B24" s="1" t="n">
        <v>44473</v>
      </c>
      <c r="C24" s="1" t="n">
        <v>45353</v>
      </c>
      <c r="D24" t="inlineStr">
        <is>
          <t>VÄSTMANLANDS LÄN</t>
        </is>
      </c>
      <c r="E24" t="inlineStr">
        <is>
          <t>SALA</t>
        </is>
      </c>
      <c r="G24" t="n">
        <v>13</v>
      </c>
      <c r="H24" t="n">
        <v>0</v>
      </c>
      <c r="I24" t="n">
        <v>1</v>
      </c>
      <c r="J24" t="n">
        <v>1</v>
      </c>
      <c r="K24" t="n">
        <v>0</v>
      </c>
      <c r="L24" t="n">
        <v>0</v>
      </c>
      <c r="M24" t="n">
        <v>0</v>
      </c>
      <c r="N24" t="n">
        <v>0</v>
      </c>
      <c r="O24" t="n">
        <v>1</v>
      </c>
      <c r="P24" t="n">
        <v>0</v>
      </c>
      <c r="Q24" t="n">
        <v>2</v>
      </c>
      <c r="R24" s="2" t="inlineStr">
        <is>
          <t>Storgröe
Stubbspretmossa</t>
        </is>
      </c>
      <c r="S24">
        <f>HYPERLINK("https://klasma.github.io/Logging_1981/artfynd/A 54555-2021 artfynd.xlsx", "A 54555-2021")</f>
        <v/>
      </c>
      <c r="T24">
        <f>HYPERLINK("https://klasma.github.io/Logging_1981/kartor/A 54555-2021 karta.png", "A 54555-2021")</f>
        <v/>
      </c>
      <c r="V24">
        <f>HYPERLINK("https://klasma.github.io/Logging_1981/klagomål/A 54555-2021 FSC-klagomål.docx", "A 54555-2021")</f>
        <v/>
      </c>
      <c r="W24">
        <f>HYPERLINK("https://klasma.github.io/Logging_1981/klagomålsmail/A 54555-2021 FSC-klagomål mail.docx", "A 54555-2021")</f>
        <v/>
      </c>
      <c r="X24">
        <f>HYPERLINK("https://klasma.github.io/Logging_1981/tillsyn/A 54555-2021 tillsynsbegäran.docx", "A 54555-2021")</f>
        <v/>
      </c>
      <c r="Y24">
        <f>HYPERLINK("https://klasma.github.io/Logging_1981/tillsynsmail/A 54555-2021 tillsynsbegäran mail.docx", "A 54555-2021")</f>
        <v/>
      </c>
    </row>
    <row r="25" ht="15" customHeight="1">
      <c r="A25" t="inlineStr">
        <is>
          <t>A 73598-2021</t>
        </is>
      </c>
      <c r="B25" s="1" t="n">
        <v>44552</v>
      </c>
      <c r="C25" s="1" t="n">
        <v>45353</v>
      </c>
      <c r="D25" t="inlineStr">
        <is>
          <t>VÄSTMANLANDS LÄN</t>
        </is>
      </c>
      <c r="E25" t="inlineStr">
        <is>
          <t>SALA</t>
        </is>
      </c>
      <c r="G25" t="n">
        <v>1.3</v>
      </c>
      <c r="H25" t="n">
        <v>1</v>
      </c>
      <c r="I25" t="n">
        <v>1</v>
      </c>
      <c r="J25" t="n">
        <v>0</v>
      </c>
      <c r="K25" t="n">
        <v>0</v>
      </c>
      <c r="L25" t="n">
        <v>0</v>
      </c>
      <c r="M25" t="n">
        <v>0</v>
      </c>
      <c r="N25" t="n">
        <v>0</v>
      </c>
      <c r="O25" t="n">
        <v>0</v>
      </c>
      <c r="P25" t="n">
        <v>0</v>
      </c>
      <c r="Q25" t="n">
        <v>2</v>
      </c>
      <c r="R25" s="2" t="inlineStr">
        <is>
          <t>Kryddspindling
Blåsippa</t>
        </is>
      </c>
      <c r="S25">
        <f>HYPERLINK("https://klasma.github.io/Logging_1981/artfynd/A 73598-2021 artfynd.xlsx", "A 73598-2021")</f>
        <v/>
      </c>
      <c r="T25">
        <f>HYPERLINK("https://klasma.github.io/Logging_1981/kartor/A 73598-2021 karta.png", "A 73598-2021")</f>
        <v/>
      </c>
      <c r="V25">
        <f>HYPERLINK("https://klasma.github.io/Logging_1981/klagomål/A 73598-2021 FSC-klagomål.docx", "A 73598-2021")</f>
        <v/>
      </c>
      <c r="W25">
        <f>HYPERLINK("https://klasma.github.io/Logging_1981/klagomålsmail/A 73598-2021 FSC-klagomål mail.docx", "A 73598-2021")</f>
        <v/>
      </c>
      <c r="X25">
        <f>HYPERLINK("https://klasma.github.io/Logging_1981/tillsyn/A 73598-2021 tillsynsbegäran.docx", "A 73598-2021")</f>
        <v/>
      </c>
      <c r="Y25">
        <f>HYPERLINK("https://klasma.github.io/Logging_1981/tillsynsmail/A 73598-2021 tillsynsbegäran mail.docx", "A 73598-2021")</f>
        <v/>
      </c>
    </row>
    <row r="26" ht="15" customHeight="1">
      <c r="A26" t="inlineStr">
        <is>
          <t>A 1500-2022</t>
        </is>
      </c>
      <c r="B26" s="1" t="n">
        <v>44573</v>
      </c>
      <c r="C26" s="1" t="n">
        <v>45353</v>
      </c>
      <c r="D26" t="inlineStr">
        <is>
          <t>VÄSTMANLANDS LÄN</t>
        </is>
      </c>
      <c r="E26" t="inlineStr">
        <is>
          <t>SALA</t>
        </is>
      </c>
      <c r="G26" t="n">
        <v>5.8</v>
      </c>
      <c r="H26" t="n">
        <v>2</v>
      </c>
      <c r="I26" t="n">
        <v>0</v>
      </c>
      <c r="J26" t="n">
        <v>0</v>
      </c>
      <c r="K26" t="n">
        <v>1</v>
      </c>
      <c r="L26" t="n">
        <v>0</v>
      </c>
      <c r="M26" t="n">
        <v>0</v>
      </c>
      <c r="N26" t="n">
        <v>0</v>
      </c>
      <c r="O26" t="n">
        <v>1</v>
      </c>
      <c r="P26" t="n">
        <v>1</v>
      </c>
      <c r="Q26" t="n">
        <v>2</v>
      </c>
      <c r="R26" s="2" t="inlineStr">
        <is>
          <t>Knärot
Revlummer</t>
        </is>
      </c>
      <c r="S26">
        <f>HYPERLINK("https://klasma.github.io/Logging_1981/artfynd/A 1500-2022 artfynd.xlsx", "A 1500-2022")</f>
        <v/>
      </c>
      <c r="T26">
        <f>HYPERLINK("https://klasma.github.io/Logging_1981/kartor/A 1500-2022 karta.png", "A 1500-2022")</f>
        <v/>
      </c>
      <c r="U26">
        <f>HYPERLINK("https://klasma.github.io/Logging_1981/knärot/A 1500-2022 karta knärot.png", "A 1500-2022")</f>
        <v/>
      </c>
      <c r="V26">
        <f>HYPERLINK("https://klasma.github.io/Logging_1981/klagomål/A 1500-2022 FSC-klagomål.docx", "A 1500-2022")</f>
        <v/>
      </c>
      <c r="W26">
        <f>HYPERLINK("https://klasma.github.io/Logging_1981/klagomålsmail/A 1500-2022 FSC-klagomål mail.docx", "A 1500-2022")</f>
        <v/>
      </c>
      <c r="X26">
        <f>HYPERLINK("https://klasma.github.io/Logging_1981/tillsyn/A 1500-2022 tillsynsbegäran.docx", "A 1500-2022")</f>
        <v/>
      </c>
      <c r="Y26">
        <f>HYPERLINK("https://klasma.github.io/Logging_1981/tillsynsmail/A 1500-2022 tillsynsbegäran mail.docx", "A 1500-2022")</f>
        <v/>
      </c>
    </row>
    <row r="27" ht="15" customHeight="1">
      <c r="A27" t="inlineStr">
        <is>
          <t>A 40042-2022</t>
        </is>
      </c>
      <c r="B27" s="1" t="n">
        <v>44819</v>
      </c>
      <c r="C27" s="1" t="n">
        <v>45353</v>
      </c>
      <c r="D27" t="inlineStr">
        <is>
          <t>VÄSTMANLANDS LÄN</t>
        </is>
      </c>
      <c r="E27" t="inlineStr">
        <is>
          <t>SALA</t>
        </is>
      </c>
      <c r="G27" t="n">
        <v>1.7</v>
      </c>
      <c r="H27" t="n">
        <v>2</v>
      </c>
      <c r="I27" t="n">
        <v>0</v>
      </c>
      <c r="J27" t="n">
        <v>0</v>
      </c>
      <c r="K27" t="n">
        <v>1</v>
      </c>
      <c r="L27" t="n">
        <v>0</v>
      </c>
      <c r="M27" t="n">
        <v>0</v>
      </c>
      <c r="N27" t="n">
        <v>0</v>
      </c>
      <c r="O27" t="n">
        <v>1</v>
      </c>
      <c r="P27" t="n">
        <v>1</v>
      </c>
      <c r="Q27" t="n">
        <v>2</v>
      </c>
      <c r="R27" s="2" t="inlineStr">
        <is>
          <t>Knärot
Revlummer</t>
        </is>
      </c>
      <c r="S27">
        <f>HYPERLINK("https://klasma.github.io/Logging_1981/artfynd/A 40042-2022 artfynd.xlsx", "A 40042-2022")</f>
        <v/>
      </c>
      <c r="T27">
        <f>HYPERLINK("https://klasma.github.io/Logging_1981/kartor/A 40042-2022 karta.png", "A 40042-2022")</f>
        <v/>
      </c>
      <c r="U27">
        <f>HYPERLINK("https://klasma.github.io/Logging_1981/knärot/A 40042-2022 karta knärot.png", "A 40042-2022")</f>
        <v/>
      </c>
      <c r="V27">
        <f>HYPERLINK("https://klasma.github.io/Logging_1981/klagomål/A 40042-2022 FSC-klagomål.docx", "A 40042-2022")</f>
        <v/>
      </c>
      <c r="W27">
        <f>HYPERLINK("https://klasma.github.io/Logging_1981/klagomålsmail/A 40042-2022 FSC-klagomål mail.docx", "A 40042-2022")</f>
        <v/>
      </c>
      <c r="X27">
        <f>HYPERLINK("https://klasma.github.io/Logging_1981/tillsyn/A 40042-2022 tillsynsbegäran.docx", "A 40042-2022")</f>
        <v/>
      </c>
      <c r="Y27">
        <f>HYPERLINK("https://klasma.github.io/Logging_1981/tillsynsmail/A 40042-2022 tillsynsbegäran mail.docx", "A 40042-2022")</f>
        <v/>
      </c>
    </row>
    <row r="28" ht="15" customHeight="1">
      <c r="A28" t="inlineStr">
        <is>
          <t>A 52909-2022</t>
        </is>
      </c>
      <c r="B28" s="1" t="n">
        <v>44875</v>
      </c>
      <c r="C28" s="1" t="n">
        <v>45353</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13029-2023</t>
        </is>
      </c>
      <c r="B29" s="1" t="n">
        <v>45001</v>
      </c>
      <c r="C29" s="1" t="n">
        <v>45353</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27499-2023</t>
        </is>
      </c>
      <c r="B30" s="1" t="n">
        <v>45097</v>
      </c>
      <c r="C30" s="1" t="n">
        <v>45353</v>
      </c>
      <c r="D30" t="inlineStr">
        <is>
          <t>VÄSTMANLANDS LÄN</t>
        </is>
      </c>
      <c r="E30" t="inlineStr">
        <is>
          <t>SALA</t>
        </is>
      </c>
      <c r="G30" t="n">
        <v>9.5</v>
      </c>
      <c r="H30" t="n">
        <v>0</v>
      </c>
      <c r="I30" t="n">
        <v>1</v>
      </c>
      <c r="J30" t="n">
        <v>1</v>
      </c>
      <c r="K30" t="n">
        <v>0</v>
      </c>
      <c r="L30" t="n">
        <v>0</v>
      </c>
      <c r="M30" t="n">
        <v>0</v>
      </c>
      <c r="N30" t="n">
        <v>0</v>
      </c>
      <c r="O30" t="n">
        <v>1</v>
      </c>
      <c r="P30" t="n">
        <v>0</v>
      </c>
      <c r="Q30" t="n">
        <v>2</v>
      </c>
      <c r="R30" s="2" t="inlineStr">
        <is>
          <t>Motaggsvamp
Dropptaggsvamp</t>
        </is>
      </c>
      <c r="S30">
        <f>HYPERLINK("https://klasma.github.io/Logging_1981/artfynd/A 27499-2023 artfynd.xlsx", "A 27499-2023")</f>
        <v/>
      </c>
      <c r="T30">
        <f>HYPERLINK("https://klasma.github.io/Logging_1981/kartor/A 27499-2023 karta.png", "A 27499-2023")</f>
        <v/>
      </c>
      <c r="V30">
        <f>HYPERLINK("https://klasma.github.io/Logging_1981/klagomål/A 27499-2023 FSC-klagomål.docx", "A 27499-2023")</f>
        <v/>
      </c>
      <c r="W30">
        <f>HYPERLINK("https://klasma.github.io/Logging_1981/klagomålsmail/A 27499-2023 FSC-klagomål mail.docx", "A 27499-2023")</f>
        <v/>
      </c>
      <c r="X30">
        <f>HYPERLINK("https://klasma.github.io/Logging_1981/tillsyn/A 27499-2023 tillsynsbegäran.docx", "A 27499-2023")</f>
        <v/>
      </c>
      <c r="Y30">
        <f>HYPERLINK("https://klasma.github.io/Logging_1981/tillsynsmail/A 27499-2023 tillsynsbegäran mail.docx", "A 27499-2023")</f>
        <v/>
      </c>
    </row>
    <row r="31" ht="15" customHeight="1">
      <c r="A31" t="inlineStr">
        <is>
          <t>A 34752-2023</t>
        </is>
      </c>
      <c r="B31" s="1" t="n">
        <v>45141</v>
      </c>
      <c r="C31" s="1" t="n">
        <v>45353</v>
      </c>
      <c r="D31" t="inlineStr">
        <is>
          <t>VÄSTMANLANDS LÄN</t>
        </is>
      </c>
      <c r="E31" t="inlineStr">
        <is>
          <t>SALA</t>
        </is>
      </c>
      <c r="G31" t="n">
        <v>4.9</v>
      </c>
      <c r="H31" t="n">
        <v>1</v>
      </c>
      <c r="I31" t="n">
        <v>0</v>
      </c>
      <c r="J31" t="n">
        <v>0</v>
      </c>
      <c r="K31" t="n">
        <v>2</v>
      </c>
      <c r="L31" t="n">
        <v>0</v>
      </c>
      <c r="M31" t="n">
        <v>0</v>
      </c>
      <c r="N31" t="n">
        <v>0</v>
      </c>
      <c r="O31" t="n">
        <v>2</v>
      </c>
      <c r="P31" t="n">
        <v>2</v>
      </c>
      <c r="Q31" t="n">
        <v>2</v>
      </c>
      <c r="R31" s="2" t="inlineStr">
        <is>
          <t>Knärot
Sprickporing</t>
        </is>
      </c>
      <c r="S31">
        <f>HYPERLINK("https://klasma.github.io/Logging_1981/artfynd/A 34752-2023 artfynd.xlsx", "A 34752-2023")</f>
        <v/>
      </c>
      <c r="T31">
        <f>HYPERLINK("https://klasma.github.io/Logging_1981/kartor/A 34752-2023 karta.png", "A 34752-2023")</f>
        <v/>
      </c>
      <c r="U31">
        <f>HYPERLINK("https://klasma.github.io/Logging_1981/knärot/A 34752-2023 karta knärot.png", "A 34752-2023")</f>
        <v/>
      </c>
      <c r="V31">
        <f>HYPERLINK("https://klasma.github.io/Logging_1981/klagomål/A 34752-2023 FSC-klagomål.docx", "A 34752-2023")</f>
        <v/>
      </c>
      <c r="W31">
        <f>HYPERLINK("https://klasma.github.io/Logging_1981/klagomålsmail/A 34752-2023 FSC-klagomål mail.docx", "A 34752-2023")</f>
        <v/>
      </c>
      <c r="X31">
        <f>HYPERLINK("https://klasma.github.io/Logging_1981/tillsyn/A 34752-2023 tillsynsbegäran.docx", "A 34752-2023")</f>
        <v/>
      </c>
      <c r="Y31">
        <f>HYPERLINK("https://klasma.github.io/Logging_1981/tillsynsmail/A 34752-2023 tillsynsbegäran mail.docx", "A 34752-2023")</f>
        <v/>
      </c>
    </row>
    <row r="32" ht="15" customHeight="1">
      <c r="A32" t="inlineStr">
        <is>
          <t>A 59780-2023</t>
        </is>
      </c>
      <c r="B32" s="1" t="n">
        <v>45257</v>
      </c>
      <c r="C32" s="1" t="n">
        <v>45353</v>
      </c>
      <c r="D32" t="inlineStr">
        <is>
          <t>VÄSTMANLANDS LÄN</t>
        </is>
      </c>
      <c r="E32" t="inlineStr">
        <is>
          <t>SALA</t>
        </is>
      </c>
      <c r="G32" t="n">
        <v>5.9</v>
      </c>
      <c r="H32" t="n">
        <v>1</v>
      </c>
      <c r="I32" t="n">
        <v>0</v>
      </c>
      <c r="J32" t="n">
        <v>1</v>
      </c>
      <c r="K32" t="n">
        <v>1</v>
      </c>
      <c r="L32" t="n">
        <v>0</v>
      </c>
      <c r="M32" t="n">
        <v>0</v>
      </c>
      <c r="N32" t="n">
        <v>0</v>
      </c>
      <c r="O32" t="n">
        <v>2</v>
      </c>
      <c r="P32" t="n">
        <v>1</v>
      </c>
      <c r="Q32" t="n">
        <v>2</v>
      </c>
      <c r="R32" s="2" t="inlineStr">
        <is>
          <t>Knärot
Vedtrappmossa</t>
        </is>
      </c>
      <c r="S32">
        <f>HYPERLINK("https://klasma.github.io/Logging_1981/artfynd/A 59780-2023 artfynd.xlsx", "A 59780-2023")</f>
        <v/>
      </c>
      <c r="T32">
        <f>HYPERLINK("https://klasma.github.io/Logging_1981/kartor/A 59780-2023 karta.png", "A 59780-2023")</f>
        <v/>
      </c>
      <c r="U32">
        <f>HYPERLINK("https://klasma.github.io/Logging_1981/knärot/A 59780-2023 karta knärot.png", "A 59780-2023")</f>
        <v/>
      </c>
      <c r="V32">
        <f>HYPERLINK("https://klasma.github.io/Logging_1981/klagomål/A 59780-2023 FSC-klagomål.docx", "A 59780-2023")</f>
        <v/>
      </c>
      <c r="W32">
        <f>HYPERLINK("https://klasma.github.io/Logging_1981/klagomålsmail/A 59780-2023 FSC-klagomål mail.docx", "A 59780-2023")</f>
        <v/>
      </c>
      <c r="X32">
        <f>HYPERLINK("https://klasma.github.io/Logging_1981/tillsyn/A 59780-2023 tillsynsbegäran.docx", "A 59780-2023")</f>
        <v/>
      </c>
      <c r="Y32">
        <f>HYPERLINK("https://klasma.github.io/Logging_1981/tillsynsmail/A 59780-2023 tillsynsbegäran mail.docx", "A 59780-2023")</f>
        <v/>
      </c>
    </row>
    <row r="33" ht="15" customHeight="1">
      <c r="A33" t="inlineStr">
        <is>
          <t>A 4261-2024</t>
        </is>
      </c>
      <c r="B33" s="1" t="n">
        <v>45324</v>
      </c>
      <c r="C33" s="1" t="n">
        <v>45353</v>
      </c>
      <c r="D33" t="inlineStr">
        <is>
          <t>VÄSTMANLANDS LÄN</t>
        </is>
      </c>
      <c r="E33" t="inlineStr">
        <is>
          <t>SALA</t>
        </is>
      </c>
      <c r="G33" t="n">
        <v>5.7</v>
      </c>
      <c r="H33" t="n">
        <v>0</v>
      </c>
      <c r="I33" t="n">
        <v>1</v>
      </c>
      <c r="J33" t="n">
        <v>1</v>
      </c>
      <c r="K33" t="n">
        <v>0</v>
      </c>
      <c r="L33" t="n">
        <v>0</v>
      </c>
      <c r="M33" t="n">
        <v>0</v>
      </c>
      <c r="N33" t="n">
        <v>0</v>
      </c>
      <c r="O33" t="n">
        <v>1</v>
      </c>
      <c r="P33" t="n">
        <v>0</v>
      </c>
      <c r="Q33" t="n">
        <v>2</v>
      </c>
      <c r="R33" s="2" t="inlineStr">
        <is>
          <t>Ullticka
Västlig hakmossa</t>
        </is>
      </c>
      <c r="S33">
        <f>HYPERLINK("https://klasma.github.io/Logging_1981/artfynd/A 4261-2024 artfynd.xlsx", "A 4261-2024")</f>
        <v/>
      </c>
      <c r="T33">
        <f>HYPERLINK("https://klasma.github.io/Logging_1981/kartor/A 4261-2024 karta.png", "A 4261-2024")</f>
        <v/>
      </c>
      <c r="V33">
        <f>HYPERLINK("https://klasma.github.io/Logging_1981/klagomål/A 4261-2024 FSC-klagomål.docx", "A 4261-2024")</f>
        <v/>
      </c>
      <c r="W33">
        <f>HYPERLINK("https://klasma.github.io/Logging_1981/klagomålsmail/A 4261-2024 FSC-klagomål mail.docx", "A 4261-2024")</f>
        <v/>
      </c>
      <c r="X33">
        <f>HYPERLINK("https://klasma.github.io/Logging_1981/tillsyn/A 4261-2024 tillsynsbegäran.docx", "A 4261-2024")</f>
        <v/>
      </c>
      <c r="Y33">
        <f>HYPERLINK("https://klasma.github.io/Logging_1981/tillsynsmail/A 4261-2024 tillsynsbegäran mail.docx", "A 4261-2024")</f>
        <v/>
      </c>
    </row>
    <row r="34" ht="15" customHeight="1">
      <c r="A34" t="inlineStr">
        <is>
          <t>A 43457-2018</t>
        </is>
      </c>
      <c r="B34" s="1" t="n">
        <v>43356</v>
      </c>
      <c r="C34" s="1" t="n">
        <v>45353</v>
      </c>
      <c r="D34" t="inlineStr">
        <is>
          <t>VÄSTMANLANDS LÄN</t>
        </is>
      </c>
      <c r="E34" t="inlineStr">
        <is>
          <t>SALA</t>
        </is>
      </c>
      <c r="G34" t="n">
        <v>2.6</v>
      </c>
      <c r="H34" t="n">
        <v>0</v>
      </c>
      <c r="I34" t="n">
        <v>0</v>
      </c>
      <c r="J34" t="n">
        <v>1</v>
      </c>
      <c r="K34" t="n">
        <v>0</v>
      </c>
      <c r="L34" t="n">
        <v>0</v>
      </c>
      <c r="M34" t="n">
        <v>0</v>
      </c>
      <c r="N34" t="n">
        <v>0</v>
      </c>
      <c r="O34" t="n">
        <v>1</v>
      </c>
      <c r="P34" t="n">
        <v>0</v>
      </c>
      <c r="Q34" t="n">
        <v>1</v>
      </c>
      <c r="R34" s="2" t="inlineStr">
        <is>
          <t>Ullticka</t>
        </is>
      </c>
      <c r="S34">
        <f>HYPERLINK("https://klasma.github.io/Logging_1981/artfynd/A 43457-2018 artfynd.xlsx", "A 43457-2018")</f>
        <v/>
      </c>
      <c r="T34">
        <f>HYPERLINK("https://klasma.github.io/Logging_1981/kartor/A 43457-2018 karta.png", "A 43457-2018")</f>
        <v/>
      </c>
      <c r="V34">
        <f>HYPERLINK("https://klasma.github.io/Logging_1981/klagomål/A 43457-2018 FSC-klagomål.docx", "A 43457-2018")</f>
        <v/>
      </c>
      <c r="W34">
        <f>HYPERLINK("https://klasma.github.io/Logging_1981/klagomålsmail/A 43457-2018 FSC-klagomål mail.docx", "A 43457-2018")</f>
        <v/>
      </c>
      <c r="X34">
        <f>HYPERLINK("https://klasma.github.io/Logging_1981/tillsyn/A 43457-2018 tillsynsbegäran.docx", "A 43457-2018")</f>
        <v/>
      </c>
      <c r="Y34">
        <f>HYPERLINK("https://klasma.github.io/Logging_1981/tillsynsmail/A 43457-2018 tillsynsbegäran mail.docx", "A 43457-2018")</f>
        <v/>
      </c>
    </row>
    <row r="35" ht="15" customHeight="1">
      <c r="A35" t="inlineStr">
        <is>
          <t>A 8494-2019</t>
        </is>
      </c>
      <c r="B35" s="1" t="n">
        <v>43502</v>
      </c>
      <c r="C35" s="1" t="n">
        <v>45353</v>
      </c>
      <c r="D35" t="inlineStr">
        <is>
          <t>VÄSTMANLANDS LÄN</t>
        </is>
      </c>
      <c r="E35" t="inlineStr">
        <is>
          <t>SALA</t>
        </is>
      </c>
      <c r="F35" t="inlineStr">
        <is>
          <t>Kommuner</t>
        </is>
      </c>
      <c r="G35" t="n">
        <v>58.6</v>
      </c>
      <c r="H35" t="n">
        <v>1</v>
      </c>
      <c r="I35" t="n">
        <v>0</v>
      </c>
      <c r="J35" t="n">
        <v>1</v>
      </c>
      <c r="K35" t="n">
        <v>0</v>
      </c>
      <c r="L35" t="n">
        <v>0</v>
      </c>
      <c r="M35" t="n">
        <v>0</v>
      </c>
      <c r="N35" t="n">
        <v>0</v>
      </c>
      <c r="O35" t="n">
        <v>1</v>
      </c>
      <c r="P35" t="n">
        <v>0</v>
      </c>
      <c r="Q35" t="n">
        <v>1</v>
      </c>
      <c r="R35" s="2" t="inlineStr">
        <is>
          <t>Mindre hackspett</t>
        </is>
      </c>
      <c r="S35">
        <f>HYPERLINK("https://klasma.github.io/Logging_1981/artfynd/A 8494-2019 artfynd.xlsx", "A 8494-2019")</f>
        <v/>
      </c>
      <c r="T35">
        <f>HYPERLINK("https://klasma.github.io/Logging_1981/kartor/A 8494-2019 karta.png", "A 8494-2019")</f>
        <v/>
      </c>
      <c r="V35">
        <f>HYPERLINK("https://klasma.github.io/Logging_1981/klagomål/A 8494-2019 FSC-klagomål.docx", "A 8494-2019")</f>
        <v/>
      </c>
      <c r="W35">
        <f>HYPERLINK("https://klasma.github.io/Logging_1981/klagomålsmail/A 8494-2019 FSC-klagomål mail.docx", "A 8494-2019")</f>
        <v/>
      </c>
      <c r="X35">
        <f>HYPERLINK("https://klasma.github.io/Logging_1981/tillsyn/A 8494-2019 tillsynsbegäran.docx", "A 8494-2019")</f>
        <v/>
      </c>
      <c r="Y35">
        <f>HYPERLINK("https://klasma.github.io/Logging_1981/tillsynsmail/A 8494-2019 tillsynsbegäran mail.docx", "A 8494-2019")</f>
        <v/>
      </c>
      <c r="Z35">
        <f>HYPERLINK("https://klasma.github.io/Logging_1981/fåglar/A 8494-2019 prioriterade fågelarter.docx", "A 8494-2019")</f>
        <v/>
      </c>
    </row>
    <row r="36" ht="15" customHeight="1">
      <c r="A36" t="inlineStr">
        <is>
          <t>A 13519-2019</t>
        </is>
      </c>
      <c r="B36" s="1" t="n">
        <v>43529</v>
      </c>
      <c r="C36" s="1" t="n">
        <v>45353</v>
      </c>
      <c r="D36" t="inlineStr">
        <is>
          <t>VÄSTMANLANDS LÄN</t>
        </is>
      </c>
      <c r="E36" t="inlineStr">
        <is>
          <t>SALA</t>
        </is>
      </c>
      <c r="G36" t="n">
        <v>6.3</v>
      </c>
      <c r="H36" t="n">
        <v>0</v>
      </c>
      <c r="I36" t="n">
        <v>0</v>
      </c>
      <c r="J36" t="n">
        <v>1</v>
      </c>
      <c r="K36" t="n">
        <v>0</v>
      </c>
      <c r="L36" t="n">
        <v>0</v>
      </c>
      <c r="M36" t="n">
        <v>0</v>
      </c>
      <c r="N36" t="n">
        <v>0</v>
      </c>
      <c r="O36" t="n">
        <v>1</v>
      </c>
      <c r="P36" t="n">
        <v>0</v>
      </c>
      <c r="Q36" t="n">
        <v>1</v>
      </c>
      <c r="R36" s="2" t="inlineStr">
        <is>
          <t>Tallticka</t>
        </is>
      </c>
      <c r="S36">
        <f>HYPERLINK("https://klasma.github.io/Logging_1981/artfynd/A 13519-2019 artfynd.xlsx", "A 13519-2019")</f>
        <v/>
      </c>
      <c r="T36">
        <f>HYPERLINK("https://klasma.github.io/Logging_1981/kartor/A 13519-2019 karta.png", "A 13519-2019")</f>
        <v/>
      </c>
      <c r="U36">
        <f>HYPERLINK("https://klasma.github.io/Logging_1981/knärot/A 13519-2019 karta knärot.png", "A 13519-2019")</f>
        <v/>
      </c>
      <c r="V36">
        <f>HYPERLINK("https://klasma.github.io/Logging_1981/klagomål/A 13519-2019 FSC-klagomål.docx", "A 13519-2019")</f>
        <v/>
      </c>
      <c r="W36">
        <f>HYPERLINK("https://klasma.github.io/Logging_1981/klagomålsmail/A 13519-2019 FSC-klagomål mail.docx", "A 13519-2019")</f>
        <v/>
      </c>
      <c r="X36">
        <f>HYPERLINK("https://klasma.github.io/Logging_1981/tillsyn/A 13519-2019 tillsynsbegäran.docx", "A 13519-2019")</f>
        <v/>
      </c>
      <c r="Y36">
        <f>HYPERLINK("https://klasma.github.io/Logging_1981/tillsynsmail/A 13519-2019 tillsynsbegäran mail.docx", "A 13519-2019")</f>
        <v/>
      </c>
    </row>
    <row r="37" ht="15" customHeight="1">
      <c r="A37" t="inlineStr">
        <is>
          <t>A 47716-2019</t>
        </is>
      </c>
      <c r="B37" s="1" t="n">
        <v>43724</v>
      </c>
      <c r="C37" s="1" t="n">
        <v>45353</v>
      </c>
      <c r="D37" t="inlineStr">
        <is>
          <t>VÄSTMANLANDS LÄN</t>
        </is>
      </c>
      <c r="E37" t="inlineStr">
        <is>
          <t>SALA</t>
        </is>
      </c>
      <c r="G37" t="n">
        <v>5</v>
      </c>
      <c r="H37" t="n">
        <v>0</v>
      </c>
      <c r="I37" t="n">
        <v>0</v>
      </c>
      <c r="J37" t="n">
        <v>0</v>
      </c>
      <c r="K37" t="n">
        <v>0</v>
      </c>
      <c r="L37" t="n">
        <v>0</v>
      </c>
      <c r="M37" t="n">
        <v>1</v>
      </c>
      <c r="N37" t="n">
        <v>0</v>
      </c>
      <c r="O37" t="n">
        <v>1</v>
      </c>
      <c r="P37" t="n">
        <v>1</v>
      </c>
      <c r="Q37" t="n">
        <v>1</v>
      </c>
      <c r="R37" s="2" t="inlineStr">
        <is>
          <t>Skogsalm</t>
        </is>
      </c>
      <c r="S37">
        <f>HYPERLINK("https://klasma.github.io/Logging_1981/artfynd/A 47716-2019 artfynd.xlsx", "A 47716-2019")</f>
        <v/>
      </c>
      <c r="T37">
        <f>HYPERLINK("https://klasma.github.io/Logging_1981/kartor/A 47716-2019 karta.png", "A 47716-2019")</f>
        <v/>
      </c>
      <c r="V37">
        <f>HYPERLINK("https://klasma.github.io/Logging_1981/klagomål/A 47716-2019 FSC-klagomål.docx", "A 47716-2019")</f>
        <v/>
      </c>
      <c r="W37">
        <f>HYPERLINK("https://klasma.github.io/Logging_1981/klagomålsmail/A 47716-2019 FSC-klagomål mail.docx", "A 47716-2019")</f>
        <v/>
      </c>
      <c r="X37">
        <f>HYPERLINK("https://klasma.github.io/Logging_1981/tillsyn/A 47716-2019 tillsynsbegäran.docx", "A 47716-2019")</f>
        <v/>
      </c>
      <c r="Y37">
        <f>HYPERLINK("https://klasma.github.io/Logging_1981/tillsynsmail/A 47716-2019 tillsynsbegäran mail.docx", "A 47716-2019")</f>
        <v/>
      </c>
    </row>
    <row r="38" ht="15" customHeight="1">
      <c r="A38" t="inlineStr">
        <is>
          <t>A 52753-2019</t>
        </is>
      </c>
      <c r="B38" s="1" t="n">
        <v>43739</v>
      </c>
      <c r="C38" s="1" t="n">
        <v>45353</v>
      </c>
      <c r="D38" t="inlineStr">
        <is>
          <t>VÄSTMANLANDS LÄN</t>
        </is>
      </c>
      <c r="E38" t="inlineStr">
        <is>
          <t>SALA</t>
        </is>
      </c>
      <c r="G38" t="n">
        <v>4.9</v>
      </c>
      <c r="H38" t="n">
        <v>1</v>
      </c>
      <c r="I38" t="n">
        <v>0</v>
      </c>
      <c r="J38" t="n">
        <v>0</v>
      </c>
      <c r="K38" t="n">
        <v>1</v>
      </c>
      <c r="L38" t="n">
        <v>0</v>
      </c>
      <c r="M38" t="n">
        <v>0</v>
      </c>
      <c r="N38" t="n">
        <v>0</v>
      </c>
      <c r="O38" t="n">
        <v>1</v>
      </c>
      <c r="P38" t="n">
        <v>1</v>
      </c>
      <c r="Q38" t="n">
        <v>1</v>
      </c>
      <c r="R38" s="2" t="inlineStr">
        <is>
          <t>Knärot</t>
        </is>
      </c>
      <c r="S38">
        <f>HYPERLINK("https://klasma.github.io/Logging_1981/artfynd/A 52753-2019 artfynd.xlsx", "A 52753-2019")</f>
        <v/>
      </c>
      <c r="T38">
        <f>HYPERLINK("https://klasma.github.io/Logging_1981/kartor/A 52753-2019 karta.png", "A 52753-2019")</f>
        <v/>
      </c>
      <c r="U38">
        <f>HYPERLINK("https://klasma.github.io/Logging_1981/knärot/A 52753-2019 karta knärot.png", "A 52753-2019")</f>
        <v/>
      </c>
      <c r="V38">
        <f>HYPERLINK("https://klasma.github.io/Logging_1981/klagomål/A 52753-2019 FSC-klagomål.docx", "A 52753-2019")</f>
        <v/>
      </c>
      <c r="W38">
        <f>HYPERLINK("https://klasma.github.io/Logging_1981/klagomålsmail/A 52753-2019 FSC-klagomål mail.docx", "A 52753-2019")</f>
        <v/>
      </c>
      <c r="X38">
        <f>HYPERLINK("https://klasma.github.io/Logging_1981/tillsyn/A 52753-2019 tillsynsbegäran.docx", "A 52753-2019")</f>
        <v/>
      </c>
      <c r="Y38">
        <f>HYPERLINK("https://klasma.github.io/Logging_1981/tillsynsmail/A 52753-2019 tillsynsbegäran mail.docx", "A 52753-2019")</f>
        <v/>
      </c>
    </row>
    <row r="39" ht="15" customHeight="1">
      <c r="A39" t="inlineStr">
        <is>
          <t>A 8432-2020</t>
        </is>
      </c>
      <c r="B39" s="1" t="n">
        <v>43875</v>
      </c>
      <c r="C39" s="1" t="n">
        <v>45353</v>
      </c>
      <c r="D39" t="inlineStr">
        <is>
          <t>VÄSTMANLANDS LÄN</t>
        </is>
      </c>
      <c r="E39" t="inlineStr">
        <is>
          <t>SALA</t>
        </is>
      </c>
      <c r="G39" t="n">
        <v>2</v>
      </c>
      <c r="H39" t="n">
        <v>1</v>
      </c>
      <c r="I39" t="n">
        <v>0</v>
      </c>
      <c r="J39" t="n">
        <v>0</v>
      </c>
      <c r="K39" t="n">
        <v>1</v>
      </c>
      <c r="L39" t="n">
        <v>0</v>
      </c>
      <c r="M39" t="n">
        <v>0</v>
      </c>
      <c r="N39" t="n">
        <v>0</v>
      </c>
      <c r="O39" t="n">
        <v>1</v>
      </c>
      <c r="P39" t="n">
        <v>1</v>
      </c>
      <c r="Q39" t="n">
        <v>1</v>
      </c>
      <c r="R39" s="2" t="inlineStr">
        <is>
          <t>Bombmurkla</t>
        </is>
      </c>
      <c r="S39">
        <f>HYPERLINK("https://klasma.github.io/Logging_1981/artfynd/A 8432-2020 artfynd.xlsx", "A 8432-2020")</f>
        <v/>
      </c>
      <c r="T39">
        <f>HYPERLINK("https://klasma.github.io/Logging_1981/kartor/A 8432-2020 karta.png", "A 8432-2020")</f>
        <v/>
      </c>
      <c r="V39">
        <f>HYPERLINK("https://klasma.github.io/Logging_1981/klagomål/A 8432-2020 FSC-klagomål.docx", "A 8432-2020")</f>
        <v/>
      </c>
      <c r="W39">
        <f>HYPERLINK("https://klasma.github.io/Logging_1981/klagomålsmail/A 8432-2020 FSC-klagomål mail.docx", "A 8432-2020")</f>
        <v/>
      </c>
      <c r="X39">
        <f>HYPERLINK("https://klasma.github.io/Logging_1981/tillsyn/A 8432-2020 tillsynsbegäran.docx", "A 8432-2020")</f>
        <v/>
      </c>
      <c r="Y39">
        <f>HYPERLINK("https://klasma.github.io/Logging_1981/tillsynsmail/A 8432-2020 tillsynsbegäran mail.docx", "A 8432-2020")</f>
        <v/>
      </c>
    </row>
    <row r="40" ht="15" customHeight="1">
      <c r="A40" t="inlineStr">
        <is>
          <t>A 13671-2020</t>
        </is>
      </c>
      <c r="B40" s="1" t="n">
        <v>43903</v>
      </c>
      <c r="C40" s="1" t="n">
        <v>45353</v>
      </c>
      <c r="D40" t="inlineStr">
        <is>
          <t>VÄSTMANLANDS LÄN</t>
        </is>
      </c>
      <c r="E40" t="inlineStr">
        <is>
          <t>SALA</t>
        </is>
      </c>
      <c r="G40" t="n">
        <v>2.5</v>
      </c>
      <c r="H40" t="n">
        <v>1</v>
      </c>
      <c r="I40" t="n">
        <v>0</v>
      </c>
      <c r="J40" t="n">
        <v>0</v>
      </c>
      <c r="K40" t="n">
        <v>0</v>
      </c>
      <c r="L40" t="n">
        <v>0</v>
      </c>
      <c r="M40" t="n">
        <v>0</v>
      </c>
      <c r="N40" t="n">
        <v>0</v>
      </c>
      <c r="O40" t="n">
        <v>0</v>
      </c>
      <c r="P40" t="n">
        <v>0</v>
      </c>
      <c r="Q40" t="n">
        <v>1</v>
      </c>
      <c r="R40" s="2" t="inlineStr">
        <is>
          <t>Revlummer</t>
        </is>
      </c>
      <c r="S40">
        <f>HYPERLINK("https://klasma.github.io/Logging_1981/artfynd/A 13671-2020 artfynd.xlsx", "A 13671-2020")</f>
        <v/>
      </c>
      <c r="T40">
        <f>HYPERLINK("https://klasma.github.io/Logging_1981/kartor/A 13671-2020 karta.png", "A 13671-2020")</f>
        <v/>
      </c>
      <c r="V40">
        <f>HYPERLINK("https://klasma.github.io/Logging_1981/klagomål/A 13671-2020 FSC-klagomål.docx", "A 13671-2020")</f>
        <v/>
      </c>
      <c r="W40">
        <f>HYPERLINK("https://klasma.github.io/Logging_1981/klagomålsmail/A 13671-2020 FSC-klagomål mail.docx", "A 13671-2020")</f>
        <v/>
      </c>
      <c r="X40">
        <f>HYPERLINK("https://klasma.github.io/Logging_1981/tillsyn/A 13671-2020 tillsynsbegäran.docx", "A 13671-2020")</f>
        <v/>
      </c>
      <c r="Y40">
        <f>HYPERLINK("https://klasma.github.io/Logging_1981/tillsynsmail/A 13671-2020 tillsynsbegäran mail.docx", "A 13671-2020")</f>
        <v/>
      </c>
    </row>
    <row r="41" ht="15" customHeight="1">
      <c r="A41" t="inlineStr">
        <is>
          <t>A 32975-2020</t>
        </is>
      </c>
      <c r="B41" s="1" t="n">
        <v>44020</v>
      </c>
      <c r="C41" s="1" t="n">
        <v>45353</v>
      </c>
      <c r="D41" t="inlineStr">
        <is>
          <t>VÄSTMANLANDS LÄN</t>
        </is>
      </c>
      <c r="E41" t="inlineStr">
        <is>
          <t>SALA</t>
        </is>
      </c>
      <c r="G41" t="n">
        <v>10.1</v>
      </c>
      <c r="H41" t="n">
        <v>1</v>
      </c>
      <c r="I41" t="n">
        <v>0</v>
      </c>
      <c r="J41" t="n">
        <v>0</v>
      </c>
      <c r="K41" t="n">
        <v>1</v>
      </c>
      <c r="L41" t="n">
        <v>0</v>
      </c>
      <c r="M41" t="n">
        <v>0</v>
      </c>
      <c r="N41" t="n">
        <v>0</v>
      </c>
      <c r="O41" t="n">
        <v>1</v>
      </c>
      <c r="P41" t="n">
        <v>1</v>
      </c>
      <c r="Q41" t="n">
        <v>1</v>
      </c>
      <c r="R41" s="2" t="inlineStr">
        <is>
          <t>Knärot</t>
        </is>
      </c>
      <c r="S41">
        <f>HYPERLINK("https://klasma.github.io/Logging_1981/artfynd/A 32975-2020 artfynd.xlsx", "A 32975-2020")</f>
        <v/>
      </c>
      <c r="T41">
        <f>HYPERLINK("https://klasma.github.io/Logging_1981/kartor/A 32975-2020 karta.png", "A 32975-2020")</f>
        <v/>
      </c>
      <c r="U41">
        <f>HYPERLINK("https://klasma.github.io/Logging_1981/knärot/A 32975-2020 karta knärot.png", "A 32975-2020")</f>
        <v/>
      </c>
      <c r="V41">
        <f>HYPERLINK("https://klasma.github.io/Logging_1981/klagomål/A 32975-2020 FSC-klagomål.docx", "A 32975-2020")</f>
        <v/>
      </c>
      <c r="W41">
        <f>HYPERLINK("https://klasma.github.io/Logging_1981/klagomålsmail/A 32975-2020 FSC-klagomål mail.docx", "A 32975-2020")</f>
        <v/>
      </c>
      <c r="X41">
        <f>HYPERLINK("https://klasma.github.io/Logging_1981/tillsyn/A 32975-2020 tillsynsbegäran.docx", "A 32975-2020")</f>
        <v/>
      </c>
      <c r="Y41">
        <f>HYPERLINK("https://klasma.github.io/Logging_1981/tillsynsmail/A 32975-2020 tillsynsbegäran mail.docx", "A 32975-2020")</f>
        <v/>
      </c>
    </row>
    <row r="42" ht="15" customHeight="1">
      <c r="A42" t="inlineStr">
        <is>
          <t>A 39800-2020</t>
        </is>
      </c>
      <c r="B42" s="1" t="n">
        <v>44067</v>
      </c>
      <c r="C42" s="1" t="n">
        <v>45353</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39807-2020</t>
        </is>
      </c>
      <c r="B43" s="1" t="n">
        <v>44067</v>
      </c>
      <c r="C43" s="1" t="n">
        <v>45353</v>
      </c>
      <c r="D43" t="inlineStr">
        <is>
          <t>VÄSTMANLANDS LÄN</t>
        </is>
      </c>
      <c r="E43" t="inlineStr">
        <is>
          <t>SALA</t>
        </is>
      </c>
      <c r="F43" t="inlineStr">
        <is>
          <t>Sveaskog</t>
        </is>
      </c>
      <c r="G43" t="n">
        <v>1.8</v>
      </c>
      <c r="H43" t="n">
        <v>1</v>
      </c>
      <c r="I43" t="n">
        <v>0</v>
      </c>
      <c r="J43" t="n">
        <v>0</v>
      </c>
      <c r="K43" t="n">
        <v>1</v>
      </c>
      <c r="L43" t="n">
        <v>0</v>
      </c>
      <c r="M43" t="n">
        <v>0</v>
      </c>
      <c r="N43" t="n">
        <v>0</v>
      </c>
      <c r="O43" t="n">
        <v>1</v>
      </c>
      <c r="P43" t="n">
        <v>1</v>
      </c>
      <c r="Q43" t="n">
        <v>1</v>
      </c>
      <c r="R43" s="2" t="inlineStr">
        <is>
          <t>Bombmurkla</t>
        </is>
      </c>
      <c r="S43">
        <f>HYPERLINK("https://klasma.github.io/Logging_1981/artfynd/A 39807-2020 artfynd.xlsx", "A 39807-2020")</f>
        <v/>
      </c>
      <c r="T43">
        <f>HYPERLINK("https://klasma.github.io/Logging_1981/kartor/A 39807-2020 karta.png", "A 39807-2020")</f>
        <v/>
      </c>
      <c r="V43">
        <f>HYPERLINK("https://klasma.github.io/Logging_1981/klagomål/A 39807-2020 FSC-klagomål.docx", "A 39807-2020")</f>
        <v/>
      </c>
      <c r="W43">
        <f>HYPERLINK("https://klasma.github.io/Logging_1981/klagomålsmail/A 39807-2020 FSC-klagomål mail.docx", "A 39807-2020")</f>
        <v/>
      </c>
      <c r="X43">
        <f>HYPERLINK("https://klasma.github.io/Logging_1981/tillsyn/A 39807-2020 tillsynsbegäran.docx", "A 39807-2020")</f>
        <v/>
      </c>
      <c r="Y43">
        <f>HYPERLINK("https://klasma.github.io/Logging_1981/tillsynsmail/A 39807-2020 tillsynsbegäran mail.docx", "A 39807-2020")</f>
        <v/>
      </c>
    </row>
    <row r="44" ht="15" customHeight="1">
      <c r="A44" t="inlineStr">
        <is>
          <t>A 42352-2020</t>
        </is>
      </c>
      <c r="B44" s="1" t="n">
        <v>44076</v>
      </c>
      <c r="C44" s="1" t="n">
        <v>45353</v>
      </c>
      <c r="D44" t="inlineStr">
        <is>
          <t>VÄSTMANLANDS LÄN</t>
        </is>
      </c>
      <c r="E44" t="inlineStr">
        <is>
          <t>SALA</t>
        </is>
      </c>
      <c r="G44" t="n">
        <v>8.6</v>
      </c>
      <c r="H44" t="n">
        <v>1</v>
      </c>
      <c r="I44" t="n">
        <v>0</v>
      </c>
      <c r="J44" t="n">
        <v>0</v>
      </c>
      <c r="K44" t="n">
        <v>0</v>
      </c>
      <c r="L44" t="n">
        <v>0</v>
      </c>
      <c r="M44" t="n">
        <v>0</v>
      </c>
      <c r="N44" t="n">
        <v>0</v>
      </c>
      <c r="O44" t="n">
        <v>0</v>
      </c>
      <c r="P44" t="n">
        <v>0</v>
      </c>
      <c r="Q44" t="n">
        <v>1</v>
      </c>
      <c r="R44" s="2" t="inlineStr">
        <is>
          <t>Mattlummer</t>
        </is>
      </c>
      <c r="S44">
        <f>HYPERLINK("https://klasma.github.io/Logging_1981/artfynd/A 42352-2020 artfynd.xlsx", "A 42352-2020")</f>
        <v/>
      </c>
      <c r="T44">
        <f>HYPERLINK("https://klasma.github.io/Logging_1981/kartor/A 42352-2020 karta.png", "A 42352-2020")</f>
        <v/>
      </c>
      <c r="V44">
        <f>HYPERLINK("https://klasma.github.io/Logging_1981/klagomål/A 42352-2020 FSC-klagomål.docx", "A 42352-2020")</f>
        <v/>
      </c>
      <c r="W44">
        <f>HYPERLINK("https://klasma.github.io/Logging_1981/klagomålsmail/A 42352-2020 FSC-klagomål mail.docx", "A 42352-2020")</f>
        <v/>
      </c>
      <c r="X44">
        <f>HYPERLINK("https://klasma.github.io/Logging_1981/tillsyn/A 42352-2020 tillsynsbegäran.docx", "A 42352-2020")</f>
        <v/>
      </c>
      <c r="Y44">
        <f>HYPERLINK("https://klasma.github.io/Logging_1981/tillsynsmail/A 42352-2020 tillsynsbegäran mail.docx", "A 42352-2020")</f>
        <v/>
      </c>
    </row>
    <row r="45" ht="15" customHeight="1">
      <c r="A45" t="inlineStr">
        <is>
          <t>A 56014-2020</t>
        </is>
      </c>
      <c r="B45" s="1" t="n">
        <v>44132</v>
      </c>
      <c r="C45" s="1" t="n">
        <v>45353</v>
      </c>
      <c r="D45" t="inlineStr">
        <is>
          <t>VÄSTMANLANDS LÄN</t>
        </is>
      </c>
      <c r="E45" t="inlineStr">
        <is>
          <t>SALA</t>
        </is>
      </c>
      <c r="G45" t="n">
        <v>5.6</v>
      </c>
      <c r="H45" t="n">
        <v>0</v>
      </c>
      <c r="I45" t="n">
        <v>0</v>
      </c>
      <c r="J45" t="n">
        <v>0</v>
      </c>
      <c r="K45" t="n">
        <v>1</v>
      </c>
      <c r="L45" t="n">
        <v>0</v>
      </c>
      <c r="M45" t="n">
        <v>0</v>
      </c>
      <c r="N45" t="n">
        <v>0</v>
      </c>
      <c r="O45" t="n">
        <v>1</v>
      </c>
      <c r="P45" t="n">
        <v>1</v>
      </c>
      <c r="Q45" t="n">
        <v>1</v>
      </c>
      <c r="R45" s="2" t="inlineStr">
        <is>
          <t>Blackticka</t>
        </is>
      </c>
      <c r="S45">
        <f>HYPERLINK("https://klasma.github.io/Logging_1981/artfynd/A 56014-2020 artfynd.xlsx", "A 56014-2020")</f>
        <v/>
      </c>
      <c r="T45">
        <f>HYPERLINK("https://klasma.github.io/Logging_1981/kartor/A 56014-2020 karta.png", "A 56014-2020")</f>
        <v/>
      </c>
      <c r="V45">
        <f>HYPERLINK("https://klasma.github.io/Logging_1981/klagomål/A 56014-2020 FSC-klagomål.docx", "A 56014-2020")</f>
        <v/>
      </c>
      <c r="W45">
        <f>HYPERLINK("https://klasma.github.io/Logging_1981/klagomålsmail/A 56014-2020 FSC-klagomål mail.docx", "A 56014-2020")</f>
        <v/>
      </c>
      <c r="X45">
        <f>HYPERLINK("https://klasma.github.io/Logging_1981/tillsyn/A 56014-2020 tillsynsbegäran.docx", "A 56014-2020")</f>
        <v/>
      </c>
      <c r="Y45">
        <f>HYPERLINK("https://klasma.github.io/Logging_1981/tillsynsmail/A 56014-2020 tillsynsbegäran mail.docx", "A 56014-2020")</f>
        <v/>
      </c>
    </row>
    <row r="46" ht="15" customHeight="1">
      <c r="A46" t="inlineStr">
        <is>
          <t>A 13973-2021</t>
        </is>
      </c>
      <c r="B46" s="1" t="n">
        <v>44277</v>
      </c>
      <c r="C46" s="1" t="n">
        <v>45353</v>
      </c>
      <c r="D46" t="inlineStr">
        <is>
          <t>VÄSTMANLANDS LÄN</t>
        </is>
      </c>
      <c r="E46" t="inlineStr">
        <is>
          <t>SALA</t>
        </is>
      </c>
      <c r="G46" t="n">
        <v>2</v>
      </c>
      <c r="H46" t="n">
        <v>1</v>
      </c>
      <c r="I46" t="n">
        <v>0</v>
      </c>
      <c r="J46" t="n">
        <v>0</v>
      </c>
      <c r="K46" t="n">
        <v>0</v>
      </c>
      <c r="L46" t="n">
        <v>0</v>
      </c>
      <c r="M46" t="n">
        <v>0</v>
      </c>
      <c r="N46" t="n">
        <v>0</v>
      </c>
      <c r="O46" t="n">
        <v>0</v>
      </c>
      <c r="P46" t="n">
        <v>0</v>
      </c>
      <c r="Q46" t="n">
        <v>1</v>
      </c>
      <c r="R46" s="2" t="inlineStr">
        <is>
          <t>Blåsippa</t>
        </is>
      </c>
      <c r="S46">
        <f>HYPERLINK("https://klasma.github.io/Logging_1981/artfynd/A 13973-2021 artfynd.xlsx", "A 13973-2021")</f>
        <v/>
      </c>
      <c r="T46">
        <f>HYPERLINK("https://klasma.github.io/Logging_1981/kartor/A 13973-2021 karta.png", "A 13973-2021")</f>
        <v/>
      </c>
      <c r="V46">
        <f>HYPERLINK("https://klasma.github.io/Logging_1981/klagomål/A 13973-2021 FSC-klagomål.docx", "A 13973-2021")</f>
        <v/>
      </c>
      <c r="W46">
        <f>HYPERLINK("https://klasma.github.io/Logging_1981/klagomålsmail/A 13973-2021 FSC-klagomål mail.docx", "A 13973-2021")</f>
        <v/>
      </c>
      <c r="X46">
        <f>HYPERLINK("https://klasma.github.io/Logging_1981/tillsyn/A 13973-2021 tillsynsbegäran.docx", "A 13973-2021")</f>
        <v/>
      </c>
      <c r="Y46">
        <f>HYPERLINK("https://klasma.github.io/Logging_1981/tillsynsmail/A 13973-2021 tillsynsbegäran mail.docx", "A 13973-2021")</f>
        <v/>
      </c>
    </row>
    <row r="47" ht="15" customHeight="1">
      <c r="A47" t="inlineStr">
        <is>
          <t>A 44970-2021</t>
        </is>
      </c>
      <c r="B47" s="1" t="n">
        <v>44438</v>
      </c>
      <c r="C47" s="1" t="n">
        <v>45353</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Revlummer</t>
        </is>
      </c>
      <c r="S47">
        <f>HYPERLINK("https://klasma.github.io/Logging_1981/artfynd/A 44970-2021 artfynd.xlsx", "A 44970-2021")</f>
        <v/>
      </c>
      <c r="T47">
        <f>HYPERLINK("https://klasma.github.io/Logging_1981/kartor/A 44970-2021 karta.png", "A 44970-2021")</f>
        <v/>
      </c>
      <c r="V47">
        <f>HYPERLINK("https://klasma.github.io/Logging_1981/klagomål/A 44970-2021 FSC-klagomål.docx", "A 44970-2021")</f>
        <v/>
      </c>
      <c r="W47">
        <f>HYPERLINK("https://klasma.github.io/Logging_1981/klagomålsmail/A 44970-2021 FSC-klagomål mail.docx", "A 44970-2021")</f>
        <v/>
      </c>
      <c r="X47">
        <f>HYPERLINK("https://klasma.github.io/Logging_1981/tillsyn/A 44970-2021 tillsynsbegäran.docx", "A 44970-2021")</f>
        <v/>
      </c>
      <c r="Y47">
        <f>HYPERLINK("https://klasma.github.io/Logging_1981/tillsynsmail/A 44970-2021 tillsynsbegäran mail.docx", "A 44970-2021")</f>
        <v/>
      </c>
    </row>
    <row r="48" ht="15" customHeight="1">
      <c r="A48" t="inlineStr">
        <is>
          <t>A 7919-2022</t>
        </is>
      </c>
      <c r="B48" s="1" t="n">
        <v>44608</v>
      </c>
      <c r="C48" s="1" t="n">
        <v>45353</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15988-2022</t>
        </is>
      </c>
      <c r="B49" s="1" t="n">
        <v>44664</v>
      </c>
      <c r="C49" s="1" t="n">
        <v>45353</v>
      </c>
      <c r="D49" t="inlineStr">
        <is>
          <t>VÄSTMANLANDS LÄN</t>
        </is>
      </c>
      <c r="E49" t="inlineStr">
        <is>
          <t>SALA</t>
        </is>
      </c>
      <c r="G49" t="n">
        <v>5</v>
      </c>
      <c r="H49" t="n">
        <v>1</v>
      </c>
      <c r="I49" t="n">
        <v>0</v>
      </c>
      <c r="J49" t="n">
        <v>0</v>
      </c>
      <c r="K49" t="n">
        <v>1</v>
      </c>
      <c r="L49" t="n">
        <v>0</v>
      </c>
      <c r="M49" t="n">
        <v>0</v>
      </c>
      <c r="N49" t="n">
        <v>0</v>
      </c>
      <c r="O49" t="n">
        <v>1</v>
      </c>
      <c r="P49" t="n">
        <v>1</v>
      </c>
      <c r="Q49" t="n">
        <v>1</v>
      </c>
      <c r="R49" s="2" t="inlineStr">
        <is>
          <t>Knärot</t>
        </is>
      </c>
      <c r="S49">
        <f>HYPERLINK("https://klasma.github.io/Logging_1981/artfynd/A 15988-2022 artfynd.xlsx", "A 15988-2022")</f>
        <v/>
      </c>
      <c r="T49">
        <f>HYPERLINK("https://klasma.github.io/Logging_1981/kartor/A 15988-2022 karta.png", "A 15988-2022")</f>
        <v/>
      </c>
      <c r="U49">
        <f>HYPERLINK("https://klasma.github.io/Logging_1981/knärot/A 15988-2022 karta knärot.png", "A 15988-2022")</f>
        <v/>
      </c>
      <c r="V49">
        <f>HYPERLINK("https://klasma.github.io/Logging_1981/klagomål/A 15988-2022 FSC-klagomål.docx", "A 15988-2022")</f>
        <v/>
      </c>
      <c r="W49">
        <f>HYPERLINK("https://klasma.github.io/Logging_1981/klagomålsmail/A 15988-2022 FSC-klagomål mail.docx", "A 15988-2022")</f>
        <v/>
      </c>
      <c r="X49">
        <f>HYPERLINK("https://klasma.github.io/Logging_1981/tillsyn/A 15988-2022 tillsynsbegäran.docx", "A 15988-2022")</f>
        <v/>
      </c>
      <c r="Y49">
        <f>HYPERLINK("https://klasma.github.io/Logging_1981/tillsynsmail/A 15988-2022 tillsynsbegäran mail.docx", "A 15988-2022")</f>
        <v/>
      </c>
    </row>
    <row r="50" ht="15" customHeight="1">
      <c r="A50" t="inlineStr">
        <is>
          <t>A 29985-2022</t>
        </is>
      </c>
      <c r="B50" s="1" t="n">
        <v>44756</v>
      </c>
      <c r="C50" s="1" t="n">
        <v>45353</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43705-2022</t>
        </is>
      </c>
      <c r="B51" s="1" t="n">
        <v>44837</v>
      </c>
      <c r="C51" s="1" t="n">
        <v>45353</v>
      </c>
      <c r="D51" t="inlineStr">
        <is>
          <t>VÄSTMANLANDS LÄN</t>
        </is>
      </c>
      <c r="E51" t="inlineStr">
        <is>
          <t>SALA</t>
        </is>
      </c>
      <c r="G51" t="n">
        <v>2.9</v>
      </c>
      <c r="H51" t="n">
        <v>1</v>
      </c>
      <c r="I51" t="n">
        <v>0</v>
      </c>
      <c r="J51" t="n">
        <v>0</v>
      </c>
      <c r="K51" t="n">
        <v>1</v>
      </c>
      <c r="L51" t="n">
        <v>0</v>
      </c>
      <c r="M51" t="n">
        <v>0</v>
      </c>
      <c r="N51" t="n">
        <v>0</v>
      </c>
      <c r="O51" t="n">
        <v>1</v>
      </c>
      <c r="P51" t="n">
        <v>1</v>
      </c>
      <c r="Q51" t="n">
        <v>1</v>
      </c>
      <c r="R51" s="2" t="inlineStr">
        <is>
          <t>Knärot</t>
        </is>
      </c>
      <c r="S51">
        <f>HYPERLINK("https://klasma.github.io/Logging_1981/artfynd/A 43705-2022 artfynd.xlsx", "A 43705-2022")</f>
        <v/>
      </c>
      <c r="T51">
        <f>HYPERLINK("https://klasma.github.io/Logging_1981/kartor/A 43705-2022 karta.png", "A 43705-2022")</f>
        <v/>
      </c>
      <c r="U51">
        <f>HYPERLINK("https://klasma.github.io/Logging_1981/knärot/A 43705-2022 karta knärot.png", "A 43705-2022")</f>
        <v/>
      </c>
      <c r="V51">
        <f>HYPERLINK("https://klasma.github.io/Logging_1981/klagomål/A 43705-2022 FSC-klagomål.docx", "A 43705-2022")</f>
        <v/>
      </c>
      <c r="W51">
        <f>HYPERLINK("https://klasma.github.io/Logging_1981/klagomålsmail/A 43705-2022 FSC-klagomål mail.docx", "A 43705-2022")</f>
        <v/>
      </c>
      <c r="X51">
        <f>HYPERLINK("https://klasma.github.io/Logging_1981/tillsyn/A 43705-2022 tillsynsbegäran.docx", "A 43705-2022")</f>
        <v/>
      </c>
      <c r="Y51">
        <f>HYPERLINK("https://klasma.github.io/Logging_1981/tillsynsmail/A 43705-2022 tillsynsbegäran mail.docx", "A 43705-2022")</f>
        <v/>
      </c>
    </row>
    <row r="52" ht="15" customHeight="1">
      <c r="A52" t="inlineStr">
        <is>
          <t>A 56704-2022</t>
        </is>
      </c>
      <c r="B52" s="1" t="n">
        <v>44893</v>
      </c>
      <c r="C52" s="1" t="n">
        <v>45353</v>
      </c>
      <c r="D52" t="inlineStr">
        <is>
          <t>VÄSTMANLANDS LÄN</t>
        </is>
      </c>
      <c r="E52" t="inlineStr">
        <is>
          <t>SALA</t>
        </is>
      </c>
      <c r="G52" t="n">
        <v>3.2</v>
      </c>
      <c r="H52" t="n">
        <v>1</v>
      </c>
      <c r="I52" t="n">
        <v>0</v>
      </c>
      <c r="J52" t="n">
        <v>0</v>
      </c>
      <c r="K52" t="n">
        <v>1</v>
      </c>
      <c r="L52" t="n">
        <v>0</v>
      </c>
      <c r="M52" t="n">
        <v>0</v>
      </c>
      <c r="N52" t="n">
        <v>0</v>
      </c>
      <c r="O52" t="n">
        <v>1</v>
      </c>
      <c r="P52" t="n">
        <v>1</v>
      </c>
      <c r="Q52" t="n">
        <v>1</v>
      </c>
      <c r="R52" s="2" t="inlineStr">
        <is>
          <t>Knärot</t>
        </is>
      </c>
      <c r="S52">
        <f>HYPERLINK("https://klasma.github.io/Logging_1981/artfynd/A 56704-2022 artfynd.xlsx", "A 56704-2022")</f>
        <v/>
      </c>
      <c r="T52">
        <f>HYPERLINK("https://klasma.github.io/Logging_1981/kartor/A 56704-2022 karta.png", "A 56704-2022")</f>
        <v/>
      </c>
      <c r="U52">
        <f>HYPERLINK("https://klasma.github.io/Logging_1981/knärot/A 56704-2022 karta knärot.png", "A 56704-2022")</f>
        <v/>
      </c>
      <c r="V52">
        <f>HYPERLINK("https://klasma.github.io/Logging_1981/klagomål/A 56704-2022 FSC-klagomål.docx", "A 56704-2022")</f>
        <v/>
      </c>
      <c r="W52">
        <f>HYPERLINK("https://klasma.github.io/Logging_1981/klagomålsmail/A 56704-2022 FSC-klagomål mail.docx", "A 56704-2022")</f>
        <v/>
      </c>
      <c r="X52">
        <f>HYPERLINK("https://klasma.github.io/Logging_1981/tillsyn/A 56704-2022 tillsynsbegäran.docx", "A 56704-2022")</f>
        <v/>
      </c>
      <c r="Y52">
        <f>HYPERLINK("https://klasma.github.io/Logging_1981/tillsynsmail/A 56704-2022 tillsynsbegäran mail.docx", "A 56704-2022")</f>
        <v/>
      </c>
    </row>
    <row r="53" ht="15" customHeight="1">
      <c r="A53" t="inlineStr">
        <is>
          <t>A 7731-2023</t>
        </is>
      </c>
      <c r="B53" s="1" t="n">
        <v>44973</v>
      </c>
      <c r="C53" s="1" t="n">
        <v>45353</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14775-2023</t>
        </is>
      </c>
      <c r="B54" s="1" t="n">
        <v>45014</v>
      </c>
      <c r="C54" s="1" t="n">
        <v>45353</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23221-2023</t>
        </is>
      </c>
      <c r="B55" s="1" t="n">
        <v>45075</v>
      </c>
      <c r="C55" s="1" t="n">
        <v>45353</v>
      </c>
      <c r="D55" t="inlineStr">
        <is>
          <t>VÄSTMANLANDS LÄN</t>
        </is>
      </c>
      <c r="E55" t="inlineStr">
        <is>
          <t>SALA</t>
        </is>
      </c>
      <c r="G55" t="n">
        <v>26.3</v>
      </c>
      <c r="H55" t="n">
        <v>0</v>
      </c>
      <c r="I55" t="n">
        <v>1</v>
      </c>
      <c r="J55" t="n">
        <v>0</v>
      </c>
      <c r="K55" t="n">
        <v>0</v>
      </c>
      <c r="L55" t="n">
        <v>0</v>
      </c>
      <c r="M55" t="n">
        <v>0</v>
      </c>
      <c r="N55" t="n">
        <v>0</v>
      </c>
      <c r="O55" t="n">
        <v>0</v>
      </c>
      <c r="P55" t="n">
        <v>0</v>
      </c>
      <c r="Q55" t="n">
        <v>1</v>
      </c>
      <c r="R55" s="2" t="inlineStr">
        <is>
          <t>Blomkålssvamp</t>
        </is>
      </c>
      <c r="S55">
        <f>HYPERLINK("https://klasma.github.io/Logging_1981/artfynd/A 23221-2023 artfynd.xlsx", "A 23221-2023")</f>
        <v/>
      </c>
      <c r="T55">
        <f>HYPERLINK("https://klasma.github.io/Logging_1981/kartor/A 23221-2023 karta.png", "A 23221-2023")</f>
        <v/>
      </c>
      <c r="V55">
        <f>HYPERLINK("https://klasma.github.io/Logging_1981/klagomål/A 23221-2023 FSC-klagomål.docx", "A 23221-2023")</f>
        <v/>
      </c>
      <c r="W55">
        <f>HYPERLINK("https://klasma.github.io/Logging_1981/klagomålsmail/A 23221-2023 FSC-klagomål mail.docx", "A 23221-2023")</f>
        <v/>
      </c>
      <c r="X55">
        <f>HYPERLINK("https://klasma.github.io/Logging_1981/tillsyn/A 23221-2023 tillsynsbegäran.docx", "A 23221-2023")</f>
        <v/>
      </c>
      <c r="Y55">
        <f>HYPERLINK("https://klasma.github.io/Logging_1981/tillsynsmail/A 23221-2023 tillsynsbegäran mail.docx", "A 23221-2023")</f>
        <v/>
      </c>
    </row>
    <row r="56" ht="15" customHeight="1">
      <c r="A56" t="inlineStr">
        <is>
          <t>A 31535-2023</t>
        </is>
      </c>
      <c r="B56" s="1" t="n">
        <v>45116</v>
      </c>
      <c r="C56" s="1" t="n">
        <v>45353</v>
      </c>
      <c r="D56" t="inlineStr">
        <is>
          <t>VÄSTMANLANDS LÄN</t>
        </is>
      </c>
      <c r="E56" t="inlineStr">
        <is>
          <t>SALA</t>
        </is>
      </c>
      <c r="G56" t="n">
        <v>0.9</v>
      </c>
      <c r="H56" t="n">
        <v>0</v>
      </c>
      <c r="I56" t="n">
        <v>0</v>
      </c>
      <c r="J56" t="n">
        <v>1</v>
      </c>
      <c r="K56" t="n">
        <v>0</v>
      </c>
      <c r="L56" t="n">
        <v>0</v>
      </c>
      <c r="M56" t="n">
        <v>0</v>
      </c>
      <c r="N56" t="n">
        <v>0</v>
      </c>
      <c r="O56" t="n">
        <v>1</v>
      </c>
      <c r="P56" t="n">
        <v>0</v>
      </c>
      <c r="Q56" t="n">
        <v>1</v>
      </c>
      <c r="R56" s="2" t="inlineStr">
        <is>
          <t>Orange taggsvamp</t>
        </is>
      </c>
      <c r="S56">
        <f>HYPERLINK("https://klasma.github.io/Logging_1981/artfynd/A 31535-2023 artfynd.xlsx", "A 31535-2023")</f>
        <v/>
      </c>
      <c r="T56">
        <f>HYPERLINK("https://klasma.github.io/Logging_1981/kartor/A 31535-2023 karta.png", "A 31535-2023")</f>
        <v/>
      </c>
      <c r="V56">
        <f>HYPERLINK("https://klasma.github.io/Logging_1981/klagomål/A 31535-2023 FSC-klagomål.docx", "A 31535-2023")</f>
        <v/>
      </c>
      <c r="W56">
        <f>HYPERLINK("https://klasma.github.io/Logging_1981/klagomålsmail/A 31535-2023 FSC-klagomål mail.docx", "A 31535-2023")</f>
        <v/>
      </c>
      <c r="X56">
        <f>HYPERLINK("https://klasma.github.io/Logging_1981/tillsyn/A 31535-2023 tillsynsbegäran.docx", "A 31535-2023")</f>
        <v/>
      </c>
      <c r="Y56">
        <f>HYPERLINK("https://klasma.github.io/Logging_1981/tillsynsmail/A 31535-2023 tillsynsbegäran mail.docx", "A 31535-2023")</f>
        <v/>
      </c>
    </row>
    <row r="57" ht="15" customHeight="1">
      <c r="A57" t="inlineStr">
        <is>
          <t>A 43175-2023</t>
        </is>
      </c>
      <c r="B57" s="1" t="n">
        <v>45183</v>
      </c>
      <c r="C57" s="1" t="n">
        <v>45353</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3534-2024</t>
        </is>
      </c>
      <c r="B58" s="1" t="n">
        <v>45320</v>
      </c>
      <c r="C58" s="1" t="n">
        <v>45353</v>
      </c>
      <c r="D58" t="inlineStr">
        <is>
          <t>VÄSTMANLANDS LÄN</t>
        </is>
      </c>
      <c r="E58" t="inlineStr">
        <is>
          <t>SALA</t>
        </is>
      </c>
      <c r="G58" t="n">
        <v>1.9</v>
      </c>
      <c r="H58" t="n">
        <v>1</v>
      </c>
      <c r="I58" t="n">
        <v>0</v>
      </c>
      <c r="J58" t="n">
        <v>0</v>
      </c>
      <c r="K58" t="n">
        <v>0</v>
      </c>
      <c r="L58" t="n">
        <v>1</v>
      </c>
      <c r="M58" t="n">
        <v>0</v>
      </c>
      <c r="N58" t="n">
        <v>0</v>
      </c>
      <c r="O58" t="n">
        <v>1</v>
      </c>
      <c r="P58" t="n">
        <v>1</v>
      </c>
      <c r="Q58" t="n">
        <v>1</v>
      </c>
      <c r="R58" s="2" t="inlineStr">
        <is>
          <t>Mosippa</t>
        </is>
      </c>
      <c r="S58">
        <f>HYPERLINK("https://klasma.github.io/Logging_1981/artfynd/A 3534-2024 artfynd.xlsx", "A 3534-2024")</f>
        <v/>
      </c>
      <c r="T58">
        <f>HYPERLINK("https://klasma.github.io/Logging_1981/kartor/A 3534-2024 karta.png", "A 3534-2024")</f>
        <v/>
      </c>
      <c r="V58">
        <f>HYPERLINK("https://klasma.github.io/Logging_1981/klagomål/A 3534-2024 FSC-klagomål.docx", "A 3534-2024")</f>
        <v/>
      </c>
      <c r="W58">
        <f>HYPERLINK("https://klasma.github.io/Logging_1981/klagomålsmail/A 3534-2024 FSC-klagomål mail.docx", "A 3534-2024")</f>
        <v/>
      </c>
      <c r="X58">
        <f>HYPERLINK("https://klasma.github.io/Logging_1981/tillsyn/A 3534-2024 tillsynsbegäran.docx", "A 3534-2024")</f>
        <v/>
      </c>
      <c r="Y58">
        <f>HYPERLINK("https://klasma.github.io/Logging_1981/tillsynsmail/A 3534-2024 tillsynsbegäran mail.docx", "A 3534-2024")</f>
        <v/>
      </c>
    </row>
    <row r="59" ht="15" customHeight="1">
      <c r="A59" t="inlineStr">
        <is>
          <t>A 37744-2018</t>
        </is>
      </c>
      <c r="B59" s="1" t="n">
        <v>43334</v>
      </c>
      <c r="C59" s="1" t="n">
        <v>45353</v>
      </c>
      <c r="D59" t="inlineStr">
        <is>
          <t>VÄSTMANLANDS LÄN</t>
        </is>
      </c>
      <c r="E59" t="inlineStr">
        <is>
          <t>SALA</t>
        </is>
      </c>
      <c r="G59" t="n">
        <v>2.6</v>
      </c>
      <c r="H59" t="n">
        <v>0</v>
      </c>
      <c r="I59" t="n">
        <v>0</v>
      </c>
      <c r="J59" t="n">
        <v>0</v>
      </c>
      <c r="K59" t="n">
        <v>0</v>
      </c>
      <c r="L59" t="n">
        <v>0</v>
      </c>
      <c r="M59" t="n">
        <v>0</v>
      </c>
      <c r="N59" t="n">
        <v>0</v>
      </c>
      <c r="O59" t="n">
        <v>0</v>
      </c>
      <c r="P59" t="n">
        <v>0</v>
      </c>
      <c r="Q59" t="n">
        <v>0</v>
      </c>
      <c r="R59" s="2" t="inlineStr"/>
    </row>
    <row r="60" ht="15" customHeight="1">
      <c r="A60" t="inlineStr">
        <is>
          <t>A 44601-2018</t>
        </is>
      </c>
      <c r="B60" s="1" t="n">
        <v>43361</v>
      </c>
      <c r="C60" s="1" t="n">
        <v>45353</v>
      </c>
      <c r="D60" t="inlineStr">
        <is>
          <t>VÄSTMANLANDS LÄN</t>
        </is>
      </c>
      <c r="E60" t="inlineStr">
        <is>
          <t>SALA</t>
        </is>
      </c>
      <c r="F60" t="inlineStr">
        <is>
          <t>Kommuner</t>
        </is>
      </c>
      <c r="G60" t="n">
        <v>0.6</v>
      </c>
      <c r="H60" t="n">
        <v>0</v>
      </c>
      <c r="I60" t="n">
        <v>0</v>
      </c>
      <c r="J60" t="n">
        <v>0</v>
      </c>
      <c r="K60" t="n">
        <v>0</v>
      </c>
      <c r="L60" t="n">
        <v>0</v>
      </c>
      <c r="M60" t="n">
        <v>0</v>
      </c>
      <c r="N60" t="n">
        <v>0</v>
      </c>
      <c r="O60" t="n">
        <v>0</v>
      </c>
      <c r="P60" t="n">
        <v>0</v>
      </c>
      <c r="Q60" t="n">
        <v>0</v>
      </c>
      <c r="R60" s="2" t="inlineStr"/>
    </row>
    <row r="61" ht="15" customHeight="1">
      <c r="A61" t="inlineStr">
        <is>
          <t>A 45765-2018</t>
        </is>
      </c>
      <c r="B61" s="1" t="n">
        <v>43362</v>
      </c>
      <c r="C61" s="1" t="n">
        <v>45353</v>
      </c>
      <c r="D61" t="inlineStr">
        <is>
          <t>VÄSTMANLANDS LÄN</t>
        </is>
      </c>
      <c r="E61" t="inlineStr">
        <is>
          <t>SALA</t>
        </is>
      </c>
      <c r="G61" t="n">
        <v>1.1</v>
      </c>
      <c r="H61" t="n">
        <v>0</v>
      </c>
      <c r="I61" t="n">
        <v>0</v>
      </c>
      <c r="J61" t="n">
        <v>0</v>
      </c>
      <c r="K61" t="n">
        <v>0</v>
      </c>
      <c r="L61" t="n">
        <v>0</v>
      </c>
      <c r="M61" t="n">
        <v>0</v>
      </c>
      <c r="N61" t="n">
        <v>0</v>
      </c>
      <c r="O61" t="n">
        <v>0</v>
      </c>
      <c r="P61" t="n">
        <v>0</v>
      </c>
      <c r="Q61" t="n">
        <v>0</v>
      </c>
      <c r="R61" s="2" t="inlineStr"/>
    </row>
    <row r="62" ht="15" customHeight="1">
      <c r="A62" t="inlineStr">
        <is>
          <t>A 45177-2018</t>
        </is>
      </c>
      <c r="B62" s="1" t="n">
        <v>43362</v>
      </c>
      <c r="C62" s="1" t="n">
        <v>45353</v>
      </c>
      <c r="D62" t="inlineStr">
        <is>
          <t>VÄSTMANLANDS LÄN</t>
        </is>
      </c>
      <c r="E62" t="inlineStr">
        <is>
          <t>SALA</t>
        </is>
      </c>
      <c r="G62" t="n">
        <v>1.9</v>
      </c>
      <c r="H62" t="n">
        <v>0</v>
      </c>
      <c r="I62" t="n">
        <v>0</v>
      </c>
      <c r="J62" t="n">
        <v>0</v>
      </c>
      <c r="K62" t="n">
        <v>0</v>
      </c>
      <c r="L62" t="n">
        <v>0</v>
      </c>
      <c r="M62" t="n">
        <v>0</v>
      </c>
      <c r="N62" t="n">
        <v>0</v>
      </c>
      <c r="O62" t="n">
        <v>0</v>
      </c>
      <c r="P62" t="n">
        <v>0</v>
      </c>
      <c r="Q62" t="n">
        <v>0</v>
      </c>
      <c r="R62" s="2" t="inlineStr"/>
    </row>
    <row r="63" ht="15" customHeight="1">
      <c r="A63" t="inlineStr">
        <is>
          <t>A 49631-2018</t>
        </is>
      </c>
      <c r="B63" s="1" t="n">
        <v>43377</v>
      </c>
      <c r="C63" s="1" t="n">
        <v>45353</v>
      </c>
      <c r="D63" t="inlineStr">
        <is>
          <t>VÄSTMANLANDS LÄN</t>
        </is>
      </c>
      <c r="E63" t="inlineStr">
        <is>
          <t>SALA</t>
        </is>
      </c>
      <c r="F63" t="inlineStr">
        <is>
          <t>Sveaskog</t>
        </is>
      </c>
      <c r="G63" t="n">
        <v>3.3</v>
      </c>
      <c r="H63" t="n">
        <v>0</v>
      </c>
      <c r="I63" t="n">
        <v>0</v>
      </c>
      <c r="J63" t="n">
        <v>0</v>
      </c>
      <c r="K63" t="n">
        <v>0</v>
      </c>
      <c r="L63" t="n">
        <v>0</v>
      </c>
      <c r="M63" t="n">
        <v>0</v>
      </c>
      <c r="N63" t="n">
        <v>0</v>
      </c>
      <c r="O63" t="n">
        <v>0</v>
      </c>
      <c r="P63" t="n">
        <v>0</v>
      </c>
      <c r="Q63" t="n">
        <v>0</v>
      </c>
      <c r="R63" s="2" t="inlineStr"/>
    </row>
    <row r="64" ht="15" customHeight="1">
      <c r="A64" t="inlineStr">
        <is>
          <t>A 58796-2018</t>
        </is>
      </c>
      <c r="B64" s="1" t="n">
        <v>43410</v>
      </c>
      <c r="C64" s="1" t="n">
        <v>45353</v>
      </c>
      <c r="D64" t="inlineStr">
        <is>
          <t>VÄSTMANLANDS LÄN</t>
        </is>
      </c>
      <c r="E64" t="inlineStr">
        <is>
          <t>SALA</t>
        </is>
      </c>
      <c r="G64" t="n">
        <v>1.6</v>
      </c>
      <c r="H64" t="n">
        <v>0</v>
      </c>
      <c r="I64" t="n">
        <v>0</v>
      </c>
      <c r="J64" t="n">
        <v>0</v>
      </c>
      <c r="K64" t="n">
        <v>0</v>
      </c>
      <c r="L64" t="n">
        <v>0</v>
      </c>
      <c r="M64" t="n">
        <v>0</v>
      </c>
      <c r="N64" t="n">
        <v>0</v>
      </c>
      <c r="O64" t="n">
        <v>0</v>
      </c>
      <c r="P64" t="n">
        <v>0</v>
      </c>
      <c r="Q64" t="n">
        <v>0</v>
      </c>
      <c r="R64" s="2" t="inlineStr"/>
    </row>
    <row r="65" ht="15" customHeight="1">
      <c r="A65" t="inlineStr">
        <is>
          <t>A 65262-2018</t>
        </is>
      </c>
      <c r="B65" s="1" t="n">
        <v>43423</v>
      </c>
      <c r="C65" s="1" t="n">
        <v>45353</v>
      </c>
      <c r="D65" t="inlineStr">
        <is>
          <t>VÄSTMANLANDS LÄN</t>
        </is>
      </c>
      <c r="E65" t="inlineStr">
        <is>
          <t>SALA</t>
        </is>
      </c>
      <c r="G65" t="n">
        <v>1</v>
      </c>
      <c r="H65" t="n">
        <v>0</v>
      </c>
      <c r="I65" t="n">
        <v>0</v>
      </c>
      <c r="J65" t="n">
        <v>0</v>
      </c>
      <c r="K65" t="n">
        <v>0</v>
      </c>
      <c r="L65" t="n">
        <v>0</v>
      </c>
      <c r="M65" t="n">
        <v>0</v>
      </c>
      <c r="N65" t="n">
        <v>0</v>
      </c>
      <c r="O65" t="n">
        <v>0</v>
      </c>
      <c r="P65" t="n">
        <v>0</v>
      </c>
      <c r="Q65" t="n">
        <v>0</v>
      </c>
      <c r="R65" s="2" t="inlineStr"/>
    </row>
    <row r="66" ht="15" customHeight="1">
      <c r="A66" t="inlineStr">
        <is>
          <t>A 61201-2018</t>
        </is>
      </c>
      <c r="B66" s="1" t="n">
        <v>43423</v>
      </c>
      <c r="C66" s="1" t="n">
        <v>45353</v>
      </c>
      <c r="D66" t="inlineStr">
        <is>
          <t>VÄSTMANLANDS LÄN</t>
        </is>
      </c>
      <c r="E66" t="inlineStr">
        <is>
          <t>SALA</t>
        </is>
      </c>
      <c r="G66" t="n">
        <v>3.8</v>
      </c>
      <c r="H66" t="n">
        <v>0</v>
      </c>
      <c r="I66" t="n">
        <v>0</v>
      </c>
      <c r="J66" t="n">
        <v>0</v>
      </c>
      <c r="K66" t="n">
        <v>0</v>
      </c>
      <c r="L66" t="n">
        <v>0</v>
      </c>
      <c r="M66" t="n">
        <v>0</v>
      </c>
      <c r="N66" t="n">
        <v>0</v>
      </c>
      <c r="O66" t="n">
        <v>0</v>
      </c>
      <c r="P66" t="n">
        <v>0</v>
      </c>
      <c r="Q66" t="n">
        <v>0</v>
      </c>
      <c r="R66" s="2" t="inlineStr"/>
    </row>
    <row r="67" ht="15" customHeight="1">
      <c r="A67" t="inlineStr">
        <is>
          <t>A 65272-2018</t>
        </is>
      </c>
      <c r="B67" s="1" t="n">
        <v>43423</v>
      </c>
      <c r="C67" s="1" t="n">
        <v>45353</v>
      </c>
      <c r="D67" t="inlineStr">
        <is>
          <t>VÄSTMANLANDS LÄN</t>
        </is>
      </c>
      <c r="E67" t="inlineStr">
        <is>
          <t>SALA</t>
        </is>
      </c>
      <c r="G67" t="n">
        <v>1.6</v>
      </c>
      <c r="H67" t="n">
        <v>0</v>
      </c>
      <c r="I67" t="n">
        <v>0</v>
      </c>
      <c r="J67" t="n">
        <v>0</v>
      </c>
      <c r="K67" t="n">
        <v>0</v>
      </c>
      <c r="L67" t="n">
        <v>0</v>
      </c>
      <c r="M67" t="n">
        <v>0</v>
      </c>
      <c r="N67" t="n">
        <v>0</v>
      </c>
      <c r="O67" t="n">
        <v>0</v>
      </c>
      <c r="P67" t="n">
        <v>0</v>
      </c>
      <c r="Q67" t="n">
        <v>0</v>
      </c>
      <c r="R67" s="2" t="inlineStr"/>
    </row>
    <row r="68" ht="15" customHeight="1">
      <c r="A68" t="inlineStr">
        <is>
          <t>A 61582-2018</t>
        </is>
      </c>
      <c r="B68" s="1" t="n">
        <v>43424</v>
      </c>
      <c r="C68" s="1" t="n">
        <v>45353</v>
      </c>
      <c r="D68" t="inlineStr">
        <is>
          <t>VÄSTMANLANDS LÄN</t>
        </is>
      </c>
      <c r="E68" t="inlineStr">
        <is>
          <t>SALA</t>
        </is>
      </c>
      <c r="F68" t="inlineStr">
        <is>
          <t>Kyrkan</t>
        </is>
      </c>
      <c r="G68" t="n">
        <v>7</v>
      </c>
      <c r="H68" t="n">
        <v>0</v>
      </c>
      <c r="I68" t="n">
        <v>0</v>
      </c>
      <c r="J68" t="n">
        <v>0</v>
      </c>
      <c r="K68" t="n">
        <v>0</v>
      </c>
      <c r="L68" t="n">
        <v>0</v>
      </c>
      <c r="M68" t="n">
        <v>0</v>
      </c>
      <c r="N68" t="n">
        <v>0</v>
      </c>
      <c r="O68" t="n">
        <v>0</v>
      </c>
      <c r="P68" t="n">
        <v>0</v>
      </c>
      <c r="Q68" t="n">
        <v>0</v>
      </c>
      <c r="R68" s="2" t="inlineStr"/>
    </row>
    <row r="69" ht="15" customHeight="1">
      <c r="A69" t="inlineStr">
        <is>
          <t>A 64392-2018</t>
        </is>
      </c>
      <c r="B69" s="1" t="n">
        <v>43430</v>
      </c>
      <c r="C69" s="1" t="n">
        <v>45353</v>
      </c>
      <c r="D69" t="inlineStr">
        <is>
          <t>VÄSTMANLANDS LÄN</t>
        </is>
      </c>
      <c r="E69" t="inlineStr">
        <is>
          <t>SALA</t>
        </is>
      </c>
      <c r="G69" t="n">
        <v>0.6</v>
      </c>
      <c r="H69" t="n">
        <v>0</v>
      </c>
      <c r="I69" t="n">
        <v>0</v>
      </c>
      <c r="J69" t="n">
        <v>0</v>
      </c>
      <c r="K69" t="n">
        <v>0</v>
      </c>
      <c r="L69" t="n">
        <v>0</v>
      </c>
      <c r="M69" t="n">
        <v>0</v>
      </c>
      <c r="N69" t="n">
        <v>0</v>
      </c>
      <c r="O69" t="n">
        <v>0</v>
      </c>
      <c r="P69" t="n">
        <v>0</v>
      </c>
      <c r="Q69" t="n">
        <v>0</v>
      </c>
      <c r="R69" s="2" t="inlineStr"/>
    </row>
    <row r="70" ht="15" customHeight="1">
      <c r="A70" t="inlineStr">
        <is>
          <t>A 64900-2018</t>
        </is>
      </c>
      <c r="B70" s="1" t="n">
        <v>43431</v>
      </c>
      <c r="C70" s="1" t="n">
        <v>45353</v>
      </c>
      <c r="D70" t="inlineStr">
        <is>
          <t>VÄSTMANLANDS LÄN</t>
        </is>
      </c>
      <c r="E70" t="inlineStr">
        <is>
          <t>SALA</t>
        </is>
      </c>
      <c r="G70" t="n">
        <v>1</v>
      </c>
      <c r="H70" t="n">
        <v>0</v>
      </c>
      <c r="I70" t="n">
        <v>0</v>
      </c>
      <c r="J70" t="n">
        <v>0</v>
      </c>
      <c r="K70" t="n">
        <v>0</v>
      </c>
      <c r="L70" t="n">
        <v>0</v>
      </c>
      <c r="M70" t="n">
        <v>0</v>
      </c>
      <c r="N70" t="n">
        <v>0</v>
      </c>
      <c r="O70" t="n">
        <v>0</v>
      </c>
      <c r="P70" t="n">
        <v>0</v>
      </c>
      <c r="Q70" t="n">
        <v>0</v>
      </c>
      <c r="R70" s="2" t="inlineStr"/>
    </row>
    <row r="71" ht="15" customHeight="1">
      <c r="A71" t="inlineStr">
        <is>
          <t>A 65286-2018</t>
        </is>
      </c>
      <c r="B71" s="1" t="n">
        <v>43432</v>
      </c>
      <c r="C71" s="1" t="n">
        <v>45353</v>
      </c>
      <c r="D71" t="inlineStr">
        <is>
          <t>VÄSTMANLANDS LÄN</t>
        </is>
      </c>
      <c r="E71" t="inlineStr">
        <is>
          <t>SALA</t>
        </is>
      </c>
      <c r="G71" t="n">
        <v>1.3</v>
      </c>
      <c r="H71" t="n">
        <v>0</v>
      </c>
      <c r="I71" t="n">
        <v>0</v>
      </c>
      <c r="J71" t="n">
        <v>0</v>
      </c>
      <c r="K71" t="n">
        <v>0</v>
      </c>
      <c r="L71" t="n">
        <v>0</v>
      </c>
      <c r="M71" t="n">
        <v>0</v>
      </c>
      <c r="N71" t="n">
        <v>0</v>
      </c>
      <c r="O71" t="n">
        <v>0</v>
      </c>
      <c r="P71" t="n">
        <v>0</v>
      </c>
      <c r="Q71" t="n">
        <v>0</v>
      </c>
      <c r="R71" s="2" t="inlineStr"/>
    </row>
    <row r="72" ht="15" customHeight="1">
      <c r="A72" t="inlineStr">
        <is>
          <t>A 68421-2018</t>
        </is>
      </c>
      <c r="B72" s="1" t="n">
        <v>43438</v>
      </c>
      <c r="C72" s="1" t="n">
        <v>45353</v>
      </c>
      <c r="D72" t="inlineStr">
        <is>
          <t>VÄSTMANLANDS LÄN</t>
        </is>
      </c>
      <c r="E72" t="inlineStr">
        <is>
          <t>SALA</t>
        </is>
      </c>
      <c r="G72" t="n">
        <v>3.3</v>
      </c>
      <c r="H72" t="n">
        <v>0</v>
      </c>
      <c r="I72" t="n">
        <v>0</v>
      </c>
      <c r="J72" t="n">
        <v>0</v>
      </c>
      <c r="K72" t="n">
        <v>0</v>
      </c>
      <c r="L72" t="n">
        <v>0</v>
      </c>
      <c r="M72" t="n">
        <v>0</v>
      </c>
      <c r="N72" t="n">
        <v>0</v>
      </c>
      <c r="O72" t="n">
        <v>0</v>
      </c>
      <c r="P72" t="n">
        <v>0</v>
      </c>
      <c r="Q72" t="n">
        <v>0</v>
      </c>
      <c r="R72" s="2" t="inlineStr"/>
    </row>
    <row r="73" ht="15" customHeight="1">
      <c r="A73" t="inlineStr">
        <is>
          <t>A 67544-2018</t>
        </is>
      </c>
      <c r="B73" s="1" t="n">
        <v>43439</v>
      </c>
      <c r="C73" s="1" t="n">
        <v>45353</v>
      </c>
      <c r="D73" t="inlineStr">
        <is>
          <t>VÄSTMANLANDS LÄN</t>
        </is>
      </c>
      <c r="E73" t="inlineStr">
        <is>
          <t>SALA</t>
        </is>
      </c>
      <c r="G73" t="n">
        <v>8</v>
      </c>
      <c r="H73" t="n">
        <v>0</v>
      </c>
      <c r="I73" t="n">
        <v>0</v>
      </c>
      <c r="J73" t="n">
        <v>0</v>
      </c>
      <c r="K73" t="n">
        <v>0</v>
      </c>
      <c r="L73" t="n">
        <v>0</v>
      </c>
      <c r="M73" t="n">
        <v>0</v>
      </c>
      <c r="N73" t="n">
        <v>0</v>
      </c>
      <c r="O73" t="n">
        <v>0</v>
      </c>
      <c r="P73" t="n">
        <v>0</v>
      </c>
      <c r="Q73" t="n">
        <v>0</v>
      </c>
      <c r="R73" s="2" t="inlineStr"/>
    </row>
    <row r="74" ht="15" customHeight="1">
      <c r="A74" t="inlineStr">
        <is>
          <t>A 69032-2018</t>
        </is>
      </c>
      <c r="B74" s="1" t="n">
        <v>43445</v>
      </c>
      <c r="C74" s="1" t="n">
        <v>45353</v>
      </c>
      <c r="D74" t="inlineStr">
        <is>
          <t>VÄSTMANLANDS LÄN</t>
        </is>
      </c>
      <c r="E74" t="inlineStr">
        <is>
          <t>SALA</t>
        </is>
      </c>
      <c r="G74" t="n">
        <v>0.6</v>
      </c>
      <c r="H74" t="n">
        <v>0</v>
      </c>
      <c r="I74" t="n">
        <v>0</v>
      </c>
      <c r="J74" t="n">
        <v>0</v>
      </c>
      <c r="K74" t="n">
        <v>0</v>
      </c>
      <c r="L74" t="n">
        <v>0</v>
      </c>
      <c r="M74" t="n">
        <v>0</v>
      </c>
      <c r="N74" t="n">
        <v>0</v>
      </c>
      <c r="O74" t="n">
        <v>0</v>
      </c>
      <c r="P74" t="n">
        <v>0</v>
      </c>
      <c r="Q74" t="n">
        <v>0</v>
      </c>
      <c r="R74" s="2" t="inlineStr"/>
    </row>
    <row r="75" ht="15" customHeight="1">
      <c r="A75" t="inlineStr">
        <is>
          <t>A 69576-2018</t>
        </is>
      </c>
      <c r="B75" s="1" t="n">
        <v>43446</v>
      </c>
      <c r="C75" s="1" t="n">
        <v>45353</v>
      </c>
      <c r="D75" t="inlineStr">
        <is>
          <t>VÄSTMANLANDS LÄN</t>
        </is>
      </c>
      <c r="E75" t="inlineStr">
        <is>
          <t>SALA</t>
        </is>
      </c>
      <c r="G75" t="n">
        <v>3.5</v>
      </c>
      <c r="H75" t="n">
        <v>0</v>
      </c>
      <c r="I75" t="n">
        <v>0</v>
      </c>
      <c r="J75" t="n">
        <v>0</v>
      </c>
      <c r="K75" t="n">
        <v>0</v>
      </c>
      <c r="L75" t="n">
        <v>0</v>
      </c>
      <c r="M75" t="n">
        <v>0</v>
      </c>
      <c r="N75" t="n">
        <v>0</v>
      </c>
      <c r="O75" t="n">
        <v>0</v>
      </c>
      <c r="P75" t="n">
        <v>0</v>
      </c>
      <c r="Q75" t="n">
        <v>0</v>
      </c>
      <c r="R75" s="2" t="inlineStr"/>
    </row>
    <row r="76" ht="15" customHeight="1">
      <c r="A76" t="inlineStr">
        <is>
          <t>A 70915-2018</t>
        </is>
      </c>
      <c r="B76" s="1" t="n">
        <v>43447</v>
      </c>
      <c r="C76" s="1" t="n">
        <v>45353</v>
      </c>
      <c r="D76" t="inlineStr">
        <is>
          <t>VÄSTMANLANDS LÄN</t>
        </is>
      </c>
      <c r="E76" t="inlineStr">
        <is>
          <t>SALA</t>
        </is>
      </c>
      <c r="G76" t="n">
        <v>5.9</v>
      </c>
      <c r="H76" t="n">
        <v>0</v>
      </c>
      <c r="I76" t="n">
        <v>0</v>
      </c>
      <c r="J76" t="n">
        <v>0</v>
      </c>
      <c r="K76" t="n">
        <v>0</v>
      </c>
      <c r="L76" t="n">
        <v>0</v>
      </c>
      <c r="M76" t="n">
        <v>0</v>
      </c>
      <c r="N76" t="n">
        <v>0</v>
      </c>
      <c r="O76" t="n">
        <v>0</v>
      </c>
      <c r="P76" t="n">
        <v>0</v>
      </c>
      <c r="Q76" t="n">
        <v>0</v>
      </c>
      <c r="R76" s="2" t="inlineStr"/>
    </row>
    <row r="77" ht="15" customHeight="1">
      <c r="A77" t="inlineStr">
        <is>
          <t>A 69958-2018</t>
        </is>
      </c>
      <c r="B77" s="1" t="n">
        <v>43447</v>
      </c>
      <c r="C77" s="1" t="n">
        <v>45353</v>
      </c>
      <c r="D77" t="inlineStr">
        <is>
          <t>VÄSTMANLANDS LÄN</t>
        </is>
      </c>
      <c r="E77" t="inlineStr">
        <is>
          <t>SALA</t>
        </is>
      </c>
      <c r="G77" t="n">
        <v>4.8</v>
      </c>
      <c r="H77" t="n">
        <v>0</v>
      </c>
      <c r="I77" t="n">
        <v>0</v>
      </c>
      <c r="J77" t="n">
        <v>0</v>
      </c>
      <c r="K77" t="n">
        <v>0</v>
      </c>
      <c r="L77" t="n">
        <v>0</v>
      </c>
      <c r="M77" t="n">
        <v>0</v>
      </c>
      <c r="N77" t="n">
        <v>0</v>
      </c>
      <c r="O77" t="n">
        <v>0</v>
      </c>
      <c r="P77" t="n">
        <v>0</v>
      </c>
      <c r="Q77" t="n">
        <v>0</v>
      </c>
      <c r="R77" s="2" t="inlineStr"/>
    </row>
    <row r="78" ht="15" customHeight="1">
      <c r="A78" t="inlineStr">
        <is>
          <t>A 69959-2018</t>
        </is>
      </c>
      <c r="B78" s="1" t="n">
        <v>43447</v>
      </c>
      <c r="C78" s="1" t="n">
        <v>45353</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71189-2018</t>
        </is>
      </c>
      <c r="B79" s="1" t="n">
        <v>43451</v>
      </c>
      <c r="C79" s="1" t="n">
        <v>45353</v>
      </c>
      <c r="D79" t="inlineStr">
        <is>
          <t>VÄSTMANLANDS LÄN</t>
        </is>
      </c>
      <c r="E79" t="inlineStr">
        <is>
          <t>SALA</t>
        </is>
      </c>
      <c r="G79" t="n">
        <v>0.8</v>
      </c>
      <c r="H79" t="n">
        <v>0</v>
      </c>
      <c r="I79" t="n">
        <v>0</v>
      </c>
      <c r="J79" t="n">
        <v>0</v>
      </c>
      <c r="K79" t="n">
        <v>0</v>
      </c>
      <c r="L79" t="n">
        <v>0</v>
      </c>
      <c r="M79" t="n">
        <v>0</v>
      </c>
      <c r="N79" t="n">
        <v>0</v>
      </c>
      <c r="O79" t="n">
        <v>0</v>
      </c>
      <c r="P79" t="n">
        <v>0</v>
      </c>
      <c r="Q79" t="n">
        <v>0</v>
      </c>
      <c r="R79" s="2" t="inlineStr"/>
    </row>
    <row r="80" ht="15" customHeight="1">
      <c r="A80" t="inlineStr">
        <is>
          <t>A 71377-2018</t>
        </is>
      </c>
      <c r="B80" s="1" t="n">
        <v>43453</v>
      </c>
      <c r="C80" s="1" t="n">
        <v>45353</v>
      </c>
      <c r="D80" t="inlineStr">
        <is>
          <t>VÄSTMANLANDS LÄN</t>
        </is>
      </c>
      <c r="E80" t="inlineStr">
        <is>
          <t>SALA</t>
        </is>
      </c>
      <c r="G80" t="n">
        <v>1.5</v>
      </c>
      <c r="H80" t="n">
        <v>0</v>
      </c>
      <c r="I80" t="n">
        <v>0</v>
      </c>
      <c r="J80" t="n">
        <v>0</v>
      </c>
      <c r="K80" t="n">
        <v>0</v>
      </c>
      <c r="L80" t="n">
        <v>0</v>
      </c>
      <c r="M80" t="n">
        <v>0</v>
      </c>
      <c r="N80" t="n">
        <v>0</v>
      </c>
      <c r="O80" t="n">
        <v>0</v>
      </c>
      <c r="P80" t="n">
        <v>0</v>
      </c>
      <c r="Q80" t="n">
        <v>0</v>
      </c>
      <c r="R80" s="2" t="inlineStr"/>
    </row>
    <row r="81" ht="15" customHeight="1">
      <c r="A81" t="inlineStr">
        <is>
          <t>A 72307-2018</t>
        </is>
      </c>
      <c r="B81" s="1" t="n">
        <v>43455</v>
      </c>
      <c r="C81" s="1" t="n">
        <v>45353</v>
      </c>
      <c r="D81" t="inlineStr">
        <is>
          <t>VÄSTMANLANDS LÄN</t>
        </is>
      </c>
      <c r="E81" t="inlineStr">
        <is>
          <t>SALA</t>
        </is>
      </c>
      <c r="G81" t="n">
        <v>2.6</v>
      </c>
      <c r="H81" t="n">
        <v>0</v>
      </c>
      <c r="I81" t="n">
        <v>0</v>
      </c>
      <c r="J81" t="n">
        <v>0</v>
      </c>
      <c r="K81" t="n">
        <v>0</v>
      </c>
      <c r="L81" t="n">
        <v>0</v>
      </c>
      <c r="M81" t="n">
        <v>0</v>
      </c>
      <c r="N81" t="n">
        <v>0</v>
      </c>
      <c r="O81" t="n">
        <v>0</v>
      </c>
      <c r="P81" t="n">
        <v>0</v>
      </c>
      <c r="Q81" t="n">
        <v>0</v>
      </c>
      <c r="R81" s="2" t="inlineStr"/>
    </row>
    <row r="82" ht="15" customHeight="1">
      <c r="A82" t="inlineStr">
        <is>
          <t>A 1589-2019</t>
        </is>
      </c>
      <c r="B82" s="1" t="n">
        <v>43461</v>
      </c>
      <c r="C82" s="1" t="n">
        <v>45353</v>
      </c>
      <c r="D82" t="inlineStr">
        <is>
          <t>VÄSTMANLANDS LÄN</t>
        </is>
      </c>
      <c r="E82" t="inlineStr">
        <is>
          <t>SALA</t>
        </is>
      </c>
      <c r="G82" t="n">
        <v>1.2</v>
      </c>
      <c r="H82" t="n">
        <v>0</v>
      </c>
      <c r="I82" t="n">
        <v>0</v>
      </c>
      <c r="J82" t="n">
        <v>0</v>
      </c>
      <c r="K82" t="n">
        <v>0</v>
      </c>
      <c r="L82" t="n">
        <v>0</v>
      </c>
      <c r="M82" t="n">
        <v>0</v>
      </c>
      <c r="N82" t="n">
        <v>0</v>
      </c>
      <c r="O82" t="n">
        <v>0</v>
      </c>
      <c r="P82" t="n">
        <v>0</v>
      </c>
      <c r="Q82" t="n">
        <v>0</v>
      </c>
      <c r="R82" s="2" t="inlineStr"/>
    </row>
    <row r="83" ht="15" customHeight="1">
      <c r="A83" t="inlineStr">
        <is>
          <t>A 72448-2018</t>
        </is>
      </c>
      <c r="B83" s="1" t="n">
        <v>43461</v>
      </c>
      <c r="C83" s="1" t="n">
        <v>45353</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1921-2019</t>
        </is>
      </c>
      <c r="B84" s="1" t="n">
        <v>43462</v>
      </c>
      <c r="C84" s="1" t="n">
        <v>45353</v>
      </c>
      <c r="D84" t="inlineStr">
        <is>
          <t>VÄSTMANLANDS LÄN</t>
        </is>
      </c>
      <c r="E84" t="inlineStr">
        <is>
          <t>SALA</t>
        </is>
      </c>
      <c r="G84" t="n">
        <v>0.8</v>
      </c>
      <c r="H84" t="n">
        <v>0</v>
      </c>
      <c r="I84" t="n">
        <v>0</v>
      </c>
      <c r="J84" t="n">
        <v>0</v>
      </c>
      <c r="K84" t="n">
        <v>0</v>
      </c>
      <c r="L84" t="n">
        <v>0</v>
      </c>
      <c r="M84" t="n">
        <v>0</v>
      </c>
      <c r="N84" t="n">
        <v>0</v>
      </c>
      <c r="O84" t="n">
        <v>0</v>
      </c>
      <c r="P84" t="n">
        <v>0</v>
      </c>
      <c r="Q84" t="n">
        <v>0</v>
      </c>
      <c r="R84" s="2" t="inlineStr"/>
    </row>
    <row r="85" ht="15" customHeight="1">
      <c r="A85" t="inlineStr">
        <is>
          <t>A 894-2019</t>
        </is>
      </c>
      <c r="B85" s="1" t="n">
        <v>43472</v>
      </c>
      <c r="C85" s="1" t="n">
        <v>45353</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1455-2019</t>
        </is>
      </c>
      <c r="B86" s="1" t="n">
        <v>43473</v>
      </c>
      <c r="C86" s="1" t="n">
        <v>45353</v>
      </c>
      <c r="D86" t="inlineStr">
        <is>
          <t>VÄSTMANLANDS LÄN</t>
        </is>
      </c>
      <c r="E86" t="inlineStr">
        <is>
          <t>SALA</t>
        </is>
      </c>
      <c r="G86" t="n">
        <v>6</v>
      </c>
      <c r="H86" t="n">
        <v>0</v>
      </c>
      <c r="I86" t="n">
        <v>0</v>
      </c>
      <c r="J86" t="n">
        <v>0</v>
      </c>
      <c r="K86" t="n">
        <v>0</v>
      </c>
      <c r="L86" t="n">
        <v>0</v>
      </c>
      <c r="M86" t="n">
        <v>0</v>
      </c>
      <c r="N86" t="n">
        <v>0</v>
      </c>
      <c r="O86" t="n">
        <v>0</v>
      </c>
      <c r="P86" t="n">
        <v>0</v>
      </c>
      <c r="Q86" t="n">
        <v>0</v>
      </c>
      <c r="R86" s="2" t="inlineStr"/>
    </row>
    <row r="87" ht="15" customHeight="1">
      <c r="A87" t="inlineStr">
        <is>
          <t>A 1883-2019</t>
        </is>
      </c>
      <c r="B87" s="1" t="n">
        <v>43474</v>
      </c>
      <c r="C87" s="1" t="n">
        <v>45353</v>
      </c>
      <c r="D87" t="inlineStr">
        <is>
          <t>VÄSTMANLANDS LÄN</t>
        </is>
      </c>
      <c r="E87" t="inlineStr">
        <is>
          <t>SALA</t>
        </is>
      </c>
      <c r="G87" t="n">
        <v>0.5</v>
      </c>
      <c r="H87" t="n">
        <v>0</v>
      </c>
      <c r="I87" t="n">
        <v>0</v>
      </c>
      <c r="J87" t="n">
        <v>0</v>
      </c>
      <c r="K87" t="n">
        <v>0</v>
      </c>
      <c r="L87" t="n">
        <v>0</v>
      </c>
      <c r="M87" t="n">
        <v>0</v>
      </c>
      <c r="N87" t="n">
        <v>0</v>
      </c>
      <c r="O87" t="n">
        <v>0</v>
      </c>
      <c r="P87" t="n">
        <v>0</v>
      </c>
      <c r="Q87" t="n">
        <v>0</v>
      </c>
      <c r="R87" s="2" t="inlineStr"/>
    </row>
    <row r="88" ht="15" customHeight="1">
      <c r="A88" t="inlineStr">
        <is>
          <t>A 3403-2019</t>
        </is>
      </c>
      <c r="B88" s="1" t="n">
        <v>43480</v>
      </c>
      <c r="C88" s="1" t="n">
        <v>45353</v>
      </c>
      <c r="D88" t="inlineStr">
        <is>
          <t>VÄSTMANLANDS LÄN</t>
        </is>
      </c>
      <c r="E88" t="inlineStr">
        <is>
          <t>SALA</t>
        </is>
      </c>
      <c r="G88" t="n">
        <v>0.7</v>
      </c>
      <c r="H88" t="n">
        <v>0</v>
      </c>
      <c r="I88" t="n">
        <v>0</v>
      </c>
      <c r="J88" t="n">
        <v>0</v>
      </c>
      <c r="K88" t="n">
        <v>0</v>
      </c>
      <c r="L88" t="n">
        <v>0</v>
      </c>
      <c r="M88" t="n">
        <v>0</v>
      </c>
      <c r="N88" t="n">
        <v>0</v>
      </c>
      <c r="O88" t="n">
        <v>0</v>
      </c>
      <c r="P88" t="n">
        <v>0</v>
      </c>
      <c r="Q88" t="n">
        <v>0</v>
      </c>
      <c r="R88" s="2" t="inlineStr"/>
    </row>
    <row r="89" ht="15" customHeight="1">
      <c r="A89" t="inlineStr">
        <is>
          <t>A 3977-2019</t>
        </is>
      </c>
      <c r="B89" s="1" t="n">
        <v>43482</v>
      </c>
      <c r="C89" s="1" t="n">
        <v>45353</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4445-2019</t>
        </is>
      </c>
      <c r="B90" s="1" t="n">
        <v>43485</v>
      </c>
      <c r="C90" s="1" t="n">
        <v>45353</v>
      </c>
      <c r="D90" t="inlineStr">
        <is>
          <t>VÄSTMANLANDS LÄN</t>
        </is>
      </c>
      <c r="E90" t="inlineStr">
        <is>
          <t>SALA</t>
        </is>
      </c>
      <c r="G90" t="n">
        <v>1.8</v>
      </c>
      <c r="H90" t="n">
        <v>0</v>
      </c>
      <c r="I90" t="n">
        <v>0</v>
      </c>
      <c r="J90" t="n">
        <v>0</v>
      </c>
      <c r="K90" t="n">
        <v>0</v>
      </c>
      <c r="L90" t="n">
        <v>0</v>
      </c>
      <c r="M90" t="n">
        <v>0</v>
      </c>
      <c r="N90" t="n">
        <v>0</v>
      </c>
      <c r="O90" t="n">
        <v>0</v>
      </c>
      <c r="P90" t="n">
        <v>0</v>
      </c>
      <c r="Q90" t="n">
        <v>0</v>
      </c>
      <c r="R90" s="2" t="inlineStr"/>
    </row>
    <row r="91" ht="15" customHeight="1">
      <c r="A91" t="inlineStr">
        <is>
          <t>A 5211-2019</t>
        </is>
      </c>
      <c r="B91" s="1" t="n">
        <v>43488</v>
      </c>
      <c r="C91" s="1" t="n">
        <v>45353</v>
      </c>
      <c r="D91" t="inlineStr">
        <is>
          <t>VÄSTMANLANDS LÄN</t>
        </is>
      </c>
      <c r="E91" t="inlineStr">
        <is>
          <t>SALA</t>
        </is>
      </c>
      <c r="G91" t="n">
        <v>2.2</v>
      </c>
      <c r="H91" t="n">
        <v>0</v>
      </c>
      <c r="I91" t="n">
        <v>0</v>
      </c>
      <c r="J91" t="n">
        <v>0</v>
      </c>
      <c r="K91" t="n">
        <v>0</v>
      </c>
      <c r="L91" t="n">
        <v>0</v>
      </c>
      <c r="M91" t="n">
        <v>0</v>
      </c>
      <c r="N91" t="n">
        <v>0</v>
      </c>
      <c r="O91" t="n">
        <v>0</v>
      </c>
      <c r="P91" t="n">
        <v>0</v>
      </c>
      <c r="Q91" t="n">
        <v>0</v>
      </c>
      <c r="R91" s="2" t="inlineStr"/>
    </row>
    <row r="92" ht="15" customHeight="1">
      <c r="A92" t="inlineStr">
        <is>
          <t>A 5221-2019</t>
        </is>
      </c>
      <c r="B92" s="1" t="n">
        <v>43488</v>
      </c>
      <c r="C92" s="1" t="n">
        <v>45353</v>
      </c>
      <c r="D92" t="inlineStr">
        <is>
          <t>VÄSTMANLANDS LÄN</t>
        </is>
      </c>
      <c r="E92" t="inlineStr">
        <is>
          <t>SALA</t>
        </is>
      </c>
      <c r="G92" t="n">
        <v>2.5</v>
      </c>
      <c r="H92" t="n">
        <v>0</v>
      </c>
      <c r="I92" t="n">
        <v>0</v>
      </c>
      <c r="J92" t="n">
        <v>0</v>
      </c>
      <c r="K92" t="n">
        <v>0</v>
      </c>
      <c r="L92" t="n">
        <v>0</v>
      </c>
      <c r="M92" t="n">
        <v>0</v>
      </c>
      <c r="N92" t="n">
        <v>0</v>
      </c>
      <c r="O92" t="n">
        <v>0</v>
      </c>
      <c r="P92" t="n">
        <v>0</v>
      </c>
      <c r="Q92" t="n">
        <v>0</v>
      </c>
      <c r="R92" s="2" t="inlineStr"/>
    </row>
    <row r="93" ht="15" customHeight="1">
      <c r="A93" t="inlineStr">
        <is>
          <t>A 7446-2019</t>
        </is>
      </c>
      <c r="B93" s="1" t="n">
        <v>43493</v>
      </c>
      <c r="C93" s="1" t="n">
        <v>45353</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7273-2019</t>
        </is>
      </c>
      <c r="B94" s="1" t="n">
        <v>43496</v>
      </c>
      <c r="C94" s="1" t="n">
        <v>45353</v>
      </c>
      <c r="D94" t="inlineStr">
        <is>
          <t>VÄSTMANLANDS LÄN</t>
        </is>
      </c>
      <c r="E94" t="inlineStr">
        <is>
          <t>SALA</t>
        </is>
      </c>
      <c r="G94" t="n">
        <v>2.6</v>
      </c>
      <c r="H94" t="n">
        <v>0</v>
      </c>
      <c r="I94" t="n">
        <v>0</v>
      </c>
      <c r="J94" t="n">
        <v>0</v>
      </c>
      <c r="K94" t="n">
        <v>0</v>
      </c>
      <c r="L94" t="n">
        <v>0</v>
      </c>
      <c r="M94" t="n">
        <v>0</v>
      </c>
      <c r="N94" t="n">
        <v>0</v>
      </c>
      <c r="O94" t="n">
        <v>0</v>
      </c>
      <c r="P94" t="n">
        <v>0</v>
      </c>
      <c r="Q94" t="n">
        <v>0</v>
      </c>
      <c r="R94" s="2" t="inlineStr"/>
    </row>
    <row r="95" ht="15" customHeight="1">
      <c r="A95" t="inlineStr">
        <is>
          <t>A 8492-2019</t>
        </is>
      </c>
      <c r="B95" s="1" t="n">
        <v>43502</v>
      </c>
      <c r="C95" s="1" t="n">
        <v>45353</v>
      </c>
      <c r="D95" t="inlineStr">
        <is>
          <t>VÄSTMANLANDS LÄN</t>
        </is>
      </c>
      <c r="E95" t="inlineStr">
        <is>
          <t>SALA</t>
        </is>
      </c>
      <c r="F95" t="inlineStr">
        <is>
          <t>Kommuner</t>
        </is>
      </c>
      <c r="G95" t="n">
        <v>8</v>
      </c>
      <c r="H95" t="n">
        <v>0</v>
      </c>
      <c r="I95" t="n">
        <v>0</v>
      </c>
      <c r="J95" t="n">
        <v>0</v>
      </c>
      <c r="K95" t="n">
        <v>0</v>
      </c>
      <c r="L95" t="n">
        <v>0</v>
      </c>
      <c r="M95" t="n">
        <v>0</v>
      </c>
      <c r="N95" t="n">
        <v>0</v>
      </c>
      <c r="O95" t="n">
        <v>0</v>
      </c>
      <c r="P95" t="n">
        <v>0</v>
      </c>
      <c r="Q95" t="n">
        <v>0</v>
      </c>
      <c r="R95" s="2" t="inlineStr"/>
    </row>
    <row r="96" ht="15" customHeight="1">
      <c r="A96" t="inlineStr">
        <is>
          <t>A 8564-2019</t>
        </is>
      </c>
      <c r="B96" s="1" t="n">
        <v>43502</v>
      </c>
      <c r="C96" s="1" t="n">
        <v>45353</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8488-2019</t>
        </is>
      </c>
      <c r="B97" s="1" t="n">
        <v>43502</v>
      </c>
      <c r="C97" s="1" t="n">
        <v>45353</v>
      </c>
      <c r="D97" t="inlineStr">
        <is>
          <t>VÄSTMANLANDS LÄN</t>
        </is>
      </c>
      <c r="E97" t="inlineStr">
        <is>
          <t>SALA</t>
        </is>
      </c>
      <c r="F97" t="inlineStr">
        <is>
          <t>Kommuner</t>
        </is>
      </c>
      <c r="G97" t="n">
        <v>9</v>
      </c>
      <c r="H97" t="n">
        <v>0</v>
      </c>
      <c r="I97" t="n">
        <v>0</v>
      </c>
      <c r="J97" t="n">
        <v>0</v>
      </c>
      <c r="K97" t="n">
        <v>0</v>
      </c>
      <c r="L97" t="n">
        <v>0</v>
      </c>
      <c r="M97" t="n">
        <v>0</v>
      </c>
      <c r="N97" t="n">
        <v>0</v>
      </c>
      <c r="O97" t="n">
        <v>0</v>
      </c>
      <c r="P97" t="n">
        <v>0</v>
      </c>
      <c r="Q97" t="n">
        <v>0</v>
      </c>
      <c r="R97" s="2" t="inlineStr"/>
    </row>
    <row r="98" ht="15" customHeight="1">
      <c r="A98" t="inlineStr">
        <is>
          <t>A 8865-2019</t>
        </is>
      </c>
      <c r="B98" s="1" t="n">
        <v>43503</v>
      </c>
      <c r="C98" s="1" t="n">
        <v>45353</v>
      </c>
      <c r="D98" t="inlineStr">
        <is>
          <t>VÄSTMANLANDS LÄN</t>
        </is>
      </c>
      <c r="E98" t="inlineStr">
        <is>
          <t>SALA</t>
        </is>
      </c>
      <c r="G98" t="n">
        <v>6.7</v>
      </c>
      <c r="H98" t="n">
        <v>0</v>
      </c>
      <c r="I98" t="n">
        <v>0</v>
      </c>
      <c r="J98" t="n">
        <v>0</v>
      </c>
      <c r="K98" t="n">
        <v>0</v>
      </c>
      <c r="L98" t="n">
        <v>0</v>
      </c>
      <c r="M98" t="n">
        <v>0</v>
      </c>
      <c r="N98" t="n">
        <v>0</v>
      </c>
      <c r="O98" t="n">
        <v>0</v>
      </c>
      <c r="P98" t="n">
        <v>0</v>
      </c>
      <c r="Q98" t="n">
        <v>0</v>
      </c>
      <c r="R98" s="2" t="inlineStr"/>
    </row>
    <row r="99" ht="15" customHeight="1">
      <c r="A99" t="inlineStr">
        <is>
          <t>A 9130-2019</t>
        </is>
      </c>
      <c r="B99" s="1" t="n">
        <v>43504</v>
      </c>
      <c r="C99" s="1" t="n">
        <v>45353</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9515-2019</t>
        </is>
      </c>
      <c r="B100" s="1" t="n">
        <v>43507</v>
      </c>
      <c r="C100" s="1" t="n">
        <v>45353</v>
      </c>
      <c r="D100" t="inlineStr">
        <is>
          <t>VÄSTMANLANDS LÄN</t>
        </is>
      </c>
      <c r="E100" t="inlineStr">
        <is>
          <t>SALA</t>
        </is>
      </c>
      <c r="G100" t="n">
        <v>4.1</v>
      </c>
      <c r="H100" t="n">
        <v>0</v>
      </c>
      <c r="I100" t="n">
        <v>0</v>
      </c>
      <c r="J100" t="n">
        <v>0</v>
      </c>
      <c r="K100" t="n">
        <v>0</v>
      </c>
      <c r="L100" t="n">
        <v>0</v>
      </c>
      <c r="M100" t="n">
        <v>0</v>
      </c>
      <c r="N100" t="n">
        <v>0</v>
      </c>
      <c r="O100" t="n">
        <v>0</v>
      </c>
      <c r="P100" t="n">
        <v>0</v>
      </c>
      <c r="Q100" t="n">
        <v>0</v>
      </c>
      <c r="R100" s="2" t="inlineStr"/>
    </row>
    <row r="101" ht="15" customHeight="1">
      <c r="A101" t="inlineStr">
        <is>
          <t>A 10137-2019</t>
        </is>
      </c>
      <c r="B101" s="1" t="n">
        <v>43510</v>
      </c>
      <c r="C101" s="1" t="n">
        <v>45353</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10144-2019</t>
        </is>
      </c>
      <c r="B102" s="1" t="n">
        <v>43510</v>
      </c>
      <c r="C102" s="1" t="n">
        <v>45353</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10127-2019</t>
        </is>
      </c>
      <c r="B103" s="1" t="n">
        <v>43510</v>
      </c>
      <c r="C103" s="1" t="n">
        <v>45353</v>
      </c>
      <c r="D103" t="inlineStr">
        <is>
          <t>VÄSTMANLANDS LÄN</t>
        </is>
      </c>
      <c r="E103" t="inlineStr">
        <is>
          <t>SALA</t>
        </is>
      </c>
      <c r="G103" t="n">
        <v>2.5</v>
      </c>
      <c r="H103" t="n">
        <v>0</v>
      </c>
      <c r="I103" t="n">
        <v>0</v>
      </c>
      <c r="J103" t="n">
        <v>0</v>
      </c>
      <c r="K103" t="n">
        <v>0</v>
      </c>
      <c r="L103" t="n">
        <v>0</v>
      </c>
      <c r="M103" t="n">
        <v>0</v>
      </c>
      <c r="N103" t="n">
        <v>0</v>
      </c>
      <c r="O103" t="n">
        <v>0</v>
      </c>
      <c r="P103" t="n">
        <v>0</v>
      </c>
      <c r="Q103" t="n">
        <v>0</v>
      </c>
      <c r="R103" s="2" t="inlineStr"/>
    </row>
    <row r="104" ht="15" customHeight="1">
      <c r="A104" t="inlineStr">
        <is>
          <t>A 10155-2019</t>
        </is>
      </c>
      <c r="B104" s="1" t="n">
        <v>43510</v>
      </c>
      <c r="C104" s="1" t="n">
        <v>45353</v>
      </c>
      <c r="D104" t="inlineStr">
        <is>
          <t>VÄSTMANLANDS LÄN</t>
        </is>
      </c>
      <c r="E104" t="inlineStr">
        <is>
          <t>SALA</t>
        </is>
      </c>
      <c r="G104" t="n">
        <v>2.1</v>
      </c>
      <c r="H104" t="n">
        <v>0</v>
      </c>
      <c r="I104" t="n">
        <v>0</v>
      </c>
      <c r="J104" t="n">
        <v>0</v>
      </c>
      <c r="K104" t="n">
        <v>0</v>
      </c>
      <c r="L104" t="n">
        <v>0</v>
      </c>
      <c r="M104" t="n">
        <v>0</v>
      </c>
      <c r="N104" t="n">
        <v>0</v>
      </c>
      <c r="O104" t="n">
        <v>0</v>
      </c>
      <c r="P104" t="n">
        <v>0</v>
      </c>
      <c r="Q104" t="n">
        <v>0</v>
      </c>
      <c r="R104" s="2" t="inlineStr"/>
    </row>
    <row r="105" ht="15" customHeight="1">
      <c r="A105" t="inlineStr">
        <is>
          <t>A 10479-2019</t>
        </is>
      </c>
      <c r="B105" s="1" t="n">
        <v>43511</v>
      </c>
      <c r="C105" s="1" t="n">
        <v>45353</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12383-2019</t>
        </is>
      </c>
      <c r="B106" s="1" t="n">
        <v>43523</v>
      </c>
      <c r="C106" s="1" t="n">
        <v>45353</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13081-2019</t>
        </is>
      </c>
      <c r="B107" s="1" t="n">
        <v>43527</v>
      </c>
      <c r="C107" s="1" t="n">
        <v>45353</v>
      </c>
      <c r="D107" t="inlineStr">
        <is>
          <t>VÄSTMANLANDS LÄN</t>
        </is>
      </c>
      <c r="E107" t="inlineStr">
        <is>
          <t>SALA</t>
        </is>
      </c>
      <c r="G107" t="n">
        <v>15</v>
      </c>
      <c r="H107" t="n">
        <v>0</v>
      </c>
      <c r="I107" t="n">
        <v>0</v>
      </c>
      <c r="J107" t="n">
        <v>0</v>
      </c>
      <c r="K107" t="n">
        <v>0</v>
      </c>
      <c r="L107" t="n">
        <v>0</v>
      </c>
      <c r="M107" t="n">
        <v>0</v>
      </c>
      <c r="N107" t="n">
        <v>0</v>
      </c>
      <c r="O107" t="n">
        <v>0</v>
      </c>
      <c r="P107" t="n">
        <v>0</v>
      </c>
      <c r="Q107" t="n">
        <v>0</v>
      </c>
      <c r="R107" s="2" t="inlineStr"/>
    </row>
    <row r="108" ht="15" customHeight="1">
      <c r="A108" t="inlineStr">
        <is>
          <t>A 14052-2019</t>
        </is>
      </c>
      <c r="B108" s="1" t="n">
        <v>43532</v>
      </c>
      <c r="C108" s="1" t="n">
        <v>45353</v>
      </c>
      <c r="D108" t="inlineStr">
        <is>
          <t>VÄSTMANLANDS LÄN</t>
        </is>
      </c>
      <c r="E108" t="inlineStr">
        <is>
          <t>SALA</t>
        </is>
      </c>
      <c r="G108" t="n">
        <v>0.1</v>
      </c>
      <c r="H108" t="n">
        <v>0</v>
      </c>
      <c r="I108" t="n">
        <v>0</v>
      </c>
      <c r="J108" t="n">
        <v>0</v>
      </c>
      <c r="K108" t="n">
        <v>0</v>
      </c>
      <c r="L108" t="n">
        <v>0</v>
      </c>
      <c r="M108" t="n">
        <v>0</v>
      </c>
      <c r="N108" t="n">
        <v>0</v>
      </c>
      <c r="O108" t="n">
        <v>0</v>
      </c>
      <c r="P108" t="n">
        <v>0</v>
      </c>
      <c r="Q108" t="n">
        <v>0</v>
      </c>
      <c r="R108" s="2" t="inlineStr"/>
    </row>
    <row r="109" ht="15" customHeight="1">
      <c r="A109" t="inlineStr">
        <is>
          <t>A 14471-2019</t>
        </is>
      </c>
      <c r="B109" s="1" t="n">
        <v>43536</v>
      </c>
      <c r="C109" s="1" t="n">
        <v>45353</v>
      </c>
      <c r="D109" t="inlineStr">
        <is>
          <t>VÄSTMANLANDS LÄN</t>
        </is>
      </c>
      <c r="E109" t="inlineStr">
        <is>
          <t>SALA</t>
        </is>
      </c>
      <c r="G109" t="n">
        <v>2.3</v>
      </c>
      <c r="H109" t="n">
        <v>0</v>
      </c>
      <c r="I109" t="n">
        <v>0</v>
      </c>
      <c r="J109" t="n">
        <v>0</v>
      </c>
      <c r="K109" t="n">
        <v>0</v>
      </c>
      <c r="L109" t="n">
        <v>0</v>
      </c>
      <c r="M109" t="n">
        <v>0</v>
      </c>
      <c r="N109" t="n">
        <v>0</v>
      </c>
      <c r="O109" t="n">
        <v>0</v>
      </c>
      <c r="P109" t="n">
        <v>0</v>
      </c>
      <c r="Q109" t="n">
        <v>0</v>
      </c>
      <c r="R109" s="2" t="inlineStr"/>
    </row>
    <row r="110" ht="15" customHeight="1">
      <c r="A110" t="inlineStr">
        <is>
          <t>A 14860-2019</t>
        </is>
      </c>
      <c r="B110" s="1" t="n">
        <v>43537</v>
      </c>
      <c r="C110" s="1" t="n">
        <v>45353</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14975-2019</t>
        </is>
      </c>
      <c r="B111" s="1" t="n">
        <v>43538</v>
      </c>
      <c r="C111" s="1" t="n">
        <v>45353</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15694-2019</t>
        </is>
      </c>
      <c r="B112" s="1" t="n">
        <v>43543</v>
      </c>
      <c r="C112" s="1" t="n">
        <v>45353</v>
      </c>
      <c r="D112" t="inlineStr">
        <is>
          <t>VÄSTMANLANDS LÄN</t>
        </is>
      </c>
      <c r="E112" t="inlineStr">
        <is>
          <t>SALA</t>
        </is>
      </c>
      <c r="G112" t="n">
        <v>5.3</v>
      </c>
      <c r="H112" t="n">
        <v>0</v>
      </c>
      <c r="I112" t="n">
        <v>0</v>
      </c>
      <c r="J112" t="n">
        <v>0</v>
      </c>
      <c r="K112" t="n">
        <v>0</v>
      </c>
      <c r="L112" t="n">
        <v>0</v>
      </c>
      <c r="M112" t="n">
        <v>0</v>
      </c>
      <c r="N112" t="n">
        <v>0</v>
      </c>
      <c r="O112" t="n">
        <v>0</v>
      </c>
      <c r="P112" t="n">
        <v>0</v>
      </c>
      <c r="Q112" t="n">
        <v>0</v>
      </c>
      <c r="R112" s="2" t="inlineStr"/>
    </row>
    <row r="113" ht="15" customHeight="1">
      <c r="A113" t="inlineStr">
        <is>
          <t>A 15840-2019</t>
        </is>
      </c>
      <c r="B113" s="1" t="n">
        <v>43543</v>
      </c>
      <c r="C113" s="1" t="n">
        <v>45353</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16587-2019</t>
        </is>
      </c>
      <c r="B114" s="1" t="n">
        <v>43548</v>
      </c>
      <c r="C114" s="1" t="n">
        <v>45353</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17509-2019</t>
        </is>
      </c>
      <c r="B115" s="1" t="n">
        <v>43553</v>
      </c>
      <c r="C115" s="1" t="n">
        <v>45353</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17518-2019</t>
        </is>
      </c>
      <c r="B116" s="1" t="n">
        <v>43553</v>
      </c>
      <c r="C116" s="1" t="n">
        <v>45353</v>
      </c>
      <c r="D116" t="inlineStr">
        <is>
          <t>VÄSTMANLANDS LÄN</t>
        </is>
      </c>
      <c r="E116" t="inlineStr">
        <is>
          <t>SALA</t>
        </is>
      </c>
      <c r="G116" t="n">
        <v>2.5</v>
      </c>
      <c r="H116" t="n">
        <v>0</v>
      </c>
      <c r="I116" t="n">
        <v>0</v>
      </c>
      <c r="J116" t="n">
        <v>0</v>
      </c>
      <c r="K116" t="n">
        <v>0</v>
      </c>
      <c r="L116" t="n">
        <v>0</v>
      </c>
      <c r="M116" t="n">
        <v>0</v>
      </c>
      <c r="N116" t="n">
        <v>0</v>
      </c>
      <c r="O116" t="n">
        <v>0</v>
      </c>
      <c r="P116" t="n">
        <v>0</v>
      </c>
      <c r="Q116" t="n">
        <v>0</v>
      </c>
      <c r="R116" s="2" t="inlineStr"/>
    </row>
    <row r="117" ht="15" customHeight="1">
      <c r="A117" t="inlineStr">
        <is>
          <t>A 18255-2019</t>
        </is>
      </c>
      <c r="B117" s="1" t="n">
        <v>43558</v>
      </c>
      <c r="C117" s="1" t="n">
        <v>45353</v>
      </c>
      <c r="D117" t="inlineStr">
        <is>
          <t>VÄSTMANLANDS LÄN</t>
        </is>
      </c>
      <c r="E117" t="inlineStr">
        <is>
          <t>SALA</t>
        </is>
      </c>
      <c r="F117" t="inlineStr">
        <is>
          <t>Kommuner</t>
        </is>
      </c>
      <c r="G117" t="n">
        <v>2.2</v>
      </c>
      <c r="H117" t="n">
        <v>0</v>
      </c>
      <c r="I117" t="n">
        <v>0</v>
      </c>
      <c r="J117" t="n">
        <v>0</v>
      </c>
      <c r="K117" t="n">
        <v>0</v>
      </c>
      <c r="L117" t="n">
        <v>0</v>
      </c>
      <c r="M117" t="n">
        <v>0</v>
      </c>
      <c r="N117" t="n">
        <v>0</v>
      </c>
      <c r="O117" t="n">
        <v>0</v>
      </c>
      <c r="P117" t="n">
        <v>0</v>
      </c>
      <c r="Q117" t="n">
        <v>0</v>
      </c>
      <c r="R117" s="2" t="inlineStr"/>
    </row>
    <row r="118" ht="15" customHeight="1">
      <c r="A118" t="inlineStr">
        <is>
          <t>A 18352-2019</t>
        </is>
      </c>
      <c r="B118" s="1" t="n">
        <v>43559</v>
      </c>
      <c r="C118" s="1" t="n">
        <v>45353</v>
      </c>
      <c r="D118" t="inlineStr">
        <is>
          <t>VÄSTMANLANDS LÄN</t>
        </is>
      </c>
      <c r="E118" t="inlineStr">
        <is>
          <t>SALA</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18791-2019</t>
        </is>
      </c>
      <c r="B119" s="1" t="n">
        <v>43562</v>
      </c>
      <c r="C119" s="1" t="n">
        <v>45353</v>
      </c>
      <c r="D119" t="inlineStr">
        <is>
          <t>VÄSTMANLANDS LÄN</t>
        </is>
      </c>
      <c r="E119" t="inlineStr">
        <is>
          <t>SALA</t>
        </is>
      </c>
      <c r="G119" t="n">
        <v>3.4</v>
      </c>
      <c r="H119" t="n">
        <v>0</v>
      </c>
      <c r="I119" t="n">
        <v>0</v>
      </c>
      <c r="J119" t="n">
        <v>0</v>
      </c>
      <c r="K119" t="n">
        <v>0</v>
      </c>
      <c r="L119" t="n">
        <v>0</v>
      </c>
      <c r="M119" t="n">
        <v>0</v>
      </c>
      <c r="N119" t="n">
        <v>0</v>
      </c>
      <c r="O119" t="n">
        <v>0</v>
      </c>
      <c r="P119" t="n">
        <v>0</v>
      </c>
      <c r="Q119" t="n">
        <v>0</v>
      </c>
      <c r="R119" s="2" t="inlineStr"/>
    </row>
    <row r="120" ht="15" customHeight="1">
      <c r="A120" t="inlineStr">
        <is>
          <t>A 18961-2019</t>
        </is>
      </c>
      <c r="B120" s="1" t="n">
        <v>43563</v>
      </c>
      <c r="C120" s="1" t="n">
        <v>45353</v>
      </c>
      <c r="D120" t="inlineStr">
        <is>
          <t>VÄSTMANLANDS LÄN</t>
        </is>
      </c>
      <c r="E120" t="inlineStr">
        <is>
          <t>SALA</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19869-2019</t>
        </is>
      </c>
      <c r="B121" s="1" t="n">
        <v>43567</v>
      </c>
      <c r="C121" s="1" t="n">
        <v>45353</v>
      </c>
      <c r="D121" t="inlineStr">
        <is>
          <t>VÄSTMANLANDS LÄN</t>
        </is>
      </c>
      <c r="E121" t="inlineStr">
        <is>
          <t>SALA</t>
        </is>
      </c>
      <c r="G121" t="n">
        <v>1.6</v>
      </c>
      <c r="H121" t="n">
        <v>0</v>
      </c>
      <c r="I121" t="n">
        <v>0</v>
      </c>
      <c r="J121" t="n">
        <v>0</v>
      </c>
      <c r="K121" t="n">
        <v>0</v>
      </c>
      <c r="L121" t="n">
        <v>0</v>
      </c>
      <c r="M121" t="n">
        <v>0</v>
      </c>
      <c r="N121" t="n">
        <v>0</v>
      </c>
      <c r="O121" t="n">
        <v>0</v>
      </c>
      <c r="P121" t="n">
        <v>0</v>
      </c>
      <c r="Q121" t="n">
        <v>0</v>
      </c>
      <c r="R121" s="2" t="inlineStr"/>
    </row>
    <row r="122" ht="15" customHeight="1">
      <c r="A122" t="inlineStr">
        <is>
          <t>A 21985-2019</t>
        </is>
      </c>
      <c r="B122" s="1" t="n">
        <v>43584</v>
      </c>
      <c r="C122" s="1" t="n">
        <v>45353</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22249-2019</t>
        </is>
      </c>
      <c r="B123" s="1" t="n">
        <v>43585</v>
      </c>
      <c r="C123" s="1" t="n">
        <v>45353</v>
      </c>
      <c r="D123" t="inlineStr">
        <is>
          <t>VÄSTMANLANDS LÄN</t>
        </is>
      </c>
      <c r="E123" t="inlineStr">
        <is>
          <t>SALA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22833-2019</t>
        </is>
      </c>
      <c r="B124" s="1" t="n">
        <v>43591</v>
      </c>
      <c r="C124" s="1" t="n">
        <v>45353</v>
      </c>
      <c r="D124" t="inlineStr">
        <is>
          <t>VÄSTMANLANDS LÄN</t>
        </is>
      </c>
      <c r="E124" t="inlineStr">
        <is>
          <t>SALA</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25005-2019</t>
        </is>
      </c>
      <c r="B125" s="1" t="n">
        <v>43602</v>
      </c>
      <c r="C125" s="1" t="n">
        <v>45353</v>
      </c>
      <c r="D125" t="inlineStr">
        <is>
          <t>VÄSTMANLANDS LÄN</t>
        </is>
      </c>
      <c r="E125" t="inlineStr">
        <is>
          <t>SALA</t>
        </is>
      </c>
      <c r="F125" t="inlineStr">
        <is>
          <t>Kommuner</t>
        </is>
      </c>
      <c r="G125" t="n">
        <v>4.3</v>
      </c>
      <c r="H125" t="n">
        <v>0</v>
      </c>
      <c r="I125" t="n">
        <v>0</v>
      </c>
      <c r="J125" t="n">
        <v>0</v>
      </c>
      <c r="K125" t="n">
        <v>0</v>
      </c>
      <c r="L125" t="n">
        <v>0</v>
      </c>
      <c r="M125" t="n">
        <v>0</v>
      </c>
      <c r="N125" t="n">
        <v>0</v>
      </c>
      <c r="O125" t="n">
        <v>0</v>
      </c>
      <c r="P125" t="n">
        <v>0</v>
      </c>
      <c r="Q125" t="n">
        <v>0</v>
      </c>
      <c r="R125" s="2" t="inlineStr"/>
    </row>
    <row r="126" ht="15" customHeight="1">
      <c r="A126" t="inlineStr">
        <is>
          <t>A 25814-2019</t>
        </is>
      </c>
      <c r="B126" s="1" t="n">
        <v>43608</v>
      </c>
      <c r="C126" s="1" t="n">
        <v>45353</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26861-2019</t>
        </is>
      </c>
      <c r="B127" s="1" t="n">
        <v>43613</v>
      </c>
      <c r="C127" s="1" t="n">
        <v>45353</v>
      </c>
      <c r="D127" t="inlineStr">
        <is>
          <t>VÄSTMANLANDS LÄN</t>
        </is>
      </c>
      <c r="E127" t="inlineStr">
        <is>
          <t>SALA</t>
        </is>
      </c>
      <c r="G127" t="n">
        <v>1.2</v>
      </c>
      <c r="H127" t="n">
        <v>0</v>
      </c>
      <c r="I127" t="n">
        <v>0</v>
      </c>
      <c r="J127" t="n">
        <v>0</v>
      </c>
      <c r="K127" t="n">
        <v>0</v>
      </c>
      <c r="L127" t="n">
        <v>0</v>
      </c>
      <c r="M127" t="n">
        <v>0</v>
      </c>
      <c r="N127" t="n">
        <v>0</v>
      </c>
      <c r="O127" t="n">
        <v>0</v>
      </c>
      <c r="P127" t="n">
        <v>0</v>
      </c>
      <c r="Q127" t="n">
        <v>0</v>
      </c>
      <c r="R127" s="2" t="inlineStr"/>
    </row>
    <row r="128" ht="15" customHeight="1">
      <c r="A128" t="inlineStr">
        <is>
          <t>A 27164-2019</t>
        </is>
      </c>
      <c r="B128" s="1" t="n">
        <v>43614</v>
      </c>
      <c r="C128" s="1" t="n">
        <v>45353</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27040-2019</t>
        </is>
      </c>
      <c r="B129" s="1" t="n">
        <v>43614</v>
      </c>
      <c r="C129" s="1" t="n">
        <v>45353</v>
      </c>
      <c r="D129" t="inlineStr">
        <is>
          <t>VÄSTMANLANDS LÄN</t>
        </is>
      </c>
      <c r="E129" t="inlineStr">
        <is>
          <t>SALA</t>
        </is>
      </c>
      <c r="G129" t="n">
        <v>1.4</v>
      </c>
      <c r="H129" t="n">
        <v>0</v>
      </c>
      <c r="I129" t="n">
        <v>0</v>
      </c>
      <c r="J129" t="n">
        <v>0</v>
      </c>
      <c r="K129" t="n">
        <v>0</v>
      </c>
      <c r="L129" t="n">
        <v>0</v>
      </c>
      <c r="M129" t="n">
        <v>0</v>
      </c>
      <c r="N129" t="n">
        <v>0</v>
      </c>
      <c r="O129" t="n">
        <v>0</v>
      </c>
      <c r="P129" t="n">
        <v>0</v>
      </c>
      <c r="Q129" t="n">
        <v>0</v>
      </c>
      <c r="R129" s="2" t="inlineStr"/>
    </row>
    <row r="130" ht="15" customHeight="1">
      <c r="A130" t="inlineStr">
        <is>
          <t>A 28132-2019</t>
        </is>
      </c>
      <c r="B130" s="1" t="n">
        <v>43621</v>
      </c>
      <c r="C130" s="1" t="n">
        <v>45353</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28143-2019</t>
        </is>
      </c>
      <c r="B131" s="1" t="n">
        <v>43621</v>
      </c>
      <c r="C131" s="1" t="n">
        <v>45353</v>
      </c>
      <c r="D131" t="inlineStr">
        <is>
          <t>VÄSTMANLANDS LÄN</t>
        </is>
      </c>
      <c r="E131" t="inlineStr">
        <is>
          <t>SALA</t>
        </is>
      </c>
      <c r="G131" t="n">
        <v>2.3</v>
      </c>
      <c r="H131" t="n">
        <v>0</v>
      </c>
      <c r="I131" t="n">
        <v>0</v>
      </c>
      <c r="J131" t="n">
        <v>0</v>
      </c>
      <c r="K131" t="n">
        <v>0</v>
      </c>
      <c r="L131" t="n">
        <v>0</v>
      </c>
      <c r="M131" t="n">
        <v>0</v>
      </c>
      <c r="N131" t="n">
        <v>0</v>
      </c>
      <c r="O131" t="n">
        <v>0</v>
      </c>
      <c r="P131" t="n">
        <v>0</v>
      </c>
      <c r="Q131" t="n">
        <v>0</v>
      </c>
      <c r="R131" s="2" t="inlineStr"/>
    </row>
    <row r="132" ht="15" customHeight="1">
      <c r="A132" t="inlineStr">
        <is>
          <t>A 28162-2019</t>
        </is>
      </c>
      <c r="B132" s="1" t="n">
        <v>43621</v>
      </c>
      <c r="C132" s="1" t="n">
        <v>45353</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29023-2019</t>
        </is>
      </c>
      <c r="B133" s="1" t="n">
        <v>43628</v>
      </c>
      <c r="C133" s="1" t="n">
        <v>45353</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29331-2019</t>
        </is>
      </c>
      <c r="B134" s="1" t="n">
        <v>43629</v>
      </c>
      <c r="C134" s="1" t="n">
        <v>45353</v>
      </c>
      <c r="D134" t="inlineStr">
        <is>
          <t>VÄSTMANLANDS LÄN</t>
        </is>
      </c>
      <c r="E134" t="inlineStr">
        <is>
          <t>SALA</t>
        </is>
      </c>
      <c r="G134" t="n">
        <v>5</v>
      </c>
      <c r="H134" t="n">
        <v>0</v>
      </c>
      <c r="I134" t="n">
        <v>0</v>
      </c>
      <c r="J134" t="n">
        <v>0</v>
      </c>
      <c r="K134" t="n">
        <v>0</v>
      </c>
      <c r="L134" t="n">
        <v>0</v>
      </c>
      <c r="M134" t="n">
        <v>0</v>
      </c>
      <c r="N134" t="n">
        <v>0</v>
      </c>
      <c r="O134" t="n">
        <v>0</v>
      </c>
      <c r="P134" t="n">
        <v>0</v>
      </c>
      <c r="Q134" t="n">
        <v>0</v>
      </c>
      <c r="R134" s="2" t="inlineStr"/>
    </row>
    <row r="135" ht="15" customHeight="1">
      <c r="A135" t="inlineStr">
        <is>
          <t>A 31225-2019</t>
        </is>
      </c>
      <c r="B135" s="1" t="n">
        <v>43635</v>
      </c>
      <c r="C135" s="1" t="n">
        <v>45353</v>
      </c>
      <c r="D135" t="inlineStr">
        <is>
          <t>VÄSTMANLANDS LÄN</t>
        </is>
      </c>
      <c r="E135" t="inlineStr">
        <is>
          <t>SALA</t>
        </is>
      </c>
      <c r="G135" t="n">
        <v>1.5</v>
      </c>
      <c r="H135" t="n">
        <v>0</v>
      </c>
      <c r="I135" t="n">
        <v>0</v>
      </c>
      <c r="J135" t="n">
        <v>0</v>
      </c>
      <c r="K135" t="n">
        <v>0</v>
      </c>
      <c r="L135" t="n">
        <v>0</v>
      </c>
      <c r="M135" t="n">
        <v>0</v>
      </c>
      <c r="N135" t="n">
        <v>0</v>
      </c>
      <c r="O135" t="n">
        <v>0</v>
      </c>
      <c r="P135" t="n">
        <v>0</v>
      </c>
      <c r="Q135" t="n">
        <v>0</v>
      </c>
      <c r="R135" s="2" t="inlineStr"/>
    </row>
    <row r="136" ht="15" customHeight="1">
      <c r="A136" t="inlineStr">
        <is>
          <t>A 30974-2019</t>
        </is>
      </c>
      <c r="B136" s="1" t="n">
        <v>43639</v>
      </c>
      <c r="C136" s="1" t="n">
        <v>45353</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34709-2019</t>
        </is>
      </c>
      <c r="B137" s="1" t="n">
        <v>43648</v>
      </c>
      <c r="C137" s="1" t="n">
        <v>45353</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35690-2019</t>
        </is>
      </c>
      <c r="B138" s="1" t="n">
        <v>43664</v>
      </c>
      <c r="C138" s="1" t="n">
        <v>45353</v>
      </c>
      <c r="D138" t="inlineStr">
        <is>
          <t>VÄSTMANLANDS LÄN</t>
        </is>
      </c>
      <c r="E138" t="inlineStr">
        <is>
          <t>SALA</t>
        </is>
      </c>
      <c r="G138" t="n">
        <v>3.1</v>
      </c>
      <c r="H138" t="n">
        <v>0</v>
      </c>
      <c r="I138" t="n">
        <v>0</v>
      </c>
      <c r="J138" t="n">
        <v>0</v>
      </c>
      <c r="K138" t="n">
        <v>0</v>
      </c>
      <c r="L138" t="n">
        <v>0</v>
      </c>
      <c r="M138" t="n">
        <v>0</v>
      </c>
      <c r="N138" t="n">
        <v>0</v>
      </c>
      <c r="O138" t="n">
        <v>0</v>
      </c>
      <c r="P138" t="n">
        <v>0</v>
      </c>
      <c r="Q138" t="n">
        <v>0</v>
      </c>
      <c r="R138" s="2" t="inlineStr"/>
    </row>
    <row r="139" ht="15" customHeight="1">
      <c r="A139" t="inlineStr">
        <is>
          <t>A 36142-2019</t>
        </is>
      </c>
      <c r="B139" s="1" t="n">
        <v>43668</v>
      </c>
      <c r="C139" s="1" t="n">
        <v>45353</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36429-2019</t>
        </is>
      </c>
      <c r="B140" s="1" t="n">
        <v>43670</v>
      </c>
      <c r="C140" s="1" t="n">
        <v>45353</v>
      </c>
      <c r="D140" t="inlineStr">
        <is>
          <t>VÄSTMANLANDS LÄN</t>
        </is>
      </c>
      <c r="E140" t="inlineStr">
        <is>
          <t>SALA</t>
        </is>
      </c>
      <c r="G140" t="n">
        <v>2</v>
      </c>
      <c r="H140" t="n">
        <v>0</v>
      </c>
      <c r="I140" t="n">
        <v>0</v>
      </c>
      <c r="J140" t="n">
        <v>0</v>
      </c>
      <c r="K140" t="n">
        <v>0</v>
      </c>
      <c r="L140" t="n">
        <v>0</v>
      </c>
      <c r="M140" t="n">
        <v>0</v>
      </c>
      <c r="N140" t="n">
        <v>0</v>
      </c>
      <c r="O140" t="n">
        <v>0</v>
      </c>
      <c r="P140" t="n">
        <v>0</v>
      </c>
      <c r="Q140" t="n">
        <v>0</v>
      </c>
      <c r="R140" s="2" t="inlineStr"/>
    </row>
    <row r="141" ht="15" customHeight="1">
      <c r="A141" t="inlineStr">
        <is>
          <t>A 36600-2019</t>
        </is>
      </c>
      <c r="B141" s="1" t="n">
        <v>43671</v>
      </c>
      <c r="C141" s="1" t="n">
        <v>45353</v>
      </c>
      <c r="D141" t="inlineStr">
        <is>
          <t>VÄSTMANLANDS LÄN</t>
        </is>
      </c>
      <c r="E141" t="inlineStr">
        <is>
          <t>SALA</t>
        </is>
      </c>
      <c r="F141" t="inlineStr">
        <is>
          <t>Kyrkan</t>
        </is>
      </c>
      <c r="G141" t="n">
        <v>4.3</v>
      </c>
      <c r="H141" t="n">
        <v>0</v>
      </c>
      <c r="I141" t="n">
        <v>0</v>
      </c>
      <c r="J141" t="n">
        <v>0</v>
      </c>
      <c r="K141" t="n">
        <v>0</v>
      </c>
      <c r="L141" t="n">
        <v>0</v>
      </c>
      <c r="M141" t="n">
        <v>0</v>
      </c>
      <c r="N141" t="n">
        <v>0</v>
      </c>
      <c r="O141" t="n">
        <v>0</v>
      </c>
      <c r="P141" t="n">
        <v>0</v>
      </c>
      <c r="Q141" t="n">
        <v>0</v>
      </c>
      <c r="R141" s="2" t="inlineStr"/>
    </row>
    <row r="142" ht="15" customHeight="1">
      <c r="A142" t="inlineStr">
        <is>
          <t>A 37186-2019</t>
        </is>
      </c>
      <c r="B142" s="1" t="n">
        <v>43677</v>
      </c>
      <c r="C142" s="1" t="n">
        <v>45353</v>
      </c>
      <c r="D142" t="inlineStr">
        <is>
          <t>VÄSTMANLANDS LÄN</t>
        </is>
      </c>
      <c r="E142" t="inlineStr">
        <is>
          <t>SALA</t>
        </is>
      </c>
      <c r="G142" t="n">
        <v>1.8</v>
      </c>
      <c r="H142" t="n">
        <v>0</v>
      </c>
      <c r="I142" t="n">
        <v>0</v>
      </c>
      <c r="J142" t="n">
        <v>0</v>
      </c>
      <c r="K142" t="n">
        <v>0</v>
      </c>
      <c r="L142" t="n">
        <v>0</v>
      </c>
      <c r="M142" t="n">
        <v>0</v>
      </c>
      <c r="N142" t="n">
        <v>0</v>
      </c>
      <c r="O142" t="n">
        <v>0</v>
      </c>
      <c r="P142" t="n">
        <v>0</v>
      </c>
      <c r="Q142" t="n">
        <v>0</v>
      </c>
      <c r="R142" s="2" t="inlineStr"/>
    </row>
    <row r="143" ht="15" customHeight="1">
      <c r="A143" t="inlineStr">
        <is>
          <t>A 37533-2019</t>
        </is>
      </c>
      <c r="B143" s="1" t="n">
        <v>43679</v>
      </c>
      <c r="C143" s="1" t="n">
        <v>45353</v>
      </c>
      <c r="D143" t="inlineStr">
        <is>
          <t>VÄSTMANLANDS LÄN</t>
        </is>
      </c>
      <c r="E143" t="inlineStr">
        <is>
          <t>SALA</t>
        </is>
      </c>
      <c r="G143" t="n">
        <v>7.9</v>
      </c>
      <c r="H143" t="n">
        <v>0</v>
      </c>
      <c r="I143" t="n">
        <v>0</v>
      </c>
      <c r="J143" t="n">
        <v>0</v>
      </c>
      <c r="K143" t="n">
        <v>0</v>
      </c>
      <c r="L143" t="n">
        <v>0</v>
      </c>
      <c r="M143" t="n">
        <v>0</v>
      </c>
      <c r="N143" t="n">
        <v>0</v>
      </c>
      <c r="O143" t="n">
        <v>0</v>
      </c>
      <c r="P143" t="n">
        <v>0</v>
      </c>
      <c r="Q143" t="n">
        <v>0</v>
      </c>
      <c r="R143" s="2" t="inlineStr"/>
    </row>
    <row r="144" ht="15" customHeight="1">
      <c r="A144" t="inlineStr">
        <is>
          <t>A 38645-2019</t>
        </is>
      </c>
      <c r="B144" s="1" t="n">
        <v>43686</v>
      </c>
      <c r="C144" s="1" t="n">
        <v>45353</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39483-2019</t>
        </is>
      </c>
      <c r="B145" s="1" t="n">
        <v>43691</v>
      </c>
      <c r="C145" s="1" t="n">
        <v>45353</v>
      </c>
      <c r="D145" t="inlineStr">
        <is>
          <t>VÄSTMANLANDS LÄN</t>
        </is>
      </c>
      <c r="E145" t="inlineStr">
        <is>
          <t>SALA</t>
        </is>
      </c>
      <c r="G145" t="n">
        <v>4.6</v>
      </c>
      <c r="H145" t="n">
        <v>0</v>
      </c>
      <c r="I145" t="n">
        <v>0</v>
      </c>
      <c r="J145" t="n">
        <v>0</v>
      </c>
      <c r="K145" t="n">
        <v>0</v>
      </c>
      <c r="L145" t="n">
        <v>0</v>
      </c>
      <c r="M145" t="n">
        <v>0</v>
      </c>
      <c r="N145" t="n">
        <v>0</v>
      </c>
      <c r="O145" t="n">
        <v>0</v>
      </c>
      <c r="P145" t="n">
        <v>0</v>
      </c>
      <c r="Q145" t="n">
        <v>0</v>
      </c>
      <c r="R145" s="2" t="inlineStr"/>
    </row>
    <row r="146" ht="15" customHeight="1">
      <c r="A146" t="inlineStr">
        <is>
          <t>A 41259-2019</t>
        </is>
      </c>
      <c r="B146" s="1" t="n">
        <v>43698</v>
      </c>
      <c r="C146" s="1" t="n">
        <v>45353</v>
      </c>
      <c r="D146" t="inlineStr">
        <is>
          <t>VÄSTMANLANDS LÄN</t>
        </is>
      </c>
      <c r="E146" t="inlineStr">
        <is>
          <t>SALA</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45302-2019</t>
        </is>
      </c>
      <c r="B147" s="1" t="n">
        <v>43707</v>
      </c>
      <c r="C147" s="1" t="n">
        <v>45353</v>
      </c>
      <c r="D147" t="inlineStr">
        <is>
          <t>VÄSTMANLANDS LÄN</t>
        </is>
      </c>
      <c r="E147" t="inlineStr">
        <is>
          <t>SALA</t>
        </is>
      </c>
      <c r="G147" t="n">
        <v>2.1</v>
      </c>
      <c r="H147" t="n">
        <v>0</v>
      </c>
      <c r="I147" t="n">
        <v>0</v>
      </c>
      <c r="J147" t="n">
        <v>0</v>
      </c>
      <c r="K147" t="n">
        <v>0</v>
      </c>
      <c r="L147" t="n">
        <v>0</v>
      </c>
      <c r="M147" t="n">
        <v>0</v>
      </c>
      <c r="N147" t="n">
        <v>0</v>
      </c>
      <c r="O147" t="n">
        <v>0</v>
      </c>
      <c r="P147" t="n">
        <v>0</v>
      </c>
      <c r="Q147" t="n">
        <v>0</v>
      </c>
      <c r="R147" s="2" t="inlineStr"/>
    </row>
    <row r="148" ht="15" customHeight="1">
      <c r="A148" t="inlineStr">
        <is>
          <t>A 46936-2019</t>
        </is>
      </c>
      <c r="B148" s="1" t="n">
        <v>43719</v>
      </c>
      <c r="C148" s="1" t="n">
        <v>45353</v>
      </c>
      <c r="D148" t="inlineStr">
        <is>
          <t>VÄSTMANLANDS LÄN</t>
        </is>
      </c>
      <c r="E148" t="inlineStr">
        <is>
          <t>SALA</t>
        </is>
      </c>
      <c r="G148" t="n">
        <v>4.6</v>
      </c>
      <c r="H148" t="n">
        <v>0</v>
      </c>
      <c r="I148" t="n">
        <v>0</v>
      </c>
      <c r="J148" t="n">
        <v>0</v>
      </c>
      <c r="K148" t="n">
        <v>0</v>
      </c>
      <c r="L148" t="n">
        <v>0</v>
      </c>
      <c r="M148" t="n">
        <v>0</v>
      </c>
      <c r="N148" t="n">
        <v>0</v>
      </c>
      <c r="O148" t="n">
        <v>0</v>
      </c>
      <c r="P148" t="n">
        <v>0</v>
      </c>
      <c r="Q148" t="n">
        <v>0</v>
      </c>
      <c r="R148" s="2" t="inlineStr"/>
    </row>
    <row r="149" ht="15" customHeight="1">
      <c r="A149" t="inlineStr">
        <is>
          <t>A 48617-2019</t>
        </is>
      </c>
      <c r="B149" s="1" t="n">
        <v>43727</v>
      </c>
      <c r="C149" s="1" t="n">
        <v>45353</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48681-2019</t>
        </is>
      </c>
      <c r="B150" s="1" t="n">
        <v>43728</v>
      </c>
      <c r="C150" s="1" t="n">
        <v>45353</v>
      </c>
      <c r="D150" t="inlineStr">
        <is>
          <t>VÄSTMANLANDS LÄN</t>
        </is>
      </c>
      <c r="E150" t="inlineStr">
        <is>
          <t>SALA</t>
        </is>
      </c>
      <c r="G150" t="n">
        <v>1.9</v>
      </c>
      <c r="H150" t="n">
        <v>0</v>
      </c>
      <c r="I150" t="n">
        <v>0</v>
      </c>
      <c r="J150" t="n">
        <v>0</v>
      </c>
      <c r="K150" t="n">
        <v>0</v>
      </c>
      <c r="L150" t="n">
        <v>0</v>
      </c>
      <c r="M150" t="n">
        <v>0</v>
      </c>
      <c r="N150" t="n">
        <v>0</v>
      </c>
      <c r="O150" t="n">
        <v>0</v>
      </c>
      <c r="P150" t="n">
        <v>0</v>
      </c>
      <c r="Q150" t="n">
        <v>0</v>
      </c>
      <c r="R150" s="2" t="inlineStr"/>
    </row>
    <row r="151" ht="15" customHeight="1">
      <c r="A151" t="inlineStr">
        <is>
          <t>A 52756-2019</t>
        </is>
      </c>
      <c r="B151" s="1" t="n">
        <v>43739</v>
      </c>
      <c r="C151" s="1" t="n">
        <v>45353</v>
      </c>
      <c r="D151" t="inlineStr">
        <is>
          <t>VÄSTMANLANDS LÄN</t>
        </is>
      </c>
      <c r="E151" t="inlineStr">
        <is>
          <t>SALA</t>
        </is>
      </c>
      <c r="G151" t="n">
        <v>4.2</v>
      </c>
      <c r="H151" t="n">
        <v>0</v>
      </c>
      <c r="I151" t="n">
        <v>0</v>
      </c>
      <c r="J151" t="n">
        <v>0</v>
      </c>
      <c r="K151" t="n">
        <v>0</v>
      </c>
      <c r="L151" t="n">
        <v>0</v>
      </c>
      <c r="M151" t="n">
        <v>0</v>
      </c>
      <c r="N151" t="n">
        <v>0</v>
      </c>
      <c r="O151" t="n">
        <v>0</v>
      </c>
      <c r="P151" t="n">
        <v>0</v>
      </c>
      <c r="Q151" t="n">
        <v>0</v>
      </c>
      <c r="R151" s="2" t="inlineStr"/>
    </row>
    <row r="152" ht="15" customHeight="1">
      <c r="A152" t="inlineStr">
        <is>
          <t>A 51854-2019</t>
        </is>
      </c>
      <c r="B152" s="1" t="n">
        <v>43741</v>
      </c>
      <c r="C152" s="1" t="n">
        <v>45353</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54393-2019</t>
        </is>
      </c>
      <c r="B153" s="1" t="n">
        <v>43746</v>
      </c>
      <c r="C153" s="1" t="n">
        <v>45353</v>
      </c>
      <c r="D153" t="inlineStr">
        <is>
          <t>VÄSTMANLANDS LÄN</t>
        </is>
      </c>
      <c r="E153" t="inlineStr">
        <is>
          <t>SALA</t>
        </is>
      </c>
      <c r="G153" t="n">
        <v>3.2</v>
      </c>
      <c r="H153" t="n">
        <v>0</v>
      </c>
      <c r="I153" t="n">
        <v>0</v>
      </c>
      <c r="J153" t="n">
        <v>0</v>
      </c>
      <c r="K153" t="n">
        <v>0</v>
      </c>
      <c r="L153" t="n">
        <v>0</v>
      </c>
      <c r="M153" t="n">
        <v>0</v>
      </c>
      <c r="N153" t="n">
        <v>0</v>
      </c>
      <c r="O153" t="n">
        <v>0</v>
      </c>
      <c r="P153" t="n">
        <v>0</v>
      </c>
      <c r="Q153" t="n">
        <v>0</v>
      </c>
      <c r="R153" s="2" t="inlineStr"/>
    </row>
    <row r="154" ht="15" customHeight="1">
      <c r="A154" t="inlineStr">
        <is>
          <t>A 54069-2019</t>
        </is>
      </c>
      <c r="B154" s="1" t="n">
        <v>43752</v>
      </c>
      <c r="C154" s="1" t="n">
        <v>45353</v>
      </c>
      <c r="D154" t="inlineStr">
        <is>
          <t>VÄSTMANLANDS LÄN</t>
        </is>
      </c>
      <c r="E154" t="inlineStr">
        <is>
          <t>SALA</t>
        </is>
      </c>
      <c r="G154" t="n">
        <v>3.5</v>
      </c>
      <c r="H154" t="n">
        <v>0</v>
      </c>
      <c r="I154" t="n">
        <v>0</v>
      </c>
      <c r="J154" t="n">
        <v>0</v>
      </c>
      <c r="K154" t="n">
        <v>0</v>
      </c>
      <c r="L154" t="n">
        <v>0</v>
      </c>
      <c r="M154" t="n">
        <v>0</v>
      </c>
      <c r="N154" t="n">
        <v>0</v>
      </c>
      <c r="O154" t="n">
        <v>0</v>
      </c>
      <c r="P154" t="n">
        <v>0</v>
      </c>
      <c r="Q154" t="n">
        <v>0</v>
      </c>
      <c r="R154" s="2" t="inlineStr"/>
    </row>
    <row r="155" ht="15" customHeight="1">
      <c r="A155" t="inlineStr">
        <is>
          <t>A 57743-2019</t>
        </is>
      </c>
      <c r="B155" s="1" t="n">
        <v>43768</v>
      </c>
      <c r="C155" s="1" t="n">
        <v>45353</v>
      </c>
      <c r="D155" t="inlineStr">
        <is>
          <t>VÄSTMANLANDS LÄN</t>
        </is>
      </c>
      <c r="E155" t="inlineStr">
        <is>
          <t>SALA</t>
        </is>
      </c>
      <c r="G155" t="n">
        <v>3.8</v>
      </c>
      <c r="H155" t="n">
        <v>0</v>
      </c>
      <c r="I155" t="n">
        <v>0</v>
      </c>
      <c r="J155" t="n">
        <v>0</v>
      </c>
      <c r="K155" t="n">
        <v>0</v>
      </c>
      <c r="L155" t="n">
        <v>0</v>
      </c>
      <c r="M155" t="n">
        <v>0</v>
      </c>
      <c r="N155" t="n">
        <v>0</v>
      </c>
      <c r="O155" t="n">
        <v>0</v>
      </c>
      <c r="P155" t="n">
        <v>0</v>
      </c>
      <c r="Q155" t="n">
        <v>0</v>
      </c>
      <c r="R155" s="2" t="inlineStr"/>
    </row>
    <row r="156" ht="15" customHeight="1">
      <c r="A156" t="inlineStr">
        <is>
          <t>A 58003-2019</t>
        </is>
      </c>
      <c r="B156" s="1" t="n">
        <v>43769</v>
      </c>
      <c r="C156" s="1" t="n">
        <v>45353</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58027-2019</t>
        </is>
      </c>
      <c r="B157" s="1" t="n">
        <v>43769</v>
      </c>
      <c r="C157" s="1" t="n">
        <v>45353</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58681-2019</t>
        </is>
      </c>
      <c r="B158" s="1" t="n">
        <v>43773</v>
      </c>
      <c r="C158" s="1" t="n">
        <v>45353</v>
      </c>
      <c r="D158" t="inlineStr">
        <is>
          <t>VÄSTMANLANDS LÄN</t>
        </is>
      </c>
      <c r="E158" t="inlineStr">
        <is>
          <t>SALA</t>
        </is>
      </c>
      <c r="G158" t="n">
        <v>3</v>
      </c>
      <c r="H158" t="n">
        <v>0</v>
      </c>
      <c r="I158" t="n">
        <v>0</v>
      </c>
      <c r="J158" t="n">
        <v>0</v>
      </c>
      <c r="K158" t="n">
        <v>0</v>
      </c>
      <c r="L158" t="n">
        <v>0</v>
      </c>
      <c r="M158" t="n">
        <v>0</v>
      </c>
      <c r="N158" t="n">
        <v>0</v>
      </c>
      <c r="O158" t="n">
        <v>0</v>
      </c>
      <c r="P158" t="n">
        <v>0</v>
      </c>
      <c r="Q158" t="n">
        <v>0</v>
      </c>
      <c r="R158" s="2" t="inlineStr"/>
    </row>
    <row r="159" ht="15" customHeight="1">
      <c r="A159" t="inlineStr">
        <is>
          <t>A 58917-2019</t>
        </is>
      </c>
      <c r="B159" s="1" t="n">
        <v>43774</v>
      </c>
      <c r="C159" s="1" t="n">
        <v>45353</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59147-2019</t>
        </is>
      </c>
      <c r="B160" s="1" t="n">
        <v>43775</v>
      </c>
      <c r="C160" s="1" t="n">
        <v>45353</v>
      </c>
      <c r="D160" t="inlineStr">
        <is>
          <t>VÄSTMANLANDS LÄN</t>
        </is>
      </c>
      <c r="E160" t="inlineStr">
        <is>
          <t>SALA</t>
        </is>
      </c>
      <c r="F160" t="inlineStr">
        <is>
          <t>Övriga Aktiebolag</t>
        </is>
      </c>
      <c r="G160" t="n">
        <v>69.8</v>
      </c>
      <c r="H160" t="n">
        <v>0</v>
      </c>
      <c r="I160" t="n">
        <v>0</v>
      </c>
      <c r="J160" t="n">
        <v>0</v>
      </c>
      <c r="K160" t="n">
        <v>0</v>
      </c>
      <c r="L160" t="n">
        <v>0</v>
      </c>
      <c r="M160" t="n">
        <v>0</v>
      </c>
      <c r="N160" t="n">
        <v>0</v>
      </c>
      <c r="O160" t="n">
        <v>0</v>
      </c>
      <c r="P160" t="n">
        <v>0</v>
      </c>
      <c r="Q160" t="n">
        <v>0</v>
      </c>
      <c r="R160" s="2" t="inlineStr"/>
    </row>
    <row r="161" ht="15" customHeight="1">
      <c r="A161" t="inlineStr">
        <is>
          <t>A 60007-2019</t>
        </is>
      </c>
      <c r="B161" s="1" t="n">
        <v>43777</v>
      </c>
      <c r="C161" s="1" t="n">
        <v>45353</v>
      </c>
      <c r="D161" t="inlineStr">
        <is>
          <t>VÄSTMANLANDS LÄN</t>
        </is>
      </c>
      <c r="E161" t="inlineStr">
        <is>
          <t>SALA</t>
        </is>
      </c>
      <c r="F161" t="inlineStr">
        <is>
          <t>Kyrkan</t>
        </is>
      </c>
      <c r="G161" t="n">
        <v>5.1</v>
      </c>
      <c r="H161" t="n">
        <v>0</v>
      </c>
      <c r="I161" t="n">
        <v>0</v>
      </c>
      <c r="J161" t="n">
        <v>0</v>
      </c>
      <c r="K161" t="n">
        <v>0</v>
      </c>
      <c r="L161" t="n">
        <v>0</v>
      </c>
      <c r="M161" t="n">
        <v>0</v>
      </c>
      <c r="N161" t="n">
        <v>0</v>
      </c>
      <c r="O161" t="n">
        <v>0</v>
      </c>
      <c r="P161" t="n">
        <v>0</v>
      </c>
      <c r="Q161" t="n">
        <v>0</v>
      </c>
      <c r="R161" s="2" t="inlineStr"/>
    </row>
    <row r="162" ht="15" customHeight="1">
      <c r="A162" t="inlineStr">
        <is>
          <t>A 60012-2019</t>
        </is>
      </c>
      <c r="B162" s="1" t="n">
        <v>43777</v>
      </c>
      <c r="C162" s="1" t="n">
        <v>45353</v>
      </c>
      <c r="D162" t="inlineStr">
        <is>
          <t>VÄSTMANLANDS LÄN</t>
        </is>
      </c>
      <c r="E162" t="inlineStr">
        <is>
          <t>SALA</t>
        </is>
      </c>
      <c r="F162" t="inlineStr">
        <is>
          <t>Kyrkan</t>
        </is>
      </c>
      <c r="G162" t="n">
        <v>1.5</v>
      </c>
      <c r="H162" t="n">
        <v>0</v>
      </c>
      <c r="I162" t="n">
        <v>0</v>
      </c>
      <c r="J162" t="n">
        <v>0</v>
      </c>
      <c r="K162" t="n">
        <v>0</v>
      </c>
      <c r="L162" t="n">
        <v>0</v>
      </c>
      <c r="M162" t="n">
        <v>0</v>
      </c>
      <c r="N162" t="n">
        <v>0</v>
      </c>
      <c r="O162" t="n">
        <v>0</v>
      </c>
      <c r="P162" t="n">
        <v>0</v>
      </c>
      <c r="Q162" t="n">
        <v>0</v>
      </c>
      <c r="R162" s="2" t="inlineStr"/>
    </row>
    <row r="163" ht="15" customHeight="1">
      <c r="A163" t="inlineStr">
        <is>
          <t>A 61270-2019</t>
        </is>
      </c>
      <c r="B163" s="1" t="n">
        <v>43783</v>
      </c>
      <c r="C163" s="1" t="n">
        <v>45353</v>
      </c>
      <c r="D163" t="inlineStr">
        <is>
          <t>VÄSTMANLANDS LÄN</t>
        </is>
      </c>
      <c r="E163" t="inlineStr">
        <is>
          <t>SALA</t>
        </is>
      </c>
      <c r="G163" t="n">
        <v>3.3</v>
      </c>
      <c r="H163" t="n">
        <v>0</v>
      </c>
      <c r="I163" t="n">
        <v>0</v>
      </c>
      <c r="J163" t="n">
        <v>0</v>
      </c>
      <c r="K163" t="n">
        <v>0</v>
      </c>
      <c r="L163" t="n">
        <v>0</v>
      </c>
      <c r="M163" t="n">
        <v>0</v>
      </c>
      <c r="N163" t="n">
        <v>0</v>
      </c>
      <c r="O163" t="n">
        <v>0</v>
      </c>
      <c r="P163" t="n">
        <v>0</v>
      </c>
      <c r="Q163" t="n">
        <v>0</v>
      </c>
      <c r="R163" s="2" t="inlineStr"/>
    </row>
    <row r="164" ht="15" customHeight="1">
      <c r="A164" t="inlineStr">
        <is>
          <t>A 61394-2019</t>
        </is>
      </c>
      <c r="B164" s="1" t="n">
        <v>43783</v>
      </c>
      <c r="C164" s="1" t="n">
        <v>45353</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61758-2019</t>
        </is>
      </c>
      <c r="B165" s="1" t="n">
        <v>43784</v>
      </c>
      <c r="C165" s="1" t="n">
        <v>45353</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62390-2019</t>
        </is>
      </c>
      <c r="B166" s="1" t="n">
        <v>43788</v>
      </c>
      <c r="C166" s="1" t="n">
        <v>45353</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64164-2019</t>
        </is>
      </c>
      <c r="B167" s="1" t="n">
        <v>43791</v>
      </c>
      <c r="C167" s="1" t="n">
        <v>45353</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63369-2019</t>
        </is>
      </c>
      <c r="B168" s="1" t="n">
        <v>43794</v>
      </c>
      <c r="C168" s="1" t="n">
        <v>45353</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63498-2019</t>
        </is>
      </c>
      <c r="B169" s="1" t="n">
        <v>43794</v>
      </c>
      <c r="C169" s="1" t="n">
        <v>45353</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64090-2019</t>
        </is>
      </c>
      <c r="B170" s="1" t="n">
        <v>43796</v>
      </c>
      <c r="C170" s="1" t="n">
        <v>45353</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64092-2019</t>
        </is>
      </c>
      <c r="B171" s="1" t="n">
        <v>43796</v>
      </c>
      <c r="C171" s="1" t="n">
        <v>45353</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65021-2019</t>
        </is>
      </c>
      <c r="B172" s="1" t="n">
        <v>43801</v>
      </c>
      <c r="C172" s="1" t="n">
        <v>45353</v>
      </c>
      <c r="D172" t="inlineStr">
        <is>
          <t>VÄSTMANLANDS LÄN</t>
        </is>
      </c>
      <c r="E172" t="inlineStr">
        <is>
          <t>SALA</t>
        </is>
      </c>
      <c r="F172" t="inlineStr">
        <is>
          <t>Sveaskog</t>
        </is>
      </c>
      <c r="G172" t="n">
        <v>3.5</v>
      </c>
      <c r="H172" t="n">
        <v>0</v>
      </c>
      <c r="I172" t="n">
        <v>0</v>
      </c>
      <c r="J172" t="n">
        <v>0</v>
      </c>
      <c r="K172" t="n">
        <v>0</v>
      </c>
      <c r="L172" t="n">
        <v>0</v>
      </c>
      <c r="M172" t="n">
        <v>0</v>
      </c>
      <c r="N172" t="n">
        <v>0</v>
      </c>
      <c r="O172" t="n">
        <v>0</v>
      </c>
      <c r="P172" t="n">
        <v>0</v>
      </c>
      <c r="Q172" t="n">
        <v>0</v>
      </c>
      <c r="R172" s="2" t="inlineStr"/>
    </row>
    <row r="173" ht="15" customHeight="1">
      <c r="A173" t="inlineStr">
        <is>
          <t>A 66089-2019</t>
        </is>
      </c>
      <c r="B173" s="1" t="n">
        <v>43807</v>
      </c>
      <c r="C173" s="1" t="n">
        <v>45353</v>
      </c>
      <c r="D173" t="inlineStr">
        <is>
          <t>VÄSTMANLANDS LÄN</t>
        </is>
      </c>
      <c r="E173" t="inlineStr">
        <is>
          <t>SALA</t>
        </is>
      </c>
      <c r="G173" t="n">
        <v>17.1</v>
      </c>
      <c r="H173" t="n">
        <v>0</v>
      </c>
      <c r="I173" t="n">
        <v>0</v>
      </c>
      <c r="J173" t="n">
        <v>0</v>
      </c>
      <c r="K173" t="n">
        <v>0</v>
      </c>
      <c r="L173" t="n">
        <v>0</v>
      </c>
      <c r="M173" t="n">
        <v>0</v>
      </c>
      <c r="N173" t="n">
        <v>0</v>
      </c>
      <c r="O173" t="n">
        <v>0</v>
      </c>
      <c r="P173" t="n">
        <v>0</v>
      </c>
      <c r="Q173" t="n">
        <v>0</v>
      </c>
      <c r="R173" s="2" t="inlineStr"/>
    </row>
    <row r="174" ht="15" customHeight="1">
      <c r="A174" t="inlineStr">
        <is>
          <t>A 66216-2019</t>
        </is>
      </c>
      <c r="B174" s="1" t="n">
        <v>43808</v>
      </c>
      <c r="C174" s="1" t="n">
        <v>45353</v>
      </c>
      <c r="D174" t="inlineStr">
        <is>
          <t>VÄSTMANLANDS LÄN</t>
        </is>
      </c>
      <c r="E174" t="inlineStr">
        <is>
          <t>SALA</t>
        </is>
      </c>
      <c r="F174" t="inlineStr">
        <is>
          <t>Kommuner</t>
        </is>
      </c>
      <c r="G174" t="n">
        <v>3.7</v>
      </c>
      <c r="H174" t="n">
        <v>0</v>
      </c>
      <c r="I174" t="n">
        <v>0</v>
      </c>
      <c r="J174" t="n">
        <v>0</v>
      </c>
      <c r="K174" t="n">
        <v>0</v>
      </c>
      <c r="L174" t="n">
        <v>0</v>
      </c>
      <c r="M174" t="n">
        <v>0</v>
      </c>
      <c r="N174" t="n">
        <v>0</v>
      </c>
      <c r="O174" t="n">
        <v>0</v>
      </c>
      <c r="P174" t="n">
        <v>0</v>
      </c>
      <c r="Q174" t="n">
        <v>0</v>
      </c>
      <c r="R174" s="2" t="inlineStr"/>
    </row>
    <row r="175" ht="15" customHeight="1">
      <c r="A175" t="inlineStr">
        <is>
          <t>A 67360-2019</t>
        </is>
      </c>
      <c r="B175" s="1" t="n">
        <v>43812</v>
      </c>
      <c r="C175" s="1" t="n">
        <v>45353</v>
      </c>
      <c r="D175" t="inlineStr">
        <is>
          <t>VÄSTMANLANDS LÄN</t>
        </is>
      </c>
      <c r="E175" t="inlineStr">
        <is>
          <t>SALA</t>
        </is>
      </c>
      <c r="G175" t="n">
        <v>4.9</v>
      </c>
      <c r="H175" t="n">
        <v>0</v>
      </c>
      <c r="I175" t="n">
        <v>0</v>
      </c>
      <c r="J175" t="n">
        <v>0</v>
      </c>
      <c r="K175" t="n">
        <v>0</v>
      </c>
      <c r="L175" t="n">
        <v>0</v>
      </c>
      <c r="M175" t="n">
        <v>0</v>
      </c>
      <c r="N175" t="n">
        <v>0</v>
      </c>
      <c r="O175" t="n">
        <v>0</v>
      </c>
      <c r="P175" t="n">
        <v>0</v>
      </c>
      <c r="Q175" t="n">
        <v>0</v>
      </c>
      <c r="R175" s="2" t="inlineStr"/>
    </row>
    <row r="176" ht="15" customHeight="1">
      <c r="A176" t="inlineStr">
        <is>
          <t>A 68398-2019</t>
        </is>
      </c>
      <c r="B176" s="1" t="n">
        <v>43818</v>
      </c>
      <c r="C176" s="1" t="n">
        <v>45353</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68394-2019</t>
        </is>
      </c>
      <c r="B177" s="1" t="n">
        <v>43818</v>
      </c>
      <c r="C177" s="1" t="n">
        <v>45353</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1465-2020</t>
        </is>
      </c>
      <c r="B178" s="1" t="n">
        <v>43822</v>
      </c>
      <c r="C178" s="1" t="n">
        <v>45353</v>
      </c>
      <c r="D178" t="inlineStr">
        <is>
          <t>VÄSTMANLANDS LÄN</t>
        </is>
      </c>
      <c r="E178" t="inlineStr">
        <is>
          <t>SALA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63-2020</t>
        </is>
      </c>
      <c r="B179" s="1" t="n">
        <v>43832</v>
      </c>
      <c r="C179" s="1" t="n">
        <v>45353</v>
      </c>
      <c r="D179" t="inlineStr">
        <is>
          <t>VÄSTMANLANDS LÄN</t>
        </is>
      </c>
      <c r="E179" t="inlineStr">
        <is>
          <t>SALA</t>
        </is>
      </c>
      <c r="G179" t="n">
        <v>4.6</v>
      </c>
      <c r="H179" t="n">
        <v>0</v>
      </c>
      <c r="I179" t="n">
        <v>0</v>
      </c>
      <c r="J179" t="n">
        <v>0</v>
      </c>
      <c r="K179" t="n">
        <v>0</v>
      </c>
      <c r="L179" t="n">
        <v>0</v>
      </c>
      <c r="M179" t="n">
        <v>0</v>
      </c>
      <c r="N179" t="n">
        <v>0</v>
      </c>
      <c r="O179" t="n">
        <v>0</v>
      </c>
      <c r="P179" t="n">
        <v>0</v>
      </c>
      <c r="Q179" t="n">
        <v>0</v>
      </c>
      <c r="R179" s="2" t="inlineStr"/>
    </row>
    <row r="180" ht="15" customHeight="1">
      <c r="A180" t="inlineStr">
        <is>
          <t>A 151-2020</t>
        </is>
      </c>
      <c r="B180" s="1" t="n">
        <v>43833</v>
      </c>
      <c r="C180" s="1" t="n">
        <v>45353</v>
      </c>
      <c r="D180" t="inlineStr">
        <is>
          <t>VÄSTMANLANDS LÄN</t>
        </is>
      </c>
      <c r="E180" t="inlineStr">
        <is>
          <t>SALA</t>
        </is>
      </c>
      <c r="F180" t="inlineStr">
        <is>
          <t>Kyrkan</t>
        </is>
      </c>
      <c r="G180" t="n">
        <v>6.5</v>
      </c>
      <c r="H180" t="n">
        <v>0</v>
      </c>
      <c r="I180" t="n">
        <v>0</v>
      </c>
      <c r="J180" t="n">
        <v>0</v>
      </c>
      <c r="K180" t="n">
        <v>0</v>
      </c>
      <c r="L180" t="n">
        <v>0</v>
      </c>
      <c r="M180" t="n">
        <v>0</v>
      </c>
      <c r="N180" t="n">
        <v>0</v>
      </c>
      <c r="O180" t="n">
        <v>0</v>
      </c>
      <c r="P180" t="n">
        <v>0</v>
      </c>
      <c r="Q180" t="n">
        <v>0</v>
      </c>
      <c r="R180" s="2" t="inlineStr"/>
    </row>
    <row r="181" ht="15" customHeight="1">
      <c r="A181" t="inlineStr">
        <is>
          <t>A 161-2020</t>
        </is>
      </c>
      <c r="B181" s="1" t="n">
        <v>43833</v>
      </c>
      <c r="C181" s="1" t="n">
        <v>45353</v>
      </c>
      <c r="D181" t="inlineStr">
        <is>
          <t>VÄSTMANLANDS LÄN</t>
        </is>
      </c>
      <c r="E181" t="inlineStr">
        <is>
          <t>SALA</t>
        </is>
      </c>
      <c r="F181" t="inlineStr">
        <is>
          <t>Kyrkan</t>
        </is>
      </c>
      <c r="G181" t="n">
        <v>1.6</v>
      </c>
      <c r="H181" t="n">
        <v>0</v>
      </c>
      <c r="I181" t="n">
        <v>0</v>
      </c>
      <c r="J181" t="n">
        <v>0</v>
      </c>
      <c r="K181" t="n">
        <v>0</v>
      </c>
      <c r="L181" t="n">
        <v>0</v>
      </c>
      <c r="M181" t="n">
        <v>0</v>
      </c>
      <c r="N181" t="n">
        <v>0</v>
      </c>
      <c r="O181" t="n">
        <v>0</v>
      </c>
      <c r="P181" t="n">
        <v>0</v>
      </c>
      <c r="Q181" t="n">
        <v>0</v>
      </c>
      <c r="R181" s="2" t="inlineStr"/>
    </row>
    <row r="182" ht="15" customHeight="1">
      <c r="A182" t="inlineStr">
        <is>
          <t>A 297-2020</t>
        </is>
      </c>
      <c r="B182" s="1" t="n">
        <v>43837</v>
      </c>
      <c r="C182" s="1" t="n">
        <v>45353</v>
      </c>
      <c r="D182" t="inlineStr">
        <is>
          <t>VÄSTMANLANDS LÄN</t>
        </is>
      </c>
      <c r="E182" t="inlineStr">
        <is>
          <t>SALA</t>
        </is>
      </c>
      <c r="F182" t="inlineStr">
        <is>
          <t>Kyrkan</t>
        </is>
      </c>
      <c r="G182" t="n">
        <v>0.3</v>
      </c>
      <c r="H182" t="n">
        <v>0</v>
      </c>
      <c r="I182" t="n">
        <v>0</v>
      </c>
      <c r="J182" t="n">
        <v>0</v>
      </c>
      <c r="K182" t="n">
        <v>0</v>
      </c>
      <c r="L182" t="n">
        <v>0</v>
      </c>
      <c r="M182" t="n">
        <v>0</v>
      </c>
      <c r="N182" t="n">
        <v>0</v>
      </c>
      <c r="O182" t="n">
        <v>0</v>
      </c>
      <c r="P182" t="n">
        <v>0</v>
      </c>
      <c r="Q182" t="n">
        <v>0</v>
      </c>
      <c r="R182" s="2" t="inlineStr"/>
    </row>
    <row r="183" ht="15" customHeight="1">
      <c r="A183" t="inlineStr">
        <is>
          <t>A 496-2020</t>
        </is>
      </c>
      <c r="B183" s="1" t="n">
        <v>43837</v>
      </c>
      <c r="C183" s="1" t="n">
        <v>45353</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1005-2020</t>
        </is>
      </c>
      <c r="B184" s="1" t="n">
        <v>43839</v>
      </c>
      <c r="C184" s="1" t="n">
        <v>45353</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1272-2020</t>
        </is>
      </c>
      <c r="B185" s="1" t="n">
        <v>43841</v>
      </c>
      <c r="C185" s="1" t="n">
        <v>45353</v>
      </c>
      <c r="D185" t="inlineStr">
        <is>
          <t>VÄSTMANLANDS LÄN</t>
        </is>
      </c>
      <c r="E185" t="inlineStr">
        <is>
          <t>SALA</t>
        </is>
      </c>
      <c r="G185" t="n">
        <v>0.9</v>
      </c>
      <c r="H185" t="n">
        <v>0</v>
      </c>
      <c r="I185" t="n">
        <v>0</v>
      </c>
      <c r="J185" t="n">
        <v>0</v>
      </c>
      <c r="K185" t="n">
        <v>0</v>
      </c>
      <c r="L185" t="n">
        <v>0</v>
      </c>
      <c r="M185" t="n">
        <v>0</v>
      </c>
      <c r="N185" t="n">
        <v>0</v>
      </c>
      <c r="O185" t="n">
        <v>0</v>
      </c>
      <c r="P185" t="n">
        <v>0</v>
      </c>
      <c r="Q185" t="n">
        <v>0</v>
      </c>
      <c r="R185" s="2" t="inlineStr"/>
    </row>
    <row r="186" ht="15" customHeight="1">
      <c r="A186" t="inlineStr">
        <is>
          <t>A 1346-2020</t>
        </is>
      </c>
      <c r="B186" s="1" t="n">
        <v>43843</v>
      </c>
      <c r="C186" s="1" t="n">
        <v>45353</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3935-2020</t>
        </is>
      </c>
      <c r="B187" s="1" t="n">
        <v>43846</v>
      </c>
      <c r="C187" s="1" t="n">
        <v>45353</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2588-2020</t>
        </is>
      </c>
      <c r="B188" s="1" t="n">
        <v>43847</v>
      </c>
      <c r="C188" s="1" t="n">
        <v>45353</v>
      </c>
      <c r="D188" t="inlineStr">
        <is>
          <t>VÄSTMANLANDS LÄN</t>
        </is>
      </c>
      <c r="E188" t="inlineStr">
        <is>
          <t>SALA</t>
        </is>
      </c>
      <c r="G188" t="n">
        <v>1.8</v>
      </c>
      <c r="H188" t="n">
        <v>0</v>
      </c>
      <c r="I188" t="n">
        <v>0</v>
      </c>
      <c r="J188" t="n">
        <v>0</v>
      </c>
      <c r="K188" t="n">
        <v>0</v>
      </c>
      <c r="L188" t="n">
        <v>0</v>
      </c>
      <c r="M188" t="n">
        <v>0</v>
      </c>
      <c r="N188" t="n">
        <v>0</v>
      </c>
      <c r="O188" t="n">
        <v>0</v>
      </c>
      <c r="P188" t="n">
        <v>0</v>
      </c>
      <c r="Q188" t="n">
        <v>0</v>
      </c>
      <c r="R188" s="2" t="inlineStr"/>
    </row>
    <row r="189" ht="15" customHeight="1">
      <c r="A189" t="inlineStr">
        <is>
          <t>A 4630-2020</t>
        </is>
      </c>
      <c r="B189" s="1" t="n">
        <v>43851</v>
      </c>
      <c r="C189" s="1" t="n">
        <v>45353</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3590-2020</t>
        </is>
      </c>
      <c r="B190" s="1" t="n">
        <v>43853</v>
      </c>
      <c r="C190" s="1" t="n">
        <v>45353</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4866-2020</t>
        </is>
      </c>
      <c r="B191" s="1" t="n">
        <v>43859</v>
      </c>
      <c r="C191" s="1" t="n">
        <v>45353</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5201-2020</t>
        </is>
      </c>
      <c r="B192" s="1" t="n">
        <v>43860</v>
      </c>
      <c r="C192" s="1" t="n">
        <v>45353</v>
      </c>
      <c r="D192" t="inlineStr">
        <is>
          <t>VÄSTMANLANDS LÄN</t>
        </is>
      </c>
      <c r="E192" t="inlineStr">
        <is>
          <t>SALA</t>
        </is>
      </c>
      <c r="F192" t="inlineStr">
        <is>
          <t>Kyrkan</t>
        </is>
      </c>
      <c r="G192" t="n">
        <v>5</v>
      </c>
      <c r="H192" t="n">
        <v>0</v>
      </c>
      <c r="I192" t="n">
        <v>0</v>
      </c>
      <c r="J192" t="n">
        <v>0</v>
      </c>
      <c r="K192" t="n">
        <v>0</v>
      </c>
      <c r="L192" t="n">
        <v>0</v>
      </c>
      <c r="M192" t="n">
        <v>0</v>
      </c>
      <c r="N192" t="n">
        <v>0</v>
      </c>
      <c r="O192" t="n">
        <v>0</v>
      </c>
      <c r="P192" t="n">
        <v>0</v>
      </c>
      <c r="Q192" t="n">
        <v>0</v>
      </c>
      <c r="R192" s="2" t="inlineStr"/>
    </row>
    <row r="193" ht="15" customHeight="1">
      <c r="A193" t="inlineStr">
        <is>
          <t>A 5163-2020</t>
        </is>
      </c>
      <c r="B193" s="1" t="n">
        <v>43860</v>
      </c>
      <c r="C193" s="1" t="n">
        <v>45353</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5191-2020</t>
        </is>
      </c>
      <c r="B194" s="1" t="n">
        <v>43860</v>
      </c>
      <c r="C194" s="1" t="n">
        <v>45353</v>
      </c>
      <c r="D194" t="inlineStr">
        <is>
          <t>VÄSTMANLANDS LÄN</t>
        </is>
      </c>
      <c r="E194" t="inlineStr">
        <is>
          <t>SALA</t>
        </is>
      </c>
      <c r="F194" t="inlineStr">
        <is>
          <t>Kyrkan</t>
        </is>
      </c>
      <c r="G194" t="n">
        <v>10.9</v>
      </c>
      <c r="H194" t="n">
        <v>0</v>
      </c>
      <c r="I194" t="n">
        <v>0</v>
      </c>
      <c r="J194" t="n">
        <v>0</v>
      </c>
      <c r="K194" t="n">
        <v>0</v>
      </c>
      <c r="L194" t="n">
        <v>0</v>
      </c>
      <c r="M194" t="n">
        <v>0</v>
      </c>
      <c r="N194" t="n">
        <v>0</v>
      </c>
      <c r="O194" t="n">
        <v>0</v>
      </c>
      <c r="P194" t="n">
        <v>0</v>
      </c>
      <c r="Q194" t="n">
        <v>0</v>
      </c>
      <c r="R194" s="2" t="inlineStr"/>
    </row>
    <row r="195" ht="15" customHeight="1">
      <c r="A195" t="inlineStr">
        <is>
          <t>A 5320-2020</t>
        </is>
      </c>
      <c r="B195" s="1" t="n">
        <v>43860</v>
      </c>
      <c r="C195" s="1" t="n">
        <v>45353</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5587-2020</t>
        </is>
      </c>
      <c r="B196" s="1" t="n">
        <v>43861</v>
      </c>
      <c r="C196" s="1" t="n">
        <v>45353</v>
      </c>
      <c r="D196" t="inlineStr">
        <is>
          <t>VÄSTMANLANDS LÄN</t>
        </is>
      </c>
      <c r="E196" t="inlineStr">
        <is>
          <t>SALA</t>
        </is>
      </c>
      <c r="G196" t="n">
        <v>9.6</v>
      </c>
      <c r="H196" t="n">
        <v>0</v>
      </c>
      <c r="I196" t="n">
        <v>0</v>
      </c>
      <c r="J196" t="n">
        <v>0</v>
      </c>
      <c r="K196" t="n">
        <v>0</v>
      </c>
      <c r="L196" t="n">
        <v>0</v>
      </c>
      <c r="M196" t="n">
        <v>0</v>
      </c>
      <c r="N196" t="n">
        <v>0</v>
      </c>
      <c r="O196" t="n">
        <v>0</v>
      </c>
      <c r="P196" t="n">
        <v>0</v>
      </c>
      <c r="Q196" t="n">
        <v>0</v>
      </c>
      <c r="R196" s="2" t="inlineStr"/>
    </row>
    <row r="197" ht="15" customHeight="1">
      <c r="A197" t="inlineStr">
        <is>
          <t>A 5750-2020</t>
        </is>
      </c>
      <c r="B197" s="1" t="n">
        <v>43864</v>
      </c>
      <c r="C197" s="1" t="n">
        <v>45353</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6185-2020</t>
        </is>
      </c>
      <c r="B198" s="1" t="n">
        <v>43865</v>
      </c>
      <c r="C198" s="1" t="n">
        <v>45353</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7190-2020</t>
        </is>
      </c>
      <c r="B199" s="1" t="n">
        <v>43868</v>
      </c>
      <c r="C199" s="1" t="n">
        <v>45353</v>
      </c>
      <c r="D199" t="inlineStr">
        <is>
          <t>VÄSTMANLANDS LÄN</t>
        </is>
      </c>
      <c r="E199" t="inlineStr">
        <is>
          <t>SALA</t>
        </is>
      </c>
      <c r="G199" t="n">
        <v>4.5</v>
      </c>
      <c r="H199" t="n">
        <v>0</v>
      </c>
      <c r="I199" t="n">
        <v>0</v>
      </c>
      <c r="J199" t="n">
        <v>0</v>
      </c>
      <c r="K199" t="n">
        <v>0</v>
      </c>
      <c r="L199" t="n">
        <v>0</v>
      </c>
      <c r="M199" t="n">
        <v>0</v>
      </c>
      <c r="N199" t="n">
        <v>0</v>
      </c>
      <c r="O199" t="n">
        <v>0</v>
      </c>
      <c r="P199" t="n">
        <v>0</v>
      </c>
      <c r="Q199" t="n">
        <v>0</v>
      </c>
      <c r="R199" s="2" t="inlineStr"/>
    </row>
    <row r="200" ht="15" customHeight="1">
      <c r="A200" t="inlineStr">
        <is>
          <t>A 10010-2020</t>
        </is>
      </c>
      <c r="B200" s="1" t="n">
        <v>43882</v>
      </c>
      <c r="C200" s="1" t="n">
        <v>45353</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10276-2020</t>
        </is>
      </c>
      <c r="B201" s="1" t="n">
        <v>43885</v>
      </c>
      <c r="C201" s="1" t="n">
        <v>45353</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10811-2020</t>
        </is>
      </c>
      <c r="B202" s="1" t="n">
        <v>43888</v>
      </c>
      <c r="C202" s="1" t="n">
        <v>45353</v>
      </c>
      <c r="D202" t="inlineStr">
        <is>
          <t>VÄSTMANLANDS LÄN</t>
        </is>
      </c>
      <c r="E202" t="inlineStr">
        <is>
          <t>SALA</t>
        </is>
      </c>
      <c r="G202" t="n">
        <v>3.9</v>
      </c>
      <c r="H202" t="n">
        <v>0</v>
      </c>
      <c r="I202" t="n">
        <v>0</v>
      </c>
      <c r="J202" t="n">
        <v>0</v>
      </c>
      <c r="K202" t="n">
        <v>0</v>
      </c>
      <c r="L202" t="n">
        <v>0</v>
      </c>
      <c r="M202" t="n">
        <v>0</v>
      </c>
      <c r="N202" t="n">
        <v>0</v>
      </c>
      <c r="O202" t="n">
        <v>0</v>
      </c>
      <c r="P202" t="n">
        <v>0</v>
      </c>
      <c r="Q202" t="n">
        <v>0</v>
      </c>
      <c r="R202" s="2" t="inlineStr"/>
    </row>
    <row r="203" ht="15" customHeight="1">
      <c r="A203" t="inlineStr">
        <is>
          <t>A 14110-2020</t>
        </is>
      </c>
      <c r="B203" s="1" t="n">
        <v>43900</v>
      </c>
      <c r="C203" s="1" t="n">
        <v>45353</v>
      </c>
      <c r="D203" t="inlineStr">
        <is>
          <t>VÄSTMANLANDS LÄN</t>
        </is>
      </c>
      <c r="E203" t="inlineStr">
        <is>
          <t>SALA</t>
        </is>
      </c>
      <c r="G203" t="n">
        <v>2.5</v>
      </c>
      <c r="H203" t="n">
        <v>0</v>
      </c>
      <c r="I203" t="n">
        <v>0</v>
      </c>
      <c r="J203" t="n">
        <v>0</v>
      </c>
      <c r="K203" t="n">
        <v>0</v>
      </c>
      <c r="L203" t="n">
        <v>0</v>
      </c>
      <c r="M203" t="n">
        <v>0</v>
      </c>
      <c r="N203" t="n">
        <v>0</v>
      </c>
      <c r="O203" t="n">
        <v>0</v>
      </c>
      <c r="P203" t="n">
        <v>0</v>
      </c>
      <c r="Q203" t="n">
        <v>0</v>
      </c>
      <c r="R203" s="2" t="inlineStr"/>
    </row>
    <row r="204" ht="15" customHeight="1">
      <c r="A204" t="inlineStr">
        <is>
          <t>A 13643-2020</t>
        </is>
      </c>
      <c r="B204" s="1" t="n">
        <v>43903</v>
      </c>
      <c r="C204" s="1" t="n">
        <v>45353</v>
      </c>
      <c r="D204" t="inlineStr">
        <is>
          <t>VÄSTMANLANDS LÄN</t>
        </is>
      </c>
      <c r="E204" t="inlineStr">
        <is>
          <t>SALA</t>
        </is>
      </c>
      <c r="G204" t="n">
        <v>2.3</v>
      </c>
      <c r="H204" t="n">
        <v>0</v>
      </c>
      <c r="I204" t="n">
        <v>0</v>
      </c>
      <c r="J204" t="n">
        <v>0</v>
      </c>
      <c r="K204" t="n">
        <v>0</v>
      </c>
      <c r="L204" t="n">
        <v>0</v>
      </c>
      <c r="M204" t="n">
        <v>0</v>
      </c>
      <c r="N204" t="n">
        <v>0</v>
      </c>
      <c r="O204" t="n">
        <v>0</v>
      </c>
      <c r="P204" t="n">
        <v>0</v>
      </c>
      <c r="Q204" t="n">
        <v>0</v>
      </c>
      <c r="R204" s="2" t="inlineStr"/>
    </row>
    <row r="205" ht="15" customHeight="1">
      <c r="A205" t="inlineStr">
        <is>
          <t>A 13936-2020</t>
        </is>
      </c>
      <c r="B205" s="1" t="n">
        <v>43903</v>
      </c>
      <c r="C205" s="1" t="n">
        <v>45353</v>
      </c>
      <c r="D205" t="inlineStr">
        <is>
          <t>VÄSTMANLANDS LÄN</t>
        </is>
      </c>
      <c r="E205" t="inlineStr">
        <is>
          <t>SALA</t>
        </is>
      </c>
      <c r="G205" t="n">
        <v>1.7</v>
      </c>
      <c r="H205" t="n">
        <v>0</v>
      </c>
      <c r="I205" t="n">
        <v>0</v>
      </c>
      <c r="J205" t="n">
        <v>0</v>
      </c>
      <c r="K205" t="n">
        <v>0</v>
      </c>
      <c r="L205" t="n">
        <v>0</v>
      </c>
      <c r="M205" t="n">
        <v>0</v>
      </c>
      <c r="N205" t="n">
        <v>0</v>
      </c>
      <c r="O205" t="n">
        <v>0</v>
      </c>
      <c r="P205" t="n">
        <v>0</v>
      </c>
      <c r="Q205" t="n">
        <v>0</v>
      </c>
      <c r="R205" s="2" t="inlineStr"/>
    </row>
    <row r="206" ht="15" customHeight="1">
      <c r="A206" t="inlineStr">
        <is>
          <t>A 14049-2020</t>
        </is>
      </c>
      <c r="B206" s="1" t="n">
        <v>43906</v>
      </c>
      <c r="C206" s="1" t="n">
        <v>45353</v>
      </c>
      <c r="D206" t="inlineStr">
        <is>
          <t>VÄSTMANLANDS LÄN</t>
        </is>
      </c>
      <c r="E206" t="inlineStr">
        <is>
          <t>SALA</t>
        </is>
      </c>
      <c r="G206" t="n">
        <v>4.4</v>
      </c>
      <c r="H206" t="n">
        <v>0</v>
      </c>
      <c r="I206" t="n">
        <v>0</v>
      </c>
      <c r="J206" t="n">
        <v>0</v>
      </c>
      <c r="K206" t="n">
        <v>0</v>
      </c>
      <c r="L206" t="n">
        <v>0</v>
      </c>
      <c r="M206" t="n">
        <v>0</v>
      </c>
      <c r="N206" t="n">
        <v>0</v>
      </c>
      <c r="O206" t="n">
        <v>0</v>
      </c>
      <c r="P206" t="n">
        <v>0</v>
      </c>
      <c r="Q206" t="n">
        <v>0</v>
      </c>
      <c r="R206" s="2" t="inlineStr"/>
    </row>
    <row r="207" ht="15" customHeight="1">
      <c r="A207" t="inlineStr">
        <is>
          <t>A 14542-2020</t>
        </is>
      </c>
      <c r="B207" s="1" t="n">
        <v>43908</v>
      </c>
      <c r="C207" s="1" t="n">
        <v>45353</v>
      </c>
      <c r="D207" t="inlineStr">
        <is>
          <t>VÄSTMANLANDS LÄN</t>
        </is>
      </c>
      <c r="E207" t="inlineStr">
        <is>
          <t>SALA</t>
        </is>
      </c>
      <c r="G207" t="n">
        <v>4.1</v>
      </c>
      <c r="H207" t="n">
        <v>0</v>
      </c>
      <c r="I207" t="n">
        <v>0</v>
      </c>
      <c r="J207" t="n">
        <v>0</v>
      </c>
      <c r="K207" t="n">
        <v>0</v>
      </c>
      <c r="L207" t="n">
        <v>0</v>
      </c>
      <c r="M207" t="n">
        <v>0</v>
      </c>
      <c r="N207" t="n">
        <v>0</v>
      </c>
      <c r="O207" t="n">
        <v>0</v>
      </c>
      <c r="P207" t="n">
        <v>0</v>
      </c>
      <c r="Q207" t="n">
        <v>0</v>
      </c>
      <c r="R207" s="2" t="inlineStr"/>
    </row>
    <row r="208" ht="15" customHeight="1">
      <c r="A208" t="inlineStr">
        <is>
          <t>A 16480-2020</t>
        </is>
      </c>
      <c r="B208" s="1" t="n">
        <v>43914</v>
      </c>
      <c r="C208" s="1" t="n">
        <v>45353</v>
      </c>
      <c r="D208" t="inlineStr">
        <is>
          <t>VÄSTMANLANDS LÄN</t>
        </is>
      </c>
      <c r="E208" t="inlineStr">
        <is>
          <t>SALA</t>
        </is>
      </c>
      <c r="G208" t="n">
        <v>1.4</v>
      </c>
      <c r="H208" t="n">
        <v>0</v>
      </c>
      <c r="I208" t="n">
        <v>0</v>
      </c>
      <c r="J208" t="n">
        <v>0</v>
      </c>
      <c r="K208" t="n">
        <v>0</v>
      </c>
      <c r="L208" t="n">
        <v>0</v>
      </c>
      <c r="M208" t="n">
        <v>0</v>
      </c>
      <c r="N208" t="n">
        <v>0</v>
      </c>
      <c r="O208" t="n">
        <v>0</v>
      </c>
      <c r="P208" t="n">
        <v>0</v>
      </c>
      <c r="Q208" t="n">
        <v>0</v>
      </c>
      <c r="R208" s="2" t="inlineStr"/>
    </row>
    <row r="209" ht="15" customHeight="1">
      <c r="A209" t="inlineStr">
        <is>
          <t>A 15850-2020</t>
        </is>
      </c>
      <c r="B209" s="1" t="n">
        <v>43915</v>
      </c>
      <c r="C209" s="1" t="n">
        <v>45353</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15748-2020</t>
        </is>
      </c>
      <c r="B210" s="1" t="n">
        <v>43915</v>
      </c>
      <c r="C210" s="1" t="n">
        <v>45353</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16093-2020</t>
        </is>
      </c>
      <c r="B211" s="1" t="n">
        <v>43916</v>
      </c>
      <c r="C211" s="1" t="n">
        <v>45353</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17139-2020</t>
        </is>
      </c>
      <c r="B212" s="1" t="n">
        <v>43922</v>
      </c>
      <c r="C212" s="1" t="n">
        <v>45353</v>
      </c>
      <c r="D212" t="inlineStr">
        <is>
          <t>VÄSTMANLANDS LÄN</t>
        </is>
      </c>
      <c r="E212" t="inlineStr">
        <is>
          <t>SALA</t>
        </is>
      </c>
      <c r="G212" t="n">
        <v>0.5</v>
      </c>
      <c r="H212" t="n">
        <v>0</v>
      </c>
      <c r="I212" t="n">
        <v>0</v>
      </c>
      <c r="J212" t="n">
        <v>0</v>
      </c>
      <c r="K212" t="n">
        <v>0</v>
      </c>
      <c r="L212" t="n">
        <v>0</v>
      </c>
      <c r="M212" t="n">
        <v>0</v>
      </c>
      <c r="N212" t="n">
        <v>0</v>
      </c>
      <c r="O212" t="n">
        <v>0</v>
      </c>
      <c r="P212" t="n">
        <v>0</v>
      </c>
      <c r="Q212" t="n">
        <v>0</v>
      </c>
      <c r="R212" s="2" t="inlineStr"/>
    </row>
    <row r="213" ht="15" customHeight="1">
      <c r="A213" t="inlineStr">
        <is>
          <t>A 17205-2020</t>
        </is>
      </c>
      <c r="B213" s="1" t="n">
        <v>43922</v>
      </c>
      <c r="C213" s="1" t="n">
        <v>45353</v>
      </c>
      <c r="D213" t="inlineStr">
        <is>
          <t>VÄSTMANLANDS LÄN</t>
        </is>
      </c>
      <c r="E213" t="inlineStr">
        <is>
          <t>SALA</t>
        </is>
      </c>
      <c r="G213" t="n">
        <v>3.2</v>
      </c>
      <c r="H213" t="n">
        <v>0</v>
      </c>
      <c r="I213" t="n">
        <v>0</v>
      </c>
      <c r="J213" t="n">
        <v>0</v>
      </c>
      <c r="K213" t="n">
        <v>0</v>
      </c>
      <c r="L213" t="n">
        <v>0</v>
      </c>
      <c r="M213" t="n">
        <v>0</v>
      </c>
      <c r="N213" t="n">
        <v>0</v>
      </c>
      <c r="O213" t="n">
        <v>0</v>
      </c>
      <c r="P213" t="n">
        <v>0</v>
      </c>
      <c r="Q213" t="n">
        <v>0</v>
      </c>
      <c r="R213" s="2" t="inlineStr"/>
    </row>
    <row r="214" ht="15" customHeight="1">
      <c r="A214" t="inlineStr">
        <is>
          <t>A 17355-2020</t>
        </is>
      </c>
      <c r="B214" s="1" t="n">
        <v>43923</v>
      </c>
      <c r="C214" s="1" t="n">
        <v>45353</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17492-2020</t>
        </is>
      </c>
      <c r="B215" s="1" t="n">
        <v>43923</v>
      </c>
      <c r="C215" s="1" t="n">
        <v>45353</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17919-2020</t>
        </is>
      </c>
      <c r="B216" s="1" t="n">
        <v>43924</v>
      </c>
      <c r="C216" s="1" t="n">
        <v>45353</v>
      </c>
      <c r="D216" t="inlineStr">
        <is>
          <t>VÄSTMANLANDS LÄN</t>
        </is>
      </c>
      <c r="E216" t="inlineStr">
        <is>
          <t>SALA</t>
        </is>
      </c>
      <c r="G216" t="n">
        <v>2.6</v>
      </c>
      <c r="H216" t="n">
        <v>0</v>
      </c>
      <c r="I216" t="n">
        <v>0</v>
      </c>
      <c r="J216" t="n">
        <v>0</v>
      </c>
      <c r="K216" t="n">
        <v>0</v>
      </c>
      <c r="L216" t="n">
        <v>0</v>
      </c>
      <c r="M216" t="n">
        <v>0</v>
      </c>
      <c r="N216" t="n">
        <v>0</v>
      </c>
      <c r="O216" t="n">
        <v>0</v>
      </c>
      <c r="P216" t="n">
        <v>0</v>
      </c>
      <c r="Q216" t="n">
        <v>0</v>
      </c>
      <c r="R216" s="2" t="inlineStr"/>
    </row>
    <row r="217" ht="15" customHeight="1">
      <c r="A217" t="inlineStr">
        <is>
          <t>A 18772-2020</t>
        </is>
      </c>
      <c r="B217" s="1" t="n">
        <v>43930</v>
      </c>
      <c r="C217" s="1" t="n">
        <v>45353</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19071-2020</t>
        </is>
      </c>
      <c r="B218" s="1" t="n">
        <v>43936</v>
      </c>
      <c r="C218" s="1" t="n">
        <v>45353</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19480-2020</t>
        </is>
      </c>
      <c r="B219" s="1" t="n">
        <v>43936</v>
      </c>
      <c r="C219" s="1" t="n">
        <v>45353</v>
      </c>
      <c r="D219" t="inlineStr">
        <is>
          <t>VÄSTMANLANDS LÄN</t>
        </is>
      </c>
      <c r="E219" t="inlineStr">
        <is>
          <t>SALA</t>
        </is>
      </c>
      <c r="G219" t="n">
        <v>4.8</v>
      </c>
      <c r="H219" t="n">
        <v>0</v>
      </c>
      <c r="I219" t="n">
        <v>0</v>
      </c>
      <c r="J219" t="n">
        <v>0</v>
      </c>
      <c r="K219" t="n">
        <v>0</v>
      </c>
      <c r="L219" t="n">
        <v>0</v>
      </c>
      <c r="M219" t="n">
        <v>0</v>
      </c>
      <c r="N219" t="n">
        <v>0</v>
      </c>
      <c r="O219" t="n">
        <v>0</v>
      </c>
      <c r="P219" t="n">
        <v>0</v>
      </c>
      <c r="Q219" t="n">
        <v>0</v>
      </c>
      <c r="R219" s="2" t="inlineStr"/>
    </row>
    <row r="220" ht="15" customHeight="1">
      <c r="A220" t="inlineStr">
        <is>
          <t>A 22305-2020</t>
        </is>
      </c>
      <c r="B220" s="1" t="n">
        <v>43957</v>
      </c>
      <c r="C220" s="1" t="n">
        <v>45353</v>
      </c>
      <c r="D220" t="inlineStr">
        <is>
          <t>VÄSTMANLANDS LÄN</t>
        </is>
      </c>
      <c r="E220" t="inlineStr">
        <is>
          <t>SALA</t>
        </is>
      </c>
      <c r="G220" t="n">
        <v>2.9</v>
      </c>
      <c r="H220" t="n">
        <v>0</v>
      </c>
      <c r="I220" t="n">
        <v>0</v>
      </c>
      <c r="J220" t="n">
        <v>0</v>
      </c>
      <c r="K220" t="n">
        <v>0</v>
      </c>
      <c r="L220" t="n">
        <v>0</v>
      </c>
      <c r="M220" t="n">
        <v>0</v>
      </c>
      <c r="N220" t="n">
        <v>0</v>
      </c>
      <c r="O220" t="n">
        <v>0</v>
      </c>
      <c r="P220" t="n">
        <v>0</v>
      </c>
      <c r="Q220" t="n">
        <v>0</v>
      </c>
      <c r="R220" s="2" t="inlineStr"/>
    </row>
    <row r="221" ht="15" customHeight="1">
      <c r="A221" t="inlineStr">
        <is>
          <t>A 22058-2020</t>
        </is>
      </c>
      <c r="B221" s="1" t="n">
        <v>43959</v>
      </c>
      <c r="C221" s="1" t="n">
        <v>45353</v>
      </c>
      <c r="D221" t="inlineStr">
        <is>
          <t>VÄSTMANLANDS LÄN</t>
        </is>
      </c>
      <c r="E221" t="inlineStr">
        <is>
          <t>SALA</t>
        </is>
      </c>
      <c r="G221" t="n">
        <v>3.1</v>
      </c>
      <c r="H221" t="n">
        <v>0</v>
      </c>
      <c r="I221" t="n">
        <v>0</v>
      </c>
      <c r="J221" t="n">
        <v>0</v>
      </c>
      <c r="K221" t="n">
        <v>0</v>
      </c>
      <c r="L221" t="n">
        <v>0</v>
      </c>
      <c r="M221" t="n">
        <v>0</v>
      </c>
      <c r="N221" t="n">
        <v>0</v>
      </c>
      <c r="O221" t="n">
        <v>0</v>
      </c>
      <c r="P221" t="n">
        <v>0</v>
      </c>
      <c r="Q221" t="n">
        <v>0</v>
      </c>
      <c r="R221" s="2" t="inlineStr"/>
    </row>
    <row r="222" ht="15" customHeight="1">
      <c r="A222" t="inlineStr">
        <is>
          <t>A 24235-2020</t>
        </is>
      </c>
      <c r="B222" s="1" t="n">
        <v>43976</v>
      </c>
      <c r="C222" s="1" t="n">
        <v>45353</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24763-2020</t>
        </is>
      </c>
      <c r="B223" s="1" t="n">
        <v>43978</v>
      </c>
      <c r="C223" s="1" t="n">
        <v>45353</v>
      </c>
      <c r="D223" t="inlineStr">
        <is>
          <t>VÄSTMANLANDS LÄN</t>
        </is>
      </c>
      <c r="E223" t="inlineStr">
        <is>
          <t>SALA</t>
        </is>
      </c>
      <c r="G223" t="n">
        <v>3.6</v>
      </c>
      <c r="H223" t="n">
        <v>0</v>
      </c>
      <c r="I223" t="n">
        <v>0</v>
      </c>
      <c r="J223" t="n">
        <v>0</v>
      </c>
      <c r="K223" t="n">
        <v>0</v>
      </c>
      <c r="L223" t="n">
        <v>0</v>
      </c>
      <c r="M223" t="n">
        <v>0</v>
      </c>
      <c r="N223" t="n">
        <v>0</v>
      </c>
      <c r="O223" t="n">
        <v>0</v>
      </c>
      <c r="P223" t="n">
        <v>0</v>
      </c>
      <c r="Q223" t="n">
        <v>0</v>
      </c>
      <c r="R223" s="2" t="inlineStr"/>
    </row>
    <row r="224" ht="15" customHeight="1">
      <c r="A224" t="inlineStr">
        <is>
          <t>A 26098-2020</t>
        </is>
      </c>
      <c r="B224" s="1" t="n">
        <v>43985</v>
      </c>
      <c r="C224" s="1" t="n">
        <v>45353</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26425-2020</t>
        </is>
      </c>
      <c r="B225" s="1" t="n">
        <v>43987</v>
      </c>
      <c r="C225" s="1" t="n">
        <v>45353</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26937-2020</t>
        </is>
      </c>
      <c r="B226" s="1" t="n">
        <v>43990</v>
      </c>
      <c r="C226" s="1" t="n">
        <v>45353</v>
      </c>
      <c r="D226" t="inlineStr">
        <is>
          <t>VÄSTMANLANDS LÄN</t>
        </is>
      </c>
      <c r="E226" t="inlineStr">
        <is>
          <t>SALA</t>
        </is>
      </c>
      <c r="F226" t="inlineStr">
        <is>
          <t>Bergvik skog öst AB</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27730-2020</t>
        </is>
      </c>
      <c r="B227" s="1" t="n">
        <v>43994</v>
      </c>
      <c r="C227" s="1" t="n">
        <v>45353</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29845-2020</t>
        </is>
      </c>
      <c r="B228" s="1" t="n">
        <v>44005</v>
      </c>
      <c r="C228" s="1" t="n">
        <v>45353</v>
      </c>
      <c r="D228" t="inlineStr">
        <is>
          <t>VÄSTMANLANDS LÄN</t>
        </is>
      </c>
      <c r="E228" t="inlineStr">
        <is>
          <t>SALA</t>
        </is>
      </c>
      <c r="G228" t="n">
        <v>2.4</v>
      </c>
      <c r="H228" t="n">
        <v>0</v>
      </c>
      <c r="I228" t="n">
        <v>0</v>
      </c>
      <c r="J228" t="n">
        <v>0</v>
      </c>
      <c r="K228" t="n">
        <v>0</v>
      </c>
      <c r="L228" t="n">
        <v>0</v>
      </c>
      <c r="M228" t="n">
        <v>0</v>
      </c>
      <c r="N228" t="n">
        <v>0</v>
      </c>
      <c r="O228" t="n">
        <v>0</v>
      </c>
      <c r="P228" t="n">
        <v>0</v>
      </c>
      <c r="Q228" t="n">
        <v>0</v>
      </c>
      <c r="R228" s="2" t="inlineStr"/>
    </row>
    <row r="229" ht="15" customHeight="1">
      <c r="A229" t="inlineStr">
        <is>
          <t>A 29821-2020</t>
        </is>
      </c>
      <c r="B229" s="1" t="n">
        <v>44005</v>
      </c>
      <c r="C229" s="1" t="n">
        <v>45353</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29925-2020</t>
        </is>
      </c>
      <c r="B230" s="1" t="n">
        <v>44006</v>
      </c>
      <c r="C230" s="1" t="n">
        <v>45353</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30327-2020</t>
        </is>
      </c>
      <c r="B231" s="1" t="n">
        <v>44007</v>
      </c>
      <c r="C231" s="1" t="n">
        <v>45353</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32371-2020</t>
        </is>
      </c>
      <c r="B232" s="1" t="n">
        <v>44018</v>
      </c>
      <c r="C232" s="1" t="n">
        <v>45353</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32367-2020</t>
        </is>
      </c>
      <c r="B233" s="1" t="n">
        <v>44018</v>
      </c>
      <c r="C233" s="1" t="n">
        <v>45353</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32368-2020</t>
        </is>
      </c>
      <c r="B234" s="1" t="n">
        <v>44018</v>
      </c>
      <c r="C234" s="1" t="n">
        <v>45353</v>
      </c>
      <c r="D234" t="inlineStr">
        <is>
          <t>VÄSTMANLANDS LÄN</t>
        </is>
      </c>
      <c r="E234" t="inlineStr">
        <is>
          <t>SALA</t>
        </is>
      </c>
      <c r="G234" t="n">
        <v>3.4</v>
      </c>
      <c r="H234" t="n">
        <v>0</v>
      </c>
      <c r="I234" t="n">
        <v>0</v>
      </c>
      <c r="J234" t="n">
        <v>0</v>
      </c>
      <c r="K234" t="n">
        <v>0</v>
      </c>
      <c r="L234" t="n">
        <v>0</v>
      </c>
      <c r="M234" t="n">
        <v>0</v>
      </c>
      <c r="N234" t="n">
        <v>0</v>
      </c>
      <c r="O234" t="n">
        <v>0</v>
      </c>
      <c r="P234" t="n">
        <v>0</v>
      </c>
      <c r="Q234" t="n">
        <v>0</v>
      </c>
      <c r="R234" s="2" t="inlineStr"/>
    </row>
    <row r="235" ht="15" customHeight="1">
      <c r="A235" t="inlineStr">
        <is>
          <t>A 32377-2020</t>
        </is>
      </c>
      <c r="B235" s="1" t="n">
        <v>44018</v>
      </c>
      <c r="C235" s="1" t="n">
        <v>45353</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33181-2020</t>
        </is>
      </c>
      <c r="B236" s="1" t="n">
        <v>44021</v>
      </c>
      <c r="C236" s="1" t="n">
        <v>45353</v>
      </c>
      <c r="D236" t="inlineStr">
        <is>
          <t>VÄSTMANLANDS LÄN</t>
        </is>
      </c>
      <c r="E236" t="inlineStr">
        <is>
          <t>SALA</t>
        </is>
      </c>
      <c r="G236" t="n">
        <v>2.8</v>
      </c>
      <c r="H236" t="n">
        <v>0</v>
      </c>
      <c r="I236" t="n">
        <v>0</v>
      </c>
      <c r="J236" t="n">
        <v>0</v>
      </c>
      <c r="K236" t="n">
        <v>0</v>
      </c>
      <c r="L236" t="n">
        <v>0</v>
      </c>
      <c r="M236" t="n">
        <v>0</v>
      </c>
      <c r="N236" t="n">
        <v>0</v>
      </c>
      <c r="O236" t="n">
        <v>0</v>
      </c>
      <c r="P236" t="n">
        <v>0</v>
      </c>
      <c r="Q236" t="n">
        <v>0</v>
      </c>
      <c r="R236" s="2" t="inlineStr"/>
    </row>
    <row r="237" ht="15" customHeight="1">
      <c r="A237" t="inlineStr">
        <is>
          <t>A 34430-2020</t>
        </is>
      </c>
      <c r="B237" s="1" t="n">
        <v>44032</v>
      </c>
      <c r="C237" s="1" t="n">
        <v>45353</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34429-2020</t>
        </is>
      </c>
      <c r="B238" s="1" t="n">
        <v>44032</v>
      </c>
      <c r="C238" s="1" t="n">
        <v>45353</v>
      </c>
      <c r="D238" t="inlineStr">
        <is>
          <t>VÄSTMANLANDS LÄN</t>
        </is>
      </c>
      <c r="E238" t="inlineStr">
        <is>
          <t>SALA</t>
        </is>
      </c>
      <c r="G238" t="n">
        <v>3.6</v>
      </c>
      <c r="H238" t="n">
        <v>0</v>
      </c>
      <c r="I238" t="n">
        <v>0</v>
      </c>
      <c r="J238" t="n">
        <v>0</v>
      </c>
      <c r="K238" t="n">
        <v>0</v>
      </c>
      <c r="L238" t="n">
        <v>0</v>
      </c>
      <c r="M238" t="n">
        <v>0</v>
      </c>
      <c r="N238" t="n">
        <v>0</v>
      </c>
      <c r="O238" t="n">
        <v>0</v>
      </c>
      <c r="P238" t="n">
        <v>0</v>
      </c>
      <c r="Q238" t="n">
        <v>0</v>
      </c>
      <c r="R238" s="2" t="inlineStr"/>
    </row>
    <row r="239" ht="15" customHeight="1">
      <c r="A239" t="inlineStr">
        <is>
          <t>A 37008-2020</t>
        </is>
      </c>
      <c r="B239" s="1" t="n">
        <v>44054</v>
      </c>
      <c r="C239" s="1" t="n">
        <v>45353</v>
      </c>
      <c r="D239" t="inlineStr">
        <is>
          <t>VÄSTMANLANDS LÄN</t>
        </is>
      </c>
      <c r="E239" t="inlineStr">
        <is>
          <t>SALA</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37098-2020</t>
        </is>
      </c>
      <c r="B240" s="1" t="n">
        <v>44054</v>
      </c>
      <c r="C240" s="1" t="n">
        <v>45353</v>
      </c>
      <c r="D240" t="inlineStr">
        <is>
          <t>VÄSTMANLANDS LÄN</t>
        </is>
      </c>
      <c r="E240" t="inlineStr">
        <is>
          <t>SALA</t>
        </is>
      </c>
      <c r="F240" t="inlineStr">
        <is>
          <t>Kommuner</t>
        </is>
      </c>
      <c r="G240" t="n">
        <v>3.8</v>
      </c>
      <c r="H240" t="n">
        <v>0</v>
      </c>
      <c r="I240" t="n">
        <v>0</v>
      </c>
      <c r="J240" t="n">
        <v>0</v>
      </c>
      <c r="K240" t="n">
        <v>0</v>
      </c>
      <c r="L240" t="n">
        <v>0</v>
      </c>
      <c r="M240" t="n">
        <v>0</v>
      </c>
      <c r="N240" t="n">
        <v>0</v>
      </c>
      <c r="O240" t="n">
        <v>0</v>
      </c>
      <c r="P240" t="n">
        <v>0</v>
      </c>
      <c r="Q240" t="n">
        <v>0</v>
      </c>
      <c r="R240" s="2" t="inlineStr"/>
    </row>
    <row r="241" ht="15" customHeight="1">
      <c r="A241" t="inlineStr">
        <is>
          <t>A 37150-2020</t>
        </is>
      </c>
      <c r="B241" s="1" t="n">
        <v>44054</v>
      </c>
      <c r="C241" s="1" t="n">
        <v>45353</v>
      </c>
      <c r="D241" t="inlineStr">
        <is>
          <t>VÄSTMANLANDS LÄN</t>
        </is>
      </c>
      <c r="E241" t="inlineStr">
        <is>
          <t>SALA</t>
        </is>
      </c>
      <c r="F241" t="inlineStr">
        <is>
          <t>Kommuner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38579-2020</t>
        </is>
      </c>
      <c r="B242" s="1" t="n">
        <v>44061</v>
      </c>
      <c r="C242" s="1" t="n">
        <v>45353</v>
      </c>
      <c r="D242" t="inlineStr">
        <is>
          <t>VÄSTMANLANDS LÄN</t>
        </is>
      </c>
      <c r="E242" t="inlineStr">
        <is>
          <t>SALA</t>
        </is>
      </c>
      <c r="G242" t="n">
        <v>1</v>
      </c>
      <c r="H242" t="n">
        <v>0</v>
      </c>
      <c r="I242" t="n">
        <v>0</v>
      </c>
      <c r="J242" t="n">
        <v>0</v>
      </c>
      <c r="K242" t="n">
        <v>0</v>
      </c>
      <c r="L242" t="n">
        <v>0</v>
      </c>
      <c r="M242" t="n">
        <v>0</v>
      </c>
      <c r="N242" t="n">
        <v>0</v>
      </c>
      <c r="O242" t="n">
        <v>0</v>
      </c>
      <c r="P242" t="n">
        <v>0</v>
      </c>
      <c r="Q242" t="n">
        <v>0</v>
      </c>
      <c r="R242" s="2" t="inlineStr"/>
    </row>
    <row r="243" ht="15" customHeight="1">
      <c r="A243" t="inlineStr">
        <is>
          <t>A 38713-2020</t>
        </is>
      </c>
      <c r="B243" s="1" t="n">
        <v>44061</v>
      </c>
      <c r="C243" s="1" t="n">
        <v>45353</v>
      </c>
      <c r="D243" t="inlineStr">
        <is>
          <t>VÄSTMANLANDS LÄN</t>
        </is>
      </c>
      <c r="E243" t="inlineStr">
        <is>
          <t>SALA</t>
        </is>
      </c>
      <c r="G243" t="n">
        <v>1.4</v>
      </c>
      <c r="H243" t="n">
        <v>0</v>
      </c>
      <c r="I243" t="n">
        <v>0</v>
      </c>
      <c r="J243" t="n">
        <v>0</v>
      </c>
      <c r="K243" t="n">
        <v>0</v>
      </c>
      <c r="L243" t="n">
        <v>0</v>
      </c>
      <c r="M243" t="n">
        <v>0</v>
      </c>
      <c r="N243" t="n">
        <v>0</v>
      </c>
      <c r="O243" t="n">
        <v>0</v>
      </c>
      <c r="P243" t="n">
        <v>0</v>
      </c>
      <c r="Q243" t="n">
        <v>0</v>
      </c>
      <c r="R243" s="2" t="inlineStr"/>
    </row>
    <row r="244" ht="15" customHeight="1">
      <c r="A244" t="inlineStr">
        <is>
          <t>A 39519-2020</t>
        </is>
      </c>
      <c r="B244" s="1" t="n">
        <v>44064</v>
      </c>
      <c r="C244" s="1" t="n">
        <v>45353</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39818-2020</t>
        </is>
      </c>
      <c r="B245" s="1" t="n">
        <v>44067</v>
      </c>
      <c r="C245" s="1" t="n">
        <v>45353</v>
      </c>
      <c r="D245" t="inlineStr">
        <is>
          <t>VÄSTMANLANDS LÄN</t>
        </is>
      </c>
      <c r="E245" t="inlineStr">
        <is>
          <t>SALA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41493-2020</t>
        </is>
      </c>
      <c r="B246" s="1" t="n">
        <v>44074</v>
      </c>
      <c r="C246" s="1" t="n">
        <v>45353</v>
      </c>
      <c r="D246" t="inlineStr">
        <is>
          <t>VÄSTMANLANDS LÄN</t>
        </is>
      </c>
      <c r="E246" t="inlineStr">
        <is>
          <t>SALA</t>
        </is>
      </c>
      <c r="G246" t="n">
        <v>2.4</v>
      </c>
      <c r="H246" t="n">
        <v>0</v>
      </c>
      <c r="I246" t="n">
        <v>0</v>
      </c>
      <c r="J246" t="n">
        <v>0</v>
      </c>
      <c r="K246" t="n">
        <v>0</v>
      </c>
      <c r="L246" t="n">
        <v>0</v>
      </c>
      <c r="M246" t="n">
        <v>0</v>
      </c>
      <c r="N246" t="n">
        <v>0</v>
      </c>
      <c r="O246" t="n">
        <v>0</v>
      </c>
      <c r="P246" t="n">
        <v>0</v>
      </c>
      <c r="Q246" t="n">
        <v>0</v>
      </c>
      <c r="R246" s="2" t="inlineStr"/>
    </row>
    <row r="247" ht="15" customHeight="1">
      <c r="A247" t="inlineStr">
        <is>
          <t>A 41485-2020</t>
        </is>
      </c>
      <c r="B247" s="1" t="n">
        <v>44074</v>
      </c>
      <c r="C247" s="1" t="n">
        <v>45353</v>
      </c>
      <c r="D247" t="inlineStr">
        <is>
          <t>VÄSTMANLANDS LÄN</t>
        </is>
      </c>
      <c r="E247" t="inlineStr">
        <is>
          <t>SALA</t>
        </is>
      </c>
      <c r="G247" t="n">
        <v>4.7</v>
      </c>
      <c r="H247" t="n">
        <v>0</v>
      </c>
      <c r="I247" t="n">
        <v>0</v>
      </c>
      <c r="J247" t="n">
        <v>0</v>
      </c>
      <c r="K247" t="n">
        <v>0</v>
      </c>
      <c r="L247" t="n">
        <v>0</v>
      </c>
      <c r="M247" t="n">
        <v>0</v>
      </c>
      <c r="N247" t="n">
        <v>0</v>
      </c>
      <c r="O247" t="n">
        <v>0</v>
      </c>
      <c r="P247" t="n">
        <v>0</v>
      </c>
      <c r="Q247" t="n">
        <v>0</v>
      </c>
      <c r="R247" s="2" t="inlineStr"/>
    </row>
    <row r="248" ht="15" customHeight="1">
      <c r="A248" t="inlineStr">
        <is>
          <t>A 42344-2020</t>
        </is>
      </c>
      <c r="B248" s="1" t="n">
        <v>44076</v>
      </c>
      <c r="C248" s="1" t="n">
        <v>45353</v>
      </c>
      <c r="D248" t="inlineStr">
        <is>
          <t>VÄSTMANLANDS LÄN</t>
        </is>
      </c>
      <c r="E248" t="inlineStr">
        <is>
          <t>SALA</t>
        </is>
      </c>
      <c r="G248" t="n">
        <v>5.1</v>
      </c>
      <c r="H248" t="n">
        <v>0</v>
      </c>
      <c r="I248" t="n">
        <v>0</v>
      </c>
      <c r="J248" t="n">
        <v>0</v>
      </c>
      <c r="K248" t="n">
        <v>0</v>
      </c>
      <c r="L248" t="n">
        <v>0</v>
      </c>
      <c r="M248" t="n">
        <v>0</v>
      </c>
      <c r="N248" t="n">
        <v>0</v>
      </c>
      <c r="O248" t="n">
        <v>0</v>
      </c>
      <c r="P248" t="n">
        <v>0</v>
      </c>
      <c r="Q248" t="n">
        <v>0</v>
      </c>
      <c r="R248" s="2" t="inlineStr"/>
    </row>
    <row r="249" ht="15" customHeight="1">
      <c r="A249" t="inlineStr">
        <is>
          <t>A 42345-2020</t>
        </is>
      </c>
      <c r="B249" s="1" t="n">
        <v>44076</v>
      </c>
      <c r="C249" s="1" t="n">
        <v>45353</v>
      </c>
      <c r="D249" t="inlineStr">
        <is>
          <t>VÄSTMANLANDS LÄN</t>
        </is>
      </c>
      <c r="E249" t="inlineStr">
        <is>
          <t>SALA</t>
        </is>
      </c>
      <c r="G249" t="n">
        <v>1.3</v>
      </c>
      <c r="H249" t="n">
        <v>0</v>
      </c>
      <c r="I249" t="n">
        <v>0</v>
      </c>
      <c r="J249" t="n">
        <v>0</v>
      </c>
      <c r="K249" t="n">
        <v>0</v>
      </c>
      <c r="L249" t="n">
        <v>0</v>
      </c>
      <c r="M249" t="n">
        <v>0</v>
      </c>
      <c r="N249" t="n">
        <v>0</v>
      </c>
      <c r="O249" t="n">
        <v>0</v>
      </c>
      <c r="P249" t="n">
        <v>0</v>
      </c>
      <c r="Q249" t="n">
        <v>0</v>
      </c>
      <c r="R249" s="2" t="inlineStr"/>
    </row>
    <row r="250" ht="15" customHeight="1">
      <c r="A250" t="inlineStr">
        <is>
          <t>A 42346-2020</t>
        </is>
      </c>
      <c r="B250" s="1" t="n">
        <v>44076</v>
      </c>
      <c r="C250" s="1" t="n">
        <v>45353</v>
      </c>
      <c r="D250" t="inlineStr">
        <is>
          <t>VÄSTMANLANDS LÄN</t>
        </is>
      </c>
      <c r="E250" t="inlineStr">
        <is>
          <t>SALA</t>
        </is>
      </c>
      <c r="G250" t="n">
        <v>1.7</v>
      </c>
      <c r="H250" t="n">
        <v>0</v>
      </c>
      <c r="I250" t="n">
        <v>0</v>
      </c>
      <c r="J250" t="n">
        <v>0</v>
      </c>
      <c r="K250" t="n">
        <v>0</v>
      </c>
      <c r="L250" t="n">
        <v>0</v>
      </c>
      <c r="M250" t="n">
        <v>0</v>
      </c>
      <c r="N250" t="n">
        <v>0</v>
      </c>
      <c r="O250" t="n">
        <v>0</v>
      </c>
      <c r="P250" t="n">
        <v>0</v>
      </c>
      <c r="Q250" t="n">
        <v>0</v>
      </c>
      <c r="R250" s="2" t="inlineStr"/>
    </row>
    <row r="251" ht="15" customHeight="1">
      <c r="A251" t="inlineStr">
        <is>
          <t>A 43349-2020</t>
        </is>
      </c>
      <c r="B251" s="1" t="n">
        <v>44081</v>
      </c>
      <c r="C251" s="1" t="n">
        <v>45353</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44652-2020</t>
        </is>
      </c>
      <c r="B252" s="1" t="n">
        <v>44085</v>
      </c>
      <c r="C252" s="1" t="n">
        <v>45353</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44950-2020</t>
        </is>
      </c>
      <c r="B253" s="1" t="n">
        <v>44088</v>
      </c>
      <c r="C253" s="1" t="n">
        <v>45353</v>
      </c>
      <c r="D253" t="inlineStr">
        <is>
          <t>VÄSTMANLANDS LÄN</t>
        </is>
      </c>
      <c r="E253" t="inlineStr">
        <is>
          <t>SALA</t>
        </is>
      </c>
      <c r="G253" t="n">
        <v>9</v>
      </c>
      <c r="H253" t="n">
        <v>0</v>
      </c>
      <c r="I253" t="n">
        <v>0</v>
      </c>
      <c r="J253" t="n">
        <v>0</v>
      </c>
      <c r="K253" t="n">
        <v>0</v>
      </c>
      <c r="L253" t="n">
        <v>0</v>
      </c>
      <c r="M253" t="n">
        <v>0</v>
      </c>
      <c r="N253" t="n">
        <v>0</v>
      </c>
      <c r="O253" t="n">
        <v>0</v>
      </c>
      <c r="P253" t="n">
        <v>0</v>
      </c>
      <c r="Q253" t="n">
        <v>0</v>
      </c>
      <c r="R253" s="2" t="inlineStr"/>
    </row>
    <row r="254" ht="15" customHeight="1">
      <c r="A254" t="inlineStr">
        <is>
          <t>A 46965-2020</t>
        </is>
      </c>
      <c r="B254" s="1" t="n">
        <v>44096</v>
      </c>
      <c r="C254" s="1" t="n">
        <v>45353</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47054-2020</t>
        </is>
      </c>
      <c r="B255" s="1" t="n">
        <v>44096</v>
      </c>
      <c r="C255" s="1" t="n">
        <v>45353</v>
      </c>
      <c r="D255" t="inlineStr">
        <is>
          <t>VÄSTMANLANDS LÄN</t>
        </is>
      </c>
      <c r="E255" t="inlineStr">
        <is>
          <t>SALA</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47208-2020</t>
        </is>
      </c>
      <c r="B256" s="1" t="n">
        <v>44097</v>
      </c>
      <c r="C256" s="1" t="n">
        <v>45353</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50559-2020</t>
        </is>
      </c>
      <c r="B257" s="1" t="n">
        <v>44110</v>
      </c>
      <c r="C257" s="1" t="n">
        <v>45353</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50801-2020</t>
        </is>
      </c>
      <c r="B258" s="1" t="n">
        <v>44111</v>
      </c>
      <c r="C258" s="1" t="n">
        <v>45353</v>
      </c>
      <c r="D258" t="inlineStr">
        <is>
          <t>VÄSTMANLANDS LÄN</t>
        </is>
      </c>
      <c r="E258" t="inlineStr">
        <is>
          <t>SALA</t>
        </is>
      </c>
      <c r="G258" t="n">
        <v>1.1</v>
      </c>
      <c r="H258" t="n">
        <v>0</v>
      </c>
      <c r="I258" t="n">
        <v>0</v>
      </c>
      <c r="J258" t="n">
        <v>0</v>
      </c>
      <c r="K258" t="n">
        <v>0</v>
      </c>
      <c r="L258" t="n">
        <v>0</v>
      </c>
      <c r="M258" t="n">
        <v>0</v>
      </c>
      <c r="N258" t="n">
        <v>0</v>
      </c>
      <c r="O258" t="n">
        <v>0</v>
      </c>
      <c r="P258" t="n">
        <v>0</v>
      </c>
      <c r="Q258" t="n">
        <v>0</v>
      </c>
      <c r="R258" s="2" t="inlineStr"/>
    </row>
    <row r="259" ht="15" customHeight="1">
      <c r="A259" t="inlineStr">
        <is>
          <t>A 50818-2020</t>
        </is>
      </c>
      <c r="B259" s="1" t="n">
        <v>44111</v>
      </c>
      <c r="C259" s="1" t="n">
        <v>45353</v>
      </c>
      <c r="D259" t="inlineStr">
        <is>
          <t>VÄSTMANLANDS LÄN</t>
        </is>
      </c>
      <c r="E259" t="inlineStr">
        <is>
          <t>SALA</t>
        </is>
      </c>
      <c r="G259" t="n">
        <v>0.4</v>
      </c>
      <c r="H259" t="n">
        <v>0</v>
      </c>
      <c r="I259" t="n">
        <v>0</v>
      </c>
      <c r="J259" t="n">
        <v>0</v>
      </c>
      <c r="K259" t="n">
        <v>0</v>
      </c>
      <c r="L259" t="n">
        <v>0</v>
      </c>
      <c r="M259" t="n">
        <v>0</v>
      </c>
      <c r="N259" t="n">
        <v>0</v>
      </c>
      <c r="O259" t="n">
        <v>0</v>
      </c>
      <c r="P259" t="n">
        <v>0</v>
      </c>
      <c r="Q259" t="n">
        <v>0</v>
      </c>
      <c r="R259" s="2" t="inlineStr"/>
    </row>
    <row r="260" ht="15" customHeight="1">
      <c r="A260" t="inlineStr">
        <is>
          <t>A 54322-2020</t>
        </is>
      </c>
      <c r="B260" s="1" t="n">
        <v>44126</v>
      </c>
      <c r="C260" s="1" t="n">
        <v>45353</v>
      </c>
      <c r="D260" t="inlineStr">
        <is>
          <t>VÄSTMANLANDS LÄN</t>
        </is>
      </c>
      <c r="E260" t="inlineStr">
        <is>
          <t>SALA</t>
        </is>
      </c>
      <c r="G260" t="n">
        <v>2</v>
      </c>
      <c r="H260" t="n">
        <v>0</v>
      </c>
      <c r="I260" t="n">
        <v>0</v>
      </c>
      <c r="J260" t="n">
        <v>0</v>
      </c>
      <c r="K260" t="n">
        <v>0</v>
      </c>
      <c r="L260" t="n">
        <v>0</v>
      </c>
      <c r="M260" t="n">
        <v>0</v>
      </c>
      <c r="N260" t="n">
        <v>0</v>
      </c>
      <c r="O260" t="n">
        <v>0</v>
      </c>
      <c r="P260" t="n">
        <v>0</v>
      </c>
      <c r="Q260" t="n">
        <v>0</v>
      </c>
      <c r="R260" s="2" t="inlineStr"/>
    </row>
    <row r="261" ht="15" customHeight="1">
      <c r="A261" t="inlineStr">
        <is>
          <t>A 54923-2020</t>
        </is>
      </c>
      <c r="B261" s="1" t="n">
        <v>44127</v>
      </c>
      <c r="C261" s="1" t="n">
        <v>45353</v>
      </c>
      <c r="D261" t="inlineStr">
        <is>
          <t>VÄSTMANLANDS LÄN</t>
        </is>
      </c>
      <c r="E261" t="inlineStr">
        <is>
          <t>SALA</t>
        </is>
      </c>
      <c r="G261" t="n">
        <v>4.9</v>
      </c>
      <c r="H261" t="n">
        <v>0</v>
      </c>
      <c r="I261" t="n">
        <v>0</v>
      </c>
      <c r="J261" t="n">
        <v>0</v>
      </c>
      <c r="K261" t="n">
        <v>0</v>
      </c>
      <c r="L261" t="n">
        <v>0</v>
      </c>
      <c r="M261" t="n">
        <v>0</v>
      </c>
      <c r="N261" t="n">
        <v>0</v>
      </c>
      <c r="O261" t="n">
        <v>0</v>
      </c>
      <c r="P261" t="n">
        <v>0</v>
      </c>
      <c r="Q261" t="n">
        <v>0</v>
      </c>
      <c r="R261" s="2" t="inlineStr"/>
    </row>
    <row r="262" ht="15" customHeight="1">
      <c r="A262" t="inlineStr">
        <is>
          <t>A 54931-2020</t>
        </is>
      </c>
      <c r="B262" s="1" t="n">
        <v>44127</v>
      </c>
      <c r="C262" s="1" t="n">
        <v>45353</v>
      </c>
      <c r="D262" t="inlineStr">
        <is>
          <t>VÄSTMANLANDS LÄN</t>
        </is>
      </c>
      <c r="E262" t="inlineStr">
        <is>
          <t>SALA</t>
        </is>
      </c>
      <c r="G262" t="n">
        <v>7</v>
      </c>
      <c r="H262" t="n">
        <v>0</v>
      </c>
      <c r="I262" t="n">
        <v>0</v>
      </c>
      <c r="J262" t="n">
        <v>0</v>
      </c>
      <c r="K262" t="n">
        <v>0</v>
      </c>
      <c r="L262" t="n">
        <v>0</v>
      </c>
      <c r="M262" t="n">
        <v>0</v>
      </c>
      <c r="N262" t="n">
        <v>0</v>
      </c>
      <c r="O262" t="n">
        <v>0</v>
      </c>
      <c r="P262" t="n">
        <v>0</v>
      </c>
      <c r="Q262" t="n">
        <v>0</v>
      </c>
      <c r="R262" s="2" t="inlineStr"/>
    </row>
    <row r="263" ht="15" customHeight="1">
      <c r="A263" t="inlineStr">
        <is>
          <t>A 55439-2020</t>
        </is>
      </c>
      <c r="B263" s="1" t="n">
        <v>44130</v>
      </c>
      <c r="C263" s="1" t="n">
        <v>45353</v>
      </c>
      <c r="D263" t="inlineStr">
        <is>
          <t>VÄSTMANLANDS LÄN</t>
        </is>
      </c>
      <c r="E263" t="inlineStr">
        <is>
          <t>SALA</t>
        </is>
      </c>
      <c r="G263" t="n">
        <v>4.3</v>
      </c>
      <c r="H263" t="n">
        <v>0</v>
      </c>
      <c r="I263" t="n">
        <v>0</v>
      </c>
      <c r="J263" t="n">
        <v>0</v>
      </c>
      <c r="K263" t="n">
        <v>0</v>
      </c>
      <c r="L263" t="n">
        <v>0</v>
      </c>
      <c r="M263" t="n">
        <v>0</v>
      </c>
      <c r="N263" t="n">
        <v>0</v>
      </c>
      <c r="O263" t="n">
        <v>0</v>
      </c>
      <c r="P263" t="n">
        <v>0</v>
      </c>
      <c r="Q263" t="n">
        <v>0</v>
      </c>
      <c r="R263" s="2" t="inlineStr"/>
    </row>
    <row r="264" ht="15" customHeight="1">
      <c r="A264" t="inlineStr">
        <is>
          <t>A 55881-2020</t>
        </is>
      </c>
      <c r="B264" s="1" t="n">
        <v>44132</v>
      </c>
      <c r="C264" s="1" t="n">
        <v>45353</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56134-2020</t>
        </is>
      </c>
      <c r="B265" s="1" t="n">
        <v>44132</v>
      </c>
      <c r="C265" s="1" t="n">
        <v>45353</v>
      </c>
      <c r="D265" t="inlineStr">
        <is>
          <t>VÄSTMANLANDS LÄN</t>
        </is>
      </c>
      <c r="E265" t="inlineStr">
        <is>
          <t>SALA</t>
        </is>
      </c>
      <c r="G265" t="n">
        <v>4.7</v>
      </c>
      <c r="H265" t="n">
        <v>0</v>
      </c>
      <c r="I265" t="n">
        <v>0</v>
      </c>
      <c r="J265" t="n">
        <v>0</v>
      </c>
      <c r="K265" t="n">
        <v>0</v>
      </c>
      <c r="L265" t="n">
        <v>0</v>
      </c>
      <c r="M265" t="n">
        <v>0</v>
      </c>
      <c r="N265" t="n">
        <v>0</v>
      </c>
      <c r="O265" t="n">
        <v>0</v>
      </c>
      <c r="P265" t="n">
        <v>0</v>
      </c>
      <c r="Q265" t="n">
        <v>0</v>
      </c>
      <c r="R265" s="2" t="inlineStr"/>
    </row>
    <row r="266" ht="15" customHeight="1">
      <c r="A266" t="inlineStr">
        <is>
          <t>A 56098-2020</t>
        </is>
      </c>
      <c r="B266" s="1" t="n">
        <v>44132</v>
      </c>
      <c r="C266" s="1" t="n">
        <v>45353</v>
      </c>
      <c r="D266" t="inlineStr">
        <is>
          <t>VÄSTMANLANDS LÄN</t>
        </is>
      </c>
      <c r="E266" t="inlineStr">
        <is>
          <t>SALA</t>
        </is>
      </c>
      <c r="G266" t="n">
        <v>1.9</v>
      </c>
      <c r="H266" t="n">
        <v>0</v>
      </c>
      <c r="I266" t="n">
        <v>0</v>
      </c>
      <c r="J266" t="n">
        <v>0</v>
      </c>
      <c r="K266" t="n">
        <v>0</v>
      </c>
      <c r="L266" t="n">
        <v>0</v>
      </c>
      <c r="M266" t="n">
        <v>0</v>
      </c>
      <c r="N266" t="n">
        <v>0</v>
      </c>
      <c r="O266" t="n">
        <v>0</v>
      </c>
      <c r="P266" t="n">
        <v>0</v>
      </c>
      <c r="Q266" t="n">
        <v>0</v>
      </c>
      <c r="R266" s="2" t="inlineStr"/>
    </row>
    <row r="267" ht="15" customHeight="1">
      <c r="A267" t="inlineStr">
        <is>
          <t>A 57800-2020</t>
        </is>
      </c>
      <c r="B267" s="1" t="n">
        <v>44141</v>
      </c>
      <c r="C267" s="1" t="n">
        <v>45353</v>
      </c>
      <c r="D267" t="inlineStr">
        <is>
          <t>VÄSTMANLANDS LÄN</t>
        </is>
      </c>
      <c r="E267" t="inlineStr">
        <is>
          <t>SALA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58314-2020</t>
        </is>
      </c>
      <c r="B268" s="1" t="n">
        <v>44145</v>
      </c>
      <c r="C268" s="1" t="n">
        <v>45353</v>
      </c>
      <c r="D268" t="inlineStr">
        <is>
          <t>VÄSTMANLANDS LÄN</t>
        </is>
      </c>
      <c r="E268" t="inlineStr">
        <is>
          <t>SALA</t>
        </is>
      </c>
      <c r="G268" t="n">
        <v>0.9</v>
      </c>
      <c r="H268" t="n">
        <v>0</v>
      </c>
      <c r="I268" t="n">
        <v>0</v>
      </c>
      <c r="J268" t="n">
        <v>0</v>
      </c>
      <c r="K268" t="n">
        <v>0</v>
      </c>
      <c r="L268" t="n">
        <v>0</v>
      </c>
      <c r="M268" t="n">
        <v>0</v>
      </c>
      <c r="N268" t="n">
        <v>0</v>
      </c>
      <c r="O268" t="n">
        <v>0</v>
      </c>
      <c r="P268" t="n">
        <v>0</v>
      </c>
      <c r="Q268" t="n">
        <v>0</v>
      </c>
      <c r="R268" s="2" t="inlineStr"/>
    </row>
    <row r="269" ht="15" customHeight="1">
      <c r="A269" t="inlineStr">
        <is>
          <t>A 58781-2020</t>
        </is>
      </c>
      <c r="B269" s="1" t="n">
        <v>44146</v>
      </c>
      <c r="C269" s="1" t="n">
        <v>45353</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58912-2020</t>
        </is>
      </c>
      <c r="B270" s="1" t="n">
        <v>44146</v>
      </c>
      <c r="C270" s="1" t="n">
        <v>45353</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61415-2020</t>
        </is>
      </c>
      <c r="B271" s="1" t="n">
        <v>44156</v>
      </c>
      <c r="C271" s="1" t="n">
        <v>45353</v>
      </c>
      <c r="D271" t="inlineStr">
        <is>
          <t>VÄSTMANLANDS LÄN</t>
        </is>
      </c>
      <c r="E271" t="inlineStr">
        <is>
          <t>SALA</t>
        </is>
      </c>
      <c r="G271" t="n">
        <v>0.5</v>
      </c>
      <c r="H271" t="n">
        <v>0</v>
      </c>
      <c r="I271" t="n">
        <v>0</v>
      </c>
      <c r="J271" t="n">
        <v>0</v>
      </c>
      <c r="K271" t="n">
        <v>0</v>
      </c>
      <c r="L271" t="n">
        <v>0</v>
      </c>
      <c r="M271" t="n">
        <v>0</v>
      </c>
      <c r="N271" t="n">
        <v>0</v>
      </c>
      <c r="O271" t="n">
        <v>0</v>
      </c>
      <c r="P271" t="n">
        <v>0</v>
      </c>
      <c r="Q271" t="n">
        <v>0</v>
      </c>
      <c r="R271" s="2" t="inlineStr"/>
    </row>
    <row r="272" ht="15" customHeight="1">
      <c r="A272" t="inlineStr">
        <is>
          <t>A 62275-2020</t>
        </is>
      </c>
      <c r="B272" s="1" t="n">
        <v>44158</v>
      </c>
      <c r="C272" s="1" t="n">
        <v>45353</v>
      </c>
      <c r="D272" t="inlineStr">
        <is>
          <t>VÄSTMANLANDS LÄN</t>
        </is>
      </c>
      <c r="E272" t="inlineStr">
        <is>
          <t>SALA</t>
        </is>
      </c>
      <c r="G272" t="n">
        <v>4.9</v>
      </c>
      <c r="H272" t="n">
        <v>0</v>
      </c>
      <c r="I272" t="n">
        <v>0</v>
      </c>
      <c r="J272" t="n">
        <v>0</v>
      </c>
      <c r="K272" t="n">
        <v>0</v>
      </c>
      <c r="L272" t="n">
        <v>0</v>
      </c>
      <c r="M272" t="n">
        <v>0</v>
      </c>
      <c r="N272" t="n">
        <v>0</v>
      </c>
      <c r="O272" t="n">
        <v>0</v>
      </c>
      <c r="P272" t="n">
        <v>0</v>
      </c>
      <c r="Q272" t="n">
        <v>0</v>
      </c>
      <c r="R272" s="2" t="inlineStr"/>
    </row>
    <row r="273" ht="15" customHeight="1">
      <c r="A273" t="inlineStr">
        <is>
          <t>A 62680-2020</t>
        </is>
      </c>
      <c r="B273" s="1" t="n">
        <v>44161</v>
      </c>
      <c r="C273" s="1" t="n">
        <v>45353</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64940-2020</t>
        </is>
      </c>
      <c r="B274" s="1" t="n">
        <v>44172</v>
      </c>
      <c r="C274" s="1" t="n">
        <v>45353</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66821-2020</t>
        </is>
      </c>
      <c r="B275" s="1" t="n">
        <v>44179</v>
      </c>
      <c r="C275" s="1" t="n">
        <v>45353</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68113-2020</t>
        </is>
      </c>
      <c r="B276" s="1" t="n">
        <v>44182</v>
      </c>
      <c r="C276" s="1" t="n">
        <v>45353</v>
      </c>
      <c r="D276" t="inlineStr">
        <is>
          <t>VÄSTMANLANDS LÄN</t>
        </is>
      </c>
      <c r="E276" t="inlineStr">
        <is>
          <t>SALA</t>
        </is>
      </c>
      <c r="G276" t="n">
        <v>3.6</v>
      </c>
      <c r="H276" t="n">
        <v>0</v>
      </c>
      <c r="I276" t="n">
        <v>0</v>
      </c>
      <c r="J276" t="n">
        <v>0</v>
      </c>
      <c r="K276" t="n">
        <v>0</v>
      </c>
      <c r="L276" t="n">
        <v>0</v>
      </c>
      <c r="M276" t="n">
        <v>0</v>
      </c>
      <c r="N276" t="n">
        <v>0</v>
      </c>
      <c r="O276" t="n">
        <v>0</v>
      </c>
      <c r="P276" t="n">
        <v>0</v>
      </c>
      <c r="Q276" t="n">
        <v>0</v>
      </c>
      <c r="R276" s="2" t="inlineStr"/>
    </row>
    <row r="277" ht="15" customHeight="1">
      <c r="A277" t="inlineStr">
        <is>
          <t>A 69194-2020</t>
        </is>
      </c>
      <c r="B277" s="1" t="n">
        <v>44191</v>
      </c>
      <c r="C277" s="1" t="n">
        <v>45353</v>
      </c>
      <c r="D277" t="inlineStr">
        <is>
          <t>VÄSTMANLANDS LÄN</t>
        </is>
      </c>
      <c r="E277" t="inlineStr">
        <is>
          <t>SALA</t>
        </is>
      </c>
      <c r="G277" t="n">
        <v>0.4</v>
      </c>
      <c r="H277" t="n">
        <v>0</v>
      </c>
      <c r="I277" t="n">
        <v>0</v>
      </c>
      <c r="J277" t="n">
        <v>0</v>
      </c>
      <c r="K277" t="n">
        <v>0</v>
      </c>
      <c r="L277" t="n">
        <v>0</v>
      </c>
      <c r="M277" t="n">
        <v>0</v>
      </c>
      <c r="N277" t="n">
        <v>0</v>
      </c>
      <c r="O277" t="n">
        <v>0</v>
      </c>
      <c r="P277" t="n">
        <v>0</v>
      </c>
      <c r="Q277" t="n">
        <v>0</v>
      </c>
      <c r="R277" s="2" t="inlineStr"/>
    </row>
    <row r="278" ht="15" customHeight="1">
      <c r="A278" t="inlineStr">
        <is>
          <t>A 69192-2020</t>
        </is>
      </c>
      <c r="B278" s="1" t="n">
        <v>44191</v>
      </c>
      <c r="C278" s="1" t="n">
        <v>45353</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69195-2020</t>
        </is>
      </c>
      <c r="B279" s="1" t="n">
        <v>44191</v>
      </c>
      <c r="C279" s="1" t="n">
        <v>45353</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69319-2020</t>
        </is>
      </c>
      <c r="B280" s="1" t="n">
        <v>44193</v>
      </c>
      <c r="C280" s="1" t="n">
        <v>45353</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69318-2020</t>
        </is>
      </c>
      <c r="B281" s="1" t="n">
        <v>44193</v>
      </c>
      <c r="C281" s="1" t="n">
        <v>45353</v>
      </c>
      <c r="D281" t="inlineStr">
        <is>
          <t>VÄSTMANLANDS LÄN</t>
        </is>
      </c>
      <c r="E281" t="inlineStr">
        <is>
          <t>SALA</t>
        </is>
      </c>
      <c r="G281" t="n">
        <v>2.2</v>
      </c>
      <c r="H281" t="n">
        <v>0</v>
      </c>
      <c r="I281" t="n">
        <v>0</v>
      </c>
      <c r="J281" t="n">
        <v>0</v>
      </c>
      <c r="K281" t="n">
        <v>0</v>
      </c>
      <c r="L281" t="n">
        <v>0</v>
      </c>
      <c r="M281" t="n">
        <v>0</v>
      </c>
      <c r="N281" t="n">
        <v>0</v>
      </c>
      <c r="O281" t="n">
        <v>0</v>
      </c>
      <c r="P281" t="n">
        <v>0</v>
      </c>
      <c r="Q281" t="n">
        <v>0</v>
      </c>
      <c r="R281" s="2" t="inlineStr"/>
    </row>
    <row r="282" ht="15" customHeight="1">
      <c r="A282" t="inlineStr">
        <is>
          <t>A 69362-2020</t>
        </is>
      </c>
      <c r="B282" s="1" t="n">
        <v>44193</v>
      </c>
      <c r="C282" s="1" t="n">
        <v>45353</v>
      </c>
      <c r="D282" t="inlineStr">
        <is>
          <t>VÄSTMANLANDS LÄN</t>
        </is>
      </c>
      <c r="E282" t="inlineStr">
        <is>
          <t>SALA</t>
        </is>
      </c>
      <c r="G282" t="n">
        <v>13.7</v>
      </c>
      <c r="H282" t="n">
        <v>0</v>
      </c>
      <c r="I282" t="n">
        <v>0</v>
      </c>
      <c r="J282" t="n">
        <v>0</v>
      </c>
      <c r="K282" t="n">
        <v>0</v>
      </c>
      <c r="L282" t="n">
        <v>0</v>
      </c>
      <c r="M282" t="n">
        <v>0</v>
      </c>
      <c r="N282" t="n">
        <v>0</v>
      </c>
      <c r="O282" t="n">
        <v>0</v>
      </c>
      <c r="P282" t="n">
        <v>0</v>
      </c>
      <c r="Q282" t="n">
        <v>0</v>
      </c>
      <c r="R282" s="2" t="inlineStr"/>
    </row>
    <row r="283" ht="15" customHeight="1">
      <c r="A283" t="inlineStr">
        <is>
          <t>A 1599-2021</t>
        </is>
      </c>
      <c r="B283" s="1" t="n">
        <v>44209</v>
      </c>
      <c r="C283" s="1" t="n">
        <v>45353</v>
      </c>
      <c r="D283" t="inlineStr">
        <is>
          <t>VÄSTMANLANDS LÄN</t>
        </is>
      </c>
      <c r="E283" t="inlineStr">
        <is>
          <t>SALA</t>
        </is>
      </c>
      <c r="G283" t="n">
        <v>9.6</v>
      </c>
      <c r="H283" t="n">
        <v>0</v>
      </c>
      <c r="I283" t="n">
        <v>0</v>
      </c>
      <c r="J283" t="n">
        <v>0</v>
      </c>
      <c r="K283" t="n">
        <v>0</v>
      </c>
      <c r="L283" t="n">
        <v>0</v>
      </c>
      <c r="M283" t="n">
        <v>0</v>
      </c>
      <c r="N283" t="n">
        <v>0</v>
      </c>
      <c r="O283" t="n">
        <v>0</v>
      </c>
      <c r="P283" t="n">
        <v>0</v>
      </c>
      <c r="Q283" t="n">
        <v>0</v>
      </c>
      <c r="R283" s="2" t="inlineStr"/>
      <c r="U283">
        <f>HYPERLINK("https://klasma.github.io/Logging_1981/knärot/A 1599-2021 karta knärot.png", "A 1599-2021")</f>
        <v/>
      </c>
      <c r="V283">
        <f>HYPERLINK("https://klasma.github.io/Logging_1981/klagomål/A 1599-2021 FSC-klagomål.docx", "A 1599-2021")</f>
        <v/>
      </c>
      <c r="W283">
        <f>HYPERLINK("https://klasma.github.io/Logging_1981/klagomålsmail/A 1599-2021 FSC-klagomål mail.docx", "A 1599-2021")</f>
        <v/>
      </c>
      <c r="X283">
        <f>HYPERLINK("https://klasma.github.io/Logging_1981/tillsyn/A 1599-2021 tillsynsbegäran.docx", "A 1599-2021")</f>
        <v/>
      </c>
      <c r="Y283">
        <f>HYPERLINK("https://klasma.github.io/Logging_1981/tillsynsmail/A 1599-2021 tillsynsbegäran mail.docx", "A 1599-2021")</f>
        <v/>
      </c>
    </row>
    <row r="284" ht="15" customHeight="1">
      <c r="A284" t="inlineStr">
        <is>
          <t>A 2443-2021</t>
        </is>
      </c>
      <c r="B284" s="1" t="n">
        <v>44214</v>
      </c>
      <c r="C284" s="1" t="n">
        <v>45353</v>
      </c>
      <c r="D284" t="inlineStr">
        <is>
          <t>VÄSTMANLANDS LÄN</t>
        </is>
      </c>
      <c r="E284" t="inlineStr">
        <is>
          <t>SALA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4736-2021</t>
        </is>
      </c>
      <c r="B285" s="1" t="n">
        <v>44225</v>
      </c>
      <c r="C285" s="1" t="n">
        <v>45353</v>
      </c>
      <c r="D285" t="inlineStr">
        <is>
          <t>VÄSTMANLANDS LÄN</t>
        </is>
      </c>
      <c r="E285" t="inlineStr">
        <is>
          <t>SALA</t>
        </is>
      </c>
      <c r="G285" t="n">
        <v>4.2</v>
      </c>
      <c r="H285" t="n">
        <v>0</v>
      </c>
      <c r="I285" t="n">
        <v>0</v>
      </c>
      <c r="J285" t="n">
        <v>0</v>
      </c>
      <c r="K285" t="n">
        <v>0</v>
      </c>
      <c r="L285" t="n">
        <v>0</v>
      </c>
      <c r="M285" t="n">
        <v>0</v>
      </c>
      <c r="N285" t="n">
        <v>0</v>
      </c>
      <c r="O285" t="n">
        <v>0</v>
      </c>
      <c r="P285" t="n">
        <v>0</v>
      </c>
      <c r="Q285" t="n">
        <v>0</v>
      </c>
      <c r="R285" s="2" t="inlineStr"/>
    </row>
    <row r="286" ht="15" customHeight="1">
      <c r="A286" t="inlineStr">
        <is>
          <t>A 6088-2021</t>
        </is>
      </c>
      <c r="B286" s="1" t="n">
        <v>44232</v>
      </c>
      <c r="C286" s="1" t="n">
        <v>45353</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6308-2021</t>
        </is>
      </c>
      <c r="B287" s="1" t="n">
        <v>44235</v>
      </c>
      <c r="C287" s="1" t="n">
        <v>45353</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7681-2021</t>
        </is>
      </c>
      <c r="B288" s="1" t="n">
        <v>44242</v>
      </c>
      <c r="C288" s="1" t="n">
        <v>45353</v>
      </c>
      <c r="D288" t="inlineStr">
        <is>
          <t>VÄSTMANLANDS LÄN</t>
        </is>
      </c>
      <c r="E288" t="inlineStr">
        <is>
          <t>SALA</t>
        </is>
      </c>
      <c r="F288" t="inlineStr">
        <is>
          <t>Sveaskog</t>
        </is>
      </c>
      <c r="G288" t="n">
        <v>16.1</v>
      </c>
      <c r="H288" t="n">
        <v>0</v>
      </c>
      <c r="I288" t="n">
        <v>0</v>
      </c>
      <c r="J288" t="n">
        <v>0</v>
      </c>
      <c r="K288" t="n">
        <v>0</v>
      </c>
      <c r="L288" t="n">
        <v>0</v>
      </c>
      <c r="M288" t="n">
        <v>0</v>
      </c>
      <c r="N288" t="n">
        <v>0</v>
      </c>
      <c r="O288" t="n">
        <v>0</v>
      </c>
      <c r="P288" t="n">
        <v>0</v>
      </c>
      <c r="Q288" t="n">
        <v>0</v>
      </c>
      <c r="R288" s="2" t="inlineStr"/>
    </row>
    <row r="289" ht="15" customHeight="1">
      <c r="A289" t="inlineStr">
        <is>
          <t>A 7968-2021</t>
        </is>
      </c>
      <c r="B289" s="1" t="n">
        <v>44243</v>
      </c>
      <c r="C289" s="1" t="n">
        <v>45353</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7955-2021</t>
        </is>
      </c>
      <c r="B290" s="1" t="n">
        <v>44243</v>
      </c>
      <c r="C290" s="1" t="n">
        <v>45353</v>
      </c>
      <c r="D290" t="inlineStr">
        <is>
          <t>VÄSTMANLANDS LÄN</t>
        </is>
      </c>
      <c r="E290" t="inlineStr">
        <is>
          <t>SALA</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8513-2021</t>
        </is>
      </c>
      <c r="B291" s="1" t="n">
        <v>44244</v>
      </c>
      <c r="C291" s="1" t="n">
        <v>45353</v>
      </c>
      <c r="D291" t="inlineStr">
        <is>
          <t>VÄSTMANLANDS LÄN</t>
        </is>
      </c>
      <c r="E291" t="inlineStr">
        <is>
          <t>SALA</t>
        </is>
      </c>
      <c r="G291" t="n">
        <v>1</v>
      </c>
      <c r="H291" t="n">
        <v>0</v>
      </c>
      <c r="I291" t="n">
        <v>0</v>
      </c>
      <c r="J291" t="n">
        <v>0</v>
      </c>
      <c r="K291" t="n">
        <v>0</v>
      </c>
      <c r="L291" t="n">
        <v>0</v>
      </c>
      <c r="M291" t="n">
        <v>0</v>
      </c>
      <c r="N291" t="n">
        <v>0</v>
      </c>
      <c r="O291" t="n">
        <v>0</v>
      </c>
      <c r="P291" t="n">
        <v>0</v>
      </c>
      <c r="Q291" t="n">
        <v>0</v>
      </c>
      <c r="R291" s="2" t="inlineStr"/>
    </row>
    <row r="292" ht="15" customHeight="1">
      <c r="A292" t="inlineStr">
        <is>
          <t>A 10154-2021</t>
        </is>
      </c>
      <c r="B292" s="1" t="n">
        <v>44256</v>
      </c>
      <c r="C292" s="1" t="n">
        <v>45353</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10812-2021</t>
        </is>
      </c>
      <c r="B293" s="1" t="n">
        <v>44259</v>
      </c>
      <c r="C293" s="1" t="n">
        <v>45353</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11017-2021</t>
        </is>
      </c>
      <c r="B294" s="1" t="n">
        <v>44260</v>
      </c>
      <c r="C294" s="1" t="n">
        <v>45353</v>
      </c>
      <c r="D294" t="inlineStr">
        <is>
          <t>VÄSTMANLANDS LÄN</t>
        </is>
      </c>
      <c r="E294" t="inlineStr">
        <is>
          <t>SALA</t>
        </is>
      </c>
      <c r="F294" t="inlineStr">
        <is>
          <t>Kyrkan</t>
        </is>
      </c>
      <c r="G294" t="n">
        <v>1.2</v>
      </c>
      <c r="H294" t="n">
        <v>0</v>
      </c>
      <c r="I294" t="n">
        <v>0</v>
      </c>
      <c r="J294" t="n">
        <v>0</v>
      </c>
      <c r="K294" t="n">
        <v>0</v>
      </c>
      <c r="L294" t="n">
        <v>0</v>
      </c>
      <c r="M294" t="n">
        <v>0</v>
      </c>
      <c r="N294" t="n">
        <v>0</v>
      </c>
      <c r="O294" t="n">
        <v>0</v>
      </c>
      <c r="P294" t="n">
        <v>0</v>
      </c>
      <c r="Q294" t="n">
        <v>0</v>
      </c>
      <c r="R294" s="2" t="inlineStr"/>
    </row>
    <row r="295" ht="15" customHeight="1">
      <c r="A295" t="inlineStr">
        <is>
          <t>A 11007-2021</t>
        </is>
      </c>
      <c r="B295" s="1" t="n">
        <v>44260</v>
      </c>
      <c r="C295" s="1" t="n">
        <v>45353</v>
      </c>
      <c r="D295" t="inlineStr">
        <is>
          <t>VÄSTMANLANDS LÄN</t>
        </is>
      </c>
      <c r="E295" t="inlineStr">
        <is>
          <t>SALA</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11560-2021</t>
        </is>
      </c>
      <c r="B296" s="1" t="n">
        <v>44264</v>
      </c>
      <c r="C296" s="1" t="n">
        <v>45353</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13112-2021</t>
        </is>
      </c>
      <c r="B297" s="1" t="n">
        <v>44272</v>
      </c>
      <c r="C297" s="1" t="n">
        <v>45353</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13993-2021</t>
        </is>
      </c>
      <c r="B298" s="1" t="n">
        <v>44277</v>
      </c>
      <c r="C298" s="1" t="n">
        <v>45353</v>
      </c>
      <c r="D298" t="inlineStr">
        <is>
          <t>VÄSTMANLANDS LÄN</t>
        </is>
      </c>
      <c r="E298" t="inlineStr">
        <is>
          <t>SALA</t>
        </is>
      </c>
      <c r="G298" t="n">
        <v>27.6</v>
      </c>
      <c r="H298" t="n">
        <v>0</v>
      </c>
      <c r="I298" t="n">
        <v>0</v>
      </c>
      <c r="J298" t="n">
        <v>0</v>
      </c>
      <c r="K298" t="n">
        <v>0</v>
      </c>
      <c r="L298" t="n">
        <v>0</v>
      </c>
      <c r="M298" t="n">
        <v>0</v>
      </c>
      <c r="N298" t="n">
        <v>0</v>
      </c>
      <c r="O298" t="n">
        <v>0</v>
      </c>
      <c r="P298" t="n">
        <v>0</v>
      </c>
      <c r="Q298" t="n">
        <v>0</v>
      </c>
      <c r="R298" s="2" t="inlineStr"/>
    </row>
    <row r="299" ht="15" customHeight="1">
      <c r="A299" t="inlineStr">
        <is>
          <t>A 14010-2021</t>
        </is>
      </c>
      <c r="B299" s="1" t="n">
        <v>44277</v>
      </c>
      <c r="C299" s="1" t="n">
        <v>45353</v>
      </c>
      <c r="D299" t="inlineStr">
        <is>
          <t>VÄSTMANLANDS LÄN</t>
        </is>
      </c>
      <c r="E299" t="inlineStr">
        <is>
          <t>SALA</t>
        </is>
      </c>
      <c r="G299" t="n">
        <v>3.5</v>
      </c>
      <c r="H299" t="n">
        <v>0</v>
      </c>
      <c r="I299" t="n">
        <v>0</v>
      </c>
      <c r="J299" t="n">
        <v>0</v>
      </c>
      <c r="K299" t="n">
        <v>0</v>
      </c>
      <c r="L299" t="n">
        <v>0</v>
      </c>
      <c r="M299" t="n">
        <v>0</v>
      </c>
      <c r="N299" t="n">
        <v>0</v>
      </c>
      <c r="O299" t="n">
        <v>0</v>
      </c>
      <c r="P299" t="n">
        <v>0</v>
      </c>
      <c r="Q299" t="n">
        <v>0</v>
      </c>
      <c r="R299" s="2" t="inlineStr"/>
    </row>
    <row r="300" ht="15" customHeight="1">
      <c r="A300" t="inlineStr">
        <is>
          <t>A 15354-2021</t>
        </is>
      </c>
      <c r="B300" s="1" t="n">
        <v>44284</v>
      </c>
      <c r="C300" s="1" t="n">
        <v>45353</v>
      </c>
      <c r="D300" t="inlineStr">
        <is>
          <t>VÄSTMANLANDS LÄN</t>
        </is>
      </c>
      <c r="E300" t="inlineStr">
        <is>
          <t>SALA</t>
        </is>
      </c>
      <c r="F300" t="inlineStr">
        <is>
          <t>Kyrkan</t>
        </is>
      </c>
      <c r="G300" t="n">
        <v>8.5</v>
      </c>
      <c r="H300" t="n">
        <v>0</v>
      </c>
      <c r="I300" t="n">
        <v>0</v>
      </c>
      <c r="J300" t="n">
        <v>0</v>
      </c>
      <c r="K300" t="n">
        <v>0</v>
      </c>
      <c r="L300" t="n">
        <v>0</v>
      </c>
      <c r="M300" t="n">
        <v>0</v>
      </c>
      <c r="N300" t="n">
        <v>0</v>
      </c>
      <c r="O300" t="n">
        <v>0</v>
      </c>
      <c r="P300" t="n">
        <v>0</v>
      </c>
      <c r="Q300" t="n">
        <v>0</v>
      </c>
      <c r="R300" s="2" t="inlineStr"/>
    </row>
    <row r="301" ht="15" customHeight="1">
      <c r="A301" t="inlineStr">
        <is>
          <t>A 15483-2021</t>
        </is>
      </c>
      <c r="B301" s="1" t="n">
        <v>44285</v>
      </c>
      <c r="C301" s="1" t="n">
        <v>45353</v>
      </c>
      <c r="D301" t="inlineStr">
        <is>
          <t>VÄSTMANLANDS LÄN</t>
        </is>
      </c>
      <c r="E301" t="inlineStr">
        <is>
          <t>SALA</t>
        </is>
      </c>
      <c r="G301" t="n">
        <v>1.6</v>
      </c>
      <c r="H301" t="n">
        <v>0</v>
      </c>
      <c r="I301" t="n">
        <v>0</v>
      </c>
      <c r="J301" t="n">
        <v>0</v>
      </c>
      <c r="K301" t="n">
        <v>0</v>
      </c>
      <c r="L301" t="n">
        <v>0</v>
      </c>
      <c r="M301" t="n">
        <v>0</v>
      </c>
      <c r="N301" t="n">
        <v>0</v>
      </c>
      <c r="O301" t="n">
        <v>0</v>
      </c>
      <c r="P301" t="n">
        <v>0</v>
      </c>
      <c r="Q301" t="n">
        <v>0</v>
      </c>
      <c r="R301" s="2" t="inlineStr"/>
    </row>
    <row r="302" ht="15" customHeight="1">
      <c r="A302" t="inlineStr">
        <is>
          <t>A 15584-2021</t>
        </is>
      </c>
      <c r="B302" s="1" t="n">
        <v>44285</v>
      </c>
      <c r="C302" s="1" t="n">
        <v>45353</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16651-2021</t>
        </is>
      </c>
      <c r="B303" s="1" t="n">
        <v>44294</v>
      </c>
      <c r="C303" s="1" t="n">
        <v>45353</v>
      </c>
      <c r="D303" t="inlineStr">
        <is>
          <t>VÄSTMANLANDS LÄN</t>
        </is>
      </c>
      <c r="E303" t="inlineStr">
        <is>
          <t>SALA</t>
        </is>
      </c>
      <c r="G303" t="n">
        <v>7.7</v>
      </c>
      <c r="H303" t="n">
        <v>0</v>
      </c>
      <c r="I303" t="n">
        <v>0</v>
      </c>
      <c r="J303" t="n">
        <v>0</v>
      </c>
      <c r="K303" t="n">
        <v>0</v>
      </c>
      <c r="L303" t="n">
        <v>0</v>
      </c>
      <c r="M303" t="n">
        <v>0</v>
      </c>
      <c r="N303" t="n">
        <v>0</v>
      </c>
      <c r="O303" t="n">
        <v>0</v>
      </c>
      <c r="P303" t="n">
        <v>0</v>
      </c>
      <c r="Q303" t="n">
        <v>0</v>
      </c>
      <c r="R303" s="2" t="inlineStr"/>
    </row>
    <row r="304" ht="15" customHeight="1">
      <c r="A304" t="inlineStr">
        <is>
          <t>A 18046-2021</t>
        </is>
      </c>
      <c r="B304" s="1" t="n">
        <v>44301</v>
      </c>
      <c r="C304" s="1" t="n">
        <v>45353</v>
      </c>
      <c r="D304" t="inlineStr">
        <is>
          <t>VÄSTMANLANDS LÄN</t>
        </is>
      </c>
      <c r="E304" t="inlineStr">
        <is>
          <t>SALA</t>
        </is>
      </c>
      <c r="G304" t="n">
        <v>3.5</v>
      </c>
      <c r="H304" t="n">
        <v>0</v>
      </c>
      <c r="I304" t="n">
        <v>0</v>
      </c>
      <c r="J304" t="n">
        <v>0</v>
      </c>
      <c r="K304" t="n">
        <v>0</v>
      </c>
      <c r="L304" t="n">
        <v>0</v>
      </c>
      <c r="M304" t="n">
        <v>0</v>
      </c>
      <c r="N304" t="n">
        <v>0</v>
      </c>
      <c r="O304" t="n">
        <v>0</v>
      </c>
      <c r="P304" t="n">
        <v>0</v>
      </c>
      <c r="Q304" t="n">
        <v>0</v>
      </c>
      <c r="R304" s="2" t="inlineStr"/>
    </row>
    <row r="305" ht="15" customHeight="1">
      <c r="A305" t="inlineStr">
        <is>
          <t>A 18189-2021</t>
        </is>
      </c>
      <c r="B305" s="1" t="n">
        <v>44302</v>
      </c>
      <c r="C305" s="1" t="n">
        <v>45353</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18259-2021</t>
        </is>
      </c>
      <c r="B306" s="1" t="n">
        <v>44305</v>
      </c>
      <c r="C306" s="1" t="n">
        <v>45353</v>
      </c>
      <c r="D306" t="inlineStr">
        <is>
          <t>VÄSTMANLANDS LÄN</t>
        </is>
      </c>
      <c r="E306" t="inlineStr">
        <is>
          <t>SALA</t>
        </is>
      </c>
      <c r="G306" t="n">
        <v>0</v>
      </c>
      <c r="H306" t="n">
        <v>0</v>
      </c>
      <c r="I306" t="n">
        <v>0</v>
      </c>
      <c r="J306" t="n">
        <v>0</v>
      </c>
      <c r="K306" t="n">
        <v>0</v>
      </c>
      <c r="L306" t="n">
        <v>0</v>
      </c>
      <c r="M306" t="n">
        <v>0</v>
      </c>
      <c r="N306" t="n">
        <v>0</v>
      </c>
      <c r="O306" t="n">
        <v>0</v>
      </c>
      <c r="P306" t="n">
        <v>0</v>
      </c>
      <c r="Q306" t="n">
        <v>0</v>
      </c>
      <c r="R306" s="2" t="inlineStr"/>
    </row>
    <row r="307" ht="15" customHeight="1">
      <c r="A307" t="inlineStr">
        <is>
          <t>A 18378-2021</t>
        </is>
      </c>
      <c r="B307" s="1" t="n">
        <v>44305</v>
      </c>
      <c r="C307" s="1" t="n">
        <v>45353</v>
      </c>
      <c r="D307" t="inlineStr">
        <is>
          <t>VÄSTMANLANDS LÄN</t>
        </is>
      </c>
      <c r="E307" t="inlineStr">
        <is>
          <t>SALA</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18385-2021</t>
        </is>
      </c>
      <c r="B308" s="1" t="n">
        <v>44305</v>
      </c>
      <c r="C308" s="1" t="n">
        <v>45353</v>
      </c>
      <c r="D308" t="inlineStr">
        <is>
          <t>VÄSTMANLANDS LÄN</t>
        </is>
      </c>
      <c r="E308" t="inlineStr">
        <is>
          <t>SALA</t>
        </is>
      </c>
      <c r="F308" t="inlineStr">
        <is>
          <t>Kommuner</t>
        </is>
      </c>
      <c r="G308" t="n">
        <v>0.6</v>
      </c>
      <c r="H308" t="n">
        <v>0</v>
      </c>
      <c r="I308" t="n">
        <v>0</v>
      </c>
      <c r="J308" t="n">
        <v>0</v>
      </c>
      <c r="K308" t="n">
        <v>0</v>
      </c>
      <c r="L308" t="n">
        <v>0</v>
      </c>
      <c r="M308" t="n">
        <v>0</v>
      </c>
      <c r="N308" t="n">
        <v>0</v>
      </c>
      <c r="O308" t="n">
        <v>0</v>
      </c>
      <c r="P308" t="n">
        <v>0</v>
      </c>
      <c r="Q308" t="n">
        <v>0</v>
      </c>
      <c r="R308" s="2" t="inlineStr"/>
    </row>
    <row r="309" ht="15" customHeight="1">
      <c r="A309" t="inlineStr">
        <is>
          <t>A 18951-2021</t>
        </is>
      </c>
      <c r="B309" s="1" t="n">
        <v>44308</v>
      </c>
      <c r="C309" s="1" t="n">
        <v>45353</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21458-2021</t>
        </is>
      </c>
      <c r="B310" s="1" t="n">
        <v>44321</v>
      </c>
      <c r="C310" s="1" t="n">
        <v>45353</v>
      </c>
      <c r="D310" t="inlineStr">
        <is>
          <t>VÄSTMANLANDS LÄN</t>
        </is>
      </c>
      <c r="E310" t="inlineStr">
        <is>
          <t>SALA</t>
        </is>
      </c>
      <c r="G310" t="n">
        <v>0.3</v>
      </c>
      <c r="H310" t="n">
        <v>0</v>
      </c>
      <c r="I310" t="n">
        <v>0</v>
      </c>
      <c r="J310" t="n">
        <v>0</v>
      </c>
      <c r="K310" t="n">
        <v>0</v>
      </c>
      <c r="L310" t="n">
        <v>0</v>
      </c>
      <c r="M310" t="n">
        <v>0</v>
      </c>
      <c r="N310" t="n">
        <v>0</v>
      </c>
      <c r="O310" t="n">
        <v>0</v>
      </c>
      <c r="P310" t="n">
        <v>0</v>
      </c>
      <c r="Q310" t="n">
        <v>0</v>
      </c>
      <c r="R310" s="2" t="inlineStr"/>
    </row>
    <row r="311" ht="15" customHeight="1">
      <c r="A311" t="inlineStr">
        <is>
          <t>A 21478-2021</t>
        </is>
      </c>
      <c r="B311" s="1" t="n">
        <v>44321</v>
      </c>
      <c r="C311" s="1" t="n">
        <v>45353</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22019-2021</t>
        </is>
      </c>
      <c r="B312" s="1" t="n">
        <v>44323</v>
      </c>
      <c r="C312" s="1" t="n">
        <v>45353</v>
      </c>
      <c r="D312" t="inlineStr">
        <is>
          <t>VÄSTMANLANDS LÄN</t>
        </is>
      </c>
      <c r="E312" t="inlineStr">
        <is>
          <t>SALA</t>
        </is>
      </c>
      <c r="G312" t="n">
        <v>1.9</v>
      </c>
      <c r="H312" t="n">
        <v>0</v>
      </c>
      <c r="I312" t="n">
        <v>0</v>
      </c>
      <c r="J312" t="n">
        <v>0</v>
      </c>
      <c r="K312" t="n">
        <v>0</v>
      </c>
      <c r="L312" t="n">
        <v>0</v>
      </c>
      <c r="M312" t="n">
        <v>0</v>
      </c>
      <c r="N312" t="n">
        <v>0</v>
      </c>
      <c r="O312" t="n">
        <v>0</v>
      </c>
      <c r="P312" t="n">
        <v>0</v>
      </c>
      <c r="Q312" t="n">
        <v>0</v>
      </c>
      <c r="R312" s="2" t="inlineStr"/>
    </row>
    <row r="313" ht="15" customHeight="1">
      <c r="A313" t="inlineStr">
        <is>
          <t>A 22026-2021</t>
        </is>
      </c>
      <c r="B313" s="1" t="n">
        <v>44323</v>
      </c>
      <c r="C313" s="1" t="n">
        <v>45353</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22017-2021</t>
        </is>
      </c>
      <c r="B314" s="1" t="n">
        <v>44323</v>
      </c>
      <c r="C314" s="1" t="n">
        <v>45353</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22362-2021</t>
        </is>
      </c>
      <c r="B315" s="1" t="n">
        <v>44326</v>
      </c>
      <c r="C315" s="1" t="n">
        <v>45353</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23696-2021</t>
        </is>
      </c>
      <c r="B316" s="1" t="n">
        <v>44334</v>
      </c>
      <c r="C316" s="1" t="n">
        <v>45353</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23693-2021</t>
        </is>
      </c>
      <c r="B317" s="1" t="n">
        <v>44334</v>
      </c>
      <c r="C317" s="1" t="n">
        <v>45353</v>
      </c>
      <c r="D317" t="inlineStr">
        <is>
          <t>VÄSTMANLANDS LÄN</t>
        </is>
      </c>
      <c r="E317" t="inlineStr">
        <is>
          <t>SALA</t>
        </is>
      </c>
      <c r="G317" t="n">
        <v>8.4</v>
      </c>
      <c r="H317" t="n">
        <v>0</v>
      </c>
      <c r="I317" t="n">
        <v>0</v>
      </c>
      <c r="J317" t="n">
        <v>0</v>
      </c>
      <c r="K317" t="n">
        <v>0</v>
      </c>
      <c r="L317" t="n">
        <v>0</v>
      </c>
      <c r="M317" t="n">
        <v>0</v>
      </c>
      <c r="N317" t="n">
        <v>0</v>
      </c>
      <c r="O317" t="n">
        <v>0</v>
      </c>
      <c r="P317" t="n">
        <v>0</v>
      </c>
      <c r="Q317" t="n">
        <v>0</v>
      </c>
      <c r="R317" s="2" t="inlineStr"/>
    </row>
    <row r="318" ht="15" customHeight="1">
      <c r="A318" t="inlineStr">
        <is>
          <t>A 24740-2021</t>
        </is>
      </c>
      <c r="B318" s="1" t="n">
        <v>44340</v>
      </c>
      <c r="C318" s="1" t="n">
        <v>45353</v>
      </c>
      <c r="D318" t="inlineStr">
        <is>
          <t>VÄSTMANLANDS LÄN</t>
        </is>
      </c>
      <c r="E318" t="inlineStr">
        <is>
          <t>SALA</t>
        </is>
      </c>
      <c r="G318" t="n">
        <v>2.1</v>
      </c>
      <c r="H318" t="n">
        <v>0</v>
      </c>
      <c r="I318" t="n">
        <v>0</v>
      </c>
      <c r="J318" t="n">
        <v>0</v>
      </c>
      <c r="K318" t="n">
        <v>0</v>
      </c>
      <c r="L318" t="n">
        <v>0</v>
      </c>
      <c r="M318" t="n">
        <v>0</v>
      </c>
      <c r="N318" t="n">
        <v>0</v>
      </c>
      <c r="O318" t="n">
        <v>0</v>
      </c>
      <c r="P318" t="n">
        <v>0</v>
      </c>
      <c r="Q318" t="n">
        <v>0</v>
      </c>
      <c r="R318" s="2" t="inlineStr"/>
    </row>
    <row r="319" ht="15" customHeight="1">
      <c r="A319" t="inlineStr">
        <is>
          <t>A 24823-2021</t>
        </is>
      </c>
      <c r="B319" s="1" t="n">
        <v>44340</v>
      </c>
      <c r="C319" s="1" t="n">
        <v>45353</v>
      </c>
      <c r="D319" t="inlineStr">
        <is>
          <t>VÄSTMANLANDS LÄN</t>
        </is>
      </c>
      <c r="E319" t="inlineStr">
        <is>
          <t>SALA</t>
        </is>
      </c>
      <c r="G319" t="n">
        <v>4.9</v>
      </c>
      <c r="H319" t="n">
        <v>0</v>
      </c>
      <c r="I319" t="n">
        <v>0</v>
      </c>
      <c r="J319" t="n">
        <v>0</v>
      </c>
      <c r="K319" t="n">
        <v>0</v>
      </c>
      <c r="L319" t="n">
        <v>0</v>
      </c>
      <c r="M319" t="n">
        <v>0</v>
      </c>
      <c r="N319" t="n">
        <v>0</v>
      </c>
      <c r="O319" t="n">
        <v>0</v>
      </c>
      <c r="P319" t="n">
        <v>0</v>
      </c>
      <c r="Q319" t="n">
        <v>0</v>
      </c>
      <c r="R319" s="2" t="inlineStr"/>
    </row>
    <row r="320" ht="15" customHeight="1">
      <c r="A320" t="inlineStr">
        <is>
          <t>A 24755-2021</t>
        </is>
      </c>
      <c r="B320" s="1" t="n">
        <v>44340</v>
      </c>
      <c r="C320" s="1" t="n">
        <v>45353</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26579-2021</t>
        </is>
      </c>
      <c r="B321" s="1" t="n">
        <v>44348</v>
      </c>
      <c r="C321" s="1" t="n">
        <v>45353</v>
      </c>
      <c r="D321" t="inlineStr">
        <is>
          <t>VÄSTMANLANDS LÄN</t>
        </is>
      </c>
      <c r="E321" t="inlineStr">
        <is>
          <t>SALA</t>
        </is>
      </c>
      <c r="G321" t="n">
        <v>1.6</v>
      </c>
      <c r="H321" t="n">
        <v>0</v>
      </c>
      <c r="I321" t="n">
        <v>0</v>
      </c>
      <c r="J321" t="n">
        <v>0</v>
      </c>
      <c r="K321" t="n">
        <v>0</v>
      </c>
      <c r="L321" t="n">
        <v>0</v>
      </c>
      <c r="M321" t="n">
        <v>0</v>
      </c>
      <c r="N321" t="n">
        <v>0</v>
      </c>
      <c r="O321" t="n">
        <v>0</v>
      </c>
      <c r="P321" t="n">
        <v>0</v>
      </c>
      <c r="Q321" t="n">
        <v>0</v>
      </c>
      <c r="R321" s="2" t="inlineStr"/>
    </row>
    <row r="322" ht="15" customHeight="1">
      <c r="A322" t="inlineStr">
        <is>
          <t>A 26571-2021</t>
        </is>
      </c>
      <c r="B322" s="1" t="n">
        <v>44348</v>
      </c>
      <c r="C322" s="1" t="n">
        <v>45353</v>
      </c>
      <c r="D322" t="inlineStr">
        <is>
          <t>VÄSTMANLANDS LÄN</t>
        </is>
      </c>
      <c r="E322" t="inlineStr">
        <is>
          <t>SALA</t>
        </is>
      </c>
      <c r="G322" t="n">
        <v>2.1</v>
      </c>
      <c r="H322" t="n">
        <v>0</v>
      </c>
      <c r="I322" t="n">
        <v>0</v>
      </c>
      <c r="J322" t="n">
        <v>0</v>
      </c>
      <c r="K322" t="n">
        <v>0</v>
      </c>
      <c r="L322" t="n">
        <v>0</v>
      </c>
      <c r="M322" t="n">
        <v>0</v>
      </c>
      <c r="N322" t="n">
        <v>0</v>
      </c>
      <c r="O322" t="n">
        <v>0</v>
      </c>
      <c r="P322" t="n">
        <v>0</v>
      </c>
      <c r="Q322" t="n">
        <v>0</v>
      </c>
      <c r="R322" s="2" t="inlineStr"/>
    </row>
    <row r="323" ht="15" customHeight="1">
      <c r="A323" t="inlineStr">
        <is>
          <t>A 26570-2021</t>
        </is>
      </c>
      <c r="B323" s="1" t="n">
        <v>44348</v>
      </c>
      <c r="C323" s="1" t="n">
        <v>45353</v>
      </c>
      <c r="D323" t="inlineStr">
        <is>
          <t>VÄSTMANLANDS LÄN</t>
        </is>
      </c>
      <c r="E323" t="inlineStr">
        <is>
          <t>SALA</t>
        </is>
      </c>
      <c r="G323" t="n">
        <v>2.5</v>
      </c>
      <c r="H323" t="n">
        <v>0</v>
      </c>
      <c r="I323" t="n">
        <v>0</v>
      </c>
      <c r="J323" t="n">
        <v>0</v>
      </c>
      <c r="K323" t="n">
        <v>0</v>
      </c>
      <c r="L323" t="n">
        <v>0</v>
      </c>
      <c r="M323" t="n">
        <v>0</v>
      </c>
      <c r="N323" t="n">
        <v>0</v>
      </c>
      <c r="O323" t="n">
        <v>0</v>
      </c>
      <c r="P323" t="n">
        <v>0</v>
      </c>
      <c r="Q323" t="n">
        <v>0</v>
      </c>
      <c r="R323" s="2" t="inlineStr"/>
    </row>
    <row r="324" ht="15" customHeight="1">
      <c r="A324" t="inlineStr">
        <is>
          <t>A 26575-2021</t>
        </is>
      </c>
      <c r="B324" s="1" t="n">
        <v>44348</v>
      </c>
      <c r="C324" s="1" t="n">
        <v>45353</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28425-2021</t>
        </is>
      </c>
      <c r="B325" s="1" t="n">
        <v>44356</v>
      </c>
      <c r="C325" s="1" t="n">
        <v>45353</v>
      </c>
      <c r="D325" t="inlineStr">
        <is>
          <t>VÄSTMANLANDS LÄN</t>
        </is>
      </c>
      <c r="E325" t="inlineStr">
        <is>
          <t>SALA</t>
        </is>
      </c>
      <c r="G325" t="n">
        <v>3.7</v>
      </c>
      <c r="H325" t="n">
        <v>0</v>
      </c>
      <c r="I325" t="n">
        <v>0</v>
      </c>
      <c r="J325" t="n">
        <v>0</v>
      </c>
      <c r="K325" t="n">
        <v>0</v>
      </c>
      <c r="L325" t="n">
        <v>0</v>
      </c>
      <c r="M325" t="n">
        <v>0</v>
      </c>
      <c r="N325" t="n">
        <v>0</v>
      </c>
      <c r="O325" t="n">
        <v>0</v>
      </c>
      <c r="P325" t="n">
        <v>0</v>
      </c>
      <c r="Q325" t="n">
        <v>0</v>
      </c>
      <c r="R325" s="2" t="inlineStr"/>
    </row>
    <row r="326" ht="15" customHeight="1">
      <c r="A326" t="inlineStr">
        <is>
          <t>A 30170-2021</t>
        </is>
      </c>
      <c r="B326" s="1" t="n">
        <v>44363</v>
      </c>
      <c r="C326" s="1" t="n">
        <v>45353</v>
      </c>
      <c r="D326" t="inlineStr">
        <is>
          <t>VÄSTMANLANDS LÄN</t>
        </is>
      </c>
      <c r="E326" t="inlineStr">
        <is>
          <t>SALA</t>
        </is>
      </c>
      <c r="G326" t="n">
        <v>7.2</v>
      </c>
      <c r="H326" t="n">
        <v>0</v>
      </c>
      <c r="I326" t="n">
        <v>0</v>
      </c>
      <c r="J326" t="n">
        <v>0</v>
      </c>
      <c r="K326" t="n">
        <v>0</v>
      </c>
      <c r="L326" t="n">
        <v>0</v>
      </c>
      <c r="M326" t="n">
        <v>0</v>
      </c>
      <c r="N326" t="n">
        <v>0</v>
      </c>
      <c r="O326" t="n">
        <v>0</v>
      </c>
      <c r="P326" t="n">
        <v>0</v>
      </c>
      <c r="Q326" t="n">
        <v>0</v>
      </c>
      <c r="R326" s="2" t="inlineStr"/>
    </row>
    <row r="327" ht="15" customHeight="1">
      <c r="A327" t="inlineStr">
        <is>
          <t>A 30859-2021</t>
        </is>
      </c>
      <c r="B327" s="1" t="n">
        <v>44365</v>
      </c>
      <c r="C327" s="1" t="n">
        <v>45353</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30904-2021</t>
        </is>
      </c>
      <c r="B328" s="1" t="n">
        <v>44365</v>
      </c>
      <c r="C328" s="1" t="n">
        <v>45353</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30915-2021</t>
        </is>
      </c>
      <c r="B329" s="1" t="n">
        <v>44365</v>
      </c>
      <c r="C329" s="1" t="n">
        <v>45353</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30925-2021</t>
        </is>
      </c>
      <c r="B330" s="1" t="n">
        <v>44365</v>
      </c>
      <c r="C330" s="1" t="n">
        <v>45353</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30918-2021</t>
        </is>
      </c>
      <c r="B331" s="1" t="n">
        <v>44365</v>
      </c>
      <c r="C331" s="1" t="n">
        <v>45353</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31072-2021</t>
        </is>
      </c>
      <c r="B332" s="1" t="n">
        <v>44368</v>
      </c>
      <c r="C332" s="1" t="n">
        <v>45353</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31082-2021</t>
        </is>
      </c>
      <c r="B333" s="1" t="n">
        <v>44368</v>
      </c>
      <c r="C333" s="1" t="n">
        <v>45353</v>
      </c>
      <c r="D333" t="inlineStr">
        <is>
          <t>VÄSTMANLANDS LÄN</t>
        </is>
      </c>
      <c r="E333" t="inlineStr">
        <is>
          <t>SALA</t>
        </is>
      </c>
      <c r="G333" t="n">
        <v>2</v>
      </c>
      <c r="H333" t="n">
        <v>0</v>
      </c>
      <c r="I333" t="n">
        <v>0</v>
      </c>
      <c r="J333" t="n">
        <v>0</v>
      </c>
      <c r="K333" t="n">
        <v>0</v>
      </c>
      <c r="L333" t="n">
        <v>0</v>
      </c>
      <c r="M333" t="n">
        <v>0</v>
      </c>
      <c r="N333" t="n">
        <v>0</v>
      </c>
      <c r="O333" t="n">
        <v>0</v>
      </c>
      <c r="P333" t="n">
        <v>0</v>
      </c>
      <c r="Q333" t="n">
        <v>0</v>
      </c>
      <c r="R333" s="2" t="inlineStr"/>
    </row>
    <row r="334" ht="15" customHeight="1">
      <c r="A334" t="inlineStr">
        <is>
          <t>A 31452-2021</t>
        </is>
      </c>
      <c r="B334" s="1" t="n">
        <v>44369</v>
      </c>
      <c r="C334" s="1" t="n">
        <v>45353</v>
      </c>
      <c r="D334" t="inlineStr">
        <is>
          <t>VÄSTMANLANDS LÄN</t>
        </is>
      </c>
      <c r="E334" t="inlineStr">
        <is>
          <t>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31470-2021</t>
        </is>
      </c>
      <c r="B335" s="1" t="n">
        <v>44369</v>
      </c>
      <c r="C335" s="1" t="n">
        <v>45353</v>
      </c>
      <c r="D335" t="inlineStr">
        <is>
          <t>VÄSTMANLANDS LÄN</t>
        </is>
      </c>
      <c r="E335" t="inlineStr">
        <is>
          <t>SALA</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31904-2021</t>
        </is>
      </c>
      <c r="B336" s="1" t="n">
        <v>44370</v>
      </c>
      <c r="C336" s="1" t="n">
        <v>45353</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32610-2021</t>
        </is>
      </c>
      <c r="B337" s="1" t="n">
        <v>44375</v>
      </c>
      <c r="C337" s="1" t="n">
        <v>45353</v>
      </c>
      <c r="D337" t="inlineStr">
        <is>
          <t>VÄSTMANLANDS LÄN</t>
        </is>
      </c>
      <c r="E337" t="inlineStr">
        <is>
          <t>SALA</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33762-2021</t>
        </is>
      </c>
      <c r="B338" s="1" t="n">
        <v>44378</v>
      </c>
      <c r="C338" s="1" t="n">
        <v>45353</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34814-2021</t>
        </is>
      </c>
      <c r="B339" s="1" t="n">
        <v>44383</v>
      </c>
      <c r="C339" s="1" t="n">
        <v>45353</v>
      </c>
      <c r="D339" t="inlineStr">
        <is>
          <t>VÄSTMANLANDS LÄN</t>
        </is>
      </c>
      <c r="E339" t="inlineStr">
        <is>
          <t>SALA</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35207-2021</t>
        </is>
      </c>
      <c r="B340" s="1" t="n">
        <v>44384</v>
      </c>
      <c r="C340" s="1" t="n">
        <v>45353</v>
      </c>
      <c r="D340" t="inlineStr">
        <is>
          <t>VÄSTMANLANDS LÄN</t>
        </is>
      </c>
      <c r="E340" t="inlineStr">
        <is>
          <t>SALA</t>
        </is>
      </c>
      <c r="G340" t="n">
        <v>2.2</v>
      </c>
      <c r="H340" t="n">
        <v>0</v>
      </c>
      <c r="I340" t="n">
        <v>0</v>
      </c>
      <c r="J340" t="n">
        <v>0</v>
      </c>
      <c r="K340" t="n">
        <v>0</v>
      </c>
      <c r="L340" t="n">
        <v>0</v>
      </c>
      <c r="M340" t="n">
        <v>0</v>
      </c>
      <c r="N340" t="n">
        <v>0</v>
      </c>
      <c r="O340" t="n">
        <v>0</v>
      </c>
      <c r="P340" t="n">
        <v>0</v>
      </c>
      <c r="Q340" t="n">
        <v>0</v>
      </c>
      <c r="R340" s="2" t="inlineStr"/>
    </row>
    <row r="341" ht="15" customHeight="1">
      <c r="A341" t="inlineStr">
        <is>
          <t>A 35211-2021</t>
        </is>
      </c>
      <c r="B341" s="1" t="n">
        <v>44384</v>
      </c>
      <c r="C341" s="1" t="n">
        <v>45353</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35451-2021</t>
        </is>
      </c>
      <c r="B342" s="1" t="n">
        <v>44384</v>
      </c>
      <c r="C342" s="1" t="n">
        <v>45353</v>
      </c>
      <c r="D342" t="inlineStr">
        <is>
          <t>VÄSTMANLANDS LÄN</t>
        </is>
      </c>
      <c r="E342" t="inlineStr">
        <is>
          <t>SALA</t>
        </is>
      </c>
      <c r="G342" t="n">
        <v>2.5</v>
      </c>
      <c r="H342" t="n">
        <v>0</v>
      </c>
      <c r="I342" t="n">
        <v>0</v>
      </c>
      <c r="J342" t="n">
        <v>0</v>
      </c>
      <c r="K342" t="n">
        <v>0</v>
      </c>
      <c r="L342" t="n">
        <v>0</v>
      </c>
      <c r="M342" t="n">
        <v>0</v>
      </c>
      <c r="N342" t="n">
        <v>0</v>
      </c>
      <c r="O342" t="n">
        <v>0</v>
      </c>
      <c r="P342" t="n">
        <v>0</v>
      </c>
      <c r="Q342" t="n">
        <v>0</v>
      </c>
      <c r="R342" s="2" t="inlineStr"/>
    </row>
    <row r="343" ht="15" customHeight="1">
      <c r="A343" t="inlineStr">
        <is>
          <t>A 35487-2021</t>
        </is>
      </c>
      <c r="B343" s="1" t="n">
        <v>44384</v>
      </c>
      <c r="C343" s="1" t="n">
        <v>45353</v>
      </c>
      <c r="D343" t="inlineStr">
        <is>
          <t>VÄSTMANLANDS LÄN</t>
        </is>
      </c>
      <c r="E343" t="inlineStr">
        <is>
          <t>SALA</t>
        </is>
      </c>
      <c r="G343" t="n">
        <v>1.8</v>
      </c>
      <c r="H343" t="n">
        <v>0</v>
      </c>
      <c r="I343" t="n">
        <v>0</v>
      </c>
      <c r="J343" t="n">
        <v>0</v>
      </c>
      <c r="K343" t="n">
        <v>0</v>
      </c>
      <c r="L343" t="n">
        <v>0</v>
      </c>
      <c r="M343" t="n">
        <v>0</v>
      </c>
      <c r="N343" t="n">
        <v>0</v>
      </c>
      <c r="O343" t="n">
        <v>0</v>
      </c>
      <c r="P343" t="n">
        <v>0</v>
      </c>
      <c r="Q343" t="n">
        <v>0</v>
      </c>
      <c r="R343" s="2" t="inlineStr"/>
    </row>
    <row r="344" ht="15" customHeight="1">
      <c r="A344" t="inlineStr">
        <is>
          <t>A 35482-2021</t>
        </is>
      </c>
      <c r="B344" s="1" t="n">
        <v>44384</v>
      </c>
      <c r="C344" s="1" t="n">
        <v>45353</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35921-2021</t>
        </is>
      </c>
      <c r="B345" s="1" t="n">
        <v>44388</v>
      </c>
      <c r="C345" s="1" t="n">
        <v>45353</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37703-2021</t>
        </is>
      </c>
      <c r="B346" s="1" t="n">
        <v>44400</v>
      </c>
      <c r="C346" s="1" t="n">
        <v>45353</v>
      </c>
      <c r="D346" t="inlineStr">
        <is>
          <t>VÄSTMANLANDS LÄN</t>
        </is>
      </c>
      <c r="E346" t="inlineStr">
        <is>
          <t>SALA</t>
        </is>
      </c>
      <c r="G346" t="n">
        <v>2.7</v>
      </c>
      <c r="H346" t="n">
        <v>0</v>
      </c>
      <c r="I346" t="n">
        <v>0</v>
      </c>
      <c r="J346" t="n">
        <v>0</v>
      </c>
      <c r="K346" t="n">
        <v>0</v>
      </c>
      <c r="L346" t="n">
        <v>0</v>
      </c>
      <c r="M346" t="n">
        <v>0</v>
      </c>
      <c r="N346" t="n">
        <v>0</v>
      </c>
      <c r="O346" t="n">
        <v>0</v>
      </c>
      <c r="P346" t="n">
        <v>0</v>
      </c>
      <c r="Q346" t="n">
        <v>0</v>
      </c>
      <c r="R346" s="2" t="inlineStr"/>
    </row>
    <row r="347" ht="15" customHeight="1">
      <c r="A347" t="inlineStr">
        <is>
          <t>A 37856-2021</t>
        </is>
      </c>
      <c r="B347" s="1" t="n">
        <v>44403</v>
      </c>
      <c r="C347" s="1" t="n">
        <v>45353</v>
      </c>
      <c r="D347" t="inlineStr">
        <is>
          <t>VÄSTMANLANDS LÄN</t>
        </is>
      </c>
      <c r="E347" t="inlineStr">
        <is>
          <t>SALA</t>
        </is>
      </c>
      <c r="G347" t="n">
        <v>3.1</v>
      </c>
      <c r="H347" t="n">
        <v>0</v>
      </c>
      <c r="I347" t="n">
        <v>0</v>
      </c>
      <c r="J347" t="n">
        <v>0</v>
      </c>
      <c r="K347" t="n">
        <v>0</v>
      </c>
      <c r="L347" t="n">
        <v>0</v>
      </c>
      <c r="M347" t="n">
        <v>0</v>
      </c>
      <c r="N347" t="n">
        <v>0</v>
      </c>
      <c r="O347" t="n">
        <v>0</v>
      </c>
      <c r="P347" t="n">
        <v>0</v>
      </c>
      <c r="Q347" t="n">
        <v>0</v>
      </c>
      <c r="R347" s="2" t="inlineStr"/>
    </row>
    <row r="348" ht="15" customHeight="1">
      <c r="A348" t="inlineStr">
        <is>
          <t>A 37872-2021</t>
        </is>
      </c>
      <c r="B348" s="1" t="n">
        <v>44403</v>
      </c>
      <c r="C348" s="1" t="n">
        <v>45353</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37881-2021</t>
        </is>
      </c>
      <c r="B349" s="1" t="n">
        <v>44403</v>
      </c>
      <c r="C349" s="1" t="n">
        <v>45353</v>
      </c>
      <c r="D349" t="inlineStr">
        <is>
          <t>VÄSTMANLANDS LÄN</t>
        </is>
      </c>
      <c r="E349" t="inlineStr">
        <is>
          <t>SALA</t>
        </is>
      </c>
      <c r="G349" t="n">
        <v>4.6</v>
      </c>
      <c r="H349" t="n">
        <v>0</v>
      </c>
      <c r="I349" t="n">
        <v>0</v>
      </c>
      <c r="J349" t="n">
        <v>0</v>
      </c>
      <c r="K349" t="n">
        <v>0</v>
      </c>
      <c r="L349" t="n">
        <v>0</v>
      </c>
      <c r="M349" t="n">
        <v>0</v>
      </c>
      <c r="N349" t="n">
        <v>0</v>
      </c>
      <c r="O349" t="n">
        <v>0</v>
      </c>
      <c r="P349" t="n">
        <v>0</v>
      </c>
      <c r="Q349" t="n">
        <v>0</v>
      </c>
      <c r="R349" s="2" t="inlineStr"/>
    </row>
    <row r="350" ht="15" customHeight="1">
      <c r="A350" t="inlineStr">
        <is>
          <t>A 38195-2021</t>
        </is>
      </c>
      <c r="B350" s="1" t="n">
        <v>44405</v>
      </c>
      <c r="C350" s="1" t="n">
        <v>45353</v>
      </c>
      <c r="D350" t="inlineStr">
        <is>
          <t>VÄSTMANLANDS LÄN</t>
        </is>
      </c>
      <c r="E350" t="inlineStr">
        <is>
          <t>SALA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38634-2021</t>
        </is>
      </c>
      <c r="B351" s="1" t="n">
        <v>44410</v>
      </c>
      <c r="C351" s="1" t="n">
        <v>45353</v>
      </c>
      <c r="D351" t="inlineStr">
        <is>
          <t>VÄSTMANLANDS LÄN</t>
        </is>
      </c>
      <c r="E351" t="inlineStr">
        <is>
          <t>SALA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39439-2021</t>
        </is>
      </c>
      <c r="B352" s="1" t="n">
        <v>44414</v>
      </c>
      <c r="C352" s="1" t="n">
        <v>45353</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39807-2021</t>
        </is>
      </c>
      <c r="B353" s="1" t="n">
        <v>44417</v>
      </c>
      <c r="C353" s="1" t="n">
        <v>45353</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40157-2021</t>
        </is>
      </c>
      <c r="B354" s="1" t="n">
        <v>44418</v>
      </c>
      <c r="C354" s="1" t="n">
        <v>45353</v>
      </c>
      <c r="D354" t="inlineStr">
        <is>
          <t>VÄSTMANLANDS LÄN</t>
        </is>
      </c>
      <c r="E354" t="inlineStr">
        <is>
          <t>SALA</t>
        </is>
      </c>
      <c r="G354" t="n">
        <v>1.7</v>
      </c>
      <c r="H354" t="n">
        <v>0</v>
      </c>
      <c r="I354" t="n">
        <v>0</v>
      </c>
      <c r="J354" t="n">
        <v>0</v>
      </c>
      <c r="K354" t="n">
        <v>0</v>
      </c>
      <c r="L354" t="n">
        <v>0</v>
      </c>
      <c r="M354" t="n">
        <v>0</v>
      </c>
      <c r="N354" t="n">
        <v>0</v>
      </c>
      <c r="O354" t="n">
        <v>0</v>
      </c>
      <c r="P354" t="n">
        <v>0</v>
      </c>
      <c r="Q354" t="n">
        <v>0</v>
      </c>
      <c r="R354" s="2" t="inlineStr"/>
    </row>
    <row r="355" ht="15" customHeight="1">
      <c r="A355" t="inlineStr">
        <is>
          <t>A 40153-2021</t>
        </is>
      </c>
      <c r="B355" s="1" t="n">
        <v>44418</v>
      </c>
      <c r="C355" s="1" t="n">
        <v>45353</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40398-2021</t>
        </is>
      </c>
      <c r="B356" s="1" t="n">
        <v>44419</v>
      </c>
      <c r="C356" s="1" t="n">
        <v>45353</v>
      </c>
      <c r="D356" t="inlineStr">
        <is>
          <t>VÄSTMANLANDS LÄN</t>
        </is>
      </c>
      <c r="E356" t="inlineStr">
        <is>
          <t>SALA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40659-2021</t>
        </is>
      </c>
      <c r="B357" s="1" t="n">
        <v>44420</v>
      </c>
      <c r="C357" s="1" t="n">
        <v>45353</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40871-2021</t>
        </is>
      </c>
      <c r="B358" s="1" t="n">
        <v>44421</v>
      </c>
      <c r="C358" s="1" t="n">
        <v>45353</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41292-2021</t>
        </is>
      </c>
      <c r="B359" s="1" t="n">
        <v>44424</v>
      </c>
      <c r="C359" s="1" t="n">
        <v>45353</v>
      </c>
      <c r="D359" t="inlineStr">
        <is>
          <t>VÄSTMANLANDS LÄN</t>
        </is>
      </c>
      <c r="E359" t="inlineStr">
        <is>
          <t>SALA</t>
        </is>
      </c>
      <c r="G359" t="n">
        <v>0.3</v>
      </c>
      <c r="H359" t="n">
        <v>0</v>
      </c>
      <c r="I359" t="n">
        <v>0</v>
      </c>
      <c r="J359" t="n">
        <v>0</v>
      </c>
      <c r="K359" t="n">
        <v>0</v>
      </c>
      <c r="L359" t="n">
        <v>0</v>
      </c>
      <c r="M359" t="n">
        <v>0</v>
      </c>
      <c r="N359" t="n">
        <v>0</v>
      </c>
      <c r="O359" t="n">
        <v>0</v>
      </c>
      <c r="P359" t="n">
        <v>0</v>
      </c>
      <c r="Q359" t="n">
        <v>0</v>
      </c>
      <c r="R359" s="2" t="inlineStr"/>
    </row>
    <row r="360" ht="15" customHeight="1">
      <c r="A360" t="inlineStr">
        <is>
          <t>A 41583-2021</t>
        </is>
      </c>
      <c r="B360" s="1" t="n">
        <v>44425</v>
      </c>
      <c r="C360" s="1" t="n">
        <v>45353</v>
      </c>
      <c r="D360" t="inlineStr">
        <is>
          <t>VÄSTMANLANDS LÄN</t>
        </is>
      </c>
      <c r="E360" t="inlineStr">
        <is>
          <t>SALA</t>
        </is>
      </c>
      <c r="G360" t="n">
        <v>5</v>
      </c>
      <c r="H360" t="n">
        <v>0</v>
      </c>
      <c r="I360" t="n">
        <v>0</v>
      </c>
      <c r="J360" t="n">
        <v>0</v>
      </c>
      <c r="K360" t="n">
        <v>0</v>
      </c>
      <c r="L360" t="n">
        <v>0</v>
      </c>
      <c r="M360" t="n">
        <v>0</v>
      </c>
      <c r="N360" t="n">
        <v>0</v>
      </c>
      <c r="O360" t="n">
        <v>0</v>
      </c>
      <c r="P360" t="n">
        <v>0</v>
      </c>
      <c r="Q360" t="n">
        <v>0</v>
      </c>
      <c r="R360" s="2" t="inlineStr"/>
    </row>
    <row r="361" ht="15" customHeight="1">
      <c r="A361" t="inlineStr">
        <is>
          <t>A 43292-2021</t>
        </is>
      </c>
      <c r="B361" s="1" t="n">
        <v>44432</v>
      </c>
      <c r="C361" s="1" t="n">
        <v>45353</v>
      </c>
      <c r="D361" t="inlineStr">
        <is>
          <t>VÄSTMANLANDS LÄN</t>
        </is>
      </c>
      <c r="E361" t="inlineStr">
        <is>
          <t>SALA</t>
        </is>
      </c>
      <c r="G361" t="n">
        <v>15</v>
      </c>
      <c r="H361" t="n">
        <v>0</v>
      </c>
      <c r="I361" t="n">
        <v>0</v>
      </c>
      <c r="J361" t="n">
        <v>0</v>
      </c>
      <c r="K361" t="n">
        <v>0</v>
      </c>
      <c r="L361" t="n">
        <v>0</v>
      </c>
      <c r="M361" t="n">
        <v>0</v>
      </c>
      <c r="N361" t="n">
        <v>0</v>
      </c>
      <c r="O361" t="n">
        <v>0</v>
      </c>
      <c r="P361" t="n">
        <v>0</v>
      </c>
      <c r="Q361" t="n">
        <v>0</v>
      </c>
      <c r="R361" s="2" t="inlineStr"/>
    </row>
    <row r="362" ht="15" customHeight="1">
      <c r="A362" t="inlineStr">
        <is>
          <t>A 43509-2021</t>
        </is>
      </c>
      <c r="B362" s="1" t="n">
        <v>44433</v>
      </c>
      <c r="C362" s="1" t="n">
        <v>45353</v>
      </c>
      <c r="D362" t="inlineStr">
        <is>
          <t>VÄSTMANLANDS LÄN</t>
        </is>
      </c>
      <c r="E362" t="inlineStr">
        <is>
          <t>SALA</t>
        </is>
      </c>
      <c r="G362" t="n">
        <v>0.8</v>
      </c>
      <c r="H362" t="n">
        <v>0</v>
      </c>
      <c r="I362" t="n">
        <v>0</v>
      </c>
      <c r="J362" t="n">
        <v>0</v>
      </c>
      <c r="K362" t="n">
        <v>0</v>
      </c>
      <c r="L362" t="n">
        <v>0</v>
      </c>
      <c r="M362" t="n">
        <v>0</v>
      </c>
      <c r="N362" t="n">
        <v>0</v>
      </c>
      <c r="O362" t="n">
        <v>0</v>
      </c>
      <c r="P362" t="n">
        <v>0</v>
      </c>
      <c r="Q362" t="n">
        <v>0</v>
      </c>
      <c r="R362" s="2" t="inlineStr"/>
    </row>
    <row r="363" ht="15" customHeight="1">
      <c r="A363" t="inlineStr">
        <is>
          <t>A 46279-2021</t>
        </is>
      </c>
      <c r="B363" s="1" t="n">
        <v>44442</v>
      </c>
      <c r="C363" s="1" t="n">
        <v>45353</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45353</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47683-2021</t>
        </is>
      </c>
      <c r="B365" s="1" t="n">
        <v>44448</v>
      </c>
      <c r="C365" s="1" t="n">
        <v>45353</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48400-2021</t>
        </is>
      </c>
      <c r="B366" s="1" t="n">
        <v>44449</v>
      </c>
      <c r="C366" s="1" t="n">
        <v>45353</v>
      </c>
      <c r="D366" t="inlineStr">
        <is>
          <t>VÄSTMANLANDS LÄN</t>
        </is>
      </c>
      <c r="E366" t="inlineStr">
        <is>
          <t>SALA</t>
        </is>
      </c>
      <c r="G366" t="n">
        <v>3</v>
      </c>
      <c r="H366" t="n">
        <v>0</v>
      </c>
      <c r="I366" t="n">
        <v>0</v>
      </c>
      <c r="J366" t="n">
        <v>0</v>
      </c>
      <c r="K366" t="n">
        <v>0</v>
      </c>
      <c r="L366" t="n">
        <v>0</v>
      </c>
      <c r="M366" t="n">
        <v>0</v>
      </c>
      <c r="N366" t="n">
        <v>0</v>
      </c>
      <c r="O366" t="n">
        <v>0</v>
      </c>
      <c r="P366" t="n">
        <v>0</v>
      </c>
      <c r="Q366" t="n">
        <v>0</v>
      </c>
      <c r="R366" s="2" t="inlineStr"/>
    </row>
    <row r="367" ht="15" customHeight="1">
      <c r="A367" t="inlineStr">
        <is>
          <t>A 50962-2021</t>
        </is>
      </c>
      <c r="B367" s="1" t="n">
        <v>44460</v>
      </c>
      <c r="C367" s="1" t="n">
        <v>45353</v>
      </c>
      <c r="D367" t="inlineStr">
        <is>
          <t>VÄSTMANLANDS LÄN</t>
        </is>
      </c>
      <c r="E367" t="inlineStr">
        <is>
          <t>SALA</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54030-2021</t>
        </is>
      </c>
      <c r="B368" s="1" t="n">
        <v>44470</v>
      </c>
      <c r="C368" s="1" t="n">
        <v>45353</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54520-2021</t>
        </is>
      </c>
      <c r="B369" s="1" t="n">
        <v>44473</v>
      </c>
      <c r="C369" s="1" t="n">
        <v>45353</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57049-2021</t>
        </is>
      </c>
      <c r="B370" s="1" t="n">
        <v>44482</v>
      </c>
      <c r="C370" s="1" t="n">
        <v>45353</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57056-2021</t>
        </is>
      </c>
      <c r="B371" s="1" t="n">
        <v>44482</v>
      </c>
      <c r="C371" s="1" t="n">
        <v>45353</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57000-2021</t>
        </is>
      </c>
      <c r="B372" s="1" t="n">
        <v>44482</v>
      </c>
      <c r="C372" s="1" t="n">
        <v>45353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57131-2021</t>
        </is>
      </c>
      <c r="B373" s="1" t="n">
        <v>44482</v>
      </c>
      <c r="C373" s="1" t="n">
        <v>45353</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57517-2021</t>
        </is>
      </c>
      <c r="B374" s="1" t="n">
        <v>44483</v>
      </c>
      <c r="C374" s="1" t="n">
        <v>45353</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57596-2021</t>
        </is>
      </c>
      <c r="B375" s="1" t="n">
        <v>44483</v>
      </c>
      <c r="C375" s="1" t="n">
        <v>45353</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58107-2021</t>
        </is>
      </c>
      <c r="B376" s="1" t="n">
        <v>44487</v>
      </c>
      <c r="C376" s="1" t="n">
        <v>45353</v>
      </c>
      <c r="D376" t="inlineStr">
        <is>
          <t>VÄSTMANLANDS LÄN</t>
        </is>
      </c>
      <c r="E376" t="inlineStr">
        <is>
          <t>SALA</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58106-2021</t>
        </is>
      </c>
      <c r="B377" s="1" t="n">
        <v>44487</v>
      </c>
      <c r="C377" s="1" t="n">
        <v>45353</v>
      </c>
      <c r="D377" t="inlineStr">
        <is>
          <t>VÄSTMANLANDS LÄN</t>
        </is>
      </c>
      <c r="E377" t="inlineStr">
        <is>
          <t>SALA</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58522-2021</t>
        </is>
      </c>
      <c r="B378" s="1" t="n">
        <v>44488</v>
      </c>
      <c r="C378" s="1" t="n">
        <v>45353</v>
      </c>
      <c r="D378" t="inlineStr">
        <is>
          <t>VÄSTMANLANDS LÄN</t>
        </is>
      </c>
      <c r="E378" t="inlineStr">
        <is>
          <t>SALA</t>
        </is>
      </c>
      <c r="G378" t="n">
        <v>0.3</v>
      </c>
      <c r="H378" t="n">
        <v>0</v>
      </c>
      <c r="I378" t="n">
        <v>0</v>
      </c>
      <c r="J378" t="n">
        <v>0</v>
      </c>
      <c r="K378" t="n">
        <v>0</v>
      </c>
      <c r="L378" t="n">
        <v>0</v>
      </c>
      <c r="M378" t="n">
        <v>0</v>
      </c>
      <c r="N378" t="n">
        <v>0</v>
      </c>
      <c r="O378" t="n">
        <v>0</v>
      </c>
      <c r="P378" t="n">
        <v>0</v>
      </c>
      <c r="Q378" t="n">
        <v>0</v>
      </c>
      <c r="R378" s="2" t="inlineStr"/>
    </row>
    <row r="379" ht="15" customHeight="1">
      <c r="A379" t="inlineStr">
        <is>
          <t>A 58701-2021</t>
        </is>
      </c>
      <c r="B379" s="1" t="n">
        <v>44489</v>
      </c>
      <c r="C379" s="1" t="n">
        <v>45353</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60031-2021</t>
        </is>
      </c>
      <c r="B380" s="1" t="n">
        <v>44495</v>
      </c>
      <c r="C380" s="1" t="n">
        <v>45353</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60951-2021</t>
        </is>
      </c>
      <c r="B381" s="1" t="n">
        <v>44497</v>
      </c>
      <c r="C381" s="1" t="n">
        <v>45353</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61892-2021</t>
        </is>
      </c>
      <c r="B382" s="1" t="n">
        <v>44502</v>
      </c>
      <c r="C382" s="1" t="n">
        <v>45353</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61874-2021</t>
        </is>
      </c>
      <c r="B383" s="1" t="n">
        <v>44502</v>
      </c>
      <c r="C383" s="1" t="n">
        <v>45353</v>
      </c>
      <c r="D383" t="inlineStr">
        <is>
          <t>VÄSTMANLANDS LÄN</t>
        </is>
      </c>
      <c r="E383" t="inlineStr">
        <is>
          <t>SALA</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45353</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62842-2021</t>
        </is>
      </c>
      <c r="B385" s="1" t="n">
        <v>44504</v>
      </c>
      <c r="C385" s="1" t="n">
        <v>45353</v>
      </c>
      <c r="D385" t="inlineStr">
        <is>
          <t>VÄSTMANLANDS LÄN</t>
        </is>
      </c>
      <c r="E385" t="inlineStr">
        <is>
          <t>SALA</t>
        </is>
      </c>
      <c r="G385" t="n">
        <v>5.3</v>
      </c>
      <c r="H385" t="n">
        <v>0</v>
      </c>
      <c r="I385" t="n">
        <v>0</v>
      </c>
      <c r="J385" t="n">
        <v>0</v>
      </c>
      <c r="K385" t="n">
        <v>0</v>
      </c>
      <c r="L385" t="n">
        <v>0</v>
      </c>
      <c r="M385" t="n">
        <v>0</v>
      </c>
      <c r="N385" t="n">
        <v>0</v>
      </c>
      <c r="O385" t="n">
        <v>0</v>
      </c>
      <c r="P385" t="n">
        <v>0</v>
      </c>
      <c r="Q385" t="n">
        <v>0</v>
      </c>
      <c r="R385" s="2" t="inlineStr"/>
    </row>
    <row r="386" ht="15" customHeight="1">
      <c r="A386" t="inlineStr">
        <is>
          <t>A 62793-2021</t>
        </is>
      </c>
      <c r="B386" s="1" t="n">
        <v>44504</v>
      </c>
      <c r="C386" s="1" t="n">
        <v>45353</v>
      </c>
      <c r="D386" t="inlineStr">
        <is>
          <t>VÄSTMANLANDS LÄN</t>
        </is>
      </c>
      <c r="E386" t="inlineStr">
        <is>
          <t>SALA</t>
        </is>
      </c>
      <c r="G386" t="n">
        <v>5.7</v>
      </c>
      <c r="H386" t="n">
        <v>0</v>
      </c>
      <c r="I386" t="n">
        <v>0</v>
      </c>
      <c r="J386" t="n">
        <v>0</v>
      </c>
      <c r="K386" t="n">
        <v>0</v>
      </c>
      <c r="L386" t="n">
        <v>0</v>
      </c>
      <c r="M386" t="n">
        <v>0</v>
      </c>
      <c r="N386" t="n">
        <v>0</v>
      </c>
      <c r="O386" t="n">
        <v>0</v>
      </c>
      <c r="P386" t="n">
        <v>0</v>
      </c>
      <c r="Q386" t="n">
        <v>0</v>
      </c>
      <c r="R386" s="2" t="inlineStr"/>
    </row>
    <row r="387" ht="15" customHeight="1">
      <c r="A387" t="inlineStr">
        <is>
          <t>A 62833-2021</t>
        </is>
      </c>
      <c r="B387" s="1" t="n">
        <v>44504</v>
      </c>
      <c r="C387" s="1" t="n">
        <v>45353</v>
      </c>
      <c r="D387" t="inlineStr">
        <is>
          <t>VÄSTMANLANDS LÄN</t>
        </is>
      </c>
      <c r="E387" t="inlineStr">
        <is>
          <t>SALA</t>
        </is>
      </c>
      <c r="G387" t="n">
        <v>5</v>
      </c>
      <c r="H387" t="n">
        <v>0</v>
      </c>
      <c r="I387" t="n">
        <v>0</v>
      </c>
      <c r="J387" t="n">
        <v>0</v>
      </c>
      <c r="K387" t="n">
        <v>0</v>
      </c>
      <c r="L387" t="n">
        <v>0</v>
      </c>
      <c r="M387" t="n">
        <v>0</v>
      </c>
      <c r="N387" t="n">
        <v>0</v>
      </c>
      <c r="O387" t="n">
        <v>0</v>
      </c>
      <c r="P387" t="n">
        <v>0</v>
      </c>
      <c r="Q387" t="n">
        <v>0</v>
      </c>
      <c r="R387" s="2" t="inlineStr"/>
    </row>
    <row r="388" ht="15" customHeight="1">
      <c r="A388" t="inlineStr">
        <is>
          <t>A 62850-2021</t>
        </is>
      </c>
      <c r="B388" s="1" t="n">
        <v>44504</v>
      </c>
      <c r="C388" s="1" t="n">
        <v>45353</v>
      </c>
      <c r="D388" t="inlineStr">
        <is>
          <t>VÄSTMANLANDS LÄN</t>
        </is>
      </c>
      <c r="E388" t="inlineStr">
        <is>
          <t>SALA</t>
        </is>
      </c>
      <c r="G388" t="n">
        <v>5.2</v>
      </c>
      <c r="H388" t="n">
        <v>0</v>
      </c>
      <c r="I388" t="n">
        <v>0</v>
      </c>
      <c r="J388" t="n">
        <v>0</v>
      </c>
      <c r="K388" t="n">
        <v>0</v>
      </c>
      <c r="L388" t="n">
        <v>0</v>
      </c>
      <c r="M388" t="n">
        <v>0</v>
      </c>
      <c r="N388" t="n">
        <v>0</v>
      </c>
      <c r="O388" t="n">
        <v>0</v>
      </c>
      <c r="P388" t="n">
        <v>0</v>
      </c>
      <c r="Q388" t="n">
        <v>0</v>
      </c>
      <c r="R388" s="2" t="inlineStr"/>
    </row>
    <row r="389" ht="15" customHeight="1">
      <c r="A389" t="inlineStr">
        <is>
          <t>A 62967-2021</t>
        </is>
      </c>
      <c r="B389" s="1" t="n">
        <v>44505</v>
      </c>
      <c r="C389" s="1" t="n">
        <v>45353</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63290-2021</t>
        </is>
      </c>
      <c r="B390" s="1" t="n">
        <v>44505</v>
      </c>
      <c r="C390" s="1" t="n">
        <v>45353</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64931-2021</t>
        </is>
      </c>
      <c r="B391" s="1" t="n">
        <v>44512</v>
      </c>
      <c r="C391" s="1" t="n">
        <v>45353</v>
      </c>
      <c r="D391" t="inlineStr">
        <is>
          <t>VÄSTMANLANDS LÄN</t>
        </is>
      </c>
      <c r="E391" t="inlineStr">
        <is>
          <t>SALA</t>
        </is>
      </c>
      <c r="G391" t="n">
        <v>1.1</v>
      </c>
      <c r="H391" t="n">
        <v>0</v>
      </c>
      <c r="I391" t="n">
        <v>0</v>
      </c>
      <c r="J391" t="n">
        <v>0</v>
      </c>
      <c r="K391" t="n">
        <v>0</v>
      </c>
      <c r="L391" t="n">
        <v>0</v>
      </c>
      <c r="M391" t="n">
        <v>0</v>
      </c>
      <c r="N391" t="n">
        <v>0</v>
      </c>
      <c r="O391" t="n">
        <v>0</v>
      </c>
      <c r="P391" t="n">
        <v>0</v>
      </c>
      <c r="Q391" t="n">
        <v>0</v>
      </c>
      <c r="R391" s="2" t="inlineStr"/>
    </row>
    <row r="392" ht="15" customHeight="1">
      <c r="A392" t="inlineStr">
        <is>
          <t>A 64932-2021</t>
        </is>
      </c>
      <c r="B392" s="1" t="n">
        <v>44512</v>
      </c>
      <c r="C392" s="1" t="n">
        <v>45353</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65213-2021</t>
        </is>
      </c>
      <c r="B393" s="1" t="n">
        <v>44515</v>
      </c>
      <c r="C393" s="1" t="n">
        <v>45353</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65321-2021</t>
        </is>
      </c>
      <c r="B394" s="1" t="n">
        <v>44515</v>
      </c>
      <c r="C394" s="1" t="n">
        <v>45353</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65338-2021</t>
        </is>
      </c>
      <c r="B395" s="1" t="n">
        <v>44515</v>
      </c>
      <c r="C395" s="1" t="n">
        <v>45353</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65353-2021</t>
        </is>
      </c>
      <c r="B396" s="1" t="n">
        <v>44515</v>
      </c>
      <c r="C396" s="1" t="n">
        <v>45353</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65490-2021</t>
        </is>
      </c>
      <c r="B397" s="1" t="n">
        <v>44515</v>
      </c>
      <c r="C397" s="1" t="n">
        <v>45353</v>
      </c>
      <c r="D397" t="inlineStr">
        <is>
          <t>VÄSTMANLANDS LÄN</t>
        </is>
      </c>
      <c r="E397" t="inlineStr">
        <is>
          <t>SALA</t>
        </is>
      </c>
      <c r="G397" t="n">
        <v>2.1</v>
      </c>
      <c r="H397" t="n">
        <v>0</v>
      </c>
      <c r="I397" t="n">
        <v>0</v>
      </c>
      <c r="J397" t="n">
        <v>0</v>
      </c>
      <c r="K397" t="n">
        <v>0</v>
      </c>
      <c r="L397" t="n">
        <v>0</v>
      </c>
      <c r="M397" t="n">
        <v>0</v>
      </c>
      <c r="N397" t="n">
        <v>0</v>
      </c>
      <c r="O397" t="n">
        <v>0</v>
      </c>
      <c r="P397" t="n">
        <v>0</v>
      </c>
      <c r="Q397" t="n">
        <v>0</v>
      </c>
      <c r="R397" s="2" t="inlineStr"/>
    </row>
    <row r="398" ht="15" customHeight="1">
      <c r="A398" t="inlineStr">
        <is>
          <t>A 65856-2021</t>
        </is>
      </c>
      <c r="B398" s="1" t="n">
        <v>44517</v>
      </c>
      <c r="C398" s="1" t="n">
        <v>45353</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65818-2021</t>
        </is>
      </c>
      <c r="B399" s="1" t="n">
        <v>44517</v>
      </c>
      <c r="C399" s="1" t="n">
        <v>45353</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65835-2021</t>
        </is>
      </c>
      <c r="B400" s="1" t="n">
        <v>44517</v>
      </c>
      <c r="C400" s="1" t="n">
        <v>45353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65860-2021</t>
        </is>
      </c>
      <c r="B401" s="1" t="n">
        <v>44517</v>
      </c>
      <c r="C401" s="1" t="n">
        <v>45353</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66307-2021</t>
        </is>
      </c>
      <c r="B402" s="1" t="n">
        <v>44518</v>
      </c>
      <c r="C402" s="1" t="n">
        <v>45353</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66508-2021</t>
        </is>
      </c>
      <c r="B403" s="1" t="n">
        <v>44519</v>
      </c>
      <c r="C403" s="1" t="n">
        <v>45353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66563-2021</t>
        </is>
      </c>
      <c r="B404" s="1" t="n">
        <v>44519</v>
      </c>
      <c r="C404" s="1" t="n">
        <v>45353</v>
      </c>
      <c r="D404" t="inlineStr">
        <is>
          <t>VÄSTMANLANDS LÄN</t>
        </is>
      </c>
      <c r="E404" t="inlineStr">
        <is>
          <t>SALA</t>
        </is>
      </c>
      <c r="G404" t="n">
        <v>1.4</v>
      </c>
      <c r="H404" t="n">
        <v>0</v>
      </c>
      <c r="I404" t="n">
        <v>0</v>
      </c>
      <c r="J404" t="n">
        <v>0</v>
      </c>
      <c r="K404" t="n">
        <v>0</v>
      </c>
      <c r="L404" t="n">
        <v>0</v>
      </c>
      <c r="M404" t="n">
        <v>0</v>
      </c>
      <c r="N404" t="n">
        <v>0</v>
      </c>
      <c r="O404" t="n">
        <v>0</v>
      </c>
      <c r="P404" t="n">
        <v>0</v>
      </c>
      <c r="Q404" t="n">
        <v>0</v>
      </c>
      <c r="R404" s="2" t="inlineStr"/>
    </row>
    <row r="405" ht="15" customHeight="1">
      <c r="A405" t="inlineStr">
        <is>
          <t>A 66561-2021</t>
        </is>
      </c>
      <c r="B405" s="1" t="n">
        <v>44519</v>
      </c>
      <c r="C405" s="1" t="n">
        <v>45353</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66908-2021</t>
        </is>
      </c>
      <c r="B406" s="1" t="n">
        <v>44522</v>
      </c>
      <c r="C406" s="1" t="n">
        <v>45353</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66830-2021</t>
        </is>
      </c>
      <c r="B407" s="1" t="n">
        <v>44522</v>
      </c>
      <c r="C407" s="1" t="n">
        <v>45353</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67037-2021</t>
        </is>
      </c>
      <c r="B408" s="1" t="n">
        <v>44522</v>
      </c>
      <c r="C408" s="1" t="n">
        <v>45353</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c r="U408">
        <f>HYPERLINK("https://klasma.github.io/Logging_1981/knärot/A 67037-2021 karta knärot.png", "A 67037-2021")</f>
        <v/>
      </c>
      <c r="V408">
        <f>HYPERLINK("https://klasma.github.io/Logging_1981/klagomål/A 67037-2021 FSC-klagomål.docx", "A 67037-2021")</f>
        <v/>
      </c>
      <c r="W408">
        <f>HYPERLINK("https://klasma.github.io/Logging_1981/klagomålsmail/A 67037-2021 FSC-klagomål mail.docx", "A 67037-2021")</f>
        <v/>
      </c>
      <c r="X408">
        <f>HYPERLINK("https://klasma.github.io/Logging_1981/tillsyn/A 67037-2021 tillsynsbegäran.docx", "A 67037-2021")</f>
        <v/>
      </c>
      <c r="Y408">
        <f>HYPERLINK("https://klasma.github.io/Logging_1981/tillsynsmail/A 67037-2021 tillsynsbegäran mail.docx", "A 67037-2021")</f>
        <v/>
      </c>
    </row>
    <row r="409" ht="15" customHeight="1">
      <c r="A409" t="inlineStr">
        <is>
          <t>A 67965-2021</t>
        </is>
      </c>
      <c r="B409" s="1" t="n">
        <v>44525</v>
      </c>
      <c r="C409" s="1" t="n">
        <v>45353</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67958-2021</t>
        </is>
      </c>
      <c r="B410" s="1" t="n">
        <v>44525</v>
      </c>
      <c r="C410" s="1" t="n">
        <v>45353</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67962-2021</t>
        </is>
      </c>
      <c r="B411" s="1" t="n">
        <v>44525</v>
      </c>
      <c r="C411" s="1" t="n">
        <v>45353</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68355-2021</t>
        </is>
      </c>
      <c r="B412" s="1" t="n">
        <v>44528</v>
      </c>
      <c r="C412" s="1" t="n">
        <v>45353</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68484-2021</t>
        </is>
      </c>
      <c r="B413" s="1" t="n">
        <v>44529</v>
      </c>
      <c r="C413" s="1" t="n">
        <v>45353</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68980-2021</t>
        </is>
      </c>
      <c r="B414" s="1" t="n">
        <v>44529</v>
      </c>
      <c r="C414" s="1" t="n">
        <v>45353</v>
      </c>
      <c r="D414" t="inlineStr">
        <is>
          <t>VÄSTMANLANDS LÄN</t>
        </is>
      </c>
      <c r="E414" t="inlineStr">
        <is>
          <t>SALA</t>
        </is>
      </c>
      <c r="G414" t="n">
        <v>0.9</v>
      </c>
      <c r="H414" t="n">
        <v>0</v>
      </c>
      <c r="I414" t="n">
        <v>0</v>
      </c>
      <c r="J414" t="n">
        <v>0</v>
      </c>
      <c r="K414" t="n">
        <v>0</v>
      </c>
      <c r="L414" t="n">
        <v>0</v>
      </c>
      <c r="M414" t="n">
        <v>0</v>
      </c>
      <c r="N414" t="n">
        <v>0</v>
      </c>
      <c r="O414" t="n">
        <v>0</v>
      </c>
      <c r="P414" t="n">
        <v>0</v>
      </c>
      <c r="Q414" t="n">
        <v>0</v>
      </c>
      <c r="R414" s="2" t="inlineStr"/>
    </row>
    <row r="415" ht="15" customHeight="1">
      <c r="A415" t="inlineStr">
        <is>
          <t>A 68864-2021</t>
        </is>
      </c>
      <c r="B415" s="1" t="n">
        <v>44530</v>
      </c>
      <c r="C415" s="1" t="n">
        <v>45353</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69232-2021</t>
        </is>
      </c>
      <c r="B416" s="1" t="n">
        <v>44531</v>
      </c>
      <c r="C416" s="1" t="n">
        <v>45353</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69236-2021</t>
        </is>
      </c>
      <c r="B417" s="1" t="n">
        <v>44531</v>
      </c>
      <c r="C417" s="1" t="n">
        <v>45353</v>
      </c>
      <c r="D417" t="inlineStr">
        <is>
          <t>VÄSTMANLANDS LÄN</t>
        </is>
      </c>
      <c r="E417" t="inlineStr">
        <is>
          <t>SALA</t>
        </is>
      </c>
      <c r="G417" t="n">
        <v>2.8</v>
      </c>
      <c r="H417" t="n">
        <v>0</v>
      </c>
      <c r="I417" t="n">
        <v>0</v>
      </c>
      <c r="J417" t="n">
        <v>0</v>
      </c>
      <c r="K417" t="n">
        <v>0</v>
      </c>
      <c r="L417" t="n">
        <v>0</v>
      </c>
      <c r="M417" t="n">
        <v>0</v>
      </c>
      <c r="N417" t="n">
        <v>0</v>
      </c>
      <c r="O417" t="n">
        <v>0</v>
      </c>
      <c r="P417" t="n">
        <v>0</v>
      </c>
      <c r="Q417" t="n">
        <v>0</v>
      </c>
      <c r="R417" s="2" t="inlineStr"/>
    </row>
    <row r="418" ht="15" customHeight="1">
      <c r="A418" t="inlineStr">
        <is>
          <t>A 70218-2021</t>
        </is>
      </c>
      <c r="B418" s="1" t="n">
        <v>44535</v>
      </c>
      <c r="C418" s="1" t="n">
        <v>45353</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70319-2021</t>
        </is>
      </c>
      <c r="B419" s="1" t="n">
        <v>44536</v>
      </c>
      <c r="C419" s="1" t="n">
        <v>45353</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70655-2021</t>
        </is>
      </c>
      <c r="B420" s="1" t="n">
        <v>44537</v>
      </c>
      <c r="C420" s="1" t="n">
        <v>45353</v>
      </c>
      <c r="D420" t="inlineStr">
        <is>
          <t>VÄSTMANLANDS LÄN</t>
        </is>
      </c>
      <c r="E420" t="inlineStr">
        <is>
          <t>SALA</t>
        </is>
      </c>
      <c r="G420" t="n">
        <v>4.8</v>
      </c>
      <c r="H420" t="n">
        <v>0</v>
      </c>
      <c r="I420" t="n">
        <v>0</v>
      </c>
      <c r="J420" t="n">
        <v>0</v>
      </c>
      <c r="K420" t="n">
        <v>0</v>
      </c>
      <c r="L420" t="n">
        <v>0</v>
      </c>
      <c r="M420" t="n">
        <v>0</v>
      </c>
      <c r="N420" t="n">
        <v>0</v>
      </c>
      <c r="O420" t="n">
        <v>0</v>
      </c>
      <c r="P420" t="n">
        <v>0</v>
      </c>
      <c r="Q420" t="n">
        <v>0</v>
      </c>
      <c r="R420" s="2" t="inlineStr"/>
    </row>
    <row r="421" ht="15" customHeight="1">
      <c r="A421" t="inlineStr">
        <is>
          <t>A 70958-2021</t>
        </is>
      </c>
      <c r="B421" s="1" t="n">
        <v>44538</v>
      </c>
      <c r="C421" s="1" t="n">
        <v>45353</v>
      </c>
      <c r="D421" t="inlineStr">
        <is>
          <t>VÄSTMANLANDS LÄN</t>
        </is>
      </c>
      <c r="E421" t="inlineStr">
        <is>
          <t>SALA</t>
        </is>
      </c>
      <c r="G421" t="n">
        <v>6.5</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v>
      </c>
      <c r="C422" s="1" t="n">
        <v>45353</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71853-2021</t>
        </is>
      </c>
      <c r="B423" s="1" t="n">
        <v>44543</v>
      </c>
      <c r="C423" s="1" t="n">
        <v>45353</v>
      </c>
      <c r="D423" t="inlineStr">
        <is>
          <t>VÄSTMANLANDS LÄN</t>
        </is>
      </c>
      <c r="E423" t="inlineStr">
        <is>
          <t>SALA</t>
        </is>
      </c>
      <c r="G423" t="n">
        <v>6.5</v>
      </c>
      <c r="H423" t="n">
        <v>0</v>
      </c>
      <c r="I423" t="n">
        <v>0</v>
      </c>
      <c r="J423" t="n">
        <v>0</v>
      </c>
      <c r="K423" t="n">
        <v>0</v>
      </c>
      <c r="L423" t="n">
        <v>0</v>
      </c>
      <c r="M423" t="n">
        <v>0</v>
      </c>
      <c r="N423" t="n">
        <v>0</v>
      </c>
      <c r="O423" t="n">
        <v>0</v>
      </c>
      <c r="P423" t="n">
        <v>0</v>
      </c>
      <c r="Q423" t="n">
        <v>0</v>
      </c>
      <c r="R423" s="2" t="inlineStr"/>
    </row>
    <row r="424" ht="15" customHeight="1">
      <c r="A424" t="inlineStr">
        <is>
          <t>A 72071-2021</t>
        </is>
      </c>
      <c r="B424" s="1" t="n">
        <v>44544</v>
      </c>
      <c r="C424" s="1" t="n">
        <v>45353</v>
      </c>
      <c r="D424" t="inlineStr">
        <is>
          <t>VÄSTMANLANDS LÄN</t>
        </is>
      </c>
      <c r="E424" t="inlineStr">
        <is>
          <t>SALA</t>
        </is>
      </c>
      <c r="G424" t="n">
        <v>3.5</v>
      </c>
      <c r="H424" t="n">
        <v>0</v>
      </c>
      <c r="I424" t="n">
        <v>0</v>
      </c>
      <c r="J424" t="n">
        <v>0</v>
      </c>
      <c r="K424" t="n">
        <v>0</v>
      </c>
      <c r="L424" t="n">
        <v>0</v>
      </c>
      <c r="M424" t="n">
        <v>0</v>
      </c>
      <c r="N424" t="n">
        <v>0</v>
      </c>
      <c r="O424" t="n">
        <v>0</v>
      </c>
      <c r="P424" t="n">
        <v>0</v>
      </c>
      <c r="Q424" t="n">
        <v>0</v>
      </c>
      <c r="R424" s="2" t="inlineStr"/>
    </row>
    <row r="425" ht="15" customHeight="1">
      <c r="A425" t="inlineStr">
        <is>
          <t>A 72405-2021</t>
        </is>
      </c>
      <c r="B425" s="1" t="n">
        <v>44545</v>
      </c>
      <c r="C425" s="1" t="n">
        <v>45353</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72389-2021</t>
        </is>
      </c>
      <c r="B426" s="1" t="n">
        <v>44545</v>
      </c>
      <c r="C426" s="1" t="n">
        <v>45353</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72810-2021</t>
        </is>
      </c>
      <c r="B427" s="1" t="n">
        <v>44546</v>
      </c>
      <c r="C427" s="1" t="n">
        <v>45353</v>
      </c>
      <c r="D427" t="inlineStr">
        <is>
          <t>VÄSTMANLANDS LÄN</t>
        </is>
      </c>
      <c r="E427" t="inlineStr">
        <is>
          <t>SALA</t>
        </is>
      </c>
      <c r="G427" t="n">
        <v>3.3</v>
      </c>
      <c r="H427" t="n">
        <v>0</v>
      </c>
      <c r="I427" t="n">
        <v>0</v>
      </c>
      <c r="J427" t="n">
        <v>0</v>
      </c>
      <c r="K427" t="n">
        <v>0</v>
      </c>
      <c r="L427" t="n">
        <v>0</v>
      </c>
      <c r="M427" t="n">
        <v>0</v>
      </c>
      <c r="N427" t="n">
        <v>0</v>
      </c>
      <c r="O427" t="n">
        <v>0</v>
      </c>
      <c r="P427" t="n">
        <v>0</v>
      </c>
      <c r="Q427" t="n">
        <v>0</v>
      </c>
      <c r="R427" s="2" t="inlineStr"/>
    </row>
    <row r="428" ht="15" customHeight="1">
      <c r="A428" t="inlineStr">
        <is>
          <t>A 72805-2021</t>
        </is>
      </c>
      <c r="B428" s="1" t="n">
        <v>44546</v>
      </c>
      <c r="C428" s="1" t="n">
        <v>45353</v>
      </c>
      <c r="D428" t="inlineStr">
        <is>
          <t>VÄSTMANLANDS LÄN</t>
        </is>
      </c>
      <c r="E428" t="inlineStr">
        <is>
          <t>SALA</t>
        </is>
      </c>
      <c r="G428" t="n">
        <v>7.8</v>
      </c>
      <c r="H428" t="n">
        <v>0</v>
      </c>
      <c r="I428" t="n">
        <v>0</v>
      </c>
      <c r="J428" t="n">
        <v>0</v>
      </c>
      <c r="K428" t="n">
        <v>0</v>
      </c>
      <c r="L428" t="n">
        <v>0</v>
      </c>
      <c r="M428" t="n">
        <v>0</v>
      </c>
      <c r="N428" t="n">
        <v>0</v>
      </c>
      <c r="O428" t="n">
        <v>0</v>
      </c>
      <c r="P428" t="n">
        <v>0</v>
      </c>
      <c r="Q428" t="n">
        <v>0</v>
      </c>
      <c r="R428" s="2" t="inlineStr"/>
    </row>
    <row r="429" ht="15" customHeight="1">
      <c r="A429" t="inlineStr">
        <is>
          <t>A 72808-2021</t>
        </is>
      </c>
      <c r="B429" s="1" t="n">
        <v>44546</v>
      </c>
      <c r="C429" s="1" t="n">
        <v>45353</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72776-2021</t>
        </is>
      </c>
      <c r="B430" s="1" t="n">
        <v>44547</v>
      </c>
      <c r="C430" s="1" t="n">
        <v>45353</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73029-2021</t>
        </is>
      </c>
      <c r="B431" s="1" t="n">
        <v>44550</v>
      </c>
      <c r="C431" s="1" t="n">
        <v>45353</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73124-2021</t>
        </is>
      </c>
      <c r="B432" s="1" t="n">
        <v>44550</v>
      </c>
      <c r="C432" s="1" t="n">
        <v>45353</v>
      </c>
      <c r="D432" t="inlineStr">
        <is>
          <t>VÄSTMANLANDS LÄN</t>
        </is>
      </c>
      <c r="E432" t="inlineStr">
        <is>
          <t>SALA</t>
        </is>
      </c>
      <c r="G432" t="n">
        <v>2.8</v>
      </c>
      <c r="H432" t="n">
        <v>0</v>
      </c>
      <c r="I432" t="n">
        <v>0</v>
      </c>
      <c r="J432" t="n">
        <v>0</v>
      </c>
      <c r="K432" t="n">
        <v>0</v>
      </c>
      <c r="L432" t="n">
        <v>0</v>
      </c>
      <c r="M432" t="n">
        <v>0</v>
      </c>
      <c r="N432" t="n">
        <v>0</v>
      </c>
      <c r="O432" t="n">
        <v>0</v>
      </c>
      <c r="P432" t="n">
        <v>0</v>
      </c>
      <c r="Q432" t="n">
        <v>0</v>
      </c>
      <c r="R432" s="2" t="inlineStr"/>
    </row>
    <row r="433" ht="15" customHeight="1">
      <c r="A433" t="inlineStr">
        <is>
          <t>A 73219-2021</t>
        </is>
      </c>
      <c r="B433" s="1" t="n">
        <v>44550</v>
      </c>
      <c r="C433" s="1" t="n">
        <v>45353</v>
      </c>
      <c r="D433" t="inlineStr">
        <is>
          <t>VÄSTMANLANDS LÄN</t>
        </is>
      </c>
      <c r="E433" t="inlineStr">
        <is>
          <t>SALA</t>
        </is>
      </c>
      <c r="G433" t="n">
        <v>7.1</v>
      </c>
      <c r="H433" t="n">
        <v>0</v>
      </c>
      <c r="I433" t="n">
        <v>0</v>
      </c>
      <c r="J433" t="n">
        <v>0</v>
      </c>
      <c r="K433" t="n">
        <v>0</v>
      </c>
      <c r="L433" t="n">
        <v>0</v>
      </c>
      <c r="M433" t="n">
        <v>0</v>
      </c>
      <c r="N433" t="n">
        <v>0</v>
      </c>
      <c r="O433" t="n">
        <v>0</v>
      </c>
      <c r="P433" t="n">
        <v>0</v>
      </c>
      <c r="Q433" t="n">
        <v>0</v>
      </c>
      <c r="R433" s="2" t="inlineStr"/>
    </row>
    <row r="434" ht="15" customHeight="1">
      <c r="A434" t="inlineStr">
        <is>
          <t>A 73423-2021</t>
        </is>
      </c>
      <c r="B434" s="1" t="n">
        <v>44551</v>
      </c>
      <c r="C434" s="1" t="n">
        <v>45353</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73519-2021</t>
        </is>
      </c>
      <c r="B435" s="1" t="n">
        <v>44551</v>
      </c>
      <c r="C435" s="1" t="n">
        <v>45353</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73683-2021</t>
        </is>
      </c>
      <c r="B436" s="1" t="n">
        <v>44552</v>
      </c>
      <c r="C436" s="1" t="n">
        <v>45353</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73663-2021</t>
        </is>
      </c>
      <c r="B437" s="1" t="n">
        <v>44552</v>
      </c>
      <c r="C437" s="1" t="n">
        <v>45353</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73673-2021</t>
        </is>
      </c>
      <c r="B438" s="1" t="n">
        <v>44552</v>
      </c>
      <c r="C438" s="1" t="n">
        <v>45353</v>
      </c>
      <c r="D438" t="inlineStr">
        <is>
          <t>VÄSTMANLANDS LÄN</t>
        </is>
      </c>
      <c r="E438" t="inlineStr">
        <is>
          <t>SALA</t>
        </is>
      </c>
      <c r="G438" t="n">
        <v>11.4</v>
      </c>
      <c r="H438" t="n">
        <v>0</v>
      </c>
      <c r="I438" t="n">
        <v>0</v>
      </c>
      <c r="J438" t="n">
        <v>0</v>
      </c>
      <c r="K438" t="n">
        <v>0</v>
      </c>
      <c r="L438" t="n">
        <v>0</v>
      </c>
      <c r="M438" t="n">
        <v>0</v>
      </c>
      <c r="N438" t="n">
        <v>0</v>
      </c>
      <c r="O438" t="n">
        <v>0</v>
      </c>
      <c r="P438" t="n">
        <v>0</v>
      </c>
      <c r="Q438" t="n">
        <v>0</v>
      </c>
      <c r="R438" s="2" t="inlineStr"/>
    </row>
    <row r="439" ht="15" customHeight="1">
      <c r="A439" t="inlineStr">
        <is>
          <t>A 73606-2021</t>
        </is>
      </c>
      <c r="B439" s="1" t="n">
        <v>44552</v>
      </c>
      <c r="C439" s="1" t="n">
        <v>45353</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73668-2021</t>
        </is>
      </c>
      <c r="B440" s="1" t="n">
        <v>44552</v>
      </c>
      <c r="C440" s="1" t="n">
        <v>45353</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73687-2021</t>
        </is>
      </c>
      <c r="B441" s="1" t="n">
        <v>44552</v>
      </c>
      <c r="C441" s="1" t="n">
        <v>45353</v>
      </c>
      <c r="D441" t="inlineStr">
        <is>
          <t>VÄSTMANLANDS LÄN</t>
        </is>
      </c>
      <c r="E441" t="inlineStr">
        <is>
          <t>SALA</t>
        </is>
      </c>
      <c r="G441" t="n">
        <v>5.6</v>
      </c>
      <c r="H441" t="n">
        <v>0</v>
      </c>
      <c r="I441" t="n">
        <v>0</v>
      </c>
      <c r="J441" t="n">
        <v>0</v>
      </c>
      <c r="K441" t="n">
        <v>0</v>
      </c>
      <c r="L441" t="n">
        <v>0</v>
      </c>
      <c r="M441" t="n">
        <v>0</v>
      </c>
      <c r="N441" t="n">
        <v>0</v>
      </c>
      <c r="O441" t="n">
        <v>0</v>
      </c>
      <c r="P441" t="n">
        <v>0</v>
      </c>
      <c r="Q441" t="n">
        <v>0</v>
      </c>
      <c r="R441" s="2" t="inlineStr"/>
    </row>
    <row r="442" ht="15" customHeight="1">
      <c r="A442" t="inlineStr">
        <is>
          <t>A 73788-2021</t>
        </is>
      </c>
      <c r="B442" s="1" t="n">
        <v>44552</v>
      </c>
      <c r="C442" s="1" t="n">
        <v>45353</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73835-2021</t>
        </is>
      </c>
      <c r="B443" s="1" t="n">
        <v>44552</v>
      </c>
      <c r="C443" s="1" t="n">
        <v>45353</v>
      </c>
      <c r="D443" t="inlineStr">
        <is>
          <t>VÄSTMANLANDS LÄN</t>
        </is>
      </c>
      <c r="E443" t="inlineStr">
        <is>
          <t>SALA</t>
        </is>
      </c>
      <c r="G443" t="n">
        <v>2</v>
      </c>
      <c r="H443" t="n">
        <v>0</v>
      </c>
      <c r="I443" t="n">
        <v>0</v>
      </c>
      <c r="J443" t="n">
        <v>0</v>
      </c>
      <c r="K443" t="n">
        <v>0</v>
      </c>
      <c r="L443" t="n">
        <v>0</v>
      </c>
      <c r="M443" t="n">
        <v>0</v>
      </c>
      <c r="N443" t="n">
        <v>0</v>
      </c>
      <c r="O443" t="n">
        <v>0</v>
      </c>
      <c r="P443" t="n">
        <v>0</v>
      </c>
      <c r="Q443" t="n">
        <v>0</v>
      </c>
      <c r="R443" s="2" t="inlineStr"/>
    </row>
    <row r="444" ht="15" customHeight="1">
      <c r="A444" t="inlineStr">
        <is>
          <t>A 74123-2021</t>
        </is>
      </c>
      <c r="B444" s="1" t="n">
        <v>44557</v>
      </c>
      <c r="C444" s="1" t="n">
        <v>45353</v>
      </c>
      <c r="D444" t="inlineStr">
        <is>
          <t>VÄSTMANLANDS LÄN</t>
        </is>
      </c>
      <c r="E444" t="inlineStr">
        <is>
          <t>SALA</t>
        </is>
      </c>
      <c r="F444" t="inlineStr">
        <is>
          <t>Kommuner</t>
        </is>
      </c>
      <c r="G444" t="n">
        <v>11.9</v>
      </c>
      <c r="H444" t="n">
        <v>0</v>
      </c>
      <c r="I444" t="n">
        <v>0</v>
      </c>
      <c r="J444" t="n">
        <v>0</v>
      </c>
      <c r="K444" t="n">
        <v>0</v>
      </c>
      <c r="L444" t="n">
        <v>0</v>
      </c>
      <c r="M444" t="n">
        <v>0</v>
      </c>
      <c r="N444" t="n">
        <v>0</v>
      </c>
      <c r="O444" t="n">
        <v>0</v>
      </c>
      <c r="P444" t="n">
        <v>0</v>
      </c>
      <c r="Q444" t="n">
        <v>0</v>
      </c>
      <c r="R444" s="2" t="inlineStr"/>
    </row>
    <row r="445" ht="15" customHeight="1">
      <c r="A445" t="inlineStr">
        <is>
          <t>A 74277-2021</t>
        </is>
      </c>
      <c r="B445" s="1" t="n">
        <v>44558</v>
      </c>
      <c r="C445" s="1" t="n">
        <v>45353</v>
      </c>
      <c r="D445" t="inlineStr">
        <is>
          <t>VÄSTMANLANDS LÄN</t>
        </is>
      </c>
      <c r="E445" t="inlineStr">
        <is>
          <t>SALA</t>
        </is>
      </c>
      <c r="F445" t="inlineStr">
        <is>
          <t>Kommuner</t>
        </is>
      </c>
      <c r="G445" t="n">
        <v>24.4</v>
      </c>
      <c r="H445" t="n">
        <v>0</v>
      </c>
      <c r="I445" t="n">
        <v>0</v>
      </c>
      <c r="J445" t="n">
        <v>0</v>
      </c>
      <c r="K445" t="n">
        <v>0</v>
      </c>
      <c r="L445" t="n">
        <v>0</v>
      </c>
      <c r="M445" t="n">
        <v>0</v>
      </c>
      <c r="N445" t="n">
        <v>0</v>
      </c>
      <c r="O445" t="n">
        <v>0</v>
      </c>
      <c r="P445" t="n">
        <v>0</v>
      </c>
      <c r="Q445" t="n">
        <v>0</v>
      </c>
      <c r="R445" s="2" t="inlineStr"/>
    </row>
    <row r="446" ht="15" customHeight="1">
      <c r="A446" t="inlineStr">
        <is>
          <t>A 617-2022</t>
        </is>
      </c>
      <c r="B446" s="1" t="n">
        <v>44567</v>
      </c>
      <c r="C446" s="1" t="n">
        <v>45353</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939-2022</t>
        </is>
      </c>
      <c r="B447" s="1" t="n">
        <v>44571</v>
      </c>
      <c r="C447" s="1" t="n">
        <v>45353</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1043-2022</t>
        </is>
      </c>
      <c r="B448" s="1" t="n">
        <v>44571</v>
      </c>
      <c r="C448" s="1" t="n">
        <v>45353</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1162-2022</t>
        </is>
      </c>
      <c r="B449" s="1" t="n">
        <v>44572</v>
      </c>
      <c r="C449" s="1" t="n">
        <v>45353</v>
      </c>
      <c r="D449" t="inlineStr">
        <is>
          <t>VÄSTMANLANDS LÄN</t>
        </is>
      </c>
      <c r="E449" t="inlineStr">
        <is>
          <t>SALA</t>
        </is>
      </c>
      <c r="G449" t="n">
        <v>1.2</v>
      </c>
      <c r="H449" t="n">
        <v>0</v>
      </c>
      <c r="I449" t="n">
        <v>0</v>
      </c>
      <c r="J449" t="n">
        <v>0</v>
      </c>
      <c r="K449" t="n">
        <v>0</v>
      </c>
      <c r="L449" t="n">
        <v>0</v>
      </c>
      <c r="M449" t="n">
        <v>0</v>
      </c>
      <c r="N449" t="n">
        <v>0</v>
      </c>
      <c r="O449" t="n">
        <v>0</v>
      </c>
      <c r="P449" t="n">
        <v>0</v>
      </c>
      <c r="Q449" t="n">
        <v>0</v>
      </c>
      <c r="R449" s="2" t="inlineStr"/>
    </row>
    <row r="450" ht="15" customHeight="1">
      <c r="A450" t="inlineStr">
        <is>
          <t>A 1985-2022</t>
        </is>
      </c>
      <c r="B450" s="1" t="n">
        <v>44575</v>
      </c>
      <c r="C450" s="1" t="n">
        <v>45353</v>
      </c>
      <c r="D450" t="inlineStr">
        <is>
          <t>VÄSTMANLANDS LÄN</t>
        </is>
      </c>
      <c r="E450" t="inlineStr">
        <is>
          <t>SALA</t>
        </is>
      </c>
      <c r="G450" t="n">
        <v>1.4</v>
      </c>
      <c r="H450" t="n">
        <v>0</v>
      </c>
      <c r="I450" t="n">
        <v>0</v>
      </c>
      <c r="J450" t="n">
        <v>0</v>
      </c>
      <c r="K450" t="n">
        <v>0</v>
      </c>
      <c r="L450" t="n">
        <v>0</v>
      </c>
      <c r="M450" t="n">
        <v>0</v>
      </c>
      <c r="N450" t="n">
        <v>0</v>
      </c>
      <c r="O450" t="n">
        <v>0</v>
      </c>
      <c r="P450" t="n">
        <v>0</v>
      </c>
      <c r="Q450" t="n">
        <v>0</v>
      </c>
      <c r="R450" s="2" t="inlineStr"/>
    </row>
    <row r="451" ht="15" customHeight="1">
      <c r="A451" t="inlineStr">
        <is>
          <t>A 1993-2022</t>
        </is>
      </c>
      <c r="B451" s="1" t="n">
        <v>44575</v>
      </c>
      <c r="C451" s="1" t="n">
        <v>45353</v>
      </c>
      <c r="D451" t="inlineStr">
        <is>
          <t>VÄSTMANLANDS LÄN</t>
        </is>
      </c>
      <c r="E451" t="inlineStr">
        <is>
          <t>SALA</t>
        </is>
      </c>
      <c r="G451" t="n">
        <v>1.6</v>
      </c>
      <c r="H451" t="n">
        <v>0</v>
      </c>
      <c r="I451" t="n">
        <v>0</v>
      </c>
      <c r="J451" t="n">
        <v>0</v>
      </c>
      <c r="K451" t="n">
        <v>0</v>
      </c>
      <c r="L451" t="n">
        <v>0</v>
      </c>
      <c r="M451" t="n">
        <v>0</v>
      </c>
      <c r="N451" t="n">
        <v>0</v>
      </c>
      <c r="O451" t="n">
        <v>0</v>
      </c>
      <c r="P451" t="n">
        <v>0</v>
      </c>
      <c r="Q451" t="n">
        <v>0</v>
      </c>
      <c r="R451" s="2" t="inlineStr"/>
    </row>
    <row r="452" ht="15" customHeight="1">
      <c r="A452" t="inlineStr">
        <is>
          <t>A 2529-2022</t>
        </is>
      </c>
      <c r="B452" s="1" t="n">
        <v>44579</v>
      </c>
      <c r="C452" s="1" t="n">
        <v>45353</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3050-2022</t>
        </is>
      </c>
      <c r="B453" s="1" t="n">
        <v>44582</v>
      </c>
      <c r="C453" s="1" t="n">
        <v>45353</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3201-2022</t>
        </is>
      </c>
      <c r="B454" s="1" t="n">
        <v>44582</v>
      </c>
      <c r="C454" s="1" t="n">
        <v>45353</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3204-2022</t>
        </is>
      </c>
      <c r="B455" s="1" t="n">
        <v>44582</v>
      </c>
      <c r="C455" s="1" t="n">
        <v>45353</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3647-2022</t>
        </is>
      </c>
      <c r="B456" s="1" t="n">
        <v>44586</v>
      </c>
      <c r="C456" s="1" t="n">
        <v>45353</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3888-2022</t>
        </is>
      </c>
      <c r="B457" s="1" t="n">
        <v>44587</v>
      </c>
      <c r="C457" s="1" t="n">
        <v>45353</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3920-2022</t>
        </is>
      </c>
      <c r="B458" s="1" t="n">
        <v>44587</v>
      </c>
      <c r="C458" s="1" t="n">
        <v>45353</v>
      </c>
      <c r="D458" t="inlineStr">
        <is>
          <t>VÄSTMANLANDS LÄN</t>
        </is>
      </c>
      <c r="E458" t="inlineStr">
        <is>
          <t>SALA</t>
        </is>
      </c>
      <c r="G458" t="n">
        <v>1.8</v>
      </c>
      <c r="H458" t="n">
        <v>0</v>
      </c>
      <c r="I458" t="n">
        <v>0</v>
      </c>
      <c r="J458" t="n">
        <v>0</v>
      </c>
      <c r="K458" t="n">
        <v>0</v>
      </c>
      <c r="L458" t="n">
        <v>0</v>
      </c>
      <c r="M458" t="n">
        <v>0</v>
      </c>
      <c r="N458" t="n">
        <v>0</v>
      </c>
      <c r="O458" t="n">
        <v>0</v>
      </c>
      <c r="P458" t="n">
        <v>0</v>
      </c>
      <c r="Q458" t="n">
        <v>0</v>
      </c>
      <c r="R458" s="2" t="inlineStr"/>
    </row>
    <row r="459" ht="15" customHeight="1">
      <c r="A459" t="inlineStr">
        <is>
          <t>A 4237-2022</t>
        </is>
      </c>
      <c r="B459" s="1" t="n">
        <v>44588</v>
      </c>
      <c r="C459" s="1" t="n">
        <v>45353</v>
      </c>
      <c r="D459" t="inlineStr">
        <is>
          <t>VÄSTMANLANDS LÄN</t>
        </is>
      </c>
      <c r="E459" t="inlineStr">
        <is>
          <t>SALA</t>
        </is>
      </c>
      <c r="G459" t="n">
        <v>1.2</v>
      </c>
      <c r="H459" t="n">
        <v>0</v>
      </c>
      <c r="I459" t="n">
        <v>0</v>
      </c>
      <c r="J459" t="n">
        <v>0</v>
      </c>
      <c r="K459" t="n">
        <v>0</v>
      </c>
      <c r="L459" t="n">
        <v>0</v>
      </c>
      <c r="M459" t="n">
        <v>0</v>
      </c>
      <c r="N459" t="n">
        <v>0</v>
      </c>
      <c r="O459" t="n">
        <v>0</v>
      </c>
      <c r="P459" t="n">
        <v>0</v>
      </c>
      <c r="Q459" t="n">
        <v>0</v>
      </c>
      <c r="R459" s="2" t="inlineStr"/>
    </row>
    <row r="460" ht="15" customHeight="1">
      <c r="A460" t="inlineStr">
        <is>
          <t>A 4281-2022</t>
        </is>
      </c>
      <c r="B460" s="1" t="n">
        <v>44588</v>
      </c>
      <c r="C460" s="1" t="n">
        <v>45353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4663-2022</t>
        </is>
      </c>
      <c r="B461" s="1" t="n">
        <v>44592</v>
      </c>
      <c r="C461" s="1" t="n">
        <v>45353</v>
      </c>
      <c r="D461" t="inlineStr">
        <is>
          <t>VÄSTMANLANDS LÄN</t>
        </is>
      </c>
      <c r="E461" t="inlineStr">
        <is>
          <t>SALA</t>
        </is>
      </c>
      <c r="G461" t="n">
        <v>2.5</v>
      </c>
      <c r="H461" t="n">
        <v>0</v>
      </c>
      <c r="I461" t="n">
        <v>0</v>
      </c>
      <c r="J461" t="n">
        <v>0</v>
      </c>
      <c r="K461" t="n">
        <v>0</v>
      </c>
      <c r="L461" t="n">
        <v>0</v>
      </c>
      <c r="M461" t="n">
        <v>0</v>
      </c>
      <c r="N461" t="n">
        <v>0</v>
      </c>
      <c r="O461" t="n">
        <v>0</v>
      </c>
      <c r="P461" t="n">
        <v>0</v>
      </c>
      <c r="Q461" t="n">
        <v>0</v>
      </c>
      <c r="R461" s="2" t="inlineStr"/>
    </row>
    <row r="462" ht="15" customHeight="1">
      <c r="A462" t="inlineStr">
        <is>
          <t>A 4779-2022</t>
        </is>
      </c>
      <c r="B462" s="1" t="n">
        <v>44592</v>
      </c>
      <c r="C462" s="1" t="n">
        <v>45353</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5335-2022</t>
        </is>
      </c>
      <c r="B463" s="1" t="n">
        <v>44594</v>
      </c>
      <c r="C463" s="1" t="n">
        <v>45353</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5737-2022</t>
        </is>
      </c>
      <c r="B464" s="1" t="n">
        <v>44596</v>
      </c>
      <c r="C464" s="1" t="n">
        <v>45353</v>
      </c>
      <c r="D464" t="inlineStr">
        <is>
          <t>VÄSTMANLANDS LÄN</t>
        </is>
      </c>
      <c r="E464" t="inlineStr">
        <is>
          <t>SALA</t>
        </is>
      </c>
      <c r="G464" t="n">
        <v>2</v>
      </c>
      <c r="H464" t="n">
        <v>0</v>
      </c>
      <c r="I464" t="n">
        <v>0</v>
      </c>
      <c r="J464" t="n">
        <v>0</v>
      </c>
      <c r="K464" t="n">
        <v>0</v>
      </c>
      <c r="L464" t="n">
        <v>0</v>
      </c>
      <c r="M464" t="n">
        <v>0</v>
      </c>
      <c r="N464" t="n">
        <v>0</v>
      </c>
      <c r="O464" t="n">
        <v>0</v>
      </c>
      <c r="P464" t="n">
        <v>0</v>
      </c>
      <c r="Q464" t="n">
        <v>0</v>
      </c>
      <c r="R464" s="2" t="inlineStr"/>
    </row>
    <row r="465" ht="15" customHeight="1">
      <c r="A465" t="inlineStr">
        <is>
          <t>A 5728-2022</t>
        </is>
      </c>
      <c r="B465" s="1" t="n">
        <v>44596</v>
      </c>
      <c r="C465" s="1" t="n">
        <v>45353</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6097-2022</t>
        </is>
      </c>
      <c r="B466" s="1" t="n">
        <v>44599</v>
      </c>
      <c r="C466" s="1" t="n">
        <v>45353</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6705-2022</t>
        </is>
      </c>
      <c r="B467" s="1" t="n">
        <v>44602</v>
      </c>
      <c r="C467" s="1" t="n">
        <v>45353</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6665-2022</t>
        </is>
      </c>
      <c r="B468" s="1" t="n">
        <v>44602</v>
      </c>
      <c r="C468" s="1" t="n">
        <v>45353</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6667-2022</t>
        </is>
      </c>
      <c r="B469" s="1" t="n">
        <v>44602</v>
      </c>
      <c r="C469" s="1" t="n">
        <v>45353</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6710-2022</t>
        </is>
      </c>
      <c r="B470" s="1" t="n">
        <v>44602</v>
      </c>
      <c r="C470" s="1" t="n">
        <v>45353</v>
      </c>
      <c r="D470" t="inlineStr">
        <is>
          <t>VÄSTMANLANDS LÄN</t>
        </is>
      </c>
      <c r="E470" t="inlineStr">
        <is>
          <t>SALA</t>
        </is>
      </c>
      <c r="G470" t="n">
        <v>6.4</v>
      </c>
      <c r="H470" t="n">
        <v>0</v>
      </c>
      <c r="I470" t="n">
        <v>0</v>
      </c>
      <c r="J470" t="n">
        <v>0</v>
      </c>
      <c r="K470" t="n">
        <v>0</v>
      </c>
      <c r="L470" t="n">
        <v>0</v>
      </c>
      <c r="M470" t="n">
        <v>0</v>
      </c>
      <c r="N470" t="n">
        <v>0</v>
      </c>
      <c r="O470" t="n">
        <v>0</v>
      </c>
      <c r="P470" t="n">
        <v>0</v>
      </c>
      <c r="Q470" t="n">
        <v>0</v>
      </c>
      <c r="R470" s="2" t="inlineStr"/>
    </row>
    <row r="471" ht="15" customHeight="1">
      <c r="A471" t="inlineStr">
        <is>
          <t>A 6957-2022</t>
        </is>
      </c>
      <c r="B471" s="1" t="n">
        <v>44603</v>
      </c>
      <c r="C471" s="1" t="n">
        <v>45353</v>
      </c>
      <c r="D471" t="inlineStr">
        <is>
          <t>VÄSTMANLANDS LÄN</t>
        </is>
      </c>
      <c r="E471" t="inlineStr">
        <is>
          <t>SALA</t>
        </is>
      </c>
      <c r="G471" t="n">
        <v>4.5</v>
      </c>
      <c r="H471" t="n">
        <v>0</v>
      </c>
      <c r="I471" t="n">
        <v>0</v>
      </c>
      <c r="J471" t="n">
        <v>0</v>
      </c>
      <c r="K471" t="n">
        <v>0</v>
      </c>
      <c r="L471" t="n">
        <v>0</v>
      </c>
      <c r="M471" t="n">
        <v>0</v>
      </c>
      <c r="N471" t="n">
        <v>0</v>
      </c>
      <c r="O471" t="n">
        <v>0</v>
      </c>
      <c r="P471" t="n">
        <v>0</v>
      </c>
      <c r="Q471" t="n">
        <v>0</v>
      </c>
      <c r="R471" s="2" t="inlineStr"/>
    </row>
    <row r="472" ht="15" customHeight="1">
      <c r="A472" t="inlineStr">
        <is>
          <t>A 7169-2022</t>
        </is>
      </c>
      <c r="B472" s="1" t="n">
        <v>44604</v>
      </c>
      <c r="C472" s="1" t="n">
        <v>45353</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8130-2022</t>
        </is>
      </c>
      <c r="B473" s="1" t="n">
        <v>44609</v>
      </c>
      <c r="C473" s="1" t="n">
        <v>45353</v>
      </c>
      <c r="D473" t="inlineStr">
        <is>
          <t>VÄSTMANLANDS LÄN</t>
        </is>
      </c>
      <c r="E473" t="inlineStr">
        <is>
          <t>SALA</t>
        </is>
      </c>
      <c r="G473" t="n">
        <v>3.5</v>
      </c>
      <c r="H473" t="n">
        <v>0</v>
      </c>
      <c r="I473" t="n">
        <v>0</v>
      </c>
      <c r="J473" t="n">
        <v>0</v>
      </c>
      <c r="K473" t="n">
        <v>0</v>
      </c>
      <c r="L473" t="n">
        <v>0</v>
      </c>
      <c r="M473" t="n">
        <v>0</v>
      </c>
      <c r="N473" t="n">
        <v>0</v>
      </c>
      <c r="O473" t="n">
        <v>0</v>
      </c>
      <c r="P473" t="n">
        <v>0</v>
      </c>
      <c r="Q473" t="n">
        <v>0</v>
      </c>
      <c r="R473" s="2" t="inlineStr"/>
    </row>
    <row r="474" ht="15" customHeight="1">
      <c r="A474" t="inlineStr">
        <is>
          <t>A 9048-2022</t>
        </is>
      </c>
      <c r="B474" s="1" t="n">
        <v>44615</v>
      </c>
      <c r="C474" s="1" t="n">
        <v>45353</v>
      </c>
      <c r="D474" t="inlineStr">
        <is>
          <t>VÄSTMANLANDS LÄN</t>
        </is>
      </c>
      <c r="E474" t="inlineStr">
        <is>
          <t>SALA</t>
        </is>
      </c>
      <c r="G474" t="n">
        <v>5.2</v>
      </c>
      <c r="H474" t="n">
        <v>0</v>
      </c>
      <c r="I474" t="n">
        <v>0</v>
      </c>
      <c r="J474" t="n">
        <v>0</v>
      </c>
      <c r="K474" t="n">
        <v>0</v>
      </c>
      <c r="L474" t="n">
        <v>0</v>
      </c>
      <c r="M474" t="n">
        <v>0</v>
      </c>
      <c r="N474" t="n">
        <v>0</v>
      </c>
      <c r="O474" t="n">
        <v>0</v>
      </c>
      <c r="P474" t="n">
        <v>0</v>
      </c>
      <c r="Q474" t="n">
        <v>0</v>
      </c>
      <c r="R474" s="2" t="inlineStr"/>
    </row>
    <row r="475" ht="15" customHeight="1">
      <c r="A475" t="inlineStr">
        <is>
          <t>A 9050-2022</t>
        </is>
      </c>
      <c r="B475" s="1" t="n">
        <v>44615</v>
      </c>
      <c r="C475" s="1" t="n">
        <v>45353</v>
      </c>
      <c r="D475" t="inlineStr">
        <is>
          <t>VÄSTMANLANDS LÄN</t>
        </is>
      </c>
      <c r="E475" t="inlineStr">
        <is>
          <t>SALA</t>
        </is>
      </c>
      <c r="G475" t="n">
        <v>3.1</v>
      </c>
      <c r="H475" t="n">
        <v>0</v>
      </c>
      <c r="I475" t="n">
        <v>0</v>
      </c>
      <c r="J475" t="n">
        <v>0</v>
      </c>
      <c r="K475" t="n">
        <v>0</v>
      </c>
      <c r="L475" t="n">
        <v>0</v>
      </c>
      <c r="M475" t="n">
        <v>0</v>
      </c>
      <c r="N475" t="n">
        <v>0</v>
      </c>
      <c r="O475" t="n">
        <v>0</v>
      </c>
      <c r="P475" t="n">
        <v>0</v>
      </c>
      <c r="Q475" t="n">
        <v>0</v>
      </c>
      <c r="R475" s="2" t="inlineStr"/>
    </row>
    <row r="476" ht="15" customHeight="1">
      <c r="A476" t="inlineStr">
        <is>
          <t>A 9075-2022</t>
        </is>
      </c>
      <c r="B476" s="1" t="n">
        <v>44615</v>
      </c>
      <c r="C476" s="1" t="n">
        <v>45353</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9335-2022</t>
        </is>
      </c>
      <c r="B477" s="1" t="n">
        <v>44616</v>
      </c>
      <c r="C477" s="1" t="n">
        <v>45353</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9856-2022</t>
        </is>
      </c>
      <c r="B478" s="1" t="n">
        <v>44620</v>
      </c>
      <c r="C478" s="1" t="n">
        <v>45353</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10083-2022</t>
        </is>
      </c>
      <c r="B479" s="1" t="n">
        <v>44621</v>
      </c>
      <c r="C479" s="1" t="n">
        <v>45353</v>
      </c>
      <c r="D479" t="inlineStr">
        <is>
          <t>VÄSTMANLANDS LÄN</t>
        </is>
      </c>
      <c r="E479" t="inlineStr">
        <is>
          <t>SALA</t>
        </is>
      </c>
      <c r="G479" t="n">
        <v>7.8</v>
      </c>
      <c r="H479" t="n">
        <v>0</v>
      </c>
      <c r="I479" t="n">
        <v>0</v>
      </c>
      <c r="J479" t="n">
        <v>0</v>
      </c>
      <c r="K479" t="n">
        <v>0</v>
      </c>
      <c r="L479" t="n">
        <v>0</v>
      </c>
      <c r="M479" t="n">
        <v>0</v>
      </c>
      <c r="N479" t="n">
        <v>0</v>
      </c>
      <c r="O479" t="n">
        <v>0</v>
      </c>
      <c r="P479" t="n">
        <v>0</v>
      </c>
      <c r="Q479" t="n">
        <v>0</v>
      </c>
      <c r="R479" s="2" t="inlineStr"/>
    </row>
    <row r="480" ht="15" customHeight="1">
      <c r="A480" t="inlineStr">
        <is>
          <t>A 10168-2022</t>
        </is>
      </c>
      <c r="B480" s="1" t="n">
        <v>44622</v>
      </c>
      <c r="C480" s="1" t="n">
        <v>45353</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10434-2022</t>
        </is>
      </c>
      <c r="B481" s="1" t="n">
        <v>44623</v>
      </c>
      <c r="C481" s="1" t="n">
        <v>45353</v>
      </c>
      <c r="D481" t="inlineStr">
        <is>
          <t>VÄSTMANLANDS LÄN</t>
        </is>
      </c>
      <c r="E481" t="inlineStr">
        <is>
          <t>SALA</t>
        </is>
      </c>
      <c r="G481" t="n">
        <v>5.5</v>
      </c>
      <c r="H481" t="n">
        <v>0</v>
      </c>
      <c r="I481" t="n">
        <v>0</v>
      </c>
      <c r="J481" t="n">
        <v>0</v>
      </c>
      <c r="K481" t="n">
        <v>0</v>
      </c>
      <c r="L481" t="n">
        <v>0</v>
      </c>
      <c r="M481" t="n">
        <v>0</v>
      </c>
      <c r="N481" t="n">
        <v>0</v>
      </c>
      <c r="O481" t="n">
        <v>0</v>
      </c>
      <c r="P481" t="n">
        <v>0</v>
      </c>
      <c r="Q481" t="n">
        <v>0</v>
      </c>
      <c r="R481" s="2" t="inlineStr"/>
    </row>
    <row r="482" ht="15" customHeight="1">
      <c r="A482" t="inlineStr">
        <is>
          <t>A 10585-2022</t>
        </is>
      </c>
      <c r="B482" s="1" t="n">
        <v>44624</v>
      </c>
      <c r="C482" s="1" t="n">
        <v>45353</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10579-2022</t>
        </is>
      </c>
      <c r="B483" s="1" t="n">
        <v>44624</v>
      </c>
      <c r="C483" s="1" t="n">
        <v>45353</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11370-2022</t>
        </is>
      </c>
      <c r="B484" s="1" t="n">
        <v>44630</v>
      </c>
      <c r="C484" s="1" t="n">
        <v>45353</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12245-2022</t>
        </is>
      </c>
      <c r="B485" s="1" t="n">
        <v>44637</v>
      </c>
      <c r="C485" s="1" t="n">
        <v>45353</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13608-2022</t>
        </is>
      </c>
      <c r="B486" s="1" t="n">
        <v>44648</v>
      </c>
      <c r="C486" s="1" t="n">
        <v>45353</v>
      </c>
      <c r="D486" t="inlineStr">
        <is>
          <t>VÄSTMANLANDS LÄN</t>
        </is>
      </c>
      <c r="E486" t="inlineStr">
        <is>
          <t>SALA</t>
        </is>
      </c>
      <c r="G486" t="n">
        <v>5.9</v>
      </c>
      <c r="H486" t="n">
        <v>0</v>
      </c>
      <c r="I486" t="n">
        <v>0</v>
      </c>
      <c r="J486" t="n">
        <v>0</v>
      </c>
      <c r="K486" t="n">
        <v>0</v>
      </c>
      <c r="L486" t="n">
        <v>0</v>
      </c>
      <c r="M486" t="n">
        <v>0</v>
      </c>
      <c r="N486" t="n">
        <v>0</v>
      </c>
      <c r="O486" t="n">
        <v>0</v>
      </c>
      <c r="P486" t="n">
        <v>0</v>
      </c>
      <c r="Q486" t="n">
        <v>0</v>
      </c>
      <c r="R486" s="2" t="inlineStr"/>
    </row>
    <row r="487" ht="15" customHeight="1">
      <c r="A487" t="inlineStr">
        <is>
          <t>A 13962-2022</t>
        </is>
      </c>
      <c r="B487" s="1" t="n">
        <v>44650</v>
      </c>
      <c r="C487" s="1" t="n">
        <v>45353</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15850-2022</t>
        </is>
      </c>
      <c r="B488" s="1" t="n">
        <v>44664</v>
      </c>
      <c r="C488" s="1" t="n">
        <v>45353</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16255-2022</t>
        </is>
      </c>
      <c r="B489" s="1" t="n">
        <v>44670</v>
      </c>
      <c r="C489" s="1" t="n">
        <v>45353</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16404-2022</t>
        </is>
      </c>
      <c r="B490" s="1" t="n">
        <v>44671</v>
      </c>
      <c r="C490" s="1" t="n">
        <v>45353</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16768-2022</t>
        </is>
      </c>
      <c r="B491" s="1" t="n">
        <v>44673</v>
      </c>
      <c r="C491" s="1" t="n">
        <v>45353</v>
      </c>
      <c r="D491" t="inlineStr">
        <is>
          <t>VÄSTMANLANDS LÄN</t>
        </is>
      </c>
      <c r="E491" t="inlineStr">
        <is>
          <t>SALA</t>
        </is>
      </c>
      <c r="G491" t="n">
        <v>4.7</v>
      </c>
      <c r="H491" t="n">
        <v>0</v>
      </c>
      <c r="I491" t="n">
        <v>0</v>
      </c>
      <c r="J491" t="n">
        <v>0</v>
      </c>
      <c r="K491" t="n">
        <v>0</v>
      </c>
      <c r="L491" t="n">
        <v>0</v>
      </c>
      <c r="M491" t="n">
        <v>0</v>
      </c>
      <c r="N491" t="n">
        <v>0</v>
      </c>
      <c r="O491" t="n">
        <v>0</v>
      </c>
      <c r="P491" t="n">
        <v>0</v>
      </c>
      <c r="Q491" t="n">
        <v>0</v>
      </c>
      <c r="R491" s="2" t="inlineStr"/>
    </row>
    <row r="492" ht="15" customHeight="1">
      <c r="A492" t="inlineStr">
        <is>
          <t>A 16905-2022</t>
        </is>
      </c>
      <c r="B492" s="1" t="n">
        <v>44676</v>
      </c>
      <c r="C492" s="1" t="n">
        <v>45353</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17897-2022</t>
        </is>
      </c>
      <c r="B493" s="1" t="n">
        <v>44683</v>
      </c>
      <c r="C493" s="1" t="n">
        <v>45353</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19058-2022</t>
        </is>
      </c>
      <c r="B494" s="1" t="n">
        <v>44691</v>
      </c>
      <c r="C494" s="1" t="n">
        <v>45353</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19065-2022</t>
        </is>
      </c>
      <c r="B495" s="1" t="n">
        <v>44691</v>
      </c>
      <c r="C495" s="1" t="n">
        <v>45353</v>
      </c>
      <c r="D495" t="inlineStr">
        <is>
          <t>VÄSTMANLANDS LÄN</t>
        </is>
      </c>
      <c r="E495" t="inlineStr">
        <is>
          <t>SALA</t>
        </is>
      </c>
      <c r="G495" t="n">
        <v>3.4</v>
      </c>
      <c r="H495" t="n">
        <v>0</v>
      </c>
      <c r="I495" t="n">
        <v>0</v>
      </c>
      <c r="J495" t="n">
        <v>0</v>
      </c>
      <c r="K495" t="n">
        <v>0</v>
      </c>
      <c r="L495" t="n">
        <v>0</v>
      </c>
      <c r="M495" t="n">
        <v>0</v>
      </c>
      <c r="N495" t="n">
        <v>0</v>
      </c>
      <c r="O495" t="n">
        <v>0</v>
      </c>
      <c r="P495" t="n">
        <v>0</v>
      </c>
      <c r="Q495" t="n">
        <v>0</v>
      </c>
      <c r="R495" s="2" t="inlineStr"/>
    </row>
    <row r="496" ht="15" customHeight="1">
      <c r="A496" t="inlineStr">
        <is>
          <t>A 19751-2022</t>
        </is>
      </c>
      <c r="B496" s="1" t="n">
        <v>44694</v>
      </c>
      <c r="C496" s="1" t="n">
        <v>45353</v>
      </c>
      <c r="D496" t="inlineStr">
        <is>
          <t>VÄSTMANLANDS LÄN</t>
        </is>
      </c>
      <c r="E496" t="inlineStr">
        <is>
          <t>SALA</t>
        </is>
      </c>
      <c r="G496" t="n">
        <v>2.7</v>
      </c>
      <c r="H496" t="n">
        <v>0</v>
      </c>
      <c r="I496" t="n">
        <v>0</v>
      </c>
      <c r="J496" t="n">
        <v>0</v>
      </c>
      <c r="K496" t="n">
        <v>0</v>
      </c>
      <c r="L496" t="n">
        <v>0</v>
      </c>
      <c r="M496" t="n">
        <v>0</v>
      </c>
      <c r="N496" t="n">
        <v>0</v>
      </c>
      <c r="O496" t="n">
        <v>0</v>
      </c>
      <c r="P496" t="n">
        <v>0</v>
      </c>
      <c r="Q496" t="n">
        <v>0</v>
      </c>
      <c r="R496" s="2" t="inlineStr"/>
    </row>
    <row r="497" ht="15" customHeight="1">
      <c r="A497" t="inlineStr">
        <is>
          <t>A 19760-2022</t>
        </is>
      </c>
      <c r="B497" s="1" t="n">
        <v>44694</v>
      </c>
      <c r="C497" s="1" t="n">
        <v>45353</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20344-2022</t>
        </is>
      </c>
      <c r="B498" s="1" t="n">
        <v>44699</v>
      </c>
      <c r="C498" s="1" t="n">
        <v>45353</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20352-2022</t>
        </is>
      </c>
      <c r="B499" s="1" t="n">
        <v>44699</v>
      </c>
      <c r="C499" s="1" t="n">
        <v>45353</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20875-2022</t>
        </is>
      </c>
      <c r="B500" s="1" t="n">
        <v>44701</v>
      </c>
      <c r="C500" s="1" t="n">
        <v>45353</v>
      </c>
      <c r="D500" t="inlineStr">
        <is>
          <t>VÄSTMANLANDS LÄN</t>
        </is>
      </c>
      <c r="E500" t="inlineStr">
        <is>
          <t>SALA</t>
        </is>
      </c>
      <c r="G500" t="n">
        <v>2.6</v>
      </c>
      <c r="H500" t="n">
        <v>0</v>
      </c>
      <c r="I500" t="n">
        <v>0</v>
      </c>
      <c r="J500" t="n">
        <v>0</v>
      </c>
      <c r="K500" t="n">
        <v>0</v>
      </c>
      <c r="L500" t="n">
        <v>0</v>
      </c>
      <c r="M500" t="n">
        <v>0</v>
      </c>
      <c r="N500" t="n">
        <v>0</v>
      </c>
      <c r="O500" t="n">
        <v>0</v>
      </c>
      <c r="P500" t="n">
        <v>0</v>
      </c>
      <c r="Q500" t="n">
        <v>0</v>
      </c>
      <c r="R500" s="2" t="inlineStr"/>
    </row>
    <row r="501" ht="15" customHeight="1">
      <c r="A501" t="inlineStr">
        <is>
          <t>A 21055-2022</t>
        </is>
      </c>
      <c r="B501" s="1" t="n">
        <v>44704</v>
      </c>
      <c r="C501" s="1" t="n">
        <v>45353</v>
      </c>
      <c r="D501" t="inlineStr">
        <is>
          <t>VÄSTMANLANDS LÄN</t>
        </is>
      </c>
      <c r="E501" t="inlineStr">
        <is>
          <t>SALA</t>
        </is>
      </c>
      <c r="G501" t="n">
        <v>1.9</v>
      </c>
      <c r="H501" t="n">
        <v>0</v>
      </c>
      <c r="I501" t="n">
        <v>0</v>
      </c>
      <c r="J501" t="n">
        <v>0</v>
      </c>
      <c r="K501" t="n">
        <v>0</v>
      </c>
      <c r="L501" t="n">
        <v>0</v>
      </c>
      <c r="M501" t="n">
        <v>0</v>
      </c>
      <c r="N501" t="n">
        <v>0</v>
      </c>
      <c r="O501" t="n">
        <v>0</v>
      </c>
      <c r="P501" t="n">
        <v>0</v>
      </c>
      <c r="Q501" t="n">
        <v>0</v>
      </c>
      <c r="R501" s="2" t="inlineStr"/>
    </row>
    <row r="502" ht="15" customHeight="1">
      <c r="A502" t="inlineStr">
        <is>
          <t>A 21053-2022</t>
        </is>
      </c>
      <c r="B502" s="1" t="n">
        <v>44704</v>
      </c>
      <c r="C502" s="1" t="n">
        <v>45353</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21159-2022</t>
        </is>
      </c>
      <c r="B503" s="1" t="n">
        <v>44704</v>
      </c>
      <c r="C503" s="1" t="n">
        <v>45353</v>
      </c>
      <c r="D503" t="inlineStr">
        <is>
          <t>VÄSTMANLANDS LÄN</t>
        </is>
      </c>
      <c r="E503" t="inlineStr">
        <is>
          <t>SALA</t>
        </is>
      </c>
      <c r="G503" t="n">
        <v>1.4</v>
      </c>
      <c r="H503" t="n">
        <v>0</v>
      </c>
      <c r="I503" t="n">
        <v>0</v>
      </c>
      <c r="J503" t="n">
        <v>0</v>
      </c>
      <c r="K503" t="n">
        <v>0</v>
      </c>
      <c r="L503" t="n">
        <v>0</v>
      </c>
      <c r="M503" t="n">
        <v>0</v>
      </c>
      <c r="N503" t="n">
        <v>0</v>
      </c>
      <c r="O503" t="n">
        <v>0</v>
      </c>
      <c r="P503" t="n">
        <v>0</v>
      </c>
      <c r="Q503" t="n">
        <v>0</v>
      </c>
      <c r="R503" s="2" t="inlineStr"/>
    </row>
    <row r="504" ht="15" customHeight="1">
      <c r="A504" t="inlineStr">
        <is>
          <t>A 21777-2022</t>
        </is>
      </c>
      <c r="B504" s="1" t="n">
        <v>44708</v>
      </c>
      <c r="C504" s="1" t="n">
        <v>45353</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22397-2022</t>
        </is>
      </c>
      <c r="B505" s="1" t="n">
        <v>44713</v>
      </c>
      <c r="C505" s="1" t="n">
        <v>45353</v>
      </c>
      <c r="D505" t="inlineStr">
        <is>
          <t>VÄSTMANLANDS LÄN</t>
        </is>
      </c>
      <c r="E505" t="inlineStr">
        <is>
          <t>SALA</t>
        </is>
      </c>
      <c r="G505" t="n">
        <v>2.1</v>
      </c>
      <c r="H505" t="n">
        <v>0</v>
      </c>
      <c r="I505" t="n">
        <v>0</v>
      </c>
      <c r="J505" t="n">
        <v>0</v>
      </c>
      <c r="K505" t="n">
        <v>0</v>
      </c>
      <c r="L505" t="n">
        <v>0</v>
      </c>
      <c r="M505" t="n">
        <v>0</v>
      </c>
      <c r="N505" t="n">
        <v>0</v>
      </c>
      <c r="O505" t="n">
        <v>0</v>
      </c>
      <c r="P505" t="n">
        <v>0</v>
      </c>
      <c r="Q505" t="n">
        <v>0</v>
      </c>
      <c r="R505" s="2" t="inlineStr"/>
    </row>
    <row r="506" ht="15" customHeight="1">
      <c r="A506" t="inlineStr">
        <is>
          <t>A 22575-2022</t>
        </is>
      </c>
      <c r="B506" s="1" t="n">
        <v>44713</v>
      </c>
      <c r="C506" s="1" t="n">
        <v>45353</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22562-2022</t>
        </is>
      </c>
      <c r="B507" s="1" t="n">
        <v>44713</v>
      </c>
      <c r="C507" s="1" t="n">
        <v>45353</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45353</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23119-2022</t>
        </is>
      </c>
      <c r="B509" s="1" t="n">
        <v>44719</v>
      </c>
      <c r="C509" s="1" t="n">
        <v>45353</v>
      </c>
      <c r="D509" t="inlineStr">
        <is>
          <t>VÄSTMANLANDS LÄN</t>
        </is>
      </c>
      <c r="E509" t="inlineStr">
        <is>
          <t>SALA</t>
        </is>
      </c>
      <c r="G509" t="n">
        <v>7</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v>
      </c>
      <c r="C510" s="1" t="n">
        <v>45353</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23180-2022</t>
        </is>
      </c>
      <c r="B511" s="1" t="n">
        <v>44719</v>
      </c>
      <c r="C511" s="1" t="n">
        <v>45353</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23182-2022</t>
        </is>
      </c>
      <c r="B512" s="1" t="n">
        <v>44719</v>
      </c>
      <c r="C512" s="1" t="n">
        <v>45353</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23757-2022</t>
        </is>
      </c>
      <c r="B513" s="1" t="n">
        <v>44722</v>
      </c>
      <c r="C513" s="1" t="n">
        <v>45353</v>
      </c>
      <c r="D513" t="inlineStr">
        <is>
          <t>VÄSTMANLANDS LÄN</t>
        </is>
      </c>
      <c r="E513" t="inlineStr">
        <is>
          <t>SALA</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23847-2022</t>
        </is>
      </c>
      <c r="B514" s="1" t="n">
        <v>44722</v>
      </c>
      <c r="C514" s="1" t="n">
        <v>45353</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24818-2022</t>
        </is>
      </c>
      <c r="B515" s="1" t="n">
        <v>44727</v>
      </c>
      <c r="C515" s="1" t="n">
        <v>45353</v>
      </c>
      <c r="D515" t="inlineStr">
        <is>
          <t>VÄSTMANLANDS LÄN</t>
        </is>
      </c>
      <c r="E515" t="inlineStr">
        <is>
          <t>SALA</t>
        </is>
      </c>
      <c r="G515" t="n">
        <v>1.7</v>
      </c>
      <c r="H515" t="n">
        <v>0</v>
      </c>
      <c r="I515" t="n">
        <v>0</v>
      </c>
      <c r="J515" t="n">
        <v>0</v>
      </c>
      <c r="K515" t="n">
        <v>0</v>
      </c>
      <c r="L515" t="n">
        <v>0</v>
      </c>
      <c r="M515" t="n">
        <v>0</v>
      </c>
      <c r="N515" t="n">
        <v>0</v>
      </c>
      <c r="O515" t="n">
        <v>0</v>
      </c>
      <c r="P515" t="n">
        <v>0</v>
      </c>
      <c r="Q515" t="n">
        <v>0</v>
      </c>
      <c r="R515" s="2" t="inlineStr"/>
    </row>
    <row r="516" ht="15" customHeight="1">
      <c r="A516" t="inlineStr">
        <is>
          <t>A 24835-2022</t>
        </is>
      </c>
      <c r="B516" s="1" t="n">
        <v>44727</v>
      </c>
      <c r="C516" s="1" t="n">
        <v>45353</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v>
      </c>
      <c r="C517" s="1" t="n">
        <v>45353</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25603-2022</t>
        </is>
      </c>
      <c r="B518" s="1" t="n">
        <v>44732</v>
      </c>
      <c r="C518" s="1" t="n">
        <v>45353</v>
      </c>
      <c r="D518" t="inlineStr">
        <is>
          <t>VÄSTMANLANDS LÄN</t>
        </is>
      </c>
      <c r="E518" t="inlineStr">
        <is>
          <t>SALA</t>
        </is>
      </c>
      <c r="G518" t="n">
        <v>2</v>
      </c>
      <c r="H518" t="n">
        <v>0</v>
      </c>
      <c r="I518" t="n">
        <v>0</v>
      </c>
      <c r="J518" t="n">
        <v>0</v>
      </c>
      <c r="K518" t="n">
        <v>0</v>
      </c>
      <c r="L518" t="n">
        <v>0</v>
      </c>
      <c r="M518" t="n">
        <v>0</v>
      </c>
      <c r="N518" t="n">
        <v>0</v>
      </c>
      <c r="O518" t="n">
        <v>0</v>
      </c>
      <c r="P518" t="n">
        <v>0</v>
      </c>
      <c r="Q518" t="n">
        <v>0</v>
      </c>
      <c r="R518" s="2" t="inlineStr"/>
    </row>
    <row r="519" ht="15" customHeight="1">
      <c r="A519" t="inlineStr">
        <is>
          <t>A 25748-2022</t>
        </is>
      </c>
      <c r="B519" s="1" t="n">
        <v>44732</v>
      </c>
      <c r="C519" s="1" t="n">
        <v>45353</v>
      </c>
      <c r="D519" t="inlineStr">
        <is>
          <t>VÄSTMANLANDS LÄN</t>
        </is>
      </c>
      <c r="E519" t="inlineStr">
        <is>
          <t>SALA</t>
        </is>
      </c>
      <c r="G519" t="n">
        <v>7.7</v>
      </c>
      <c r="H519" t="n">
        <v>0</v>
      </c>
      <c r="I519" t="n">
        <v>0</v>
      </c>
      <c r="J519" t="n">
        <v>0</v>
      </c>
      <c r="K519" t="n">
        <v>0</v>
      </c>
      <c r="L519" t="n">
        <v>0</v>
      </c>
      <c r="M519" t="n">
        <v>0</v>
      </c>
      <c r="N519" t="n">
        <v>0</v>
      </c>
      <c r="O519" t="n">
        <v>0</v>
      </c>
      <c r="P519" t="n">
        <v>0</v>
      </c>
      <c r="Q519" t="n">
        <v>0</v>
      </c>
      <c r="R519" s="2" t="inlineStr"/>
    </row>
    <row r="520" ht="15" customHeight="1">
      <c r="A520" t="inlineStr">
        <is>
          <t>A 27229-2022</t>
        </is>
      </c>
      <c r="B520" s="1" t="n">
        <v>44741</v>
      </c>
      <c r="C520" s="1" t="n">
        <v>45353</v>
      </c>
      <c r="D520" t="inlineStr">
        <is>
          <t>VÄSTMANLANDS LÄN</t>
        </is>
      </c>
      <c r="E520" t="inlineStr">
        <is>
          <t>SALA</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27240-2022</t>
        </is>
      </c>
      <c r="B521" s="1" t="n">
        <v>44741</v>
      </c>
      <c r="C521" s="1" t="n">
        <v>45353</v>
      </c>
      <c r="D521" t="inlineStr">
        <is>
          <t>VÄSTMANLANDS LÄN</t>
        </is>
      </c>
      <c r="E521" t="inlineStr">
        <is>
          <t>SALA</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27446-2022</t>
        </is>
      </c>
      <c r="B522" s="1" t="n">
        <v>44742</v>
      </c>
      <c r="C522" s="1" t="n">
        <v>45353</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27528-2022</t>
        </is>
      </c>
      <c r="B523" s="1" t="n">
        <v>44742</v>
      </c>
      <c r="C523" s="1" t="n">
        <v>45353</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27486-2022</t>
        </is>
      </c>
      <c r="B524" s="1" t="n">
        <v>44742</v>
      </c>
      <c r="C524" s="1" t="n">
        <v>45353</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28069-2022</t>
        </is>
      </c>
      <c r="B525" s="1" t="n">
        <v>44746</v>
      </c>
      <c r="C525" s="1" t="n">
        <v>45353</v>
      </c>
      <c r="D525" t="inlineStr">
        <is>
          <t>VÄSTMANLANDS LÄN</t>
        </is>
      </c>
      <c r="E525" t="inlineStr">
        <is>
          <t>SALA</t>
        </is>
      </c>
      <c r="G525" t="n">
        <v>2.8</v>
      </c>
      <c r="H525" t="n">
        <v>0</v>
      </c>
      <c r="I525" t="n">
        <v>0</v>
      </c>
      <c r="J525" t="n">
        <v>0</v>
      </c>
      <c r="K525" t="n">
        <v>0</v>
      </c>
      <c r="L525" t="n">
        <v>0</v>
      </c>
      <c r="M525" t="n">
        <v>0</v>
      </c>
      <c r="N525" t="n">
        <v>0</v>
      </c>
      <c r="O525" t="n">
        <v>0</v>
      </c>
      <c r="P525" t="n">
        <v>0</v>
      </c>
      <c r="Q525" t="n">
        <v>0</v>
      </c>
      <c r="R525" s="2" t="inlineStr"/>
    </row>
    <row r="526" ht="15" customHeight="1">
      <c r="A526" t="inlineStr">
        <is>
          <t>A 28215-2022</t>
        </is>
      </c>
      <c r="B526" s="1" t="n">
        <v>44746</v>
      </c>
      <c r="C526" s="1" t="n">
        <v>45353</v>
      </c>
      <c r="D526" t="inlineStr">
        <is>
          <t>VÄSTMANLANDS LÄN</t>
        </is>
      </c>
      <c r="E526" t="inlineStr">
        <is>
          <t>SALA</t>
        </is>
      </c>
      <c r="F526" t="inlineStr">
        <is>
          <t>Kyrkan</t>
        </is>
      </c>
      <c r="G526" t="n">
        <v>1.9</v>
      </c>
      <c r="H526" t="n">
        <v>0</v>
      </c>
      <c r="I526" t="n">
        <v>0</v>
      </c>
      <c r="J526" t="n">
        <v>0</v>
      </c>
      <c r="K526" t="n">
        <v>0</v>
      </c>
      <c r="L526" t="n">
        <v>0</v>
      </c>
      <c r="M526" t="n">
        <v>0</v>
      </c>
      <c r="N526" t="n">
        <v>0</v>
      </c>
      <c r="O526" t="n">
        <v>0</v>
      </c>
      <c r="P526" t="n">
        <v>0</v>
      </c>
      <c r="Q526" t="n">
        <v>0</v>
      </c>
      <c r="R526" s="2" t="inlineStr"/>
    </row>
    <row r="527" ht="15" customHeight="1">
      <c r="A527" t="inlineStr">
        <is>
          <t>A 28402-2022</t>
        </is>
      </c>
      <c r="B527" s="1" t="n">
        <v>44747</v>
      </c>
      <c r="C527" s="1" t="n">
        <v>45353</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28863-2022</t>
        </is>
      </c>
      <c r="B528" s="1" t="n">
        <v>44749</v>
      </c>
      <c r="C528" s="1" t="n">
        <v>45353</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28875-2022</t>
        </is>
      </c>
      <c r="B529" s="1" t="n">
        <v>44749</v>
      </c>
      <c r="C529" s="1" t="n">
        <v>45353</v>
      </c>
      <c r="D529" t="inlineStr">
        <is>
          <t>VÄSTMANLANDS LÄN</t>
        </is>
      </c>
      <c r="E529" t="inlineStr">
        <is>
          <t>SALA</t>
        </is>
      </c>
      <c r="G529" t="n">
        <v>1.6</v>
      </c>
      <c r="H529" t="n">
        <v>0</v>
      </c>
      <c r="I529" t="n">
        <v>0</v>
      </c>
      <c r="J529" t="n">
        <v>0</v>
      </c>
      <c r="K529" t="n">
        <v>0</v>
      </c>
      <c r="L529" t="n">
        <v>0</v>
      </c>
      <c r="M529" t="n">
        <v>0</v>
      </c>
      <c r="N529" t="n">
        <v>0</v>
      </c>
      <c r="O529" t="n">
        <v>0</v>
      </c>
      <c r="P529" t="n">
        <v>0</v>
      </c>
      <c r="Q529" t="n">
        <v>0</v>
      </c>
      <c r="R529" s="2" t="inlineStr"/>
    </row>
    <row r="530" ht="15" customHeight="1">
      <c r="A530" t="inlineStr">
        <is>
          <t>A 28999-2022</t>
        </is>
      </c>
      <c r="B530" s="1" t="n">
        <v>44749</v>
      </c>
      <c r="C530" s="1" t="n">
        <v>45353</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28827-2022</t>
        </is>
      </c>
      <c r="B531" s="1" t="n">
        <v>44749</v>
      </c>
      <c r="C531" s="1" t="n">
        <v>45353</v>
      </c>
      <c r="D531" t="inlineStr">
        <is>
          <t>VÄSTMANLANDS LÄN</t>
        </is>
      </c>
      <c r="E531" t="inlineStr">
        <is>
          <t>SALA</t>
        </is>
      </c>
      <c r="F531" t="inlineStr">
        <is>
          <t>Kommuner</t>
        </is>
      </c>
      <c r="G531" t="n">
        <v>11.9</v>
      </c>
      <c r="H531" t="n">
        <v>0</v>
      </c>
      <c r="I531" t="n">
        <v>0</v>
      </c>
      <c r="J531" t="n">
        <v>0</v>
      </c>
      <c r="K531" t="n">
        <v>0</v>
      </c>
      <c r="L531" t="n">
        <v>0</v>
      </c>
      <c r="M531" t="n">
        <v>0</v>
      </c>
      <c r="N531" t="n">
        <v>0</v>
      </c>
      <c r="O531" t="n">
        <v>0</v>
      </c>
      <c r="P531" t="n">
        <v>0</v>
      </c>
      <c r="Q531" t="n">
        <v>0</v>
      </c>
      <c r="R531" s="2" t="inlineStr"/>
    </row>
    <row r="532" ht="15" customHeight="1">
      <c r="A532" t="inlineStr">
        <is>
          <t>A 28873-2022</t>
        </is>
      </c>
      <c r="B532" s="1" t="n">
        <v>44749</v>
      </c>
      <c r="C532" s="1" t="n">
        <v>45353</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29002-2022</t>
        </is>
      </c>
      <c r="B533" s="1" t="n">
        <v>44749</v>
      </c>
      <c r="C533" s="1" t="n">
        <v>45353</v>
      </c>
      <c r="D533" t="inlineStr">
        <is>
          <t>VÄSTMANLANDS LÄN</t>
        </is>
      </c>
      <c r="E533" t="inlineStr">
        <is>
          <t>SALA</t>
        </is>
      </c>
      <c r="G533" t="n">
        <v>5.4</v>
      </c>
      <c r="H533" t="n">
        <v>0</v>
      </c>
      <c r="I533" t="n">
        <v>0</v>
      </c>
      <c r="J533" t="n">
        <v>0</v>
      </c>
      <c r="K533" t="n">
        <v>0</v>
      </c>
      <c r="L533" t="n">
        <v>0</v>
      </c>
      <c r="M533" t="n">
        <v>0</v>
      </c>
      <c r="N533" t="n">
        <v>0</v>
      </c>
      <c r="O533" t="n">
        <v>0</v>
      </c>
      <c r="P533" t="n">
        <v>0</v>
      </c>
      <c r="Q533" t="n">
        <v>0</v>
      </c>
      <c r="R533" s="2" t="inlineStr"/>
    </row>
    <row r="534" ht="15" customHeight="1">
      <c r="A534" t="inlineStr">
        <is>
          <t>A 28868-2022</t>
        </is>
      </c>
      <c r="B534" s="1" t="n">
        <v>44749</v>
      </c>
      <c r="C534" s="1" t="n">
        <v>45353</v>
      </c>
      <c r="D534" t="inlineStr">
        <is>
          <t>VÄSTMANLANDS LÄN</t>
        </is>
      </c>
      <c r="E534" t="inlineStr">
        <is>
          <t>SALA</t>
        </is>
      </c>
      <c r="G534" t="n">
        <v>1.1</v>
      </c>
      <c r="H534" t="n">
        <v>0</v>
      </c>
      <c r="I534" t="n">
        <v>0</v>
      </c>
      <c r="J534" t="n">
        <v>0</v>
      </c>
      <c r="K534" t="n">
        <v>0</v>
      </c>
      <c r="L534" t="n">
        <v>0</v>
      </c>
      <c r="M534" t="n">
        <v>0</v>
      </c>
      <c r="N534" t="n">
        <v>0</v>
      </c>
      <c r="O534" t="n">
        <v>0</v>
      </c>
      <c r="P534" t="n">
        <v>0</v>
      </c>
      <c r="Q534" t="n">
        <v>0</v>
      </c>
      <c r="R534" s="2" t="inlineStr"/>
    </row>
    <row r="535" ht="15" customHeight="1">
      <c r="A535" t="inlineStr">
        <is>
          <t>A 28874-2022</t>
        </is>
      </c>
      <c r="B535" s="1" t="n">
        <v>44749</v>
      </c>
      <c r="C535" s="1" t="n">
        <v>45353</v>
      </c>
      <c r="D535" t="inlineStr">
        <is>
          <t>VÄSTMANLANDS LÄN</t>
        </is>
      </c>
      <c r="E535" t="inlineStr">
        <is>
          <t>SALA</t>
        </is>
      </c>
      <c r="G535" t="n">
        <v>1.2</v>
      </c>
      <c r="H535" t="n">
        <v>0</v>
      </c>
      <c r="I535" t="n">
        <v>0</v>
      </c>
      <c r="J535" t="n">
        <v>0</v>
      </c>
      <c r="K535" t="n">
        <v>0</v>
      </c>
      <c r="L535" t="n">
        <v>0</v>
      </c>
      <c r="M535" t="n">
        <v>0</v>
      </c>
      <c r="N535" t="n">
        <v>0</v>
      </c>
      <c r="O535" t="n">
        <v>0</v>
      </c>
      <c r="P535" t="n">
        <v>0</v>
      </c>
      <c r="Q535" t="n">
        <v>0</v>
      </c>
      <c r="R535" s="2" t="inlineStr"/>
    </row>
    <row r="536" ht="15" customHeight="1">
      <c r="A536" t="inlineStr">
        <is>
          <t>A 28879-2022</t>
        </is>
      </c>
      <c r="B536" s="1" t="n">
        <v>44749</v>
      </c>
      <c r="C536" s="1" t="n">
        <v>45353</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29235-2022</t>
        </is>
      </c>
      <c r="B537" s="1" t="n">
        <v>44750</v>
      </c>
      <c r="C537" s="1" t="n">
        <v>45353</v>
      </c>
      <c r="D537" t="inlineStr">
        <is>
          <t>VÄSTMANLANDS LÄN</t>
        </is>
      </c>
      <c r="E537" t="inlineStr">
        <is>
          <t>SALA</t>
        </is>
      </c>
      <c r="G537" t="n">
        <v>0.6</v>
      </c>
      <c r="H537" t="n">
        <v>0</v>
      </c>
      <c r="I537" t="n">
        <v>0</v>
      </c>
      <c r="J537" t="n">
        <v>0</v>
      </c>
      <c r="K537" t="n">
        <v>0</v>
      </c>
      <c r="L537" t="n">
        <v>0</v>
      </c>
      <c r="M537" t="n">
        <v>0</v>
      </c>
      <c r="N537" t="n">
        <v>0</v>
      </c>
      <c r="O537" t="n">
        <v>0</v>
      </c>
      <c r="P537" t="n">
        <v>0</v>
      </c>
      <c r="Q537" t="n">
        <v>0</v>
      </c>
      <c r="R537" s="2" t="inlineStr"/>
    </row>
    <row r="538" ht="15" customHeight="1">
      <c r="A538" t="inlineStr">
        <is>
          <t>A 29228-2022</t>
        </is>
      </c>
      <c r="B538" s="1" t="n">
        <v>44750</v>
      </c>
      <c r="C538" s="1" t="n">
        <v>45353</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29233-2022</t>
        </is>
      </c>
      <c r="B539" s="1" t="n">
        <v>44750</v>
      </c>
      <c r="C539" s="1" t="n">
        <v>45353</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29248-2022</t>
        </is>
      </c>
      <c r="B540" s="1" t="n">
        <v>44750</v>
      </c>
      <c r="C540" s="1" t="n">
        <v>45353</v>
      </c>
      <c r="D540" t="inlineStr">
        <is>
          <t>VÄSTMANLANDS LÄN</t>
        </is>
      </c>
      <c r="E540" t="inlineStr">
        <is>
          <t>SALA</t>
        </is>
      </c>
      <c r="G540" t="n">
        <v>1.6</v>
      </c>
      <c r="H540" t="n">
        <v>0</v>
      </c>
      <c r="I540" t="n">
        <v>0</v>
      </c>
      <c r="J540" t="n">
        <v>0</v>
      </c>
      <c r="K540" t="n">
        <v>0</v>
      </c>
      <c r="L540" t="n">
        <v>0</v>
      </c>
      <c r="M540" t="n">
        <v>0</v>
      </c>
      <c r="N540" t="n">
        <v>0</v>
      </c>
      <c r="O540" t="n">
        <v>0</v>
      </c>
      <c r="P540" t="n">
        <v>0</v>
      </c>
      <c r="Q540" t="n">
        <v>0</v>
      </c>
      <c r="R540" s="2" t="inlineStr"/>
    </row>
    <row r="541" ht="15" customHeight="1">
      <c r="A541" t="inlineStr">
        <is>
          <t>A 29230-2022</t>
        </is>
      </c>
      <c r="B541" s="1" t="n">
        <v>44750</v>
      </c>
      <c r="C541" s="1" t="n">
        <v>45353</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29133-2022</t>
        </is>
      </c>
      <c r="B542" s="1" t="n">
        <v>44750</v>
      </c>
      <c r="C542" s="1" t="n">
        <v>45353</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29213-2022</t>
        </is>
      </c>
      <c r="B543" s="1" t="n">
        <v>44750</v>
      </c>
      <c r="C543" s="1" t="n">
        <v>45353</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29963-2022</t>
        </is>
      </c>
      <c r="B544" s="1" t="n">
        <v>44756</v>
      </c>
      <c r="C544" s="1" t="n">
        <v>45353</v>
      </c>
      <c r="D544" t="inlineStr">
        <is>
          <t>VÄSTMANLANDS LÄN</t>
        </is>
      </c>
      <c r="E544" t="inlineStr">
        <is>
          <t>SALA</t>
        </is>
      </c>
      <c r="G544" t="n">
        <v>2.3</v>
      </c>
      <c r="H544" t="n">
        <v>0</v>
      </c>
      <c r="I544" t="n">
        <v>0</v>
      </c>
      <c r="J544" t="n">
        <v>0</v>
      </c>
      <c r="K544" t="n">
        <v>0</v>
      </c>
      <c r="L544" t="n">
        <v>0</v>
      </c>
      <c r="M544" t="n">
        <v>0</v>
      </c>
      <c r="N544" t="n">
        <v>0</v>
      </c>
      <c r="O544" t="n">
        <v>0</v>
      </c>
      <c r="P544" t="n">
        <v>0</v>
      </c>
      <c r="Q544" t="n">
        <v>0</v>
      </c>
      <c r="R544" s="2" t="inlineStr"/>
    </row>
    <row r="545" ht="15" customHeight="1">
      <c r="A545" t="inlineStr">
        <is>
          <t>A 29965-2022</t>
        </is>
      </c>
      <c r="B545" s="1" t="n">
        <v>44756</v>
      </c>
      <c r="C545" s="1" t="n">
        <v>45353</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29982-2022</t>
        </is>
      </c>
      <c r="B546" s="1" t="n">
        <v>44756</v>
      </c>
      <c r="C546" s="1" t="n">
        <v>45353</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30360-2022</t>
        </is>
      </c>
      <c r="B547" s="1" t="n">
        <v>44760</v>
      </c>
      <c r="C547" s="1" t="n">
        <v>45353</v>
      </c>
      <c r="D547" t="inlineStr">
        <is>
          <t>VÄSTMANLANDS LÄN</t>
        </is>
      </c>
      <c r="E547" t="inlineStr">
        <is>
          <t>SALA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30442-2022</t>
        </is>
      </c>
      <c r="B548" s="1" t="n">
        <v>44761</v>
      </c>
      <c r="C548" s="1" t="n">
        <v>45353</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30971-2022</t>
        </is>
      </c>
      <c r="B549" s="1" t="n">
        <v>44768</v>
      </c>
      <c r="C549" s="1" t="n">
        <v>45353</v>
      </c>
      <c r="D549" t="inlineStr">
        <is>
          <t>VÄSTMANLANDS LÄN</t>
        </is>
      </c>
      <c r="E549" t="inlineStr">
        <is>
          <t>SALA</t>
        </is>
      </c>
      <c r="G549" t="n">
        <v>2.4</v>
      </c>
      <c r="H549" t="n">
        <v>0</v>
      </c>
      <c r="I549" t="n">
        <v>0</v>
      </c>
      <c r="J549" t="n">
        <v>0</v>
      </c>
      <c r="K549" t="n">
        <v>0</v>
      </c>
      <c r="L549" t="n">
        <v>0</v>
      </c>
      <c r="M549" t="n">
        <v>0</v>
      </c>
      <c r="N549" t="n">
        <v>0</v>
      </c>
      <c r="O549" t="n">
        <v>0</v>
      </c>
      <c r="P549" t="n">
        <v>0</v>
      </c>
      <c r="Q549" t="n">
        <v>0</v>
      </c>
      <c r="R549" s="2" t="inlineStr"/>
    </row>
    <row r="550" ht="15" customHeight="1">
      <c r="A550" t="inlineStr">
        <is>
          <t>A 31000-2022</t>
        </is>
      </c>
      <c r="B550" s="1" t="n">
        <v>44768</v>
      </c>
      <c r="C550" s="1" t="n">
        <v>45353</v>
      </c>
      <c r="D550" t="inlineStr">
        <is>
          <t>VÄSTMANLANDS LÄN</t>
        </is>
      </c>
      <c r="E550" t="inlineStr">
        <is>
          <t>SALA</t>
        </is>
      </c>
      <c r="G550" t="n">
        <v>5.7</v>
      </c>
      <c r="H550" t="n">
        <v>0</v>
      </c>
      <c r="I550" t="n">
        <v>0</v>
      </c>
      <c r="J550" t="n">
        <v>0</v>
      </c>
      <c r="K550" t="n">
        <v>0</v>
      </c>
      <c r="L550" t="n">
        <v>0</v>
      </c>
      <c r="M550" t="n">
        <v>0</v>
      </c>
      <c r="N550" t="n">
        <v>0</v>
      </c>
      <c r="O550" t="n">
        <v>0</v>
      </c>
      <c r="P550" t="n">
        <v>0</v>
      </c>
      <c r="Q550" t="n">
        <v>0</v>
      </c>
      <c r="R550" s="2" t="inlineStr"/>
    </row>
    <row r="551" ht="15" customHeight="1">
      <c r="A551" t="inlineStr">
        <is>
          <t>A 31373-2022</t>
        </is>
      </c>
      <c r="B551" s="1" t="n">
        <v>44774</v>
      </c>
      <c r="C551" s="1" t="n">
        <v>45353</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31380-2022</t>
        </is>
      </c>
      <c r="B552" s="1" t="n">
        <v>44774</v>
      </c>
      <c r="C552" s="1" t="n">
        <v>45353</v>
      </c>
      <c r="D552" t="inlineStr">
        <is>
          <t>VÄSTMANLANDS LÄN</t>
        </is>
      </c>
      <c r="E552" t="inlineStr">
        <is>
          <t>SALA</t>
        </is>
      </c>
      <c r="G552" t="n">
        <v>4.7</v>
      </c>
      <c r="H552" t="n">
        <v>0</v>
      </c>
      <c r="I552" t="n">
        <v>0</v>
      </c>
      <c r="J552" t="n">
        <v>0</v>
      </c>
      <c r="K552" t="n">
        <v>0</v>
      </c>
      <c r="L552" t="n">
        <v>0</v>
      </c>
      <c r="M552" t="n">
        <v>0</v>
      </c>
      <c r="N552" t="n">
        <v>0</v>
      </c>
      <c r="O552" t="n">
        <v>0</v>
      </c>
      <c r="P552" t="n">
        <v>0</v>
      </c>
      <c r="Q552" t="n">
        <v>0</v>
      </c>
      <c r="R552" s="2" t="inlineStr"/>
    </row>
    <row r="553" ht="15" customHeight="1">
      <c r="A553" t="inlineStr">
        <is>
          <t>A 31387-2022</t>
        </is>
      </c>
      <c r="B553" s="1" t="n">
        <v>44774</v>
      </c>
      <c r="C553" s="1" t="n">
        <v>45353</v>
      </c>
      <c r="D553" t="inlineStr">
        <is>
          <t>VÄSTMANLANDS LÄN</t>
        </is>
      </c>
      <c r="E553" t="inlineStr">
        <is>
          <t>SALA</t>
        </is>
      </c>
      <c r="G553" t="n">
        <v>5.8</v>
      </c>
      <c r="H553" t="n">
        <v>0</v>
      </c>
      <c r="I553" t="n">
        <v>0</v>
      </c>
      <c r="J553" t="n">
        <v>0</v>
      </c>
      <c r="K553" t="n">
        <v>0</v>
      </c>
      <c r="L553" t="n">
        <v>0</v>
      </c>
      <c r="M553" t="n">
        <v>0</v>
      </c>
      <c r="N553" t="n">
        <v>0</v>
      </c>
      <c r="O553" t="n">
        <v>0</v>
      </c>
      <c r="P553" t="n">
        <v>0</v>
      </c>
      <c r="Q553" t="n">
        <v>0</v>
      </c>
      <c r="R553" s="2" t="inlineStr"/>
    </row>
    <row r="554" ht="15" customHeight="1">
      <c r="A554" t="inlineStr">
        <is>
          <t>A 31394-2022</t>
        </is>
      </c>
      <c r="B554" s="1" t="n">
        <v>44774</v>
      </c>
      <c r="C554" s="1" t="n">
        <v>45353</v>
      </c>
      <c r="D554" t="inlineStr">
        <is>
          <t>VÄSTMANLANDS LÄN</t>
        </is>
      </c>
      <c r="E554" t="inlineStr">
        <is>
          <t>SALA</t>
        </is>
      </c>
      <c r="G554" t="n">
        <v>1.9</v>
      </c>
      <c r="H554" t="n">
        <v>0</v>
      </c>
      <c r="I554" t="n">
        <v>0</v>
      </c>
      <c r="J554" t="n">
        <v>0</v>
      </c>
      <c r="K554" t="n">
        <v>0</v>
      </c>
      <c r="L554" t="n">
        <v>0</v>
      </c>
      <c r="M554" t="n">
        <v>0</v>
      </c>
      <c r="N554" t="n">
        <v>0</v>
      </c>
      <c r="O554" t="n">
        <v>0</v>
      </c>
      <c r="P554" t="n">
        <v>0</v>
      </c>
      <c r="Q554" t="n">
        <v>0</v>
      </c>
      <c r="R554" s="2" t="inlineStr"/>
    </row>
    <row r="555" ht="15" customHeight="1">
      <c r="A555" t="inlineStr">
        <is>
          <t>A 33309-2022</t>
        </is>
      </c>
      <c r="B555" s="1" t="n">
        <v>44788</v>
      </c>
      <c r="C555" s="1" t="n">
        <v>45353</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34110-2022</t>
        </is>
      </c>
      <c r="B556" s="1" t="n">
        <v>44791</v>
      </c>
      <c r="C556" s="1" t="n">
        <v>45353</v>
      </c>
      <c r="D556" t="inlineStr">
        <is>
          <t>VÄSTMANLANDS LÄN</t>
        </is>
      </c>
      <c r="E556" t="inlineStr">
        <is>
          <t>SALA</t>
        </is>
      </c>
      <c r="G556" t="n">
        <v>0.2</v>
      </c>
      <c r="H556" t="n">
        <v>0</v>
      </c>
      <c r="I556" t="n">
        <v>0</v>
      </c>
      <c r="J556" t="n">
        <v>0</v>
      </c>
      <c r="K556" t="n">
        <v>0</v>
      </c>
      <c r="L556" t="n">
        <v>0</v>
      </c>
      <c r="M556" t="n">
        <v>0</v>
      </c>
      <c r="N556" t="n">
        <v>0</v>
      </c>
      <c r="O556" t="n">
        <v>0</v>
      </c>
      <c r="P556" t="n">
        <v>0</v>
      </c>
      <c r="Q556" t="n">
        <v>0</v>
      </c>
      <c r="R556" s="2" t="inlineStr"/>
    </row>
    <row r="557" ht="15" customHeight="1">
      <c r="A557" t="inlineStr">
        <is>
          <t>A 34468-2022</t>
        </is>
      </c>
      <c r="B557" s="1" t="n">
        <v>44792</v>
      </c>
      <c r="C557" s="1" t="n">
        <v>45353</v>
      </c>
      <c r="D557" t="inlineStr">
        <is>
          <t>VÄSTMANLANDS LÄN</t>
        </is>
      </c>
      <c r="E557" t="inlineStr">
        <is>
          <t>SALA</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34737-2022</t>
        </is>
      </c>
      <c r="B558" s="1" t="n">
        <v>44795</v>
      </c>
      <c r="C558" s="1" t="n">
        <v>45353</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35410-2022</t>
        </is>
      </c>
      <c r="B559" s="1" t="n">
        <v>44798</v>
      </c>
      <c r="C559" s="1" t="n">
        <v>45353</v>
      </c>
      <c r="D559" t="inlineStr">
        <is>
          <t>VÄSTMANLANDS LÄN</t>
        </is>
      </c>
      <c r="E559" t="inlineStr">
        <is>
          <t>SALA</t>
        </is>
      </c>
      <c r="G559" t="n">
        <v>1.6</v>
      </c>
      <c r="H559" t="n">
        <v>0</v>
      </c>
      <c r="I559" t="n">
        <v>0</v>
      </c>
      <c r="J559" t="n">
        <v>0</v>
      </c>
      <c r="K559" t="n">
        <v>0</v>
      </c>
      <c r="L559" t="n">
        <v>0</v>
      </c>
      <c r="M559" t="n">
        <v>0</v>
      </c>
      <c r="N559" t="n">
        <v>0</v>
      </c>
      <c r="O559" t="n">
        <v>0</v>
      </c>
      <c r="P559" t="n">
        <v>0</v>
      </c>
      <c r="Q559" t="n">
        <v>0</v>
      </c>
      <c r="R559" s="2" t="inlineStr"/>
    </row>
    <row r="560" ht="15" customHeight="1">
      <c r="A560" t="inlineStr">
        <is>
          <t>A 35637-2022</t>
        </is>
      </c>
      <c r="B560" s="1" t="n">
        <v>44799</v>
      </c>
      <c r="C560" s="1" t="n">
        <v>45353</v>
      </c>
      <c r="D560" t="inlineStr">
        <is>
          <t>VÄSTMANLANDS LÄN</t>
        </is>
      </c>
      <c r="E560" t="inlineStr">
        <is>
          <t>SALA</t>
        </is>
      </c>
      <c r="G560" t="n">
        <v>1</v>
      </c>
      <c r="H560" t="n">
        <v>0</v>
      </c>
      <c r="I560" t="n">
        <v>0</v>
      </c>
      <c r="J560" t="n">
        <v>0</v>
      </c>
      <c r="K560" t="n">
        <v>0</v>
      </c>
      <c r="L560" t="n">
        <v>0</v>
      </c>
      <c r="M560" t="n">
        <v>0</v>
      </c>
      <c r="N560" t="n">
        <v>0</v>
      </c>
      <c r="O560" t="n">
        <v>0</v>
      </c>
      <c r="P560" t="n">
        <v>0</v>
      </c>
      <c r="Q560" t="n">
        <v>0</v>
      </c>
      <c r="R560" s="2" t="inlineStr"/>
    </row>
    <row r="561" ht="15" customHeight="1">
      <c r="A561" t="inlineStr">
        <is>
          <t>A 38081-2022</t>
        </is>
      </c>
      <c r="B561" s="1" t="n">
        <v>44811</v>
      </c>
      <c r="C561" s="1" t="n">
        <v>45353</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38161-2022</t>
        </is>
      </c>
      <c r="B562" s="1" t="n">
        <v>44812</v>
      </c>
      <c r="C562" s="1" t="n">
        <v>45353</v>
      </c>
      <c r="D562" t="inlineStr">
        <is>
          <t>VÄSTMANLANDS LÄN</t>
        </is>
      </c>
      <c r="E562" t="inlineStr">
        <is>
          <t>SALA</t>
        </is>
      </c>
      <c r="G562" t="n">
        <v>3.6</v>
      </c>
      <c r="H562" t="n">
        <v>0</v>
      </c>
      <c r="I562" t="n">
        <v>0</v>
      </c>
      <c r="J562" t="n">
        <v>0</v>
      </c>
      <c r="K562" t="n">
        <v>0</v>
      </c>
      <c r="L562" t="n">
        <v>0</v>
      </c>
      <c r="M562" t="n">
        <v>0</v>
      </c>
      <c r="N562" t="n">
        <v>0</v>
      </c>
      <c r="O562" t="n">
        <v>0</v>
      </c>
      <c r="P562" t="n">
        <v>0</v>
      </c>
      <c r="Q562" t="n">
        <v>0</v>
      </c>
      <c r="R562" s="2" t="inlineStr"/>
    </row>
    <row r="563" ht="15" customHeight="1">
      <c r="A563" t="inlineStr">
        <is>
          <t>A 39451-2022</t>
        </is>
      </c>
      <c r="B563" s="1" t="n">
        <v>44818</v>
      </c>
      <c r="C563" s="1" t="n">
        <v>45353</v>
      </c>
      <c r="D563" t="inlineStr">
        <is>
          <t>VÄSTMANLANDS LÄN</t>
        </is>
      </c>
      <c r="E563" t="inlineStr">
        <is>
          <t>SALA</t>
        </is>
      </c>
      <c r="G563" t="n">
        <v>9.4</v>
      </c>
      <c r="H563" t="n">
        <v>0</v>
      </c>
      <c r="I563" t="n">
        <v>0</v>
      </c>
      <c r="J563" t="n">
        <v>0</v>
      </c>
      <c r="K563" t="n">
        <v>0</v>
      </c>
      <c r="L563" t="n">
        <v>0</v>
      </c>
      <c r="M563" t="n">
        <v>0</v>
      </c>
      <c r="N563" t="n">
        <v>0</v>
      </c>
      <c r="O563" t="n">
        <v>0</v>
      </c>
      <c r="P563" t="n">
        <v>0</v>
      </c>
      <c r="Q563" t="n">
        <v>0</v>
      </c>
      <c r="R563" s="2" t="inlineStr"/>
    </row>
    <row r="564" ht="15" customHeight="1">
      <c r="A564" t="inlineStr">
        <is>
          <t>A 39600-2022</t>
        </is>
      </c>
      <c r="B564" s="1" t="n">
        <v>44818</v>
      </c>
      <c r="C564" s="1" t="n">
        <v>45353</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39597-2022</t>
        </is>
      </c>
      <c r="B565" s="1" t="n">
        <v>44818</v>
      </c>
      <c r="C565" s="1" t="n">
        <v>45353</v>
      </c>
      <c r="D565" t="inlineStr">
        <is>
          <t>VÄSTMANLANDS LÄN</t>
        </is>
      </c>
      <c r="E565" t="inlineStr">
        <is>
          <t>SALA</t>
        </is>
      </c>
      <c r="G565" t="n">
        <v>2.3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45353</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40113-2022</t>
        </is>
      </c>
      <c r="B567" s="1" t="n">
        <v>44819</v>
      </c>
      <c r="C567" s="1" t="n">
        <v>45353</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40405-2022</t>
        </is>
      </c>
      <c r="B568" s="1" t="n">
        <v>44823</v>
      </c>
      <c r="C568" s="1" t="n">
        <v>45353</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40597-2022</t>
        </is>
      </c>
      <c r="B569" s="1" t="n">
        <v>44823</v>
      </c>
      <c r="C569" s="1" t="n">
        <v>45353</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41567-2022</t>
        </is>
      </c>
      <c r="B570" s="1" t="n">
        <v>44827</v>
      </c>
      <c r="C570" s="1" t="n">
        <v>45353</v>
      </c>
      <c r="D570" t="inlineStr">
        <is>
          <t>VÄSTMANLANDS LÄN</t>
        </is>
      </c>
      <c r="E570" t="inlineStr">
        <is>
          <t>SALA</t>
        </is>
      </c>
      <c r="F570" t="inlineStr">
        <is>
          <t>Bergvik skog öst AB</t>
        </is>
      </c>
      <c r="G570" t="n">
        <v>3.9</v>
      </c>
      <c r="H570" t="n">
        <v>0</v>
      </c>
      <c r="I570" t="n">
        <v>0</v>
      </c>
      <c r="J570" t="n">
        <v>0</v>
      </c>
      <c r="K570" t="n">
        <v>0</v>
      </c>
      <c r="L570" t="n">
        <v>0</v>
      </c>
      <c r="M570" t="n">
        <v>0</v>
      </c>
      <c r="N570" t="n">
        <v>0</v>
      </c>
      <c r="O570" t="n">
        <v>0</v>
      </c>
      <c r="P570" t="n">
        <v>0</v>
      </c>
      <c r="Q570" t="n">
        <v>0</v>
      </c>
      <c r="R570" s="2" t="inlineStr"/>
    </row>
    <row r="571" ht="15" customHeight="1">
      <c r="A571" t="inlineStr">
        <is>
          <t>A 41876-2022</t>
        </is>
      </c>
      <c r="B571" s="1" t="n">
        <v>44830</v>
      </c>
      <c r="C571" s="1" t="n">
        <v>45353</v>
      </c>
      <c r="D571" t="inlineStr">
        <is>
          <t>VÄSTMANLANDS LÄN</t>
        </is>
      </c>
      <c r="E571" t="inlineStr">
        <is>
          <t>SALA</t>
        </is>
      </c>
      <c r="G571" t="n">
        <v>3.6</v>
      </c>
      <c r="H571" t="n">
        <v>0</v>
      </c>
      <c r="I571" t="n">
        <v>0</v>
      </c>
      <c r="J571" t="n">
        <v>0</v>
      </c>
      <c r="K571" t="n">
        <v>0</v>
      </c>
      <c r="L571" t="n">
        <v>0</v>
      </c>
      <c r="M571" t="n">
        <v>0</v>
      </c>
      <c r="N571" t="n">
        <v>0</v>
      </c>
      <c r="O571" t="n">
        <v>0</v>
      </c>
      <c r="P571" t="n">
        <v>0</v>
      </c>
      <c r="Q571" t="n">
        <v>0</v>
      </c>
      <c r="R571" s="2" t="inlineStr"/>
    </row>
    <row r="572" ht="15" customHeight="1">
      <c r="A572" t="inlineStr">
        <is>
          <t>A 42416-2022</t>
        </is>
      </c>
      <c r="B572" s="1" t="n">
        <v>44831</v>
      </c>
      <c r="C572" s="1" t="n">
        <v>45353</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42447-2022</t>
        </is>
      </c>
      <c r="B573" s="1" t="n">
        <v>44831</v>
      </c>
      <c r="C573" s="1" t="n">
        <v>45353</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42414-2022</t>
        </is>
      </c>
      <c r="B574" s="1" t="n">
        <v>44831</v>
      </c>
      <c r="C574" s="1" t="n">
        <v>45353</v>
      </c>
      <c r="D574" t="inlineStr">
        <is>
          <t>VÄSTMANLANDS LÄN</t>
        </is>
      </c>
      <c r="E574" t="inlineStr">
        <is>
          <t>SALA</t>
        </is>
      </c>
      <c r="G574" t="n">
        <v>3.4</v>
      </c>
      <c r="H574" t="n">
        <v>0</v>
      </c>
      <c r="I574" t="n">
        <v>0</v>
      </c>
      <c r="J574" t="n">
        <v>0</v>
      </c>
      <c r="K574" t="n">
        <v>0</v>
      </c>
      <c r="L574" t="n">
        <v>0</v>
      </c>
      <c r="M574" t="n">
        <v>0</v>
      </c>
      <c r="N574" t="n">
        <v>0</v>
      </c>
      <c r="O574" t="n">
        <v>0</v>
      </c>
      <c r="P574" t="n">
        <v>0</v>
      </c>
      <c r="Q574" t="n">
        <v>0</v>
      </c>
      <c r="R574" s="2" t="inlineStr"/>
    </row>
    <row r="575" ht="15" customHeight="1">
      <c r="A575" t="inlineStr">
        <is>
          <t>A 43103-2022</t>
        </is>
      </c>
      <c r="B575" s="1" t="n">
        <v>44833</v>
      </c>
      <c r="C575" s="1" t="n">
        <v>45353</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43101-2022</t>
        </is>
      </c>
      <c r="B576" s="1" t="n">
        <v>44833</v>
      </c>
      <c r="C576" s="1" t="n">
        <v>45353</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44217-2022</t>
        </is>
      </c>
      <c r="B577" s="1" t="n">
        <v>44839</v>
      </c>
      <c r="C577" s="1" t="n">
        <v>45353</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44318-2022</t>
        </is>
      </c>
      <c r="B578" s="1" t="n">
        <v>44839</v>
      </c>
      <c r="C578" s="1" t="n">
        <v>45353</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v>
      </c>
      <c r="C579" s="1" t="n">
        <v>45353</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44892-2022</t>
        </is>
      </c>
      <c r="B580" s="1" t="n">
        <v>44841</v>
      </c>
      <c r="C580" s="1" t="n">
        <v>45353</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45015-2022</t>
        </is>
      </c>
      <c r="B581" s="1" t="n">
        <v>44841</v>
      </c>
      <c r="C581" s="1" t="n">
        <v>45353</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44935-2022</t>
        </is>
      </c>
      <c r="B582" s="1" t="n">
        <v>44841</v>
      </c>
      <c r="C582" s="1" t="n">
        <v>45353</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45309-2022</t>
        </is>
      </c>
      <c r="B583" s="1" t="n">
        <v>44844</v>
      </c>
      <c r="C583" s="1" t="n">
        <v>45353</v>
      </c>
      <c r="D583" t="inlineStr">
        <is>
          <t>VÄSTMANLANDS LÄN</t>
        </is>
      </c>
      <c r="E583" t="inlineStr">
        <is>
          <t>SALA</t>
        </is>
      </c>
      <c r="G583" t="n">
        <v>10.9</v>
      </c>
      <c r="H583" t="n">
        <v>0</v>
      </c>
      <c r="I583" t="n">
        <v>0</v>
      </c>
      <c r="J583" t="n">
        <v>0</v>
      </c>
      <c r="K583" t="n">
        <v>0</v>
      </c>
      <c r="L583" t="n">
        <v>0</v>
      </c>
      <c r="M583" t="n">
        <v>0</v>
      </c>
      <c r="N583" t="n">
        <v>0</v>
      </c>
      <c r="O583" t="n">
        <v>0</v>
      </c>
      <c r="P583" t="n">
        <v>0</v>
      </c>
      <c r="Q583" t="n">
        <v>0</v>
      </c>
      <c r="R583" s="2" t="inlineStr"/>
    </row>
    <row r="584" ht="15" customHeight="1">
      <c r="A584" t="inlineStr">
        <is>
          <t>A 45517-2022</t>
        </is>
      </c>
      <c r="B584" s="1" t="n">
        <v>44845</v>
      </c>
      <c r="C584" s="1" t="n">
        <v>45353</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45615-2022</t>
        </is>
      </c>
      <c r="B585" s="1" t="n">
        <v>44845</v>
      </c>
      <c r="C585" s="1" t="n">
        <v>45353</v>
      </c>
      <c r="D585" t="inlineStr">
        <is>
          <t>VÄSTMANLANDS LÄN</t>
        </is>
      </c>
      <c r="E585" t="inlineStr">
        <is>
          <t>SALA</t>
        </is>
      </c>
      <c r="F585" t="inlineStr">
        <is>
          <t>Bergvik skog öst AB</t>
        </is>
      </c>
      <c r="G585" t="n">
        <v>10</v>
      </c>
      <c r="H585" t="n">
        <v>0</v>
      </c>
      <c r="I585" t="n">
        <v>0</v>
      </c>
      <c r="J585" t="n">
        <v>0</v>
      </c>
      <c r="K585" t="n">
        <v>0</v>
      </c>
      <c r="L585" t="n">
        <v>0</v>
      </c>
      <c r="M585" t="n">
        <v>0</v>
      </c>
      <c r="N585" t="n">
        <v>0</v>
      </c>
      <c r="O585" t="n">
        <v>0</v>
      </c>
      <c r="P585" t="n">
        <v>0</v>
      </c>
      <c r="Q585" t="n">
        <v>0</v>
      </c>
      <c r="R585" s="2" t="inlineStr"/>
    </row>
    <row r="586" ht="15" customHeight="1">
      <c r="A586" t="inlineStr">
        <is>
          <t>A 46264-2022</t>
        </is>
      </c>
      <c r="B586" s="1" t="n">
        <v>44847</v>
      </c>
      <c r="C586" s="1" t="n">
        <v>45353</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46460-2022</t>
        </is>
      </c>
      <c r="B587" s="1" t="n">
        <v>44848</v>
      </c>
      <c r="C587" s="1" t="n">
        <v>45353</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47086-2022</t>
        </is>
      </c>
      <c r="B588" s="1" t="n">
        <v>44852</v>
      </c>
      <c r="C588" s="1" t="n">
        <v>45353</v>
      </c>
      <c r="D588" t="inlineStr">
        <is>
          <t>VÄSTMANLANDS LÄN</t>
        </is>
      </c>
      <c r="E588" t="inlineStr">
        <is>
          <t>SALA</t>
        </is>
      </c>
      <c r="G588" t="n">
        <v>12.5</v>
      </c>
      <c r="H588" t="n">
        <v>0</v>
      </c>
      <c r="I588" t="n">
        <v>0</v>
      </c>
      <c r="J588" t="n">
        <v>0</v>
      </c>
      <c r="K588" t="n">
        <v>0</v>
      </c>
      <c r="L588" t="n">
        <v>0</v>
      </c>
      <c r="M588" t="n">
        <v>0</v>
      </c>
      <c r="N588" t="n">
        <v>0</v>
      </c>
      <c r="O588" t="n">
        <v>0</v>
      </c>
      <c r="P588" t="n">
        <v>0</v>
      </c>
      <c r="Q588" t="n">
        <v>0</v>
      </c>
      <c r="R588" s="2" t="inlineStr"/>
    </row>
    <row r="589" ht="15" customHeight="1">
      <c r="A589" t="inlineStr">
        <is>
          <t>A 47713-2022</t>
        </is>
      </c>
      <c r="B589" s="1" t="n">
        <v>44854</v>
      </c>
      <c r="C589" s="1" t="n">
        <v>45353</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47715-2022</t>
        </is>
      </c>
      <c r="B590" s="1" t="n">
        <v>44854</v>
      </c>
      <c r="C590" s="1" t="n">
        <v>45353</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47909-2022</t>
        </is>
      </c>
      <c r="B591" s="1" t="n">
        <v>44855</v>
      </c>
      <c r="C591" s="1" t="n">
        <v>45353</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48219-2022</t>
        </is>
      </c>
      <c r="B592" s="1" t="n">
        <v>44858</v>
      </c>
      <c r="C592" s="1" t="n">
        <v>45353</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49086-2022</t>
        </is>
      </c>
      <c r="B593" s="1" t="n">
        <v>44860</v>
      </c>
      <c r="C593" s="1" t="n">
        <v>45353</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49254-2022</t>
        </is>
      </c>
      <c r="B594" s="1" t="n">
        <v>44861</v>
      </c>
      <c r="C594" s="1" t="n">
        <v>45353</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50461-2022</t>
        </is>
      </c>
      <c r="B595" s="1" t="n">
        <v>44861</v>
      </c>
      <c r="C595" s="1" t="n">
        <v>45353</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50479-2022</t>
        </is>
      </c>
      <c r="B596" s="1" t="n">
        <v>44861</v>
      </c>
      <c r="C596" s="1" t="n">
        <v>45353</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51279-2022</t>
        </is>
      </c>
      <c r="B597" s="1" t="n">
        <v>44866</v>
      </c>
      <c r="C597" s="1" t="n">
        <v>45353</v>
      </c>
      <c r="D597" t="inlineStr">
        <is>
          <t>VÄSTMANLANDS LÄN</t>
        </is>
      </c>
      <c r="E597" t="inlineStr">
        <is>
          <t>SALA</t>
        </is>
      </c>
      <c r="G597" t="n">
        <v>3.9</v>
      </c>
      <c r="H597" t="n">
        <v>0</v>
      </c>
      <c r="I597" t="n">
        <v>0</v>
      </c>
      <c r="J597" t="n">
        <v>0</v>
      </c>
      <c r="K597" t="n">
        <v>0</v>
      </c>
      <c r="L597" t="n">
        <v>0</v>
      </c>
      <c r="M597" t="n">
        <v>0</v>
      </c>
      <c r="N597" t="n">
        <v>0</v>
      </c>
      <c r="O597" t="n">
        <v>0</v>
      </c>
      <c r="P597" t="n">
        <v>0</v>
      </c>
      <c r="Q597" t="n">
        <v>0</v>
      </c>
      <c r="R597" s="2" t="inlineStr"/>
    </row>
    <row r="598" ht="15" customHeight="1">
      <c r="A598" t="inlineStr">
        <is>
          <t>A 51377-2022</t>
        </is>
      </c>
      <c r="B598" s="1" t="n">
        <v>44866</v>
      </c>
      <c r="C598" s="1" t="n">
        <v>45353</v>
      </c>
      <c r="D598" t="inlineStr">
        <is>
          <t>VÄSTMANLANDS LÄN</t>
        </is>
      </c>
      <c r="E598" t="inlineStr">
        <is>
          <t>SALA</t>
        </is>
      </c>
      <c r="G598" t="n">
        <v>6.3</v>
      </c>
      <c r="H598" t="n">
        <v>0</v>
      </c>
      <c r="I598" t="n">
        <v>0</v>
      </c>
      <c r="J598" t="n">
        <v>0</v>
      </c>
      <c r="K598" t="n">
        <v>0</v>
      </c>
      <c r="L598" t="n">
        <v>0</v>
      </c>
      <c r="M598" t="n">
        <v>0</v>
      </c>
      <c r="N598" t="n">
        <v>0</v>
      </c>
      <c r="O598" t="n">
        <v>0</v>
      </c>
      <c r="P598" t="n">
        <v>0</v>
      </c>
      <c r="Q598" t="n">
        <v>0</v>
      </c>
      <c r="R598" s="2" t="inlineStr"/>
    </row>
    <row r="599" ht="15" customHeight="1">
      <c r="A599" t="inlineStr">
        <is>
          <t>A 50795-2022</t>
        </is>
      </c>
      <c r="B599" s="1" t="n">
        <v>44867</v>
      </c>
      <c r="C599" s="1" t="n">
        <v>45353</v>
      </c>
      <c r="D599" t="inlineStr">
        <is>
          <t>VÄSTMANLANDS LÄN</t>
        </is>
      </c>
      <c r="E599" t="inlineStr">
        <is>
          <t>SALA</t>
        </is>
      </c>
      <c r="G599" t="n">
        <v>2.6</v>
      </c>
      <c r="H599" t="n">
        <v>0</v>
      </c>
      <c r="I599" t="n">
        <v>0</v>
      </c>
      <c r="J599" t="n">
        <v>0</v>
      </c>
      <c r="K599" t="n">
        <v>0</v>
      </c>
      <c r="L599" t="n">
        <v>0</v>
      </c>
      <c r="M599" t="n">
        <v>0</v>
      </c>
      <c r="N599" t="n">
        <v>0</v>
      </c>
      <c r="O599" t="n">
        <v>0</v>
      </c>
      <c r="P599" t="n">
        <v>0</v>
      </c>
      <c r="Q599" t="n">
        <v>0</v>
      </c>
      <c r="R599" s="2" t="inlineStr"/>
    </row>
    <row r="600" ht="15" customHeight="1">
      <c r="A600" t="inlineStr">
        <is>
          <t>A 51600-2022</t>
        </is>
      </c>
      <c r="B600" s="1" t="n">
        <v>44871</v>
      </c>
      <c r="C600" s="1" t="n">
        <v>45353</v>
      </c>
      <c r="D600" t="inlineStr">
        <is>
          <t>VÄSTMANLANDS LÄN</t>
        </is>
      </c>
      <c r="E600" t="inlineStr">
        <is>
          <t>SALA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51596-2022</t>
        </is>
      </c>
      <c r="B601" s="1" t="n">
        <v>44871</v>
      </c>
      <c r="C601" s="1" t="n">
        <v>45353</v>
      </c>
      <c r="D601" t="inlineStr">
        <is>
          <t>VÄSTMANLANDS LÄN</t>
        </is>
      </c>
      <c r="E601" t="inlineStr">
        <is>
          <t>SALA</t>
        </is>
      </c>
      <c r="F601" t="inlineStr">
        <is>
          <t>Bergvik skog öst AB</t>
        </is>
      </c>
      <c r="G601" t="n">
        <v>1.2</v>
      </c>
      <c r="H601" t="n">
        <v>0</v>
      </c>
      <c r="I601" t="n">
        <v>0</v>
      </c>
      <c r="J601" t="n">
        <v>0</v>
      </c>
      <c r="K601" t="n">
        <v>0</v>
      </c>
      <c r="L601" t="n">
        <v>0</v>
      </c>
      <c r="M601" t="n">
        <v>0</v>
      </c>
      <c r="N601" t="n">
        <v>0</v>
      </c>
      <c r="O601" t="n">
        <v>0</v>
      </c>
      <c r="P601" t="n">
        <v>0</v>
      </c>
      <c r="Q601" t="n">
        <v>0</v>
      </c>
      <c r="R601" s="2" t="inlineStr"/>
    </row>
    <row r="602" ht="15" customHeight="1">
      <c r="A602" t="inlineStr">
        <is>
          <t>A 52504-2022</t>
        </is>
      </c>
      <c r="B602" s="1" t="n">
        <v>44874</v>
      </c>
      <c r="C602" s="1" t="n">
        <v>45353</v>
      </c>
      <c r="D602" t="inlineStr">
        <is>
          <t>VÄSTMANLANDS LÄN</t>
        </is>
      </c>
      <c r="E602" t="inlineStr">
        <is>
          <t>SALA</t>
        </is>
      </c>
      <c r="G602" t="n">
        <v>0.9</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v>
      </c>
      <c r="C603" s="1" t="n">
        <v>45353</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52630-2022</t>
        </is>
      </c>
      <c r="B604" s="1" t="n">
        <v>44874</v>
      </c>
      <c r="C604" s="1" t="n">
        <v>45353</v>
      </c>
      <c r="D604" t="inlineStr">
        <is>
          <t>VÄSTMANLANDS LÄN</t>
        </is>
      </c>
      <c r="E604" t="inlineStr">
        <is>
          <t>SALA</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53425-2022</t>
        </is>
      </c>
      <c r="B605" s="1" t="n">
        <v>44879</v>
      </c>
      <c r="C605" s="1" t="n">
        <v>45353</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53432-2022</t>
        </is>
      </c>
      <c r="B606" s="1" t="n">
        <v>44879</v>
      </c>
      <c r="C606" s="1" t="n">
        <v>45353</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53628-2022</t>
        </is>
      </c>
      <c r="B607" s="1" t="n">
        <v>44879</v>
      </c>
      <c r="C607" s="1" t="n">
        <v>45353</v>
      </c>
      <c r="D607" t="inlineStr">
        <is>
          <t>VÄSTMANLANDS LÄN</t>
        </is>
      </c>
      <c r="E607" t="inlineStr">
        <is>
          <t>SALA</t>
        </is>
      </c>
      <c r="G607" t="n">
        <v>2.7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v>
      </c>
      <c r="C608" s="1" t="n">
        <v>45353</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53864-2022</t>
        </is>
      </c>
      <c r="B609" s="1" t="n">
        <v>44880</v>
      </c>
      <c r="C609" s="1" t="n">
        <v>45353</v>
      </c>
      <c r="D609" t="inlineStr">
        <is>
          <t>VÄSTMANLANDS LÄN</t>
        </is>
      </c>
      <c r="E609" t="inlineStr">
        <is>
          <t>SALA</t>
        </is>
      </c>
      <c r="G609" t="n">
        <v>5.9</v>
      </c>
      <c r="H609" t="n">
        <v>0</v>
      </c>
      <c r="I609" t="n">
        <v>0</v>
      </c>
      <c r="J609" t="n">
        <v>0</v>
      </c>
      <c r="K609" t="n">
        <v>0</v>
      </c>
      <c r="L609" t="n">
        <v>0</v>
      </c>
      <c r="M609" t="n">
        <v>0</v>
      </c>
      <c r="N609" t="n">
        <v>0</v>
      </c>
      <c r="O609" t="n">
        <v>0</v>
      </c>
      <c r="P609" t="n">
        <v>0</v>
      </c>
      <c r="Q609" t="n">
        <v>0</v>
      </c>
      <c r="R609" s="2" t="inlineStr"/>
    </row>
    <row r="610" ht="15" customHeight="1">
      <c r="A610" t="inlineStr">
        <is>
          <t>A 53735-2022</t>
        </is>
      </c>
      <c r="B610" s="1" t="n">
        <v>44880</v>
      </c>
      <c r="C610" s="1" t="n">
        <v>45353</v>
      </c>
      <c r="D610" t="inlineStr">
        <is>
          <t>VÄSTMANLANDS LÄN</t>
        </is>
      </c>
      <c r="E610" t="inlineStr">
        <is>
          <t>SALA</t>
        </is>
      </c>
      <c r="F610" t="inlineStr">
        <is>
          <t>Bergvik skog öst AB</t>
        </is>
      </c>
      <c r="G610" t="n">
        <v>1.8</v>
      </c>
      <c r="H610" t="n">
        <v>0</v>
      </c>
      <c r="I610" t="n">
        <v>0</v>
      </c>
      <c r="J610" t="n">
        <v>0</v>
      </c>
      <c r="K610" t="n">
        <v>0</v>
      </c>
      <c r="L610" t="n">
        <v>0</v>
      </c>
      <c r="M610" t="n">
        <v>0</v>
      </c>
      <c r="N610" t="n">
        <v>0</v>
      </c>
      <c r="O610" t="n">
        <v>0</v>
      </c>
      <c r="P610" t="n">
        <v>0</v>
      </c>
      <c r="Q610" t="n">
        <v>0</v>
      </c>
      <c r="R610" s="2" t="inlineStr"/>
    </row>
    <row r="611" ht="15" customHeight="1">
      <c r="A611" t="inlineStr">
        <is>
          <t>A 53838-2022</t>
        </is>
      </c>
      <c r="B611" s="1" t="n">
        <v>44880</v>
      </c>
      <c r="C611" s="1" t="n">
        <v>45353</v>
      </c>
      <c r="D611" t="inlineStr">
        <is>
          <t>VÄSTMANLANDS LÄN</t>
        </is>
      </c>
      <c r="E611" t="inlineStr">
        <is>
          <t>SALA</t>
        </is>
      </c>
      <c r="G611" t="n">
        <v>3.9</v>
      </c>
      <c r="H611" t="n">
        <v>0</v>
      </c>
      <c r="I611" t="n">
        <v>0</v>
      </c>
      <c r="J611" t="n">
        <v>0</v>
      </c>
      <c r="K611" t="n">
        <v>0</v>
      </c>
      <c r="L611" t="n">
        <v>0</v>
      </c>
      <c r="M611" t="n">
        <v>0</v>
      </c>
      <c r="N611" t="n">
        <v>0</v>
      </c>
      <c r="O611" t="n">
        <v>0</v>
      </c>
      <c r="P611" t="n">
        <v>0</v>
      </c>
      <c r="Q611" t="n">
        <v>0</v>
      </c>
      <c r="R611" s="2" t="inlineStr"/>
    </row>
    <row r="612" ht="15" customHeight="1">
      <c r="A612" t="inlineStr">
        <is>
          <t>A 53997-2022</t>
        </is>
      </c>
      <c r="B612" s="1" t="n">
        <v>44881</v>
      </c>
      <c r="C612" s="1" t="n">
        <v>45353</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55733-2022</t>
        </is>
      </c>
      <c r="B613" s="1" t="n">
        <v>44888</v>
      </c>
      <c r="C613" s="1" t="n">
        <v>45353</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56089-2022</t>
        </is>
      </c>
      <c r="B614" s="1" t="n">
        <v>44889</v>
      </c>
      <c r="C614" s="1" t="n">
        <v>45353</v>
      </c>
      <c r="D614" t="inlineStr">
        <is>
          <t>VÄSTMANLANDS LÄN</t>
        </is>
      </c>
      <c r="E614" t="inlineStr">
        <is>
          <t>SALA</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56088-2022</t>
        </is>
      </c>
      <c r="B615" s="1" t="n">
        <v>44889</v>
      </c>
      <c r="C615" s="1" t="n">
        <v>45353</v>
      </c>
      <c r="D615" t="inlineStr">
        <is>
          <t>VÄSTMANLANDS LÄN</t>
        </is>
      </c>
      <c r="E615" t="inlineStr">
        <is>
          <t>SALA</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56234-2022</t>
        </is>
      </c>
      <c r="B616" s="1" t="n">
        <v>44890</v>
      </c>
      <c r="C616" s="1" t="n">
        <v>45353</v>
      </c>
      <c r="D616" t="inlineStr">
        <is>
          <t>VÄSTMANLANDS LÄN</t>
        </is>
      </c>
      <c r="E616" t="inlineStr">
        <is>
          <t>SALA</t>
        </is>
      </c>
      <c r="G616" t="n">
        <v>1.5</v>
      </c>
      <c r="H616" t="n">
        <v>0</v>
      </c>
      <c r="I616" t="n">
        <v>0</v>
      </c>
      <c r="J616" t="n">
        <v>0</v>
      </c>
      <c r="K616" t="n">
        <v>0</v>
      </c>
      <c r="L616" t="n">
        <v>0</v>
      </c>
      <c r="M616" t="n">
        <v>0</v>
      </c>
      <c r="N616" t="n">
        <v>0</v>
      </c>
      <c r="O616" t="n">
        <v>0</v>
      </c>
      <c r="P616" t="n">
        <v>0</v>
      </c>
      <c r="Q616" t="n">
        <v>0</v>
      </c>
      <c r="R616" s="2" t="inlineStr"/>
    </row>
    <row r="617" ht="15" customHeight="1">
      <c r="A617" t="inlineStr">
        <is>
          <t>A 56242-2022</t>
        </is>
      </c>
      <c r="B617" s="1" t="n">
        <v>44890</v>
      </c>
      <c r="C617" s="1" t="n">
        <v>45353</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56535-2022</t>
        </is>
      </c>
      <c r="B618" s="1" t="n">
        <v>44893</v>
      </c>
      <c r="C618" s="1" t="n">
        <v>45353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56706-2022</t>
        </is>
      </c>
      <c r="B619" s="1" t="n">
        <v>44893</v>
      </c>
      <c r="C619" s="1" t="n">
        <v>45353</v>
      </c>
      <c r="D619" t="inlineStr">
        <is>
          <t>VÄSTMANLANDS LÄN</t>
        </is>
      </c>
      <c r="E619" t="inlineStr">
        <is>
          <t>SALA</t>
        </is>
      </c>
      <c r="G619" t="n">
        <v>4.5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v>
      </c>
      <c r="C620" s="1" t="n">
        <v>45353</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56707-2022</t>
        </is>
      </c>
      <c r="B621" s="1" t="n">
        <v>44893</v>
      </c>
      <c r="C621" s="1" t="n">
        <v>45353</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56977-2022</t>
        </is>
      </c>
      <c r="B622" s="1" t="n">
        <v>44894</v>
      </c>
      <c r="C622" s="1" t="n">
        <v>45353</v>
      </c>
      <c r="D622" t="inlineStr">
        <is>
          <t>VÄSTMANLANDS LÄN</t>
        </is>
      </c>
      <c r="E622" t="inlineStr">
        <is>
          <t>SALA</t>
        </is>
      </c>
      <c r="G622" t="n">
        <v>13</v>
      </c>
      <c r="H622" t="n">
        <v>0</v>
      </c>
      <c r="I622" t="n">
        <v>0</v>
      </c>
      <c r="J622" t="n">
        <v>0</v>
      </c>
      <c r="K622" t="n">
        <v>0</v>
      </c>
      <c r="L622" t="n">
        <v>0</v>
      </c>
      <c r="M622" t="n">
        <v>0</v>
      </c>
      <c r="N622" t="n">
        <v>0</v>
      </c>
      <c r="O622" t="n">
        <v>0</v>
      </c>
      <c r="P622" t="n">
        <v>0</v>
      </c>
      <c r="Q622" t="n">
        <v>0</v>
      </c>
      <c r="R622" s="2" t="inlineStr"/>
    </row>
    <row r="623" ht="15" customHeight="1">
      <c r="A623" t="inlineStr">
        <is>
          <t>A 57371-2022</t>
        </is>
      </c>
      <c r="B623" s="1" t="n">
        <v>44896</v>
      </c>
      <c r="C623" s="1" t="n">
        <v>45353</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58076-2022</t>
        </is>
      </c>
      <c r="B624" s="1" t="n">
        <v>44900</v>
      </c>
      <c r="C624" s="1" t="n">
        <v>45353</v>
      </c>
      <c r="D624" t="inlineStr">
        <is>
          <t>VÄSTMANLANDS LÄN</t>
        </is>
      </c>
      <c r="E624" t="inlineStr">
        <is>
          <t>SALA</t>
        </is>
      </c>
      <c r="G624" t="n">
        <v>6.4</v>
      </c>
      <c r="H624" t="n">
        <v>0</v>
      </c>
      <c r="I624" t="n">
        <v>0</v>
      </c>
      <c r="J624" t="n">
        <v>0</v>
      </c>
      <c r="K624" t="n">
        <v>0</v>
      </c>
      <c r="L624" t="n">
        <v>0</v>
      </c>
      <c r="M624" t="n">
        <v>0</v>
      </c>
      <c r="N624" t="n">
        <v>0</v>
      </c>
      <c r="O624" t="n">
        <v>0</v>
      </c>
      <c r="P624" t="n">
        <v>0</v>
      </c>
      <c r="Q624" t="n">
        <v>0</v>
      </c>
      <c r="R624" s="2" t="inlineStr"/>
    </row>
    <row r="625" ht="15" customHeight="1">
      <c r="A625" t="inlineStr">
        <is>
          <t>A 58496-2022</t>
        </is>
      </c>
      <c r="B625" s="1" t="n">
        <v>44902</v>
      </c>
      <c r="C625" s="1" t="n">
        <v>45353</v>
      </c>
      <c r="D625" t="inlineStr">
        <is>
          <t>VÄSTMANLANDS LÄN</t>
        </is>
      </c>
      <c r="E625" t="inlineStr">
        <is>
          <t>SALA</t>
        </is>
      </c>
      <c r="G625" t="n">
        <v>5.9</v>
      </c>
      <c r="H625" t="n">
        <v>0</v>
      </c>
      <c r="I625" t="n">
        <v>0</v>
      </c>
      <c r="J625" t="n">
        <v>0</v>
      </c>
      <c r="K625" t="n">
        <v>0</v>
      </c>
      <c r="L625" t="n">
        <v>0</v>
      </c>
      <c r="M625" t="n">
        <v>0</v>
      </c>
      <c r="N625" t="n">
        <v>0</v>
      </c>
      <c r="O625" t="n">
        <v>0</v>
      </c>
      <c r="P625" t="n">
        <v>0</v>
      </c>
      <c r="Q625" t="n">
        <v>0</v>
      </c>
      <c r="R625" s="2" t="inlineStr"/>
    </row>
    <row r="626" ht="15" customHeight="1">
      <c r="A626" t="inlineStr">
        <is>
          <t>A 58502-2022</t>
        </is>
      </c>
      <c r="B626" s="1" t="n">
        <v>44902</v>
      </c>
      <c r="C626" s="1" t="n">
        <v>45353</v>
      </c>
      <c r="D626" t="inlineStr">
        <is>
          <t>VÄSTMANLANDS LÄN</t>
        </is>
      </c>
      <c r="E626" t="inlineStr">
        <is>
          <t>SALA</t>
        </is>
      </c>
      <c r="G626" t="n">
        <v>4.6</v>
      </c>
      <c r="H626" t="n">
        <v>0</v>
      </c>
      <c r="I626" t="n">
        <v>0</v>
      </c>
      <c r="J626" t="n">
        <v>0</v>
      </c>
      <c r="K626" t="n">
        <v>0</v>
      </c>
      <c r="L626" t="n">
        <v>0</v>
      </c>
      <c r="M626" t="n">
        <v>0</v>
      </c>
      <c r="N626" t="n">
        <v>0</v>
      </c>
      <c r="O626" t="n">
        <v>0</v>
      </c>
      <c r="P626" t="n">
        <v>0</v>
      </c>
      <c r="Q626" t="n">
        <v>0</v>
      </c>
      <c r="R626" s="2" t="inlineStr"/>
    </row>
    <row r="627" ht="15" customHeight="1">
      <c r="A627" t="inlineStr">
        <is>
          <t>A 59019-2022</t>
        </is>
      </c>
      <c r="B627" s="1" t="n">
        <v>44903</v>
      </c>
      <c r="C627" s="1" t="n">
        <v>45353</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59175-2022</t>
        </is>
      </c>
      <c r="B628" s="1" t="n">
        <v>44904</v>
      </c>
      <c r="C628" s="1" t="n">
        <v>45353</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59483-2022</t>
        </is>
      </c>
      <c r="B629" s="1" t="n">
        <v>44907</v>
      </c>
      <c r="C629" s="1" t="n">
        <v>45353</v>
      </c>
      <c r="D629" t="inlineStr">
        <is>
          <t>VÄSTMANLANDS LÄN</t>
        </is>
      </c>
      <c r="E629" t="inlineStr">
        <is>
          <t>SALA</t>
        </is>
      </c>
      <c r="G629" t="n">
        <v>5.2</v>
      </c>
      <c r="H629" t="n">
        <v>0</v>
      </c>
      <c r="I629" t="n">
        <v>0</v>
      </c>
      <c r="J629" t="n">
        <v>0</v>
      </c>
      <c r="K629" t="n">
        <v>0</v>
      </c>
      <c r="L629" t="n">
        <v>0</v>
      </c>
      <c r="M629" t="n">
        <v>0</v>
      </c>
      <c r="N629" t="n">
        <v>0</v>
      </c>
      <c r="O629" t="n">
        <v>0</v>
      </c>
      <c r="P629" t="n">
        <v>0</v>
      </c>
      <c r="Q629" t="n">
        <v>0</v>
      </c>
      <c r="R629" s="2" t="inlineStr"/>
    </row>
    <row r="630" ht="15" customHeight="1">
      <c r="A630" t="inlineStr">
        <is>
          <t>A 60156-2022</t>
        </is>
      </c>
      <c r="B630" s="1" t="n">
        <v>44909</v>
      </c>
      <c r="C630" s="1" t="n">
        <v>45353</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60379-2022</t>
        </is>
      </c>
      <c r="B631" s="1" t="n">
        <v>44910</v>
      </c>
      <c r="C631" s="1" t="n">
        <v>45353</v>
      </c>
      <c r="D631" t="inlineStr">
        <is>
          <t>VÄSTMANLANDS LÄN</t>
        </is>
      </c>
      <c r="E631" t="inlineStr">
        <is>
          <t>SALA</t>
        </is>
      </c>
      <c r="F631" t="inlineStr">
        <is>
          <t>Kyrkan</t>
        </is>
      </c>
      <c r="G631" t="n">
        <v>2.5</v>
      </c>
      <c r="H631" t="n">
        <v>0</v>
      </c>
      <c r="I631" t="n">
        <v>0</v>
      </c>
      <c r="J631" t="n">
        <v>0</v>
      </c>
      <c r="K631" t="n">
        <v>0</v>
      </c>
      <c r="L631" t="n">
        <v>0</v>
      </c>
      <c r="M631" t="n">
        <v>0</v>
      </c>
      <c r="N631" t="n">
        <v>0</v>
      </c>
      <c r="O631" t="n">
        <v>0</v>
      </c>
      <c r="P631" t="n">
        <v>0</v>
      </c>
      <c r="Q631" t="n">
        <v>0</v>
      </c>
      <c r="R631" s="2" t="inlineStr"/>
    </row>
    <row r="632" ht="15" customHeight="1">
      <c r="A632" t="inlineStr">
        <is>
          <t>A 60703-2022</t>
        </is>
      </c>
      <c r="B632" s="1" t="n">
        <v>44912</v>
      </c>
      <c r="C632" s="1" t="n">
        <v>45353</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60974-2022</t>
        </is>
      </c>
      <c r="B633" s="1" t="n">
        <v>44914</v>
      </c>
      <c r="C633" s="1" t="n">
        <v>45353</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62635-2022</t>
        </is>
      </c>
      <c r="B634" s="1" t="n">
        <v>44917</v>
      </c>
      <c r="C634" s="1" t="n">
        <v>45353</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62654-2022</t>
        </is>
      </c>
      <c r="B635" s="1" t="n">
        <v>44917</v>
      </c>
      <c r="C635" s="1" t="n">
        <v>45353</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62651-2022</t>
        </is>
      </c>
      <c r="B636" s="1" t="n">
        <v>44917</v>
      </c>
      <c r="C636" s="1" t="n">
        <v>45353</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62648-2022</t>
        </is>
      </c>
      <c r="B637" s="1" t="n">
        <v>44917</v>
      </c>
      <c r="C637" s="1" t="n">
        <v>45353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61985-2022</t>
        </is>
      </c>
      <c r="B638" s="1" t="n">
        <v>44918</v>
      </c>
      <c r="C638" s="1" t="n">
        <v>45353</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62292-2022</t>
        </is>
      </c>
      <c r="B639" s="1" t="n">
        <v>44923</v>
      </c>
      <c r="C639" s="1" t="n">
        <v>45353</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62300-2022</t>
        </is>
      </c>
      <c r="B640" s="1" t="n">
        <v>44923</v>
      </c>
      <c r="C640" s="1" t="n">
        <v>45353</v>
      </c>
      <c r="D640" t="inlineStr">
        <is>
          <t>VÄSTMANLANDS LÄN</t>
        </is>
      </c>
      <c r="E640" t="inlineStr">
        <is>
          <t>SALA</t>
        </is>
      </c>
      <c r="G640" t="n">
        <v>1.9</v>
      </c>
      <c r="H640" t="n">
        <v>0</v>
      </c>
      <c r="I640" t="n">
        <v>0</v>
      </c>
      <c r="J640" t="n">
        <v>0</v>
      </c>
      <c r="K640" t="n">
        <v>0</v>
      </c>
      <c r="L640" t="n">
        <v>0</v>
      </c>
      <c r="M640" t="n">
        <v>0</v>
      </c>
      <c r="N640" t="n">
        <v>0</v>
      </c>
      <c r="O640" t="n">
        <v>0</v>
      </c>
      <c r="P640" t="n">
        <v>0</v>
      </c>
      <c r="Q640" t="n">
        <v>0</v>
      </c>
      <c r="R640" s="2" t="inlineStr"/>
    </row>
    <row r="641" ht="15" customHeight="1">
      <c r="A641" t="inlineStr">
        <is>
          <t>A 1196-2023</t>
        </is>
      </c>
      <c r="B641" s="1" t="n">
        <v>44935</v>
      </c>
      <c r="C641" s="1" t="n">
        <v>45353</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1638-2023</t>
        </is>
      </c>
      <c r="B642" s="1" t="n">
        <v>44937</v>
      </c>
      <c r="C642" s="1" t="n">
        <v>45353</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1793-2023</t>
        </is>
      </c>
      <c r="B643" s="1" t="n">
        <v>44937</v>
      </c>
      <c r="C643" s="1" t="n">
        <v>45353</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1934-2023</t>
        </is>
      </c>
      <c r="B644" s="1" t="n">
        <v>44939</v>
      </c>
      <c r="C644" s="1" t="n">
        <v>45353</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1967-2023</t>
        </is>
      </c>
      <c r="B645" s="1" t="n">
        <v>44939</v>
      </c>
      <c r="C645" s="1" t="n">
        <v>45353</v>
      </c>
      <c r="D645" t="inlineStr">
        <is>
          <t>VÄSTMANLANDS LÄN</t>
        </is>
      </c>
      <c r="E645" t="inlineStr">
        <is>
          <t>SALA</t>
        </is>
      </c>
      <c r="G645" t="n">
        <v>4.1</v>
      </c>
      <c r="H645" t="n">
        <v>0</v>
      </c>
      <c r="I645" t="n">
        <v>0</v>
      </c>
      <c r="J645" t="n">
        <v>0</v>
      </c>
      <c r="K645" t="n">
        <v>0</v>
      </c>
      <c r="L645" t="n">
        <v>0</v>
      </c>
      <c r="M645" t="n">
        <v>0</v>
      </c>
      <c r="N645" t="n">
        <v>0</v>
      </c>
      <c r="O645" t="n">
        <v>0</v>
      </c>
      <c r="P645" t="n">
        <v>0</v>
      </c>
      <c r="Q645" t="n">
        <v>0</v>
      </c>
      <c r="R645" s="2" t="inlineStr"/>
    </row>
    <row r="646" ht="15" customHeight="1">
      <c r="A646" t="inlineStr">
        <is>
          <t>A 2521-2023</t>
        </is>
      </c>
      <c r="B646" s="1" t="n">
        <v>44943</v>
      </c>
      <c r="C646" s="1" t="n">
        <v>45353</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2900-2023</t>
        </is>
      </c>
      <c r="B647" s="1" t="n">
        <v>44943</v>
      </c>
      <c r="C647" s="1" t="n">
        <v>45353</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3733-2023</t>
        </is>
      </c>
      <c r="B648" s="1" t="n">
        <v>44951</v>
      </c>
      <c r="C648" s="1" t="n">
        <v>45353</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3810-2023</t>
        </is>
      </c>
      <c r="B649" s="1" t="n">
        <v>44951</v>
      </c>
      <c r="C649" s="1" t="n">
        <v>45353</v>
      </c>
      <c r="D649" t="inlineStr">
        <is>
          <t>VÄSTMANLANDS LÄN</t>
        </is>
      </c>
      <c r="E649" t="inlineStr">
        <is>
          <t>SALA</t>
        </is>
      </c>
      <c r="G649" t="n">
        <v>4.2</v>
      </c>
      <c r="H649" t="n">
        <v>0</v>
      </c>
      <c r="I649" t="n">
        <v>0</v>
      </c>
      <c r="J649" t="n">
        <v>0</v>
      </c>
      <c r="K649" t="n">
        <v>0</v>
      </c>
      <c r="L649" t="n">
        <v>0</v>
      </c>
      <c r="M649" t="n">
        <v>0</v>
      </c>
      <c r="N649" t="n">
        <v>0</v>
      </c>
      <c r="O649" t="n">
        <v>0</v>
      </c>
      <c r="P649" t="n">
        <v>0</v>
      </c>
      <c r="Q649" t="n">
        <v>0</v>
      </c>
      <c r="R649" s="2" t="inlineStr"/>
    </row>
    <row r="650" ht="15" customHeight="1">
      <c r="A650" t="inlineStr">
        <is>
          <t>A 3866-2023</t>
        </is>
      </c>
      <c r="B650" s="1" t="n">
        <v>44951</v>
      </c>
      <c r="C650" s="1" t="n">
        <v>45353</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4853-2023</t>
        </is>
      </c>
      <c r="B651" s="1" t="n">
        <v>44957</v>
      </c>
      <c r="C651" s="1" t="n">
        <v>45353</v>
      </c>
      <c r="D651" t="inlineStr">
        <is>
          <t>VÄSTMANLANDS LÄN</t>
        </is>
      </c>
      <c r="E651" t="inlineStr">
        <is>
          <t>SALA</t>
        </is>
      </c>
      <c r="G651" t="n">
        <v>2.7</v>
      </c>
      <c r="H651" t="n">
        <v>0</v>
      </c>
      <c r="I651" t="n">
        <v>0</v>
      </c>
      <c r="J651" t="n">
        <v>0</v>
      </c>
      <c r="K651" t="n">
        <v>0</v>
      </c>
      <c r="L651" t="n">
        <v>0</v>
      </c>
      <c r="M651" t="n">
        <v>0</v>
      </c>
      <c r="N651" t="n">
        <v>0</v>
      </c>
      <c r="O651" t="n">
        <v>0</v>
      </c>
      <c r="P651" t="n">
        <v>0</v>
      </c>
      <c r="Q651" t="n">
        <v>0</v>
      </c>
      <c r="R651" s="2" t="inlineStr"/>
    </row>
    <row r="652" ht="15" customHeight="1">
      <c r="A652" t="inlineStr">
        <is>
          <t>A 4637-2023</t>
        </is>
      </c>
      <c r="B652" s="1" t="n">
        <v>44957</v>
      </c>
      <c r="C652" s="1" t="n">
        <v>45353</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4791-2023</t>
        </is>
      </c>
      <c r="B653" s="1" t="n">
        <v>44957</v>
      </c>
      <c r="C653" s="1" t="n">
        <v>45353</v>
      </c>
      <c r="D653" t="inlineStr">
        <is>
          <t>VÄSTMANLANDS LÄN</t>
        </is>
      </c>
      <c r="E653" t="inlineStr">
        <is>
          <t>SALA</t>
        </is>
      </c>
      <c r="G653" t="n">
        <v>2.8</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45353</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v>
      </c>
      <c r="C655" s="1" t="n">
        <v>45353</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5782-2023</t>
        </is>
      </c>
      <c r="B656" s="1" t="n">
        <v>44963</v>
      </c>
      <c r="C656" s="1" t="n">
        <v>45353</v>
      </c>
      <c r="D656" t="inlineStr">
        <is>
          <t>VÄSTMANLANDS LÄN</t>
        </is>
      </c>
      <c r="E656" t="inlineStr">
        <is>
          <t>SALA</t>
        </is>
      </c>
      <c r="G656" t="n">
        <v>4.2</v>
      </c>
      <c r="H656" t="n">
        <v>0</v>
      </c>
      <c r="I656" t="n">
        <v>0</v>
      </c>
      <c r="J656" t="n">
        <v>0</v>
      </c>
      <c r="K656" t="n">
        <v>0</v>
      </c>
      <c r="L656" t="n">
        <v>0</v>
      </c>
      <c r="M656" t="n">
        <v>0</v>
      </c>
      <c r="N656" t="n">
        <v>0</v>
      </c>
      <c r="O656" t="n">
        <v>0</v>
      </c>
      <c r="P656" t="n">
        <v>0</v>
      </c>
      <c r="Q656" t="n">
        <v>0</v>
      </c>
      <c r="R656" s="2" t="inlineStr"/>
    </row>
    <row r="657" ht="15" customHeight="1">
      <c r="A657" t="inlineStr">
        <is>
          <t>A 6111-2023</t>
        </is>
      </c>
      <c r="B657" s="1" t="n">
        <v>44964</v>
      </c>
      <c r="C657" s="1" t="n">
        <v>45353</v>
      </c>
      <c r="D657" t="inlineStr">
        <is>
          <t>VÄSTMANLANDS LÄN</t>
        </is>
      </c>
      <c r="E657" t="inlineStr">
        <is>
          <t>SALA</t>
        </is>
      </c>
      <c r="G657" t="n">
        <v>3.7</v>
      </c>
      <c r="H657" t="n">
        <v>0</v>
      </c>
      <c r="I657" t="n">
        <v>0</v>
      </c>
      <c r="J657" t="n">
        <v>0</v>
      </c>
      <c r="K657" t="n">
        <v>0</v>
      </c>
      <c r="L657" t="n">
        <v>0</v>
      </c>
      <c r="M657" t="n">
        <v>0</v>
      </c>
      <c r="N657" t="n">
        <v>0</v>
      </c>
      <c r="O657" t="n">
        <v>0</v>
      </c>
      <c r="P657" t="n">
        <v>0</v>
      </c>
      <c r="Q657" t="n">
        <v>0</v>
      </c>
      <c r="R657" s="2" t="inlineStr"/>
    </row>
    <row r="658" ht="15" customHeight="1">
      <c r="A658" t="inlineStr">
        <is>
          <t>A 6135-2023</t>
        </is>
      </c>
      <c r="B658" s="1" t="n">
        <v>44964</v>
      </c>
      <c r="C658" s="1" t="n">
        <v>45353</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6167-2023</t>
        </is>
      </c>
      <c r="B659" s="1" t="n">
        <v>44964</v>
      </c>
      <c r="C659" s="1" t="n">
        <v>45353</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6130-2023</t>
        </is>
      </c>
      <c r="B660" s="1" t="n">
        <v>44964</v>
      </c>
      <c r="C660" s="1" t="n">
        <v>45353</v>
      </c>
      <c r="D660" t="inlineStr">
        <is>
          <t>VÄSTMANLANDS LÄN</t>
        </is>
      </c>
      <c r="E660" t="inlineStr">
        <is>
          <t>SALA</t>
        </is>
      </c>
      <c r="G660" t="n">
        <v>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45353</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6139-2023</t>
        </is>
      </c>
      <c r="B662" s="1" t="n">
        <v>44964</v>
      </c>
      <c r="C662" s="1" t="n">
        <v>45353</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6869-2023</t>
        </is>
      </c>
      <c r="B663" s="1" t="n">
        <v>44964</v>
      </c>
      <c r="C663" s="1" t="n">
        <v>45353</v>
      </c>
      <c r="D663" t="inlineStr">
        <is>
          <t>VÄSTMANLANDS LÄN</t>
        </is>
      </c>
      <c r="E663" t="inlineStr">
        <is>
          <t>SALA</t>
        </is>
      </c>
      <c r="G663" t="n">
        <v>11.6</v>
      </c>
      <c r="H663" t="n">
        <v>0</v>
      </c>
      <c r="I663" t="n">
        <v>0</v>
      </c>
      <c r="J663" t="n">
        <v>0</v>
      </c>
      <c r="K663" t="n">
        <v>0</v>
      </c>
      <c r="L663" t="n">
        <v>0</v>
      </c>
      <c r="M663" t="n">
        <v>0</v>
      </c>
      <c r="N663" t="n">
        <v>0</v>
      </c>
      <c r="O663" t="n">
        <v>0</v>
      </c>
      <c r="P663" t="n">
        <v>0</v>
      </c>
      <c r="Q663" t="n">
        <v>0</v>
      </c>
      <c r="R663" s="2" t="inlineStr"/>
    </row>
    <row r="664" ht="15" customHeight="1">
      <c r="A664" t="inlineStr">
        <is>
          <t>A 6351-2023</t>
        </is>
      </c>
      <c r="B664" s="1" t="n">
        <v>44965</v>
      </c>
      <c r="C664" s="1" t="n">
        <v>45353</v>
      </c>
      <c r="D664" t="inlineStr">
        <is>
          <t>VÄSTMANLANDS LÄN</t>
        </is>
      </c>
      <c r="E664" t="inlineStr">
        <is>
          <t>SALA</t>
        </is>
      </c>
      <c r="F664" t="inlineStr">
        <is>
          <t>Kommuner</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6851-2023</t>
        </is>
      </c>
      <c r="B665" s="1" t="n">
        <v>44967</v>
      </c>
      <c r="C665" s="1" t="n">
        <v>45353</v>
      </c>
      <c r="D665" t="inlineStr">
        <is>
          <t>VÄSTMANLANDS LÄN</t>
        </is>
      </c>
      <c r="E665" t="inlineStr">
        <is>
          <t>SALA</t>
        </is>
      </c>
      <c r="G665" t="n">
        <v>2.7</v>
      </c>
      <c r="H665" t="n">
        <v>0</v>
      </c>
      <c r="I665" t="n">
        <v>0</v>
      </c>
      <c r="J665" t="n">
        <v>0</v>
      </c>
      <c r="K665" t="n">
        <v>0</v>
      </c>
      <c r="L665" t="n">
        <v>0</v>
      </c>
      <c r="M665" t="n">
        <v>0</v>
      </c>
      <c r="N665" t="n">
        <v>0</v>
      </c>
      <c r="O665" t="n">
        <v>0</v>
      </c>
      <c r="P665" t="n">
        <v>0</v>
      </c>
      <c r="Q665" t="n">
        <v>0</v>
      </c>
      <c r="R665" s="2" t="inlineStr"/>
    </row>
    <row r="666" ht="15" customHeight="1">
      <c r="A666" t="inlineStr">
        <is>
          <t>A 7176-2023</t>
        </is>
      </c>
      <c r="B666" s="1" t="n">
        <v>44970</v>
      </c>
      <c r="C666" s="1" t="n">
        <v>45353</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7193-2023</t>
        </is>
      </c>
      <c r="B667" s="1" t="n">
        <v>44970</v>
      </c>
      <c r="C667" s="1" t="n">
        <v>45353</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7954-2023</t>
        </is>
      </c>
      <c r="B668" s="1" t="n">
        <v>44970</v>
      </c>
      <c r="C668" s="1" t="n">
        <v>45353</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7377-2023</t>
        </is>
      </c>
      <c r="B669" s="1" t="n">
        <v>44971</v>
      </c>
      <c r="C669" s="1" t="n">
        <v>45353</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7351-2023</t>
        </is>
      </c>
      <c r="B670" s="1" t="n">
        <v>44971</v>
      </c>
      <c r="C670" s="1" t="n">
        <v>45353</v>
      </c>
      <c r="D670" t="inlineStr">
        <is>
          <t>VÄSTMANLANDS LÄN</t>
        </is>
      </c>
      <c r="E670" t="inlineStr">
        <is>
          <t>SALA</t>
        </is>
      </c>
      <c r="G670" t="n">
        <v>2.3</v>
      </c>
      <c r="H670" t="n">
        <v>0</v>
      </c>
      <c r="I670" t="n">
        <v>0</v>
      </c>
      <c r="J670" t="n">
        <v>0</v>
      </c>
      <c r="K670" t="n">
        <v>0</v>
      </c>
      <c r="L670" t="n">
        <v>0</v>
      </c>
      <c r="M670" t="n">
        <v>0</v>
      </c>
      <c r="N670" t="n">
        <v>0</v>
      </c>
      <c r="O670" t="n">
        <v>0</v>
      </c>
      <c r="P670" t="n">
        <v>0</v>
      </c>
      <c r="Q670" t="n">
        <v>0</v>
      </c>
      <c r="R670" s="2" t="inlineStr"/>
    </row>
    <row r="671" ht="15" customHeight="1">
      <c r="A671" t="inlineStr">
        <is>
          <t>A 7502-2023</t>
        </is>
      </c>
      <c r="B671" s="1" t="n">
        <v>44971</v>
      </c>
      <c r="C671" s="1" t="n">
        <v>45353</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7664-2023</t>
        </is>
      </c>
      <c r="B672" s="1" t="n">
        <v>44972</v>
      </c>
      <c r="C672" s="1" t="n">
        <v>45353</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7635-2023</t>
        </is>
      </c>
      <c r="B673" s="1" t="n">
        <v>44972</v>
      </c>
      <c r="C673" s="1" t="n">
        <v>45353</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7772-2023</t>
        </is>
      </c>
      <c r="B674" s="1" t="n">
        <v>44973</v>
      </c>
      <c r="C674" s="1" t="n">
        <v>45353</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7813-2023</t>
        </is>
      </c>
      <c r="B675" s="1" t="n">
        <v>44973</v>
      </c>
      <c r="C675" s="1" t="n">
        <v>45353</v>
      </c>
      <c r="D675" t="inlineStr">
        <is>
          <t>VÄSTMANLANDS LÄN</t>
        </is>
      </c>
      <c r="E675" t="inlineStr">
        <is>
          <t>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7747-2023</t>
        </is>
      </c>
      <c r="B676" s="1" t="n">
        <v>44973</v>
      </c>
      <c r="C676" s="1" t="n">
        <v>45353</v>
      </c>
      <c r="D676" t="inlineStr">
        <is>
          <t>VÄSTMANLANDS LÄN</t>
        </is>
      </c>
      <c r="E676" t="inlineStr">
        <is>
          <t>SALA</t>
        </is>
      </c>
      <c r="F676" t="inlineStr">
        <is>
          <t>Övriga Aktiebolag</t>
        </is>
      </c>
      <c r="G676" t="n">
        <v>3.1</v>
      </c>
      <c r="H676" t="n">
        <v>0</v>
      </c>
      <c r="I676" t="n">
        <v>0</v>
      </c>
      <c r="J676" t="n">
        <v>0</v>
      </c>
      <c r="K676" t="n">
        <v>0</v>
      </c>
      <c r="L676" t="n">
        <v>0</v>
      </c>
      <c r="M676" t="n">
        <v>0</v>
      </c>
      <c r="N676" t="n">
        <v>0</v>
      </c>
      <c r="O676" t="n">
        <v>0</v>
      </c>
      <c r="P676" t="n">
        <v>0</v>
      </c>
      <c r="Q676" t="n">
        <v>0</v>
      </c>
      <c r="R676" s="2" t="inlineStr"/>
    </row>
    <row r="677" ht="15" customHeight="1">
      <c r="A677" t="inlineStr">
        <is>
          <t>A 8047-2023</t>
        </is>
      </c>
      <c r="B677" s="1" t="n">
        <v>44974</v>
      </c>
      <c r="C677" s="1" t="n">
        <v>45353</v>
      </c>
      <c r="D677" t="inlineStr">
        <is>
          <t>VÄSTMANLANDS LÄN</t>
        </is>
      </c>
      <c r="E677" t="inlineStr">
        <is>
          <t>SALA</t>
        </is>
      </c>
      <c r="G677" t="n">
        <v>17.4</v>
      </c>
      <c r="H677" t="n">
        <v>0</v>
      </c>
      <c r="I677" t="n">
        <v>0</v>
      </c>
      <c r="J677" t="n">
        <v>0</v>
      </c>
      <c r="K677" t="n">
        <v>0</v>
      </c>
      <c r="L677" t="n">
        <v>0</v>
      </c>
      <c r="M677" t="n">
        <v>0</v>
      </c>
      <c r="N677" t="n">
        <v>0</v>
      </c>
      <c r="O677" t="n">
        <v>0</v>
      </c>
      <c r="P677" t="n">
        <v>0</v>
      </c>
      <c r="Q677" t="n">
        <v>0</v>
      </c>
      <c r="R677" s="2" t="inlineStr"/>
    </row>
    <row r="678" ht="15" customHeight="1">
      <c r="A678" t="inlineStr">
        <is>
          <t>A 8766-2023</t>
        </is>
      </c>
      <c r="B678" s="1" t="n">
        <v>44978</v>
      </c>
      <c r="C678" s="1" t="n">
        <v>45353</v>
      </c>
      <c r="D678" t="inlineStr">
        <is>
          <t>VÄSTMANLANDS LÄN</t>
        </is>
      </c>
      <c r="E678" t="inlineStr">
        <is>
          <t>SALA</t>
        </is>
      </c>
      <c r="G678" t="n">
        <v>1.2</v>
      </c>
      <c r="H678" t="n">
        <v>0</v>
      </c>
      <c r="I678" t="n">
        <v>0</v>
      </c>
      <c r="J678" t="n">
        <v>0</v>
      </c>
      <c r="K678" t="n">
        <v>0</v>
      </c>
      <c r="L678" t="n">
        <v>0</v>
      </c>
      <c r="M678" t="n">
        <v>0</v>
      </c>
      <c r="N678" t="n">
        <v>0</v>
      </c>
      <c r="O678" t="n">
        <v>0</v>
      </c>
      <c r="P678" t="n">
        <v>0</v>
      </c>
      <c r="Q678" t="n">
        <v>0</v>
      </c>
      <c r="R678" s="2" t="inlineStr"/>
    </row>
    <row r="679" ht="15" customHeight="1">
      <c r="A679" t="inlineStr">
        <is>
          <t>A 9051-2023</t>
        </is>
      </c>
      <c r="B679" s="1" t="n">
        <v>44979</v>
      </c>
      <c r="C679" s="1" t="n">
        <v>45353</v>
      </c>
      <c r="D679" t="inlineStr">
        <is>
          <t>VÄSTMANLANDS LÄN</t>
        </is>
      </c>
      <c r="E679" t="inlineStr">
        <is>
          <t>SALA</t>
        </is>
      </c>
      <c r="G679" t="n">
        <v>4.1</v>
      </c>
      <c r="H679" t="n">
        <v>0</v>
      </c>
      <c r="I679" t="n">
        <v>0</v>
      </c>
      <c r="J679" t="n">
        <v>0</v>
      </c>
      <c r="K679" t="n">
        <v>0</v>
      </c>
      <c r="L679" t="n">
        <v>0</v>
      </c>
      <c r="M679" t="n">
        <v>0</v>
      </c>
      <c r="N679" t="n">
        <v>0</v>
      </c>
      <c r="O679" t="n">
        <v>0</v>
      </c>
      <c r="P679" t="n">
        <v>0</v>
      </c>
      <c r="Q679" t="n">
        <v>0</v>
      </c>
      <c r="R679" s="2" t="inlineStr"/>
    </row>
    <row r="680" ht="15" customHeight="1">
      <c r="A680" t="inlineStr">
        <is>
          <t>A 11190-2023</t>
        </is>
      </c>
      <c r="B680" s="1" t="n">
        <v>44992</v>
      </c>
      <c r="C680" s="1" t="n">
        <v>45353</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11166-2023</t>
        </is>
      </c>
      <c r="B681" s="1" t="n">
        <v>44992</v>
      </c>
      <c r="C681" s="1" t="n">
        <v>45353</v>
      </c>
      <c r="D681" t="inlineStr">
        <is>
          <t>VÄSTMANLANDS LÄN</t>
        </is>
      </c>
      <c r="E681" t="inlineStr">
        <is>
          <t>SALA</t>
        </is>
      </c>
      <c r="G681" t="n">
        <v>3.9</v>
      </c>
      <c r="H681" t="n">
        <v>0</v>
      </c>
      <c r="I681" t="n">
        <v>0</v>
      </c>
      <c r="J681" t="n">
        <v>0</v>
      </c>
      <c r="K681" t="n">
        <v>0</v>
      </c>
      <c r="L681" t="n">
        <v>0</v>
      </c>
      <c r="M681" t="n">
        <v>0</v>
      </c>
      <c r="N681" t="n">
        <v>0</v>
      </c>
      <c r="O681" t="n">
        <v>0</v>
      </c>
      <c r="P681" t="n">
        <v>0</v>
      </c>
      <c r="Q681" t="n">
        <v>0</v>
      </c>
      <c r="R681" s="2" t="inlineStr"/>
    </row>
    <row r="682" ht="15" customHeight="1">
      <c r="A682" t="inlineStr">
        <is>
          <t>A 11183-2023</t>
        </is>
      </c>
      <c r="B682" s="1" t="n">
        <v>44992</v>
      </c>
      <c r="C682" s="1" t="n">
        <v>45353</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11631-2023</t>
        </is>
      </c>
      <c r="B683" s="1" t="n">
        <v>44994</v>
      </c>
      <c r="C683" s="1" t="n">
        <v>45353</v>
      </c>
      <c r="D683" t="inlineStr">
        <is>
          <t>VÄSTMANLANDS LÄN</t>
        </is>
      </c>
      <c r="E683" t="inlineStr">
        <is>
          <t>SALA</t>
        </is>
      </c>
      <c r="F683" t="inlineStr">
        <is>
          <t>Kommuner</t>
        </is>
      </c>
      <c r="G683" t="n">
        <v>1.9</v>
      </c>
      <c r="H683" t="n">
        <v>0</v>
      </c>
      <c r="I683" t="n">
        <v>0</v>
      </c>
      <c r="J683" t="n">
        <v>0</v>
      </c>
      <c r="K683" t="n">
        <v>0</v>
      </c>
      <c r="L683" t="n">
        <v>0</v>
      </c>
      <c r="M683" t="n">
        <v>0</v>
      </c>
      <c r="N683" t="n">
        <v>0</v>
      </c>
      <c r="O683" t="n">
        <v>0</v>
      </c>
      <c r="P683" t="n">
        <v>0</v>
      </c>
      <c r="Q683" t="n">
        <v>0</v>
      </c>
      <c r="R683" s="2" t="inlineStr"/>
    </row>
    <row r="684" ht="15" customHeight="1">
      <c r="A684" t="inlineStr">
        <is>
          <t>A 12231-2023</t>
        </is>
      </c>
      <c r="B684" s="1" t="n">
        <v>44995</v>
      </c>
      <c r="C684" s="1" t="n">
        <v>45353</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12246-2023</t>
        </is>
      </c>
      <c r="B685" s="1" t="n">
        <v>44995</v>
      </c>
      <c r="C685" s="1" t="n">
        <v>45353</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12272-2023</t>
        </is>
      </c>
      <c r="B686" s="1" t="n">
        <v>44995</v>
      </c>
      <c r="C686" s="1" t="n">
        <v>45353</v>
      </c>
      <c r="D686" t="inlineStr">
        <is>
          <t>VÄSTMANLANDS LÄN</t>
        </is>
      </c>
      <c r="E686" t="inlineStr">
        <is>
          <t>SALA</t>
        </is>
      </c>
      <c r="G686" t="n">
        <v>5.2</v>
      </c>
      <c r="H686" t="n">
        <v>0</v>
      </c>
      <c r="I686" t="n">
        <v>0</v>
      </c>
      <c r="J686" t="n">
        <v>0</v>
      </c>
      <c r="K686" t="n">
        <v>0</v>
      </c>
      <c r="L686" t="n">
        <v>0</v>
      </c>
      <c r="M686" t="n">
        <v>0</v>
      </c>
      <c r="N686" t="n">
        <v>0</v>
      </c>
      <c r="O686" t="n">
        <v>0</v>
      </c>
      <c r="P686" t="n">
        <v>0</v>
      </c>
      <c r="Q686" t="n">
        <v>0</v>
      </c>
      <c r="R686" s="2" t="inlineStr"/>
    </row>
    <row r="687" ht="15" customHeight="1">
      <c r="A687" t="inlineStr">
        <is>
          <t>A 12242-2023</t>
        </is>
      </c>
      <c r="B687" s="1" t="n">
        <v>44995</v>
      </c>
      <c r="C687" s="1" t="n">
        <v>45353</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12252-2023</t>
        </is>
      </c>
      <c r="B688" s="1" t="n">
        <v>44995</v>
      </c>
      <c r="C688" s="1" t="n">
        <v>45353</v>
      </c>
      <c r="D688" t="inlineStr">
        <is>
          <t>VÄSTMANLANDS LÄN</t>
        </is>
      </c>
      <c r="E688" t="inlineStr">
        <is>
          <t>SALA</t>
        </is>
      </c>
      <c r="G688" t="n">
        <v>2.6</v>
      </c>
      <c r="H688" t="n">
        <v>0</v>
      </c>
      <c r="I688" t="n">
        <v>0</v>
      </c>
      <c r="J688" t="n">
        <v>0</v>
      </c>
      <c r="K688" t="n">
        <v>0</v>
      </c>
      <c r="L688" t="n">
        <v>0</v>
      </c>
      <c r="M688" t="n">
        <v>0</v>
      </c>
      <c r="N688" t="n">
        <v>0</v>
      </c>
      <c r="O688" t="n">
        <v>0</v>
      </c>
      <c r="P688" t="n">
        <v>0</v>
      </c>
      <c r="Q688" t="n">
        <v>0</v>
      </c>
      <c r="R688" s="2" t="inlineStr"/>
    </row>
    <row r="689" ht="15" customHeight="1">
      <c r="A689" t="inlineStr">
        <is>
          <t>A 12225-2023</t>
        </is>
      </c>
      <c r="B689" s="1" t="n">
        <v>44995</v>
      </c>
      <c r="C689" s="1" t="n">
        <v>45353</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12509-2023</t>
        </is>
      </c>
      <c r="B690" s="1" t="n">
        <v>45000</v>
      </c>
      <c r="C690" s="1" t="n">
        <v>45353</v>
      </c>
      <c r="D690" t="inlineStr">
        <is>
          <t>VÄSTMANLANDS LÄN</t>
        </is>
      </c>
      <c r="E690" t="inlineStr">
        <is>
          <t>SALA</t>
        </is>
      </c>
      <c r="G690" t="n">
        <v>13.9</v>
      </c>
      <c r="H690" t="n">
        <v>0</v>
      </c>
      <c r="I690" t="n">
        <v>0</v>
      </c>
      <c r="J690" t="n">
        <v>0</v>
      </c>
      <c r="K690" t="n">
        <v>0</v>
      </c>
      <c r="L690" t="n">
        <v>0</v>
      </c>
      <c r="M690" t="n">
        <v>0</v>
      </c>
      <c r="N690" t="n">
        <v>0</v>
      </c>
      <c r="O690" t="n">
        <v>0</v>
      </c>
      <c r="P690" t="n">
        <v>0</v>
      </c>
      <c r="Q690" t="n">
        <v>0</v>
      </c>
      <c r="R690" s="2" t="inlineStr"/>
    </row>
    <row r="691" ht="15" customHeight="1">
      <c r="A691" t="inlineStr">
        <is>
          <t>A 12510-2023</t>
        </is>
      </c>
      <c r="B691" s="1" t="n">
        <v>45000</v>
      </c>
      <c r="C691" s="1" t="n">
        <v>45353</v>
      </c>
      <c r="D691" t="inlineStr">
        <is>
          <t>VÄSTMANLANDS LÄN</t>
        </is>
      </c>
      <c r="E691" t="inlineStr">
        <is>
          <t>SALA</t>
        </is>
      </c>
      <c r="G691" t="n">
        <v>3.1</v>
      </c>
      <c r="H691" t="n">
        <v>0</v>
      </c>
      <c r="I691" t="n">
        <v>0</v>
      </c>
      <c r="J691" t="n">
        <v>0</v>
      </c>
      <c r="K691" t="n">
        <v>0</v>
      </c>
      <c r="L691" t="n">
        <v>0</v>
      </c>
      <c r="M691" t="n">
        <v>0</v>
      </c>
      <c r="N691" t="n">
        <v>0</v>
      </c>
      <c r="O691" t="n">
        <v>0</v>
      </c>
      <c r="P691" t="n">
        <v>0</v>
      </c>
      <c r="Q691" t="n">
        <v>0</v>
      </c>
      <c r="R691" s="2" t="inlineStr"/>
    </row>
    <row r="692" ht="15" customHeight="1">
      <c r="A692" t="inlineStr">
        <is>
          <t>A 13146-2023</t>
        </is>
      </c>
      <c r="B692" s="1" t="n">
        <v>45002</v>
      </c>
      <c r="C692" s="1" t="n">
        <v>45353</v>
      </c>
      <c r="D692" t="inlineStr">
        <is>
          <t>VÄSTMANLANDS LÄN</t>
        </is>
      </c>
      <c r="E692" t="inlineStr">
        <is>
          <t>SALA</t>
        </is>
      </c>
      <c r="G692" t="n">
        <v>2.5</v>
      </c>
      <c r="H692" t="n">
        <v>0</v>
      </c>
      <c r="I692" t="n">
        <v>0</v>
      </c>
      <c r="J692" t="n">
        <v>0</v>
      </c>
      <c r="K692" t="n">
        <v>0</v>
      </c>
      <c r="L692" t="n">
        <v>0</v>
      </c>
      <c r="M692" t="n">
        <v>0</v>
      </c>
      <c r="N692" t="n">
        <v>0</v>
      </c>
      <c r="O692" t="n">
        <v>0</v>
      </c>
      <c r="P692" t="n">
        <v>0</v>
      </c>
      <c r="Q692" t="n">
        <v>0</v>
      </c>
      <c r="R692" s="2" t="inlineStr"/>
    </row>
    <row r="693" ht="15" customHeight="1">
      <c r="A693" t="inlineStr">
        <is>
          <t>A 13022-2023</t>
        </is>
      </c>
      <c r="B693" s="1" t="n">
        <v>45002</v>
      </c>
      <c r="C693" s="1" t="n">
        <v>45353</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13151-2023</t>
        </is>
      </c>
      <c r="B694" s="1" t="n">
        <v>45002</v>
      </c>
      <c r="C694" s="1" t="n">
        <v>45353</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13128-2023</t>
        </is>
      </c>
      <c r="B695" s="1" t="n">
        <v>45002</v>
      </c>
      <c r="C695" s="1" t="n">
        <v>45353</v>
      </c>
      <c r="D695" t="inlineStr">
        <is>
          <t>VÄSTMANLANDS LÄN</t>
        </is>
      </c>
      <c r="E695" t="inlineStr">
        <is>
          <t>SALA</t>
        </is>
      </c>
      <c r="G695" t="n">
        <v>7.9</v>
      </c>
      <c r="H695" t="n">
        <v>0</v>
      </c>
      <c r="I695" t="n">
        <v>0</v>
      </c>
      <c r="J695" t="n">
        <v>0</v>
      </c>
      <c r="K695" t="n">
        <v>0</v>
      </c>
      <c r="L695" t="n">
        <v>0</v>
      </c>
      <c r="M695" t="n">
        <v>0</v>
      </c>
      <c r="N695" t="n">
        <v>0</v>
      </c>
      <c r="O695" t="n">
        <v>0</v>
      </c>
      <c r="P695" t="n">
        <v>0</v>
      </c>
      <c r="Q695" t="n">
        <v>0</v>
      </c>
      <c r="R695" s="2" t="inlineStr"/>
    </row>
    <row r="696" ht="15" customHeight="1">
      <c r="A696" t="inlineStr">
        <is>
          <t>A 13153-2023</t>
        </is>
      </c>
      <c r="B696" s="1" t="n">
        <v>45002</v>
      </c>
      <c r="C696" s="1" t="n">
        <v>45353</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13059-2023</t>
        </is>
      </c>
      <c r="B697" s="1" t="n">
        <v>45002</v>
      </c>
      <c r="C697" s="1" t="n">
        <v>45353</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13857-2023</t>
        </is>
      </c>
      <c r="B698" s="1" t="n">
        <v>45007</v>
      </c>
      <c r="C698" s="1" t="n">
        <v>45353</v>
      </c>
      <c r="D698" t="inlineStr">
        <is>
          <t>VÄSTMANLANDS LÄN</t>
        </is>
      </c>
      <c r="E698" t="inlineStr">
        <is>
          <t>SALA</t>
        </is>
      </c>
      <c r="G698" t="n">
        <v>5.7</v>
      </c>
      <c r="H698" t="n">
        <v>0</v>
      </c>
      <c r="I698" t="n">
        <v>0</v>
      </c>
      <c r="J698" t="n">
        <v>0</v>
      </c>
      <c r="K698" t="n">
        <v>0</v>
      </c>
      <c r="L698" t="n">
        <v>0</v>
      </c>
      <c r="M698" t="n">
        <v>0</v>
      </c>
      <c r="N698" t="n">
        <v>0</v>
      </c>
      <c r="O698" t="n">
        <v>0</v>
      </c>
      <c r="P698" t="n">
        <v>0</v>
      </c>
      <c r="Q698" t="n">
        <v>0</v>
      </c>
      <c r="R698" s="2" t="inlineStr"/>
    </row>
    <row r="699" ht="15" customHeight="1">
      <c r="A699" t="inlineStr">
        <is>
          <t>A 13833-2023</t>
        </is>
      </c>
      <c r="B699" s="1" t="n">
        <v>45007</v>
      </c>
      <c r="C699" s="1" t="n">
        <v>45353</v>
      </c>
      <c r="D699" t="inlineStr">
        <is>
          <t>VÄSTMANLANDS LÄN</t>
        </is>
      </c>
      <c r="E699" t="inlineStr">
        <is>
          <t>SALA</t>
        </is>
      </c>
      <c r="G699" t="n">
        <v>4.3</v>
      </c>
      <c r="H699" t="n">
        <v>0</v>
      </c>
      <c r="I699" t="n">
        <v>0</v>
      </c>
      <c r="J699" t="n">
        <v>0</v>
      </c>
      <c r="K699" t="n">
        <v>0</v>
      </c>
      <c r="L699" t="n">
        <v>0</v>
      </c>
      <c r="M699" t="n">
        <v>0</v>
      </c>
      <c r="N699" t="n">
        <v>0</v>
      </c>
      <c r="O699" t="n">
        <v>0</v>
      </c>
      <c r="P699" t="n">
        <v>0</v>
      </c>
      <c r="Q699" t="n">
        <v>0</v>
      </c>
      <c r="R699" s="2" t="inlineStr"/>
    </row>
    <row r="700" ht="15" customHeight="1">
      <c r="A700" t="inlineStr">
        <is>
          <t>A 13855-2023</t>
        </is>
      </c>
      <c r="B700" s="1" t="n">
        <v>45007</v>
      </c>
      <c r="C700" s="1" t="n">
        <v>45353</v>
      </c>
      <c r="D700" t="inlineStr">
        <is>
          <t>VÄSTMANLANDS LÄN</t>
        </is>
      </c>
      <c r="E700" t="inlineStr">
        <is>
          <t>SALA</t>
        </is>
      </c>
      <c r="G700" t="n">
        <v>2.9</v>
      </c>
      <c r="H700" t="n">
        <v>0</v>
      </c>
      <c r="I700" t="n">
        <v>0</v>
      </c>
      <c r="J700" t="n">
        <v>0</v>
      </c>
      <c r="K700" t="n">
        <v>0</v>
      </c>
      <c r="L700" t="n">
        <v>0</v>
      </c>
      <c r="M700" t="n">
        <v>0</v>
      </c>
      <c r="N700" t="n">
        <v>0</v>
      </c>
      <c r="O700" t="n">
        <v>0</v>
      </c>
      <c r="P700" t="n">
        <v>0</v>
      </c>
      <c r="Q700" t="n">
        <v>0</v>
      </c>
      <c r="R700" s="2" t="inlineStr"/>
    </row>
    <row r="701" ht="15" customHeight="1">
      <c r="A701" t="inlineStr">
        <is>
          <t>A 13990-2023</t>
        </is>
      </c>
      <c r="B701" s="1" t="n">
        <v>45007</v>
      </c>
      <c r="C701" s="1" t="n">
        <v>45353</v>
      </c>
      <c r="D701" t="inlineStr">
        <is>
          <t>VÄSTMANLANDS LÄN</t>
        </is>
      </c>
      <c r="E701" t="inlineStr">
        <is>
          <t>SALA</t>
        </is>
      </c>
      <c r="G701" t="n">
        <v>2.6</v>
      </c>
      <c r="H701" t="n">
        <v>0</v>
      </c>
      <c r="I701" t="n">
        <v>0</v>
      </c>
      <c r="J701" t="n">
        <v>0</v>
      </c>
      <c r="K701" t="n">
        <v>0</v>
      </c>
      <c r="L701" t="n">
        <v>0</v>
      </c>
      <c r="M701" t="n">
        <v>0</v>
      </c>
      <c r="N701" t="n">
        <v>0</v>
      </c>
      <c r="O701" t="n">
        <v>0</v>
      </c>
      <c r="P701" t="n">
        <v>0</v>
      </c>
      <c r="Q701" t="n">
        <v>0</v>
      </c>
      <c r="R701" s="2" t="inlineStr"/>
    </row>
    <row r="702" ht="15" customHeight="1">
      <c r="A702" t="inlineStr">
        <is>
          <t>A 13987-2023</t>
        </is>
      </c>
      <c r="B702" s="1" t="n">
        <v>45007</v>
      </c>
      <c r="C702" s="1" t="n">
        <v>45353</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13935-2023</t>
        </is>
      </c>
      <c r="B703" s="1" t="n">
        <v>45008</v>
      </c>
      <c r="C703" s="1" t="n">
        <v>45353</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14578-2023</t>
        </is>
      </c>
      <c r="B704" s="1" t="n">
        <v>45013</v>
      </c>
      <c r="C704" s="1" t="n">
        <v>45353</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14823-2023</t>
        </is>
      </c>
      <c r="B705" s="1" t="n">
        <v>45014</v>
      </c>
      <c r="C705" s="1" t="n">
        <v>45353</v>
      </c>
      <c r="D705" t="inlineStr">
        <is>
          <t>VÄSTMANLANDS LÄN</t>
        </is>
      </c>
      <c r="E705" t="inlineStr">
        <is>
          <t>SALA</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14790-2023</t>
        </is>
      </c>
      <c r="B706" s="1" t="n">
        <v>45014</v>
      </c>
      <c r="C706" s="1" t="n">
        <v>45353</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15589-2023</t>
        </is>
      </c>
      <c r="B707" s="1" t="n">
        <v>45020</v>
      </c>
      <c r="C707" s="1" t="n">
        <v>45353</v>
      </c>
      <c r="D707" t="inlineStr">
        <is>
          <t>VÄSTMANLANDS LÄN</t>
        </is>
      </c>
      <c r="E707" t="inlineStr">
        <is>
          <t>SALA</t>
        </is>
      </c>
      <c r="G707" t="n">
        <v>7.5</v>
      </c>
      <c r="H707" t="n">
        <v>0</v>
      </c>
      <c r="I707" t="n">
        <v>0</v>
      </c>
      <c r="J707" t="n">
        <v>0</v>
      </c>
      <c r="K707" t="n">
        <v>0</v>
      </c>
      <c r="L707" t="n">
        <v>0</v>
      </c>
      <c r="M707" t="n">
        <v>0</v>
      </c>
      <c r="N707" t="n">
        <v>0</v>
      </c>
      <c r="O707" t="n">
        <v>0</v>
      </c>
      <c r="P707" t="n">
        <v>0</v>
      </c>
      <c r="Q707" t="n">
        <v>0</v>
      </c>
      <c r="R707" s="2" t="inlineStr"/>
    </row>
    <row r="708" ht="15" customHeight="1">
      <c r="A708" t="inlineStr">
        <is>
          <t>A 15584-2023</t>
        </is>
      </c>
      <c r="B708" s="1" t="n">
        <v>45020</v>
      </c>
      <c r="C708" s="1" t="n">
        <v>45353</v>
      </c>
      <c r="D708" t="inlineStr">
        <is>
          <t>VÄSTMANLANDS LÄN</t>
        </is>
      </c>
      <c r="E708" t="inlineStr">
        <is>
          <t>SALA</t>
        </is>
      </c>
      <c r="G708" t="n">
        <v>4.2</v>
      </c>
      <c r="H708" t="n">
        <v>0</v>
      </c>
      <c r="I708" t="n">
        <v>0</v>
      </c>
      <c r="J708" t="n">
        <v>0</v>
      </c>
      <c r="K708" t="n">
        <v>0</v>
      </c>
      <c r="L708" t="n">
        <v>0</v>
      </c>
      <c r="M708" t="n">
        <v>0</v>
      </c>
      <c r="N708" t="n">
        <v>0</v>
      </c>
      <c r="O708" t="n">
        <v>0</v>
      </c>
      <c r="P708" t="n">
        <v>0</v>
      </c>
      <c r="Q708" t="n">
        <v>0</v>
      </c>
      <c r="R708" s="2" t="inlineStr"/>
    </row>
    <row r="709" ht="15" customHeight="1">
      <c r="A709" t="inlineStr">
        <is>
          <t>A 16003-2023</t>
        </is>
      </c>
      <c r="B709" s="1" t="n">
        <v>45024</v>
      </c>
      <c r="C709" s="1" t="n">
        <v>45353</v>
      </c>
      <c r="D709" t="inlineStr">
        <is>
          <t>VÄSTMANLANDS LÄN</t>
        </is>
      </c>
      <c r="E709" t="inlineStr">
        <is>
          <t>SALA</t>
        </is>
      </c>
      <c r="G709" t="n">
        <v>6.6</v>
      </c>
      <c r="H709" t="n">
        <v>0</v>
      </c>
      <c r="I709" t="n">
        <v>0</v>
      </c>
      <c r="J709" t="n">
        <v>0</v>
      </c>
      <c r="K709" t="n">
        <v>0</v>
      </c>
      <c r="L709" t="n">
        <v>0</v>
      </c>
      <c r="M709" t="n">
        <v>0</v>
      </c>
      <c r="N709" t="n">
        <v>0</v>
      </c>
      <c r="O709" t="n">
        <v>0</v>
      </c>
      <c r="P709" t="n">
        <v>0</v>
      </c>
      <c r="Q709" t="n">
        <v>0</v>
      </c>
      <c r="R709" s="2" t="inlineStr"/>
    </row>
    <row r="710" ht="15" customHeight="1">
      <c r="A710" t="inlineStr">
        <is>
          <t>A 16002-2023</t>
        </is>
      </c>
      <c r="B710" s="1" t="n">
        <v>45024</v>
      </c>
      <c r="C710" s="1" t="n">
        <v>45353</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16041-2023</t>
        </is>
      </c>
      <c r="B711" s="1" t="n">
        <v>45027</v>
      </c>
      <c r="C711" s="1" t="n">
        <v>45353</v>
      </c>
      <c r="D711" t="inlineStr">
        <is>
          <t>VÄSTMANLANDS LÄN</t>
        </is>
      </c>
      <c r="E711" t="inlineStr">
        <is>
          <t>SALA</t>
        </is>
      </c>
      <c r="G711" t="n">
        <v>3.1</v>
      </c>
      <c r="H711" t="n">
        <v>0</v>
      </c>
      <c r="I711" t="n">
        <v>0</v>
      </c>
      <c r="J711" t="n">
        <v>0</v>
      </c>
      <c r="K711" t="n">
        <v>0</v>
      </c>
      <c r="L711" t="n">
        <v>0</v>
      </c>
      <c r="M711" t="n">
        <v>0</v>
      </c>
      <c r="N711" t="n">
        <v>0</v>
      </c>
      <c r="O711" t="n">
        <v>0</v>
      </c>
      <c r="P711" t="n">
        <v>0</v>
      </c>
      <c r="Q711" t="n">
        <v>0</v>
      </c>
      <c r="R711" s="2" t="inlineStr"/>
    </row>
    <row r="712" ht="15" customHeight="1">
      <c r="A712" t="inlineStr">
        <is>
          <t>A 16142-2023</t>
        </is>
      </c>
      <c r="B712" s="1" t="n">
        <v>45027</v>
      </c>
      <c r="C712" s="1" t="n">
        <v>45353</v>
      </c>
      <c r="D712" t="inlineStr">
        <is>
          <t>VÄSTMANLANDS LÄN</t>
        </is>
      </c>
      <c r="E712" t="inlineStr">
        <is>
          <t>SALA</t>
        </is>
      </c>
      <c r="G712" t="n">
        <v>6.3</v>
      </c>
      <c r="H712" t="n">
        <v>0</v>
      </c>
      <c r="I712" t="n">
        <v>0</v>
      </c>
      <c r="J712" t="n">
        <v>0</v>
      </c>
      <c r="K712" t="n">
        <v>0</v>
      </c>
      <c r="L712" t="n">
        <v>0</v>
      </c>
      <c r="M712" t="n">
        <v>0</v>
      </c>
      <c r="N712" t="n">
        <v>0</v>
      </c>
      <c r="O712" t="n">
        <v>0</v>
      </c>
      <c r="P712" t="n">
        <v>0</v>
      </c>
      <c r="Q712" t="n">
        <v>0</v>
      </c>
      <c r="R712" s="2" t="inlineStr"/>
    </row>
    <row r="713" ht="15" customHeight="1">
      <c r="A713" t="inlineStr">
        <is>
          <t>A 16083-2023</t>
        </is>
      </c>
      <c r="B713" s="1" t="n">
        <v>45027</v>
      </c>
      <c r="C713" s="1" t="n">
        <v>45353</v>
      </c>
      <c r="D713" t="inlineStr">
        <is>
          <t>VÄSTMANLANDS LÄN</t>
        </is>
      </c>
      <c r="E713" t="inlineStr">
        <is>
          <t>SALA</t>
        </is>
      </c>
      <c r="G713" t="n">
        <v>4.4</v>
      </c>
      <c r="H713" t="n">
        <v>0</v>
      </c>
      <c r="I713" t="n">
        <v>0</v>
      </c>
      <c r="J713" t="n">
        <v>0</v>
      </c>
      <c r="K713" t="n">
        <v>0</v>
      </c>
      <c r="L713" t="n">
        <v>0</v>
      </c>
      <c r="M713" t="n">
        <v>0</v>
      </c>
      <c r="N713" t="n">
        <v>0</v>
      </c>
      <c r="O713" t="n">
        <v>0</v>
      </c>
      <c r="P713" t="n">
        <v>0</v>
      </c>
      <c r="Q713" t="n">
        <v>0</v>
      </c>
      <c r="R713" s="2" t="inlineStr"/>
    </row>
    <row r="714" ht="15" customHeight="1">
      <c r="A714" t="inlineStr">
        <is>
          <t>A 16638-2023</t>
        </is>
      </c>
      <c r="B714" s="1" t="n">
        <v>45027</v>
      </c>
      <c r="C714" s="1" t="n">
        <v>45353</v>
      </c>
      <c r="D714" t="inlineStr">
        <is>
          <t>VÄSTMANLANDS LÄN</t>
        </is>
      </c>
      <c r="E714" t="inlineStr">
        <is>
          <t>SALA</t>
        </is>
      </c>
      <c r="G714" t="n">
        <v>14.8</v>
      </c>
      <c r="H714" t="n">
        <v>0</v>
      </c>
      <c r="I714" t="n">
        <v>0</v>
      </c>
      <c r="J714" t="n">
        <v>0</v>
      </c>
      <c r="K714" t="n">
        <v>0</v>
      </c>
      <c r="L714" t="n">
        <v>0</v>
      </c>
      <c r="M714" t="n">
        <v>0</v>
      </c>
      <c r="N714" t="n">
        <v>0</v>
      </c>
      <c r="O714" t="n">
        <v>0</v>
      </c>
      <c r="P714" t="n">
        <v>0</v>
      </c>
      <c r="Q714" t="n">
        <v>0</v>
      </c>
      <c r="R714" s="2" t="inlineStr"/>
    </row>
    <row r="715" ht="15" customHeight="1">
      <c r="A715" t="inlineStr">
        <is>
          <t>A 16693-2023</t>
        </is>
      </c>
      <c r="B715" s="1" t="n">
        <v>45028</v>
      </c>
      <c r="C715" s="1" t="n">
        <v>45353</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16546-2023</t>
        </is>
      </c>
      <c r="B716" s="1" t="n">
        <v>45029</v>
      </c>
      <c r="C716" s="1" t="n">
        <v>45353</v>
      </c>
      <c r="D716" t="inlineStr">
        <is>
          <t>VÄSTMANLANDS LÄN</t>
        </is>
      </c>
      <c r="E716" t="inlineStr">
        <is>
          <t>SALA</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16543-2023</t>
        </is>
      </c>
      <c r="B717" s="1" t="n">
        <v>45029</v>
      </c>
      <c r="C717" s="1" t="n">
        <v>45353</v>
      </c>
      <c r="D717" t="inlineStr">
        <is>
          <t>VÄSTMANLANDS LÄN</t>
        </is>
      </c>
      <c r="E717" t="inlineStr">
        <is>
          <t>SALA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16544-2023</t>
        </is>
      </c>
      <c r="B718" s="1" t="n">
        <v>45029</v>
      </c>
      <c r="C718" s="1" t="n">
        <v>45353</v>
      </c>
      <c r="D718" t="inlineStr">
        <is>
          <t>VÄSTMANLANDS LÄN</t>
        </is>
      </c>
      <c r="E718" t="inlineStr">
        <is>
          <t>SALA</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16547-2023</t>
        </is>
      </c>
      <c r="B719" s="1" t="n">
        <v>45029</v>
      </c>
      <c r="C719" s="1" t="n">
        <v>45353</v>
      </c>
      <c r="D719" t="inlineStr">
        <is>
          <t>VÄSTMANLANDS LÄN</t>
        </is>
      </c>
      <c r="E719" t="inlineStr">
        <is>
          <t>SALA</t>
        </is>
      </c>
      <c r="F719" t="inlineStr">
        <is>
          <t>Sveaskog</t>
        </is>
      </c>
      <c r="G719" t="n">
        <v>11.2</v>
      </c>
      <c r="H719" t="n">
        <v>0</v>
      </c>
      <c r="I719" t="n">
        <v>0</v>
      </c>
      <c r="J719" t="n">
        <v>0</v>
      </c>
      <c r="K719" t="n">
        <v>0</v>
      </c>
      <c r="L719" t="n">
        <v>0</v>
      </c>
      <c r="M719" t="n">
        <v>0</v>
      </c>
      <c r="N719" t="n">
        <v>0</v>
      </c>
      <c r="O719" t="n">
        <v>0</v>
      </c>
      <c r="P719" t="n">
        <v>0</v>
      </c>
      <c r="Q719" t="n">
        <v>0</v>
      </c>
      <c r="R719" s="2" t="inlineStr"/>
    </row>
    <row r="720" ht="15" customHeight="1">
      <c r="A720" t="inlineStr">
        <is>
          <t>A 16545-2023</t>
        </is>
      </c>
      <c r="B720" s="1" t="n">
        <v>45029</v>
      </c>
      <c r="C720" s="1" t="n">
        <v>45353</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16984-2023</t>
        </is>
      </c>
      <c r="B721" s="1" t="n">
        <v>45033</v>
      </c>
      <c r="C721" s="1" t="n">
        <v>45353</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17079-2023</t>
        </is>
      </c>
      <c r="B722" s="1" t="n">
        <v>45034</v>
      </c>
      <c r="C722" s="1" t="n">
        <v>45353</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17117-2023</t>
        </is>
      </c>
      <c r="B723" s="1" t="n">
        <v>45034</v>
      </c>
      <c r="C723" s="1" t="n">
        <v>45353</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17109-2023</t>
        </is>
      </c>
      <c r="B724" s="1" t="n">
        <v>45034</v>
      </c>
      <c r="C724" s="1" t="n">
        <v>45353</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17120-2023</t>
        </is>
      </c>
      <c r="B725" s="1" t="n">
        <v>45034</v>
      </c>
      <c r="C725" s="1" t="n">
        <v>45353</v>
      </c>
      <c r="D725" t="inlineStr">
        <is>
          <t>VÄSTMANLANDS LÄN</t>
        </is>
      </c>
      <c r="E725" t="inlineStr">
        <is>
          <t>SALA</t>
        </is>
      </c>
      <c r="G725" t="n">
        <v>0.1</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45353</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18431-2023</t>
        </is>
      </c>
      <c r="B727" s="1" t="n">
        <v>45042</v>
      </c>
      <c r="C727" s="1" t="n">
        <v>45353</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18877-2023</t>
        </is>
      </c>
      <c r="B728" s="1" t="n">
        <v>45044</v>
      </c>
      <c r="C728" s="1" t="n">
        <v>45353</v>
      </c>
      <c r="D728" t="inlineStr">
        <is>
          <t>VÄSTMANLANDS LÄN</t>
        </is>
      </c>
      <c r="E728" t="inlineStr">
        <is>
          <t>SALA</t>
        </is>
      </c>
      <c r="F728" t="inlineStr">
        <is>
          <t>Kommuner</t>
        </is>
      </c>
      <c r="G728" t="n">
        <v>4.4</v>
      </c>
      <c r="H728" t="n">
        <v>0</v>
      </c>
      <c r="I728" t="n">
        <v>0</v>
      </c>
      <c r="J728" t="n">
        <v>0</v>
      </c>
      <c r="K728" t="n">
        <v>0</v>
      </c>
      <c r="L728" t="n">
        <v>0</v>
      </c>
      <c r="M728" t="n">
        <v>0</v>
      </c>
      <c r="N728" t="n">
        <v>0</v>
      </c>
      <c r="O728" t="n">
        <v>0</v>
      </c>
      <c r="P728" t="n">
        <v>0</v>
      </c>
      <c r="Q728" t="n">
        <v>0</v>
      </c>
      <c r="R728" s="2" t="inlineStr"/>
    </row>
    <row r="729" ht="15" customHeight="1">
      <c r="A729" t="inlineStr">
        <is>
          <t>A 19916-2023</t>
        </is>
      </c>
      <c r="B729" s="1" t="n">
        <v>45054</v>
      </c>
      <c r="C729" s="1" t="n">
        <v>45353</v>
      </c>
      <c r="D729" t="inlineStr">
        <is>
          <t>VÄSTMANLANDS LÄN</t>
        </is>
      </c>
      <c r="E729" t="inlineStr">
        <is>
          <t>SALA</t>
        </is>
      </c>
      <c r="G729" t="n">
        <v>9.9</v>
      </c>
      <c r="H729" t="n">
        <v>0</v>
      </c>
      <c r="I729" t="n">
        <v>0</v>
      </c>
      <c r="J729" t="n">
        <v>0</v>
      </c>
      <c r="K729" t="n">
        <v>0</v>
      </c>
      <c r="L729" t="n">
        <v>0</v>
      </c>
      <c r="M729" t="n">
        <v>0</v>
      </c>
      <c r="N729" t="n">
        <v>0</v>
      </c>
      <c r="O729" t="n">
        <v>0</v>
      </c>
      <c r="P729" t="n">
        <v>0</v>
      </c>
      <c r="Q729" t="n">
        <v>0</v>
      </c>
      <c r="R729" s="2" t="inlineStr"/>
    </row>
    <row r="730" ht="15" customHeight="1">
      <c r="A730" t="inlineStr">
        <is>
          <t>A 20568-2023</t>
        </is>
      </c>
      <c r="B730" s="1" t="n">
        <v>45055</v>
      </c>
      <c r="C730" s="1" t="n">
        <v>45353</v>
      </c>
      <c r="D730" t="inlineStr">
        <is>
          <t>VÄSTMANLANDS LÄN</t>
        </is>
      </c>
      <c r="E730" t="inlineStr">
        <is>
          <t>SALA</t>
        </is>
      </c>
      <c r="G730" t="n">
        <v>2.2</v>
      </c>
      <c r="H730" t="n">
        <v>0</v>
      </c>
      <c r="I730" t="n">
        <v>0</v>
      </c>
      <c r="J730" t="n">
        <v>0</v>
      </c>
      <c r="K730" t="n">
        <v>0</v>
      </c>
      <c r="L730" t="n">
        <v>0</v>
      </c>
      <c r="M730" t="n">
        <v>0</v>
      </c>
      <c r="N730" t="n">
        <v>0</v>
      </c>
      <c r="O730" t="n">
        <v>0</v>
      </c>
      <c r="P730" t="n">
        <v>0</v>
      </c>
      <c r="Q730" t="n">
        <v>0</v>
      </c>
      <c r="R730" s="2" t="inlineStr"/>
    </row>
    <row r="731" ht="15" customHeight="1">
      <c r="A731" t="inlineStr">
        <is>
          <t>A 20567-2023</t>
        </is>
      </c>
      <c r="B731" s="1" t="n">
        <v>45055</v>
      </c>
      <c r="C731" s="1" t="n">
        <v>45353</v>
      </c>
      <c r="D731" t="inlineStr">
        <is>
          <t>VÄSTMANLANDS LÄN</t>
        </is>
      </c>
      <c r="E731" t="inlineStr">
        <is>
          <t>SALA</t>
        </is>
      </c>
      <c r="G731" t="n">
        <v>1.4</v>
      </c>
      <c r="H731" t="n">
        <v>0</v>
      </c>
      <c r="I731" t="n">
        <v>0</v>
      </c>
      <c r="J731" t="n">
        <v>0</v>
      </c>
      <c r="K731" t="n">
        <v>0</v>
      </c>
      <c r="L731" t="n">
        <v>0</v>
      </c>
      <c r="M731" t="n">
        <v>0</v>
      </c>
      <c r="N731" t="n">
        <v>0</v>
      </c>
      <c r="O731" t="n">
        <v>0</v>
      </c>
      <c r="P731" t="n">
        <v>0</v>
      </c>
      <c r="Q731" t="n">
        <v>0</v>
      </c>
      <c r="R731" s="2" t="inlineStr"/>
    </row>
    <row r="732" ht="15" customHeight="1">
      <c r="A732" t="inlineStr">
        <is>
          <t>A 20405-2023</t>
        </is>
      </c>
      <c r="B732" s="1" t="n">
        <v>45056</v>
      </c>
      <c r="C732" s="1" t="n">
        <v>45353</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20587-2023</t>
        </is>
      </c>
      <c r="B733" s="1" t="n">
        <v>45057</v>
      </c>
      <c r="C733" s="1" t="n">
        <v>45353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21455-2023</t>
        </is>
      </c>
      <c r="B734" s="1" t="n">
        <v>45058</v>
      </c>
      <c r="C734" s="1" t="n">
        <v>45353</v>
      </c>
      <c r="D734" t="inlineStr">
        <is>
          <t>VÄSTMANLANDS LÄN</t>
        </is>
      </c>
      <c r="E734" t="inlineStr">
        <is>
          <t>SALA</t>
        </is>
      </c>
      <c r="G734" t="n">
        <v>6.4</v>
      </c>
      <c r="H734" t="n">
        <v>0</v>
      </c>
      <c r="I734" t="n">
        <v>0</v>
      </c>
      <c r="J734" t="n">
        <v>0</v>
      </c>
      <c r="K734" t="n">
        <v>0</v>
      </c>
      <c r="L734" t="n">
        <v>0</v>
      </c>
      <c r="M734" t="n">
        <v>0</v>
      </c>
      <c r="N734" t="n">
        <v>0</v>
      </c>
      <c r="O734" t="n">
        <v>0</v>
      </c>
      <c r="P734" t="n">
        <v>0</v>
      </c>
      <c r="Q734" t="n">
        <v>0</v>
      </c>
      <c r="R734" s="2" t="inlineStr"/>
    </row>
    <row r="735" ht="15" customHeight="1">
      <c r="A735" t="inlineStr">
        <is>
          <t>A 22097-2023</t>
        </is>
      </c>
      <c r="B735" s="1" t="n">
        <v>45065</v>
      </c>
      <c r="C735" s="1" t="n">
        <v>45353</v>
      </c>
      <c r="D735" t="inlineStr">
        <is>
          <t>VÄSTMANLANDS LÄN</t>
        </is>
      </c>
      <c r="E735" t="inlineStr">
        <is>
          <t>SALA</t>
        </is>
      </c>
      <c r="G735" t="n">
        <v>3.6</v>
      </c>
      <c r="H735" t="n">
        <v>0</v>
      </c>
      <c r="I735" t="n">
        <v>0</v>
      </c>
      <c r="J735" t="n">
        <v>0</v>
      </c>
      <c r="K735" t="n">
        <v>0</v>
      </c>
      <c r="L735" t="n">
        <v>0</v>
      </c>
      <c r="M735" t="n">
        <v>0</v>
      </c>
      <c r="N735" t="n">
        <v>0</v>
      </c>
      <c r="O735" t="n">
        <v>0</v>
      </c>
      <c r="P735" t="n">
        <v>0</v>
      </c>
      <c r="Q735" t="n">
        <v>0</v>
      </c>
      <c r="R735" s="2" t="inlineStr"/>
    </row>
    <row r="736" ht="15" customHeight="1">
      <c r="A736" t="inlineStr">
        <is>
          <t>A 22076-2023</t>
        </is>
      </c>
      <c r="B736" s="1" t="n">
        <v>45069</v>
      </c>
      <c r="C736" s="1" t="n">
        <v>45353</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22146-2023</t>
        </is>
      </c>
      <c r="B737" s="1" t="n">
        <v>45069</v>
      </c>
      <c r="C737" s="1" t="n">
        <v>45353</v>
      </c>
      <c r="D737" t="inlineStr">
        <is>
          <t>VÄSTMANLANDS LÄN</t>
        </is>
      </c>
      <c r="E737" t="inlineStr">
        <is>
          <t>SALA</t>
        </is>
      </c>
      <c r="F737" t="inlineStr">
        <is>
          <t>Kommuner</t>
        </is>
      </c>
      <c r="G737" t="n">
        <v>9.9</v>
      </c>
      <c r="H737" t="n">
        <v>0</v>
      </c>
      <c r="I737" t="n">
        <v>0</v>
      </c>
      <c r="J737" t="n">
        <v>0</v>
      </c>
      <c r="K737" t="n">
        <v>0</v>
      </c>
      <c r="L737" t="n">
        <v>0</v>
      </c>
      <c r="M737" t="n">
        <v>0</v>
      </c>
      <c r="N737" t="n">
        <v>0</v>
      </c>
      <c r="O737" t="n">
        <v>0</v>
      </c>
      <c r="P737" t="n">
        <v>0</v>
      </c>
      <c r="Q737" t="n">
        <v>0</v>
      </c>
      <c r="R737" s="2" t="inlineStr"/>
    </row>
    <row r="738" ht="15" customHeight="1">
      <c r="A738" t="inlineStr">
        <is>
          <t>A 22091-2023</t>
        </is>
      </c>
      <c r="B738" s="1" t="n">
        <v>45069</v>
      </c>
      <c r="C738" s="1" t="n">
        <v>45353</v>
      </c>
      <c r="D738" t="inlineStr">
        <is>
          <t>VÄSTMANLANDS LÄN</t>
        </is>
      </c>
      <c r="E738" t="inlineStr">
        <is>
          <t>SALA</t>
        </is>
      </c>
      <c r="G738" t="n">
        <v>2.2</v>
      </c>
      <c r="H738" t="n">
        <v>0</v>
      </c>
      <c r="I738" t="n">
        <v>0</v>
      </c>
      <c r="J738" t="n">
        <v>0</v>
      </c>
      <c r="K738" t="n">
        <v>0</v>
      </c>
      <c r="L738" t="n">
        <v>0</v>
      </c>
      <c r="M738" t="n">
        <v>0</v>
      </c>
      <c r="N738" t="n">
        <v>0</v>
      </c>
      <c r="O738" t="n">
        <v>0</v>
      </c>
      <c r="P738" t="n">
        <v>0</v>
      </c>
      <c r="Q738" t="n">
        <v>0</v>
      </c>
      <c r="R738" s="2" t="inlineStr"/>
    </row>
    <row r="739" ht="15" customHeight="1">
      <c r="A739" t="inlineStr">
        <is>
          <t>A 22082-2023</t>
        </is>
      </c>
      <c r="B739" s="1" t="n">
        <v>45069</v>
      </c>
      <c r="C739" s="1" t="n">
        <v>45353</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22523-2023</t>
        </is>
      </c>
      <c r="B740" s="1" t="n">
        <v>45069</v>
      </c>
      <c r="C740" s="1" t="n">
        <v>45353</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22921-2023</t>
        </is>
      </c>
      <c r="B741" s="1" t="n">
        <v>45070</v>
      </c>
      <c r="C741" s="1" t="n">
        <v>45353</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22963-2023</t>
        </is>
      </c>
      <c r="B742" s="1" t="n">
        <v>45072</v>
      </c>
      <c r="C742" s="1" t="n">
        <v>45353</v>
      </c>
      <c r="D742" t="inlineStr">
        <is>
          <t>VÄSTMANLANDS LÄN</t>
        </is>
      </c>
      <c r="E742" t="inlineStr">
        <is>
          <t>SALA</t>
        </is>
      </c>
      <c r="G742" t="n">
        <v>1.2</v>
      </c>
      <c r="H742" t="n">
        <v>0</v>
      </c>
      <c r="I742" t="n">
        <v>0</v>
      </c>
      <c r="J742" t="n">
        <v>0</v>
      </c>
      <c r="K742" t="n">
        <v>0</v>
      </c>
      <c r="L742" t="n">
        <v>0</v>
      </c>
      <c r="M742" t="n">
        <v>0</v>
      </c>
      <c r="N742" t="n">
        <v>0</v>
      </c>
      <c r="O742" t="n">
        <v>0</v>
      </c>
      <c r="P742" t="n">
        <v>0</v>
      </c>
      <c r="Q742" t="n">
        <v>0</v>
      </c>
      <c r="R742" s="2" t="inlineStr"/>
    </row>
    <row r="743" ht="15" customHeight="1">
      <c r="A743" t="inlineStr">
        <is>
          <t>A 22961-2023</t>
        </is>
      </c>
      <c r="B743" s="1" t="n">
        <v>45072</v>
      </c>
      <c r="C743" s="1" t="n">
        <v>45353</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23145-2023</t>
        </is>
      </c>
      <c r="B744" s="1" t="n">
        <v>45075</v>
      </c>
      <c r="C744" s="1" t="n">
        <v>45353</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23146-2023</t>
        </is>
      </c>
      <c r="B745" s="1" t="n">
        <v>45075</v>
      </c>
      <c r="C745" s="1" t="n">
        <v>45353</v>
      </c>
      <c r="D745" t="inlineStr">
        <is>
          <t>VÄSTMANLANDS LÄN</t>
        </is>
      </c>
      <c r="E745" t="inlineStr">
        <is>
          <t>SALA</t>
        </is>
      </c>
      <c r="G745" t="n">
        <v>1.7</v>
      </c>
      <c r="H745" t="n">
        <v>0</v>
      </c>
      <c r="I745" t="n">
        <v>0</v>
      </c>
      <c r="J745" t="n">
        <v>0</v>
      </c>
      <c r="K745" t="n">
        <v>0</v>
      </c>
      <c r="L745" t="n">
        <v>0</v>
      </c>
      <c r="M745" t="n">
        <v>0</v>
      </c>
      <c r="N745" t="n">
        <v>0</v>
      </c>
      <c r="O745" t="n">
        <v>0</v>
      </c>
      <c r="P745" t="n">
        <v>0</v>
      </c>
      <c r="Q745" t="n">
        <v>0</v>
      </c>
      <c r="R745" s="2" t="inlineStr"/>
    </row>
    <row r="746" ht="15" customHeight="1">
      <c r="A746" t="inlineStr">
        <is>
          <t>A 23224-2023</t>
        </is>
      </c>
      <c r="B746" s="1" t="n">
        <v>45075</v>
      </c>
      <c r="C746" s="1" t="n">
        <v>45353</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23222-2023</t>
        </is>
      </c>
      <c r="B747" s="1" t="n">
        <v>45075</v>
      </c>
      <c r="C747" s="1" t="n">
        <v>45353</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23232-2023</t>
        </is>
      </c>
      <c r="B748" s="1" t="n">
        <v>45075</v>
      </c>
      <c r="C748" s="1" t="n">
        <v>45353</v>
      </c>
      <c r="D748" t="inlineStr">
        <is>
          <t>VÄSTMANLANDS LÄN</t>
        </is>
      </c>
      <c r="E748" t="inlineStr">
        <is>
          <t>SALA</t>
        </is>
      </c>
      <c r="G748" t="n">
        <v>1.6</v>
      </c>
      <c r="H748" t="n">
        <v>0</v>
      </c>
      <c r="I748" t="n">
        <v>0</v>
      </c>
      <c r="J748" t="n">
        <v>0</v>
      </c>
      <c r="K748" t="n">
        <v>0</v>
      </c>
      <c r="L748" t="n">
        <v>0</v>
      </c>
      <c r="M748" t="n">
        <v>0</v>
      </c>
      <c r="N748" t="n">
        <v>0</v>
      </c>
      <c r="O748" t="n">
        <v>0</v>
      </c>
      <c r="P748" t="n">
        <v>0</v>
      </c>
      <c r="Q748" t="n">
        <v>0</v>
      </c>
      <c r="R748" s="2" t="inlineStr"/>
    </row>
    <row r="749" ht="15" customHeight="1">
      <c r="A749" t="inlineStr">
        <is>
          <t>A 23374-2023</t>
        </is>
      </c>
      <c r="B749" s="1" t="n">
        <v>45076</v>
      </c>
      <c r="C749" s="1" t="n">
        <v>45353</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23372-2023</t>
        </is>
      </c>
      <c r="B750" s="1" t="n">
        <v>45076</v>
      </c>
      <c r="C750" s="1" t="n">
        <v>45353</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23659-2023</t>
        </is>
      </c>
      <c r="B751" s="1" t="n">
        <v>45077</v>
      </c>
      <c r="C751" s="1" t="n">
        <v>45353</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24248-2023</t>
        </is>
      </c>
      <c r="B752" s="1" t="n">
        <v>45079</v>
      </c>
      <c r="C752" s="1" t="n">
        <v>45353</v>
      </c>
      <c r="D752" t="inlineStr">
        <is>
          <t>VÄSTMANLANDS LÄN</t>
        </is>
      </c>
      <c r="E752" t="inlineStr">
        <is>
          <t>SALA</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24495-2023</t>
        </is>
      </c>
      <c r="B753" s="1" t="n">
        <v>45082</v>
      </c>
      <c r="C753" s="1" t="n">
        <v>45353</v>
      </c>
      <c r="D753" t="inlineStr">
        <is>
          <t>VÄSTMANLANDS LÄN</t>
        </is>
      </c>
      <c r="E753" t="inlineStr">
        <is>
          <t>SALA</t>
        </is>
      </c>
      <c r="G753" t="n">
        <v>5.2</v>
      </c>
      <c r="H753" t="n">
        <v>0</v>
      </c>
      <c r="I753" t="n">
        <v>0</v>
      </c>
      <c r="J753" t="n">
        <v>0</v>
      </c>
      <c r="K753" t="n">
        <v>0</v>
      </c>
      <c r="L753" t="n">
        <v>0</v>
      </c>
      <c r="M753" t="n">
        <v>0</v>
      </c>
      <c r="N753" t="n">
        <v>0</v>
      </c>
      <c r="O753" t="n">
        <v>0</v>
      </c>
      <c r="P753" t="n">
        <v>0</v>
      </c>
      <c r="Q753" t="n">
        <v>0</v>
      </c>
      <c r="R753" s="2" t="inlineStr"/>
    </row>
    <row r="754" ht="15" customHeight="1">
      <c r="A754" t="inlineStr">
        <is>
          <t>A 24585-2023</t>
        </is>
      </c>
      <c r="B754" s="1" t="n">
        <v>45083</v>
      </c>
      <c r="C754" s="1" t="n">
        <v>45353</v>
      </c>
      <c r="D754" t="inlineStr">
        <is>
          <t>VÄSTMANLANDS LÄN</t>
        </is>
      </c>
      <c r="E754" t="inlineStr">
        <is>
          <t>SALA</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24584-2023</t>
        </is>
      </c>
      <c r="B755" s="1" t="n">
        <v>45083</v>
      </c>
      <c r="C755" s="1" t="n">
        <v>45353</v>
      </c>
      <c r="D755" t="inlineStr">
        <is>
          <t>VÄSTMANLANDS LÄN</t>
        </is>
      </c>
      <c r="E755" t="inlineStr">
        <is>
          <t>SALA</t>
        </is>
      </c>
      <c r="F755" t="inlineStr">
        <is>
          <t>Sveaskog</t>
        </is>
      </c>
      <c r="G755" t="n">
        <v>7.2</v>
      </c>
      <c r="H755" t="n">
        <v>0</v>
      </c>
      <c r="I755" t="n">
        <v>0</v>
      </c>
      <c r="J755" t="n">
        <v>0</v>
      </c>
      <c r="K755" t="n">
        <v>0</v>
      </c>
      <c r="L755" t="n">
        <v>0</v>
      </c>
      <c r="M755" t="n">
        <v>0</v>
      </c>
      <c r="N755" t="n">
        <v>0</v>
      </c>
      <c r="O755" t="n">
        <v>0</v>
      </c>
      <c r="P755" t="n">
        <v>0</v>
      </c>
      <c r="Q755" t="n">
        <v>0</v>
      </c>
      <c r="R755" s="2" t="inlineStr"/>
    </row>
    <row r="756" ht="15" customHeight="1">
      <c r="A756" t="inlineStr">
        <is>
          <t>A 24586-2023</t>
        </is>
      </c>
      <c r="B756" s="1" t="n">
        <v>45083</v>
      </c>
      <c r="C756" s="1" t="n">
        <v>45353</v>
      </c>
      <c r="D756" t="inlineStr">
        <is>
          <t>VÄSTMANLANDS LÄN</t>
        </is>
      </c>
      <c r="E756" t="inlineStr">
        <is>
          <t>SALA</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24773-2023</t>
        </is>
      </c>
      <c r="B757" s="1" t="n">
        <v>45084</v>
      </c>
      <c r="C757" s="1" t="n">
        <v>45353</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24777-2023</t>
        </is>
      </c>
      <c r="B758" s="1" t="n">
        <v>45084</v>
      </c>
      <c r="C758" s="1" t="n">
        <v>45353</v>
      </c>
      <c r="D758" t="inlineStr">
        <is>
          <t>VÄSTMANLANDS LÄN</t>
        </is>
      </c>
      <c r="E758" t="inlineStr">
        <is>
          <t>SALA</t>
        </is>
      </c>
      <c r="G758" t="n">
        <v>1.1</v>
      </c>
      <c r="H758" t="n">
        <v>0</v>
      </c>
      <c r="I758" t="n">
        <v>0</v>
      </c>
      <c r="J758" t="n">
        <v>0</v>
      </c>
      <c r="K758" t="n">
        <v>0</v>
      </c>
      <c r="L758" t="n">
        <v>0</v>
      </c>
      <c r="M758" t="n">
        <v>0</v>
      </c>
      <c r="N758" t="n">
        <v>0</v>
      </c>
      <c r="O758" t="n">
        <v>0</v>
      </c>
      <c r="P758" t="n">
        <v>0</v>
      </c>
      <c r="Q758" t="n">
        <v>0</v>
      </c>
      <c r="R758" s="2" t="inlineStr"/>
    </row>
    <row r="759" ht="15" customHeight="1">
      <c r="A759" t="inlineStr">
        <is>
          <t>A 24944-2023</t>
        </is>
      </c>
      <c r="B759" s="1" t="n">
        <v>45085</v>
      </c>
      <c r="C759" s="1" t="n">
        <v>45353</v>
      </c>
      <c r="D759" t="inlineStr">
        <is>
          <t>VÄSTMANLANDS LÄN</t>
        </is>
      </c>
      <c r="E759" t="inlineStr">
        <is>
          <t>SALA</t>
        </is>
      </c>
      <c r="G759" t="n">
        <v>3.8</v>
      </c>
      <c r="H759" t="n">
        <v>0</v>
      </c>
      <c r="I759" t="n">
        <v>0</v>
      </c>
      <c r="J759" t="n">
        <v>0</v>
      </c>
      <c r="K759" t="n">
        <v>0</v>
      </c>
      <c r="L759" t="n">
        <v>0</v>
      </c>
      <c r="M759" t="n">
        <v>0</v>
      </c>
      <c r="N759" t="n">
        <v>0</v>
      </c>
      <c r="O759" t="n">
        <v>0</v>
      </c>
      <c r="P759" t="n">
        <v>0</v>
      </c>
      <c r="Q759" t="n">
        <v>0</v>
      </c>
      <c r="R759" s="2" t="inlineStr"/>
    </row>
    <row r="760" ht="15" customHeight="1">
      <c r="A760" t="inlineStr">
        <is>
          <t>A 25260-2023</t>
        </is>
      </c>
      <c r="B760" s="1" t="n">
        <v>45086</v>
      </c>
      <c r="C760" s="1" t="n">
        <v>45353</v>
      </c>
      <c r="D760" t="inlineStr">
        <is>
          <t>VÄSTMANLANDS LÄN</t>
        </is>
      </c>
      <c r="E760" t="inlineStr">
        <is>
          <t>SALA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25233-2023</t>
        </is>
      </c>
      <c r="B761" s="1" t="n">
        <v>45086</v>
      </c>
      <c r="C761" s="1" t="n">
        <v>45353</v>
      </c>
      <c r="D761" t="inlineStr">
        <is>
          <t>VÄSTMANLANDS LÄN</t>
        </is>
      </c>
      <c r="E761" t="inlineStr">
        <is>
          <t>SALA</t>
        </is>
      </c>
      <c r="F761" t="inlineStr">
        <is>
          <t>Kommuner</t>
        </is>
      </c>
      <c r="G761" t="n">
        <v>4.7</v>
      </c>
      <c r="H761" t="n">
        <v>0</v>
      </c>
      <c r="I761" t="n">
        <v>0</v>
      </c>
      <c r="J761" t="n">
        <v>0</v>
      </c>
      <c r="K761" t="n">
        <v>0</v>
      </c>
      <c r="L761" t="n">
        <v>0</v>
      </c>
      <c r="M761" t="n">
        <v>0</v>
      </c>
      <c r="N761" t="n">
        <v>0</v>
      </c>
      <c r="O761" t="n">
        <v>0</v>
      </c>
      <c r="P761" t="n">
        <v>0</v>
      </c>
      <c r="Q761" t="n">
        <v>0</v>
      </c>
      <c r="R761" s="2" t="inlineStr"/>
    </row>
    <row r="762" ht="15" customHeight="1">
      <c r="A762" t="inlineStr">
        <is>
          <t>A 26229-2023</t>
        </is>
      </c>
      <c r="B762" s="1" t="n">
        <v>45086</v>
      </c>
      <c r="C762" s="1" t="n">
        <v>45353</v>
      </c>
      <c r="D762" t="inlineStr">
        <is>
          <t>VÄSTMANLANDS LÄN</t>
        </is>
      </c>
      <c r="E762" t="inlineStr">
        <is>
          <t>SALA</t>
        </is>
      </c>
      <c r="G762" t="n">
        <v>6.6</v>
      </c>
      <c r="H762" t="n">
        <v>0</v>
      </c>
      <c r="I762" t="n">
        <v>0</v>
      </c>
      <c r="J762" t="n">
        <v>0</v>
      </c>
      <c r="K762" t="n">
        <v>0</v>
      </c>
      <c r="L762" t="n">
        <v>0</v>
      </c>
      <c r="M762" t="n">
        <v>0</v>
      </c>
      <c r="N762" t="n">
        <v>0</v>
      </c>
      <c r="O762" t="n">
        <v>0</v>
      </c>
      <c r="P762" t="n">
        <v>0</v>
      </c>
      <c r="Q762" t="n">
        <v>0</v>
      </c>
      <c r="R762" s="2" t="inlineStr"/>
    </row>
    <row r="763" ht="15" customHeight="1">
      <c r="A763" t="inlineStr">
        <is>
          <t>A 25566-2023</t>
        </is>
      </c>
      <c r="B763" s="1" t="n">
        <v>45089</v>
      </c>
      <c r="C763" s="1" t="n">
        <v>45353</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25571-2023</t>
        </is>
      </c>
      <c r="B764" s="1" t="n">
        <v>45089</v>
      </c>
      <c r="C764" s="1" t="n">
        <v>45353</v>
      </c>
      <c r="D764" t="inlineStr">
        <is>
          <t>VÄSTMANLANDS LÄN</t>
        </is>
      </c>
      <c r="E764" t="inlineStr">
        <is>
          <t>SALA</t>
        </is>
      </c>
      <c r="G764" t="n">
        <v>1.7</v>
      </c>
      <c r="H764" t="n">
        <v>0</v>
      </c>
      <c r="I764" t="n">
        <v>0</v>
      </c>
      <c r="J764" t="n">
        <v>0</v>
      </c>
      <c r="K764" t="n">
        <v>0</v>
      </c>
      <c r="L764" t="n">
        <v>0</v>
      </c>
      <c r="M764" t="n">
        <v>0</v>
      </c>
      <c r="N764" t="n">
        <v>0</v>
      </c>
      <c r="O764" t="n">
        <v>0</v>
      </c>
      <c r="P764" t="n">
        <v>0</v>
      </c>
      <c r="Q764" t="n">
        <v>0</v>
      </c>
      <c r="R764" s="2" t="inlineStr"/>
    </row>
    <row r="765" ht="15" customHeight="1">
      <c r="A765" t="inlineStr">
        <is>
          <t>A 25576-2023</t>
        </is>
      </c>
      <c r="B765" s="1" t="n">
        <v>45089</v>
      </c>
      <c r="C765" s="1" t="n">
        <v>45353</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25580-2023</t>
        </is>
      </c>
      <c r="B766" s="1" t="n">
        <v>45089</v>
      </c>
      <c r="C766" s="1" t="n">
        <v>45353</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25894-2023</t>
        </is>
      </c>
      <c r="B767" s="1" t="n">
        <v>45090</v>
      </c>
      <c r="C767" s="1" t="n">
        <v>45353</v>
      </c>
      <c r="D767" t="inlineStr">
        <is>
          <t>VÄSTMANLANDS LÄN</t>
        </is>
      </c>
      <c r="E767" t="inlineStr">
        <is>
          <t>SALA</t>
        </is>
      </c>
      <c r="G767" t="n">
        <v>3.2</v>
      </c>
      <c r="H767" t="n">
        <v>0</v>
      </c>
      <c r="I767" t="n">
        <v>0</v>
      </c>
      <c r="J767" t="n">
        <v>0</v>
      </c>
      <c r="K767" t="n">
        <v>0</v>
      </c>
      <c r="L767" t="n">
        <v>0</v>
      </c>
      <c r="M767" t="n">
        <v>0</v>
      </c>
      <c r="N767" t="n">
        <v>0</v>
      </c>
      <c r="O767" t="n">
        <v>0</v>
      </c>
      <c r="P767" t="n">
        <v>0</v>
      </c>
      <c r="Q767" t="n">
        <v>0</v>
      </c>
      <c r="R767" s="2" t="inlineStr"/>
    </row>
    <row r="768" ht="15" customHeight="1">
      <c r="A768" t="inlineStr">
        <is>
          <t>A 26607-2023</t>
        </is>
      </c>
      <c r="B768" s="1" t="n">
        <v>45090</v>
      </c>
      <c r="C768" s="1" t="n">
        <v>45353</v>
      </c>
      <c r="D768" t="inlineStr">
        <is>
          <t>VÄSTMANLANDS LÄN</t>
        </is>
      </c>
      <c r="E768" t="inlineStr">
        <is>
          <t>SALA</t>
        </is>
      </c>
      <c r="G768" t="n">
        <v>4.8</v>
      </c>
      <c r="H768" t="n">
        <v>0</v>
      </c>
      <c r="I768" t="n">
        <v>0</v>
      </c>
      <c r="J768" t="n">
        <v>0</v>
      </c>
      <c r="K768" t="n">
        <v>0</v>
      </c>
      <c r="L768" t="n">
        <v>0</v>
      </c>
      <c r="M768" t="n">
        <v>0</v>
      </c>
      <c r="N768" t="n">
        <v>0</v>
      </c>
      <c r="O768" t="n">
        <v>0</v>
      </c>
      <c r="P768" t="n">
        <v>0</v>
      </c>
      <c r="Q768" t="n">
        <v>0</v>
      </c>
      <c r="R768" s="2" t="inlineStr"/>
    </row>
    <row r="769" ht="15" customHeight="1">
      <c r="A769" t="inlineStr">
        <is>
          <t>A 26505-2023</t>
        </is>
      </c>
      <c r="B769" s="1" t="n">
        <v>45092</v>
      </c>
      <c r="C769" s="1" t="n">
        <v>45353</v>
      </c>
      <c r="D769" t="inlineStr">
        <is>
          <t>VÄSTMANLANDS LÄN</t>
        </is>
      </c>
      <c r="E769" t="inlineStr">
        <is>
          <t>SALA</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26509-2023</t>
        </is>
      </c>
      <c r="B770" s="1" t="n">
        <v>45092</v>
      </c>
      <c r="C770" s="1" t="n">
        <v>45353</v>
      </c>
      <c r="D770" t="inlineStr">
        <is>
          <t>VÄSTMANLANDS LÄN</t>
        </is>
      </c>
      <c r="E770" t="inlineStr">
        <is>
          <t>SALA</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26508-2023</t>
        </is>
      </c>
      <c r="B771" s="1" t="n">
        <v>45092</v>
      </c>
      <c r="C771" s="1" t="n">
        <v>45353</v>
      </c>
      <c r="D771" t="inlineStr">
        <is>
          <t>VÄSTMANLANDS LÄN</t>
        </is>
      </c>
      <c r="E771" t="inlineStr">
        <is>
          <t>SALA</t>
        </is>
      </c>
      <c r="F771" t="inlineStr">
        <is>
          <t>Sveaskog</t>
        </is>
      </c>
      <c r="G771" t="n">
        <v>2.4</v>
      </c>
      <c r="H771" t="n">
        <v>0</v>
      </c>
      <c r="I771" t="n">
        <v>0</v>
      </c>
      <c r="J771" t="n">
        <v>0</v>
      </c>
      <c r="K771" t="n">
        <v>0</v>
      </c>
      <c r="L771" t="n">
        <v>0</v>
      </c>
      <c r="M771" t="n">
        <v>0</v>
      </c>
      <c r="N771" t="n">
        <v>0</v>
      </c>
      <c r="O771" t="n">
        <v>0</v>
      </c>
      <c r="P771" t="n">
        <v>0</v>
      </c>
      <c r="Q771" t="n">
        <v>0</v>
      </c>
      <c r="R771" s="2" t="inlineStr"/>
    </row>
    <row r="772" ht="15" customHeight="1">
      <c r="A772" t="inlineStr">
        <is>
          <t>A 26416-2023</t>
        </is>
      </c>
      <c r="B772" s="1" t="n">
        <v>45092</v>
      </c>
      <c r="C772" s="1" t="n">
        <v>45353</v>
      </c>
      <c r="D772" t="inlineStr">
        <is>
          <t>VÄSTMANLANDS LÄN</t>
        </is>
      </c>
      <c r="E772" t="inlineStr">
        <is>
          <t>SALA</t>
        </is>
      </c>
      <c r="G772" t="n">
        <v>2.9</v>
      </c>
      <c r="H772" t="n">
        <v>0</v>
      </c>
      <c r="I772" t="n">
        <v>0</v>
      </c>
      <c r="J772" t="n">
        <v>0</v>
      </c>
      <c r="K772" t="n">
        <v>0</v>
      </c>
      <c r="L772" t="n">
        <v>0</v>
      </c>
      <c r="M772" t="n">
        <v>0</v>
      </c>
      <c r="N772" t="n">
        <v>0</v>
      </c>
      <c r="O772" t="n">
        <v>0</v>
      </c>
      <c r="P772" t="n">
        <v>0</v>
      </c>
      <c r="Q772" t="n">
        <v>0</v>
      </c>
      <c r="R772" s="2" t="inlineStr"/>
    </row>
    <row r="773" ht="15" customHeight="1">
      <c r="A773" t="inlineStr">
        <is>
          <t>A 26507-2023</t>
        </is>
      </c>
      <c r="B773" s="1" t="n">
        <v>45092</v>
      </c>
      <c r="C773" s="1" t="n">
        <v>45353</v>
      </c>
      <c r="D773" t="inlineStr">
        <is>
          <t>VÄSTMANLANDS LÄN</t>
        </is>
      </c>
      <c r="E773" t="inlineStr">
        <is>
          <t>SALA</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26692-2023</t>
        </is>
      </c>
      <c r="B774" s="1" t="n">
        <v>45093</v>
      </c>
      <c r="C774" s="1" t="n">
        <v>45353</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26761-2023</t>
        </is>
      </c>
      <c r="B775" s="1" t="n">
        <v>45093</v>
      </c>
      <c r="C775" s="1" t="n">
        <v>45353</v>
      </c>
      <c r="D775" t="inlineStr">
        <is>
          <t>VÄSTMANLANDS LÄN</t>
        </is>
      </c>
      <c r="E775" t="inlineStr">
        <is>
          <t>SALA</t>
        </is>
      </c>
      <c r="G775" t="n">
        <v>4.3</v>
      </c>
      <c r="H775" t="n">
        <v>0</v>
      </c>
      <c r="I775" t="n">
        <v>0</v>
      </c>
      <c r="J775" t="n">
        <v>0</v>
      </c>
      <c r="K775" t="n">
        <v>0</v>
      </c>
      <c r="L775" t="n">
        <v>0</v>
      </c>
      <c r="M775" t="n">
        <v>0</v>
      </c>
      <c r="N775" t="n">
        <v>0</v>
      </c>
      <c r="O775" t="n">
        <v>0</v>
      </c>
      <c r="P775" t="n">
        <v>0</v>
      </c>
      <c r="Q775" t="n">
        <v>0</v>
      </c>
      <c r="R775" s="2" t="inlineStr"/>
    </row>
    <row r="776" ht="15" customHeight="1">
      <c r="A776" t="inlineStr">
        <is>
          <t>A 27023-2023</t>
        </is>
      </c>
      <c r="B776" s="1" t="n">
        <v>45094</v>
      </c>
      <c r="C776" s="1" t="n">
        <v>45353</v>
      </c>
      <c r="D776" t="inlineStr">
        <is>
          <t>VÄSTMANLANDS LÄN</t>
        </is>
      </c>
      <c r="E776" t="inlineStr">
        <is>
          <t>SALA</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27038-2023</t>
        </is>
      </c>
      <c r="B777" s="1" t="n">
        <v>45095</v>
      </c>
      <c r="C777" s="1" t="n">
        <v>45353</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27228-2023</t>
        </is>
      </c>
      <c r="B778" s="1" t="n">
        <v>45096</v>
      </c>
      <c r="C778" s="1" t="n">
        <v>45353</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27255-2023</t>
        </is>
      </c>
      <c r="B779" s="1" t="n">
        <v>45096</v>
      </c>
      <c r="C779" s="1" t="n">
        <v>45353</v>
      </c>
      <c r="D779" t="inlineStr">
        <is>
          <t>VÄSTMANLANDS LÄN</t>
        </is>
      </c>
      <c r="E779" t="inlineStr">
        <is>
          <t>SALA</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27424-2023</t>
        </is>
      </c>
      <c r="B780" s="1" t="n">
        <v>45097</v>
      </c>
      <c r="C780" s="1" t="n">
        <v>45353</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27638-2023</t>
        </is>
      </c>
      <c r="B781" s="1" t="n">
        <v>45097</v>
      </c>
      <c r="C781" s="1" t="n">
        <v>45353</v>
      </c>
      <c r="D781" t="inlineStr">
        <is>
          <t>VÄSTMANLANDS LÄN</t>
        </is>
      </c>
      <c r="E781" t="inlineStr">
        <is>
          <t>SALA</t>
        </is>
      </c>
      <c r="G781" t="n">
        <v>8.4</v>
      </c>
      <c r="H781" t="n">
        <v>0</v>
      </c>
      <c r="I781" t="n">
        <v>0</v>
      </c>
      <c r="J781" t="n">
        <v>0</v>
      </c>
      <c r="K781" t="n">
        <v>0</v>
      </c>
      <c r="L781" t="n">
        <v>0</v>
      </c>
      <c r="M781" t="n">
        <v>0</v>
      </c>
      <c r="N781" t="n">
        <v>0</v>
      </c>
      <c r="O781" t="n">
        <v>0</v>
      </c>
      <c r="P781" t="n">
        <v>0</v>
      </c>
      <c r="Q781" t="n">
        <v>0</v>
      </c>
      <c r="R781" s="2" t="inlineStr"/>
    </row>
    <row r="782" ht="15" customHeight="1">
      <c r="A782" t="inlineStr">
        <is>
          <t>A 27657-2023</t>
        </is>
      </c>
      <c r="B782" s="1" t="n">
        <v>45097</v>
      </c>
      <c r="C782" s="1" t="n">
        <v>45353</v>
      </c>
      <c r="D782" t="inlineStr">
        <is>
          <t>VÄSTMANLANDS LÄN</t>
        </is>
      </c>
      <c r="E782" t="inlineStr">
        <is>
          <t>SALA</t>
        </is>
      </c>
      <c r="G782" t="n">
        <v>0.1</v>
      </c>
      <c r="H782" t="n">
        <v>0</v>
      </c>
      <c r="I782" t="n">
        <v>0</v>
      </c>
      <c r="J782" t="n">
        <v>0</v>
      </c>
      <c r="K782" t="n">
        <v>0</v>
      </c>
      <c r="L782" t="n">
        <v>0</v>
      </c>
      <c r="M782" t="n">
        <v>0</v>
      </c>
      <c r="N782" t="n">
        <v>0</v>
      </c>
      <c r="O782" t="n">
        <v>0</v>
      </c>
      <c r="P782" t="n">
        <v>0</v>
      </c>
      <c r="Q782" t="n">
        <v>0</v>
      </c>
      <c r="R782" s="2" t="inlineStr"/>
    </row>
    <row r="783" ht="15" customHeight="1">
      <c r="A783" t="inlineStr">
        <is>
          <t>A 27744-2023</t>
        </is>
      </c>
      <c r="B783" s="1" t="n">
        <v>45098</v>
      </c>
      <c r="C783" s="1" t="n">
        <v>45353</v>
      </c>
      <c r="D783" t="inlineStr">
        <is>
          <t>VÄSTMANLANDS LÄN</t>
        </is>
      </c>
      <c r="E783" t="inlineStr">
        <is>
          <t>SALA</t>
        </is>
      </c>
      <c r="G783" t="n">
        <v>5.7</v>
      </c>
      <c r="H783" t="n">
        <v>0</v>
      </c>
      <c r="I783" t="n">
        <v>0</v>
      </c>
      <c r="J783" t="n">
        <v>0</v>
      </c>
      <c r="K783" t="n">
        <v>0</v>
      </c>
      <c r="L783" t="n">
        <v>0</v>
      </c>
      <c r="M783" t="n">
        <v>0</v>
      </c>
      <c r="N783" t="n">
        <v>0</v>
      </c>
      <c r="O783" t="n">
        <v>0</v>
      </c>
      <c r="P783" t="n">
        <v>0</v>
      </c>
      <c r="Q783" t="n">
        <v>0</v>
      </c>
      <c r="R783" s="2" t="inlineStr"/>
    </row>
    <row r="784" ht="15" customHeight="1">
      <c r="A784" t="inlineStr">
        <is>
          <t>A 27834-2023</t>
        </is>
      </c>
      <c r="B784" s="1" t="n">
        <v>45098</v>
      </c>
      <c r="C784" s="1" t="n">
        <v>45353</v>
      </c>
      <c r="D784" t="inlineStr">
        <is>
          <t>VÄSTMANLANDS LÄN</t>
        </is>
      </c>
      <c r="E784" t="inlineStr">
        <is>
          <t>SALA</t>
        </is>
      </c>
      <c r="G784" t="n">
        <v>5</v>
      </c>
      <c r="H784" t="n">
        <v>0</v>
      </c>
      <c r="I784" t="n">
        <v>0</v>
      </c>
      <c r="J784" t="n">
        <v>0</v>
      </c>
      <c r="K784" t="n">
        <v>0</v>
      </c>
      <c r="L784" t="n">
        <v>0</v>
      </c>
      <c r="M784" t="n">
        <v>0</v>
      </c>
      <c r="N784" t="n">
        <v>0</v>
      </c>
      <c r="O784" t="n">
        <v>0</v>
      </c>
      <c r="P784" t="n">
        <v>0</v>
      </c>
      <c r="Q784" t="n">
        <v>0</v>
      </c>
      <c r="R784" s="2" t="inlineStr"/>
    </row>
    <row r="785" ht="15" customHeight="1">
      <c r="A785" t="inlineStr">
        <is>
          <t>A 27824-2023</t>
        </is>
      </c>
      <c r="B785" s="1" t="n">
        <v>45098</v>
      </c>
      <c r="C785" s="1" t="n">
        <v>45353</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27749-2023</t>
        </is>
      </c>
      <c r="B786" s="1" t="n">
        <v>45098</v>
      </c>
      <c r="C786" s="1" t="n">
        <v>45353</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29542-2023</t>
        </is>
      </c>
      <c r="B787" s="1" t="n">
        <v>45098</v>
      </c>
      <c r="C787" s="1" t="n">
        <v>45353</v>
      </c>
      <c r="D787" t="inlineStr">
        <is>
          <t>VÄSTMANLANDS LÄN</t>
        </is>
      </c>
      <c r="E787" t="inlineStr">
        <is>
          <t>SALA</t>
        </is>
      </c>
      <c r="G787" t="n">
        <v>4.8</v>
      </c>
      <c r="H787" t="n">
        <v>0</v>
      </c>
      <c r="I787" t="n">
        <v>0</v>
      </c>
      <c r="J787" t="n">
        <v>0</v>
      </c>
      <c r="K787" t="n">
        <v>0</v>
      </c>
      <c r="L787" t="n">
        <v>0</v>
      </c>
      <c r="M787" t="n">
        <v>0</v>
      </c>
      <c r="N787" t="n">
        <v>0</v>
      </c>
      <c r="O787" t="n">
        <v>0</v>
      </c>
      <c r="P787" t="n">
        <v>0</v>
      </c>
      <c r="Q787" t="n">
        <v>0</v>
      </c>
      <c r="R787" s="2" t="inlineStr"/>
    </row>
    <row r="788" ht="15" customHeight="1">
      <c r="A788" t="inlineStr">
        <is>
          <t>A 28328-2023</t>
        </is>
      </c>
      <c r="B788" s="1" t="n">
        <v>45099</v>
      </c>
      <c r="C788" s="1" t="n">
        <v>45353</v>
      </c>
      <c r="D788" t="inlineStr">
        <is>
          <t>VÄSTMANLANDS LÄN</t>
        </is>
      </c>
      <c r="E788" t="inlineStr">
        <is>
          <t>SALA</t>
        </is>
      </c>
      <c r="G788" t="n">
        <v>1.8</v>
      </c>
      <c r="H788" t="n">
        <v>0</v>
      </c>
      <c r="I788" t="n">
        <v>0</v>
      </c>
      <c r="J788" t="n">
        <v>0</v>
      </c>
      <c r="K788" t="n">
        <v>0</v>
      </c>
      <c r="L788" t="n">
        <v>0</v>
      </c>
      <c r="M788" t="n">
        <v>0</v>
      </c>
      <c r="N788" t="n">
        <v>0</v>
      </c>
      <c r="O788" t="n">
        <v>0</v>
      </c>
      <c r="P788" t="n">
        <v>0</v>
      </c>
      <c r="Q788" t="n">
        <v>0</v>
      </c>
      <c r="R788" s="2" t="inlineStr"/>
    </row>
    <row r="789" ht="15" customHeight="1">
      <c r="A789" t="inlineStr">
        <is>
          <t>A 28696-2023</t>
        </is>
      </c>
      <c r="B789" s="1" t="n">
        <v>45103</v>
      </c>
      <c r="C789" s="1" t="n">
        <v>45353</v>
      </c>
      <c r="D789" t="inlineStr">
        <is>
          <t>VÄSTMANLANDS LÄN</t>
        </is>
      </c>
      <c r="E789" t="inlineStr">
        <is>
          <t>SALA</t>
        </is>
      </c>
      <c r="F789" t="inlineStr">
        <is>
          <t>Kommuner</t>
        </is>
      </c>
      <c r="G789" t="n">
        <v>5.9</v>
      </c>
      <c r="H789" t="n">
        <v>0</v>
      </c>
      <c r="I789" t="n">
        <v>0</v>
      </c>
      <c r="J789" t="n">
        <v>0</v>
      </c>
      <c r="K789" t="n">
        <v>0</v>
      </c>
      <c r="L789" t="n">
        <v>0</v>
      </c>
      <c r="M789" t="n">
        <v>0</v>
      </c>
      <c r="N789" t="n">
        <v>0</v>
      </c>
      <c r="O789" t="n">
        <v>0</v>
      </c>
      <c r="P789" t="n">
        <v>0</v>
      </c>
      <c r="Q789" t="n">
        <v>0</v>
      </c>
      <c r="R789" s="2" t="inlineStr"/>
    </row>
    <row r="790" ht="15" customHeight="1">
      <c r="A790" t="inlineStr">
        <is>
          <t>A 29241-2023</t>
        </is>
      </c>
      <c r="B790" s="1" t="n">
        <v>45105</v>
      </c>
      <c r="C790" s="1" t="n">
        <v>45353</v>
      </c>
      <c r="D790" t="inlineStr">
        <is>
          <t>VÄSTMANLANDS LÄN</t>
        </is>
      </c>
      <c r="E790" t="inlineStr">
        <is>
          <t>SALA</t>
        </is>
      </c>
      <c r="F790" t="inlineStr">
        <is>
          <t>Kommuner</t>
        </is>
      </c>
      <c r="G790" t="n">
        <v>4.8</v>
      </c>
      <c r="H790" t="n">
        <v>0</v>
      </c>
      <c r="I790" t="n">
        <v>0</v>
      </c>
      <c r="J790" t="n">
        <v>0</v>
      </c>
      <c r="K790" t="n">
        <v>0</v>
      </c>
      <c r="L790" t="n">
        <v>0</v>
      </c>
      <c r="M790" t="n">
        <v>0</v>
      </c>
      <c r="N790" t="n">
        <v>0</v>
      </c>
      <c r="O790" t="n">
        <v>0</v>
      </c>
      <c r="P790" t="n">
        <v>0</v>
      </c>
      <c r="Q790" t="n">
        <v>0</v>
      </c>
      <c r="R790" s="2" t="inlineStr"/>
    </row>
    <row r="791" ht="15" customHeight="1">
      <c r="A791" t="inlineStr">
        <is>
          <t>A 29727-2023</t>
        </is>
      </c>
      <c r="B791" s="1" t="n">
        <v>45107</v>
      </c>
      <c r="C791" s="1" t="n">
        <v>45353</v>
      </c>
      <c r="D791" t="inlineStr">
        <is>
          <t>VÄSTMANLANDS LÄN</t>
        </is>
      </c>
      <c r="E791" t="inlineStr">
        <is>
          <t>SALA</t>
        </is>
      </c>
      <c r="G791" t="n">
        <v>1.9</v>
      </c>
      <c r="H791" t="n">
        <v>0</v>
      </c>
      <c r="I791" t="n">
        <v>0</v>
      </c>
      <c r="J791" t="n">
        <v>0</v>
      </c>
      <c r="K791" t="n">
        <v>0</v>
      </c>
      <c r="L791" t="n">
        <v>0</v>
      </c>
      <c r="M791" t="n">
        <v>0</v>
      </c>
      <c r="N791" t="n">
        <v>0</v>
      </c>
      <c r="O791" t="n">
        <v>0</v>
      </c>
      <c r="P791" t="n">
        <v>0</v>
      </c>
      <c r="Q791" t="n">
        <v>0</v>
      </c>
      <c r="R791" s="2" t="inlineStr"/>
    </row>
    <row r="792" ht="15" customHeight="1">
      <c r="A792" t="inlineStr">
        <is>
          <t>A 31945-2023</t>
        </is>
      </c>
      <c r="B792" s="1" t="n">
        <v>45107</v>
      </c>
      <c r="C792" s="1" t="n">
        <v>45353</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31950-2023</t>
        </is>
      </c>
      <c r="B793" s="1" t="n">
        <v>45107</v>
      </c>
      <c r="C793" s="1" t="n">
        <v>45353</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31953-2023</t>
        </is>
      </c>
      <c r="B794" s="1" t="n">
        <v>45107</v>
      </c>
      <c r="C794" s="1" t="n">
        <v>45353</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31298-2023</t>
        </is>
      </c>
      <c r="B795" s="1" t="n">
        <v>45114</v>
      </c>
      <c r="C795" s="1" t="n">
        <v>45353</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31315-2023</t>
        </is>
      </c>
      <c r="B796" s="1" t="n">
        <v>45114</v>
      </c>
      <c r="C796" s="1" t="n">
        <v>45353</v>
      </c>
      <c r="D796" t="inlineStr">
        <is>
          <t>VÄSTMANLANDS LÄN</t>
        </is>
      </c>
      <c r="E796" t="inlineStr">
        <is>
          <t>SALA</t>
        </is>
      </c>
      <c r="G796" t="n">
        <v>1.7</v>
      </c>
      <c r="H796" t="n">
        <v>0</v>
      </c>
      <c r="I796" t="n">
        <v>0</v>
      </c>
      <c r="J796" t="n">
        <v>0</v>
      </c>
      <c r="K796" t="n">
        <v>0</v>
      </c>
      <c r="L796" t="n">
        <v>0</v>
      </c>
      <c r="M796" t="n">
        <v>0</v>
      </c>
      <c r="N796" t="n">
        <v>0</v>
      </c>
      <c r="O796" t="n">
        <v>0</v>
      </c>
      <c r="P796" t="n">
        <v>0</v>
      </c>
      <c r="Q796" t="n">
        <v>0</v>
      </c>
      <c r="R796" s="2" t="inlineStr"/>
    </row>
    <row r="797" ht="15" customHeight="1">
      <c r="A797" t="inlineStr">
        <is>
          <t>A 31646-2023</t>
        </is>
      </c>
      <c r="B797" s="1" t="n">
        <v>45117</v>
      </c>
      <c r="C797" s="1" t="n">
        <v>45353</v>
      </c>
      <c r="D797" t="inlineStr">
        <is>
          <t>VÄSTMANLANDS LÄN</t>
        </is>
      </c>
      <c r="E797" t="inlineStr">
        <is>
          <t>SALA</t>
        </is>
      </c>
      <c r="G797" t="n">
        <v>3.5</v>
      </c>
      <c r="H797" t="n">
        <v>0</v>
      </c>
      <c r="I797" t="n">
        <v>0</v>
      </c>
      <c r="J797" t="n">
        <v>0</v>
      </c>
      <c r="K797" t="n">
        <v>0</v>
      </c>
      <c r="L797" t="n">
        <v>0</v>
      </c>
      <c r="M797" t="n">
        <v>0</v>
      </c>
      <c r="N797" t="n">
        <v>0</v>
      </c>
      <c r="O797" t="n">
        <v>0</v>
      </c>
      <c r="P797" t="n">
        <v>0</v>
      </c>
      <c r="Q797" t="n">
        <v>0</v>
      </c>
      <c r="R797" s="2" t="inlineStr"/>
    </row>
    <row r="798" ht="15" customHeight="1">
      <c r="A798" t="inlineStr">
        <is>
          <t>A 31859-2023</t>
        </is>
      </c>
      <c r="B798" s="1" t="n">
        <v>45118</v>
      </c>
      <c r="C798" s="1" t="n">
        <v>45353</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c r="U798">
        <f>HYPERLINK("https://klasma.github.io/Logging_1981/knärot/A 31859-2023 karta knärot.png", "A 31859-2023")</f>
        <v/>
      </c>
      <c r="V798">
        <f>HYPERLINK("https://klasma.github.io/Logging_1981/klagomål/A 31859-2023 FSC-klagomål.docx", "A 31859-2023")</f>
        <v/>
      </c>
      <c r="W798">
        <f>HYPERLINK("https://klasma.github.io/Logging_1981/klagomålsmail/A 31859-2023 FSC-klagomål mail.docx", "A 31859-2023")</f>
        <v/>
      </c>
      <c r="X798">
        <f>HYPERLINK("https://klasma.github.io/Logging_1981/tillsyn/A 31859-2023 tillsynsbegäran.docx", "A 31859-2023")</f>
        <v/>
      </c>
      <c r="Y798">
        <f>HYPERLINK("https://klasma.github.io/Logging_1981/tillsynsmail/A 31859-2023 tillsynsbegäran mail.docx", "A 31859-2023")</f>
        <v/>
      </c>
    </row>
    <row r="799" ht="15" customHeight="1">
      <c r="A799" t="inlineStr">
        <is>
          <t>A 32945-2023</t>
        </is>
      </c>
      <c r="B799" s="1" t="n">
        <v>45125</v>
      </c>
      <c r="C799" s="1" t="n">
        <v>45353</v>
      </c>
      <c r="D799" t="inlineStr">
        <is>
          <t>VÄSTMANLANDS LÄN</t>
        </is>
      </c>
      <c r="E799" t="inlineStr">
        <is>
          <t>SALA</t>
        </is>
      </c>
      <c r="G799" t="n">
        <v>1.5</v>
      </c>
      <c r="H799" t="n">
        <v>0</v>
      </c>
      <c r="I799" t="n">
        <v>0</v>
      </c>
      <c r="J799" t="n">
        <v>0</v>
      </c>
      <c r="K799" t="n">
        <v>0</v>
      </c>
      <c r="L799" t="n">
        <v>0</v>
      </c>
      <c r="M799" t="n">
        <v>0</v>
      </c>
      <c r="N799" t="n">
        <v>0</v>
      </c>
      <c r="O799" t="n">
        <v>0</v>
      </c>
      <c r="P799" t="n">
        <v>0</v>
      </c>
      <c r="Q799" t="n">
        <v>0</v>
      </c>
      <c r="R799" s="2" t="inlineStr"/>
    </row>
    <row r="800" ht="15" customHeight="1">
      <c r="A800" t="inlineStr">
        <is>
          <t>A 33152-2023</t>
        </is>
      </c>
      <c r="B800" s="1" t="n">
        <v>45126</v>
      </c>
      <c r="C800" s="1" t="n">
        <v>45353</v>
      </c>
      <c r="D800" t="inlineStr">
        <is>
          <t>VÄSTMANLANDS LÄN</t>
        </is>
      </c>
      <c r="E800" t="inlineStr">
        <is>
          <t>SALA</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33151-2023</t>
        </is>
      </c>
      <c r="B801" s="1" t="n">
        <v>45126</v>
      </c>
      <c r="C801" s="1" t="n">
        <v>45353</v>
      </c>
      <c r="D801" t="inlineStr">
        <is>
          <t>VÄSTMANLANDS LÄN</t>
        </is>
      </c>
      <c r="E801" t="inlineStr">
        <is>
          <t>SALA</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33180-2023</t>
        </is>
      </c>
      <c r="B802" s="1" t="n">
        <v>45127</v>
      </c>
      <c r="C802" s="1" t="n">
        <v>45353</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33273-2023</t>
        </is>
      </c>
      <c r="B803" s="1" t="n">
        <v>45127</v>
      </c>
      <c r="C803" s="1" t="n">
        <v>45353</v>
      </c>
      <c r="D803" t="inlineStr">
        <is>
          <t>VÄSTMANLANDS LÄN</t>
        </is>
      </c>
      <c r="E803" t="inlineStr">
        <is>
          <t>SALA</t>
        </is>
      </c>
      <c r="G803" t="n">
        <v>2.6</v>
      </c>
      <c r="H803" t="n">
        <v>0</v>
      </c>
      <c r="I803" t="n">
        <v>0</v>
      </c>
      <c r="J803" t="n">
        <v>0</v>
      </c>
      <c r="K803" t="n">
        <v>0</v>
      </c>
      <c r="L803" t="n">
        <v>0</v>
      </c>
      <c r="M803" t="n">
        <v>0</v>
      </c>
      <c r="N803" t="n">
        <v>0</v>
      </c>
      <c r="O803" t="n">
        <v>0</v>
      </c>
      <c r="P803" t="n">
        <v>0</v>
      </c>
      <c r="Q803" t="n">
        <v>0</v>
      </c>
      <c r="R803" s="2" t="inlineStr"/>
    </row>
    <row r="804" ht="15" customHeight="1">
      <c r="A804" t="inlineStr">
        <is>
          <t>A 33527-2023</t>
        </is>
      </c>
      <c r="B804" s="1" t="n">
        <v>45131</v>
      </c>
      <c r="C804" s="1" t="n">
        <v>45353</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34361-2023</t>
        </is>
      </c>
      <c r="B805" s="1" t="n">
        <v>45131</v>
      </c>
      <c r="C805" s="1" t="n">
        <v>45353</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33732-2023</t>
        </is>
      </c>
      <c r="B806" s="1" t="n">
        <v>45133</v>
      </c>
      <c r="C806" s="1" t="n">
        <v>45353</v>
      </c>
      <c r="D806" t="inlineStr">
        <is>
          <t>VÄSTMANLANDS LÄN</t>
        </is>
      </c>
      <c r="E806" t="inlineStr">
        <is>
          <t>SALA</t>
        </is>
      </c>
      <c r="G806" t="n">
        <v>2</v>
      </c>
      <c r="H806" t="n">
        <v>0</v>
      </c>
      <c r="I806" t="n">
        <v>0</v>
      </c>
      <c r="J806" t="n">
        <v>0</v>
      </c>
      <c r="K806" t="n">
        <v>0</v>
      </c>
      <c r="L806" t="n">
        <v>0</v>
      </c>
      <c r="M806" t="n">
        <v>0</v>
      </c>
      <c r="N806" t="n">
        <v>0</v>
      </c>
      <c r="O806" t="n">
        <v>0</v>
      </c>
      <c r="P806" t="n">
        <v>0</v>
      </c>
      <c r="Q806" t="n">
        <v>0</v>
      </c>
      <c r="R806" s="2" t="inlineStr"/>
    </row>
    <row r="807" ht="15" customHeight="1">
      <c r="A807" t="inlineStr">
        <is>
          <t>A 33743-2023</t>
        </is>
      </c>
      <c r="B807" s="1" t="n">
        <v>45133</v>
      </c>
      <c r="C807" s="1" t="n">
        <v>45353</v>
      </c>
      <c r="D807" t="inlineStr">
        <is>
          <t>VÄSTMANLANDS LÄN</t>
        </is>
      </c>
      <c r="E807" t="inlineStr">
        <is>
          <t>SALA</t>
        </is>
      </c>
      <c r="G807" t="n">
        <v>4.6</v>
      </c>
      <c r="H807" t="n">
        <v>0</v>
      </c>
      <c r="I807" t="n">
        <v>0</v>
      </c>
      <c r="J807" t="n">
        <v>0</v>
      </c>
      <c r="K807" t="n">
        <v>0</v>
      </c>
      <c r="L807" t="n">
        <v>0</v>
      </c>
      <c r="M807" t="n">
        <v>0</v>
      </c>
      <c r="N807" t="n">
        <v>0</v>
      </c>
      <c r="O807" t="n">
        <v>0</v>
      </c>
      <c r="P807" t="n">
        <v>0</v>
      </c>
      <c r="Q807" t="n">
        <v>0</v>
      </c>
      <c r="R807" s="2" t="inlineStr"/>
    </row>
    <row r="808" ht="15" customHeight="1">
      <c r="A808" t="inlineStr">
        <is>
          <t>A 34494-2023</t>
        </is>
      </c>
      <c r="B808" s="1" t="n">
        <v>45133</v>
      </c>
      <c r="C808" s="1" t="n">
        <v>45353</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34215-2023</t>
        </is>
      </c>
      <c r="B809" s="1" t="n">
        <v>45138</v>
      </c>
      <c r="C809" s="1" t="n">
        <v>45353</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34867-2023</t>
        </is>
      </c>
      <c r="B810" s="1" t="n">
        <v>45142</v>
      </c>
      <c r="C810" s="1" t="n">
        <v>45353</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35434-2023</t>
        </is>
      </c>
      <c r="B811" s="1" t="n">
        <v>45146</v>
      </c>
      <c r="C811" s="1" t="n">
        <v>45353</v>
      </c>
      <c r="D811" t="inlineStr">
        <is>
          <t>VÄSTMANLANDS LÄN</t>
        </is>
      </c>
      <c r="E811" t="inlineStr">
        <is>
          <t>SALA</t>
        </is>
      </c>
      <c r="G811" t="n">
        <v>2.5</v>
      </c>
      <c r="H811" t="n">
        <v>0</v>
      </c>
      <c r="I811" t="n">
        <v>0</v>
      </c>
      <c r="J811" t="n">
        <v>0</v>
      </c>
      <c r="K811" t="n">
        <v>0</v>
      </c>
      <c r="L811" t="n">
        <v>0</v>
      </c>
      <c r="M811" t="n">
        <v>0</v>
      </c>
      <c r="N811" t="n">
        <v>0</v>
      </c>
      <c r="O811" t="n">
        <v>0</v>
      </c>
      <c r="P811" t="n">
        <v>0</v>
      </c>
      <c r="Q811" t="n">
        <v>0</v>
      </c>
      <c r="R811" s="2" t="inlineStr"/>
    </row>
    <row r="812" ht="15" customHeight="1">
      <c r="A812" t="inlineStr">
        <is>
          <t>A 36393-2023</t>
        </is>
      </c>
      <c r="B812" s="1" t="n">
        <v>45152</v>
      </c>
      <c r="C812" s="1" t="n">
        <v>45353</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36858-2023</t>
        </is>
      </c>
      <c r="B813" s="1" t="n">
        <v>45154</v>
      </c>
      <c r="C813" s="1" t="n">
        <v>45353</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38773-2023</t>
        </is>
      </c>
      <c r="B814" s="1" t="n">
        <v>45161</v>
      </c>
      <c r="C814" s="1" t="n">
        <v>45353</v>
      </c>
      <c r="D814" t="inlineStr">
        <is>
          <t>VÄSTMANLANDS LÄN</t>
        </is>
      </c>
      <c r="E814" t="inlineStr">
        <is>
          <t>SALA</t>
        </is>
      </c>
      <c r="G814" t="n">
        <v>12.5</v>
      </c>
      <c r="H814" t="n">
        <v>0</v>
      </c>
      <c r="I814" t="n">
        <v>0</v>
      </c>
      <c r="J814" t="n">
        <v>0</v>
      </c>
      <c r="K814" t="n">
        <v>0</v>
      </c>
      <c r="L814" t="n">
        <v>0</v>
      </c>
      <c r="M814" t="n">
        <v>0</v>
      </c>
      <c r="N814" t="n">
        <v>0</v>
      </c>
      <c r="O814" t="n">
        <v>0</v>
      </c>
      <c r="P814" t="n">
        <v>0</v>
      </c>
      <c r="Q814" t="n">
        <v>0</v>
      </c>
      <c r="R814" s="2" t="inlineStr"/>
    </row>
    <row r="815" ht="15" customHeight="1">
      <c r="A815" t="inlineStr">
        <is>
          <t>A 38561-2023</t>
        </is>
      </c>
      <c r="B815" s="1" t="n">
        <v>45162</v>
      </c>
      <c r="C815" s="1" t="n">
        <v>45353</v>
      </c>
      <c r="D815" t="inlineStr">
        <is>
          <t>VÄSTMANLANDS LÄN</t>
        </is>
      </c>
      <c r="E815" t="inlineStr">
        <is>
          <t>SALA</t>
        </is>
      </c>
      <c r="G815" t="n">
        <v>2.9</v>
      </c>
      <c r="H815" t="n">
        <v>0</v>
      </c>
      <c r="I815" t="n">
        <v>0</v>
      </c>
      <c r="J815" t="n">
        <v>0</v>
      </c>
      <c r="K815" t="n">
        <v>0</v>
      </c>
      <c r="L815" t="n">
        <v>0</v>
      </c>
      <c r="M815" t="n">
        <v>0</v>
      </c>
      <c r="N815" t="n">
        <v>0</v>
      </c>
      <c r="O815" t="n">
        <v>0</v>
      </c>
      <c r="P815" t="n">
        <v>0</v>
      </c>
      <c r="Q815" t="n">
        <v>0</v>
      </c>
      <c r="R815" s="2" t="inlineStr"/>
    </row>
    <row r="816" ht="15" customHeight="1">
      <c r="A816" t="inlineStr">
        <is>
          <t>A 39011-2023</t>
        </is>
      </c>
      <c r="B816" s="1" t="n">
        <v>45162</v>
      </c>
      <c r="C816" s="1" t="n">
        <v>45353</v>
      </c>
      <c r="D816" t="inlineStr">
        <is>
          <t>VÄSTMANLANDS LÄN</t>
        </is>
      </c>
      <c r="E816" t="inlineStr">
        <is>
          <t>SALA</t>
        </is>
      </c>
      <c r="G816" t="n">
        <v>1.6</v>
      </c>
      <c r="H816" t="n">
        <v>0</v>
      </c>
      <c r="I816" t="n">
        <v>0</v>
      </c>
      <c r="J816" t="n">
        <v>0</v>
      </c>
      <c r="K816" t="n">
        <v>0</v>
      </c>
      <c r="L816" t="n">
        <v>0</v>
      </c>
      <c r="M816" t="n">
        <v>0</v>
      </c>
      <c r="N816" t="n">
        <v>0</v>
      </c>
      <c r="O816" t="n">
        <v>0</v>
      </c>
      <c r="P816" t="n">
        <v>0</v>
      </c>
      <c r="Q816" t="n">
        <v>0</v>
      </c>
      <c r="R816" s="2" t="inlineStr"/>
    </row>
    <row r="817" ht="15" customHeight="1">
      <c r="A817" t="inlineStr">
        <is>
          <t>A 39604-2023</t>
        </is>
      </c>
      <c r="B817" s="1" t="n">
        <v>45163</v>
      </c>
      <c r="C817" s="1" t="n">
        <v>45353</v>
      </c>
      <c r="D817" t="inlineStr">
        <is>
          <t>VÄSTMANLANDS LÄN</t>
        </is>
      </c>
      <c r="E817" t="inlineStr">
        <is>
          <t>SALA</t>
        </is>
      </c>
      <c r="G817" t="n">
        <v>2.7</v>
      </c>
      <c r="H817" t="n">
        <v>0</v>
      </c>
      <c r="I817" t="n">
        <v>0</v>
      </c>
      <c r="J817" t="n">
        <v>0</v>
      </c>
      <c r="K817" t="n">
        <v>0</v>
      </c>
      <c r="L817" t="n">
        <v>0</v>
      </c>
      <c r="M817" t="n">
        <v>0</v>
      </c>
      <c r="N817" t="n">
        <v>0</v>
      </c>
      <c r="O817" t="n">
        <v>0</v>
      </c>
      <c r="P817" t="n">
        <v>0</v>
      </c>
      <c r="Q817" t="n">
        <v>0</v>
      </c>
      <c r="R817" s="2" t="inlineStr"/>
    </row>
    <row r="818" ht="15" customHeight="1">
      <c r="A818" t="inlineStr">
        <is>
          <t>A 39714-2023</t>
        </is>
      </c>
      <c r="B818" s="1" t="n">
        <v>45167</v>
      </c>
      <c r="C818" s="1" t="n">
        <v>45353</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39708-2023</t>
        </is>
      </c>
      <c r="B819" s="1" t="n">
        <v>45167</v>
      </c>
      <c r="C819" s="1" t="n">
        <v>45353</v>
      </c>
      <c r="D819" t="inlineStr">
        <is>
          <t>VÄSTMANLANDS LÄN</t>
        </is>
      </c>
      <c r="E819" t="inlineStr">
        <is>
          <t>SALA</t>
        </is>
      </c>
      <c r="G819" t="n">
        <v>5.3</v>
      </c>
      <c r="H819" t="n">
        <v>0</v>
      </c>
      <c r="I819" t="n">
        <v>0</v>
      </c>
      <c r="J819" t="n">
        <v>0</v>
      </c>
      <c r="K819" t="n">
        <v>0</v>
      </c>
      <c r="L819" t="n">
        <v>0</v>
      </c>
      <c r="M819" t="n">
        <v>0</v>
      </c>
      <c r="N819" t="n">
        <v>0</v>
      </c>
      <c r="O819" t="n">
        <v>0</v>
      </c>
      <c r="P819" t="n">
        <v>0</v>
      </c>
      <c r="Q819" t="n">
        <v>0</v>
      </c>
      <c r="R819" s="2" t="inlineStr"/>
    </row>
    <row r="820" ht="15" customHeight="1">
      <c r="A820" t="inlineStr">
        <is>
          <t>A 39713-2023</t>
        </is>
      </c>
      <c r="B820" s="1" t="n">
        <v>45167</v>
      </c>
      <c r="C820" s="1" t="n">
        <v>45353</v>
      </c>
      <c r="D820" t="inlineStr">
        <is>
          <t>VÄSTMANLANDS LÄN</t>
        </is>
      </c>
      <c r="E820" t="inlineStr">
        <is>
          <t>SALA</t>
        </is>
      </c>
      <c r="G820" t="n">
        <v>3.1</v>
      </c>
      <c r="H820" t="n">
        <v>0</v>
      </c>
      <c r="I820" t="n">
        <v>0</v>
      </c>
      <c r="J820" t="n">
        <v>0</v>
      </c>
      <c r="K820" t="n">
        <v>0</v>
      </c>
      <c r="L820" t="n">
        <v>0</v>
      </c>
      <c r="M820" t="n">
        <v>0</v>
      </c>
      <c r="N820" t="n">
        <v>0</v>
      </c>
      <c r="O820" t="n">
        <v>0</v>
      </c>
      <c r="P820" t="n">
        <v>0</v>
      </c>
      <c r="Q820" t="n">
        <v>0</v>
      </c>
      <c r="R820" s="2" t="inlineStr"/>
    </row>
    <row r="821" ht="15" customHeight="1">
      <c r="A821" t="inlineStr">
        <is>
          <t>A 40214-2023</t>
        </is>
      </c>
      <c r="B821" s="1" t="n">
        <v>45169</v>
      </c>
      <c r="C821" s="1" t="n">
        <v>45353</v>
      </c>
      <c r="D821" t="inlineStr">
        <is>
          <t>VÄSTMANLANDS LÄN</t>
        </is>
      </c>
      <c r="E821" t="inlineStr">
        <is>
          <t>SALA</t>
        </is>
      </c>
      <c r="G821" t="n">
        <v>5.5</v>
      </c>
      <c r="H821" t="n">
        <v>0</v>
      </c>
      <c r="I821" t="n">
        <v>0</v>
      </c>
      <c r="J821" t="n">
        <v>0</v>
      </c>
      <c r="K821" t="n">
        <v>0</v>
      </c>
      <c r="L821" t="n">
        <v>0</v>
      </c>
      <c r="M821" t="n">
        <v>0</v>
      </c>
      <c r="N821" t="n">
        <v>0</v>
      </c>
      <c r="O821" t="n">
        <v>0</v>
      </c>
      <c r="P821" t="n">
        <v>0</v>
      </c>
      <c r="Q821" t="n">
        <v>0</v>
      </c>
      <c r="R821" s="2" t="inlineStr"/>
    </row>
    <row r="822" ht="15" customHeight="1">
      <c r="A822" t="inlineStr">
        <is>
          <t>A 41613-2023</t>
        </is>
      </c>
      <c r="B822" s="1" t="n">
        <v>45173</v>
      </c>
      <c r="C822" s="1" t="n">
        <v>45353</v>
      </c>
      <c r="D822" t="inlineStr">
        <is>
          <t>VÄSTMANLANDS LÄN</t>
        </is>
      </c>
      <c r="E822" t="inlineStr">
        <is>
          <t>SALA</t>
        </is>
      </c>
      <c r="G822" t="n">
        <v>0.7</v>
      </c>
      <c r="H822" t="n">
        <v>0</v>
      </c>
      <c r="I822" t="n">
        <v>0</v>
      </c>
      <c r="J822" t="n">
        <v>0</v>
      </c>
      <c r="K822" t="n">
        <v>0</v>
      </c>
      <c r="L822" t="n">
        <v>0</v>
      </c>
      <c r="M822" t="n">
        <v>0</v>
      </c>
      <c r="N822" t="n">
        <v>0</v>
      </c>
      <c r="O822" t="n">
        <v>0</v>
      </c>
      <c r="P822" t="n">
        <v>0</v>
      </c>
      <c r="Q822" t="n">
        <v>0</v>
      </c>
      <c r="R822" s="2" t="inlineStr"/>
    </row>
    <row r="823" ht="15" customHeight="1">
      <c r="A823" t="inlineStr">
        <is>
          <t>A 41619-2023</t>
        </is>
      </c>
      <c r="B823" s="1" t="n">
        <v>45173</v>
      </c>
      <c r="C823" s="1" t="n">
        <v>45353</v>
      </c>
      <c r="D823" t="inlineStr">
        <is>
          <t>VÄSTMANLANDS LÄN</t>
        </is>
      </c>
      <c r="E823" t="inlineStr">
        <is>
          <t>SALA</t>
        </is>
      </c>
      <c r="G823" t="n">
        <v>1</v>
      </c>
      <c r="H823" t="n">
        <v>0</v>
      </c>
      <c r="I823" t="n">
        <v>0</v>
      </c>
      <c r="J823" t="n">
        <v>0</v>
      </c>
      <c r="K823" t="n">
        <v>0</v>
      </c>
      <c r="L823" t="n">
        <v>0</v>
      </c>
      <c r="M823" t="n">
        <v>0</v>
      </c>
      <c r="N823" t="n">
        <v>0</v>
      </c>
      <c r="O823" t="n">
        <v>0</v>
      </c>
      <c r="P823" t="n">
        <v>0</v>
      </c>
      <c r="Q823" t="n">
        <v>0</v>
      </c>
      <c r="R823" s="2" t="inlineStr"/>
    </row>
    <row r="824" ht="15" customHeight="1">
      <c r="A824" t="inlineStr">
        <is>
          <t>A 42312-2023</t>
        </is>
      </c>
      <c r="B824" s="1" t="n">
        <v>45175</v>
      </c>
      <c r="C824" s="1" t="n">
        <v>45353</v>
      </c>
      <c r="D824" t="inlineStr">
        <is>
          <t>VÄSTMANLANDS LÄN</t>
        </is>
      </c>
      <c r="E824" t="inlineStr">
        <is>
          <t>SALA</t>
        </is>
      </c>
      <c r="G824" t="n">
        <v>2.2</v>
      </c>
      <c r="H824" t="n">
        <v>0</v>
      </c>
      <c r="I824" t="n">
        <v>0</v>
      </c>
      <c r="J824" t="n">
        <v>0</v>
      </c>
      <c r="K824" t="n">
        <v>0</v>
      </c>
      <c r="L824" t="n">
        <v>0</v>
      </c>
      <c r="M824" t="n">
        <v>0</v>
      </c>
      <c r="N824" t="n">
        <v>0</v>
      </c>
      <c r="O824" t="n">
        <v>0</v>
      </c>
      <c r="P824" t="n">
        <v>0</v>
      </c>
      <c r="Q824" t="n">
        <v>0</v>
      </c>
      <c r="R824" s="2" t="inlineStr"/>
    </row>
    <row r="825" ht="15" customHeight="1">
      <c r="A825" t="inlineStr">
        <is>
          <t>A 42938-2023</t>
        </is>
      </c>
      <c r="B825" s="1" t="n">
        <v>45179</v>
      </c>
      <c r="C825" s="1" t="n">
        <v>45353</v>
      </c>
      <c r="D825" t="inlineStr">
        <is>
          <t>VÄSTMANLANDS LÄN</t>
        </is>
      </c>
      <c r="E825" t="inlineStr">
        <is>
          <t>SALA</t>
        </is>
      </c>
      <c r="G825" t="n">
        <v>10.9</v>
      </c>
      <c r="H825" t="n">
        <v>0</v>
      </c>
      <c r="I825" t="n">
        <v>0</v>
      </c>
      <c r="J825" t="n">
        <v>0</v>
      </c>
      <c r="K825" t="n">
        <v>0</v>
      </c>
      <c r="L825" t="n">
        <v>0</v>
      </c>
      <c r="M825" t="n">
        <v>0</v>
      </c>
      <c r="N825" t="n">
        <v>0</v>
      </c>
      <c r="O825" t="n">
        <v>0</v>
      </c>
      <c r="P825" t="n">
        <v>0</v>
      </c>
      <c r="Q825" t="n">
        <v>0</v>
      </c>
      <c r="R825" s="2" t="inlineStr"/>
    </row>
    <row r="826" ht="15" customHeight="1">
      <c r="A826" t="inlineStr">
        <is>
          <t>A 42984-2023</t>
        </is>
      </c>
      <c r="B826" s="1" t="n">
        <v>45179</v>
      </c>
      <c r="C826" s="1" t="n">
        <v>45353</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42991-2023</t>
        </is>
      </c>
      <c r="B827" s="1" t="n">
        <v>45179</v>
      </c>
      <c r="C827" s="1" t="n">
        <v>45353</v>
      </c>
      <c r="D827" t="inlineStr">
        <is>
          <t>VÄSTMANLANDS LÄN</t>
        </is>
      </c>
      <c r="E827" t="inlineStr">
        <is>
          <t>SALA</t>
        </is>
      </c>
      <c r="G827" t="n">
        <v>3.6</v>
      </c>
      <c r="H827" t="n">
        <v>0</v>
      </c>
      <c r="I827" t="n">
        <v>0</v>
      </c>
      <c r="J827" t="n">
        <v>0</v>
      </c>
      <c r="K827" t="n">
        <v>0</v>
      </c>
      <c r="L827" t="n">
        <v>0</v>
      </c>
      <c r="M827" t="n">
        <v>0</v>
      </c>
      <c r="N827" t="n">
        <v>0</v>
      </c>
      <c r="O827" t="n">
        <v>0</v>
      </c>
      <c r="P827" t="n">
        <v>0</v>
      </c>
      <c r="Q827" t="n">
        <v>0</v>
      </c>
      <c r="R827" s="2" t="inlineStr"/>
    </row>
    <row r="828" ht="15" customHeight="1">
      <c r="A828" t="inlineStr">
        <is>
          <t>A 44247-2023</t>
        </is>
      </c>
      <c r="B828" s="1" t="n">
        <v>45182</v>
      </c>
      <c r="C828" s="1" t="n">
        <v>45353</v>
      </c>
      <c r="D828" t="inlineStr">
        <is>
          <t>VÄSTMANLANDS LÄN</t>
        </is>
      </c>
      <c r="E828" t="inlineStr">
        <is>
          <t>SALA</t>
        </is>
      </c>
      <c r="G828" t="n">
        <v>1.7</v>
      </c>
      <c r="H828" t="n">
        <v>0</v>
      </c>
      <c r="I828" t="n">
        <v>0</v>
      </c>
      <c r="J828" t="n">
        <v>0</v>
      </c>
      <c r="K828" t="n">
        <v>0</v>
      </c>
      <c r="L828" t="n">
        <v>0</v>
      </c>
      <c r="M828" t="n">
        <v>0</v>
      </c>
      <c r="N828" t="n">
        <v>0</v>
      </c>
      <c r="O828" t="n">
        <v>0</v>
      </c>
      <c r="P828" t="n">
        <v>0</v>
      </c>
      <c r="Q828" t="n">
        <v>0</v>
      </c>
      <c r="R828" s="2" t="inlineStr"/>
    </row>
    <row r="829" ht="15" customHeight="1">
      <c r="A829" t="inlineStr">
        <is>
          <t>A 43188-2023</t>
        </is>
      </c>
      <c r="B829" s="1" t="n">
        <v>45183</v>
      </c>
      <c r="C829" s="1" t="n">
        <v>45353</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43184-2023</t>
        </is>
      </c>
      <c r="B830" s="1" t="n">
        <v>45183</v>
      </c>
      <c r="C830" s="1" t="n">
        <v>45353</v>
      </c>
      <c r="D830" t="inlineStr">
        <is>
          <t>VÄSTMANLANDS LÄN</t>
        </is>
      </c>
      <c r="E830" t="inlineStr">
        <is>
          <t>SALA</t>
        </is>
      </c>
      <c r="G830" t="n">
        <v>1.6</v>
      </c>
      <c r="H830" t="n">
        <v>0</v>
      </c>
      <c r="I830" t="n">
        <v>0</v>
      </c>
      <c r="J830" t="n">
        <v>0</v>
      </c>
      <c r="K830" t="n">
        <v>0</v>
      </c>
      <c r="L830" t="n">
        <v>0</v>
      </c>
      <c r="M830" t="n">
        <v>0</v>
      </c>
      <c r="N830" t="n">
        <v>0</v>
      </c>
      <c r="O830" t="n">
        <v>0</v>
      </c>
      <c r="P830" t="n">
        <v>0</v>
      </c>
      <c r="Q830" t="n">
        <v>0</v>
      </c>
      <c r="R830" s="2" t="inlineStr"/>
    </row>
    <row r="831" ht="15" customHeight="1">
      <c r="A831" t="inlineStr">
        <is>
          <t>A 43205-2023</t>
        </is>
      </c>
      <c r="B831" s="1" t="n">
        <v>45183</v>
      </c>
      <c r="C831" s="1" t="n">
        <v>45353</v>
      </c>
      <c r="D831" t="inlineStr">
        <is>
          <t>VÄSTMANLANDS LÄN</t>
        </is>
      </c>
      <c r="E831" t="inlineStr">
        <is>
          <t>SALA</t>
        </is>
      </c>
      <c r="G831" t="n">
        <v>2.1</v>
      </c>
      <c r="H831" t="n">
        <v>0</v>
      </c>
      <c r="I831" t="n">
        <v>0</v>
      </c>
      <c r="J831" t="n">
        <v>0</v>
      </c>
      <c r="K831" t="n">
        <v>0</v>
      </c>
      <c r="L831" t="n">
        <v>0</v>
      </c>
      <c r="M831" t="n">
        <v>0</v>
      </c>
      <c r="N831" t="n">
        <v>0</v>
      </c>
      <c r="O831" t="n">
        <v>0</v>
      </c>
      <c r="P831" t="n">
        <v>0</v>
      </c>
      <c r="Q831" t="n">
        <v>0</v>
      </c>
      <c r="R831" s="2" t="inlineStr"/>
    </row>
    <row r="832" ht="15" customHeight="1">
      <c r="A832" t="inlineStr">
        <is>
          <t>A 43176-2023</t>
        </is>
      </c>
      <c r="B832" s="1" t="n">
        <v>45183</v>
      </c>
      <c r="C832" s="1" t="n">
        <v>45353</v>
      </c>
      <c r="D832" t="inlineStr">
        <is>
          <t>VÄSTMANLANDS LÄN</t>
        </is>
      </c>
      <c r="E832" t="inlineStr">
        <is>
          <t>SALA</t>
        </is>
      </c>
      <c r="G832" t="n">
        <v>1.2</v>
      </c>
      <c r="H832" t="n">
        <v>0</v>
      </c>
      <c r="I832" t="n">
        <v>0</v>
      </c>
      <c r="J832" t="n">
        <v>0</v>
      </c>
      <c r="K832" t="n">
        <v>0</v>
      </c>
      <c r="L832" t="n">
        <v>0</v>
      </c>
      <c r="M832" t="n">
        <v>0</v>
      </c>
      <c r="N832" t="n">
        <v>0</v>
      </c>
      <c r="O832" t="n">
        <v>0</v>
      </c>
      <c r="P832" t="n">
        <v>0</v>
      </c>
      <c r="Q832" t="n">
        <v>0</v>
      </c>
      <c r="R832" s="2" t="inlineStr"/>
    </row>
    <row r="833" ht="15" customHeight="1">
      <c r="A833" t="inlineStr">
        <is>
          <t>A 43187-2023</t>
        </is>
      </c>
      <c r="B833" s="1" t="n">
        <v>45183</v>
      </c>
      <c r="C833" s="1" t="n">
        <v>45353</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43363-2023</t>
        </is>
      </c>
      <c r="B834" s="1" t="n">
        <v>45183</v>
      </c>
      <c r="C834" s="1" t="n">
        <v>45353</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43362-2023</t>
        </is>
      </c>
      <c r="B835" s="1" t="n">
        <v>45183</v>
      </c>
      <c r="C835" s="1" t="n">
        <v>45353</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44713-2023</t>
        </is>
      </c>
      <c r="B836" s="1" t="n">
        <v>45184</v>
      </c>
      <c r="C836" s="1" t="n">
        <v>45353</v>
      </c>
      <c r="D836" t="inlineStr">
        <is>
          <t>VÄSTMANLANDS LÄN</t>
        </is>
      </c>
      <c r="E836" t="inlineStr">
        <is>
          <t>SALA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44720-2023</t>
        </is>
      </c>
      <c r="B837" s="1" t="n">
        <v>45184</v>
      </c>
      <c r="C837" s="1" t="n">
        <v>45353</v>
      </c>
      <c r="D837" t="inlineStr">
        <is>
          <t>VÄSTMANLANDS LÄN</t>
        </is>
      </c>
      <c r="E837" t="inlineStr">
        <is>
          <t>SALA</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44297-2023</t>
        </is>
      </c>
      <c r="B838" s="1" t="n">
        <v>45188</v>
      </c>
      <c r="C838" s="1" t="n">
        <v>45353</v>
      </c>
      <c r="D838" t="inlineStr">
        <is>
          <t>VÄSTMANLANDS LÄN</t>
        </is>
      </c>
      <c r="E838" t="inlineStr">
        <is>
          <t>SALA</t>
        </is>
      </c>
      <c r="G838" t="n">
        <v>2.7</v>
      </c>
      <c r="H838" t="n">
        <v>0</v>
      </c>
      <c r="I838" t="n">
        <v>0</v>
      </c>
      <c r="J838" t="n">
        <v>0</v>
      </c>
      <c r="K838" t="n">
        <v>0</v>
      </c>
      <c r="L838" t="n">
        <v>0</v>
      </c>
      <c r="M838" t="n">
        <v>0</v>
      </c>
      <c r="N838" t="n">
        <v>0</v>
      </c>
      <c r="O838" t="n">
        <v>0</v>
      </c>
      <c r="P838" t="n">
        <v>0</v>
      </c>
      <c r="Q838" t="n">
        <v>0</v>
      </c>
      <c r="R838" s="2" t="inlineStr"/>
    </row>
    <row r="839" ht="15" customHeight="1">
      <c r="A839" t="inlineStr">
        <is>
          <t>A 44846-2023</t>
        </is>
      </c>
      <c r="B839" s="1" t="n">
        <v>45190</v>
      </c>
      <c r="C839" s="1" t="n">
        <v>45353</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44857-2023</t>
        </is>
      </c>
      <c r="B840" s="1" t="n">
        <v>45190</v>
      </c>
      <c r="C840" s="1" t="n">
        <v>45353</v>
      </c>
      <c r="D840" t="inlineStr">
        <is>
          <t>VÄSTMANLANDS LÄN</t>
        </is>
      </c>
      <c r="E840" t="inlineStr">
        <is>
          <t>SALA</t>
        </is>
      </c>
      <c r="G840" t="n">
        <v>1</v>
      </c>
      <c r="H840" t="n">
        <v>0</v>
      </c>
      <c r="I840" t="n">
        <v>0</v>
      </c>
      <c r="J840" t="n">
        <v>0</v>
      </c>
      <c r="K840" t="n">
        <v>0</v>
      </c>
      <c r="L840" t="n">
        <v>0</v>
      </c>
      <c r="M840" t="n">
        <v>0</v>
      </c>
      <c r="N840" t="n">
        <v>0</v>
      </c>
      <c r="O840" t="n">
        <v>0</v>
      </c>
      <c r="P840" t="n">
        <v>0</v>
      </c>
      <c r="Q840" t="n">
        <v>0</v>
      </c>
      <c r="R840" s="2" t="inlineStr"/>
    </row>
    <row r="841" ht="15" customHeight="1">
      <c r="A841" t="inlineStr">
        <is>
          <t>A 46352-2023</t>
        </is>
      </c>
      <c r="B841" s="1" t="n">
        <v>45192</v>
      </c>
      <c r="C841" s="1" t="n">
        <v>45353</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46355-2023</t>
        </is>
      </c>
      <c r="B842" s="1" t="n">
        <v>45192</v>
      </c>
      <c r="C842" s="1" t="n">
        <v>45353</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46350-2023</t>
        </is>
      </c>
      <c r="B843" s="1" t="n">
        <v>45192</v>
      </c>
      <c r="C843" s="1" t="n">
        <v>45353</v>
      </c>
      <c r="D843" t="inlineStr">
        <is>
          <t>VÄSTMANLANDS LÄN</t>
        </is>
      </c>
      <c r="E843" t="inlineStr">
        <is>
          <t>SALA</t>
        </is>
      </c>
      <c r="G843" t="n">
        <v>4.8</v>
      </c>
      <c r="H843" t="n">
        <v>0</v>
      </c>
      <c r="I843" t="n">
        <v>0</v>
      </c>
      <c r="J843" t="n">
        <v>0</v>
      </c>
      <c r="K843" t="n">
        <v>0</v>
      </c>
      <c r="L843" t="n">
        <v>0</v>
      </c>
      <c r="M843" t="n">
        <v>0</v>
      </c>
      <c r="N843" t="n">
        <v>0</v>
      </c>
      <c r="O843" t="n">
        <v>0</v>
      </c>
      <c r="P843" t="n">
        <v>0</v>
      </c>
      <c r="Q843" t="n">
        <v>0</v>
      </c>
      <c r="R843" s="2" t="inlineStr"/>
    </row>
    <row r="844" ht="15" customHeight="1">
      <c r="A844" t="inlineStr">
        <is>
          <t>A 45531-2023</t>
        </is>
      </c>
      <c r="B844" s="1" t="n">
        <v>45194</v>
      </c>
      <c r="C844" s="1" t="n">
        <v>45353</v>
      </c>
      <c r="D844" t="inlineStr">
        <is>
          <t>VÄSTMANLANDS LÄN</t>
        </is>
      </c>
      <c r="E844" t="inlineStr">
        <is>
          <t>SALA</t>
        </is>
      </c>
      <c r="G844" t="n">
        <v>0.7</v>
      </c>
      <c r="H844" t="n">
        <v>0</v>
      </c>
      <c r="I844" t="n">
        <v>0</v>
      </c>
      <c r="J844" t="n">
        <v>0</v>
      </c>
      <c r="K844" t="n">
        <v>0</v>
      </c>
      <c r="L844" t="n">
        <v>0</v>
      </c>
      <c r="M844" t="n">
        <v>0</v>
      </c>
      <c r="N844" t="n">
        <v>0</v>
      </c>
      <c r="O844" t="n">
        <v>0</v>
      </c>
      <c r="P844" t="n">
        <v>0</v>
      </c>
      <c r="Q844" t="n">
        <v>0</v>
      </c>
      <c r="R844" s="2" t="inlineStr"/>
    </row>
    <row r="845" ht="15" customHeight="1">
      <c r="A845" t="inlineStr">
        <is>
          <t>A 45602-2023</t>
        </is>
      </c>
      <c r="B845" s="1" t="n">
        <v>45194</v>
      </c>
      <c r="C845" s="1" t="n">
        <v>45353</v>
      </c>
      <c r="D845" t="inlineStr">
        <is>
          <t>VÄSTMANLANDS LÄN</t>
        </is>
      </c>
      <c r="E845" t="inlineStr">
        <is>
          <t>SALA</t>
        </is>
      </c>
      <c r="G845" t="n">
        <v>1.9</v>
      </c>
      <c r="H845" t="n">
        <v>0</v>
      </c>
      <c r="I845" t="n">
        <v>0</v>
      </c>
      <c r="J845" t="n">
        <v>0</v>
      </c>
      <c r="K845" t="n">
        <v>0</v>
      </c>
      <c r="L845" t="n">
        <v>0</v>
      </c>
      <c r="M845" t="n">
        <v>0</v>
      </c>
      <c r="N845" t="n">
        <v>0</v>
      </c>
      <c r="O845" t="n">
        <v>0</v>
      </c>
      <c r="P845" t="n">
        <v>0</v>
      </c>
      <c r="Q845" t="n">
        <v>0</v>
      </c>
      <c r="R845" s="2" t="inlineStr"/>
    </row>
    <row r="846" ht="15" customHeight="1">
      <c r="A846" t="inlineStr">
        <is>
          <t>A 45790-2023</t>
        </is>
      </c>
      <c r="B846" s="1" t="n">
        <v>45195</v>
      </c>
      <c r="C846" s="1" t="n">
        <v>45353</v>
      </c>
      <c r="D846" t="inlineStr">
        <is>
          <t>VÄSTMANLANDS LÄN</t>
        </is>
      </c>
      <c r="E846" t="inlineStr">
        <is>
          <t>SALA</t>
        </is>
      </c>
      <c r="G846" t="n">
        <v>5.7</v>
      </c>
      <c r="H846" t="n">
        <v>0</v>
      </c>
      <c r="I846" t="n">
        <v>0</v>
      </c>
      <c r="J846" t="n">
        <v>0</v>
      </c>
      <c r="K846" t="n">
        <v>0</v>
      </c>
      <c r="L846" t="n">
        <v>0</v>
      </c>
      <c r="M846" t="n">
        <v>0</v>
      </c>
      <c r="N846" t="n">
        <v>0</v>
      </c>
      <c r="O846" t="n">
        <v>0</v>
      </c>
      <c r="P846" t="n">
        <v>0</v>
      </c>
      <c r="Q846" t="n">
        <v>0</v>
      </c>
      <c r="R846" s="2" t="inlineStr"/>
    </row>
    <row r="847" ht="15" customHeight="1">
      <c r="A847" t="inlineStr">
        <is>
          <t>A 46226-2023</t>
        </is>
      </c>
      <c r="B847" s="1" t="n">
        <v>45196</v>
      </c>
      <c r="C847" s="1" t="n">
        <v>45353</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47501-2023</t>
        </is>
      </c>
      <c r="B848" s="1" t="n">
        <v>45202</v>
      </c>
      <c r="C848" s="1" t="n">
        <v>45353</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50876-2023</t>
        </is>
      </c>
      <c r="B849" s="1" t="n">
        <v>45211</v>
      </c>
      <c r="C849" s="1" t="n">
        <v>45353</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50241-2023</t>
        </is>
      </c>
      <c r="B850" s="1" t="n">
        <v>45216</v>
      </c>
      <c r="C850" s="1" t="n">
        <v>45353</v>
      </c>
      <c r="D850" t="inlineStr">
        <is>
          <t>VÄSTMANLANDS LÄN</t>
        </is>
      </c>
      <c r="E850" t="inlineStr">
        <is>
          <t>SALA</t>
        </is>
      </c>
      <c r="G850" t="n">
        <v>1.9</v>
      </c>
      <c r="H850" t="n">
        <v>0</v>
      </c>
      <c r="I850" t="n">
        <v>0</v>
      </c>
      <c r="J850" t="n">
        <v>0</v>
      </c>
      <c r="K850" t="n">
        <v>0</v>
      </c>
      <c r="L850" t="n">
        <v>0</v>
      </c>
      <c r="M850" t="n">
        <v>0</v>
      </c>
      <c r="N850" t="n">
        <v>0</v>
      </c>
      <c r="O850" t="n">
        <v>0</v>
      </c>
      <c r="P850" t="n">
        <v>0</v>
      </c>
      <c r="Q850" t="n">
        <v>0</v>
      </c>
      <c r="R850" s="2" t="inlineStr"/>
    </row>
    <row r="851" ht="15" customHeight="1">
      <c r="A851" t="inlineStr">
        <is>
          <t>A 51203-2023</t>
        </is>
      </c>
      <c r="B851" s="1" t="n">
        <v>45219</v>
      </c>
      <c r="C851" s="1" t="n">
        <v>45353</v>
      </c>
      <c r="D851" t="inlineStr">
        <is>
          <t>VÄSTMANLANDS LÄN</t>
        </is>
      </c>
      <c r="E851" t="inlineStr">
        <is>
          <t>SALA</t>
        </is>
      </c>
      <c r="F851" t="inlineStr">
        <is>
          <t>Kommuner</t>
        </is>
      </c>
      <c r="G851" t="n">
        <v>2.7</v>
      </c>
      <c r="H851" t="n">
        <v>0</v>
      </c>
      <c r="I851" t="n">
        <v>0</v>
      </c>
      <c r="J851" t="n">
        <v>0</v>
      </c>
      <c r="K851" t="n">
        <v>0</v>
      </c>
      <c r="L851" t="n">
        <v>0</v>
      </c>
      <c r="M851" t="n">
        <v>0</v>
      </c>
      <c r="N851" t="n">
        <v>0</v>
      </c>
      <c r="O851" t="n">
        <v>0</v>
      </c>
      <c r="P851" t="n">
        <v>0</v>
      </c>
      <c r="Q851" t="n">
        <v>0</v>
      </c>
      <c r="R851" s="2" t="inlineStr"/>
    </row>
    <row r="852" ht="15" customHeight="1">
      <c r="A852" t="inlineStr">
        <is>
          <t>A 51848-2023</t>
        </is>
      </c>
      <c r="B852" s="1" t="n">
        <v>45223</v>
      </c>
      <c r="C852" s="1" t="n">
        <v>45353</v>
      </c>
      <c r="D852" t="inlineStr">
        <is>
          <t>VÄSTMANLANDS LÄN</t>
        </is>
      </c>
      <c r="E852" t="inlineStr">
        <is>
          <t>SALA</t>
        </is>
      </c>
      <c r="G852" t="n">
        <v>7</v>
      </c>
      <c r="H852" t="n">
        <v>0</v>
      </c>
      <c r="I852" t="n">
        <v>0</v>
      </c>
      <c r="J852" t="n">
        <v>0</v>
      </c>
      <c r="K852" t="n">
        <v>0</v>
      </c>
      <c r="L852" t="n">
        <v>0</v>
      </c>
      <c r="M852" t="n">
        <v>0</v>
      </c>
      <c r="N852" t="n">
        <v>0</v>
      </c>
      <c r="O852" t="n">
        <v>0</v>
      </c>
      <c r="P852" t="n">
        <v>0</v>
      </c>
      <c r="Q852" t="n">
        <v>0</v>
      </c>
      <c r="R852" s="2" t="inlineStr"/>
    </row>
    <row r="853" ht="15" customHeight="1">
      <c r="A853" t="inlineStr">
        <is>
          <t>A 52654-2023</t>
        </is>
      </c>
      <c r="B853" s="1" t="n">
        <v>45225</v>
      </c>
      <c r="C853" s="1" t="n">
        <v>45353</v>
      </c>
      <c r="D853" t="inlineStr">
        <is>
          <t>VÄSTMANLANDS LÄN</t>
        </is>
      </c>
      <c r="E853" t="inlineStr">
        <is>
          <t>SALA</t>
        </is>
      </c>
      <c r="G853" t="n">
        <v>4.6</v>
      </c>
      <c r="H853" t="n">
        <v>0</v>
      </c>
      <c r="I853" t="n">
        <v>0</v>
      </c>
      <c r="J853" t="n">
        <v>0</v>
      </c>
      <c r="K853" t="n">
        <v>0</v>
      </c>
      <c r="L853" t="n">
        <v>0</v>
      </c>
      <c r="M853" t="n">
        <v>0</v>
      </c>
      <c r="N853" t="n">
        <v>0</v>
      </c>
      <c r="O853" t="n">
        <v>0</v>
      </c>
      <c r="P853" t="n">
        <v>0</v>
      </c>
      <c r="Q853" t="n">
        <v>0</v>
      </c>
      <c r="R853" s="2" t="inlineStr"/>
    </row>
    <row r="854" ht="15" customHeight="1">
      <c r="A854" t="inlineStr">
        <is>
          <t>A 54910-2023</t>
        </is>
      </c>
      <c r="B854" s="1" t="n">
        <v>45229</v>
      </c>
      <c r="C854" s="1" t="n">
        <v>45353</v>
      </c>
      <c r="D854" t="inlineStr">
        <is>
          <t>VÄSTMANLANDS LÄN</t>
        </is>
      </c>
      <c r="E854" t="inlineStr">
        <is>
          <t>SALA</t>
        </is>
      </c>
      <c r="G854" t="n">
        <v>2.4</v>
      </c>
      <c r="H854" t="n">
        <v>0</v>
      </c>
      <c r="I854" t="n">
        <v>0</v>
      </c>
      <c r="J854" t="n">
        <v>0</v>
      </c>
      <c r="K854" t="n">
        <v>0</v>
      </c>
      <c r="L854" t="n">
        <v>0</v>
      </c>
      <c r="M854" t="n">
        <v>0</v>
      </c>
      <c r="N854" t="n">
        <v>0</v>
      </c>
      <c r="O854" t="n">
        <v>0</v>
      </c>
      <c r="P854" t="n">
        <v>0</v>
      </c>
      <c r="Q854" t="n">
        <v>0</v>
      </c>
      <c r="R854" s="2" t="inlineStr"/>
    </row>
    <row r="855" ht="15" customHeight="1">
      <c r="A855" t="inlineStr">
        <is>
          <t>A 55024-2023</t>
        </is>
      </c>
      <c r="B855" s="1" t="n">
        <v>45229</v>
      </c>
      <c r="C855" s="1" t="n">
        <v>45353</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55032-2023</t>
        </is>
      </c>
      <c r="B856" s="1" t="n">
        <v>45229</v>
      </c>
      <c r="C856" s="1" t="n">
        <v>45353</v>
      </c>
      <c r="D856" t="inlineStr">
        <is>
          <t>VÄSTMANLANDS LÄN</t>
        </is>
      </c>
      <c r="E856" t="inlineStr">
        <is>
          <t>SALA</t>
        </is>
      </c>
      <c r="G856" t="n">
        <v>1.5</v>
      </c>
      <c r="H856" t="n">
        <v>0</v>
      </c>
      <c r="I856" t="n">
        <v>0</v>
      </c>
      <c r="J856" t="n">
        <v>0</v>
      </c>
      <c r="K856" t="n">
        <v>0</v>
      </c>
      <c r="L856" t="n">
        <v>0</v>
      </c>
      <c r="M856" t="n">
        <v>0</v>
      </c>
      <c r="N856" t="n">
        <v>0</v>
      </c>
      <c r="O856" t="n">
        <v>0</v>
      </c>
      <c r="P856" t="n">
        <v>0</v>
      </c>
      <c r="Q856" t="n">
        <v>0</v>
      </c>
      <c r="R856" s="2" t="inlineStr"/>
    </row>
    <row r="857" ht="15" customHeight="1">
      <c r="A857" t="inlineStr">
        <is>
          <t>A 55035-2023</t>
        </is>
      </c>
      <c r="B857" s="1" t="n">
        <v>45229</v>
      </c>
      <c r="C857" s="1" t="n">
        <v>45353</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55040-2023</t>
        </is>
      </c>
      <c r="B858" s="1" t="n">
        <v>45229</v>
      </c>
      <c r="C858" s="1" t="n">
        <v>45353</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53877-2023</t>
        </is>
      </c>
      <c r="B859" s="1" t="n">
        <v>45231</v>
      </c>
      <c r="C859" s="1" t="n">
        <v>45353</v>
      </c>
      <c r="D859" t="inlineStr">
        <is>
          <t>VÄSTMANLANDS LÄN</t>
        </is>
      </c>
      <c r="E859" t="inlineStr">
        <is>
          <t>SALA</t>
        </is>
      </c>
      <c r="G859" t="n">
        <v>3.2</v>
      </c>
      <c r="H859" t="n">
        <v>0</v>
      </c>
      <c r="I859" t="n">
        <v>0</v>
      </c>
      <c r="J859" t="n">
        <v>0</v>
      </c>
      <c r="K859" t="n">
        <v>0</v>
      </c>
      <c r="L859" t="n">
        <v>0</v>
      </c>
      <c r="M859" t="n">
        <v>0</v>
      </c>
      <c r="N859" t="n">
        <v>0</v>
      </c>
      <c r="O859" t="n">
        <v>0</v>
      </c>
      <c r="P859" t="n">
        <v>0</v>
      </c>
      <c r="Q859" t="n">
        <v>0</v>
      </c>
      <c r="R859" s="2" t="inlineStr"/>
    </row>
    <row r="860" ht="15" customHeight="1">
      <c r="A860" t="inlineStr">
        <is>
          <t>A 53951-2023</t>
        </is>
      </c>
      <c r="B860" s="1" t="n">
        <v>45231</v>
      </c>
      <c r="C860" s="1" t="n">
        <v>45353</v>
      </c>
      <c r="D860" t="inlineStr">
        <is>
          <t>VÄSTMANLANDS LÄN</t>
        </is>
      </c>
      <c r="E860" t="inlineStr">
        <is>
          <t>SALA</t>
        </is>
      </c>
      <c r="F860" t="inlineStr">
        <is>
          <t>Kommuner</t>
        </is>
      </c>
      <c r="G860" t="n">
        <v>8.4</v>
      </c>
      <c r="H860" t="n">
        <v>0</v>
      </c>
      <c r="I860" t="n">
        <v>0</v>
      </c>
      <c r="J860" t="n">
        <v>0</v>
      </c>
      <c r="K860" t="n">
        <v>0</v>
      </c>
      <c r="L860" t="n">
        <v>0</v>
      </c>
      <c r="M860" t="n">
        <v>0</v>
      </c>
      <c r="N860" t="n">
        <v>0</v>
      </c>
      <c r="O860" t="n">
        <v>0</v>
      </c>
      <c r="P860" t="n">
        <v>0</v>
      </c>
      <c r="Q860" t="n">
        <v>0</v>
      </c>
      <c r="R860" s="2" t="inlineStr"/>
      <c r="U860">
        <f>HYPERLINK("https://klasma.github.io/Logging_1981/knärot/A 53951-2023 karta knärot.png", "A 53951-2023")</f>
        <v/>
      </c>
      <c r="V860">
        <f>HYPERLINK("https://klasma.github.io/Logging_1981/klagomål/A 53951-2023 FSC-klagomål.docx", "A 53951-2023")</f>
        <v/>
      </c>
      <c r="W860">
        <f>HYPERLINK("https://klasma.github.io/Logging_1981/klagomålsmail/A 53951-2023 FSC-klagomål mail.docx", "A 53951-2023")</f>
        <v/>
      </c>
      <c r="X860">
        <f>HYPERLINK("https://klasma.github.io/Logging_1981/tillsyn/A 53951-2023 tillsynsbegäran.docx", "A 53951-2023")</f>
        <v/>
      </c>
      <c r="Y860">
        <f>HYPERLINK("https://klasma.github.io/Logging_1981/tillsynsmail/A 53951-2023 tillsynsbegäran mail.docx", "A 53951-2023")</f>
        <v/>
      </c>
    </row>
    <row r="861" ht="15" customHeight="1">
      <c r="A861" t="inlineStr">
        <is>
          <t>A 54125-2023</t>
        </is>
      </c>
      <c r="B861" s="1" t="n">
        <v>45232</v>
      </c>
      <c r="C861" s="1" t="n">
        <v>45353</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54114-2023</t>
        </is>
      </c>
      <c r="B862" s="1" t="n">
        <v>45232</v>
      </c>
      <c r="C862" s="1" t="n">
        <v>45353</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54118-2023</t>
        </is>
      </c>
      <c r="B863" s="1" t="n">
        <v>45232</v>
      </c>
      <c r="C863" s="1" t="n">
        <v>45353</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55556-2023</t>
        </is>
      </c>
      <c r="B864" s="1" t="n">
        <v>45232</v>
      </c>
      <c r="C864" s="1" t="n">
        <v>45353</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55550-2023</t>
        </is>
      </c>
      <c r="B865" s="1" t="n">
        <v>45232</v>
      </c>
      <c r="C865" s="1" t="n">
        <v>45353</v>
      </c>
      <c r="D865" t="inlineStr">
        <is>
          <t>VÄSTMANLANDS LÄN</t>
        </is>
      </c>
      <c r="E865" t="inlineStr">
        <is>
          <t>SALA</t>
        </is>
      </c>
      <c r="G865" t="n">
        <v>9.9</v>
      </c>
      <c r="H865" t="n">
        <v>0</v>
      </c>
      <c r="I865" t="n">
        <v>0</v>
      </c>
      <c r="J865" t="n">
        <v>0</v>
      </c>
      <c r="K865" t="n">
        <v>0</v>
      </c>
      <c r="L865" t="n">
        <v>0</v>
      </c>
      <c r="M865" t="n">
        <v>0</v>
      </c>
      <c r="N865" t="n">
        <v>0</v>
      </c>
      <c r="O865" t="n">
        <v>0</v>
      </c>
      <c r="P865" t="n">
        <v>0</v>
      </c>
      <c r="Q865" t="n">
        <v>0</v>
      </c>
      <c r="R865" s="2" t="inlineStr"/>
    </row>
    <row r="866" ht="15" customHeight="1">
      <c r="A866" t="inlineStr">
        <is>
          <t>A 56057-2023</t>
        </is>
      </c>
      <c r="B866" s="1" t="n">
        <v>45233</v>
      </c>
      <c r="C866" s="1" t="n">
        <v>45353</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56064-2023</t>
        </is>
      </c>
      <c r="B867" s="1" t="n">
        <v>45233</v>
      </c>
      <c r="C867" s="1" t="n">
        <v>45353</v>
      </c>
      <c r="D867" t="inlineStr">
        <is>
          <t>VÄSTMANLANDS LÄN</t>
        </is>
      </c>
      <c r="E867" t="inlineStr">
        <is>
          <t>SALA</t>
        </is>
      </c>
      <c r="G867" t="n">
        <v>0.8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45353</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45353</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45353</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45353</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45353</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45353</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45353</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45353</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45353</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45353</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45353</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45353</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45353</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45353</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45353</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45353</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45353</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45353</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45353</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45353</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45353</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45353</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45353</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45353</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45353</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45353</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45353</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45353</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45353</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45353</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45353</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45353</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45353</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45353</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45353</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45353</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45353</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45353</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45353</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45353</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45353</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45353</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45353</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45353</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45353</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45353</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45353</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45353</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45353</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45353</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3560-2024</t>
        </is>
      </c>
      <c r="B918" s="1" t="n">
        <v>45320</v>
      </c>
      <c r="C918" s="1" t="n">
        <v>45353</v>
      </c>
      <c r="D918" t="inlineStr">
        <is>
          <t>VÄSTMANLANDS LÄN</t>
        </is>
      </c>
      <c r="E918" t="inlineStr">
        <is>
          <t>SALA</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3577-2024</t>
        </is>
      </c>
      <c r="B919" s="1" t="n">
        <v>45320</v>
      </c>
      <c r="C919" s="1" t="n">
        <v>45353</v>
      </c>
      <c r="D919" t="inlineStr">
        <is>
          <t>VÄSTMANLANDS LÄN</t>
        </is>
      </c>
      <c r="E919" t="inlineStr">
        <is>
          <t>SALA</t>
        </is>
      </c>
      <c r="F919" t="inlineStr">
        <is>
          <t>Kommuner</t>
        </is>
      </c>
      <c r="G919" t="n">
        <v>7.2</v>
      </c>
      <c r="H919" t="n">
        <v>0</v>
      </c>
      <c r="I919" t="n">
        <v>0</v>
      </c>
      <c r="J919" t="n">
        <v>0</v>
      </c>
      <c r="K919" t="n">
        <v>0</v>
      </c>
      <c r="L919" t="n">
        <v>0</v>
      </c>
      <c r="M919" t="n">
        <v>0</v>
      </c>
      <c r="N919" t="n">
        <v>0</v>
      </c>
      <c r="O919" t="n">
        <v>0</v>
      </c>
      <c r="P919" t="n">
        <v>0</v>
      </c>
      <c r="Q919" t="n">
        <v>0</v>
      </c>
      <c r="R919" s="2" t="inlineStr"/>
    </row>
    <row r="920" ht="15" customHeight="1">
      <c r="A920" t="inlineStr">
        <is>
          <t>A 3525-2024</t>
        </is>
      </c>
      <c r="B920" s="1" t="n">
        <v>45320</v>
      </c>
      <c r="C920" s="1" t="n">
        <v>45353</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3527-2024</t>
        </is>
      </c>
      <c r="B921" s="1" t="n">
        <v>45320</v>
      </c>
      <c r="C921" s="1" t="n">
        <v>45353</v>
      </c>
      <c r="D921" t="inlineStr">
        <is>
          <t>VÄSTMANLANDS LÄN</t>
        </is>
      </c>
      <c r="E921" t="inlineStr">
        <is>
          <t>SALA</t>
        </is>
      </c>
      <c r="G921" t="n">
        <v>1.7</v>
      </c>
      <c r="H921" t="n">
        <v>0</v>
      </c>
      <c r="I921" t="n">
        <v>0</v>
      </c>
      <c r="J921" t="n">
        <v>0</v>
      </c>
      <c r="K921" t="n">
        <v>0</v>
      </c>
      <c r="L921" t="n">
        <v>0</v>
      </c>
      <c r="M921" t="n">
        <v>0</v>
      </c>
      <c r="N921" t="n">
        <v>0</v>
      </c>
      <c r="O921" t="n">
        <v>0</v>
      </c>
      <c r="P921" t="n">
        <v>0</v>
      </c>
      <c r="Q921" t="n">
        <v>0</v>
      </c>
      <c r="R921" s="2" t="inlineStr"/>
    </row>
    <row r="922" ht="15" customHeight="1">
      <c r="A922" t="inlineStr">
        <is>
          <t>A 3551-2024</t>
        </is>
      </c>
      <c r="B922" s="1" t="n">
        <v>45320</v>
      </c>
      <c r="C922" s="1" t="n">
        <v>45353</v>
      </c>
      <c r="D922" t="inlineStr">
        <is>
          <t>VÄSTMANLANDS LÄN</t>
        </is>
      </c>
      <c r="E922" t="inlineStr">
        <is>
          <t>SALA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45353</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45353</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45353</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45353</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45353</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45353</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5984-2024</t>
        </is>
      </c>
      <c r="B929" s="1" t="n">
        <v>45336</v>
      </c>
      <c r="C929" s="1" t="n">
        <v>45353</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6030-2024</t>
        </is>
      </c>
      <c r="B930" s="1" t="n">
        <v>45336</v>
      </c>
      <c r="C930" s="1" t="n">
        <v>45353</v>
      </c>
      <c r="D930" t="inlineStr">
        <is>
          <t>VÄSTMANLANDS LÄN</t>
        </is>
      </c>
      <c r="E930" t="inlineStr">
        <is>
          <t>SALA</t>
        </is>
      </c>
      <c r="G930" t="n">
        <v>3.9</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45353</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6572-2024</t>
        </is>
      </c>
      <c r="B932" s="1" t="n">
        <v>45338</v>
      </c>
      <c r="C932" s="1" t="n">
        <v>45353</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6538-2024</t>
        </is>
      </c>
      <c r="B933" s="1" t="n">
        <v>45338</v>
      </c>
      <c r="C933" s="1" t="n">
        <v>45353</v>
      </c>
      <c r="D933" t="inlineStr">
        <is>
          <t>VÄSTMANLANDS LÄN</t>
        </is>
      </c>
      <c r="E933" t="inlineStr">
        <is>
          <t>SALA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6601-2024</t>
        </is>
      </c>
      <c r="B934" s="1" t="n">
        <v>45338</v>
      </c>
      <c r="C934" s="1" t="n">
        <v>45353</v>
      </c>
      <c r="D934" t="inlineStr">
        <is>
          <t>VÄSTMANLANDS LÄN</t>
        </is>
      </c>
      <c r="E934" t="inlineStr">
        <is>
          <t>SALA</t>
        </is>
      </c>
      <c r="G934" t="n">
        <v>4</v>
      </c>
      <c r="H934" t="n">
        <v>0</v>
      </c>
      <c r="I934" t="n">
        <v>0</v>
      </c>
      <c r="J934" t="n">
        <v>0</v>
      </c>
      <c r="K934" t="n">
        <v>0</v>
      </c>
      <c r="L934" t="n">
        <v>0</v>
      </c>
      <c r="M934" t="n">
        <v>0</v>
      </c>
      <c r="N934" t="n">
        <v>0</v>
      </c>
      <c r="O934" t="n">
        <v>0</v>
      </c>
      <c r="P934" t="n">
        <v>0</v>
      </c>
      <c r="Q934" t="n">
        <v>0</v>
      </c>
      <c r="R934" s="2" t="inlineStr"/>
    </row>
    <row r="935" ht="15" customHeight="1">
      <c r="A935" t="inlineStr">
        <is>
          <t>A 6541-2024</t>
        </is>
      </c>
      <c r="B935" s="1" t="n">
        <v>45338</v>
      </c>
      <c r="C935" s="1" t="n">
        <v>45353</v>
      </c>
      <c r="D935" t="inlineStr">
        <is>
          <t>VÄSTMANLANDS LÄN</t>
        </is>
      </c>
      <c r="E935" t="inlineStr">
        <is>
          <t>SALA</t>
        </is>
      </c>
      <c r="G935" t="n">
        <v>0.8</v>
      </c>
      <c r="H935" t="n">
        <v>0</v>
      </c>
      <c r="I935" t="n">
        <v>0</v>
      </c>
      <c r="J935" t="n">
        <v>0</v>
      </c>
      <c r="K935" t="n">
        <v>0</v>
      </c>
      <c r="L935" t="n">
        <v>0</v>
      </c>
      <c r="M935" t="n">
        <v>0</v>
      </c>
      <c r="N935" t="n">
        <v>0</v>
      </c>
      <c r="O935" t="n">
        <v>0</v>
      </c>
      <c r="P935" t="n">
        <v>0</v>
      </c>
      <c r="Q935" t="n">
        <v>0</v>
      </c>
      <c r="R935" s="2" t="inlineStr"/>
    </row>
    <row r="936" ht="15" customHeight="1">
      <c r="A936" t="inlineStr">
        <is>
          <t>A 6585-2024</t>
        </is>
      </c>
      <c r="B936" s="1" t="n">
        <v>45338</v>
      </c>
      <c r="C936" s="1" t="n">
        <v>45353</v>
      </c>
      <c r="D936" t="inlineStr">
        <is>
          <t>VÄSTMANLANDS LÄN</t>
        </is>
      </c>
      <c r="E936" t="inlineStr">
        <is>
          <t>SALA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6657-2024</t>
        </is>
      </c>
      <c r="B937" s="1" t="n">
        <v>45341</v>
      </c>
      <c r="C937" s="1" t="n">
        <v>45353</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row r="938">
      <c r="A938" t="inlineStr">
        <is>
          <t>A 7953-2024</t>
        </is>
      </c>
      <c r="B938" s="1" t="n">
        <v>45350</v>
      </c>
      <c r="C938" s="1" t="n">
        <v>45353</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2024-03-02T13:05:58Z</dcterms:created>
  <dcterms:modified xmlns:dcterms="http://purl.org/dc/terms/" xmlns:xsi="http://www.w3.org/2001/XMLSchema-instance" xsi:type="dcterms:W3CDTF">2024-03-02T13:05:58Z</dcterms:modified>
</cp:coreProperties>
</file>