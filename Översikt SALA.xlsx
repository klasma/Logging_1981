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46134</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46134</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46134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46134</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46134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46134</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46134</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46134</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46134</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46134</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46134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46134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46134</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46134</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3930-2026</t>
        </is>
      </c>
      <c r="B21" s="1" t="n">
        <v>46043</v>
      </c>
      <c r="C21" s="1" t="n">
        <v>46134</v>
      </c>
      <c r="D21" t="inlineStr">
        <is>
          <t>VÄSTMANLANDS LÄN</t>
        </is>
      </c>
      <c r="E21" t="inlineStr">
        <is>
          <t>SALA</t>
        </is>
      </c>
      <c r="G21" t="n">
        <v>17.4</v>
      </c>
      <c r="H21" t="n">
        <v>1</v>
      </c>
      <c r="I21" t="n">
        <v>0</v>
      </c>
      <c r="J21" t="n">
        <v>2</v>
      </c>
      <c r="K21" t="n">
        <v>1</v>
      </c>
      <c r="L21" t="n">
        <v>0</v>
      </c>
      <c r="M21" t="n">
        <v>0</v>
      </c>
      <c r="N21" t="n">
        <v>0</v>
      </c>
      <c r="O21" t="n">
        <v>3</v>
      </c>
      <c r="P21" t="n">
        <v>1</v>
      </c>
      <c r="Q21" t="n">
        <v>3</v>
      </c>
      <c r="R21" s="2" t="inlineStr">
        <is>
          <t>Knärot
Gränsticka
Ullticka</t>
        </is>
      </c>
      <c r="S21">
        <f>HYPERLINK("https://klasma.github.io/Logging_1981/artfynd/A 3930-2026 artfynd.xlsx", "A 3930-2026")</f>
        <v/>
      </c>
      <c r="T21">
        <f>HYPERLINK("https://klasma.github.io/Logging_1981/kartor/A 3930-2026 karta.png", "A 3930-2026")</f>
        <v/>
      </c>
      <c r="U21">
        <f>HYPERLINK("https://klasma.github.io/Logging_1981/knärot/A 3930-2026 karta knärot.png", "A 3930-2026")</f>
        <v/>
      </c>
      <c r="V21">
        <f>HYPERLINK("https://klasma.github.io/Logging_1981/klagomål/A 3930-2026 FSC-klagomål.docx", "A 3930-2026")</f>
        <v/>
      </c>
      <c r="W21">
        <f>HYPERLINK("https://klasma.github.io/Logging_1981/klagomålsmail/A 3930-2026 FSC-klagomål mail.docx", "A 3930-2026")</f>
        <v/>
      </c>
      <c r="X21">
        <f>HYPERLINK("https://klasma.github.io/Logging_1981/tillsyn/A 3930-2026 tillsynsbegäran.docx", "A 3930-2026")</f>
        <v/>
      </c>
      <c r="Y21">
        <f>HYPERLINK("https://klasma.github.io/Logging_1981/tillsynsmail/A 3930-2026 tillsynsbegäran mail.docx", "A 3930-2026")</f>
        <v/>
      </c>
    </row>
    <row r="22" ht="15" customHeight="1">
      <c r="A22" t="inlineStr">
        <is>
          <t>A 53019-2024</t>
        </is>
      </c>
      <c r="B22" s="1" t="n">
        <v>45610</v>
      </c>
      <c r="C22" s="1" t="n">
        <v>46134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46134</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46134</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46134</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46134</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46134</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46134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46134</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63584-2025</t>
        </is>
      </c>
      <c r="B31" s="1" t="n">
        <v>46013.77002314815</v>
      </c>
      <c r="C31" s="1" t="n">
        <v>46134</v>
      </c>
      <c r="D31" t="inlineStr">
        <is>
          <t>VÄSTMANLANDS LÄN</t>
        </is>
      </c>
      <c r="E31" t="inlineStr">
        <is>
          <t>SALA</t>
        </is>
      </c>
      <c r="G31" t="n">
        <v>7.3</v>
      </c>
      <c r="H31" t="n">
        <v>1</v>
      </c>
      <c r="I31" t="n">
        <v>0</v>
      </c>
      <c r="J31" t="n">
        <v>1</v>
      </c>
      <c r="K31" t="n">
        <v>1</v>
      </c>
      <c r="L31" t="n">
        <v>0</v>
      </c>
      <c r="M31" t="n">
        <v>0</v>
      </c>
      <c r="N31" t="n">
        <v>0</v>
      </c>
      <c r="O31" t="n">
        <v>2</v>
      </c>
      <c r="P31" t="n">
        <v>1</v>
      </c>
      <c r="Q31" t="n">
        <v>2</v>
      </c>
      <c r="R31" s="2" t="inlineStr">
        <is>
          <t>Knärot
Vedtrappmossa</t>
        </is>
      </c>
      <c r="S31">
        <f>HYPERLINK("https://klasma.github.io/Logging_1981/artfynd/A 63584-2025 artfynd.xlsx", "A 63584-2025")</f>
        <v/>
      </c>
      <c r="T31">
        <f>HYPERLINK("https://klasma.github.io/Logging_1981/kartor/A 63584-2025 karta.png", "A 63584-2025")</f>
        <v/>
      </c>
      <c r="U31">
        <f>HYPERLINK("https://klasma.github.io/Logging_1981/knärot/A 63584-2025 karta knärot.png", "A 63584-2025")</f>
        <v/>
      </c>
      <c r="V31">
        <f>HYPERLINK("https://klasma.github.io/Logging_1981/klagomål/A 63584-2025 FSC-klagomål.docx", "A 63584-2025")</f>
        <v/>
      </c>
      <c r="W31">
        <f>HYPERLINK("https://klasma.github.io/Logging_1981/klagomålsmail/A 63584-2025 FSC-klagomål mail.docx", "A 63584-2025")</f>
        <v/>
      </c>
      <c r="X31">
        <f>HYPERLINK("https://klasma.github.io/Logging_1981/tillsyn/A 63584-2025 tillsynsbegäran.docx", "A 63584-2025")</f>
        <v/>
      </c>
      <c r="Y31">
        <f>HYPERLINK("https://klasma.github.io/Logging_1981/tillsynsmail/A 63584-2025 tillsynsbegäran mail.docx", "A 63584-2025")</f>
        <v/>
      </c>
    </row>
    <row r="32" ht="15" customHeight="1">
      <c r="A32" t="inlineStr">
        <is>
          <t>A 24872-2025</t>
        </is>
      </c>
      <c r="B32" s="1" t="n">
        <v>45799.49038194444</v>
      </c>
      <c r="C32" s="1" t="n">
        <v>46134</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12444-2024</t>
        </is>
      </c>
      <c r="B33" s="1" t="n">
        <v>45379.46285879629</v>
      </c>
      <c r="C33" s="1" t="n">
        <v>46134</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13029-2023</t>
        </is>
      </c>
      <c r="B34" s="1" t="n">
        <v>45001</v>
      </c>
      <c r="C34" s="1" t="n">
        <v>46134</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53048-2025</t>
        </is>
      </c>
      <c r="B35" s="1" t="n">
        <v>45958.36018518519</v>
      </c>
      <c r="C35" s="1" t="n">
        <v>46134</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14485-2026</t>
        </is>
      </c>
      <c r="B36" s="1" t="n">
        <v>46100.59055555556</v>
      </c>
      <c r="C36" s="1" t="n">
        <v>46134</v>
      </c>
      <c r="D36" t="inlineStr">
        <is>
          <t>VÄSTMANLANDS LÄN</t>
        </is>
      </c>
      <c r="E36" t="inlineStr">
        <is>
          <t>SALA</t>
        </is>
      </c>
      <c r="F36" t="inlineStr">
        <is>
          <t>Sveaskog</t>
        </is>
      </c>
      <c r="G36" t="n">
        <v>13.6</v>
      </c>
      <c r="H36" t="n">
        <v>1</v>
      </c>
      <c r="I36" t="n">
        <v>0</v>
      </c>
      <c r="J36" t="n">
        <v>2</v>
      </c>
      <c r="K36" t="n">
        <v>0</v>
      </c>
      <c r="L36" t="n">
        <v>0</v>
      </c>
      <c r="M36" t="n">
        <v>0</v>
      </c>
      <c r="N36" t="n">
        <v>0</v>
      </c>
      <c r="O36" t="n">
        <v>2</v>
      </c>
      <c r="P36" t="n">
        <v>0</v>
      </c>
      <c r="Q36" t="n">
        <v>2</v>
      </c>
      <c r="R36" s="2" t="inlineStr">
        <is>
          <t>Motaggsvamp
Talltita</t>
        </is>
      </c>
      <c r="S36">
        <f>HYPERLINK("https://klasma.github.io/Logging_1981/artfynd/A 14485-2026 artfynd.xlsx", "A 14485-2026")</f>
        <v/>
      </c>
      <c r="T36">
        <f>HYPERLINK("https://klasma.github.io/Logging_1981/kartor/A 14485-2026 karta.png", "A 14485-2026")</f>
        <v/>
      </c>
      <c r="V36">
        <f>HYPERLINK("https://klasma.github.io/Logging_1981/klagomål/A 14485-2026 FSC-klagomål.docx", "A 14485-2026")</f>
        <v/>
      </c>
      <c r="W36">
        <f>HYPERLINK("https://klasma.github.io/Logging_1981/klagomålsmail/A 14485-2026 FSC-klagomål mail.docx", "A 14485-2026")</f>
        <v/>
      </c>
      <c r="X36">
        <f>HYPERLINK("https://klasma.github.io/Logging_1981/tillsyn/A 14485-2026 tillsynsbegäran.docx", "A 14485-2026")</f>
        <v/>
      </c>
      <c r="Y36">
        <f>HYPERLINK("https://klasma.github.io/Logging_1981/tillsynsmail/A 14485-2026 tillsynsbegäran mail.docx", "A 14485-2026")</f>
        <v/>
      </c>
      <c r="Z36">
        <f>HYPERLINK("https://klasma.github.io/Logging_1981/fåglar/A 14485-2026 prioriterade fågelarter.docx", "A 14485-2026")</f>
        <v/>
      </c>
    </row>
    <row r="37" ht="15" customHeight="1">
      <c r="A37" t="inlineStr">
        <is>
          <t>A 59826-2025</t>
        </is>
      </c>
      <c r="B37" s="1" t="n">
        <v>45992.65416666667</v>
      </c>
      <c r="C37" s="1" t="n">
        <v>46134</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1500-2022</t>
        </is>
      </c>
      <c r="B38" s="1" t="n">
        <v>44573.54357638889</v>
      </c>
      <c r="C38" s="1" t="n">
        <v>46134</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15102-2025</t>
        </is>
      </c>
      <c r="B39" s="1" t="n">
        <v>45744.34585648148</v>
      </c>
      <c r="C39" s="1" t="n">
        <v>46134</v>
      </c>
      <c r="D39" t="inlineStr">
        <is>
          <t>VÄSTMANLANDS LÄN</t>
        </is>
      </c>
      <c r="E39" t="inlineStr">
        <is>
          <t>SALA</t>
        </is>
      </c>
      <c r="F39" t="inlineStr">
        <is>
          <t>Sveaskog</t>
        </is>
      </c>
      <c r="G39" t="n">
        <v>4.2</v>
      </c>
      <c r="H39" t="n">
        <v>2</v>
      </c>
      <c r="I39" t="n">
        <v>0</v>
      </c>
      <c r="J39" t="n">
        <v>1</v>
      </c>
      <c r="K39" t="n">
        <v>0</v>
      </c>
      <c r="L39" t="n">
        <v>0</v>
      </c>
      <c r="M39" t="n">
        <v>0</v>
      </c>
      <c r="N39" t="n">
        <v>0</v>
      </c>
      <c r="O39" t="n">
        <v>1</v>
      </c>
      <c r="P39" t="n">
        <v>0</v>
      </c>
      <c r="Q39" t="n">
        <v>2</v>
      </c>
      <c r="R39" s="2" t="inlineStr">
        <is>
          <t>Spillkråka
Grönsiska</t>
        </is>
      </c>
      <c r="S39">
        <f>HYPERLINK("https://klasma.github.io/Logging_1981/artfynd/A 15102-2025 artfynd.xlsx", "A 15102-2025")</f>
        <v/>
      </c>
      <c r="T39">
        <f>HYPERLINK("https://klasma.github.io/Logging_1981/kartor/A 15102-2025 karta.png", "A 15102-2025")</f>
        <v/>
      </c>
      <c r="V39">
        <f>HYPERLINK("https://klasma.github.io/Logging_1981/klagomål/A 15102-2025 FSC-klagomål.docx", "A 15102-2025")</f>
        <v/>
      </c>
      <c r="W39">
        <f>HYPERLINK("https://klasma.github.io/Logging_1981/klagomålsmail/A 15102-2025 FSC-klagomål mail.docx", "A 15102-2025")</f>
        <v/>
      </c>
      <c r="X39">
        <f>HYPERLINK("https://klasma.github.io/Logging_1981/tillsyn/A 15102-2025 tillsynsbegäran.docx", "A 15102-2025")</f>
        <v/>
      </c>
      <c r="Y39">
        <f>HYPERLINK("https://klasma.github.io/Logging_1981/tillsynsmail/A 15102-2025 tillsynsbegäran mail.docx", "A 15102-2025")</f>
        <v/>
      </c>
      <c r="Z39">
        <f>HYPERLINK("https://klasma.github.io/Logging_1981/fåglar/A 15102-2025 prioriterade fågelarter.docx", "A 15102-2025")</f>
        <v/>
      </c>
    </row>
    <row r="40" ht="15" customHeight="1">
      <c r="A40" t="inlineStr">
        <is>
          <t>A 44970-2021</t>
        </is>
      </c>
      <c r="B40" s="1" t="n">
        <v>44438.74399305556</v>
      </c>
      <c r="C40" s="1" t="n">
        <v>46134</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46134</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56704-2022</t>
        </is>
      </c>
      <c r="B42" s="1" t="n">
        <v>44893.78075231481</v>
      </c>
      <c r="C42" s="1" t="n">
        <v>46134</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38255-2025</t>
        </is>
      </c>
      <c r="B43" s="1" t="n">
        <v>45883.38020833334</v>
      </c>
      <c r="C43" s="1" t="n">
        <v>46134</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60852-2024</t>
        </is>
      </c>
      <c r="B44" s="1" t="n">
        <v>45644</v>
      </c>
      <c r="C44" s="1" t="n">
        <v>46134</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43175-2023</t>
        </is>
      </c>
      <c r="B45" s="1" t="n">
        <v>45183</v>
      </c>
      <c r="C45" s="1" t="n">
        <v>46134</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41270-2024</t>
        </is>
      </c>
      <c r="B46" s="1" t="n">
        <v>45559</v>
      </c>
      <c r="C46" s="1" t="n">
        <v>46134</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46134</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46134</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48705-2025</t>
        </is>
      </c>
      <c r="B49" s="1" t="n">
        <v>45936.62290509259</v>
      </c>
      <c r="C49" s="1" t="n">
        <v>46134</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43068-2024</t>
        </is>
      </c>
      <c r="B50" s="1" t="n">
        <v>45567</v>
      </c>
      <c r="C50" s="1" t="n">
        <v>46134</v>
      </c>
      <c r="D50" t="inlineStr">
        <is>
          <t>VÄSTMANLANDS LÄN</t>
        </is>
      </c>
      <c r="E50" t="inlineStr">
        <is>
          <t>SALA</t>
        </is>
      </c>
      <c r="G50" t="n">
        <v>1.1</v>
      </c>
      <c r="H50" t="n">
        <v>0</v>
      </c>
      <c r="I50" t="n">
        <v>1</v>
      </c>
      <c r="J50" t="n">
        <v>0</v>
      </c>
      <c r="K50" t="n">
        <v>0</v>
      </c>
      <c r="L50" t="n">
        <v>0</v>
      </c>
      <c r="M50" t="n">
        <v>0</v>
      </c>
      <c r="N50" t="n">
        <v>0</v>
      </c>
      <c r="O50" t="n">
        <v>0</v>
      </c>
      <c r="P50" t="n">
        <v>0</v>
      </c>
      <c r="Q50" t="n">
        <v>1</v>
      </c>
      <c r="R50" s="2" t="inlineStr">
        <is>
          <t>Vedticka</t>
        </is>
      </c>
      <c r="S50">
        <f>HYPERLINK("https://klasma.github.io/Logging_1981/artfynd/A 43068-2024 artfynd.xlsx", "A 43068-2024")</f>
        <v/>
      </c>
      <c r="T50">
        <f>HYPERLINK("https://klasma.github.io/Logging_1981/kartor/A 43068-2024 karta.png", "A 43068-2024")</f>
        <v/>
      </c>
      <c r="V50">
        <f>HYPERLINK("https://klasma.github.io/Logging_1981/klagomål/A 43068-2024 FSC-klagomål.docx", "A 43068-2024")</f>
        <v/>
      </c>
      <c r="W50">
        <f>HYPERLINK("https://klasma.github.io/Logging_1981/klagomålsmail/A 43068-2024 FSC-klagomål mail.docx", "A 43068-2024")</f>
        <v/>
      </c>
      <c r="X50">
        <f>HYPERLINK("https://klasma.github.io/Logging_1981/tillsyn/A 43068-2024 tillsynsbegäran.docx", "A 43068-2024")</f>
        <v/>
      </c>
      <c r="Y50">
        <f>HYPERLINK("https://klasma.github.io/Logging_1981/tillsynsmail/A 43068-2024 tillsynsbegäran mail.docx", "A 43068-2024")</f>
        <v/>
      </c>
    </row>
    <row r="51" ht="15" customHeight="1">
      <c r="A51" t="inlineStr">
        <is>
          <t>A 50268-2025</t>
        </is>
      </c>
      <c r="B51" s="1" t="n">
        <v>45944.35162037037</v>
      </c>
      <c r="C51" s="1" t="n">
        <v>46134</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7731-2023</t>
        </is>
      </c>
      <c r="B52" s="1" t="n">
        <v>44973</v>
      </c>
      <c r="C52" s="1" t="n">
        <v>46134</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12509-2023</t>
        </is>
      </c>
      <c r="B53" s="1" t="n">
        <v>44999.95988425926</v>
      </c>
      <c r="C53" s="1" t="n">
        <v>46134</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53052-2025</t>
        </is>
      </c>
      <c r="B54" s="1" t="n">
        <v>45958.36266203703</v>
      </c>
      <c r="C54" s="1" t="n">
        <v>46134</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55995-2025</t>
        </is>
      </c>
      <c r="B55" s="1" t="n">
        <v>45973.56733796297</v>
      </c>
      <c r="C55" s="1" t="n">
        <v>46134</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14487-2026</t>
        </is>
      </c>
      <c r="B56" s="1" t="n">
        <v>46100.59162037037</v>
      </c>
      <c r="C56" s="1" t="n">
        <v>46134</v>
      </c>
      <c r="D56" t="inlineStr">
        <is>
          <t>VÄSTMANLANDS LÄN</t>
        </is>
      </c>
      <c r="E56" t="inlineStr">
        <is>
          <t>SALA</t>
        </is>
      </c>
      <c r="F56" t="inlineStr">
        <is>
          <t>Sveaskog</t>
        </is>
      </c>
      <c r="G56" t="n">
        <v>6.7</v>
      </c>
      <c r="H56" t="n">
        <v>0</v>
      </c>
      <c r="I56" t="n">
        <v>0</v>
      </c>
      <c r="J56" t="n">
        <v>1</v>
      </c>
      <c r="K56" t="n">
        <v>0</v>
      </c>
      <c r="L56" t="n">
        <v>0</v>
      </c>
      <c r="M56" t="n">
        <v>0</v>
      </c>
      <c r="N56" t="n">
        <v>0</v>
      </c>
      <c r="O56" t="n">
        <v>1</v>
      </c>
      <c r="P56" t="n">
        <v>0</v>
      </c>
      <c r="Q56" t="n">
        <v>1</v>
      </c>
      <c r="R56" s="2" t="inlineStr">
        <is>
          <t>Motaggsvamp</t>
        </is>
      </c>
      <c r="S56">
        <f>HYPERLINK("https://klasma.github.io/Logging_1981/artfynd/A 14487-2026 artfynd.xlsx", "A 14487-2026")</f>
        <v/>
      </c>
      <c r="T56">
        <f>HYPERLINK("https://klasma.github.io/Logging_1981/kartor/A 14487-2026 karta.png", "A 14487-2026")</f>
        <v/>
      </c>
      <c r="V56">
        <f>HYPERLINK("https://klasma.github.io/Logging_1981/klagomål/A 14487-2026 FSC-klagomål.docx", "A 14487-2026")</f>
        <v/>
      </c>
      <c r="W56">
        <f>HYPERLINK("https://klasma.github.io/Logging_1981/klagomålsmail/A 14487-2026 FSC-klagomål mail.docx", "A 14487-2026")</f>
        <v/>
      </c>
      <c r="X56">
        <f>HYPERLINK("https://klasma.github.io/Logging_1981/tillsyn/A 14487-2026 tillsynsbegäran.docx", "A 14487-2026")</f>
        <v/>
      </c>
      <c r="Y56">
        <f>HYPERLINK("https://klasma.github.io/Logging_1981/tillsynsmail/A 14487-2026 tillsynsbegäran mail.docx", "A 14487-2026")</f>
        <v/>
      </c>
    </row>
    <row r="57" ht="15" customHeight="1">
      <c r="A57" t="inlineStr">
        <is>
          <t>A 14775-2023</t>
        </is>
      </c>
      <c r="B57" s="1" t="n">
        <v>45014</v>
      </c>
      <c r="C57" s="1" t="n">
        <v>46134</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14488-2026</t>
        </is>
      </c>
      <c r="B58" s="1" t="n">
        <v>46100.59216435185</v>
      </c>
      <c r="C58" s="1" t="n">
        <v>46134</v>
      </c>
      <c r="D58" t="inlineStr">
        <is>
          <t>VÄSTMANLANDS LÄN</t>
        </is>
      </c>
      <c r="E58" t="inlineStr">
        <is>
          <t>SALA</t>
        </is>
      </c>
      <c r="F58" t="inlineStr">
        <is>
          <t>Sveaskog</t>
        </is>
      </c>
      <c r="G58" t="n">
        <v>1.5</v>
      </c>
      <c r="H58" t="n">
        <v>1</v>
      </c>
      <c r="I58" t="n">
        <v>0</v>
      </c>
      <c r="J58" t="n">
        <v>0</v>
      </c>
      <c r="K58" t="n">
        <v>0</v>
      </c>
      <c r="L58" t="n">
        <v>0</v>
      </c>
      <c r="M58" t="n">
        <v>0</v>
      </c>
      <c r="N58" t="n">
        <v>0</v>
      </c>
      <c r="O58" t="n">
        <v>0</v>
      </c>
      <c r="P58" t="n">
        <v>0</v>
      </c>
      <c r="Q58" t="n">
        <v>1</v>
      </c>
      <c r="R58" s="2" t="inlineStr">
        <is>
          <t>Mattlummer</t>
        </is>
      </c>
      <c r="S58">
        <f>HYPERLINK("https://klasma.github.io/Logging_1981/artfynd/A 14488-2026 artfynd.xlsx", "A 14488-2026")</f>
        <v/>
      </c>
      <c r="T58">
        <f>HYPERLINK("https://klasma.github.io/Logging_1981/kartor/A 14488-2026 karta.png", "A 14488-2026")</f>
        <v/>
      </c>
      <c r="V58">
        <f>HYPERLINK("https://klasma.github.io/Logging_1981/klagomål/A 14488-2026 FSC-klagomål.docx", "A 14488-2026")</f>
        <v/>
      </c>
      <c r="W58">
        <f>HYPERLINK("https://klasma.github.io/Logging_1981/klagomålsmail/A 14488-2026 FSC-klagomål mail.docx", "A 14488-2026")</f>
        <v/>
      </c>
      <c r="X58">
        <f>HYPERLINK("https://klasma.github.io/Logging_1981/tillsyn/A 14488-2026 tillsynsbegäran.docx", "A 14488-2026")</f>
        <v/>
      </c>
      <c r="Y58">
        <f>HYPERLINK("https://klasma.github.io/Logging_1981/tillsynsmail/A 14488-2026 tillsynsbegäran mail.docx", "A 14488-2026")</f>
        <v/>
      </c>
    </row>
    <row r="59" ht="15" customHeight="1">
      <c r="A59" t="inlineStr">
        <is>
          <t>A 7672-2026</t>
        </is>
      </c>
      <c r="B59" s="1" t="n">
        <v>46062.42077546296</v>
      </c>
      <c r="C59" s="1" t="n">
        <v>46134</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19361-2025</t>
        </is>
      </c>
      <c r="B60" s="1" t="n">
        <v>45769.63357638889</v>
      </c>
      <c r="C60" s="1" t="n">
        <v>46134</v>
      </c>
      <c r="D60" t="inlineStr">
        <is>
          <t>VÄSTMANLANDS LÄN</t>
        </is>
      </c>
      <c r="E60" t="inlineStr">
        <is>
          <t>SALA</t>
        </is>
      </c>
      <c r="F60" t="inlineStr">
        <is>
          <t>Bergvik skog öst AB</t>
        </is>
      </c>
      <c r="G60" t="n">
        <v>8.9</v>
      </c>
      <c r="H60" t="n">
        <v>0</v>
      </c>
      <c r="I60" t="n">
        <v>0</v>
      </c>
      <c r="J60" t="n">
        <v>1</v>
      </c>
      <c r="K60" t="n">
        <v>0</v>
      </c>
      <c r="L60" t="n">
        <v>0</v>
      </c>
      <c r="M60" t="n">
        <v>0</v>
      </c>
      <c r="N60" t="n">
        <v>0</v>
      </c>
      <c r="O60" t="n">
        <v>1</v>
      </c>
      <c r="P60" t="n">
        <v>0</v>
      </c>
      <c r="Q60" t="n">
        <v>1</v>
      </c>
      <c r="R60" s="2" t="inlineStr">
        <is>
          <t>Garnlav</t>
        </is>
      </c>
      <c r="S60">
        <f>HYPERLINK("https://klasma.github.io/Logging_1981/artfynd/A 19361-2025 artfynd.xlsx", "A 19361-2025")</f>
        <v/>
      </c>
      <c r="T60">
        <f>HYPERLINK("https://klasma.github.io/Logging_1981/kartor/A 19361-2025 karta.png", "A 19361-2025")</f>
        <v/>
      </c>
      <c r="V60">
        <f>HYPERLINK("https://klasma.github.io/Logging_1981/klagomål/A 19361-2025 FSC-klagomål.docx", "A 19361-2025")</f>
        <v/>
      </c>
      <c r="W60">
        <f>HYPERLINK("https://klasma.github.io/Logging_1981/klagomålsmail/A 19361-2025 FSC-klagomål mail.docx", "A 19361-2025")</f>
        <v/>
      </c>
      <c r="X60">
        <f>HYPERLINK("https://klasma.github.io/Logging_1981/tillsyn/A 19361-2025 tillsynsbegäran.docx", "A 19361-2025")</f>
        <v/>
      </c>
      <c r="Y60">
        <f>HYPERLINK("https://klasma.github.io/Logging_1981/tillsynsmail/A 19361-2025 tillsynsbegäran mail.docx", "A 19361-2025")</f>
        <v/>
      </c>
    </row>
    <row r="61" ht="15" customHeight="1">
      <c r="A61" t="inlineStr">
        <is>
          <t>A 41570-2021</t>
        </is>
      </c>
      <c r="B61" s="1" t="n">
        <v>44425</v>
      </c>
      <c r="C61" s="1" t="n">
        <v>46134</v>
      </c>
      <c r="D61" t="inlineStr">
        <is>
          <t>VÄSTMANLANDS LÄN</t>
        </is>
      </c>
      <c r="E61" t="inlineStr">
        <is>
          <t>SALA</t>
        </is>
      </c>
      <c r="G61" t="n">
        <v>1.4</v>
      </c>
      <c r="H61" t="n">
        <v>0</v>
      </c>
      <c r="I61" t="n">
        <v>0</v>
      </c>
      <c r="J61" t="n">
        <v>1</v>
      </c>
      <c r="K61" t="n">
        <v>0</v>
      </c>
      <c r="L61" t="n">
        <v>0</v>
      </c>
      <c r="M61" t="n">
        <v>0</v>
      </c>
      <c r="N61" t="n">
        <v>0</v>
      </c>
      <c r="O61" t="n">
        <v>1</v>
      </c>
      <c r="P61" t="n">
        <v>0</v>
      </c>
      <c r="Q61" t="n">
        <v>1</v>
      </c>
      <c r="R61" s="2" t="inlineStr">
        <is>
          <t>Vedtrappmossa</t>
        </is>
      </c>
      <c r="S61">
        <f>HYPERLINK("https://klasma.github.io/Logging_1981/artfynd/A 41570-2021 artfynd.xlsx", "A 41570-2021")</f>
        <v/>
      </c>
      <c r="T61">
        <f>HYPERLINK("https://klasma.github.io/Logging_1981/kartor/A 41570-2021 karta.png", "A 41570-2021")</f>
        <v/>
      </c>
      <c r="V61">
        <f>HYPERLINK("https://klasma.github.io/Logging_1981/klagomål/A 41570-2021 FSC-klagomål.docx", "A 41570-2021")</f>
        <v/>
      </c>
      <c r="W61">
        <f>HYPERLINK("https://klasma.github.io/Logging_1981/klagomålsmail/A 41570-2021 FSC-klagomål mail.docx", "A 41570-2021")</f>
        <v/>
      </c>
      <c r="X61">
        <f>HYPERLINK("https://klasma.github.io/Logging_1981/tillsyn/A 41570-2021 tillsynsbegäran.docx", "A 41570-2021")</f>
        <v/>
      </c>
      <c r="Y61">
        <f>HYPERLINK("https://klasma.github.io/Logging_1981/tillsynsmail/A 41570-2021 tillsynsbegäran mail.docx", "A 41570-2021")</f>
        <v/>
      </c>
    </row>
    <row r="62" ht="15" customHeight="1">
      <c r="A62" t="inlineStr">
        <is>
          <t>A 37166-2024</t>
        </is>
      </c>
      <c r="B62" s="1" t="n">
        <v>45539</v>
      </c>
      <c r="C62" s="1" t="n">
        <v>46134</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37166-2024 artfynd.xlsx", "A 37166-2024")</f>
        <v/>
      </c>
      <c r="T62">
        <f>HYPERLINK("https://klasma.github.io/Logging_1981/kartor/A 37166-2024 karta.png", "A 37166-2024")</f>
        <v/>
      </c>
      <c r="U62">
        <f>HYPERLINK("https://klasma.github.io/Logging_1981/knärot/A 37166-2024 karta knärot.png", "A 37166-2024")</f>
        <v/>
      </c>
      <c r="V62">
        <f>HYPERLINK("https://klasma.github.io/Logging_1981/klagomål/A 37166-2024 FSC-klagomål.docx", "A 37166-2024")</f>
        <v/>
      </c>
      <c r="W62">
        <f>HYPERLINK("https://klasma.github.io/Logging_1981/klagomålsmail/A 37166-2024 FSC-klagomål mail.docx", "A 37166-2024")</f>
        <v/>
      </c>
      <c r="X62">
        <f>HYPERLINK("https://klasma.github.io/Logging_1981/tillsyn/A 37166-2024 tillsynsbegäran.docx", "A 37166-2024")</f>
        <v/>
      </c>
      <c r="Y62">
        <f>HYPERLINK("https://klasma.github.io/Logging_1981/tillsynsmail/A 37166-2024 tillsynsbegäran mail.docx", "A 37166-2024")</f>
        <v/>
      </c>
    </row>
    <row r="63" ht="15" customHeight="1">
      <c r="A63" t="inlineStr">
        <is>
          <t>A 18896-2026</t>
        </is>
      </c>
      <c r="B63" s="1" t="n">
        <v>46129</v>
      </c>
      <c r="C63" s="1" t="n">
        <v>46134</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29985-2022</t>
        </is>
      </c>
      <c r="B64" s="1" t="n">
        <v>44756</v>
      </c>
      <c r="C64" s="1" t="n">
        <v>46134</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7919-2022</t>
        </is>
      </c>
      <c r="B65" s="1" t="n">
        <v>44608</v>
      </c>
      <c r="C65" s="1" t="n">
        <v>46134</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29727-2023</t>
        </is>
      </c>
      <c r="B66" s="1" t="n">
        <v>45107</v>
      </c>
      <c r="C66" s="1" t="n">
        <v>46134</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55550-2023</t>
        </is>
      </c>
      <c r="B67" s="1" t="n">
        <v>45232</v>
      </c>
      <c r="C67" s="1" t="n">
        <v>46134</v>
      </c>
      <c r="D67" t="inlineStr">
        <is>
          <t>VÄSTMANLANDS LÄN</t>
        </is>
      </c>
      <c r="E67" t="inlineStr">
        <is>
          <t>SALA</t>
        </is>
      </c>
      <c r="G67" t="n">
        <v>9.9</v>
      </c>
      <c r="H67" t="n">
        <v>1</v>
      </c>
      <c r="I67" t="n">
        <v>0</v>
      </c>
      <c r="J67" t="n">
        <v>0</v>
      </c>
      <c r="K67" t="n">
        <v>1</v>
      </c>
      <c r="L67" t="n">
        <v>0</v>
      </c>
      <c r="M67" t="n">
        <v>0</v>
      </c>
      <c r="N67" t="n">
        <v>0</v>
      </c>
      <c r="O67" t="n">
        <v>1</v>
      </c>
      <c r="P67" t="n">
        <v>1</v>
      </c>
      <c r="Q67" t="n">
        <v>1</v>
      </c>
      <c r="R67" s="2" t="inlineStr">
        <is>
          <t>Knärot</t>
        </is>
      </c>
      <c r="S67">
        <f>HYPERLINK("https://klasma.github.io/Logging_1981/artfynd/A 55550-2023 artfynd.xlsx", "A 55550-2023")</f>
        <v/>
      </c>
      <c r="T67">
        <f>HYPERLINK("https://klasma.github.io/Logging_1981/kartor/A 55550-2023 karta.png", "A 55550-2023")</f>
        <v/>
      </c>
      <c r="U67">
        <f>HYPERLINK("https://klasma.github.io/Logging_1981/knärot/A 55550-2023 karta knärot.png", "A 55550-2023")</f>
        <v/>
      </c>
      <c r="V67">
        <f>HYPERLINK("https://klasma.github.io/Logging_1981/klagomål/A 55550-2023 FSC-klagomål.docx", "A 55550-2023")</f>
        <v/>
      </c>
      <c r="W67">
        <f>HYPERLINK("https://klasma.github.io/Logging_1981/klagomålsmail/A 55550-2023 FSC-klagomål mail.docx", "A 55550-2023")</f>
        <v/>
      </c>
      <c r="X67">
        <f>HYPERLINK("https://klasma.github.io/Logging_1981/tillsyn/A 55550-2023 tillsynsbegäran.docx", "A 55550-2023")</f>
        <v/>
      </c>
      <c r="Y67">
        <f>HYPERLINK("https://klasma.github.io/Logging_1981/tillsynsmail/A 55550-2023 tillsynsbegäran mail.docx", "A 55550-2023")</f>
        <v/>
      </c>
    </row>
    <row r="68" ht="15" customHeight="1">
      <c r="A68" t="inlineStr">
        <is>
          <t>A 21738-2025</t>
        </is>
      </c>
      <c r="B68" s="1" t="n">
        <v>45783.59173611111</v>
      </c>
      <c r="C68" s="1" t="n">
        <v>46134</v>
      </c>
      <c r="D68" t="inlineStr">
        <is>
          <t>VÄSTMANLANDS LÄN</t>
        </is>
      </c>
      <c r="E68" t="inlineStr">
        <is>
          <t>SALA</t>
        </is>
      </c>
      <c r="G68" t="n">
        <v>2.1</v>
      </c>
      <c r="H68" t="n">
        <v>0</v>
      </c>
      <c r="I68" t="n">
        <v>0</v>
      </c>
      <c r="J68" t="n">
        <v>1</v>
      </c>
      <c r="K68" t="n">
        <v>0</v>
      </c>
      <c r="L68" t="n">
        <v>0</v>
      </c>
      <c r="M68" t="n">
        <v>0</v>
      </c>
      <c r="N68" t="n">
        <v>0</v>
      </c>
      <c r="O68" t="n">
        <v>1</v>
      </c>
      <c r="P68" t="n">
        <v>0</v>
      </c>
      <c r="Q68" t="n">
        <v>1</v>
      </c>
      <c r="R68" s="2" t="inlineStr">
        <is>
          <t>Motaggsvamp</t>
        </is>
      </c>
      <c r="S68">
        <f>HYPERLINK("https://klasma.github.io/Logging_1981/artfynd/A 21738-2025 artfynd.xlsx", "A 21738-2025")</f>
        <v/>
      </c>
      <c r="T68">
        <f>HYPERLINK("https://klasma.github.io/Logging_1981/kartor/A 21738-2025 karta.png", "A 21738-2025")</f>
        <v/>
      </c>
      <c r="V68">
        <f>HYPERLINK("https://klasma.github.io/Logging_1981/klagomål/A 21738-2025 FSC-klagomål.docx", "A 21738-2025")</f>
        <v/>
      </c>
      <c r="W68">
        <f>HYPERLINK("https://klasma.github.io/Logging_1981/klagomålsmail/A 21738-2025 FSC-klagomål mail.docx", "A 21738-2025")</f>
        <v/>
      </c>
      <c r="X68">
        <f>HYPERLINK("https://klasma.github.io/Logging_1981/tillsyn/A 21738-2025 tillsynsbegäran.docx", "A 21738-2025")</f>
        <v/>
      </c>
      <c r="Y68">
        <f>HYPERLINK("https://klasma.github.io/Logging_1981/tillsynsmail/A 21738-2025 tillsynsbegäran mail.docx", "A 21738-2025")</f>
        <v/>
      </c>
    </row>
    <row r="69" ht="15" customHeight="1">
      <c r="A69" t="inlineStr">
        <is>
          <t>A 22950-2025</t>
        </is>
      </c>
      <c r="B69" s="1" t="n">
        <v>45790.50728009259</v>
      </c>
      <c r="C69" s="1" t="n">
        <v>46134</v>
      </c>
      <c r="D69" t="inlineStr">
        <is>
          <t>VÄSTMANLANDS LÄN</t>
        </is>
      </c>
      <c r="E69" t="inlineStr">
        <is>
          <t>SALA</t>
        </is>
      </c>
      <c r="G69" t="n">
        <v>6.2</v>
      </c>
      <c r="H69" t="n">
        <v>1</v>
      </c>
      <c r="I69" t="n">
        <v>0</v>
      </c>
      <c r="J69" t="n">
        <v>1</v>
      </c>
      <c r="K69" t="n">
        <v>0</v>
      </c>
      <c r="L69" t="n">
        <v>0</v>
      </c>
      <c r="M69" t="n">
        <v>0</v>
      </c>
      <c r="N69" t="n">
        <v>0</v>
      </c>
      <c r="O69" t="n">
        <v>1</v>
      </c>
      <c r="P69" t="n">
        <v>0</v>
      </c>
      <c r="Q69" t="n">
        <v>1</v>
      </c>
      <c r="R69" s="2" t="inlineStr">
        <is>
          <t>Svartvit flugsnappare</t>
        </is>
      </c>
      <c r="S69">
        <f>HYPERLINK("https://klasma.github.io/Logging_1981/artfynd/A 22950-2025 artfynd.xlsx", "A 22950-2025")</f>
        <v/>
      </c>
      <c r="T69">
        <f>HYPERLINK("https://klasma.github.io/Logging_1981/kartor/A 22950-2025 karta.png", "A 22950-2025")</f>
        <v/>
      </c>
      <c r="V69">
        <f>HYPERLINK("https://klasma.github.io/Logging_1981/klagomål/A 22950-2025 FSC-klagomål.docx", "A 22950-2025")</f>
        <v/>
      </c>
      <c r="W69">
        <f>HYPERLINK("https://klasma.github.io/Logging_1981/klagomålsmail/A 22950-2025 FSC-klagomål mail.docx", "A 22950-2025")</f>
        <v/>
      </c>
      <c r="X69">
        <f>HYPERLINK("https://klasma.github.io/Logging_1981/tillsyn/A 22950-2025 tillsynsbegäran.docx", "A 22950-2025")</f>
        <v/>
      </c>
      <c r="Y69">
        <f>HYPERLINK("https://klasma.github.io/Logging_1981/tillsynsmail/A 22950-2025 tillsynsbegäran mail.docx", "A 22950-2025")</f>
        <v/>
      </c>
      <c r="Z69">
        <f>HYPERLINK("https://klasma.github.io/Logging_1981/fåglar/A 22950-2025 prioriterade fågelarter.docx", "A 22950-2025")</f>
        <v/>
      </c>
    </row>
    <row r="70" ht="15" customHeight="1">
      <c r="A70" t="inlineStr">
        <is>
          <t>A 66561-2021</t>
        </is>
      </c>
      <c r="B70" s="1" t="n">
        <v>44519.41648148148</v>
      </c>
      <c r="C70" s="1" t="n">
        <v>46134</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73124-2021</t>
        </is>
      </c>
      <c r="B71" s="1" t="n">
        <v>44550</v>
      </c>
      <c r="C71" s="1" t="n">
        <v>46134</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46134</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46134</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46134</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46134</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46134</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54520-2021</t>
        </is>
      </c>
      <c r="B77" s="1" t="n">
        <v>44473</v>
      </c>
      <c r="C77" s="1" t="n">
        <v>46134</v>
      </c>
      <c r="D77" t="inlineStr">
        <is>
          <t>VÄSTMANLANDS LÄN</t>
        </is>
      </c>
      <c r="E77" t="inlineStr">
        <is>
          <t>SALA</t>
        </is>
      </c>
      <c r="G77" t="n">
        <v>5.8</v>
      </c>
      <c r="H77" t="n">
        <v>0</v>
      </c>
      <c r="I77" t="n">
        <v>0</v>
      </c>
      <c r="J77" t="n">
        <v>0</v>
      </c>
      <c r="K77" t="n">
        <v>0</v>
      </c>
      <c r="L77" t="n">
        <v>0</v>
      </c>
      <c r="M77" t="n">
        <v>0</v>
      </c>
      <c r="N77" t="n">
        <v>0</v>
      </c>
      <c r="O77" t="n">
        <v>0</v>
      </c>
      <c r="P77" t="n">
        <v>0</v>
      </c>
      <c r="Q77" t="n">
        <v>0</v>
      </c>
      <c r="R77" s="2" t="inlineStr"/>
    </row>
    <row r="78" ht="15" customHeight="1">
      <c r="A78" t="inlineStr">
        <is>
          <t>A 53432-2022</t>
        </is>
      </c>
      <c r="B78" s="1" t="n">
        <v>44879</v>
      </c>
      <c r="C78" s="1" t="n">
        <v>46134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33762-2021</t>
        </is>
      </c>
      <c r="B79" s="1" t="n">
        <v>44378</v>
      </c>
      <c r="C79" s="1" t="n">
        <v>46134</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46134</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46134</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73683-2021</t>
        </is>
      </c>
      <c r="B82" s="1" t="n">
        <v>44552.47971064815</v>
      </c>
      <c r="C82" s="1" t="n">
        <v>46134</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46134</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46134</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46134</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46134</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46134</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46134</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46134</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46134</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46134</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46134</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46134</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46134</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46134</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46134</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46134</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46134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46134</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46134</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46134</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46134</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46134</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46134</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46134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46134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46134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46134</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46134</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46134</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46134</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46134</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46134</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46134</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46134</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46134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46134</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46134</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46134</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46134</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46134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46134</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46134</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46134</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46134</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46134</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46134</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46134</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46134</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46134</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46134</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46134</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46134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46134</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46134</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46134</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46134</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46134</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46134</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46134</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46134</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46134</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46134</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46134</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46134</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46134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46134</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46134</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46134</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46134</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46134</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46134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46134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46134</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46134</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46134</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46134</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46134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46134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46134</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46134</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46134</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46134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46134</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46134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46134</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46134</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46134</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46134</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46134</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46134</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46134</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46134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46134</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46134</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46134</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46134</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18713-2025</t>
        </is>
      </c>
      <c r="B180" s="1" t="n">
        <v>45763</v>
      </c>
      <c r="C180" s="1" t="n">
        <v>46134</v>
      </c>
      <c r="D180" t="inlineStr">
        <is>
          <t>VÄSTMANLANDS LÄN</t>
        </is>
      </c>
      <c r="E180" t="inlineStr">
        <is>
          <t>SALA</t>
        </is>
      </c>
      <c r="F180" t="inlineStr">
        <is>
          <t>Bergvik skog öst AB</t>
        </is>
      </c>
      <c r="G180" t="n">
        <v>11.6</v>
      </c>
      <c r="H180" t="n">
        <v>0</v>
      </c>
      <c r="I180" t="n">
        <v>0</v>
      </c>
      <c r="J180" t="n">
        <v>0</v>
      </c>
      <c r="K180" t="n">
        <v>0</v>
      </c>
      <c r="L180" t="n">
        <v>0</v>
      </c>
      <c r="M180" t="n">
        <v>0</v>
      </c>
      <c r="N180" t="n">
        <v>0</v>
      </c>
      <c r="O180" t="n">
        <v>0</v>
      </c>
      <c r="P180" t="n">
        <v>0</v>
      </c>
      <c r="Q180" t="n">
        <v>0</v>
      </c>
      <c r="R180" s="2" t="inlineStr"/>
    </row>
    <row r="181" ht="15" customHeight="1">
      <c r="A181" t="inlineStr">
        <is>
          <t>A 39597-2022</t>
        </is>
      </c>
      <c r="B181" s="1" t="n">
        <v>44818</v>
      </c>
      <c r="C181" s="1" t="n">
        <v>46134</v>
      </c>
      <c r="D181" t="inlineStr">
        <is>
          <t>VÄSTMANLANDS LÄN</t>
        </is>
      </c>
      <c r="E181" t="inlineStr">
        <is>
          <t>SALA</t>
        </is>
      </c>
      <c r="G181" t="n">
        <v>2.3</v>
      </c>
      <c r="H181" t="n">
        <v>0</v>
      </c>
      <c r="I181" t="n">
        <v>0</v>
      </c>
      <c r="J181" t="n">
        <v>0</v>
      </c>
      <c r="K181" t="n">
        <v>0</v>
      </c>
      <c r="L181" t="n">
        <v>0</v>
      </c>
      <c r="M181" t="n">
        <v>0</v>
      </c>
      <c r="N181" t="n">
        <v>0</v>
      </c>
      <c r="O181" t="n">
        <v>0</v>
      </c>
      <c r="P181" t="n">
        <v>0</v>
      </c>
      <c r="Q181" t="n">
        <v>0</v>
      </c>
      <c r="R181" s="2" t="inlineStr"/>
    </row>
    <row r="182" ht="15" customHeight="1">
      <c r="A182" t="inlineStr">
        <is>
          <t>A 54959-2024</t>
        </is>
      </c>
      <c r="B182" s="1" t="n">
        <v>45619</v>
      </c>
      <c r="C182" s="1" t="n">
        <v>46134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6134-2024</t>
        </is>
      </c>
      <c r="B183" s="1" t="n">
        <v>45337</v>
      </c>
      <c r="C183" s="1" t="n">
        <v>46134</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46134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40597-2022</t>
        </is>
      </c>
      <c r="B185" s="1" t="n">
        <v>44823.84862268518</v>
      </c>
      <c r="C185" s="1" t="n">
        <v>46134</v>
      </c>
      <c r="D185" t="inlineStr">
        <is>
          <t>VÄSTMANLANDS LÄN</t>
        </is>
      </c>
      <c r="E185" t="inlineStr">
        <is>
          <t>SALA</t>
        </is>
      </c>
      <c r="G185" t="n">
        <v>3.5</v>
      </c>
      <c r="H185" t="n">
        <v>0</v>
      </c>
      <c r="I185" t="n">
        <v>0</v>
      </c>
      <c r="J185" t="n">
        <v>0</v>
      </c>
      <c r="K185" t="n">
        <v>0</v>
      </c>
      <c r="L185" t="n">
        <v>0</v>
      </c>
      <c r="M185" t="n">
        <v>0</v>
      </c>
      <c r="N185" t="n">
        <v>0</v>
      </c>
      <c r="O185" t="n">
        <v>0</v>
      </c>
      <c r="P185" t="n">
        <v>0</v>
      </c>
      <c r="Q185" t="n">
        <v>0</v>
      </c>
      <c r="R185" s="2" t="inlineStr"/>
    </row>
    <row r="186" ht="15" customHeight="1">
      <c r="A186" t="inlineStr">
        <is>
          <t>A 22026-2021</t>
        </is>
      </c>
      <c r="B186" s="1" t="n">
        <v>44323</v>
      </c>
      <c r="C186" s="1" t="n">
        <v>46134</v>
      </c>
      <c r="D186" t="inlineStr">
        <is>
          <t>VÄSTMANLANDS LÄN</t>
        </is>
      </c>
      <c r="E186" t="inlineStr">
        <is>
          <t>SALA</t>
        </is>
      </c>
      <c r="G186" t="n">
        <v>2.9</v>
      </c>
      <c r="H186" t="n">
        <v>0</v>
      </c>
      <c r="I186" t="n">
        <v>0</v>
      </c>
      <c r="J186" t="n">
        <v>0</v>
      </c>
      <c r="K186" t="n">
        <v>0</v>
      </c>
      <c r="L186" t="n">
        <v>0</v>
      </c>
      <c r="M186" t="n">
        <v>0</v>
      </c>
      <c r="N186" t="n">
        <v>0</v>
      </c>
      <c r="O186" t="n">
        <v>0</v>
      </c>
      <c r="P186" t="n">
        <v>0</v>
      </c>
      <c r="Q186" t="n">
        <v>0</v>
      </c>
      <c r="R186" s="2" t="inlineStr"/>
    </row>
    <row r="187" ht="15" customHeight="1">
      <c r="A187" t="inlineStr">
        <is>
          <t>A 16160-2024</t>
        </is>
      </c>
      <c r="B187" s="1" t="n">
        <v>45406</v>
      </c>
      <c r="C187" s="1" t="n">
        <v>46134</v>
      </c>
      <c r="D187" t="inlineStr">
        <is>
          <t>VÄSTMANLANDS LÄN</t>
        </is>
      </c>
      <c r="E187" t="inlineStr">
        <is>
          <t>SALA</t>
        </is>
      </c>
      <c r="G187" t="n">
        <v>1.1</v>
      </c>
      <c r="H187" t="n">
        <v>0</v>
      </c>
      <c r="I187" t="n">
        <v>0</v>
      </c>
      <c r="J187" t="n">
        <v>0</v>
      </c>
      <c r="K187" t="n">
        <v>0</v>
      </c>
      <c r="L187" t="n">
        <v>0</v>
      </c>
      <c r="M187" t="n">
        <v>0</v>
      </c>
      <c r="N187" t="n">
        <v>0</v>
      </c>
      <c r="O187" t="n">
        <v>0</v>
      </c>
      <c r="P187" t="n">
        <v>0</v>
      </c>
      <c r="Q187" t="n">
        <v>0</v>
      </c>
      <c r="R187" s="2" t="inlineStr"/>
    </row>
    <row r="188" ht="15" customHeight="1">
      <c r="A188" t="inlineStr">
        <is>
          <t>A 7196-2025</t>
        </is>
      </c>
      <c r="B188" s="1" t="n">
        <v>45702</v>
      </c>
      <c r="C188" s="1" t="n">
        <v>46134</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6183-2025</t>
        </is>
      </c>
      <c r="B189" s="1" t="n">
        <v>45698</v>
      </c>
      <c r="C189" s="1" t="n">
        <v>46134</v>
      </c>
      <c r="D189" t="inlineStr">
        <is>
          <t>VÄSTMANLANDS LÄN</t>
        </is>
      </c>
      <c r="E189" t="inlineStr">
        <is>
          <t>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19803-2024</t>
        </is>
      </c>
      <c r="B190" s="1" t="n">
        <v>45432</v>
      </c>
      <c r="C190" s="1" t="n">
        <v>46134</v>
      </c>
      <c r="D190" t="inlineStr">
        <is>
          <t>VÄSTMANLANDS LÄN</t>
        </is>
      </c>
      <c r="E190" t="inlineStr">
        <is>
          <t>SALA</t>
        </is>
      </c>
      <c r="G190" t="n">
        <v>3.1</v>
      </c>
      <c r="H190" t="n">
        <v>0</v>
      </c>
      <c r="I190" t="n">
        <v>0</v>
      </c>
      <c r="J190" t="n">
        <v>0</v>
      </c>
      <c r="K190" t="n">
        <v>0</v>
      </c>
      <c r="L190" t="n">
        <v>0</v>
      </c>
      <c r="M190" t="n">
        <v>0</v>
      </c>
      <c r="N190" t="n">
        <v>0</v>
      </c>
      <c r="O190" t="n">
        <v>0</v>
      </c>
      <c r="P190" t="n">
        <v>0</v>
      </c>
      <c r="Q190" t="n">
        <v>0</v>
      </c>
      <c r="R190" s="2" t="inlineStr"/>
    </row>
    <row r="191" ht="15" customHeight="1">
      <c r="A191" t="inlineStr">
        <is>
          <t>A 40871-2021</t>
        </is>
      </c>
      <c r="B191" s="1" t="n">
        <v>44421</v>
      </c>
      <c r="C191" s="1" t="n">
        <v>46134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24864-2024</t>
        </is>
      </c>
      <c r="B192" s="1" t="n">
        <v>45461.48888888889</v>
      </c>
      <c r="C192" s="1" t="n">
        <v>46134</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63933-2023</t>
        </is>
      </c>
      <c r="B193" s="1" t="n">
        <v>45278</v>
      </c>
      <c r="C193" s="1" t="n">
        <v>46134</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1118-2024</t>
        </is>
      </c>
      <c r="B194" s="1" t="n">
        <v>45302</v>
      </c>
      <c r="C194" s="1" t="n">
        <v>46134</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39439-2021</t>
        </is>
      </c>
      <c r="B195" s="1" t="n">
        <v>44414</v>
      </c>
      <c r="C195" s="1" t="n">
        <v>46134</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30971-2022</t>
        </is>
      </c>
      <c r="B196" s="1" t="n">
        <v>44768.46725694444</v>
      </c>
      <c r="C196" s="1" t="n">
        <v>46134</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37190-2024</t>
        </is>
      </c>
      <c r="B197" s="1" t="n">
        <v>45539</v>
      </c>
      <c r="C197" s="1" t="n">
        <v>46134</v>
      </c>
      <c r="D197" t="inlineStr">
        <is>
          <t>VÄSTMANLANDS LÄN</t>
        </is>
      </c>
      <c r="E197" t="inlineStr">
        <is>
          <t>SALA</t>
        </is>
      </c>
      <c r="G197" t="n">
        <v>0.9</v>
      </c>
      <c r="H197" t="n">
        <v>0</v>
      </c>
      <c r="I197" t="n">
        <v>0</v>
      </c>
      <c r="J197" t="n">
        <v>0</v>
      </c>
      <c r="K197" t="n">
        <v>0</v>
      </c>
      <c r="L197" t="n">
        <v>0</v>
      </c>
      <c r="M197" t="n">
        <v>0</v>
      </c>
      <c r="N197" t="n">
        <v>0</v>
      </c>
      <c r="O197" t="n">
        <v>0</v>
      </c>
      <c r="P197" t="n">
        <v>0</v>
      </c>
      <c r="Q197" t="n">
        <v>0</v>
      </c>
      <c r="R197" s="2" t="inlineStr"/>
    </row>
    <row r="198" ht="15" customHeight="1">
      <c r="A198" t="inlineStr">
        <is>
          <t>A 2900-2023</t>
        </is>
      </c>
      <c r="B198" s="1" t="n">
        <v>44943</v>
      </c>
      <c r="C198" s="1" t="n">
        <v>46134</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60730-2023</t>
        </is>
      </c>
      <c r="B199" s="1" t="n">
        <v>45260</v>
      </c>
      <c r="C199" s="1" t="n">
        <v>46134</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60731-2023</t>
        </is>
      </c>
      <c r="B200" s="1" t="n">
        <v>45260</v>
      </c>
      <c r="C200" s="1" t="n">
        <v>46134</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11389-2024</t>
        </is>
      </c>
      <c r="B201" s="1" t="n">
        <v>45372.45016203704</v>
      </c>
      <c r="C201" s="1" t="n">
        <v>46134</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56706-2022</t>
        </is>
      </c>
      <c r="B202" s="1" t="n">
        <v>44893.78893518518</v>
      </c>
      <c r="C202" s="1" t="n">
        <v>46134</v>
      </c>
      <c r="D202" t="inlineStr">
        <is>
          <t>VÄSTMANLANDS LÄN</t>
        </is>
      </c>
      <c r="E202" t="inlineStr">
        <is>
          <t>SALA</t>
        </is>
      </c>
      <c r="G202" t="n">
        <v>4.5</v>
      </c>
      <c r="H202" t="n">
        <v>0</v>
      </c>
      <c r="I202" t="n">
        <v>0</v>
      </c>
      <c r="J202" t="n">
        <v>0</v>
      </c>
      <c r="K202" t="n">
        <v>0</v>
      </c>
      <c r="L202" t="n">
        <v>0</v>
      </c>
      <c r="M202" t="n">
        <v>0</v>
      </c>
      <c r="N202" t="n">
        <v>0</v>
      </c>
      <c r="O202" t="n">
        <v>0</v>
      </c>
      <c r="P202" t="n">
        <v>0</v>
      </c>
      <c r="Q202" t="n">
        <v>0</v>
      </c>
      <c r="R202" s="2" t="inlineStr"/>
    </row>
    <row r="203" ht="15" customHeight="1">
      <c r="A203" t="inlineStr">
        <is>
          <t>A 56707-2022</t>
        </is>
      </c>
      <c r="B203" s="1" t="n">
        <v>44893.79412037037</v>
      </c>
      <c r="C203" s="1" t="n">
        <v>46134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24169-2025</t>
        </is>
      </c>
      <c r="B204" s="1" t="n">
        <v>45796</v>
      </c>
      <c r="C204" s="1" t="n">
        <v>46134</v>
      </c>
      <c r="D204" t="inlineStr">
        <is>
          <t>VÄSTMANLANDS LÄN</t>
        </is>
      </c>
      <c r="E204" t="inlineStr">
        <is>
          <t>SALA</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22126-2025</t>
        </is>
      </c>
      <c r="B205" s="1" t="n">
        <v>45785</v>
      </c>
      <c r="C205" s="1" t="n">
        <v>46134</v>
      </c>
      <c r="D205" t="inlineStr">
        <is>
          <t>VÄSTMANLANDS LÄN</t>
        </is>
      </c>
      <c r="E205" t="inlineStr">
        <is>
          <t>SALA</t>
        </is>
      </c>
      <c r="G205" t="n">
        <v>10.6</v>
      </c>
      <c r="H205" t="n">
        <v>0</v>
      </c>
      <c r="I205" t="n">
        <v>0</v>
      </c>
      <c r="J205" t="n">
        <v>0</v>
      </c>
      <c r="K205" t="n">
        <v>0</v>
      </c>
      <c r="L205" t="n">
        <v>0</v>
      </c>
      <c r="M205" t="n">
        <v>0</v>
      </c>
      <c r="N205" t="n">
        <v>0</v>
      </c>
      <c r="O205" t="n">
        <v>0</v>
      </c>
      <c r="P205" t="n">
        <v>0</v>
      </c>
      <c r="Q205" t="n">
        <v>0</v>
      </c>
      <c r="R205" s="2" t="inlineStr"/>
    </row>
    <row r="206" ht="15" customHeight="1">
      <c r="A206" t="inlineStr">
        <is>
          <t>A 23810-2025</t>
        </is>
      </c>
      <c r="B206" s="1" t="n">
        <v>45793.56989583333</v>
      </c>
      <c r="C206" s="1" t="n">
        <v>46134</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46134</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35976-2024</t>
        </is>
      </c>
      <c r="B208" s="1" t="n">
        <v>45533.49555555556</v>
      </c>
      <c r="C208" s="1" t="n">
        <v>46134</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24944-2023</t>
        </is>
      </c>
      <c r="B209" s="1" t="n">
        <v>45085</v>
      </c>
      <c r="C209" s="1" t="n">
        <v>46134</v>
      </c>
      <c r="D209" t="inlineStr">
        <is>
          <t>VÄSTMANLANDS LÄN</t>
        </is>
      </c>
      <c r="E209" t="inlineStr">
        <is>
          <t>SALA</t>
        </is>
      </c>
      <c r="G209" t="n">
        <v>3.8</v>
      </c>
      <c r="H209" t="n">
        <v>0</v>
      </c>
      <c r="I209" t="n">
        <v>0</v>
      </c>
      <c r="J209" t="n">
        <v>0</v>
      </c>
      <c r="K209" t="n">
        <v>0</v>
      </c>
      <c r="L209" t="n">
        <v>0</v>
      </c>
      <c r="M209" t="n">
        <v>0</v>
      </c>
      <c r="N209" t="n">
        <v>0</v>
      </c>
      <c r="O209" t="n">
        <v>0</v>
      </c>
      <c r="P209" t="n">
        <v>0</v>
      </c>
      <c r="Q209" t="n">
        <v>0</v>
      </c>
      <c r="R209" s="2" t="inlineStr"/>
    </row>
    <row r="210" ht="15" customHeight="1">
      <c r="A210" t="inlineStr">
        <is>
          <t>A 38574-2025</t>
        </is>
      </c>
      <c r="B210" s="1" t="n">
        <v>45884.46390046296</v>
      </c>
      <c r="C210" s="1" t="n">
        <v>46134</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38294-2025</t>
        </is>
      </c>
      <c r="B211" s="1" t="n">
        <v>45883.44854166666</v>
      </c>
      <c r="C211" s="1" t="n">
        <v>46134</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23804-2025</t>
        </is>
      </c>
      <c r="B212" s="1" t="n">
        <v>45793.55995370371</v>
      </c>
      <c r="C212" s="1" t="n">
        <v>46134</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11210-2025</t>
        </is>
      </c>
      <c r="B213" s="1" t="n">
        <v>45726</v>
      </c>
      <c r="C213" s="1" t="n">
        <v>46134</v>
      </c>
      <c r="D213" t="inlineStr">
        <is>
          <t>VÄSTMANLANDS LÄN</t>
        </is>
      </c>
      <c r="E213" t="inlineStr">
        <is>
          <t>SALA</t>
        </is>
      </c>
      <c r="G213" t="n">
        <v>4.1</v>
      </c>
      <c r="H213" t="n">
        <v>0</v>
      </c>
      <c r="I213" t="n">
        <v>0</v>
      </c>
      <c r="J213" t="n">
        <v>0</v>
      </c>
      <c r="K213" t="n">
        <v>0</v>
      </c>
      <c r="L213" t="n">
        <v>0</v>
      </c>
      <c r="M213" t="n">
        <v>0</v>
      </c>
      <c r="N213" t="n">
        <v>0</v>
      </c>
      <c r="O213" t="n">
        <v>0</v>
      </c>
      <c r="P213" t="n">
        <v>0</v>
      </c>
      <c r="Q213" t="n">
        <v>0</v>
      </c>
      <c r="R213" s="2" t="inlineStr"/>
    </row>
    <row r="214" ht="15" customHeight="1">
      <c r="A214" t="inlineStr">
        <is>
          <t>A 19297-2025</t>
        </is>
      </c>
      <c r="B214" s="1" t="n">
        <v>45769.56261574074</v>
      </c>
      <c r="C214" s="1" t="n">
        <v>46134</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17722-2025</t>
        </is>
      </c>
      <c r="B215" s="1" t="n">
        <v>45758</v>
      </c>
      <c r="C215" s="1" t="n">
        <v>46134</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24460-2025</t>
        </is>
      </c>
      <c r="B216" s="1" t="n">
        <v>45798</v>
      </c>
      <c r="C216" s="1" t="n">
        <v>46134</v>
      </c>
      <c r="D216" t="inlineStr">
        <is>
          <t>VÄSTMANLANDS LÄN</t>
        </is>
      </c>
      <c r="E216" t="inlineStr">
        <is>
          <t>SALA</t>
        </is>
      </c>
      <c r="F216" t="inlineStr">
        <is>
          <t>Bergvik skog öst AB</t>
        </is>
      </c>
      <c r="G216" t="n">
        <v>2.6</v>
      </c>
      <c r="H216" t="n">
        <v>0</v>
      </c>
      <c r="I216" t="n">
        <v>0</v>
      </c>
      <c r="J216" t="n">
        <v>0</v>
      </c>
      <c r="K216" t="n">
        <v>0</v>
      </c>
      <c r="L216" t="n">
        <v>0</v>
      </c>
      <c r="M216" t="n">
        <v>0</v>
      </c>
      <c r="N216" t="n">
        <v>0</v>
      </c>
      <c r="O216" t="n">
        <v>0</v>
      </c>
      <c r="P216" t="n">
        <v>0</v>
      </c>
      <c r="Q216" t="n">
        <v>0</v>
      </c>
      <c r="R216" s="2" t="inlineStr"/>
    </row>
    <row r="217" ht="15" customHeight="1">
      <c r="A217" t="inlineStr">
        <is>
          <t>A 71471-2021</t>
        </is>
      </c>
      <c r="B217" s="1" t="n">
        <v>44540.53421296296</v>
      </c>
      <c r="C217" s="1" t="n">
        <v>46134</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8775-2024</t>
        </is>
      </c>
      <c r="B218" s="1" t="n">
        <v>45356</v>
      </c>
      <c r="C218" s="1" t="n">
        <v>46134</v>
      </c>
      <c r="D218" t="inlineStr">
        <is>
          <t>VÄSTMANLANDS LÄN</t>
        </is>
      </c>
      <c r="E218" t="inlineStr">
        <is>
          <t>SALA</t>
        </is>
      </c>
      <c r="G218" t="n">
        <v>0.6</v>
      </c>
      <c r="H218" t="n">
        <v>0</v>
      </c>
      <c r="I218" t="n">
        <v>0</v>
      </c>
      <c r="J218" t="n">
        <v>0</v>
      </c>
      <c r="K218" t="n">
        <v>0</v>
      </c>
      <c r="L218" t="n">
        <v>0</v>
      </c>
      <c r="M218" t="n">
        <v>0</v>
      </c>
      <c r="N218" t="n">
        <v>0</v>
      </c>
      <c r="O218" t="n">
        <v>0</v>
      </c>
      <c r="P218" t="n">
        <v>0</v>
      </c>
      <c r="Q218" t="n">
        <v>0</v>
      </c>
      <c r="R218" s="2" t="inlineStr"/>
    </row>
    <row r="219" ht="15" customHeight="1">
      <c r="A219" t="inlineStr">
        <is>
          <t>A 55065-2024</t>
        </is>
      </c>
      <c r="B219" s="1" t="n">
        <v>45618</v>
      </c>
      <c r="C219" s="1" t="n">
        <v>46134</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24463-2025</t>
        </is>
      </c>
      <c r="B220" s="1" t="n">
        <v>45798</v>
      </c>
      <c r="C220" s="1" t="n">
        <v>46134</v>
      </c>
      <c r="D220" t="inlineStr">
        <is>
          <t>VÄSTMANLANDS LÄN</t>
        </is>
      </c>
      <c r="E220" t="inlineStr">
        <is>
          <t>SALA</t>
        </is>
      </c>
      <c r="F220" t="inlineStr">
        <is>
          <t>Bergvik skog öst AB</t>
        </is>
      </c>
      <c r="G220" t="n">
        <v>1.5</v>
      </c>
      <c r="H220" t="n">
        <v>0</v>
      </c>
      <c r="I220" t="n">
        <v>0</v>
      </c>
      <c r="J220" t="n">
        <v>0</v>
      </c>
      <c r="K220" t="n">
        <v>0</v>
      </c>
      <c r="L220" t="n">
        <v>0</v>
      </c>
      <c r="M220" t="n">
        <v>0</v>
      </c>
      <c r="N220" t="n">
        <v>0</v>
      </c>
      <c r="O220" t="n">
        <v>0</v>
      </c>
      <c r="P220" t="n">
        <v>0</v>
      </c>
      <c r="Q220" t="n">
        <v>0</v>
      </c>
      <c r="R220" s="2" t="inlineStr"/>
    </row>
    <row r="221" ht="15" customHeight="1">
      <c r="A221" t="inlineStr">
        <is>
          <t>A 63749-2025</t>
        </is>
      </c>
      <c r="B221" s="1" t="n">
        <v>46017.75243055556</v>
      </c>
      <c r="C221" s="1" t="n">
        <v>46134</v>
      </c>
      <c r="D221" t="inlineStr">
        <is>
          <t>VÄSTMANLANDS LÄN</t>
        </is>
      </c>
      <c r="E221" t="inlineStr">
        <is>
          <t>SALA</t>
        </is>
      </c>
      <c r="G221" t="n">
        <v>1.5</v>
      </c>
      <c r="H221" t="n">
        <v>0</v>
      </c>
      <c r="I221" t="n">
        <v>0</v>
      </c>
      <c r="J221" t="n">
        <v>0</v>
      </c>
      <c r="K221" t="n">
        <v>0</v>
      </c>
      <c r="L221" t="n">
        <v>0</v>
      </c>
      <c r="M221" t="n">
        <v>0</v>
      </c>
      <c r="N221" t="n">
        <v>0</v>
      </c>
      <c r="O221" t="n">
        <v>0</v>
      </c>
      <c r="P221" t="n">
        <v>0</v>
      </c>
      <c r="Q221" t="n">
        <v>0</v>
      </c>
      <c r="R221" s="2" t="inlineStr"/>
    </row>
    <row r="222" ht="15" customHeight="1">
      <c r="A222" t="inlineStr">
        <is>
          <t>A 63748-2025</t>
        </is>
      </c>
      <c r="B222" s="1" t="n">
        <v>46017.71640046296</v>
      </c>
      <c r="C222" s="1" t="n">
        <v>46134</v>
      </c>
      <c r="D222" t="inlineStr">
        <is>
          <t>VÄSTMANLANDS LÄN</t>
        </is>
      </c>
      <c r="E222" t="inlineStr">
        <is>
          <t>SALA</t>
        </is>
      </c>
      <c r="G222" t="n">
        <v>1.6</v>
      </c>
      <c r="H222" t="n">
        <v>0</v>
      </c>
      <c r="I222" t="n">
        <v>0</v>
      </c>
      <c r="J222" t="n">
        <v>0</v>
      </c>
      <c r="K222" t="n">
        <v>0</v>
      </c>
      <c r="L222" t="n">
        <v>0</v>
      </c>
      <c r="M222" t="n">
        <v>0</v>
      </c>
      <c r="N222" t="n">
        <v>0</v>
      </c>
      <c r="O222" t="n">
        <v>0</v>
      </c>
      <c r="P222" t="n">
        <v>0</v>
      </c>
      <c r="Q222" t="n">
        <v>0</v>
      </c>
      <c r="R222" s="2" t="inlineStr"/>
    </row>
    <row r="223" ht="15" customHeight="1">
      <c r="A223" t="inlineStr">
        <is>
          <t>A 39011-2023</t>
        </is>
      </c>
      <c r="B223" s="1" t="n">
        <v>45162</v>
      </c>
      <c r="C223" s="1" t="n">
        <v>46134</v>
      </c>
      <c r="D223" t="inlineStr">
        <is>
          <t>VÄSTMANLANDS LÄN</t>
        </is>
      </c>
      <c r="E223" t="inlineStr">
        <is>
          <t>SALA</t>
        </is>
      </c>
      <c r="G223" t="n">
        <v>1.6</v>
      </c>
      <c r="H223" t="n">
        <v>0</v>
      </c>
      <c r="I223" t="n">
        <v>0</v>
      </c>
      <c r="J223" t="n">
        <v>0</v>
      </c>
      <c r="K223" t="n">
        <v>0</v>
      </c>
      <c r="L223" t="n">
        <v>0</v>
      </c>
      <c r="M223" t="n">
        <v>0</v>
      </c>
      <c r="N223" t="n">
        <v>0</v>
      </c>
      <c r="O223" t="n">
        <v>0</v>
      </c>
      <c r="P223" t="n">
        <v>0</v>
      </c>
      <c r="Q223" t="n">
        <v>0</v>
      </c>
      <c r="R223" s="2" t="inlineStr"/>
    </row>
    <row r="224" ht="15" customHeight="1">
      <c r="A224" t="inlineStr">
        <is>
          <t>A 56547-2022</t>
        </is>
      </c>
      <c r="B224" s="1" t="n">
        <v>44893.48284722222</v>
      </c>
      <c r="C224" s="1" t="n">
        <v>46134</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39182-2025</t>
        </is>
      </c>
      <c r="B225" s="1" t="n">
        <v>45888.66204861111</v>
      </c>
      <c r="C225" s="1" t="n">
        <v>46134</v>
      </c>
      <c r="D225" t="inlineStr">
        <is>
          <t>VÄSTMANLANDS LÄN</t>
        </is>
      </c>
      <c r="E225" t="inlineStr">
        <is>
          <t>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24907-2025</t>
        </is>
      </c>
      <c r="B226" s="1" t="n">
        <v>45799</v>
      </c>
      <c r="C226" s="1" t="n">
        <v>46134</v>
      </c>
      <c r="D226" t="inlineStr">
        <is>
          <t>VÄSTMANLANDS LÄN</t>
        </is>
      </c>
      <c r="E226" t="inlineStr">
        <is>
          <t>SALA</t>
        </is>
      </c>
      <c r="G226" t="n">
        <v>3.5</v>
      </c>
      <c r="H226" t="n">
        <v>0</v>
      </c>
      <c r="I226" t="n">
        <v>0</v>
      </c>
      <c r="J226" t="n">
        <v>0</v>
      </c>
      <c r="K226" t="n">
        <v>0</v>
      </c>
      <c r="L226" t="n">
        <v>0</v>
      </c>
      <c r="M226" t="n">
        <v>0</v>
      </c>
      <c r="N226" t="n">
        <v>0</v>
      </c>
      <c r="O226" t="n">
        <v>0</v>
      </c>
      <c r="P226" t="n">
        <v>0</v>
      </c>
      <c r="Q226" t="n">
        <v>0</v>
      </c>
      <c r="R226" s="2" t="inlineStr"/>
    </row>
    <row r="227" ht="15" customHeight="1">
      <c r="A227" t="inlineStr">
        <is>
          <t>A 24910-2025</t>
        </is>
      </c>
      <c r="B227" s="1" t="n">
        <v>45799.53775462963</v>
      </c>
      <c r="C227" s="1" t="n">
        <v>46134</v>
      </c>
      <c r="D227" t="inlineStr">
        <is>
          <t>VÄSTMANLANDS LÄN</t>
        </is>
      </c>
      <c r="E227" t="inlineStr">
        <is>
          <t>SALA</t>
        </is>
      </c>
      <c r="G227" t="n">
        <v>3.5</v>
      </c>
      <c r="H227" t="n">
        <v>0</v>
      </c>
      <c r="I227" t="n">
        <v>0</v>
      </c>
      <c r="J227" t="n">
        <v>0</v>
      </c>
      <c r="K227" t="n">
        <v>0</v>
      </c>
      <c r="L227" t="n">
        <v>0</v>
      </c>
      <c r="M227" t="n">
        <v>0</v>
      </c>
      <c r="N227" t="n">
        <v>0</v>
      </c>
      <c r="O227" t="n">
        <v>0</v>
      </c>
      <c r="P227" t="n">
        <v>0</v>
      </c>
      <c r="Q227" t="n">
        <v>0</v>
      </c>
      <c r="R227" s="2" t="inlineStr"/>
    </row>
    <row r="228" ht="15" customHeight="1">
      <c r="A228" t="inlineStr">
        <is>
          <t>A 56916-2022</t>
        </is>
      </c>
      <c r="B228" s="1" t="n">
        <v>44888</v>
      </c>
      <c r="C228" s="1" t="n">
        <v>46134</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46279-2021</t>
        </is>
      </c>
      <c r="B229" s="1" t="n">
        <v>44442.57797453704</v>
      </c>
      <c r="C229" s="1" t="n">
        <v>46134</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910-2026</t>
        </is>
      </c>
      <c r="B230" s="1" t="n">
        <v>46030.4771412037</v>
      </c>
      <c r="C230" s="1" t="n">
        <v>46134</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10909-2024</t>
        </is>
      </c>
      <c r="B231" s="1" t="n">
        <v>45370</v>
      </c>
      <c r="C231" s="1" t="n">
        <v>46134</v>
      </c>
      <c r="D231" t="inlineStr">
        <is>
          <t>VÄSTMANLANDS LÄN</t>
        </is>
      </c>
      <c r="E231" t="inlineStr">
        <is>
          <t>SALA</t>
        </is>
      </c>
      <c r="G231" t="n">
        <v>3.3</v>
      </c>
      <c r="H231" t="n">
        <v>0</v>
      </c>
      <c r="I231" t="n">
        <v>0</v>
      </c>
      <c r="J231" t="n">
        <v>0</v>
      </c>
      <c r="K231" t="n">
        <v>0</v>
      </c>
      <c r="L231" t="n">
        <v>0</v>
      </c>
      <c r="M231" t="n">
        <v>0</v>
      </c>
      <c r="N231" t="n">
        <v>0</v>
      </c>
      <c r="O231" t="n">
        <v>0</v>
      </c>
      <c r="P231" t="n">
        <v>0</v>
      </c>
      <c r="Q231" t="n">
        <v>0</v>
      </c>
      <c r="R231" s="2" t="inlineStr"/>
    </row>
    <row r="232" ht="15" customHeight="1">
      <c r="A232" t="inlineStr">
        <is>
          <t>A 31864-2025</t>
        </is>
      </c>
      <c r="B232" s="1" t="n">
        <v>45834.63819444444</v>
      </c>
      <c r="C232" s="1" t="n">
        <v>46134</v>
      </c>
      <c r="D232" t="inlineStr">
        <is>
          <t>VÄSTMANLANDS LÄN</t>
        </is>
      </c>
      <c r="E232" t="inlineStr">
        <is>
          <t>SALA</t>
        </is>
      </c>
      <c r="G232" t="n">
        <v>6.3</v>
      </c>
      <c r="H232" t="n">
        <v>0</v>
      </c>
      <c r="I232" t="n">
        <v>0</v>
      </c>
      <c r="J232" t="n">
        <v>0</v>
      </c>
      <c r="K232" t="n">
        <v>0</v>
      </c>
      <c r="L232" t="n">
        <v>0</v>
      </c>
      <c r="M232" t="n">
        <v>0</v>
      </c>
      <c r="N232" t="n">
        <v>0</v>
      </c>
      <c r="O232" t="n">
        <v>0</v>
      </c>
      <c r="P232" t="n">
        <v>0</v>
      </c>
      <c r="Q232" t="n">
        <v>0</v>
      </c>
      <c r="R232" s="2" t="inlineStr"/>
    </row>
    <row r="233" ht="15" customHeight="1">
      <c r="A233" t="inlineStr">
        <is>
          <t>A 39167-2025</t>
        </is>
      </c>
      <c r="B233" s="1" t="n">
        <v>45888</v>
      </c>
      <c r="C233" s="1" t="n">
        <v>46134</v>
      </c>
      <c r="D233" t="inlineStr">
        <is>
          <t>VÄSTMANLANDS LÄN</t>
        </is>
      </c>
      <c r="E233" t="inlineStr">
        <is>
          <t>SALA</t>
        </is>
      </c>
      <c r="G233" t="n">
        <v>5.5</v>
      </c>
      <c r="H233" t="n">
        <v>0</v>
      </c>
      <c r="I233" t="n">
        <v>0</v>
      </c>
      <c r="J233" t="n">
        <v>0</v>
      </c>
      <c r="K233" t="n">
        <v>0</v>
      </c>
      <c r="L233" t="n">
        <v>0</v>
      </c>
      <c r="M233" t="n">
        <v>0</v>
      </c>
      <c r="N233" t="n">
        <v>0</v>
      </c>
      <c r="O233" t="n">
        <v>0</v>
      </c>
      <c r="P233" t="n">
        <v>0</v>
      </c>
      <c r="Q233" t="n">
        <v>0</v>
      </c>
      <c r="R233" s="2" t="inlineStr"/>
    </row>
    <row r="234" ht="15" customHeight="1">
      <c r="A234" t="inlineStr">
        <is>
          <t>A 914-2026</t>
        </is>
      </c>
      <c r="B234" s="1" t="n">
        <v>46030.47952546296</v>
      </c>
      <c r="C234" s="1" t="n">
        <v>46134</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948-2026</t>
        </is>
      </c>
      <c r="B235" s="1" t="n">
        <v>46030.53986111111</v>
      </c>
      <c r="C235" s="1" t="n">
        <v>46134</v>
      </c>
      <c r="D235" t="inlineStr">
        <is>
          <t>VÄSTMANLANDS LÄN</t>
        </is>
      </c>
      <c r="E235" t="inlineStr">
        <is>
          <t>SALA</t>
        </is>
      </c>
      <c r="G235" t="n">
        <v>0.8</v>
      </c>
      <c r="H235" t="n">
        <v>0</v>
      </c>
      <c r="I235" t="n">
        <v>0</v>
      </c>
      <c r="J235" t="n">
        <v>0</v>
      </c>
      <c r="K235" t="n">
        <v>0</v>
      </c>
      <c r="L235" t="n">
        <v>0</v>
      </c>
      <c r="M235" t="n">
        <v>0</v>
      </c>
      <c r="N235" t="n">
        <v>0</v>
      </c>
      <c r="O235" t="n">
        <v>0</v>
      </c>
      <c r="P235" t="n">
        <v>0</v>
      </c>
      <c r="Q235" t="n">
        <v>0</v>
      </c>
      <c r="R235" s="2" t="inlineStr"/>
    </row>
    <row r="236" ht="15" customHeight="1">
      <c r="A236" t="inlineStr">
        <is>
          <t>A 45313-2024</t>
        </is>
      </c>
      <c r="B236" s="1" t="n">
        <v>45576</v>
      </c>
      <c r="C236" s="1" t="n">
        <v>46134</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52498-2022</t>
        </is>
      </c>
      <c r="B237" s="1" t="n">
        <v>44874.50152777778</v>
      </c>
      <c r="C237" s="1" t="n">
        <v>46134</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56535-2022</t>
        </is>
      </c>
      <c r="B238" s="1" t="n">
        <v>44893.47173611111</v>
      </c>
      <c r="C238" s="1" t="n">
        <v>46134</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47909-2022</t>
        </is>
      </c>
      <c r="B239" s="1" t="n">
        <v>44855</v>
      </c>
      <c r="C239" s="1" t="n">
        <v>46134</v>
      </c>
      <c r="D239" t="inlineStr">
        <is>
          <t>VÄSTMANLANDS LÄN</t>
        </is>
      </c>
      <c r="E239" t="inlineStr">
        <is>
          <t>SALA</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52630-2022</t>
        </is>
      </c>
      <c r="B240" s="1" t="n">
        <v>44874</v>
      </c>
      <c r="C240" s="1" t="n">
        <v>46134</v>
      </c>
      <c r="D240" t="inlineStr">
        <is>
          <t>VÄSTMANLANDS LÄN</t>
        </is>
      </c>
      <c r="E240" t="inlineStr">
        <is>
          <t>SALA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56687-2024</t>
        </is>
      </c>
      <c r="B241" s="1" t="n">
        <v>45627.63271990741</v>
      </c>
      <c r="C241" s="1" t="n">
        <v>46134</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61715-2024</t>
        </is>
      </c>
      <c r="B242" s="1" t="n">
        <v>45648.89519675926</v>
      </c>
      <c r="C242" s="1" t="n">
        <v>46134</v>
      </c>
      <c r="D242" t="inlineStr">
        <is>
          <t>VÄSTMANLANDS LÄN</t>
        </is>
      </c>
      <c r="E242" t="inlineStr">
        <is>
          <t>SALA</t>
        </is>
      </c>
      <c r="G242" t="n">
        <v>2.5</v>
      </c>
      <c r="H242" t="n">
        <v>0</v>
      </c>
      <c r="I242" t="n">
        <v>0</v>
      </c>
      <c r="J242" t="n">
        <v>0</v>
      </c>
      <c r="K242" t="n">
        <v>0</v>
      </c>
      <c r="L242" t="n">
        <v>0</v>
      </c>
      <c r="M242" t="n">
        <v>0</v>
      </c>
      <c r="N242" t="n">
        <v>0</v>
      </c>
      <c r="O242" t="n">
        <v>0</v>
      </c>
      <c r="P242" t="n">
        <v>0</v>
      </c>
      <c r="Q242" t="n">
        <v>0</v>
      </c>
      <c r="R242" s="2" t="inlineStr"/>
    </row>
    <row r="243" ht="15" customHeight="1">
      <c r="A243" t="inlineStr">
        <is>
          <t>A 26661-2025</t>
        </is>
      </c>
      <c r="B243" s="1" t="n">
        <v>45810</v>
      </c>
      <c r="C243" s="1" t="n">
        <v>46134</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16404-2022</t>
        </is>
      </c>
      <c r="B244" s="1" t="n">
        <v>44671</v>
      </c>
      <c r="C244" s="1" t="n">
        <v>46134</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40556-2025</t>
        </is>
      </c>
      <c r="B245" s="1" t="n">
        <v>45896.44944444444</v>
      </c>
      <c r="C245" s="1" t="n">
        <v>46134</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6097-2022</t>
        </is>
      </c>
      <c r="B246" s="1" t="n">
        <v>44599</v>
      </c>
      <c r="C246" s="1" t="n">
        <v>46134</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40559-2025</t>
        </is>
      </c>
      <c r="B247" s="1" t="n">
        <v>45896.45037037037</v>
      </c>
      <c r="C247" s="1" t="n">
        <v>46134</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10559-2024</t>
        </is>
      </c>
      <c r="B248" s="1" t="n">
        <v>45366</v>
      </c>
      <c r="C248" s="1" t="n">
        <v>46134</v>
      </c>
      <c r="D248" t="inlineStr">
        <is>
          <t>VÄSTMANLANDS LÄN</t>
        </is>
      </c>
      <c r="E248" t="inlineStr">
        <is>
          <t>SALA</t>
        </is>
      </c>
      <c r="G248" t="n">
        <v>0.3</v>
      </c>
      <c r="H248" t="n">
        <v>0</v>
      </c>
      <c r="I248" t="n">
        <v>0</v>
      </c>
      <c r="J248" t="n">
        <v>0</v>
      </c>
      <c r="K248" t="n">
        <v>0</v>
      </c>
      <c r="L248" t="n">
        <v>0</v>
      </c>
      <c r="M248" t="n">
        <v>0</v>
      </c>
      <c r="N248" t="n">
        <v>0</v>
      </c>
      <c r="O248" t="n">
        <v>0</v>
      </c>
      <c r="P248" t="n">
        <v>0</v>
      </c>
      <c r="Q248" t="n">
        <v>0</v>
      </c>
      <c r="R248" s="2" t="inlineStr"/>
    </row>
    <row r="249" ht="15" customHeight="1">
      <c r="A249" t="inlineStr">
        <is>
          <t>A 40620-2025</t>
        </is>
      </c>
      <c r="B249" s="1" t="n">
        <v>45896.58609953704</v>
      </c>
      <c r="C249" s="1" t="n">
        <v>46134</v>
      </c>
      <c r="D249" t="inlineStr">
        <is>
          <t>VÄSTMANLANDS LÄN</t>
        </is>
      </c>
      <c r="E249" t="inlineStr">
        <is>
          <t>SALA</t>
        </is>
      </c>
      <c r="G249" t="n">
        <v>6.7</v>
      </c>
      <c r="H249" t="n">
        <v>0</v>
      </c>
      <c r="I249" t="n">
        <v>0</v>
      </c>
      <c r="J249" t="n">
        <v>0</v>
      </c>
      <c r="K249" t="n">
        <v>0</v>
      </c>
      <c r="L249" t="n">
        <v>0</v>
      </c>
      <c r="M249" t="n">
        <v>0</v>
      </c>
      <c r="N249" t="n">
        <v>0</v>
      </c>
      <c r="O249" t="n">
        <v>0</v>
      </c>
      <c r="P249" t="n">
        <v>0</v>
      </c>
      <c r="Q249" t="n">
        <v>0</v>
      </c>
      <c r="R249" s="2" t="inlineStr"/>
    </row>
    <row r="250" ht="15" customHeight="1">
      <c r="A250" t="inlineStr">
        <is>
          <t>A 60545-2024</t>
        </is>
      </c>
      <c r="B250" s="1" t="n">
        <v>45643</v>
      </c>
      <c r="C250" s="1" t="n">
        <v>46134</v>
      </c>
      <c r="D250" t="inlineStr">
        <is>
          <t>VÄSTMANLANDS LÄN</t>
        </is>
      </c>
      <c r="E250" t="inlineStr">
        <is>
          <t>SALA</t>
        </is>
      </c>
      <c r="G250" t="n">
        <v>3.3</v>
      </c>
      <c r="H250" t="n">
        <v>0</v>
      </c>
      <c r="I250" t="n">
        <v>0</v>
      </c>
      <c r="J250" t="n">
        <v>0</v>
      </c>
      <c r="K250" t="n">
        <v>0</v>
      </c>
      <c r="L250" t="n">
        <v>0</v>
      </c>
      <c r="M250" t="n">
        <v>0</v>
      </c>
      <c r="N250" t="n">
        <v>0</v>
      </c>
      <c r="O250" t="n">
        <v>0</v>
      </c>
      <c r="P250" t="n">
        <v>0</v>
      </c>
      <c r="Q250" t="n">
        <v>0</v>
      </c>
      <c r="R250" s="2" t="inlineStr"/>
    </row>
    <row r="251" ht="15" customHeight="1">
      <c r="A251" t="inlineStr">
        <is>
          <t>A 60547-2024</t>
        </is>
      </c>
      <c r="B251" s="1" t="n">
        <v>45643</v>
      </c>
      <c r="C251" s="1" t="n">
        <v>46134</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15965-2024</t>
        </is>
      </c>
      <c r="B252" s="1" t="n">
        <v>45405.55740740741</v>
      </c>
      <c r="C252" s="1" t="n">
        <v>46134</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1196-2023</t>
        </is>
      </c>
      <c r="B253" s="1" t="n">
        <v>44935.82290509259</v>
      </c>
      <c r="C253" s="1" t="n">
        <v>46134</v>
      </c>
      <c r="D253" t="inlineStr">
        <is>
          <t>VÄSTMANLANDS LÄN</t>
        </is>
      </c>
      <c r="E253" t="inlineStr">
        <is>
          <t>SALA</t>
        </is>
      </c>
      <c r="G253" t="n">
        <v>4.1</v>
      </c>
      <c r="H253" t="n">
        <v>0</v>
      </c>
      <c r="I253" t="n">
        <v>0</v>
      </c>
      <c r="J253" t="n">
        <v>0</v>
      </c>
      <c r="K253" t="n">
        <v>0</v>
      </c>
      <c r="L253" t="n">
        <v>0</v>
      </c>
      <c r="M253" t="n">
        <v>0</v>
      </c>
      <c r="N253" t="n">
        <v>0</v>
      </c>
      <c r="O253" t="n">
        <v>0</v>
      </c>
      <c r="P253" t="n">
        <v>0</v>
      </c>
      <c r="Q253" t="n">
        <v>0</v>
      </c>
      <c r="R253" s="2" t="inlineStr"/>
    </row>
    <row r="254" ht="15" customHeight="1">
      <c r="A254" t="inlineStr">
        <is>
          <t>A 41230-2025</t>
        </is>
      </c>
      <c r="B254" s="1" t="n">
        <v>45898</v>
      </c>
      <c r="C254" s="1" t="n">
        <v>46134</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28193-2025</t>
        </is>
      </c>
      <c r="B255" s="1" t="n">
        <v>45818.425625</v>
      </c>
      <c r="C255" s="1" t="n">
        <v>46134</v>
      </c>
      <c r="D255" t="inlineStr">
        <is>
          <t>VÄSTMANLANDS LÄN</t>
        </is>
      </c>
      <c r="E255" t="inlineStr">
        <is>
          <t>SALA</t>
        </is>
      </c>
      <c r="G255" t="n">
        <v>1.8</v>
      </c>
      <c r="H255" t="n">
        <v>0</v>
      </c>
      <c r="I255" t="n">
        <v>0</v>
      </c>
      <c r="J255" t="n">
        <v>0</v>
      </c>
      <c r="K255" t="n">
        <v>0</v>
      </c>
      <c r="L255" t="n">
        <v>0</v>
      </c>
      <c r="M255" t="n">
        <v>0</v>
      </c>
      <c r="N255" t="n">
        <v>0</v>
      </c>
      <c r="O255" t="n">
        <v>0</v>
      </c>
      <c r="P255" t="n">
        <v>0</v>
      </c>
      <c r="Q255" t="n">
        <v>0</v>
      </c>
      <c r="R255" s="2" t="inlineStr"/>
    </row>
    <row r="256" ht="15" customHeight="1">
      <c r="A256" t="inlineStr">
        <is>
          <t>A 27981-2025</t>
        </is>
      </c>
      <c r="B256" s="1" t="n">
        <v>45817.57471064815</v>
      </c>
      <c r="C256" s="1" t="n">
        <v>46134</v>
      </c>
      <c r="D256" t="inlineStr">
        <is>
          <t>VÄSTMANLANDS LÄN</t>
        </is>
      </c>
      <c r="E256" t="inlineStr">
        <is>
          <t>SALA</t>
        </is>
      </c>
      <c r="G256" t="n">
        <v>1.7</v>
      </c>
      <c r="H256" t="n">
        <v>0</v>
      </c>
      <c r="I256" t="n">
        <v>0</v>
      </c>
      <c r="J256" t="n">
        <v>0</v>
      </c>
      <c r="K256" t="n">
        <v>0</v>
      </c>
      <c r="L256" t="n">
        <v>0</v>
      </c>
      <c r="M256" t="n">
        <v>0</v>
      </c>
      <c r="N256" t="n">
        <v>0</v>
      </c>
      <c r="O256" t="n">
        <v>0</v>
      </c>
      <c r="P256" t="n">
        <v>0</v>
      </c>
      <c r="Q256" t="n">
        <v>0</v>
      </c>
      <c r="R256" s="2" t="inlineStr"/>
    </row>
    <row r="257" ht="15" customHeight="1">
      <c r="A257" t="inlineStr">
        <is>
          <t>A 28278-2025</t>
        </is>
      </c>
      <c r="B257" s="1" t="n">
        <v>45818.58454861111</v>
      </c>
      <c r="C257" s="1" t="n">
        <v>46134</v>
      </c>
      <c r="D257" t="inlineStr">
        <is>
          <t>VÄSTMANLANDS LÄN</t>
        </is>
      </c>
      <c r="E257" t="inlineStr">
        <is>
          <t>SALA</t>
        </is>
      </c>
      <c r="G257" t="n">
        <v>7.6</v>
      </c>
      <c r="H257" t="n">
        <v>0</v>
      </c>
      <c r="I257" t="n">
        <v>0</v>
      </c>
      <c r="J257" t="n">
        <v>0</v>
      </c>
      <c r="K257" t="n">
        <v>0</v>
      </c>
      <c r="L257" t="n">
        <v>0</v>
      </c>
      <c r="M257" t="n">
        <v>0</v>
      </c>
      <c r="N257" t="n">
        <v>0</v>
      </c>
      <c r="O257" t="n">
        <v>0</v>
      </c>
      <c r="P257" t="n">
        <v>0</v>
      </c>
      <c r="Q257" t="n">
        <v>0</v>
      </c>
      <c r="R257" s="2" t="inlineStr"/>
    </row>
    <row r="258" ht="15" customHeight="1">
      <c r="A258" t="inlineStr">
        <is>
          <t>A 62651-2022</t>
        </is>
      </c>
      <c r="B258" s="1" t="n">
        <v>44917</v>
      </c>
      <c r="C258" s="1" t="n">
        <v>46134</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54836-2024</t>
        </is>
      </c>
      <c r="B259" s="1" t="n">
        <v>45618</v>
      </c>
      <c r="C259" s="1" t="n">
        <v>46134</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13987-2023</t>
        </is>
      </c>
      <c r="B260" s="1" t="n">
        <v>45007</v>
      </c>
      <c r="C260" s="1" t="n">
        <v>46134</v>
      </c>
      <c r="D260" t="inlineStr">
        <is>
          <t>VÄSTMANLANDS LÄN</t>
        </is>
      </c>
      <c r="E260" t="inlineStr">
        <is>
          <t>SALA</t>
        </is>
      </c>
      <c r="G260" t="n">
        <v>3.2</v>
      </c>
      <c r="H260" t="n">
        <v>0</v>
      </c>
      <c r="I260" t="n">
        <v>0</v>
      </c>
      <c r="J260" t="n">
        <v>0</v>
      </c>
      <c r="K260" t="n">
        <v>0</v>
      </c>
      <c r="L260" t="n">
        <v>0</v>
      </c>
      <c r="M260" t="n">
        <v>0</v>
      </c>
      <c r="N260" t="n">
        <v>0</v>
      </c>
      <c r="O260" t="n">
        <v>0</v>
      </c>
      <c r="P260" t="n">
        <v>0</v>
      </c>
      <c r="Q260" t="n">
        <v>0</v>
      </c>
      <c r="R260" s="2" t="inlineStr"/>
    </row>
    <row r="261" ht="15" customHeight="1">
      <c r="A261" t="inlineStr">
        <is>
          <t>A 13990-2023</t>
        </is>
      </c>
      <c r="B261" s="1" t="n">
        <v>45007</v>
      </c>
      <c r="C261" s="1" t="n">
        <v>46134</v>
      </c>
      <c r="D261" t="inlineStr">
        <is>
          <t>VÄSTMANLANDS LÄN</t>
        </is>
      </c>
      <c r="E261" t="inlineStr">
        <is>
          <t>SALA</t>
        </is>
      </c>
      <c r="G261" t="n">
        <v>2.6</v>
      </c>
      <c r="H261" t="n">
        <v>0</v>
      </c>
      <c r="I261" t="n">
        <v>0</v>
      </c>
      <c r="J261" t="n">
        <v>0</v>
      </c>
      <c r="K261" t="n">
        <v>0</v>
      </c>
      <c r="L261" t="n">
        <v>0</v>
      </c>
      <c r="M261" t="n">
        <v>0</v>
      </c>
      <c r="N261" t="n">
        <v>0</v>
      </c>
      <c r="O261" t="n">
        <v>0</v>
      </c>
      <c r="P261" t="n">
        <v>0</v>
      </c>
      <c r="Q261" t="n">
        <v>0</v>
      </c>
      <c r="R261" s="2" t="inlineStr"/>
    </row>
    <row r="262" ht="15" customHeight="1">
      <c r="A262" t="inlineStr">
        <is>
          <t>A 51464-2024</t>
        </is>
      </c>
      <c r="B262" s="1" t="n">
        <v>45604.49768518518</v>
      </c>
      <c r="C262" s="1" t="n">
        <v>46134</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27989-2025</t>
        </is>
      </c>
      <c r="B263" s="1" t="n">
        <v>45817.58716435185</v>
      </c>
      <c r="C263" s="1" t="n">
        <v>46134</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1128-2025</t>
        </is>
      </c>
      <c r="B264" s="1" t="n">
        <v>45666.68469907407</v>
      </c>
      <c r="C264" s="1" t="n">
        <v>46134</v>
      </c>
      <c r="D264" t="inlineStr">
        <is>
          <t>VÄSTMANLANDS LÄN</t>
        </is>
      </c>
      <c r="E264" t="inlineStr">
        <is>
          <t>SALA</t>
        </is>
      </c>
      <c r="G264" t="n">
        <v>2.5</v>
      </c>
      <c r="H264" t="n">
        <v>0</v>
      </c>
      <c r="I264" t="n">
        <v>0</v>
      </c>
      <c r="J264" t="n">
        <v>0</v>
      </c>
      <c r="K264" t="n">
        <v>0</v>
      </c>
      <c r="L264" t="n">
        <v>0</v>
      </c>
      <c r="M264" t="n">
        <v>0</v>
      </c>
      <c r="N264" t="n">
        <v>0</v>
      </c>
      <c r="O264" t="n">
        <v>0</v>
      </c>
      <c r="P264" t="n">
        <v>0</v>
      </c>
      <c r="Q264" t="n">
        <v>0</v>
      </c>
      <c r="R264" s="2" t="inlineStr"/>
    </row>
    <row r="265" ht="15" customHeight="1">
      <c r="A265" t="inlineStr">
        <is>
          <t>A 41431-2025</t>
        </is>
      </c>
      <c r="B265" s="1" t="n">
        <v>45901.39347222223</v>
      </c>
      <c r="C265" s="1" t="n">
        <v>46134</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43176-2023</t>
        </is>
      </c>
      <c r="B266" s="1" t="n">
        <v>45183</v>
      </c>
      <c r="C266" s="1" t="n">
        <v>46134</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1705-2026</t>
        </is>
      </c>
      <c r="B267" s="1" t="n">
        <v>46034.59930555556</v>
      </c>
      <c r="C267" s="1" t="n">
        <v>46134</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41414-2025</t>
        </is>
      </c>
      <c r="B268" s="1" t="n">
        <v>45901.360625</v>
      </c>
      <c r="C268" s="1" t="n">
        <v>46134</v>
      </c>
      <c r="D268" t="inlineStr">
        <is>
          <t>VÄSTMANLANDS LÄN</t>
        </is>
      </c>
      <c r="E268" t="inlineStr">
        <is>
          <t>SALA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28284-2025</t>
        </is>
      </c>
      <c r="B269" s="1" t="n">
        <v>45818.58893518519</v>
      </c>
      <c r="C269" s="1" t="n">
        <v>46134</v>
      </c>
      <c r="D269" t="inlineStr">
        <is>
          <t>VÄSTMANLANDS LÄN</t>
        </is>
      </c>
      <c r="E269" t="inlineStr">
        <is>
          <t>SALA</t>
        </is>
      </c>
      <c r="G269" t="n">
        <v>2.4</v>
      </c>
      <c r="H269" t="n">
        <v>0</v>
      </c>
      <c r="I269" t="n">
        <v>0</v>
      </c>
      <c r="J269" t="n">
        <v>0</v>
      </c>
      <c r="K269" t="n">
        <v>0</v>
      </c>
      <c r="L269" t="n">
        <v>0</v>
      </c>
      <c r="M269" t="n">
        <v>0</v>
      </c>
      <c r="N269" t="n">
        <v>0</v>
      </c>
      <c r="O269" t="n">
        <v>0</v>
      </c>
      <c r="P269" t="n">
        <v>0</v>
      </c>
      <c r="Q269" t="n">
        <v>0</v>
      </c>
      <c r="R269" s="2" t="inlineStr"/>
    </row>
    <row r="270" ht="15" customHeight="1">
      <c r="A270" t="inlineStr">
        <is>
          <t>A 53164-2024</t>
        </is>
      </c>
      <c r="B270" s="1" t="n">
        <v>45611.64887731482</v>
      </c>
      <c r="C270" s="1" t="n">
        <v>46134</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73835-2021</t>
        </is>
      </c>
      <c r="B271" s="1" t="n">
        <v>44552.92112268518</v>
      </c>
      <c r="C271" s="1" t="n">
        <v>46134</v>
      </c>
      <c r="D271" t="inlineStr">
        <is>
          <t>VÄSTMANLANDS LÄN</t>
        </is>
      </c>
      <c r="E271" t="inlineStr">
        <is>
          <t>SALA</t>
        </is>
      </c>
      <c r="G271" t="n">
        <v>2</v>
      </c>
      <c r="H271" t="n">
        <v>0</v>
      </c>
      <c r="I271" t="n">
        <v>0</v>
      </c>
      <c r="J271" t="n">
        <v>0</v>
      </c>
      <c r="K271" t="n">
        <v>0</v>
      </c>
      <c r="L271" t="n">
        <v>0</v>
      </c>
      <c r="M271" t="n">
        <v>0</v>
      </c>
      <c r="N271" t="n">
        <v>0</v>
      </c>
      <c r="O271" t="n">
        <v>0</v>
      </c>
      <c r="P271" t="n">
        <v>0</v>
      </c>
      <c r="Q271" t="n">
        <v>0</v>
      </c>
      <c r="R271" s="2" t="inlineStr"/>
    </row>
    <row r="272" ht="15" customHeight="1">
      <c r="A272" t="inlineStr">
        <is>
          <t>A 28632-2025</t>
        </is>
      </c>
      <c r="B272" s="1" t="n">
        <v>45819.62344907408</v>
      </c>
      <c r="C272" s="1" t="n">
        <v>46134</v>
      </c>
      <c r="D272" t="inlineStr">
        <is>
          <t>VÄSTMANLANDS LÄN</t>
        </is>
      </c>
      <c r="E272" t="inlineStr">
        <is>
          <t>SALA</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60379-2022</t>
        </is>
      </c>
      <c r="B273" s="1" t="n">
        <v>44910</v>
      </c>
      <c r="C273" s="1" t="n">
        <v>46134</v>
      </c>
      <c r="D273" t="inlineStr">
        <is>
          <t>VÄSTMANLANDS LÄN</t>
        </is>
      </c>
      <c r="E273" t="inlineStr">
        <is>
          <t>SALA</t>
        </is>
      </c>
      <c r="F273" t="inlineStr">
        <is>
          <t>Kyrkan</t>
        </is>
      </c>
      <c r="G273" t="n">
        <v>2.5</v>
      </c>
      <c r="H273" t="n">
        <v>0</v>
      </c>
      <c r="I273" t="n">
        <v>0</v>
      </c>
      <c r="J273" t="n">
        <v>0</v>
      </c>
      <c r="K273" t="n">
        <v>0</v>
      </c>
      <c r="L273" t="n">
        <v>0</v>
      </c>
      <c r="M273" t="n">
        <v>0</v>
      </c>
      <c r="N273" t="n">
        <v>0</v>
      </c>
      <c r="O273" t="n">
        <v>0</v>
      </c>
      <c r="P273" t="n">
        <v>0</v>
      </c>
      <c r="Q273" t="n">
        <v>0</v>
      </c>
      <c r="R273" s="2" t="inlineStr"/>
    </row>
    <row r="274" ht="15" customHeight="1">
      <c r="A274" t="inlineStr">
        <is>
          <t>A 61717-2024</t>
        </is>
      </c>
      <c r="B274" s="1" t="n">
        <v>45648</v>
      </c>
      <c r="C274" s="1" t="n">
        <v>46134</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1638-2023</t>
        </is>
      </c>
      <c r="B275" s="1" t="n">
        <v>44937</v>
      </c>
      <c r="C275" s="1" t="n">
        <v>46134</v>
      </c>
      <c r="D275" t="inlineStr">
        <is>
          <t>VÄSTMANLANDS LÄN</t>
        </is>
      </c>
      <c r="E275" t="inlineStr">
        <is>
          <t>SALA</t>
        </is>
      </c>
      <c r="G275" t="n">
        <v>3.1</v>
      </c>
      <c r="H275" t="n">
        <v>0</v>
      </c>
      <c r="I275" t="n">
        <v>0</v>
      </c>
      <c r="J275" t="n">
        <v>0</v>
      </c>
      <c r="K275" t="n">
        <v>0</v>
      </c>
      <c r="L275" t="n">
        <v>0</v>
      </c>
      <c r="M275" t="n">
        <v>0</v>
      </c>
      <c r="N275" t="n">
        <v>0</v>
      </c>
      <c r="O275" t="n">
        <v>0</v>
      </c>
      <c r="P275" t="n">
        <v>0</v>
      </c>
      <c r="Q275" t="n">
        <v>0</v>
      </c>
      <c r="R275" s="2" t="inlineStr"/>
    </row>
    <row r="276" ht="15" customHeight="1">
      <c r="A276" t="inlineStr">
        <is>
          <t>A 28628-2025</t>
        </is>
      </c>
      <c r="B276" s="1" t="n">
        <v>45819.62158564815</v>
      </c>
      <c r="C276" s="1" t="n">
        <v>46134</v>
      </c>
      <c r="D276" t="inlineStr">
        <is>
          <t>VÄSTMANLANDS LÄN</t>
        </is>
      </c>
      <c r="E276" t="inlineStr">
        <is>
          <t>SALA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7953-2024</t>
        </is>
      </c>
      <c r="B277" s="1" t="n">
        <v>45350</v>
      </c>
      <c r="C277" s="1" t="n">
        <v>46134</v>
      </c>
      <c r="D277" t="inlineStr">
        <is>
          <t>VÄSTMANLANDS LÄN</t>
        </is>
      </c>
      <c r="E277" t="inlineStr">
        <is>
          <t>SALA</t>
        </is>
      </c>
      <c r="G277" t="n">
        <v>2.6</v>
      </c>
      <c r="H277" t="n">
        <v>0</v>
      </c>
      <c r="I277" t="n">
        <v>0</v>
      </c>
      <c r="J277" t="n">
        <v>0</v>
      </c>
      <c r="K277" t="n">
        <v>0</v>
      </c>
      <c r="L277" t="n">
        <v>0</v>
      </c>
      <c r="M277" t="n">
        <v>0</v>
      </c>
      <c r="N277" t="n">
        <v>0</v>
      </c>
      <c r="O277" t="n">
        <v>0</v>
      </c>
      <c r="P277" t="n">
        <v>0</v>
      </c>
      <c r="Q277" t="n">
        <v>0</v>
      </c>
      <c r="R277" s="2" t="inlineStr"/>
    </row>
    <row r="278" ht="15" customHeight="1">
      <c r="A278" t="inlineStr">
        <is>
          <t>A 28630-2025</t>
        </is>
      </c>
      <c r="B278" s="1" t="n">
        <v>45819.62274305556</v>
      </c>
      <c r="C278" s="1" t="n">
        <v>46134</v>
      </c>
      <c r="D278" t="inlineStr">
        <is>
          <t>VÄSTMANLANDS LÄN</t>
        </is>
      </c>
      <c r="E278" t="inlineStr">
        <is>
          <t>SALA</t>
        </is>
      </c>
      <c r="F278" t="inlineStr">
        <is>
          <t>Sveaskog</t>
        </is>
      </c>
      <c r="G278" t="n">
        <v>9</v>
      </c>
      <c r="H278" t="n">
        <v>0</v>
      </c>
      <c r="I278" t="n">
        <v>0</v>
      </c>
      <c r="J278" t="n">
        <v>0</v>
      </c>
      <c r="K278" t="n">
        <v>0</v>
      </c>
      <c r="L278" t="n">
        <v>0</v>
      </c>
      <c r="M278" t="n">
        <v>0</v>
      </c>
      <c r="N278" t="n">
        <v>0</v>
      </c>
      <c r="O278" t="n">
        <v>0</v>
      </c>
      <c r="P278" t="n">
        <v>0</v>
      </c>
      <c r="Q278" t="n">
        <v>0</v>
      </c>
      <c r="R278" s="2" t="inlineStr"/>
    </row>
    <row r="279" ht="15" customHeight="1">
      <c r="A279" t="inlineStr">
        <is>
          <t>A 28837-2025</t>
        </is>
      </c>
      <c r="B279" s="1" t="n">
        <v>45820.56243055555</v>
      </c>
      <c r="C279" s="1" t="n">
        <v>46134</v>
      </c>
      <c r="D279" t="inlineStr">
        <is>
          <t>VÄSTMANLANDS LÄN</t>
        </is>
      </c>
      <c r="E279" t="inlineStr">
        <is>
          <t>SALA</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28849-2025</t>
        </is>
      </c>
      <c r="B280" s="1" t="n">
        <v>45820</v>
      </c>
      <c r="C280" s="1" t="n">
        <v>46134</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5477-2024</t>
        </is>
      </c>
      <c r="B281" s="1" t="n">
        <v>45333.67833333334</v>
      </c>
      <c r="C281" s="1" t="n">
        <v>46134</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29085-2025</t>
        </is>
      </c>
      <c r="B282" s="1" t="n">
        <v>45821</v>
      </c>
      <c r="C282" s="1" t="n">
        <v>46134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26507-2023</t>
        </is>
      </c>
      <c r="B283" s="1" t="n">
        <v>45092</v>
      </c>
      <c r="C283" s="1" t="n">
        <v>46134</v>
      </c>
      <c r="D283" t="inlineStr">
        <is>
          <t>VÄSTMANLANDS LÄN</t>
        </is>
      </c>
      <c r="E283" t="inlineStr">
        <is>
          <t>SALA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6032-2025</t>
        </is>
      </c>
      <c r="B284" s="1" t="n">
        <v>45695.6371875</v>
      </c>
      <c r="C284" s="1" t="n">
        <v>46134</v>
      </c>
      <c r="D284" t="inlineStr">
        <is>
          <t>VÄSTMANLANDS LÄN</t>
        </is>
      </c>
      <c r="E284" t="inlineStr">
        <is>
          <t>SALA</t>
        </is>
      </c>
      <c r="F284" t="inlineStr">
        <is>
          <t>Bergvik skog öst AB</t>
        </is>
      </c>
      <c r="G284" t="n">
        <v>8.1</v>
      </c>
      <c r="H284" t="n">
        <v>0</v>
      </c>
      <c r="I284" t="n">
        <v>0</v>
      </c>
      <c r="J284" t="n">
        <v>0</v>
      </c>
      <c r="K284" t="n">
        <v>0</v>
      </c>
      <c r="L284" t="n">
        <v>0</v>
      </c>
      <c r="M284" t="n">
        <v>0</v>
      </c>
      <c r="N284" t="n">
        <v>0</v>
      </c>
      <c r="O284" t="n">
        <v>0</v>
      </c>
      <c r="P284" t="n">
        <v>0</v>
      </c>
      <c r="Q284" t="n">
        <v>0</v>
      </c>
      <c r="R284" s="2" t="inlineStr"/>
    </row>
    <row r="285" ht="15" customHeight="1">
      <c r="A285" t="inlineStr">
        <is>
          <t>A 21968-2024</t>
        </is>
      </c>
      <c r="B285" s="1" t="n">
        <v>45443</v>
      </c>
      <c r="C285" s="1" t="n">
        <v>46134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60541-2024</t>
        </is>
      </c>
      <c r="B286" s="1" t="n">
        <v>45643</v>
      </c>
      <c r="C286" s="1" t="n">
        <v>46134</v>
      </c>
      <c r="D286" t="inlineStr">
        <is>
          <t>VÄSTMANLANDS LÄN</t>
        </is>
      </c>
      <c r="E286" t="inlineStr">
        <is>
          <t>SALA</t>
        </is>
      </c>
      <c r="G286" t="n">
        <v>10.6</v>
      </c>
      <c r="H286" t="n">
        <v>0</v>
      </c>
      <c r="I286" t="n">
        <v>0</v>
      </c>
      <c r="J286" t="n">
        <v>0</v>
      </c>
      <c r="K286" t="n">
        <v>0</v>
      </c>
      <c r="L286" t="n">
        <v>0</v>
      </c>
      <c r="M286" t="n">
        <v>0</v>
      </c>
      <c r="N286" t="n">
        <v>0</v>
      </c>
      <c r="O286" t="n">
        <v>0</v>
      </c>
      <c r="P286" t="n">
        <v>0</v>
      </c>
      <c r="Q286" t="n">
        <v>0</v>
      </c>
      <c r="R286" s="2" t="inlineStr"/>
    </row>
    <row r="287" ht="15" customHeight="1">
      <c r="A287" t="inlineStr">
        <is>
          <t>A 29826-2025</t>
        </is>
      </c>
      <c r="B287" s="1" t="n">
        <v>45825.85761574074</v>
      </c>
      <c r="C287" s="1" t="n">
        <v>46134</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34814-2021</t>
        </is>
      </c>
      <c r="B288" s="1" t="n">
        <v>44383</v>
      </c>
      <c r="C288" s="1" t="n">
        <v>46134</v>
      </c>
      <c r="D288" t="inlineStr">
        <is>
          <t>VÄSTMANLANDS LÄN</t>
        </is>
      </c>
      <c r="E288" t="inlineStr">
        <is>
          <t>SALA</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42421-2025</t>
        </is>
      </c>
      <c r="B289" s="1" t="n">
        <v>45905.40067129629</v>
      </c>
      <c r="C289" s="1" t="n">
        <v>46134</v>
      </c>
      <c r="D289" t="inlineStr">
        <is>
          <t>VÄSTMANLANDS LÄN</t>
        </is>
      </c>
      <c r="E289" t="inlineStr">
        <is>
          <t>SALA</t>
        </is>
      </c>
      <c r="G289" t="n">
        <v>1.3</v>
      </c>
      <c r="H289" t="n">
        <v>0</v>
      </c>
      <c r="I289" t="n">
        <v>0</v>
      </c>
      <c r="J289" t="n">
        <v>0</v>
      </c>
      <c r="K289" t="n">
        <v>0</v>
      </c>
      <c r="L289" t="n">
        <v>0</v>
      </c>
      <c r="M289" t="n">
        <v>0</v>
      </c>
      <c r="N289" t="n">
        <v>0</v>
      </c>
      <c r="O289" t="n">
        <v>0</v>
      </c>
      <c r="P289" t="n">
        <v>0</v>
      </c>
      <c r="Q289" t="n">
        <v>0</v>
      </c>
      <c r="R289" s="2" t="inlineStr"/>
    </row>
    <row r="290" ht="15" customHeight="1">
      <c r="A290" t="inlineStr">
        <is>
          <t>A 54118-2023</t>
        </is>
      </c>
      <c r="B290" s="1" t="n">
        <v>45232</v>
      </c>
      <c r="C290" s="1" t="n">
        <v>46134</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29691-2025</t>
        </is>
      </c>
      <c r="B291" s="1" t="n">
        <v>45825.53645833334</v>
      </c>
      <c r="C291" s="1" t="n">
        <v>46134</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35462-2024</t>
        </is>
      </c>
      <c r="B292" s="1" t="n">
        <v>45531</v>
      </c>
      <c r="C292" s="1" t="n">
        <v>46134</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43028-2025</t>
        </is>
      </c>
      <c r="B293" s="1" t="n">
        <v>45909.53472222222</v>
      </c>
      <c r="C293" s="1" t="n">
        <v>46134</v>
      </c>
      <c r="D293" t="inlineStr">
        <is>
          <t>VÄSTMANLANDS LÄN</t>
        </is>
      </c>
      <c r="E293" t="inlineStr">
        <is>
          <t>SALA</t>
        </is>
      </c>
      <c r="G293" t="n">
        <v>3.8</v>
      </c>
      <c r="H293" t="n">
        <v>0</v>
      </c>
      <c r="I293" t="n">
        <v>0</v>
      </c>
      <c r="J293" t="n">
        <v>0</v>
      </c>
      <c r="K293" t="n">
        <v>0</v>
      </c>
      <c r="L293" t="n">
        <v>0</v>
      </c>
      <c r="M293" t="n">
        <v>0</v>
      </c>
      <c r="N293" t="n">
        <v>0</v>
      </c>
      <c r="O293" t="n">
        <v>0</v>
      </c>
      <c r="P293" t="n">
        <v>0</v>
      </c>
      <c r="Q293" t="n">
        <v>0</v>
      </c>
      <c r="R293" s="2" t="inlineStr"/>
    </row>
    <row r="294" ht="15" customHeight="1">
      <c r="A294" t="inlineStr">
        <is>
          <t>A 43328-2025</t>
        </is>
      </c>
      <c r="B294" s="1" t="n">
        <v>45910</v>
      </c>
      <c r="C294" s="1" t="n">
        <v>46134</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43031-2025</t>
        </is>
      </c>
      <c r="B295" s="1" t="n">
        <v>45909.53856481481</v>
      </c>
      <c r="C295" s="1" t="n">
        <v>46134</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17495-2024</t>
        </is>
      </c>
      <c r="B296" s="1" t="n">
        <v>45415</v>
      </c>
      <c r="C296" s="1" t="n">
        <v>46134</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37263-2025</t>
        </is>
      </c>
      <c r="B297" s="1" t="n">
        <v>45876.4584837963</v>
      </c>
      <c r="C297" s="1" t="n">
        <v>46134</v>
      </c>
      <c r="D297" t="inlineStr">
        <is>
          <t>VÄSTMANLANDS LÄN</t>
        </is>
      </c>
      <c r="E297" t="inlineStr">
        <is>
          <t>SALA</t>
        </is>
      </c>
      <c r="G297" t="n">
        <v>2.3</v>
      </c>
      <c r="H297" t="n">
        <v>0</v>
      </c>
      <c r="I297" t="n">
        <v>0</v>
      </c>
      <c r="J297" t="n">
        <v>0</v>
      </c>
      <c r="K297" t="n">
        <v>0</v>
      </c>
      <c r="L297" t="n">
        <v>0</v>
      </c>
      <c r="M297" t="n">
        <v>0</v>
      </c>
      <c r="N297" t="n">
        <v>0</v>
      </c>
      <c r="O297" t="n">
        <v>0</v>
      </c>
      <c r="P297" t="n">
        <v>0</v>
      </c>
      <c r="Q297" t="n">
        <v>0</v>
      </c>
      <c r="R297" s="2" t="inlineStr"/>
    </row>
    <row r="298" ht="15" customHeight="1">
      <c r="A298" t="inlineStr">
        <is>
          <t>A 40554-2025</t>
        </is>
      </c>
      <c r="B298" s="1" t="n">
        <v>45896.44506944445</v>
      </c>
      <c r="C298" s="1" t="n">
        <v>46134</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43129-2025</t>
        </is>
      </c>
      <c r="B299" s="1" t="n">
        <v>45909</v>
      </c>
      <c r="C299" s="1" t="n">
        <v>46134</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43130-2025</t>
        </is>
      </c>
      <c r="B300" s="1" t="n">
        <v>45909</v>
      </c>
      <c r="C300" s="1" t="n">
        <v>46134</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36393-2023</t>
        </is>
      </c>
      <c r="B301" s="1" t="n">
        <v>45152</v>
      </c>
      <c r="C301" s="1" t="n">
        <v>46134</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43128-2025</t>
        </is>
      </c>
      <c r="B302" s="1" t="n">
        <v>45909</v>
      </c>
      <c r="C302" s="1" t="n">
        <v>46134</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45790-2023</t>
        </is>
      </c>
      <c r="B303" s="1" t="n">
        <v>45195.45958333334</v>
      </c>
      <c r="C303" s="1" t="n">
        <v>46134</v>
      </c>
      <c r="D303" t="inlineStr">
        <is>
          <t>VÄSTMANLANDS LÄN</t>
        </is>
      </c>
      <c r="E303" t="inlineStr">
        <is>
          <t>SALA</t>
        </is>
      </c>
      <c r="G303" t="n">
        <v>5.7</v>
      </c>
      <c r="H303" t="n">
        <v>0</v>
      </c>
      <c r="I303" t="n">
        <v>0</v>
      </c>
      <c r="J303" t="n">
        <v>0</v>
      </c>
      <c r="K303" t="n">
        <v>0</v>
      </c>
      <c r="L303" t="n">
        <v>0</v>
      </c>
      <c r="M303" t="n">
        <v>0</v>
      </c>
      <c r="N303" t="n">
        <v>0</v>
      </c>
      <c r="O303" t="n">
        <v>0</v>
      </c>
      <c r="P303" t="n">
        <v>0</v>
      </c>
      <c r="Q303" t="n">
        <v>0</v>
      </c>
      <c r="R303" s="2" t="inlineStr"/>
    </row>
    <row r="304" ht="15" customHeight="1">
      <c r="A304" t="inlineStr">
        <is>
          <t>A 43127-2025</t>
        </is>
      </c>
      <c r="B304" s="1" t="n">
        <v>45909</v>
      </c>
      <c r="C304" s="1" t="n">
        <v>46134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56949-2023</t>
        </is>
      </c>
      <c r="B305" s="1" t="n">
        <v>45244.61589120371</v>
      </c>
      <c r="C305" s="1" t="n">
        <v>46134</v>
      </c>
      <c r="D305" t="inlineStr">
        <is>
          <t>VÄSTMANLANDS LÄN</t>
        </is>
      </c>
      <c r="E305" t="inlineStr">
        <is>
          <t>SALA</t>
        </is>
      </c>
      <c r="G305" t="n">
        <v>4.7</v>
      </c>
      <c r="H305" t="n">
        <v>0</v>
      </c>
      <c r="I305" t="n">
        <v>0</v>
      </c>
      <c r="J305" t="n">
        <v>0</v>
      </c>
      <c r="K305" t="n">
        <v>0</v>
      </c>
      <c r="L305" t="n">
        <v>0</v>
      </c>
      <c r="M305" t="n">
        <v>0</v>
      </c>
      <c r="N305" t="n">
        <v>0</v>
      </c>
      <c r="O305" t="n">
        <v>0</v>
      </c>
      <c r="P305" t="n">
        <v>0</v>
      </c>
      <c r="Q305" t="n">
        <v>0</v>
      </c>
      <c r="R305" s="2" t="inlineStr"/>
    </row>
    <row r="306" ht="15" customHeight="1">
      <c r="A306" t="inlineStr">
        <is>
          <t>A 30874-2025</t>
        </is>
      </c>
      <c r="B306" s="1" t="n">
        <v>45832.34430555555</v>
      </c>
      <c r="C306" s="1" t="n">
        <v>46134</v>
      </c>
      <c r="D306" t="inlineStr">
        <is>
          <t>VÄSTMANLANDS LÄN</t>
        </is>
      </c>
      <c r="E306" t="inlineStr">
        <is>
          <t>SALA</t>
        </is>
      </c>
      <c r="G306" t="n">
        <v>8.4</v>
      </c>
      <c r="H306" t="n">
        <v>0</v>
      </c>
      <c r="I306" t="n">
        <v>0</v>
      </c>
      <c r="J306" t="n">
        <v>0</v>
      </c>
      <c r="K306" t="n">
        <v>0</v>
      </c>
      <c r="L306" t="n">
        <v>0</v>
      </c>
      <c r="M306" t="n">
        <v>0</v>
      </c>
      <c r="N306" t="n">
        <v>0</v>
      </c>
      <c r="O306" t="n">
        <v>0</v>
      </c>
      <c r="P306" t="n">
        <v>0</v>
      </c>
      <c r="Q306" t="n">
        <v>0</v>
      </c>
      <c r="R306" s="2" t="inlineStr"/>
    </row>
    <row r="307" ht="15" customHeight="1">
      <c r="A307" t="inlineStr">
        <is>
          <t>A 30899-2025</t>
        </is>
      </c>
      <c r="B307" s="1" t="n">
        <v>45832.35767361111</v>
      </c>
      <c r="C307" s="1" t="n">
        <v>46134</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30866-2025</t>
        </is>
      </c>
      <c r="B308" s="1" t="n">
        <v>45832.3246875</v>
      </c>
      <c r="C308" s="1" t="n">
        <v>46134</v>
      </c>
      <c r="D308" t="inlineStr">
        <is>
          <t>VÄSTMANLANDS LÄN</t>
        </is>
      </c>
      <c r="E308" t="inlineStr">
        <is>
          <t>SALA</t>
        </is>
      </c>
      <c r="G308" t="n">
        <v>14.3</v>
      </c>
      <c r="H308" t="n">
        <v>0</v>
      </c>
      <c r="I308" t="n">
        <v>0</v>
      </c>
      <c r="J308" t="n">
        <v>0</v>
      </c>
      <c r="K308" t="n">
        <v>0</v>
      </c>
      <c r="L308" t="n">
        <v>0</v>
      </c>
      <c r="M308" t="n">
        <v>0</v>
      </c>
      <c r="N308" t="n">
        <v>0</v>
      </c>
      <c r="O308" t="n">
        <v>0</v>
      </c>
      <c r="P308" t="n">
        <v>0</v>
      </c>
      <c r="Q308" t="n">
        <v>0</v>
      </c>
      <c r="R308" s="2" t="inlineStr"/>
    </row>
    <row r="309" ht="15" customHeight="1">
      <c r="A309" t="inlineStr">
        <is>
          <t>A 40214-2023</t>
        </is>
      </c>
      <c r="B309" s="1" t="n">
        <v>45169.45173611111</v>
      </c>
      <c r="C309" s="1" t="n">
        <v>46134</v>
      </c>
      <c r="D309" t="inlineStr">
        <is>
          <t>VÄSTMANLANDS LÄN</t>
        </is>
      </c>
      <c r="E309" t="inlineStr">
        <is>
          <t>SALA</t>
        </is>
      </c>
      <c r="G309" t="n">
        <v>5.5</v>
      </c>
      <c r="H309" t="n">
        <v>0</v>
      </c>
      <c r="I309" t="n">
        <v>0</v>
      </c>
      <c r="J309" t="n">
        <v>0</v>
      </c>
      <c r="K309" t="n">
        <v>0</v>
      </c>
      <c r="L309" t="n">
        <v>0</v>
      </c>
      <c r="M309" t="n">
        <v>0</v>
      </c>
      <c r="N309" t="n">
        <v>0</v>
      </c>
      <c r="O309" t="n">
        <v>0</v>
      </c>
      <c r="P309" t="n">
        <v>0</v>
      </c>
      <c r="Q309" t="n">
        <v>0</v>
      </c>
      <c r="R309" s="2" t="inlineStr"/>
    </row>
    <row r="310" ht="15" customHeight="1">
      <c r="A310" t="inlineStr">
        <is>
          <t>A 35016-2024</t>
        </is>
      </c>
      <c r="B310" s="1" t="n">
        <v>45527.59115740741</v>
      </c>
      <c r="C310" s="1" t="n">
        <v>46134</v>
      </c>
      <c r="D310" t="inlineStr">
        <is>
          <t>VÄSTMANLANDS LÄN</t>
        </is>
      </c>
      <c r="E310" t="inlineStr">
        <is>
          <t>SALA</t>
        </is>
      </c>
      <c r="G310" t="n">
        <v>0.4</v>
      </c>
      <c r="H310" t="n">
        <v>0</v>
      </c>
      <c r="I310" t="n">
        <v>0</v>
      </c>
      <c r="J310" t="n">
        <v>0</v>
      </c>
      <c r="K310" t="n">
        <v>0</v>
      </c>
      <c r="L310" t="n">
        <v>0</v>
      </c>
      <c r="M310" t="n">
        <v>0</v>
      </c>
      <c r="N310" t="n">
        <v>0</v>
      </c>
      <c r="O310" t="n">
        <v>0</v>
      </c>
      <c r="P310" t="n">
        <v>0</v>
      </c>
      <c r="Q310" t="n">
        <v>0</v>
      </c>
      <c r="R310" s="2" t="inlineStr"/>
    </row>
    <row r="311" ht="15" customHeight="1">
      <c r="A311" t="inlineStr">
        <is>
          <t>A 31065-2025</t>
        </is>
      </c>
      <c r="B311" s="1" t="n">
        <v>45832.57571759259</v>
      </c>
      <c r="C311" s="1" t="n">
        <v>46134</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37612-2024</t>
        </is>
      </c>
      <c r="B312" s="1" t="n">
        <v>45541</v>
      </c>
      <c r="C312" s="1" t="n">
        <v>46134</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37615-2024</t>
        </is>
      </c>
      <c r="B313" s="1" t="n">
        <v>45541.50673611111</v>
      </c>
      <c r="C313" s="1" t="n">
        <v>46134</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31612-2025</t>
        </is>
      </c>
      <c r="B314" s="1" t="n">
        <v>45833.80056712963</v>
      </c>
      <c r="C314" s="1" t="n">
        <v>46134</v>
      </c>
      <c r="D314" t="inlineStr">
        <is>
          <t>VÄSTMANLANDS LÄN</t>
        </is>
      </c>
      <c r="E314" t="inlineStr">
        <is>
          <t>SALA</t>
        </is>
      </c>
      <c r="G314" t="n">
        <v>6.3</v>
      </c>
      <c r="H314" t="n">
        <v>0</v>
      </c>
      <c r="I314" t="n">
        <v>0</v>
      </c>
      <c r="J314" t="n">
        <v>0</v>
      </c>
      <c r="K314" t="n">
        <v>0</v>
      </c>
      <c r="L314" t="n">
        <v>0</v>
      </c>
      <c r="M314" t="n">
        <v>0</v>
      </c>
      <c r="N314" t="n">
        <v>0</v>
      </c>
      <c r="O314" t="n">
        <v>0</v>
      </c>
      <c r="P314" t="n">
        <v>0</v>
      </c>
      <c r="Q314" t="n">
        <v>0</v>
      </c>
      <c r="R314" s="2" t="inlineStr"/>
    </row>
    <row r="315" ht="15" customHeight="1">
      <c r="A315" t="inlineStr">
        <is>
          <t>A 5728-2022</t>
        </is>
      </c>
      <c r="B315" s="1" t="n">
        <v>44596.42082175926</v>
      </c>
      <c r="C315" s="1" t="n">
        <v>46134</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44100-2025</t>
        </is>
      </c>
      <c r="B316" s="1" t="n">
        <v>45915.56707175926</v>
      </c>
      <c r="C316" s="1" t="n">
        <v>46134</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31748-2025</t>
        </is>
      </c>
      <c r="B317" s="1" t="n">
        <v>45834</v>
      </c>
      <c r="C317" s="1" t="n">
        <v>46134</v>
      </c>
      <c r="D317" t="inlineStr">
        <is>
          <t>VÄSTMANLANDS LÄN</t>
        </is>
      </c>
      <c r="E317" t="inlineStr">
        <is>
          <t>SALA</t>
        </is>
      </c>
      <c r="G317" t="n">
        <v>2</v>
      </c>
      <c r="H317" t="n">
        <v>0</v>
      </c>
      <c r="I317" t="n">
        <v>0</v>
      </c>
      <c r="J317" t="n">
        <v>0</v>
      </c>
      <c r="K317" t="n">
        <v>0</v>
      </c>
      <c r="L317" t="n">
        <v>0</v>
      </c>
      <c r="M317" t="n">
        <v>0</v>
      </c>
      <c r="N317" t="n">
        <v>0</v>
      </c>
      <c r="O317" t="n">
        <v>0</v>
      </c>
      <c r="P317" t="n">
        <v>0</v>
      </c>
      <c r="Q317" t="n">
        <v>0</v>
      </c>
      <c r="R317" s="2" t="inlineStr"/>
    </row>
    <row r="318" ht="15" customHeight="1">
      <c r="A318" t="inlineStr">
        <is>
          <t>A 31288-2025</t>
        </is>
      </c>
      <c r="B318" s="1" t="n">
        <v>45833</v>
      </c>
      <c r="C318" s="1" t="n">
        <v>46134</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31771-2025</t>
        </is>
      </c>
      <c r="B319" s="1" t="n">
        <v>45834.50910879629</v>
      </c>
      <c r="C319" s="1" t="n">
        <v>46134</v>
      </c>
      <c r="D319" t="inlineStr">
        <is>
          <t>VÄSTMANLANDS LÄN</t>
        </is>
      </c>
      <c r="E319" t="inlineStr">
        <is>
          <t>SALA</t>
        </is>
      </c>
      <c r="G319" t="n">
        <v>5.1</v>
      </c>
      <c r="H319" t="n">
        <v>0</v>
      </c>
      <c r="I319" t="n">
        <v>0</v>
      </c>
      <c r="J319" t="n">
        <v>0</v>
      </c>
      <c r="K319" t="n">
        <v>0</v>
      </c>
      <c r="L319" t="n">
        <v>0</v>
      </c>
      <c r="M319" t="n">
        <v>0</v>
      </c>
      <c r="N319" t="n">
        <v>0</v>
      </c>
      <c r="O319" t="n">
        <v>0</v>
      </c>
      <c r="P319" t="n">
        <v>0</v>
      </c>
      <c r="Q319" t="n">
        <v>0</v>
      </c>
      <c r="R319" s="2" t="inlineStr"/>
    </row>
    <row r="320" ht="15" customHeight="1">
      <c r="A320" t="inlineStr">
        <is>
          <t>A 44486-2025</t>
        </is>
      </c>
      <c r="B320" s="1" t="n">
        <v>45916.65517361111</v>
      </c>
      <c r="C320" s="1" t="n">
        <v>46134</v>
      </c>
      <c r="D320" t="inlineStr">
        <is>
          <t>VÄSTMANLANDS LÄN</t>
        </is>
      </c>
      <c r="E320" t="inlineStr">
        <is>
          <t>SALA</t>
        </is>
      </c>
      <c r="G320" t="n">
        <v>1.7</v>
      </c>
      <c r="H320" t="n">
        <v>0</v>
      </c>
      <c r="I320" t="n">
        <v>0</v>
      </c>
      <c r="J320" t="n">
        <v>0</v>
      </c>
      <c r="K320" t="n">
        <v>0</v>
      </c>
      <c r="L320" t="n">
        <v>0</v>
      </c>
      <c r="M320" t="n">
        <v>0</v>
      </c>
      <c r="N320" t="n">
        <v>0</v>
      </c>
      <c r="O320" t="n">
        <v>0</v>
      </c>
      <c r="P320" t="n">
        <v>0</v>
      </c>
      <c r="Q320" t="n">
        <v>0</v>
      </c>
      <c r="R320" s="2" t="inlineStr"/>
    </row>
    <row r="321" ht="15" customHeight="1">
      <c r="A321" t="inlineStr">
        <is>
          <t>A 19751-2022</t>
        </is>
      </c>
      <c r="B321" s="1" t="n">
        <v>44694</v>
      </c>
      <c r="C321" s="1" t="n">
        <v>46134</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44524-2025</t>
        </is>
      </c>
      <c r="B322" s="1" t="n">
        <v>45916.72920138889</v>
      </c>
      <c r="C322" s="1" t="n">
        <v>46134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46134</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31762-2025</t>
        </is>
      </c>
      <c r="B324" s="1" t="n">
        <v>45834.49288194445</v>
      </c>
      <c r="C324" s="1" t="n">
        <v>46134</v>
      </c>
      <c r="D324" t="inlineStr">
        <is>
          <t>VÄSTMANLANDS LÄN</t>
        </is>
      </c>
      <c r="E324" t="inlineStr">
        <is>
          <t>SALA</t>
        </is>
      </c>
      <c r="G324" t="n">
        <v>5.9</v>
      </c>
      <c r="H324" t="n">
        <v>0</v>
      </c>
      <c r="I324" t="n">
        <v>0</v>
      </c>
      <c r="J324" t="n">
        <v>0</v>
      </c>
      <c r="K324" t="n">
        <v>0</v>
      </c>
      <c r="L324" t="n">
        <v>0</v>
      </c>
      <c r="M324" t="n">
        <v>0</v>
      </c>
      <c r="N324" t="n">
        <v>0</v>
      </c>
      <c r="O324" t="n">
        <v>0</v>
      </c>
      <c r="P324" t="n">
        <v>0</v>
      </c>
      <c r="Q324" t="n">
        <v>0</v>
      </c>
      <c r="R324" s="2" t="inlineStr"/>
    </row>
    <row r="325" ht="15" customHeight="1">
      <c r="A325" t="inlineStr">
        <is>
          <t>A 31608-2025</t>
        </is>
      </c>
      <c r="B325" s="1" t="n">
        <v>45833</v>
      </c>
      <c r="C325" s="1" t="n">
        <v>46134</v>
      </c>
      <c r="D325" t="inlineStr">
        <is>
          <t>VÄSTMANLANDS LÄN</t>
        </is>
      </c>
      <c r="E325" t="inlineStr">
        <is>
          <t>SALA</t>
        </is>
      </c>
      <c r="G325" t="n">
        <v>6.1</v>
      </c>
      <c r="H325" t="n">
        <v>0</v>
      </c>
      <c r="I325" t="n">
        <v>0</v>
      </c>
      <c r="J325" t="n">
        <v>0</v>
      </c>
      <c r="K325" t="n">
        <v>0</v>
      </c>
      <c r="L325" t="n">
        <v>0</v>
      </c>
      <c r="M325" t="n">
        <v>0</v>
      </c>
      <c r="N325" t="n">
        <v>0</v>
      </c>
      <c r="O325" t="n">
        <v>0</v>
      </c>
      <c r="P325" t="n">
        <v>0</v>
      </c>
      <c r="Q325" t="n">
        <v>0</v>
      </c>
      <c r="R325" s="2" t="inlineStr"/>
    </row>
    <row r="326" ht="15" customHeight="1">
      <c r="A326" t="inlineStr">
        <is>
          <t>A 31610-2025</t>
        </is>
      </c>
      <c r="B326" s="1" t="n">
        <v>45833.78650462963</v>
      </c>
      <c r="C326" s="1" t="n">
        <v>46134</v>
      </c>
      <c r="D326" t="inlineStr">
        <is>
          <t>VÄSTMANLANDS LÄN</t>
        </is>
      </c>
      <c r="E326" t="inlineStr">
        <is>
          <t>SALA</t>
        </is>
      </c>
      <c r="G326" t="n">
        <v>8</v>
      </c>
      <c r="H326" t="n">
        <v>0</v>
      </c>
      <c r="I326" t="n">
        <v>0</v>
      </c>
      <c r="J326" t="n">
        <v>0</v>
      </c>
      <c r="K326" t="n">
        <v>0</v>
      </c>
      <c r="L326" t="n">
        <v>0</v>
      </c>
      <c r="M326" t="n">
        <v>0</v>
      </c>
      <c r="N326" t="n">
        <v>0</v>
      </c>
      <c r="O326" t="n">
        <v>0</v>
      </c>
      <c r="P326" t="n">
        <v>0</v>
      </c>
      <c r="Q326" t="n">
        <v>0</v>
      </c>
      <c r="R326" s="2" t="inlineStr"/>
    </row>
    <row r="327" ht="15" customHeight="1">
      <c r="A327" t="inlineStr">
        <is>
          <t>A 31296-2025</t>
        </is>
      </c>
      <c r="B327" s="1" t="n">
        <v>45833.36765046296</v>
      </c>
      <c r="C327" s="1" t="n">
        <v>46134</v>
      </c>
      <c r="D327" t="inlineStr">
        <is>
          <t>VÄSTMANLANDS LÄN</t>
        </is>
      </c>
      <c r="E327" t="inlineStr">
        <is>
          <t>SALA</t>
        </is>
      </c>
      <c r="G327" t="n">
        <v>3.7</v>
      </c>
      <c r="H327" t="n">
        <v>0</v>
      </c>
      <c r="I327" t="n">
        <v>0</v>
      </c>
      <c r="J327" t="n">
        <v>0</v>
      </c>
      <c r="K327" t="n">
        <v>0</v>
      </c>
      <c r="L327" t="n">
        <v>0</v>
      </c>
      <c r="M327" t="n">
        <v>0</v>
      </c>
      <c r="N327" t="n">
        <v>0</v>
      </c>
      <c r="O327" t="n">
        <v>0</v>
      </c>
      <c r="P327" t="n">
        <v>0</v>
      </c>
      <c r="Q327" t="n">
        <v>0</v>
      </c>
      <c r="R327" s="2" t="inlineStr"/>
    </row>
    <row r="328" ht="15" customHeight="1">
      <c r="A328" t="inlineStr">
        <is>
          <t>A 43122-2025</t>
        </is>
      </c>
      <c r="B328" s="1" t="n">
        <v>45909</v>
      </c>
      <c r="C328" s="1" t="n">
        <v>46134</v>
      </c>
      <c r="D328" t="inlineStr">
        <is>
          <t>VÄSTMANLANDS LÄN</t>
        </is>
      </c>
      <c r="E328" t="inlineStr">
        <is>
          <t>SALA</t>
        </is>
      </c>
      <c r="G328" t="n">
        <v>3.2</v>
      </c>
      <c r="H328" t="n">
        <v>0</v>
      </c>
      <c r="I328" t="n">
        <v>0</v>
      </c>
      <c r="J328" t="n">
        <v>0</v>
      </c>
      <c r="K328" t="n">
        <v>0</v>
      </c>
      <c r="L328" t="n">
        <v>0</v>
      </c>
      <c r="M328" t="n">
        <v>0</v>
      </c>
      <c r="N328" t="n">
        <v>0</v>
      </c>
      <c r="O328" t="n">
        <v>0</v>
      </c>
      <c r="P328" t="n">
        <v>0</v>
      </c>
      <c r="Q328" t="n">
        <v>0</v>
      </c>
      <c r="R328" s="2" t="inlineStr"/>
    </row>
    <row r="329" ht="15" customHeight="1">
      <c r="A329" t="inlineStr">
        <is>
          <t>A 31573-2025</t>
        </is>
      </c>
      <c r="B329" s="1" t="n">
        <v>45833</v>
      </c>
      <c r="C329" s="1" t="n">
        <v>46134</v>
      </c>
      <c r="D329" t="inlineStr">
        <is>
          <t>VÄSTMANLANDS LÄN</t>
        </is>
      </c>
      <c r="E329" t="inlineStr">
        <is>
          <t>SALA</t>
        </is>
      </c>
      <c r="G329" t="n">
        <v>0.6</v>
      </c>
      <c r="H329" t="n">
        <v>0</v>
      </c>
      <c r="I329" t="n">
        <v>0</v>
      </c>
      <c r="J329" t="n">
        <v>0</v>
      </c>
      <c r="K329" t="n">
        <v>0</v>
      </c>
      <c r="L329" t="n">
        <v>0</v>
      </c>
      <c r="M329" t="n">
        <v>0</v>
      </c>
      <c r="N329" t="n">
        <v>0</v>
      </c>
      <c r="O329" t="n">
        <v>0</v>
      </c>
      <c r="P329" t="n">
        <v>0</v>
      </c>
      <c r="Q329" t="n">
        <v>0</v>
      </c>
      <c r="R329" s="2" t="inlineStr"/>
    </row>
    <row r="330" ht="15" customHeight="1">
      <c r="A330" t="inlineStr">
        <is>
          <t>A 32201-2025</t>
        </is>
      </c>
      <c r="B330" s="1" t="n">
        <v>45835</v>
      </c>
      <c r="C330" s="1" t="n">
        <v>46134</v>
      </c>
      <c r="D330" t="inlineStr">
        <is>
          <t>VÄSTMANLANDS LÄN</t>
        </is>
      </c>
      <c r="E330" t="inlineStr">
        <is>
          <t>SALA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32205-2025</t>
        </is>
      </c>
      <c r="B331" s="1" t="n">
        <v>45835</v>
      </c>
      <c r="C331" s="1" t="n">
        <v>46134</v>
      </c>
      <c r="D331" t="inlineStr">
        <is>
          <t>VÄSTMANLANDS LÄN</t>
        </is>
      </c>
      <c r="E331" t="inlineStr">
        <is>
          <t>SALA</t>
        </is>
      </c>
      <c r="F331" t="inlineStr">
        <is>
          <t>Bergvik skog öst AB</t>
        </is>
      </c>
      <c r="G331" t="n">
        <v>1.1</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46134</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32286-2025</t>
        </is>
      </c>
      <c r="B333" s="1" t="n">
        <v>45835</v>
      </c>
      <c r="C333" s="1" t="n">
        <v>46134</v>
      </c>
      <c r="D333" t="inlineStr">
        <is>
          <t>VÄSTMANLANDS LÄN</t>
        </is>
      </c>
      <c r="E333" t="inlineStr">
        <is>
          <t>SALA</t>
        </is>
      </c>
      <c r="G333" t="n">
        <v>6.4</v>
      </c>
      <c r="H333" t="n">
        <v>0</v>
      </c>
      <c r="I333" t="n">
        <v>0</v>
      </c>
      <c r="J333" t="n">
        <v>0</v>
      </c>
      <c r="K333" t="n">
        <v>0</v>
      </c>
      <c r="L333" t="n">
        <v>0</v>
      </c>
      <c r="M333" t="n">
        <v>0</v>
      </c>
      <c r="N333" t="n">
        <v>0</v>
      </c>
      <c r="O333" t="n">
        <v>0</v>
      </c>
      <c r="P333" t="n">
        <v>0</v>
      </c>
      <c r="Q333" t="n">
        <v>0</v>
      </c>
      <c r="R333" s="2" t="inlineStr"/>
    </row>
    <row r="334" ht="15" customHeight="1">
      <c r="A334" t="inlineStr">
        <is>
          <t>A 32207-2025</t>
        </is>
      </c>
      <c r="B334" s="1" t="n">
        <v>45835</v>
      </c>
      <c r="C334" s="1" t="n">
        <v>46134</v>
      </c>
      <c r="D334" t="inlineStr">
        <is>
          <t>VÄSTMANLANDS LÄN</t>
        </is>
      </c>
      <c r="E334" t="inlineStr">
        <is>
          <t>SALA</t>
        </is>
      </c>
      <c r="F334" t="inlineStr">
        <is>
          <t>Bergvik skog öst AB</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6312-2025</t>
        </is>
      </c>
      <c r="B335" s="1" t="n">
        <v>45698</v>
      </c>
      <c r="C335" s="1" t="n">
        <v>46134</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45371-2025</t>
        </is>
      </c>
      <c r="B336" s="1" t="n">
        <v>45922.39001157408</v>
      </c>
      <c r="C336" s="1" t="n">
        <v>46134</v>
      </c>
      <c r="D336" t="inlineStr">
        <is>
          <t>VÄSTMANLANDS LÄN</t>
        </is>
      </c>
      <c r="E336" t="inlineStr">
        <is>
          <t>SALA</t>
        </is>
      </c>
      <c r="G336" t="n">
        <v>2.1</v>
      </c>
      <c r="H336" t="n">
        <v>0</v>
      </c>
      <c r="I336" t="n">
        <v>0</v>
      </c>
      <c r="J336" t="n">
        <v>0</v>
      </c>
      <c r="K336" t="n">
        <v>0</v>
      </c>
      <c r="L336" t="n">
        <v>0</v>
      </c>
      <c r="M336" t="n">
        <v>0</v>
      </c>
      <c r="N336" t="n">
        <v>0</v>
      </c>
      <c r="O336" t="n">
        <v>0</v>
      </c>
      <c r="P336" t="n">
        <v>0</v>
      </c>
      <c r="Q336" t="n">
        <v>0</v>
      </c>
      <c r="R336" s="2" t="inlineStr"/>
    </row>
    <row r="337" ht="15" customHeight="1">
      <c r="A337" t="inlineStr">
        <is>
          <t>A 32902-2025</t>
        </is>
      </c>
      <c r="B337" s="1" t="n">
        <v>45839</v>
      </c>
      <c r="C337" s="1" t="n">
        <v>46134</v>
      </c>
      <c r="D337" t="inlineStr">
        <is>
          <t>VÄSTMANLANDS LÄN</t>
        </is>
      </c>
      <c r="E337" t="inlineStr">
        <is>
          <t>SALA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55035-2023</t>
        </is>
      </c>
      <c r="B338" s="1" t="n">
        <v>45229</v>
      </c>
      <c r="C338" s="1" t="n">
        <v>46134</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45177-2025</t>
        </is>
      </c>
      <c r="B339" s="1" t="n">
        <v>45919.52444444445</v>
      </c>
      <c r="C339" s="1" t="n">
        <v>46134</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52500-2024</t>
        </is>
      </c>
      <c r="B340" s="1" t="n">
        <v>45609</v>
      </c>
      <c r="C340" s="1" t="n">
        <v>46134</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45914-2025</t>
        </is>
      </c>
      <c r="B341" s="1" t="n">
        <v>45923.82582175926</v>
      </c>
      <c r="C341" s="1" t="n">
        <v>46134</v>
      </c>
      <c r="D341" t="inlineStr">
        <is>
          <t>VÄSTMANLANDS LÄN</t>
        </is>
      </c>
      <c r="E341" t="inlineStr">
        <is>
          <t>SALA</t>
        </is>
      </c>
      <c r="F341" t="inlineStr">
        <is>
          <t>Kommuner</t>
        </is>
      </c>
      <c r="G341" t="n">
        <v>18.2</v>
      </c>
      <c r="H341" t="n">
        <v>0</v>
      </c>
      <c r="I341" t="n">
        <v>0</v>
      </c>
      <c r="J341" t="n">
        <v>0</v>
      </c>
      <c r="K341" t="n">
        <v>0</v>
      </c>
      <c r="L341" t="n">
        <v>0</v>
      </c>
      <c r="M341" t="n">
        <v>0</v>
      </c>
      <c r="N341" t="n">
        <v>0</v>
      </c>
      <c r="O341" t="n">
        <v>0</v>
      </c>
      <c r="P341" t="n">
        <v>0</v>
      </c>
      <c r="Q341" t="n">
        <v>0</v>
      </c>
      <c r="R341" s="2" t="inlineStr"/>
    </row>
    <row r="342" ht="15" customHeight="1">
      <c r="A342" t="inlineStr">
        <is>
          <t>A 45909-2025</t>
        </is>
      </c>
      <c r="B342" s="1" t="n">
        <v>45923.75078703704</v>
      </c>
      <c r="C342" s="1" t="n">
        <v>46134</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46597-2025</t>
        </is>
      </c>
      <c r="B343" s="1" t="n">
        <v>45926.40113425926</v>
      </c>
      <c r="C343" s="1" t="n">
        <v>46134</v>
      </c>
      <c r="D343" t="inlineStr">
        <is>
          <t>VÄSTMANLANDS LÄN</t>
        </is>
      </c>
      <c r="E343" t="inlineStr">
        <is>
          <t>SALA</t>
        </is>
      </c>
      <c r="G343" t="n">
        <v>3.4</v>
      </c>
      <c r="H343" t="n">
        <v>0</v>
      </c>
      <c r="I343" t="n">
        <v>0</v>
      </c>
      <c r="J343" t="n">
        <v>0</v>
      </c>
      <c r="K343" t="n">
        <v>0</v>
      </c>
      <c r="L343" t="n">
        <v>0</v>
      </c>
      <c r="M343" t="n">
        <v>0</v>
      </c>
      <c r="N343" t="n">
        <v>0</v>
      </c>
      <c r="O343" t="n">
        <v>0</v>
      </c>
      <c r="P343" t="n">
        <v>0</v>
      </c>
      <c r="Q343" t="n">
        <v>0</v>
      </c>
      <c r="R343" s="2" t="inlineStr"/>
    </row>
    <row r="344" ht="15" customHeight="1">
      <c r="A344" t="inlineStr">
        <is>
          <t>A 7950-2025</t>
        </is>
      </c>
      <c r="B344" s="1" t="n">
        <v>45707.41799768519</v>
      </c>
      <c r="C344" s="1" t="n">
        <v>46134</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34069-2025</t>
        </is>
      </c>
      <c r="B345" s="1" t="n">
        <v>45845.43560185185</v>
      </c>
      <c r="C345" s="1" t="n">
        <v>46134</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c r="U345">
        <f>HYPERLINK("https://klasma.github.io/Logging_1981/knärot/A 34069-2025 karta knärot.png", "A 34069-2025")</f>
        <v/>
      </c>
      <c r="V345">
        <f>HYPERLINK("https://klasma.github.io/Logging_1981/klagomål/A 34069-2025 FSC-klagomål.docx", "A 34069-2025")</f>
        <v/>
      </c>
      <c r="W345">
        <f>HYPERLINK("https://klasma.github.io/Logging_1981/klagomålsmail/A 34069-2025 FSC-klagomål mail.docx", "A 34069-2025")</f>
        <v/>
      </c>
      <c r="X345">
        <f>HYPERLINK("https://klasma.github.io/Logging_1981/tillsyn/A 34069-2025 tillsynsbegäran.docx", "A 34069-2025")</f>
        <v/>
      </c>
      <c r="Y345">
        <f>HYPERLINK("https://klasma.github.io/Logging_1981/tillsynsmail/A 34069-2025 tillsynsbegäran mail.docx", "A 34069-2025")</f>
        <v/>
      </c>
    </row>
    <row r="346" ht="15" customHeight="1">
      <c r="A346" t="inlineStr">
        <is>
          <t>A 16328-2025</t>
        </is>
      </c>
      <c r="B346" s="1" t="n">
        <v>45751</v>
      </c>
      <c r="C346" s="1" t="n">
        <v>46134</v>
      </c>
      <c r="D346" t="inlineStr">
        <is>
          <t>VÄSTMANLANDS LÄN</t>
        </is>
      </c>
      <c r="E346" t="inlineStr">
        <is>
          <t>SALA</t>
        </is>
      </c>
      <c r="G346" t="n">
        <v>2.9</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46134</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31609-2024</t>
        </is>
      </c>
      <c r="B348" s="1" t="n">
        <v>45506</v>
      </c>
      <c r="C348" s="1" t="n">
        <v>46134</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15744-2025</t>
        </is>
      </c>
      <c r="B349" s="1" t="n">
        <v>45748</v>
      </c>
      <c r="C349" s="1" t="n">
        <v>46134</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45929.42114583333</v>
      </c>
      <c r="C350" s="1" t="n">
        <v>46134</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35410-2022</t>
        </is>
      </c>
      <c r="B351" s="1" t="n">
        <v>44798.62576388889</v>
      </c>
      <c r="C351" s="1" t="n">
        <v>46134</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48057-2025</t>
        </is>
      </c>
      <c r="B352" s="1" t="n">
        <v>45932.67947916667</v>
      </c>
      <c r="C352" s="1" t="n">
        <v>46134</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47577-2025</t>
        </is>
      </c>
      <c r="B353" s="1" t="n">
        <v>45931.4047337963</v>
      </c>
      <c r="C353" s="1" t="n">
        <v>46134</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4681-2026</t>
        </is>
      </c>
      <c r="B354" s="1" t="n">
        <v>46048.43016203704</v>
      </c>
      <c r="C354" s="1" t="n">
        <v>46134</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4664-2026</t>
        </is>
      </c>
      <c r="B355" s="1" t="n">
        <v>46048.41061342593</v>
      </c>
      <c r="C355" s="1" t="n">
        <v>46134</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4712-2026</t>
        </is>
      </c>
      <c r="B356" s="1" t="n">
        <v>46048.46082175926</v>
      </c>
      <c r="C356" s="1" t="n">
        <v>46134</v>
      </c>
      <c r="D356" t="inlineStr">
        <is>
          <t>VÄSTMANLANDS LÄN</t>
        </is>
      </c>
      <c r="E356" t="inlineStr">
        <is>
          <t>SALA</t>
        </is>
      </c>
      <c r="G356" t="n">
        <v>4.1</v>
      </c>
      <c r="H356" t="n">
        <v>0</v>
      </c>
      <c r="I356" t="n">
        <v>0</v>
      </c>
      <c r="J356" t="n">
        <v>0</v>
      </c>
      <c r="K356" t="n">
        <v>0</v>
      </c>
      <c r="L356" t="n">
        <v>0</v>
      </c>
      <c r="M356" t="n">
        <v>0</v>
      </c>
      <c r="N356" t="n">
        <v>0</v>
      </c>
      <c r="O356" t="n">
        <v>0</v>
      </c>
      <c r="P356" t="n">
        <v>0</v>
      </c>
      <c r="Q356" t="n">
        <v>0</v>
      </c>
      <c r="R356" s="2" t="inlineStr"/>
    </row>
    <row r="357" ht="15" customHeight="1">
      <c r="A357" t="inlineStr">
        <is>
          <t>A 48710-2025</t>
        </is>
      </c>
      <c r="B357" s="1" t="n">
        <v>45936.63184027778</v>
      </c>
      <c r="C357" s="1" t="n">
        <v>46134</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4624-2026</t>
        </is>
      </c>
      <c r="B358" s="1" t="n">
        <v>46048.38107638889</v>
      </c>
      <c r="C358" s="1" t="n">
        <v>46134</v>
      </c>
      <c r="D358" t="inlineStr">
        <is>
          <t>VÄSTMANLANDS LÄN</t>
        </is>
      </c>
      <c r="E358" t="inlineStr">
        <is>
          <t>SALA</t>
        </is>
      </c>
      <c r="G358" t="n">
        <v>12.3</v>
      </c>
      <c r="H358" t="n">
        <v>0</v>
      </c>
      <c r="I358" t="n">
        <v>0</v>
      </c>
      <c r="J358" t="n">
        <v>0</v>
      </c>
      <c r="K358" t="n">
        <v>0</v>
      </c>
      <c r="L358" t="n">
        <v>0</v>
      </c>
      <c r="M358" t="n">
        <v>0</v>
      </c>
      <c r="N358" t="n">
        <v>0</v>
      </c>
      <c r="O358" t="n">
        <v>0</v>
      </c>
      <c r="P358" t="n">
        <v>0</v>
      </c>
      <c r="Q358" t="n">
        <v>0</v>
      </c>
      <c r="R358" s="2" t="inlineStr"/>
    </row>
    <row r="359" ht="15" customHeight="1">
      <c r="A359" t="inlineStr">
        <is>
          <t>A 4214-2026</t>
        </is>
      </c>
      <c r="B359" s="1" t="n">
        <v>46044.76459490741</v>
      </c>
      <c r="C359" s="1" t="n">
        <v>46134</v>
      </c>
      <c r="D359" t="inlineStr">
        <is>
          <t>VÄSTMANLANDS LÄN</t>
        </is>
      </c>
      <c r="E359" t="inlineStr">
        <is>
          <t>SALA</t>
        </is>
      </c>
      <c r="G359" t="n">
        <v>1.7</v>
      </c>
      <c r="H359" t="n">
        <v>0</v>
      </c>
      <c r="I359" t="n">
        <v>0</v>
      </c>
      <c r="J359" t="n">
        <v>0</v>
      </c>
      <c r="K359" t="n">
        <v>0</v>
      </c>
      <c r="L359" t="n">
        <v>0</v>
      </c>
      <c r="M359" t="n">
        <v>0</v>
      </c>
      <c r="N359" t="n">
        <v>0</v>
      </c>
      <c r="O359" t="n">
        <v>0</v>
      </c>
      <c r="P359" t="n">
        <v>0</v>
      </c>
      <c r="Q359" t="n">
        <v>0</v>
      </c>
      <c r="R359" s="2" t="inlineStr"/>
    </row>
    <row r="360" ht="15" customHeight="1">
      <c r="A360" t="inlineStr">
        <is>
          <t>A 4683-2026</t>
        </is>
      </c>
      <c r="B360" s="1" t="n">
        <v>46048.43489583334</v>
      </c>
      <c r="C360" s="1" t="n">
        <v>46134</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35715-2025</t>
        </is>
      </c>
      <c r="B361" s="1" t="n">
        <v>45860.42148148148</v>
      </c>
      <c r="C361" s="1" t="n">
        <v>46134</v>
      </c>
      <c r="D361" t="inlineStr">
        <is>
          <t>VÄSTMANLANDS LÄN</t>
        </is>
      </c>
      <c r="E361" t="inlineStr">
        <is>
          <t>SALA</t>
        </is>
      </c>
      <c r="G361" t="n">
        <v>3.8</v>
      </c>
      <c r="H361" t="n">
        <v>0</v>
      </c>
      <c r="I361" t="n">
        <v>0</v>
      </c>
      <c r="J361" t="n">
        <v>0</v>
      </c>
      <c r="K361" t="n">
        <v>0</v>
      </c>
      <c r="L361" t="n">
        <v>0</v>
      </c>
      <c r="M361" t="n">
        <v>0</v>
      </c>
      <c r="N361" t="n">
        <v>0</v>
      </c>
      <c r="O361" t="n">
        <v>0</v>
      </c>
      <c r="P361" t="n">
        <v>0</v>
      </c>
      <c r="Q361" t="n">
        <v>0</v>
      </c>
      <c r="R361" s="2" t="inlineStr"/>
    </row>
    <row r="362" ht="15" customHeight="1">
      <c r="A362" t="inlineStr">
        <is>
          <t>A 35651-2025</t>
        </is>
      </c>
      <c r="B362" s="1" t="n">
        <v>45859.52435185185</v>
      </c>
      <c r="C362" s="1" t="n">
        <v>46134</v>
      </c>
      <c r="D362" t="inlineStr">
        <is>
          <t>VÄSTMANLANDS LÄN</t>
        </is>
      </c>
      <c r="E362" t="inlineStr">
        <is>
          <t>SALA</t>
        </is>
      </c>
      <c r="G362" t="n">
        <v>6.3</v>
      </c>
      <c r="H362" t="n">
        <v>0</v>
      </c>
      <c r="I362" t="n">
        <v>0</v>
      </c>
      <c r="J362" t="n">
        <v>0</v>
      </c>
      <c r="K362" t="n">
        <v>0</v>
      </c>
      <c r="L362" t="n">
        <v>0</v>
      </c>
      <c r="M362" t="n">
        <v>0</v>
      </c>
      <c r="N362" t="n">
        <v>0</v>
      </c>
      <c r="O362" t="n">
        <v>0</v>
      </c>
      <c r="P362" t="n">
        <v>0</v>
      </c>
      <c r="Q362" t="n">
        <v>0</v>
      </c>
      <c r="R362" s="2" t="inlineStr"/>
    </row>
    <row r="363" ht="15" customHeight="1">
      <c r="A363" t="inlineStr">
        <is>
          <t>A 35775-2025</t>
        </is>
      </c>
      <c r="B363" s="1" t="n">
        <v>45860</v>
      </c>
      <c r="C363" s="1" t="n">
        <v>46134</v>
      </c>
      <c r="D363" t="inlineStr">
        <is>
          <t>VÄSTMANLANDS LÄN</t>
        </is>
      </c>
      <c r="E363" t="inlineStr">
        <is>
          <t>SALA</t>
        </is>
      </c>
      <c r="G363" t="n">
        <v>2.6</v>
      </c>
      <c r="H363" t="n">
        <v>0</v>
      </c>
      <c r="I363" t="n">
        <v>0</v>
      </c>
      <c r="J363" t="n">
        <v>0</v>
      </c>
      <c r="K363" t="n">
        <v>0</v>
      </c>
      <c r="L363" t="n">
        <v>0</v>
      </c>
      <c r="M363" t="n">
        <v>0</v>
      </c>
      <c r="N363" t="n">
        <v>0</v>
      </c>
      <c r="O363" t="n">
        <v>0</v>
      </c>
      <c r="P363" t="n">
        <v>0</v>
      </c>
      <c r="Q363" t="n">
        <v>0</v>
      </c>
      <c r="R363" s="2" t="inlineStr"/>
    </row>
    <row r="364" ht="15" customHeight="1">
      <c r="A364" t="inlineStr">
        <is>
          <t>A 35774-2025</t>
        </is>
      </c>
      <c r="B364" s="1" t="n">
        <v>45860.68780092592</v>
      </c>
      <c r="C364" s="1" t="n">
        <v>46134</v>
      </c>
      <c r="D364" t="inlineStr">
        <is>
          <t>VÄSTMANLANDS LÄN</t>
        </is>
      </c>
      <c r="E364" t="inlineStr">
        <is>
          <t>SALA</t>
        </is>
      </c>
      <c r="G364" t="n">
        <v>6.5</v>
      </c>
      <c r="H364" t="n">
        <v>0</v>
      </c>
      <c r="I364" t="n">
        <v>0</v>
      </c>
      <c r="J364" t="n">
        <v>0</v>
      </c>
      <c r="K364" t="n">
        <v>0</v>
      </c>
      <c r="L364" t="n">
        <v>0</v>
      </c>
      <c r="M364" t="n">
        <v>0</v>
      </c>
      <c r="N364" t="n">
        <v>0</v>
      </c>
      <c r="O364" t="n">
        <v>0</v>
      </c>
      <c r="P364" t="n">
        <v>0</v>
      </c>
      <c r="Q364" t="n">
        <v>0</v>
      </c>
      <c r="R364" s="2" t="inlineStr"/>
    </row>
    <row r="365" ht="15" customHeight="1">
      <c r="A365" t="inlineStr">
        <is>
          <t>A 21159-2022</t>
        </is>
      </c>
      <c r="B365" s="1" t="n">
        <v>44704</v>
      </c>
      <c r="C365" s="1" t="n">
        <v>46134</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35776-2025</t>
        </is>
      </c>
      <c r="B366" s="1" t="n">
        <v>45860.69211805556</v>
      </c>
      <c r="C366" s="1" t="n">
        <v>46134</v>
      </c>
      <c r="D366" t="inlineStr">
        <is>
          <t>VÄSTMANLANDS LÄN</t>
        </is>
      </c>
      <c r="E366" t="inlineStr">
        <is>
          <t>SALA</t>
        </is>
      </c>
      <c r="G366" t="n">
        <v>14.2</v>
      </c>
      <c r="H366" t="n">
        <v>0</v>
      </c>
      <c r="I366" t="n">
        <v>0</v>
      </c>
      <c r="J366" t="n">
        <v>0</v>
      </c>
      <c r="K366" t="n">
        <v>0</v>
      </c>
      <c r="L366" t="n">
        <v>0</v>
      </c>
      <c r="M366" t="n">
        <v>0</v>
      </c>
      <c r="N366" t="n">
        <v>0</v>
      </c>
      <c r="O366" t="n">
        <v>0</v>
      </c>
      <c r="P366" t="n">
        <v>0</v>
      </c>
      <c r="Q366" t="n">
        <v>0</v>
      </c>
      <c r="R366" s="2" t="inlineStr"/>
    </row>
    <row r="367" ht="15" customHeight="1">
      <c r="A367" t="inlineStr">
        <is>
          <t>A 35779-2025</t>
        </is>
      </c>
      <c r="B367" s="1" t="n">
        <v>45860.69495370371</v>
      </c>
      <c r="C367" s="1" t="n">
        <v>46134</v>
      </c>
      <c r="D367" t="inlineStr">
        <is>
          <t>VÄSTMANLANDS LÄN</t>
        </is>
      </c>
      <c r="E367" t="inlineStr">
        <is>
          <t>SALA</t>
        </is>
      </c>
      <c r="G367" t="n">
        <v>2.4</v>
      </c>
      <c r="H367" t="n">
        <v>0</v>
      </c>
      <c r="I367" t="n">
        <v>0</v>
      </c>
      <c r="J367" t="n">
        <v>0</v>
      </c>
      <c r="K367" t="n">
        <v>0</v>
      </c>
      <c r="L367" t="n">
        <v>0</v>
      </c>
      <c r="M367" t="n">
        <v>0</v>
      </c>
      <c r="N367" t="n">
        <v>0</v>
      </c>
      <c r="O367" t="n">
        <v>0</v>
      </c>
      <c r="P367" t="n">
        <v>0</v>
      </c>
      <c r="Q367" t="n">
        <v>0</v>
      </c>
      <c r="R367" s="2" t="inlineStr"/>
    </row>
    <row r="368" ht="15" customHeight="1">
      <c r="A368" t="inlineStr">
        <is>
          <t>A 41292-2021</t>
        </is>
      </c>
      <c r="B368" s="1" t="n">
        <v>44424</v>
      </c>
      <c r="C368" s="1" t="n">
        <v>46134</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60328-2024</t>
        </is>
      </c>
      <c r="B369" s="1" t="n">
        <v>45643.38416666666</v>
      </c>
      <c r="C369" s="1" t="n">
        <v>46134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36049-2025</t>
        </is>
      </c>
      <c r="B370" s="1" t="n">
        <v>45866.37065972222</v>
      </c>
      <c r="C370" s="1" t="n">
        <v>46134</v>
      </c>
      <c r="D370" t="inlineStr">
        <is>
          <t>VÄSTMANLANDS LÄN</t>
        </is>
      </c>
      <c r="E370" t="inlineStr">
        <is>
          <t>SALA</t>
        </is>
      </c>
      <c r="F370" t="inlineStr">
        <is>
          <t>Kommuner</t>
        </is>
      </c>
      <c r="G370" t="n">
        <v>1.9</v>
      </c>
      <c r="H370" t="n">
        <v>0</v>
      </c>
      <c r="I370" t="n">
        <v>0</v>
      </c>
      <c r="J370" t="n">
        <v>0</v>
      </c>
      <c r="K370" t="n">
        <v>0</v>
      </c>
      <c r="L370" t="n">
        <v>0</v>
      </c>
      <c r="M370" t="n">
        <v>0</v>
      </c>
      <c r="N370" t="n">
        <v>0</v>
      </c>
      <c r="O370" t="n">
        <v>0</v>
      </c>
      <c r="P370" t="n">
        <v>0</v>
      </c>
      <c r="Q370" t="n">
        <v>0</v>
      </c>
      <c r="R370" s="2" t="inlineStr"/>
    </row>
    <row r="371" ht="15" customHeight="1">
      <c r="A371" t="inlineStr">
        <is>
          <t>A 36031-2025</t>
        </is>
      </c>
      <c r="B371" s="1" t="n">
        <v>45865.46111111111</v>
      </c>
      <c r="C371" s="1" t="n">
        <v>46134</v>
      </c>
      <c r="D371" t="inlineStr">
        <is>
          <t>VÄSTMANLANDS LÄN</t>
        </is>
      </c>
      <c r="E371" t="inlineStr">
        <is>
          <t>SALA</t>
        </is>
      </c>
      <c r="G371" t="n">
        <v>7.2</v>
      </c>
      <c r="H371" t="n">
        <v>0</v>
      </c>
      <c r="I371" t="n">
        <v>0</v>
      </c>
      <c r="J371" t="n">
        <v>0</v>
      </c>
      <c r="K371" t="n">
        <v>0</v>
      </c>
      <c r="L371" t="n">
        <v>0</v>
      </c>
      <c r="M371" t="n">
        <v>0</v>
      </c>
      <c r="N371" t="n">
        <v>0</v>
      </c>
      <c r="O371" t="n">
        <v>0</v>
      </c>
      <c r="P371" t="n">
        <v>0</v>
      </c>
      <c r="Q371" t="n">
        <v>0</v>
      </c>
      <c r="R371" s="2" t="inlineStr"/>
    </row>
    <row r="372" ht="15" customHeight="1">
      <c r="A372" t="inlineStr">
        <is>
          <t>A 36060-2025</t>
        </is>
      </c>
      <c r="B372" s="1" t="n">
        <v>45866.39469907407</v>
      </c>
      <c r="C372" s="1" t="n">
        <v>46134</v>
      </c>
      <c r="D372" t="inlineStr">
        <is>
          <t>VÄSTMANLANDS LÄN</t>
        </is>
      </c>
      <c r="E372" t="inlineStr">
        <is>
          <t>SALA</t>
        </is>
      </c>
      <c r="F372" t="inlineStr">
        <is>
          <t>Kommuner</t>
        </is>
      </c>
      <c r="G372" t="n">
        <v>4.3</v>
      </c>
      <c r="H372" t="n">
        <v>0</v>
      </c>
      <c r="I372" t="n">
        <v>0</v>
      </c>
      <c r="J372" t="n">
        <v>0</v>
      </c>
      <c r="K372" t="n">
        <v>0</v>
      </c>
      <c r="L372" t="n">
        <v>0</v>
      </c>
      <c r="M372" t="n">
        <v>0</v>
      </c>
      <c r="N372" t="n">
        <v>0</v>
      </c>
      <c r="O372" t="n">
        <v>0</v>
      </c>
      <c r="P372" t="n">
        <v>0</v>
      </c>
      <c r="Q372" t="n">
        <v>0</v>
      </c>
      <c r="R372" s="2" t="inlineStr"/>
    </row>
    <row r="373" ht="15" customHeight="1">
      <c r="A373" t="inlineStr">
        <is>
          <t>A 36032-2025</t>
        </is>
      </c>
      <c r="B373" s="1" t="n">
        <v>45865.48740740741</v>
      </c>
      <c r="C373" s="1" t="n">
        <v>46134</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36043-2025</t>
        </is>
      </c>
      <c r="B374" s="1" t="n">
        <v>45866.35333333333</v>
      </c>
      <c r="C374" s="1" t="n">
        <v>46134</v>
      </c>
      <c r="D374" t="inlineStr">
        <is>
          <t>VÄSTMANLANDS LÄN</t>
        </is>
      </c>
      <c r="E374" t="inlineStr">
        <is>
          <t>SALA</t>
        </is>
      </c>
      <c r="F374" t="inlineStr">
        <is>
          <t>Kommuner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36045-2025</t>
        </is>
      </c>
      <c r="B375" s="1" t="n">
        <v>45866.36200231482</v>
      </c>
      <c r="C375" s="1" t="n">
        <v>46134</v>
      </c>
      <c r="D375" t="inlineStr">
        <is>
          <t>VÄSTMANLANDS LÄN</t>
        </is>
      </c>
      <c r="E375" t="inlineStr">
        <is>
          <t>SALA</t>
        </is>
      </c>
      <c r="F375" t="inlineStr">
        <is>
          <t>Kommuner</t>
        </is>
      </c>
      <c r="G375" t="n">
        <v>1.7</v>
      </c>
      <c r="H375" t="n">
        <v>0</v>
      </c>
      <c r="I375" t="n">
        <v>0</v>
      </c>
      <c r="J375" t="n">
        <v>0</v>
      </c>
      <c r="K375" t="n">
        <v>0</v>
      </c>
      <c r="L375" t="n">
        <v>0</v>
      </c>
      <c r="M375" t="n">
        <v>0</v>
      </c>
      <c r="N375" t="n">
        <v>0</v>
      </c>
      <c r="O375" t="n">
        <v>0</v>
      </c>
      <c r="P375" t="n">
        <v>0</v>
      </c>
      <c r="Q375" t="n">
        <v>0</v>
      </c>
      <c r="R375" s="2" t="inlineStr"/>
    </row>
    <row r="376" ht="15" customHeight="1">
      <c r="A376" t="inlineStr">
        <is>
          <t>A 33273-2023</t>
        </is>
      </c>
      <c r="B376" s="1" t="n">
        <v>45127</v>
      </c>
      <c r="C376" s="1" t="n">
        <v>46134</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46134</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17985-2025</t>
        </is>
      </c>
      <c r="B378" s="1" t="n">
        <v>45761</v>
      </c>
      <c r="C378" s="1" t="n">
        <v>46134</v>
      </c>
      <c r="D378" t="inlineStr">
        <is>
          <t>VÄSTMANLANDS LÄN</t>
        </is>
      </c>
      <c r="E378" t="inlineStr">
        <is>
          <t>SALA</t>
        </is>
      </c>
      <c r="G378" t="n">
        <v>12.5</v>
      </c>
      <c r="H378" t="n">
        <v>0</v>
      </c>
      <c r="I378" t="n">
        <v>0</v>
      </c>
      <c r="J378" t="n">
        <v>0</v>
      </c>
      <c r="K378" t="n">
        <v>0</v>
      </c>
      <c r="L378" t="n">
        <v>0</v>
      </c>
      <c r="M378" t="n">
        <v>0</v>
      </c>
      <c r="N378" t="n">
        <v>0</v>
      </c>
      <c r="O378" t="n">
        <v>0</v>
      </c>
      <c r="P378" t="n">
        <v>0</v>
      </c>
      <c r="Q378" t="n">
        <v>0</v>
      </c>
      <c r="R378" s="2" t="inlineStr"/>
    </row>
    <row r="379" ht="15" customHeight="1">
      <c r="A379" t="inlineStr">
        <is>
          <t>A 31869-2025</t>
        </is>
      </c>
      <c r="B379" s="1" t="n">
        <v>45834.64555555556</v>
      </c>
      <c r="C379" s="1" t="n">
        <v>46134</v>
      </c>
      <c r="D379" t="inlineStr">
        <is>
          <t>VÄSTMANLANDS LÄN</t>
        </is>
      </c>
      <c r="E379" t="inlineStr">
        <is>
          <t>SALA</t>
        </is>
      </c>
      <c r="G379" t="n">
        <v>17.5</v>
      </c>
      <c r="H379" t="n">
        <v>0</v>
      </c>
      <c r="I379" t="n">
        <v>0</v>
      </c>
      <c r="J379" t="n">
        <v>0</v>
      </c>
      <c r="K379" t="n">
        <v>0</v>
      </c>
      <c r="L379" t="n">
        <v>0</v>
      </c>
      <c r="M379" t="n">
        <v>0</v>
      </c>
      <c r="N379" t="n">
        <v>0</v>
      </c>
      <c r="O379" t="n">
        <v>0</v>
      </c>
      <c r="P379" t="n">
        <v>0</v>
      </c>
      <c r="Q379" t="n">
        <v>0</v>
      </c>
      <c r="R379" s="2" t="inlineStr"/>
    </row>
    <row r="380" ht="15" customHeight="1">
      <c r="A380" t="inlineStr">
        <is>
          <t>A 49640-2025</t>
        </is>
      </c>
      <c r="B380" s="1" t="n">
        <v>45939.61459490741</v>
      </c>
      <c r="C380" s="1" t="n">
        <v>46134</v>
      </c>
      <c r="D380" t="inlineStr">
        <is>
          <t>VÄSTMANLANDS LÄN</t>
        </is>
      </c>
      <c r="E380" t="inlineStr">
        <is>
          <t>SALA</t>
        </is>
      </c>
      <c r="F380" t="inlineStr">
        <is>
          <t>Kommuner</t>
        </is>
      </c>
      <c r="G380" t="n">
        <v>18.8</v>
      </c>
      <c r="H380" t="n">
        <v>0</v>
      </c>
      <c r="I380" t="n">
        <v>0</v>
      </c>
      <c r="J380" t="n">
        <v>0</v>
      </c>
      <c r="K380" t="n">
        <v>0</v>
      </c>
      <c r="L380" t="n">
        <v>0</v>
      </c>
      <c r="M380" t="n">
        <v>0</v>
      </c>
      <c r="N380" t="n">
        <v>0</v>
      </c>
      <c r="O380" t="n">
        <v>0</v>
      </c>
      <c r="P380" t="n">
        <v>0</v>
      </c>
      <c r="Q380" t="n">
        <v>0</v>
      </c>
      <c r="R380" s="2" t="inlineStr"/>
    </row>
    <row r="381" ht="15" customHeight="1">
      <c r="A381" t="inlineStr">
        <is>
          <t>A 31863-2025</t>
        </is>
      </c>
      <c r="B381" s="1" t="n">
        <v>45834.63303240741</v>
      </c>
      <c r="C381" s="1" t="n">
        <v>46134</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17766-2025</t>
        </is>
      </c>
      <c r="B382" s="1" t="n">
        <v>45758</v>
      </c>
      <c r="C382" s="1" t="n">
        <v>46134</v>
      </c>
      <c r="D382" t="inlineStr">
        <is>
          <t>VÄSTMANLANDS LÄN</t>
        </is>
      </c>
      <c r="E382" t="inlineStr">
        <is>
          <t>SALA</t>
        </is>
      </c>
      <c r="G382" t="n">
        <v>16.5</v>
      </c>
      <c r="H382" t="n">
        <v>0</v>
      </c>
      <c r="I382" t="n">
        <v>0</v>
      </c>
      <c r="J382" t="n">
        <v>0</v>
      </c>
      <c r="K382" t="n">
        <v>0</v>
      </c>
      <c r="L382" t="n">
        <v>0</v>
      </c>
      <c r="M382" t="n">
        <v>0</v>
      </c>
      <c r="N382" t="n">
        <v>0</v>
      </c>
      <c r="O382" t="n">
        <v>0</v>
      </c>
      <c r="P382" t="n">
        <v>0</v>
      </c>
      <c r="Q382" t="n">
        <v>0</v>
      </c>
      <c r="R382" s="2" t="inlineStr"/>
    </row>
    <row r="383" ht="15" customHeight="1">
      <c r="A383" t="inlineStr">
        <is>
          <t>A 7664-2023</t>
        </is>
      </c>
      <c r="B383" s="1" t="n">
        <v>44972</v>
      </c>
      <c r="C383" s="1" t="n">
        <v>46134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3546-2025</t>
        </is>
      </c>
      <c r="B384" s="1" t="n">
        <v>45680</v>
      </c>
      <c r="C384" s="1" t="n">
        <v>46134</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49585-2025</t>
        </is>
      </c>
      <c r="B385" s="1" t="n">
        <v>45939.5043287037</v>
      </c>
      <c r="C385" s="1" t="n">
        <v>46134</v>
      </c>
      <c r="D385" t="inlineStr">
        <is>
          <t>VÄSTMANLANDS LÄN</t>
        </is>
      </c>
      <c r="E385" t="inlineStr">
        <is>
          <t>SALA</t>
        </is>
      </c>
      <c r="G385" t="n">
        <v>2.2</v>
      </c>
      <c r="H385" t="n">
        <v>0</v>
      </c>
      <c r="I385" t="n">
        <v>0</v>
      </c>
      <c r="J385" t="n">
        <v>0</v>
      </c>
      <c r="K385" t="n">
        <v>0</v>
      </c>
      <c r="L385" t="n">
        <v>0</v>
      </c>
      <c r="M385" t="n">
        <v>0</v>
      </c>
      <c r="N385" t="n">
        <v>0</v>
      </c>
      <c r="O385" t="n">
        <v>0</v>
      </c>
      <c r="P385" t="n">
        <v>0</v>
      </c>
      <c r="Q385" t="n">
        <v>0</v>
      </c>
      <c r="R385" s="2" t="inlineStr"/>
    </row>
    <row r="386" ht="15" customHeight="1">
      <c r="A386" t="inlineStr">
        <is>
          <t>A 52827-2024</t>
        </is>
      </c>
      <c r="B386" s="1" t="n">
        <v>45610</v>
      </c>
      <c r="C386" s="1" t="n">
        <v>46134</v>
      </c>
      <c r="D386" t="inlineStr">
        <is>
          <t>VÄSTMANLANDS LÄN</t>
        </is>
      </c>
      <c r="E386" t="inlineStr">
        <is>
          <t>SALA</t>
        </is>
      </c>
      <c r="G386" t="n">
        <v>0.2</v>
      </c>
      <c r="H386" t="n">
        <v>0</v>
      </c>
      <c r="I386" t="n">
        <v>0</v>
      </c>
      <c r="J386" t="n">
        <v>0</v>
      </c>
      <c r="K386" t="n">
        <v>0</v>
      </c>
      <c r="L386" t="n">
        <v>0</v>
      </c>
      <c r="M386" t="n">
        <v>0</v>
      </c>
      <c r="N386" t="n">
        <v>0</v>
      </c>
      <c r="O386" t="n">
        <v>0</v>
      </c>
      <c r="P386" t="n">
        <v>0</v>
      </c>
      <c r="Q386" t="n">
        <v>0</v>
      </c>
      <c r="R386" s="2" t="inlineStr"/>
    </row>
    <row r="387" ht="15" customHeight="1">
      <c r="A387" t="inlineStr">
        <is>
          <t>A 53166-2024</t>
        </is>
      </c>
      <c r="B387" s="1" t="n">
        <v>45611</v>
      </c>
      <c r="C387" s="1" t="n">
        <v>46134</v>
      </c>
      <c r="D387" t="inlineStr">
        <is>
          <t>VÄSTMANLANDS LÄN</t>
        </is>
      </c>
      <c r="E387" t="inlineStr">
        <is>
          <t>SALA</t>
        </is>
      </c>
      <c r="G387" t="n">
        <v>1.5</v>
      </c>
      <c r="H387" t="n">
        <v>0</v>
      </c>
      <c r="I387" t="n">
        <v>0</v>
      </c>
      <c r="J387" t="n">
        <v>0</v>
      </c>
      <c r="K387" t="n">
        <v>0</v>
      </c>
      <c r="L387" t="n">
        <v>0</v>
      </c>
      <c r="M387" t="n">
        <v>0</v>
      </c>
      <c r="N387" t="n">
        <v>0</v>
      </c>
      <c r="O387" t="n">
        <v>0</v>
      </c>
      <c r="P387" t="n">
        <v>0</v>
      </c>
      <c r="Q387" t="n">
        <v>0</v>
      </c>
      <c r="R387" s="2" t="inlineStr"/>
    </row>
    <row r="388" ht="15" customHeight="1">
      <c r="A388" t="inlineStr">
        <is>
          <t>A 11244-2024</t>
        </is>
      </c>
      <c r="B388" s="1" t="n">
        <v>45371</v>
      </c>
      <c r="C388" s="1" t="n">
        <v>46134</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62654-2022</t>
        </is>
      </c>
      <c r="B389" s="1" t="n">
        <v>44917</v>
      </c>
      <c r="C389" s="1" t="n">
        <v>46134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6135-2023</t>
        </is>
      </c>
      <c r="B390" s="1" t="n">
        <v>44964.62628472222</v>
      </c>
      <c r="C390" s="1" t="n">
        <v>46134</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53864-2022</t>
        </is>
      </c>
      <c r="B391" s="1" t="n">
        <v>44880.64016203704</v>
      </c>
      <c r="C391" s="1" t="n">
        <v>46134</v>
      </c>
      <c r="D391" t="inlineStr">
        <is>
          <t>VÄSTMANLANDS LÄN</t>
        </is>
      </c>
      <c r="E391" t="inlineStr">
        <is>
          <t>SALA</t>
        </is>
      </c>
      <c r="G391" t="n">
        <v>5.9</v>
      </c>
      <c r="H391" t="n">
        <v>0</v>
      </c>
      <c r="I391" t="n">
        <v>0</v>
      </c>
      <c r="J391" t="n">
        <v>0</v>
      </c>
      <c r="K391" t="n">
        <v>0</v>
      </c>
      <c r="L391" t="n">
        <v>0</v>
      </c>
      <c r="M391" t="n">
        <v>0</v>
      </c>
      <c r="N391" t="n">
        <v>0</v>
      </c>
      <c r="O391" t="n">
        <v>0</v>
      </c>
      <c r="P391" t="n">
        <v>0</v>
      </c>
      <c r="Q391" t="n">
        <v>0</v>
      </c>
      <c r="R391" s="2" t="inlineStr"/>
    </row>
    <row r="392" ht="15" customHeight="1">
      <c r="A392" t="inlineStr">
        <is>
          <t>A 50128-2025</t>
        </is>
      </c>
      <c r="B392" s="1" t="n">
        <v>45943.55318287037</v>
      </c>
      <c r="C392" s="1" t="n">
        <v>46134</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27255-2023</t>
        </is>
      </c>
      <c r="B393" s="1" t="n">
        <v>45096</v>
      </c>
      <c r="C393" s="1" t="n">
        <v>46134</v>
      </c>
      <c r="D393" t="inlineStr">
        <is>
          <t>VÄSTMANLANDS LÄN</t>
        </is>
      </c>
      <c r="E393" t="inlineStr">
        <is>
          <t>SALA</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50249-2025</t>
        </is>
      </c>
      <c r="B394" s="1" t="n">
        <v>45944.31508101852</v>
      </c>
      <c r="C394" s="1" t="n">
        <v>46134</v>
      </c>
      <c r="D394" t="inlineStr">
        <is>
          <t>VÄSTMANLANDS LÄN</t>
        </is>
      </c>
      <c r="E394" t="inlineStr">
        <is>
          <t>SALA</t>
        </is>
      </c>
      <c r="G394" t="n">
        <v>2.3</v>
      </c>
      <c r="H394" t="n">
        <v>0</v>
      </c>
      <c r="I394" t="n">
        <v>0</v>
      </c>
      <c r="J394" t="n">
        <v>0</v>
      </c>
      <c r="K394" t="n">
        <v>0</v>
      </c>
      <c r="L394" t="n">
        <v>0</v>
      </c>
      <c r="M394" t="n">
        <v>0</v>
      </c>
      <c r="N394" t="n">
        <v>0</v>
      </c>
      <c r="O394" t="n">
        <v>0</v>
      </c>
      <c r="P394" t="n">
        <v>0</v>
      </c>
      <c r="Q394" t="n">
        <v>0</v>
      </c>
      <c r="R394" s="2" t="inlineStr"/>
    </row>
    <row r="395" ht="15" customHeight="1">
      <c r="A395" t="inlineStr">
        <is>
          <t>A 50119-2025</t>
        </is>
      </c>
      <c r="B395" s="1" t="n">
        <v>45943.54883101852</v>
      </c>
      <c r="C395" s="1" t="n">
        <v>46134</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50059-2025</t>
        </is>
      </c>
      <c r="B396" s="1" t="n">
        <v>45943.44125</v>
      </c>
      <c r="C396" s="1" t="n">
        <v>46134</v>
      </c>
      <c r="D396" t="inlineStr">
        <is>
          <t>VÄSTMANLANDS LÄN</t>
        </is>
      </c>
      <c r="E396" t="inlineStr">
        <is>
          <t>SALA</t>
        </is>
      </c>
      <c r="G396" t="n">
        <v>4.4</v>
      </c>
      <c r="H396" t="n">
        <v>0</v>
      </c>
      <c r="I396" t="n">
        <v>0</v>
      </c>
      <c r="J396" t="n">
        <v>0</v>
      </c>
      <c r="K396" t="n">
        <v>0</v>
      </c>
      <c r="L396" t="n">
        <v>0</v>
      </c>
      <c r="M396" t="n">
        <v>0</v>
      </c>
      <c r="N396" t="n">
        <v>0</v>
      </c>
      <c r="O396" t="n">
        <v>0</v>
      </c>
      <c r="P396" t="n">
        <v>0</v>
      </c>
      <c r="Q396" t="n">
        <v>0</v>
      </c>
      <c r="R396" s="2" t="inlineStr"/>
    </row>
    <row r="397" ht="15" customHeight="1">
      <c r="A397" t="inlineStr">
        <is>
          <t>A 37017-2025</t>
        </is>
      </c>
      <c r="B397" s="1" t="n">
        <v>45874</v>
      </c>
      <c r="C397" s="1" t="n">
        <v>46134</v>
      </c>
      <c r="D397" t="inlineStr">
        <is>
          <t>VÄSTMANLANDS LÄN</t>
        </is>
      </c>
      <c r="E397" t="inlineStr">
        <is>
          <t>SALA</t>
        </is>
      </c>
      <c r="G397" t="n">
        <v>11.1</v>
      </c>
      <c r="H397" t="n">
        <v>0</v>
      </c>
      <c r="I397" t="n">
        <v>0</v>
      </c>
      <c r="J397" t="n">
        <v>0</v>
      </c>
      <c r="K397" t="n">
        <v>0</v>
      </c>
      <c r="L397" t="n">
        <v>0</v>
      </c>
      <c r="M397" t="n">
        <v>0</v>
      </c>
      <c r="N397" t="n">
        <v>0</v>
      </c>
      <c r="O397" t="n">
        <v>0</v>
      </c>
      <c r="P397" t="n">
        <v>0</v>
      </c>
      <c r="Q397" t="n">
        <v>0</v>
      </c>
      <c r="R397" s="2" t="inlineStr"/>
    </row>
    <row r="398" ht="15" customHeight="1">
      <c r="A398" t="inlineStr">
        <is>
          <t>A 60034-2024</t>
        </is>
      </c>
      <c r="B398" s="1" t="n">
        <v>45642.46261574074</v>
      </c>
      <c r="C398" s="1" t="n">
        <v>46134</v>
      </c>
      <c r="D398" t="inlineStr">
        <is>
          <t>VÄSTMANLANDS LÄN</t>
        </is>
      </c>
      <c r="E398" t="inlineStr">
        <is>
          <t>SALA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3810-2023</t>
        </is>
      </c>
      <c r="B399" s="1" t="n">
        <v>44951.60454861111</v>
      </c>
      <c r="C399" s="1" t="n">
        <v>46134</v>
      </c>
      <c r="D399" t="inlineStr">
        <is>
          <t>VÄSTMANLANDS LÄN</t>
        </is>
      </c>
      <c r="E399" t="inlineStr">
        <is>
          <t>SALA</t>
        </is>
      </c>
      <c r="G399" t="n">
        <v>4.2</v>
      </c>
      <c r="H399" t="n">
        <v>0</v>
      </c>
      <c r="I399" t="n">
        <v>0</v>
      </c>
      <c r="J399" t="n">
        <v>0</v>
      </c>
      <c r="K399" t="n">
        <v>0</v>
      </c>
      <c r="L399" t="n">
        <v>0</v>
      </c>
      <c r="M399" t="n">
        <v>0</v>
      </c>
      <c r="N399" t="n">
        <v>0</v>
      </c>
      <c r="O399" t="n">
        <v>0</v>
      </c>
      <c r="P399" t="n">
        <v>0</v>
      </c>
      <c r="Q399" t="n">
        <v>0</v>
      </c>
      <c r="R399" s="2" t="inlineStr"/>
    </row>
    <row r="400" ht="15" customHeight="1">
      <c r="A400" t="inlineStr">
        <is>
          <t>A 37103-2025</t>
        </is>
      </c>
      <c r="B400" s="1" t="n">
        <v>45875.47743055555</v>
      </c>
      <c r="C400" s="1" t="n">
        <v>46134</v>
      </c>
      <c r="D400" t="inlineStr">
        <is>
          <t>VÄSTMANLANDS LÄN</t>
        </is>
      </c>
      <c r="E400" t="inlineStr">
        <is>
          <t>SALA</t>
        </is>
      </c>
      <c r="G400" t="n">
        <v>1.9</v>
      </c>
      <c r="H400" t="n">
        <v>0</v>
      </c>
      <c r="I400" t="n">
        <v>0</v>
      </c>
      <c r="J400" t="n">
        <v>0</v>
      </c>
      <c r="K400" t="n">
        <v>0</v>
      </c>
      <c r="L400" t="n">
        <v>0</v>
      </c>
      <c r="M400" t="n">
        <v>0</v>
      </c>
      <c r="N400" t="n">
        <v>0</v>
      </c>
      <c r="O400" t="n">
        <v>0</v>
      </c>
      <c r="P400" t="n">
        <v>0</v>
      </c>
      <c r="Q400" t="n">
        <v>0</v>
      </c>
      <c r="R400" s="2" t="inlineStr"/>
    </row>
    <row r="401" ht="15" customHeight="1">
      <c r="A401" t="inlineStr">
        <is>
          <t>A 37246-2025</t>
        </is>
      </c>
      <c r="B401" s="1" t="n">
        <v>45876.39435185185</v>
      </c>
      <c r="C401" s="1" t="n">
        <v>46134</v>
      </c>
      <c r="D401" t="inlineStr">
        <is>
          <t>VÄSTMANLANDS LÄN</t>
        </is>
      </c>
      <c r="E401" t="inlineStr">
        <is>
          <t>SALA</t>
        </is>
      </c>
      <c r="G401" t="n">
        <v>2.3</v>
      </c>
      <c r="H401" t="n">
        <v>0</v>
      </c>
      <c r="I401" t="n">
        <v>0</v>
      </c>
      <c r="J401" t="n">
        <v>0</v>
      </c>
      <c r="K401" t="n">
        <v>0</v>
      </c>
      <c r="L401" t="n">
        <v>0</v>
      </c>
      <c r="M401" t="n">
        <v>0</v>
      </c>
      <c r="N401" t="n">
        <v>0</v>
      </c>
      <c r="O401" t="n">
        <v>0</v>
      </c>
      <c r="P401" t="n">
        <v>0</v>
      </c>
      <c r="Q401" t="n">
        <v>0</v>
      </c>
      <c r="R401" s="2" t="inlineStr"/>
    </row>
    <row r="402" ht="15" customHeight="1">
      <c r="A402" t="inlineStr">
        <is>
          <t>A 52503-2024</t>
        </is>
      </c>
      <c r="B402" s="1" t="n">
        <v>45609.58806712963</v>
      </c>
      <c r="C402" s="1" t="n">
        <v>46134</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2521-2025</t>
        </is>
      </c>
      <c r="B403" s="1" t="n">
        <v>45674</v>
      </c>
      <c r="C403" s="1" t="n">
        <v>46134</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31000-2022</t>
        </is>
      </c>
      <c r="B404" s="1" t="n">
        <v>44768</v>
      </c>
      <c r="C404" s="1" t="n">
        <v>46134</v>
      </c>
      <c r="D404" t="inlineStr">
        <is>
          <t>VÄSTMANLANDS LÄN</t>
        </is>
      </c>
      <c r="E404" t="inlineStr">
        <is>
          <t>SALA</t>
        </is>
      </c>
      <c r="G404" t="n">
        <v>5.7</v>
      </c>
      <c r="H404" t="n">
        <v>0</v>
      </c>
      <c r="I404" t="n">
        <v>0</v>
      </c>
      <c r="J404" t="n">
        <v>0</v>
      </c>
      <c r="K404" t="n">
        <v>0</v>
      </c>
      <c r="L404" t="n">
        <v>0</v>
      </c>
      <c r="M404" t="n">
        <v>0</v>
      </c>
      <c r="N404" t="n">
        <v>0</v>
      </c>
      <c r="O404" t="n">
        <v>0</v>
      </c>
      <c r="P404" t="n">
        <v>0</v>
      </c>
      <c r="Q404" t="n">
        <v>0</v>
      </c>
      <c r="R404" s="2" t="inlineStr"/>
    </row>
    <row r="405" ht="15" customHeight="1">
      <c r="A405" t="inlineStr">
        <is>
          <t>A 37590-2025</t>
        </is>
      </c>
      <c r="B405" s="1" t="n">
        <v>45880.41138888889</v>
      </c>
      <c r="C405" s="1" t="n">
        <v>46134</v>
      </c>
      <c r="D405" t="inlineStr">
        <is>
          <t>VÄSTMANLANDS LÄN</t>
        </is>
      </c>
      <c r="E405" t="inlineStr">
        <is>
          <t>SALA</t>
        </is>
      </c>
      <c r="G405" t="n">
        <v>2.2</v>
      </c>
      <c r="H405" t="n">
        <v>0</v>
      </c>
      <c r="I405" t="n">
        <v>0</v>
      </c>
      <c r="J405" t="n">
        <v>0</v>
      </c>
      <c r="K405" t="n">
        <v>0</v>
      </c>
      <c r="L405" t="n">
        <v>0</v>
      </c>
      <c r="M405" t="n">
        <v>0</v>
      </c>
      <c r="N405" t="n">
        <v>0</v>
      </c>
      <c r="O405" t="n">
        <v>0</v>
      </c>
      <c r="P405" t="n">
        <v>0</v>
      </c>
      <c r="Q405" t="n">
        <v>0</v>
      </c>
      <c r="R405" s="2" t="inlineStr"/>
    </row>
    <row r="406" ht="15" customHeight="1">
      <c r="A406" t="inlineStr">
        <is>
          <t>A 37593-2025</t>
        </is>
      </c>
      <c r="B406" s="1" t="n">
        <v>45880.41325231481</v>
      </c>
      <c r="C406" s="1" t="n">
        <v>46134</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5418-2026</t>
        </is>
      </c>
      <c r="B407" s="1" t="n">
        <v>46050.53740740741</v>
      </c>
      <c r="C407" s="1" t="n">
        <v>46134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5525-2026</t>
        </is>
      </c>
      <c r="B408" s="1" t="n">
        <v>46050.65055555556</v>
      </c>
      <c r="C408" s="1" t="n">
        <v>46134</v>
      </c>
      <c r="D408" t="inlineStr">
        <is>
          <t>VÄSTMANLANDS LÄN</t>
        </is>
      </c>
      <c r="E408" t="inlineStr">
        <is>
          <t>SALA</t>
        </is>
      </c>
      <c r="G408" t="n">
        <v>13.1</v>
      </c>
      <c r="H408" t="n">
        <v>0</v>
      </c>
      <c r="I408" t="n">
        <v>0</v>
      </c>
      <c r="J408" t="n">
        <v>0</v>
      </c>
      <c r="K408" t="n">
        <v>0</v>
      </c>
      <c r="L408" t="n">
        <v>0</v>
      </c>
      <c r="M408" t="n">
        <v>0</v>
      </c>
      <c r="N408" t="n">
        <v>0</v>
      </c>
      <c r="O408" t="n">
        <v>0</v>
      </c>
      <c r="P408" t="n">
        <v>0</v>
      </c>
      <c r="Q408" t="n">
        <v>0</v>
      </c>
      <c r="R408" s="2" t="inlineStr"/>
    </row>
    <row r="409" ht="15" customHeight="1">
      <c r="A409" t="inlineStr">
        <is>
          <t>A 43359-2024</t>
        </is>
      </c>
      <c r="B409" s="1" t="n">
        <v>45568.57724537037</v>
      </c>
      <c r="C409" s="1" t="n">
        <v>46134</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29972-2025</t>
        </is>
      </c>
      <c r="B410" s="1" t="n">
        <v>45826</v>
      </c>
      <c r="C410" s="1" t="n">
        <v>46134</v>
      </c>
      <c r="D410" t="inlineStr">
        <is>
          <t>VÄSTMANLANDS LÄN</t>
        </is>
      </c>
      <c r="E410" t="inlineStr">
        <is>
          <t>SALA</t>
        </is>
      </c>
      <c r="G410" t="n">
        <v>2.7</v>
      </c>
      <c r="H410" t="n">
        <v>0</v>
      </c>
      <c r="I410" t="n">
        <v>0</v>
      </c>
      <c r="J410" t="n">
        <v>0</v>
      </c>
      <c r="K410" t="n">
        <v>0</v>
      </c>
      <c r="L410" t="n">
        <v>0</v>
      </c>
      <c r="M410" t="n">
        <v>0</v>
      </c>
      <c r="N410" t="n">
        <v>0</v>
      </c>
      <c r="O410" t="n">
        <v>0</v>
      </c>
      <c r="P410" t="n">
        <v>0</v>
      </c>
      <c r="Q410" t="n">
        <v>0</v>
      </c>
      <c r="R410" s="2" t="inlineStr"/>
    </row>
    <row r="411" ht="15" customHeight="1">
      <c r="A411" t="inlineStr">
        <is>
          <t>A 31950-2023</t>
        </is>
      </c>
      <c r="B411" s="1" t="n">
        <v>45107</v>
      </c>
      <c r="C411" s="1" t="n">
        <v>46134</v>
      </c>
      <c r="D411" t="inlineStr">
        <is>
          <t>VÄSTMANLANDS LÄN</t>
        </is>
      </c>
      <c r="E411" t="inlineStr">
        <is>
          <t>SALA</t>
        </is>
      </c>
      <c r="G411" t="n">
        <v>0.1</v>
      </c>
      <c r="H411" t="n">
        <v>0</v>
      </c>
      <c r="I411" t="n">
        <v>0</v>
      </c>
      <c r="J411" t="n">
        <v>0</v>
      </c>
      <c r="K411" t="n">
        <v>0</v>
      </c>
      <c r="L411" t="n">
        <v>0</v>
      </c>
      <c r="M411" t="n">
        <v>0</v>
      </c>
      <c r="N411" t="n">
        <v>0</v>
      </c>
      <c r="O411" t="n">
        <v>0</v>
      </c>
      <c r="P411" t="n">
        <v>0</v>
      </c>
      <c r="Q411" t="n">
        <v>0</v>
      </c>
      <c r="R411" s="2" t="inlineStr"/>
    </row>
    <row r="412" ht="15" customHeight="1">
      <c r="A412" t="inlineStr">
        <is>
          <t>A 5219-2026</t>
        </is>
      </c>
      <c r="B412" s="1" t="n">
        <v>46049.76225694444</v>
      </c>
      <c r="C412" s="1" t="n">
        <v>46134</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51626-2025</t>
        </is>
      </c>
      <c r="B413" s="1" t="n">
        <v>45951.41769675926</v>
      </c>
      <c r="C413" s="1" t="n">
        <v>46134</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51690-2025</t>
        </is>
      </c>
      <c r="B414" s="1" t="n">
        <v>45951.53462962963</v>
      </c>
      <c r="C414" s="1" t="n">
        <v>46134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16693-2023</t>
        </is>
      </c>
      <c r="B415" s="1" t="n">
        <v>45028</v>
      </c>
      <c r="C415" s="1" t="n">
        <v>46134</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51809-2025</t>
        </is>
      </c>
      <c r="B416" s="1" t="n">
        <v>45951.80116898148</v>
      </c>
      <c r="C416" s="1" t="n">
        <v>46134</v>
      </c>
      <c r="D416" t="inlineStr">
        <is>
          <t>VÄSTMANLANDS LÄN</t>
        </is>
      </c>
      <c r="E416" t="inlineStr">
        <is>
          <t>SALA</t>
        </is>
      </c>
      <c r="F416" t="inlineStr">
        <is>
          <t>Kommuner</t>
        </is>
      </c>
      <c r="G416" t="n">
        <v>3.5</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46134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51803-2025</t>
        </is>
      </c>
      <c r="B418" s="1" t="n">
        <v>45951.76818287037</v>
      </c>
      <c r="C418" s="1" t="n">
        <v>46134</v>
      </c>
      <c r="D418" t="inlineStr">
        <is>
          <t>VÄSTMANLANDS LÄN</t>
        </is>
      </c>
      <c r="E418" t="inlineStr">
        <is>
          <t>SALA</t>
        </is>
      </c>
      <c r="F418" t="inlineStr">
        <is>
          <t>Kommuner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51805-2025</t>
        </is>
      </c>
      <c r="B419" s="1" t="n">
        <v>45951.78359953704</v>
      </c>
      <c r="C419" s="1" t="n">
        <v>46134</v>
      </c>
      <c r="D419" t="inlineStr">
        <is>
          <t>VÄSTMANLANDS LÄN</t>
        </is>
      </c>
      <c r="E419" t="inlineStr">
        <is>
          <t>SALA</t>
        </is>
      </c>
      <c r="F419" t="inlineStr">
        <is>
          <t>Kommuner</t>
        </is>
      </c>
      <c r="G419" t="n">
        <v>1.3</v>
      </c>
      <c r="H419" t="n">
        <v>0</v>
      </c>
      <c r="I419" t="n">
        <v>0</v>
      </c>
      <c r="J419" t="n">
        <v>0</v>
      </c>
      <c r="K419" t="n">
        <v>0</v>
      </c>
      <c r="L419" t="n">
        <v>0</v>
      </c>
      <c r="M419" t="n">
        <v>0</v>
      </c>
      <c r="N419" t="n">
        <v>0</v>
      </c>
      <c r="O419" t="n">
        <v>0</v>
      </c>
      <c r="P419" t="n">
        <v>0</v>
      </c>
      <c r="Q419" t="n">
        <v>0</v>
      </c>
      <c r="R419" s="2" t="inlineStr"/>
    </row>
    <row r="420" ht="15" customHeight="1">
      <c r="A420" t="inlineStr">
        <is>
          <t>A 51804-2025</t>
        </is>
      </c>
      <c r="B420" s="1" t="n">
        <v>45951.77697916667</v>
      </c>
      <c r="C420" s="1" t="n">
        <v>46134</v>
      </c>
      <c r="D420" t="inlineStr">
        <is>
          <t>VÄSTMANLANDS LÄN</t>
        </is>
      </c>
      <c r="E420" t="inlineStr">
        <is>
          <t>SALA</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51808-2025</t>
        </is>
      </c>
      <c r="B421" s="1" t="n">
        <v>45951.79302083333</v>
      </c>
      <c r="C421" s="1" t="n">
        <v>46134</v>
      </c>
      <c r="D421" t="inlineStr">
        <is>
          <t>VÄSTMANLANDS LÄN</t>
        </is>
      </c>
      <c r="E421" t="inlineStr">
        <is>
          <t>SALA</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51764-2025</t>
        </is>
      </c>
      <c r="B422" s="1" t="n">
        <v>45951.63636574074</v>
      </c>
      <c r="C422" s="1" t="n">
        <v>46134</v>
      </c>
      <c r="D422" t="inlineStr">
        <is>
          <t>VÄSTMANLANDS LÄN</t>
        </is>
      </c>
      <c r="E422" t="inlineStr">
        <is>
          <t>SALA</t>
        </is>
      </c>
      <c r="G422" t="n">
        <v>1.5</v>
      </c>
      <c r="H422" t="n">
        <v>0</v>
      </c>
      <c r="I422" t="n">
        <v>0</v>
      </c>
      <c r="J422" t="n">
        <v>0</v>
      </c>
      <c r="K422" t="n">
        <v>0</v>
      </c>
      <c r="L422" t="n">
        <v>0</v>
      </c>
      <c r="M422" t="n">
        <v>0</v>
      </c>
      <c r="N422" t="n">
        <v>0</v>
      </c>
      <c r="O422" t="n">
        <v>0</v>
      </c>
      <c r="P422" t="n">
        <v>0</v>
      </c>
      <c r="Q422" t="n">
        <v>0</v>
      </c>
      <c r="R422" s="2" t="inlineStr"/>
    </row>
    <row r="423" ht="15" customHeight="1">
      <c r="A423" t="inlineStr">
        <is>
          <t>A 57371-2022</t>
        </is>
      </c>
      <c r="B423" s="1" t="n">
        <v>44896.43832175926</v>
      </c>
      <c r="C423" s="1" t="n">
        <v>46134</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56548-2024</t>
        </is>
      </c>
      <c r="B424" s="1" t="n">
        <v>45625</v>
      </c>
      <c r="C424" s="1" t="n">
        <v>46134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47086-2022</t>
        </is>
      </c>
      <c r="B425" s="1" t="n">
        <v>44852</v>
      </c>
      <c r="C425" s="1" t="n">
        <v>46134</v>
      </c>
      <c r="D425" t="inlineStr">
        <is>
          <t>VÄSTMANLANDS LÄN</t>
        </is>
      </c>
      <c r="E425" t="inlineStr">
        <is>
          <t>SALA</t>
        </is>
      </c>
      <c r="G425" t="n">
        <v>12.5</v>
      </c>
      <c r="H425" t="n">
        <v>0</v>
      </c>
      <c r="I425" t="n">
        <v>0</v>
      </c>
      <c r="J425" t="n">
        <v>0</v>
      </c>
      <c r="K425" t="n">
        <v>0</v>
      </c>
      <c r="L425" t="n">
        <v>0</v>
      </c>
      <c r="M425" t="n">
        <v>0</v>
      </c>
      <c r="N425" t="n">
        <v>0</v>
      </c>
      <c r="O425" t="n">
        <v>0</v>
      </c>
      <c r="P425" t="n">
        <v>0</v>
      </c>
      <c r="Q425" t="n">
        <v>0</v>
      </c>
      <c r="R425" s="2" t="inlineStr"/>
    </row>
    <row r="426" ht="15" customHeight="1">
      <c r="A426" t="inlineStr">
        <is>
          <t>A 5894-2026</t>
        </is>
      </c>
      <c r="B426" s="1" t="n">
        <v>46052.42412037037</v>
      </c>
      <c r="C426" s="1" t="n">
        <v>46134</v>
      </c>
      <c r="D426" t="inlineStr">
        <is>
          <t>VÄSTMANLANDS LÄN</t>
        </is>
      </c>
      <c r="E426" t="inlineStr">
        <is>
          <t>SALA</t>
        </is>
      </c>
      <c r="G426" t="n">
        <v>0.9</v>
      </c>
      <c r="H426" t="n">
        <v>0</v>
      </c>
      <c r="I426" t="n">
        <v>0</v>
      </c>
      <c r="J426" t="n">
        <v>0</v>
      </c>
      <c r="K426" t="n">
        <v>0</v>
      </c>
      <c r="L426" t="n">
        <v>0</v>
      </c>
      <c r="M426" t="n">
        <v>0</v>
      </c>
      <c r="N426" t="n">
        <v>0</v>
      </c>
      <c r="O426" t="n">
        <v>0</v>
      </c>
      <c r="P426" t="n">
        <v>0</v>
      </c>
      <c r="Q426" t="n">
        <v>0</v>
      </c>
      <c r="R426" s="2" t="inlineStr"/>
    </row>
    <row r="427" ht="15" customHeight="1">
      <c r="A427" t="inlineStr">
        <is>
          <t>A 13032-2026</t>
        </is>
      </c>
      <c r="B427" s="1" t="n">
        <v>46092.90436342593</v>
      </c>
      <c r="C427" s="1" t="n">
        <v>46134</v>
      </c>
      <c r="D427" t="inlineStr">
        <is>
          <t>VÄSTMANLANDS LÄN</t>
        </is>
      </c>
      <c r="E427" t="inlineStr">
        <is>
          <t>SALA</t>
        </is>
      </c>
      <c r="G427" t="n">
        <v>3.4</v>
      </c>
      <c r="H427" t="n">
        <v>0</v>
      </c>
      <c r="I427" t="n">
        <v>0</v>
      </c>
      <c r="J427" t="n">
        <v>0</v>
      </c>
      <c r="K427" t="n">
        <v>0</v>
      </c>
      <c r="L427" t="n">
        <v>0</v>
      </c>
      <c r="M427" t="n">
        <v>0</v>
      </c>
      <c r="N427" t="n">
        <v>0</v>
      </c>
      <c r="O427" t="n">
        <v>0</v>
      </c>
      <c r="P427" t="n">
        <v>0</v>
      </c>
      <c r="Q427" t="n">
        <v>0</v>
      </c>
      <c r="R427" s="2" t="inlineStr"/>
    </row>
    <row r="428" ht="15" customHeight="1">
      <c r="A428" t="inlineStr">
        <is>
          <t>A 53744-2025</t>
        </is>
      </c>
      <c r="B428" s="1" t="n">
        <v>45960.64863425926</v>
      </c>
      <c r="C428" s="1" t="n">
        <v>46134</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53725-2025</t>
        </is>
      </c>
      <c r="B429" s="1" t="n">
        <v>45960.63394675926</v>
      </c>
      <c r="C429" s="1" t="n">
        <v>46134</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988-2025</t>
        </is>
      </c>
      <c r="B430" s="1" t="n">
        <v>45666.44038194444</v>
      </c>
      <c r="C430" s="1" t="n">
        <v>46134</v>
      </c>
      <c r="D430" t="inlineStr">
        <is>
          <t>VÄSTMANLANDS LÄN</t>
        </is>
      </c>
      <c r="E430" t="inlineStr">
        <is>
          <t>SALA</t>
        </is>
      </c>
      <c r="G430" t="n">
        <v>1.3</v>
      </c>
      <c r="H430" t="n">
        <v>0</v>
      </c>
      <c r="I430" t="n">
        <v>0</v>
      </c>
      <c r="J430" t="n">
        <v>0</v>
      </c>
      <c r="K430" t="n">
        <v>0</v>
      </c>
      <c r="L430" t="n">
        <v>0</v>
      </c>
      <c r="M430" t="n">
        <v>0</v>
      </c>
      <c r="N430" t="n">
        <v>0</v>
      </c>
      <c r="O430" t="n">
        <v>0</v>
      </c>
      <c r="P430" t="n">
        <v>0</v>
      </c>
      <c r="Q430" t="n">
        <v>0</v>
      </c>
      <c r="R430" s="2" t="inlineStr"/>
    </row>
    <row r="431" ht="15" customHeight="1">
      <c r="A431" t="inlineStr">
        <is>
          <t>A 53724-2025</t>
        </is>
      </c>
      <c r="B431" s="1" t="n">
        <v>45960.63174768518</v>
      </c>
      <c r="C431" s="1" t="n">
        <v>46134</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5032-2025</t>
        </is>
      </c>
      <c r="B432" s="1" t="n">
        <v>45691</v>
      </c>
      <c r="C432" s="1" t="n">
        <v>46134</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38636-2024</t>
        </is>
      </c>
      <c r="B433" s="1" t="n">
        <v>45546</v>
      </c>
      <c r="C433" s="1" t="n">
        <v>46134</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54201-2025</t>
        </is>
      </c>
      <c r="B434" s="1" t="n">
        <v>45964.58055555556</v>
      </c>
      <c r="C434" s="1" t="n">
        <v>46134</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66908-2021</t>
        </is>
      </c>
      <c r="B435" s="1" t="n">
        <v>44522</v>
      </c>
      <c r="C435" s="1" t="n">
        <v>46134</v>
      </c>
      <c r="D435" t="inlineStr">
        <is>
          <t>VÄSTMANLANDS LÄN</t>
        </is>
      </c>
      <c r="E435" t="inlineStr">
        <is>
          <t>SALA</t>
        </is>
      </c>
      <c r="G435" t="n">
        <v>2.6</v>
      </c>
      <c r="H435" t="n">
        <v>0</v>
      </c>
      <c r="I435" t="n">
        <v>0</v>
      </c>
      <c r="J435" t="n">
        <v>0</v>
      </c>
      <c r="K435" t="n">
        <v>0</v>
      </c>
      <c r="L435" t="n">
        <v>0</v>
      </c>
      <c r="M435" t="n">
        <v>0</v>
      </c>
      <c r="N435" t="n">
        <v>0</v>
      </c>
      <c r="O435" t="n">
        <v>0</v>
      </c>
      <c r="P435" t="n">
        <v>0</v>
      </c>
      <c r="Q435" t="n">
        <v>0</v>
      </c>
      <c r="R435" s="2" t="inlineStr"/>
    </row>
    <row r="436" ht="15" customHeight="1">
      <c r="A436" t="inlineStr">
        <is>
          <t>A 11696-2025</t>
        </is>
      </c>
      <c r="B436" s="1" t="n">
        <v>45727</v>
      </c>
      <c r="C436" s="1" t="n">
        <v>46134</v>
      </c>
      <c r="D436" t="inlineStr">
        <is>
          <t>VÄSTMANLANDS LÄN</t>
        </is>
      </c>
      <c r="E436" t="inlineStr">
        <is>
          <t>SALA</t>
        </is>
      </c>
      <c r="F436" t="inlineStr">
        <is>
          <t>Bergvik skog öst AB</t>
        </is>
      </c>
      <c r="G436" t="n">
        <v>1.6</v>
      </c>
      <c r="H436" t="n">
        <v>0</v>
      </c>
      <c r="I436" t="n">
        <v>0</v>
      </c>
      <c r="J436" t="n">
        <v>0</v>
      </c>
      <c r="K436" t="n">
        <v>0</v>
      </c>
      <c r="L436" t="n">
        <v>0</v>
      </c>
      <c r="M436" t="n">
        <v>0</v>
      </c>
      <c r="N436" t="n">
        <v>0</v>
      </c>
      <c r="O436" t="n">
        <v>0</v>
      </c>
      <c r="P436" t="n">
        <v>0</v>
      </c>
      <c r="Q436" t="n">
        <v>0</v>
      </c>
      <c r="R436" s="2" t="inlineStr"/>
    </row>
    <row r="437" ht="15" customHeight="1">
      <c r="A437" t="inlineStr">
        <is>
          <t>A 14000-2026</t>
        </is>
      </c>
      <c r="B437" s="1" t="n">
        <v>46098.64246527778</v>
      </c>
      <c r="C437" s="1" t="n">
        <v>46134</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54344-2025</t>
        </is>
      </c>
      <c r="B438" s="1" t="n">
        <v>45965.36462962963</v>
      </c>
      <c r="C438" s="1" t="n">
        <v>46134</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43509-2021</t>
        </is>
      </c>
      <c r="B439" s="1" t="n">
        <v>44433</v>
      </c>
      <c r="C439" s="1" t="n">
        <v>46134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54590-2025</t>
        </is>
      </c>
      <c r="B440" s="1" t="n">
        <v>45965.74199074074</v>
      </c>
      <c r="C440" s="1" t="n">
        <v>46134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13746-2025</t>
        </is>
      </c>
      <c r="B441" s="1" t="n">
        <v>45737.40944444444</v>
      </c>
      <c r="C441" s="1" t="n">
        <v>46134</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25897-2024</t>
        </is>
      </c>
      <c r="B442" s="1" t="n">
        <v>45467.54435185185</v>
      </c>
      <c r="C442" s="1" t="n">
        <v>46134</v>
      </c>
      <c r="D442" t="inlineStr">
        <is>
          <t>VÄSTMANLANDS LÄN</t>
        </is>
      </c>
      <c r="E442" t="inlineStr">
        <is>
          <t>SALA</t>
        </is>
      </c>
      <c r="G442" t="n">
        <v>9.9</v>
      </c>
      <c r="H442" t="n">
        <v>0</v>
      </c>
      <c r="I442" t="n">
        <v>0</v>
      </c>
      <c r="J442" t="n">
        <v>0</v>
      </c>
      <c r="K442" t="n">
        <v>0</v>
      </c>
      <c r="L442" t="n">
        <v>0</v>
      </c>
      <c r="M442" t="n">
        <v>0</v>
      </c>
      <c r="N442" t="n">
        <v>0</v>
      </c>
      <c r="O442" t="n">
        <v>0</v>
      </c>
      <c r="P442" t="n">
        <v>0</v>
      </c>
      <c r="Q442" t="n">
        <v>0</v>
      </c>
      <c r="R442" s="2" t="inlineStr"/>
    </row>
    <row r="443" ht="15" customHeight="1">
      <c r="A443" t="inlineStr">
        <is>
          <t>A 23222-2023</t>
        </is>
      </c>
      <c r="B443" s="1" t="n">
        <v>45075</v>
      </c>
      <c r="C443" s="1" t="n">
        <v>46134</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23224-2023</t>
        </is>
      </c>
      <c r="B444" s="1" t="n">
        <v>45075.65040509259</v>
      </c>
      <c r="C444" s="1" t="n">
        <v>46134</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54893-2025</t>
        </is>
      </c>
      <c r="B445" s="1" t="n">
        <v>45967.36383101852</v>
      </c>
      <c r="C445" s="1" t="n">
        <v>46134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50479-2022</t>
        </is>
      </c>
      <c r="B446" s="1" t="n">
        <v>44861</v>
      </c>
      <c r="C446" s="1" t="n">
        <v>46134</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13996-2026</t>
        </is>
      </c>
      <c r="B447" s="1" t="n">
        <v>46098.63159722222</v>
      </c>
      <c r="C447" s="1" t="n">
        <v>46134</v>
      </c>
      <c r="D447" t="inlineStr">
        <is>
          <t>VÄSTMANLANDS LÄN</t>
        </is>
      </c>
      <c r="E447" t="inlineStr">
        <is>
          <t>SALA</t>
        </is>
      </c>
      <c r="G447" t="n">
        <v>2.5</v>
      </c>
      <c r="H447" t="n">
        <v>0</v>
      </c>
      <c r="I447" t="n">
        <v>0</v>
      </c>
      <c r="J447" t="n">
        <v>0</v>
      </c>
      <c r="K447" t="n">
        <v>0</v>
      </c>
      <c r="L447" t="n">
        <v>0</v>
      </c>
      <c r="M447" t="n">
        <v>0</v>
      </c>
      <c r="N447" t="n">
        <v>0</v>
      </c>
      <c r="O447" t="n">
        <v>0</v>
      </c>
      <c r="P447" t="n">
        <v>0</v>
      </c>
      <c r="Q447" t="n">
        <v>0</v>
      </c>
      <c r="R447" s="2" t="inlineStr"/>
    </row>
    <row r="448" ht="15" customHeight="1">
      <c r="A448" t="inlineStr">
        <is>
          <t>A 19033-2025</t>
        </is>
      </c>
      <c r="B448" s="1" t="n">
        <v>45764.65796296296</v>
      </c>
      <c r="C448" s="1" t="n">
        <v>46134</v>
      </c>
      <c r="D448" t="inlineStr">
        <is>
          <t>VÄSTMANLANDS LÄN</t>
        </is>
      </c>
      <c r="E448" t="inlineStr">
        <is>
          <t>SALA</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14919-2025</t>
        </is>
      </c>
      <c r="B449" s="1" t="n">
        <v>45743.54256944444</v>
      </c>
      <c r="C449" s="1" t="n">
        <v>46134</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14920-2025</t>
        </is>
      </c>
      <c r="B450" s="1" t="n">
        <v>45743</v>
      </c>
      <c r="C450" s="1" t="n">
        <v>46134</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6021-2026</t>
        </is>
      </c>
      <c r="B451" s="1" t="n">
        <v>46050</v>
      </c>
      <c r="C451" s="1" t="n">
        <v>46134</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13855-2023</t>
        </is>
      </c>
      <c r="B452" s="1" t="n">
        <v>45007</v>
      </c>
      <c r="C452" s="1" t="n">
        <v>46134</v>
      </c>
      <c r="D452" t="inlineStr">
        <is>
          <t>VÄSTMANLANDS LÄN</t>
        </is>
      </c>
      <c r="E452" t="inlineStr">
        <is>
          <t>SALA</t>
        </is>
      </c>
      <c r="G452" t="n">
        <v>2.9</v>
      </c>
      <c r="H452" t="n">
        <v>0</v>
      </c>
      <c r="I452" t="n">
        <v>0</v>
      </c>
      <c r="J452" t="n">
        <v>0</v>
      </c>
      <c r="K452" t="n">
        <v>0</v>
      </c>
      <c r="L452" t="n">
        <v>0</v>
      </c>
      <c r="M452" t="n">
        <v>0</v>
      </c>
      <c r="N452" t="n">
        <v>0</v>
      </c>
      <c r="O452" t="n">
        <v>0</v>
      </c>
      <c r="P452" t="n">
        <v>0</v>
      </c>
      <c r="Q452" t="n">
        <v>0</v>
      </c>
      <c r="R452" s="2" t="inlineStr"/>
    </row>
    <row r="453" ht="15" customHeight="1">
      <c r="A453" t="inlineStr">
        <is>
          <t>A 55997-2025</t>
        </is>
      </c>
      <c r="B453" s="1" t="n">
        <v>45973.56833333334</v>
      </c>
      <c r="C453" s="1" t="n">
        <v>46134</v>
      </c>
      <c r="D453" t="inlineStr">
        <is>
          <t>VÄSTMANLANDS LÄN</t>
        </is>
      </c>
      <c r="E453" t="inlineStr">
        <is>
          <t>SALA</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18877-2023</t>
        </is>
      </c>
      <c r="B454" s="1" t="n">
        <v>45044</v>
      </c>
      <c r="C454" s="1" t="n">
        <v>46134</v>
      </c>
      <c r="D454" t="inlineStr">
        <is>
          <t>VÄSTMANLANDS LÄN</t>
        </is>
      </c>
      <c r="E454" t="inlineStr">
        <is>
          <t>SALA</t>
        </is>
      </c>
      <c r="F454" t="inlineStr">
        <is>
          <t>Kommuner</t>
        </is>
      </c>
      <c r="G454" t="n">
        <v>4.4</v>
      </c>
      <c r="H454" t="n">
        <v>0</v>
      </c>
      <c r="I454" t="n">
        <v>0</v>
      </c>
      <c r="J454" t="n">
        <v>0</v>
      </c>
      <c r="K454" t="n">
        <v>0</v>
      </c>
      <c r="L454" t="n">
        <v>0</v>
      </c>
      <c r="M454" t="n">
        <v>0</v>
      </c>
      <c r="N454" t="n">
        <v>0</v>
      </c>
      <c r="O454" t="n">
        <v>0</v>
      </c>
      <c r="P454" t="n">
        <v>0</v>
      </c>
      <c r="Q454" t="n">
        <v>0</v>
      </c>
      <c r="R454" s="2" t="inlineStr"/>
    </row>
    <row r="455" ht="15" customHeight="1">
      <c r="A455" t="inlineStr">
        <is>
          <t>A 55556-2023</t>
        </is>
      </c>
      <c r="B455" s="1" t="n">
        <v>45232</v>
      </c>
      <c r="C455" s="1" t="n">
        <v>46134</v>
      </c>
      <c r="D455" t="inlineStr">
        <is>
          <t>VÄSTMANLANDS LÄN</t>
        </is>
      </c>
      <c r="E455" t="inlineStr">
        <is>
          <t>SALA</t>
        </is>
      </c>
      <c r="G455" t="n">
        <v>1.3</v>
      </c>
      <c r="H455" t="n">
        <v>0</v>
      </c>
      <c r="I455" t="n">
        <v>0</v>
      </c>
      <c r="J455" t="n">
        <v>0</v>
      </c>
      <c r="K455" t="n">
        <v>0</v>
      </c>
      <c r="L455" t="n">
        <v>0</v>
      </c>
      <c r="M455" t="n">
        <v>0</v>
      </c>
      <c r="N455" t="n">
        <v>0</v>
      </c>
      <c r="O455" t="n">
        <v>0</v>
      </c>
      <c r="P455" t="n">
        <v>0</v>
      </c>
      <c r="Q455" t="n">
        <v>0</v>
      </c>
      <c r="R455" s="2" t="inlineStr"/>
    </row>
    <row r="456" ht="15" customHeight="1">
      <c r="A456" t="inlineStr">
        <is>
          <t>A 7327-2026</t>
        </is>
      </c>
      <c r="B456" s="1" t="n">
        <v>46058.68371527778</v>
      </c>
      <c r="C456" s="1" t="n">
        <v>46134</v>
      </c>
      <c r="D456" t="inlineStr">
        <is>
          <t>VÄSTMANLANDS LÄN</t>
        </is>
      </c>
      <c r="E456" t="inlineStr">
        <is>
          <t>SALA</t>
        </is>
      </c>
      <c r="G456" t="n">
        <v>5.8</v>
      </c>
      <c r="H456" t="n">
        <v>0</v>
      </c>
      <c r="I456" t="n">
        <v>0</v>
      </c>
      <c r="J456" t="n">
        <v>0</v>
      </c>
      <c r="K456" t="n">
        <v>0</v>
      </c>
      <c r="L456" t="n">
        <v>0</v>
      </c>
      <c r="M456" t="n">
        <v>0</v>
      </c>
      <c r="N456" t="n">
        <v>0</v>
      </c>
      <c r="O456" t="n">
        <v>0</v>
      </c>
      <c r="P456" t="n">
        <v>0</v>
      </c>
      <c r="Q456" t="n">
        <v>0</v>
      </c>
      <c r="R456" s="2" t="inlineStr"/>
    </row>
    <row r="457" ht="15" customHeight="1">
      <c r="A457" t="inlineStr">
        <is>
          <t>A 7332-2026</t>
        </is>
      </c>
      <c r="B457" s="1" t="n">
        <v>46058.68884259259</v>
      </c>
      <c r="C457" s="1" t="n">
        <v>46134</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34494-2023</t>
        </is>
      </c>
      <c r="B458" s="1" t="n">
        <v>45133</v>
      </c>
      <c r="C458" s="1" t="n">
        <v>46134</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55714-2025</t>
        </is>
      </c>
      <c r="B459" s="1" t="n">
        <v>45972.49131944445</v>
      </c>
      <c r="C459" s="1" t="n">
        <v>46134</v>
      </c>
      <c r="D459" t="inlineStr">
        <is>
          <t>VÄSTMANLANDS LÄN</t>
        </is>
      </c>
      <c r="E459" t="inlineStr">
        <is>
          <t>SALA</t>
        </is>
      </c>
      <c r="G459" t="n">
        <v>6.6</v>
      </c>
      <c r="H459" t="n">
        <v>0</v>
      </c>
      <c r="I459" t="n">
        <v>0</v>
      </c>
      <c r="J459" t="n">
        <v>0</v>
      </c>
      <c r="K459" t="n">
        <v>0</v>
      </c>
      <c r="L459" t="n">
        <v>0</v>
      </c>
      <c r="M459" t="n">
        <v>0</v>
      </c>
      <c r="N459" t="n">
        <v>0</v>
      </c>
      <c r="O459" t="n">
        <v>0</v>
      </c>
      <c r="P459" t="n">
        <v>0</v>
      </c>
      <c r="Q459" t="n">
        <v>0</v>
      </c>
      <c r="R459" s="2" t="inlineStr"/>
    </row>
    <row r="460" ht="15" customHeight="1">
      <c r="A460" t="inlineStr">
        <is>
          <t>A 14490-2026</t>
        </is>
      </c>
      <c r="B460" s="1" t="n">
        <v>46100.59277777778</v>
      </c>
      <c r="C460" s="1" t="n">
        <v>46134</v>
      </c>
      <c r="D460" t="inlineStr">
        <is>
          <t>VÄSTMANLANDS LÄN</t>
        </is>
      </c>
      <c r="E460" t="inlineStr">
        <is>
          <t>SALA</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56614-2025</t>
        </is>
      </c>
      <c r="B461" s="1" t="n">
        <v>45975.59288194445</v>
      </c>
      <c r="C461" s="1" t="n">
        <v>46134</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56611-2025</t>
        </is>
      </c>
      <c r="B462" s="1" t="n">
        <v>45975</v>
      </c>
      <c r="C462" s="1" t="n">
        <v>46134</v>
      </c>
      <c r="D462" t="inlineStr">
        <is>
          <t>VÄSTMANLANDS LÄN</t>
        </is>
      </c>
      <c r="E462" t="inlineStr">
        <is>
          <t>SALA</t>
        </is>
      </c>
      <c r="G462" t="n">
        <v>2.8</v>
      </c>
      <c r="H462" t="n">
        <v>0</v>
      </c>
      <c r="I462" t="n">
        <v>0</v>
      </c>
      <c r="J462" t="n">
        <v>0</v>
      </c>
      <c r="K462" t="n">
        <v>0</v>
      </c>
      <c r="L462" t="n">
        <v>0</v>
      </c>
      <c r="M462" t="n">
        <v>0</v>
      </c>
      <c r="N462" t="n">
        <v>0</v>
      </c>
      <c r="O462" t="n">
        <v>0</v>
      </c>
      <c r="P462" t="n">
        <v>0</v>
      </c>
      <c r="Q462" t="n">
        <v>0</v>
      </c>
      <c r="R462" s="2" t="inlineStr"/>
    </row>
    <row r="463" ht="15" customHeight="1">
      <c r="A463" t="inlineStr">
        <is>
          <t>A 13752-2025</t>
        </is>
      </c>
      <c r="B463" s="1" t="n">
        <v>45737.41416666667</v>
      </c>
      <c r="C463" s="1" t="n">
        <v>46134</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57014-2025</t>
        </is>
      </c>
      <c r="B464" s="1" t="n">
        <v>45978</v>
      </c>
      <c r="C464" s="1" t="n">
        <v>46134</v>
      </c>
      <c r="D464" t="inlineStr">
        <is>
          <t>VÄSTMANLANDS LÄN</t>
        </is>
      </c>
      <c r="E464" t="inlineStr">
        <is>
          <t>SALA</t>
        </is>
      </c>
      <c r="G464" t="n">
        <v>2.2</v>
      </c>
      <c r="H464" t="n">
        <v>0</v>
      </c>
      <c r="I464" t="n">
        <v>0</v>
      </c>
      <c r="J464" t="n">
        <v>0</v>
      </c>
      <c r="K464" t="n">
        <v>0</v>
      </c>
      <c r="L464" t="n">
        <v>0</v>
      </c>
      <c r="M464" t="n">
        <v>0</v>
      </c>
      <c r="N464" t="n">
        <v>0</v>
      </c>
      <c r="O464" t="n">
        <v>0</v>
      </c>
      <c r="P464" t="n">
        <v>0</v>
      </c>
      <c r="Q464" t="n">
        <v>0</v>
      </c>
      <c r="R464" s="2" t="inlineStr"/>
    </row>
    <row r="465" ht="15" customHeight="1">
      <c r="A465" t="inlineStr">
        <is>
          <t>A 56502-2025</t>
        </is>
      </c>
      <c r="B465" s="1" t="n">
        <v>45975</v>
      </c>
      <c r="C465" s="1" t="n">
        <v>46134</v>
      </c>
      <c r="D465" t="inlineStr">
        <is>
          <t>VÄSTMANLANDS LÄN</t>
        </is>
      </c>
      <c r="E465" t="inlineStr">
        <is>
          <t>SALA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56593-2025</t>
        </is>
      </c>
      <c r="B466" s="1" t="n">
        <v>45975</v>
      </c>
      <c r="C466" s="1" t="n">
        <v>46134</v>
      </c>
      <c r="D466" t="inlineStr">
        <is>
          <t>VÄSTMANLANDS LÄN</t>
        </is>
      </c>
      <c r="E466" t="inlineStr">
        <is>
          <t>SALA</t>
        </is>
      </c>
      <c r="F466" t="inlineStr">
        <is>
          <t>Kyrkan</t>
        </is>
      </c>
      <c r="G466" t="n">
        <v>0.1</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46134</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7324-2026</t>
        </is>
      </c>
      <c r="B468" s="1" t="n">
        <v>46058.68023148148</v>
      </c>
      <c r="C468" s="1" t="n">
        <v>46134</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19398-2025</t>
        </is>
      </c>
      <c r="B469" s="1" t="n">
        <v>45769</v>
      </c>
      <c r="C469" s="1" t="n">
        <v>46134</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22921-2023</t>
        </is>
      </c>
      <c r="B470" s="1" t="n">
        <v>45070</v>
      </c>
      <c r="C470" s="1" t="n">
        <v>46134</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16133-2025</t>
        </is>
      </c>
      <c r="B471" s="1" t="n">
        <v>45750</v>
      </c>
      <c r="C471" s="1" t="n">
        <v>46134</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57412-2025</t>
        </is>
      </c>
      <c r="B472" s="1" t="n">
        <v>45980.44883101852</v>
      </c>
      <c r="C472" s="1" t="n">
        <v>46134</v>
      </c>
      <c r="D472" t="inlineStr">
        <is>
          <t>VÄSTMANLANDS LÄN</t>
        </is>
      </c>
      <c r="E472" t="inlineStr">
        <is>
          <t>SALA</t>
        </is>
      </c>
      <c r="F472" t="inlineStr">
        <is>
          <t>Bergvik skog öst AB</t>
        </is>
      </c>
      <c r="G472" t="n">
        <v>4.5</v>
      </c>
      <c r="H472" t="n">
        <v>0</v>
      </c>
      <c r="I472" t="n">
        <v>0</v>
      </c>
      <c r="J472" t="n">
        <v>0</v>
      </c>
      <c r="K472" t="n">
        <v>0</v>
      </c>
      <c r="L472" t="n">
        <v>0</v>
      </c>
      <c r="M472" t="n">
        <v>0</v>
      </c>
      <c r="N472" t="n">
        <v>0</v>
      </c>
      <c r="O472" t="n">
        <v>0</v>
      </c>
      <c r="P472" t="n">
        <v>0</v>
      </c>
      <c r="Q472" t="n">
        <v>0</v>
      </c>
      <c r="R472" s="2" t="inlineStr"/>
    </row>
    <row r="473" ht="15" customHeight="1">
      <c r="A473" t="inlineStr">
        <is>
          <t>A 57414-2025</t>
        </is>
      </c>
      <c r="B473" s="1" t="n">
        <v>45980.45003472222</v>
      </c>
      <c r="C473" s="1" t="n">
        <v>46134</v>
      </c>
      <c r="D473" t="inlineStr">
        <is>
          <t>VÄSTMANLANDS LÄN</t>
        </is>
      </c>
      <c r="E473" t="inlineStr">
        <is>
          <t>SALA</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57415-2025</t>
        </is>
      </c>
      <c r="B474" s="1" t="n">
        <v>45980.45099537037</v>
      </c>
      <c r="C474" s="1" t="n">
        <v>46134</v>
      </c>
      <c r="D474" t="inlineStr">
        <is>
          <t>VÄSTMANLANDS LÄN</t>
        </is>
      </c>
      <c r="E474" t="inlineStr">
        <is>
          <t>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6127-2025</t>
        </is>
      </c>
      <c r="B475" s="1" t="n">
        <v>45698</v>
      </c>
      <c r="C475" s="1" t="n">
        <v>46134</v>
      </c>
      <c r="D475" t="inlineStr">
        <is>
          <t>VÄSTMANLANDS LÄN</t>
        </is>
      </c>
      <c r="E475" t="inlineStr">
        <is>
          <t>SALA</t>
        </is>
      </c>
      <c r="F475" t="inlineStr">
        <is>
          <t>Bergvik skog öst AB</t>
        </is>
      </c>
      <c r="G475" t="n">
        <v>4.3</v>
      </c>
      <c r="H475" t="n">
        <v>0</v>
      </c>
      <c r="I475" t="n">
        <v>0</v>
      </c>
      <c r="J475" t="n">
        <v>0</v>
      </c>
      <c r="K475" t="n">
        <v>0</v>
      </c>
      <c r="L475" t="n">
        <v>0</v>
      </c>
      <c r="M475" t="n">
        <v>0</v>
      </c>
      <c r="N475" t="n">
        <v>0</v>
      </c>
      <c r="O475" t="n">
        <v>0</v>
      </c>
      <c r="P475" t="n">
        <v>0</v>
      </c>
      <c r="Q475" t="n">
        <v>0</v>
      </c>
      <c r="R475" s="2" t="inlineStr"/>
    </row>
    <row r="476" ht="15" customHeight="1">
      <c r="A476" t="inlineStr">
        <is>
          <t>A 15272-2025</t>
        </is>
      </c>
      <c r="B476" s="1" t="n">
        <v>45744</v>
      </c>
      <c r="C476" s="1" t="n">
        <v>46134</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24248-2023</t>
        </is>
      </c>
      <c r="B477" s="1" t="n">
        <v>45079</v>
      </c>
      <c r="C477" s="1" t="n">
        <v>46134</v>
      </c>
      <c r="D477" t="inlineStr">
        <is>
          <t>VÄSTMANLANDS LÄN</t>
        </is>
      </c>
      <c r="E477" t="inlineStr">
        <is>
          <t>SALA</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14481-2026</t>
        </is>
      </c>
      <c r="B478" s="1" t="n">
        <v>46100.58707175926</v>
      </c>
      <c r="C478" s="1" t="n">
        <v>46134</v>
      </c>
      <c r="D478" t="inlineStr">
        <is>
          <t>VÄSTMANLANDS LÄN</t>
        </is>
      </c>
      <c r="E478" t="inlineStr">
        <is>
          <t>SALA</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14482-2026</t>
        </is>
      </c>
      <c r="B479" s="1" t="n">
        <v>46100.588125</v>
      </c>
      <c r="C479" s="1" t="n">
        <v>46134</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14484-2026</t>
        </is>
      </c>
      <c r="B480" s="1" t="n">
        <v>46100.5887962963</v>
      </c>
      <c r="C480" s="1" t="n">
        <v>46134</v>
      </c>
      <c r="D480" t="inlineStr">
        <is>
          <t>VÄSTMANLANDS LÄN</t>
        </is>
      </c>
      <c r="E480" t="inlineStr">
        <is>
          <t>SALA</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38195-2021</t>
        </is>
      </c>
      <c r="B481" s="1" t="n">
        <v>44405</v>
      </c>
      <c r="C481" s="1" t="n">
        <v>46134</v>
      </c>
      <c r="D481" t="inlineStr">
        <is>
          <t>VÄSTMANLANDS LÄN</t>
        </is>
      </c>
      <c r="E481" t="inlineStr">
        <is>
          <t>SALA</t>
        </is>
      </c>
      <c r="F481" t="inlineStr">
        <is>
          <t>Sveaskog</t>
        </is>
      </c>
      <c r="G481" t="n">
        <v>1</v>
      </c>
      <c r="H481" t="n">
        <v>0</v>
      </c>
      <c r="I481" t="n">
        <v>0</v>
      </c>
      <c r="J481" t="n">
        <v>0</v>
      </c>
      <c r="K481" t="n">
        <v>0</v>
      </c>
      <c r="L481" t="n">
        <v>0</v>
      </c>
      <c r="M481" t="n">
        <v>0</v>
      </c>
      <c r="N481" t="n">
        <v>0</v>
      </c>
      <c r="O481" t="n">
        <v>0</v>
      </c>
      <c r="P481" t="n">
        <v>0</v>
      </c>
      <c r="Q481" t="n">
        <v>0</v>
      </c>
      <c r="R481" s="2" t="inlineStr"/>
    </row>
    <row r="482" ht="15" customHeight="1">
      <c r="A482" t="inlineStr">
        <is>
          <t>A 27228-2023</t>
        </is>
      </c>
      <c r="B482" s="1" t="n">
        <v>45096.59189814814</v>
      </c>
      <c r="C482" s="1" t="n">
        <v>46134</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7329-2026</t>
        </is>
      </c>
      <c r="B483" s="1" t="n">
        <v>46058.68678240741</v>
      </c>
      <c r="C483" s="1" t="n">
        <v>46134</v>
      </c>
      <c r="D483" t="inlineStr">
        <is>
          <t>VÄSTMANLANDS LÄN</t>
        </is>
      </c>
      <c r="E483" t="inlineStr">
        <is>
          <t>SALA</t>
        </is>
      </c>
      <c r="G483" t="n">
        <v>3.1</v>
      </c>
      <c r="H483" t="n">
        <v>0</v>
      </c>
      <c r="I483" t="n">
        <v>0</v>
      </c>
      <c r="J483" t="n">
        <v>0</v>
      </c>
      <c r="K483" t="n">
        <v>0</v>
      </c>
      <c r="L483" t="n">
        <v>0</v>
      </c>
      <c r="M483" t="n">
        <v>0</v>
      </c>
      <c r="N483" t="n">
        <v>0</v>
      </c>
      <c r="O483" t="n">
        <v>0</v>
      </c>
      <c r="P483" t="n">
        <v>0</v>
      </c>
      <c r="Q483" t="n">
        <v>0</v>
      </c>
      <c r="R483" s="2" t="inlineStr"/>
    </row>
    <row r="484" ht="15" customHeight="1">
      <c r="A484" t="inlineStr">
        <is>
          <t>A 58357-2025</t>
        </is>
      </c>
      <c r="B484" s="1" t="n">
        <v>45985.51518518518</v>
      </c>
      <c r="C484" s="1" t="n">
        <v>46134</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55760-2025</t>
        </is>
      </c>
      <c r="B485" s="1" t="n">
        <v>45972</v>
      </c>
      <c r="C485" s="1" t="n">
        <v>46134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58365-2025</t>
        </is>
      </c>
      <c r="B486" s="1" t="n">
        <v>45985.52288194445</v>
      </c>
      <c r="C486" s="1" t="n">
        <v>46134</v>
      </c>
      <c r="D486" t="inlineStr">
        <is>
          <t>VÄSTMANLANDS LÄN</t>
        </is>
      </c>
      <c r="E486" t="inlineStr">
        <is>
          <t>SALA</t>
        </is>
      </c>
      <c r="G486" t="n">
        <v>3.9</v>
      </c>
      <c r="H486" t="n">
        <v>0</v>
      </c>
      <c r="I486" t="n">
        <v>0</v>
      </c>
      <c r="J486" t="n">
        <v>0</v>
      </c>
      <c r="K486" t="n">
        <v>0</v>
      </c>
      <c r="L486" t="n">
        <v>0</v>
      </c>
      <c r="M486" t="n">
        <v>0</v>
      </c>
      <c r="N486" t="n">
        <v>0</v>
      </c>
      <c r="O486" t="n">
        <v>0</v>
      </c>
      <c r="P486" t="n">
        <v>0</v>
      </c>
      <c r="Q486" t="n">
        <v>0</v>
      </c>
      <c r="R486" s="2" t="inlineStr"/>
    </row>
    <row r="487" ht="15" customHeight="1">
      <c r="A487" t="inlineStr">
        <is>
          <t>A 53838-2022</t>
        </is>
      </c>
      <c r="B487" s="1" t="n">
        <v>44880.59363425926</v>
      </c>
      <c r="C487" s="1" t="n">
        <v>46134</v>
      </c>
      <c r="D487" t="inlineStr">
        <is>
          <t>VÄSTMANLANDS LÄN</t>
        </is>
      </c>
      <c r="E487" t="inlineStr">
        <is>
          <t>SALA</t>
        </is>
      </c>
      <c r="G487" t="n">
        <v>3.9</v>
      </c>
      <c r="H487" t="n">
        <v>0</v>
      </c>
      <c r="I487" t="n">
        <v>0</v>
      </c>
      <c r="J487" t="n">
        <v>0</v>
      </c>
      <c r="K487" t="n">
        <v>0</v>
      </c>
      <c r="L487" t="n">
        <v>0</v>
      </c>
      <c r="M487" t="n">
        <v>0</v>
      </c>
      <c r="N487" t="n">
        <v>0</v>
      </c>
      <c r="O487" t="n">
        <v>0</v>
      </c>
      <c r="P487" t="n">
        <v>0</v>
      </c>
      <c r="Q487" t="n">
        <v>0</v>
      </c>
      <c r="R487" s="2" t="inlineStr"/>
    </row>
    <row r="488" ht="15" customHeight="1">
      <c r="A488" t="inlineStr">
        <is>
          <t>A 58282-2025</t>
        </is>
      </c>
      <c r="B488" s="1" t="n">
        <v>45985.44309027777</v>
      </c>
      <c r="C488" s="1" t="n">
        <v>46134</v>
      </c>
      <c r="D488" t="inlineStr">
        <is>
          <t>VÄSTMANLANDS LÄN</t>
        </is>
      </c>
      <c r="E488" t="inlineStr">
        <is>
          <t>SALA</t>
        </is>
      </c>
      <c r="G488" t="n">
        <v>8.9</v>
      </c>
      <c r="H488" t="n">
        <v>0</v>
      </c>
      <c r="I488" t="n">
        <v>0</v>
      </c>
      <c r="J488" t="n">
        <v>0</v>
      </c>
      <c r="K488" t="n">
        <v>0</v>
      </c>
      <c r="L488" t="n">
        <v>0</v>
      </c>
      <c r="M488" t="n">
        <v>0</v>
      </c>
      <c r="N488" t="n">
        <v>0</v>
      </c>
      <c r="O488" t="n">
        <v>0</v>
      </c>
      <c r="P488" t="n">
        <v>0</v>
      </c>
      <c r="Q488" t="n">
        <v>0</v>
      </c>
      <c r="R488" s="2" t="inlineStr"/>
    </row>
    <row r="489" ht="15" customHeight="1">
      <c r="A489" t="inlineStr">
        <is>
          <t>A 58359-2025</t>
        </is>
      </c>
      <c r="B489" s="1" t="n">
        <v>45985.51594907408</v>
      </c>
      <c r="C489" s="1" t="n">
        <v>46134</v>
      </c>
      <c r="D489" t="inlineStr">
        <is>
          <t>VÄSTMANLANDS LÄN</t>
        </is>
      </c>
      <c r="E489" t="inlineStr">
        <is>
          <t>SALA</t>
        </is>
      </c>
      <c r="G489" t="n">
        <v>3.7</v>
      </c>
      <c r="H489" t="n">
        <v>0</v>
      </c>
      <c r="I489" t="n">
        <v>0</v>
      </c>
      <c r="J489" t="n">
        <v>0</v>
      </c>
      <c r="K489" t="n">
        <v>0</v>
      </c>
      <c r="L489" t="n">
        <v>0</v>
      </c>
      <c r="M489" t="n">
        <v>0</v>
      </c>
      <c r="N489" t="n">
        <v>0</v>
      </c>
      <c r="O489" t="n">
        <v>0</v>
      </c>
      <c r="P489" t="n">
        <v>0</v>
      </c>
      <c r="Q489" t="n">
        <v>0</v>
      </c>
      <c r="R489" s="2" t="inlineStr"/>
    </row>
    <row r="490" ht="15" customHeight="1">
      <c r="A490" t="inlineStr">
        <is>
          <t>A 58364-2025</t>
        </is>
      </c>
      <c r="B490" s="1" t="n">
        <v>45985.5228125</v>
      </c>
      <c r="C490" s="1" t="n">
        <v>46134</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7850-2026</t>
        </is>
      </c>
      <c r="B491" s="1" t="n">
        <v>46062.66236111111</v>
      </c>
      <c r="C491" s="1" t="n">
        <v>46134</v>
      </c>
      <c r="D491" t="inlineStr">
        <is>
          <t>VÄSTMANLANDS LÄN</t>
        </is>
      </c>
      <c r="E491" t="inlineStr">
        <is>
          <t>SALA</t>
        </is>
      </c>
      <c r="G491" t="n">
        <v>2.3</v>
      </c>
      <c r="H491" t="n">
        <v>0</v>
      </c>
      <c r="I491" t="n">
        <v>0</v>
      </c>
      <c r="J491" t="n">
        <v>0</v>
      </c>
      <c r="K491" t="n">
        <v>0</v>
      </c>
      <c r="L491" t="n">
        <v>0</v>
      </c>
      <c r="M491" t="n">
        <v>0</v>
      </c>
      <c r="N491" t="n">
        <v>0</v>
      </c>
      <c r="O491" t="n">
        <v>0</v>
      </c>
      <c r="P491" t="n">
        <v>0</v>
      </c>
      <c r="Q491" t="n">
        <v>0</v>
      </c>
      <c r="R491" s="2" t="inlineStr"/>
    </row>
    <row r="492" ht="15" customHeight="1">
      <c r="A492" t="inlineStr">
        <is>
          <t>A 51247-2025</t>
        </is>
      </c>
      <c r="B492" s="1" t="n">
        <v>45947.86487268518</v>
      </c>
      <c r="C492" s="1" t="n">
        <v>46134</v>
      </c>
      <c r="D492" t="inlineStr">
        <is>
          <t>VÄSTMANLANDS LÄN</t>
        </is>
      </c>
      <c r="E492" t="inlineStr">
        <is>
          <t>SALA</t>
        </is>
      </c>
      <c r="G492" t="n">
        <v>10.4</v>
      </c>
      <c r="H492" t="n">
        <v>0</v>
      </c>
      <c r="I492" t="n">
        <v>0</v>
      </c>
      <c r="J492" t="n">
        <v>0</v>
      </c>
      <c r="K492" t="n">
        <v>0</v>
      </c>
      <c r="L492" t="n">
        <v>0</v>
      </c>
      <c r="M492" t="n">
        <v>0</v>
      </c>
      <c r="N492" t="n">
        <v>0</v>
      </c>
      <c r="O492" t="n">
        <v>0</v>
      </c>
      <c r="P492" t="n">
        <v>0</v>
      </c>
      <c r="Q492" t="n">
        <v>0</v>
      </c>
      <c r="R492" s="2" t="inlineStr"/>
    </row>
    <row r="493" ht="15" customHeight="1">
      <c r="A493" t="inlineStr">
        <is>
          <t>A 7654-2026</t>
        </is>
      </c>
      <c r="B493" s="1" t="n">
        <v>46062.38828703704</v>
      </c>
      <c r="C493" s="1" t="n">
        <v>46134</v>
      </c>
      <c r="D493" t="inlineStr">
        <is>
          <t>VÄSTMANLANDS LÄN</t>
        </is>
      </c>
      <c r="E493" t="inlineStr">
        <is>
          <t>SALA</t>
        </is>
      </c>
      <c r="G493" t="n">
        <v>4.5</v>
      </c>
      <c r="H493" t="n">
        <v>0</v>
      </c>
      <c r="I493" t="n">
        <v>0</v>
      </c>
      <c r="J493" t="n">
        <v>0</v>
      </c>
      <c r="K493" t="n">
        <v>0</v>
      </c>
      <c r="L493" t="n">
        <v>0</v>
      </c>
      <c r="M493" t="n">
        <v>0</v>
      </c>
      <c r="N493" t="n">
        <v>0</v>
      </c>
      <c r="O493" t="n">
        <v>0</v>
      </c>
      <c r="P493" t="n">
        <v>0</v>
      </c>
      <c r="Q493" t="n">
        <v>0</v>
      </c>
      <c r="R493" s="2" t="inlineStr"/>
    </row>
    <row r="494" ht="15" customHeight="1">
      <c r="A494" t="inlineStr">
        <is>
          <t>A 7597-2026</t>
        </is>
      </c>
      <c r="B494" s="1" t="n">
        <v>46061.91765046296</v>
      </c>
      <c r="C494" s="1" t="n">
        <v>46134</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11617-2026</t>
        </is>
      </c>
      <c r="B495" s="1" t="n">
        <v>46084</v>
      </c>
      <c r="C495" s="1" t="n">
        <v>46134</v>
      </c>
      <c r="D495" t="inlineStr">
        <is>
          <t>VÄSTMANLANDS LÄN</t>
        </is>
      </c>
      <c r="E495" t="inlineStr">
        <is>
          <t>SALA</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7611-2026</t>
        </is>
      </c>
      <c r="B496" s="1" t="n">
        <v>46062.32387731481</v>
      </c>
      <c r="C496" s="1" t="n">
        <v>46134</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7676-2026</t>
        </is>
      </c>
      <c r="B497" s="1" t="n">
        <v>46062.42498842593</v>
      </c>
      <c r="C497" s="1" t="n">
        <v>46134</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7680-2026</t>
        </is>
      </c>
      <c r="B498" s="1" t="n">
        <v>46062.43087962963</v>
      </c>
      <c r="C498" s="1" t="n">
        <v>46134</v>
      </c>
      <c r="D498" t="inlineStr">
        <is>
          <t>VÄSTMANLANDS LÄN</t>
        </is>
      </c>
      <c r="E498" t="inlineStr">
        <is>
          <t>SALA</t>
        </is>
      </c>
      <c r="G498" t="n">
        <v>2.7</v>
      </c>
      <c r="H498" t="n">
        <v>0</v>
      </c>
      <c r="I498" t="n">
        <v>0</v>
      </c>
      <c r="J498" t="n">
        <v>0</v>
      </c>
      <c r="K498" t="n">
        <v>0</v>
      </c>
      <c r="L498" t="n">
        <v>0</v>
      </c>
      <c r="M498" t="n">
        <v>0</v>
      </c>
      <c r="N498" t="n">
        <v>0</v>
      </c>
      <c r="O498" t="n">
        <v>0</v>
      </c>
      <c r="P498" t="n">
        <v>0</v>
      </c>
      <c r="Q498" t="n">
        <v>0</v>
      </c>
      <c r="R498" s="2" t="inlineStr"/>
    </row>
    <row r="499" ht="15" customHeight="1">
      <c r="A499" t="inlineStr">
        <is>
          <t>A 7584-2026</t>
        </is>
      </c>
      <c r="B499" s="1" t="n">
        <v>46061.81653935185</v>
      </c>
      <c r="C499" s="1" t="n">
        <v>46134</v>
      </c>
      <c r="D499" t="inlineStr">
        <is>
          <t>VÄSTMANLANDS LÄN</t>
        </is>
      </c>
      <c r="E499" t="inlineStr">
        <is>
          <t>SALA</t>
        </is>
      </c>
      <c r="G499" t="n">
        <v>16.7</v>
      </c>
      <c r="H499" t="n">
        <v>0</v>
      </c>
      <c r="I499" t="n">
        <v>0</v>
      </c>
      <c r="J499" t="n">
        <v>0</v>
      </c>
      <c r="K499" t="n">
        <v>0</v>
      </c>
      <c r="L499" t="n">
        <v>0</v>
      </c>
      <c r="M499" t="n">
        <v>0</v>
      </c>
      <c r="N499" t="n">
        <v>0</v>
      </c>
      <c r="O499" t="n">
        <v>0</v>
      </c>
      <c r="P499" t="n">
        <v>0</v>
      </c>
      <c r="Q499" t="n">
        <v>0</v>
      </c>
      <c r="R499" s="2" t="inlineStr"/>
    </row>
    <row r="500" ht="15" customHeight="1">
      <c r="A500" t="inlineStr">
        <is>
          <t>A 7590-2026</t>
        </is>
      </c>
      <c r="B500" s="1" t="n">
        <v>46061.85252314815</v>
      </c>
      <c r="C500" s="1" t="n">
        <v>46134</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7596-2026</t>
        </is>
      </c>
      <c r="B501" s="1" t="n">
        <v>46061.90922453703</v>
      </c>
      <c r="C501" s="1" t="n">
        <v>46134</v>
      </c>
      <c r="D501" t="inlineStr">
        <is>
          <t>VÄSTMANLANDS LÄN</t>
        </is>
      </c>
      <c r="E501" t="inlineStr">
        <is>
          <t>SALA</t>
        </is>
      </c>
      <c r="G501" t="n">
        <v>3.1</v>
      </c>
      <c r="H501" t="n">
        <v>0</v>
      </c>
      <c r="I501" t="n">
        <v>0</v>
      </c>
      <c r="J501" t="n">
        <v>0</v>
      </c>
      <c r="K501" t="n">
        <v>0</v>
      </c>
      <c r="L501" t="n">
        <v>0</v>
      </c>
      <c r="M501" t="n">
        <v>0</v>
      </c>
      <c r="N501" t="n">
        <v>0</v>
      </c>
      <c r="O501" t="n">
        <v>0</v>
      </c>
      <c r="P501" t="n">
        <v>0</v>
      </c>
      <c r="Q501" t="n">
        <v>0</v>
      </c>
      <c r="R501" s="2" t="inlineStr"/>
    </row>
    <row r="502" ht="15" customHeight="1">
      <c r="A502" t="inlineStr">
        <is>
          <t>A 25260-2023</t>
        </is>
      </c>
      <c r="B502" s="1" t="n">
        <v>45086</v>
      </c>
      <c r="C502" s="1" t="n">
        <v>46134</v>
      </c>
      <c r="D502" t="inlineStr">
        <is>
          <t>VÄSTMANLANDS LÄN</t>
        </is>
      </c>
      <c r="E502" t="inlineStr">
        <is>
          <t>SALA</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7661-2026</t>
        </is>
      </c>
      <c r="B503" s="1" t="n">
        <v>46062.39614583334</v>
      </c>
      <c r="C503" s="1" t="n">
        <v>46134</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59817-2025</t>
        </is>
      </c>
      <c r="B504" s="1" t="n">
        <v>45992.63711805556</v>
      </c>
      <c r="C504" s="1" t="n">
        <v>46134</v>
      </c>
      <c r="D504" t="inlineStr">
        <is>
          <t>VÄSTMANLANDS LÄN</t>
        </is>
      </c>
      <c r="E504" t="inlineStr">
        <is>
          <t>SALA</t>
        </is>
      </c>
      <c r="G504" t="n">
        <v>6.9</v>
      </c>
      <c r="H504" t="n">
        <v>0</v>
      </c>
      <c r="I504" t="n">
        <v>0</v>
      </c>
      <c r="J504" t="n">
        <v>0</v>
      </c>
      <c r="K504" t="n">
        <v>0</v>
      </c>
      <c r="L504" t="n">
        <v>0</v>
      </c>
      <c r="M504" t="n">
        <v>0</v>
      </c>
      <c r="N504" t="n">
        <v>0</v>
      </c>
      <c r="O504" t="n">
        <v>0</v>
      </c>
      <c r="P504" t="n">
        <v>0</v>
      </c>
      <c r="Q504" t="n">
        <v>0</v>
      </c>
      <c r="R504" s="2" t="inlineStr"/>
    </row>
    <row r="505" ht="15" customHeight="1">
      <c r="A505" t="inlineStr">
        <is>
          <t>A 7588-2026</t>
        </is>
      </c>
      <c r="B505" s="1" t="n">
        <v>46061.83528935185</v>
      </c>
      <c r="C505" s="1" t="n">
        <v>46134</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59390-2025</t>
        </is>
      </c>
      <c r="B506" s="1" t="n">
        <v>45989.4640162037</v>
      </c>
      <c r="C506" s="1" t="n">
        <v>46134</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16769-2024</t>
        </is>
      </c>
      <c r="B507" s="1" t="n">
        <v>45411.38738425926</v>
      </c>
      <c r="C507" s="1" t="n">
        <v>46134</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59385-2025</t>
        </is>
      </c>
      <c r="B508" s="1" t="n">
        <v>45989.45746527778</v>
      </c>
      <c r="C508" s="1" t="n">
        <v>46134</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7595-2026</t>
        </is>
      </c>
      <c r="B509" s="1" t="n">
        <v>46061.90009259259</v>
      </c>
      <c r="C509" s="1" t="n">
        <v>46134</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7593-2026</t>
        </is>
      </c>
      <c r="B510" s="1" t="n">
        <v>46061.88057870371</v>
      </c>
      <c r="C510" s="1" t="n">
        <v>46134</v>
      </c>
      <c r="D510" t="inlineStr">
        <is>
          <t>VÄSTMANLANDS LÄN</t>
        </is>
      </c>
      <c r="E510" t="inlineStr">
        <is>
          <t>SALA</t>
        </is>
      </c>
      <c r="G510" t="n">
        <v>7.5</v>
      </c>
      <c r="H510" t="n">
        <v>0</v>
      </c>
      <c r="I510" t="n">
        <v>0</v>
      </c>
      <c r="J510" t="n">
        <v>0</v>
      </c>
      <c r="K510" t="n">
        <v>0</v>
      </c>
      <c r="L510" t="n">
        <v>0</v>
      </c>
      <c r="M510" t="n">
        <v>0</v>
      </c>
      <c r="N510" t="n">
        <v>0</v>
      </c>
      <c r="O510" t="n">
        <v>0</v>
      </c>
      <c r="P510" t="n">
        <v>0</v>
      </c>
      <c r="Q510" t="n">
        <v>0</v>
      </c>
      <c r="R510" s="2" t="inlineStr"/>
    </row>
    <row r="511" ht="15" customHeight="1">
      <c r="A511" t="inlineStr">
        <is>
          <t>A 60017-2025</t>
        </is>
      </c>
      <c r="B511" s="1" t="n">
        <v>45993.59998842593</v>
      </c>
      <c r="C511" s="1" t="n">
        <v>46134</v>
      </c>
      <c r="D511" t="inlineStr">
        <is>
          <t>VÄSTMANLANDS LÄN</t>
        </is>
      </c>
      <c r="E511" t="inlineStr">
        <is>
          <t>SALA</t>
        </is>
      </c>
      <c r="G511" t="n">
        <v>4.4</v>
      </c>
      <c r="H511" t="n">
        <v>0</v>
      </c>
      <c r="I511" t="n">
        <v>0</v>
      </c>
      <c r="J511" t="n">
        <v>0</v>
      </c>
      <c r="K511" t="n">
        <v>0</v>
      </c>
      <c r="L511" t="n">
        <v>0</v>
      </c>
      <c r="M511" t="n">
        <v>0</v>
      </c>
      <c r="N511" t="n">
        <v>0</v>
      </c>
      <c r="O511" t="n">
        <v>0</v>
      </c>
      <c r="P511" t="n">
        <v>0</v>
      </c>
      <c r="Q511" t="n">
        <v>0</v>
      </c>
      <c r="R511" s="2" t="inlineStr"/>
    </row>
    <row r="512" ht="15" customHeight="1">
      <c r="A512" t="inlineStr">
        <is>
          <t>A 60249-2023</t>
        </is>
      </c>
      <c r="B512" s="1" t="n">
        <v>45258</v>
      </c>
      <c r="C512" s="1" t="n">
        <v>46134</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14271-2025</t>
        </is>
      </c>
      <c r="B513" s="1" t="n">
        <v>45740.64129629629</v>
      </c>
      <c r="C513" s="1" t="n">
        <v>46134</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69232-2021</t>
        </is>
      </c>
      <c r="B514" s="1" t="n">
        <v>44531.39696759259</v>
      </c>
      <c r="C514" s="1" t="n">
        <v>46134</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60258-2025</t>
        </is>
      </c>
      <c r="B515" s="1" t="n">
        <v>45994.6064699074</v>
      </c>
      <c r="C515" s="1" t="n">
        <v>46134</v>
      </c>
      <c r="D515" t="inlineStr">
        <is>
          <t>VÄSTMANLANDS LÄN</t>
        </is>
      </c>
      <c r="E515" t="inlineStr">
        <is>
          <t>SALA</t>
        </is>
      </c>
      <c r="G515" t="n">
        <v>2.2</v>
      </c>
      <c r="H515" t="n">
        <v>0</v>
      </c>
      <c r="I515" t="n">
        <v>0</v>
      </c>
      <c r="J515" t="n">
        <v>0</v>
      </c>
      <c r="K515" t="n">
        <v>0</v>
      </c>
      <c r="L515" t="n">
        <v>0</v>
      </c>
      <c r="M515" t="n">
        <v>0</v>
      </c>
      <c r="N515" t="n">
        <v>0</v>
      </c>
      <c r="O515" t="n">
        <v>0</v>
      </c>
      <c r="P515" t="n">
        <v>0</v>
      </c>
      <c r="Q515" t="n">
        <v>0</v>
      </c>
      <c r="R515" s="2" t="inlineStr"/>
    </row>
    <row r="516" ht="15" customHeight="1">
      <c r="A516" t="inlineStr">
        <is>
          <t>A 60241-2025</t>
        </is>
      </c>
      <c r="B516" s="1" t="n">
        <v>45994.58454861111</v>
      </c>
      <c r="C516" s="1" t="n">
        <v>46134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59870-2025</t>
        </is>
      </c>
      <c r="B517" s="1" t="n">
        <v>45992.92226851852</v>
      </c>
      <c r="C517" s="1" t="n">
        <v>46134</v>
      </c>
      <c r="D517" t="inlineStr">
        <is>
          <t>VÄSTMANLANDS LÄN</t>
        </is>
      </c>
      <c r="E517" t="inlineStr">
        <is>
          <t>SALA</t>
        </is>
      </c>
      <c r="G517" t="n">
        <v>3.4</v>
      </c>
      <c r="H517" t="n">
        <v>0</v>
      </c>
      <c r="I517" t="n">
        <v>0</v>
      </c>
      <c r="J517" t="n">
        <v>0</v>
      </c>
      <c r="K517" t="n">
        <v>0</v>
      </c>
      <c r="L517" t="n">
        <v>0</v>
      </c>
      <c r="M517" t="n">
        <v>0</v>
      </c>
      <c r="N517" t="n">
        <v>0</v>
      </c>
      <c r="O517" t="n">
        <v>0</v>
      </c>
      <c r="P517" t="n">
        <v>0</v>
      </c>
      <c r="Q517" t="n">
        <v>0</v>
      </c>
      <c r="R517" s="2" t="inlineStr"/>
    </row>
    <row r="518" ht="15" customHeight="1">
      <c r="A518" t="inlineStr">
        <is>
          <t>A 60259-2025</t>
        </is>
      </c>
      <c r="B518" s="1" t="n">
        <v>45994.60913194445</v>
      </c>
      <c r="C518" s="1" t="n">
        <v>46134</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60246-2025</t>
        </is>
      </c>
      <c r="B519" s="1" t="n">
        <v>45994.58931712963</v>
      </c>
      <c r="C519" s="1" t="n">
        <v>46134</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60254-2025</t>
        </is>
      </c>
      <c r="B520" s="1" t="n">
        <v>45994.60146990741</v>
      </c>
      <c r="C520" s="1" t="n">
        <v>46134</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59926-2025</t>
        </is>
      </c>
      <c r="B521" s="1" t="n">
        <v>45993.39221064815</v>
      </c>
      <c r="C521" s="1" t="n">
        <v>46134</v>
      </c>
      <c r="D521" t="inlineStr">
        <is>
          <t>VÄSTMANLANDS LÄN</t>
        </is>
      </c>
      <c r="E521" t="inlineStr">
        <is>
          <t>SALA</t>
        </is>
      </c>
      <c r="G521" t="n">
        <v>7.1</v>
      </c>
      <c r="H521" t="n">
        <v>0</v>
      </c>
      <c r="I521" t="n">
        <v>0</v>
      </c>
      <c r="J521" t="n">
        <v>0</v>
      </c>
      <c r="K521" t="n">
        <v>0</v>
      </c>
      <c r="L521" t="n">
        <v>0</v>
      </c>
      <c r="M521" t="n">
        <v>0</v>
      </c>
      <c r="N521" t="n">
        <v>0</v>
      </c>
      <c r="O521" t="n">
        <v>0</v>
      </c>
      <c r="P521" t="n">
        <v>0</v>
      </c>
      <c r="Q521" t="n">
        <v>0</v>
      </c>
      <c r="R521" s="2" t="inlineStr"/>
    </row>
    <row r="522" ht="15" customHeight="1">
      <c r="A522" t="inlineStr">
        <is>
          <t>A 28328-2023</t>
        </is>
      </c>
      <c r="B522" s="1" t="n">
        <v>45099.71063657408</v>
      </c>
      <c r="C522" s="1" t="n">
        <v>46134</v>
      </c>
      <c r="D522" t="inlineStr">
        <is>
          <t>VÄSTMANLANDS LÄN</t>
        </is>
      </c>
      <c r="E522" t="inlineStr">
        <is>
          <t>SALA</t>
        </is>
      </c>
      <c r="G522" t="n">
        <v>1.8</v>
      </c>
      <c r="H522" t="n">
        <v>0</v>
      </c>
      <c r="I522" t="n">
        <v>0</v>
      </c>
      <c r="J522" t="n">
        <v>0</v>
      </c>
      <c r="K522" t="n">
        <v>0</v>
      </c>
      <c r="L522" t="n">
        <v>0</v>
      </c>
      <c r="M522" t="n">
        <v>0</v>
      </c>
      <c r="N522" t="n">
        <v>0</v>
      </c>
      <c r="O522" t="n">
        <v>0</v>
      </c>
      <c r="P522" t="n">
        <v>0</v>
      </c>
      <c r="Q522" t="n">
        <v>0</v>
      </c>
      <c r="R522" s="2" t="inlineStr"/>
    </row>
    <row r="523" ht="15" customHeight="1">
      <c r="A523" t="inlineStr">
        <is>
          <t>A 40085-2024</t>
        </is>
      </c>
      <c r="B523" s="1" t="n">
        <v>45554</v>
      </c>
      <c r="C523" s="1" t="n">
        <v>46134</v>
      </c>
      <c r="D523" t="inlineStr">
        <is>
          <t>VÄSTMANLANDS LÄN</t>
        </is>
      </c>
      <c r="E523" t="inlineStr">
        <is>
          <t>SALA</t>
        </is>
      </c>
      <c r="G523" t="n">
        <v>2.8</v>
      </c>
      <c r="H523" t="n">
        <v>0</v>
      </c>
      <c r="I523" t="n">
        <v>0</v>
      </c>
      <c r="J523" t="n">
        <v>0</v>
      </c>
      <c r="K523" t="n">
        <v>0</v>
      </c>
      <c r="L523" t="n">
        <v>0</v>
      </c>
      <c r="M523" t="n">
        <v>0</v>
      </c>
      <c r="N523" t="n">
        <v>0</v>
      </c>
      <c r="O523" t="n">
        <v>0</v>
      </c>
      <c r="P523" t="n">
        <v>0</v>
      </c>
      <c r="Q523" t="n">
        <v>0</v>
      </c>
      <c r="R523" s="2" t="inlineStr"/>
    </row>
    <row r="524" ht="15" customHeight="1">
      <c r="A524" t="inlineStr">
        <is>
          <t>A 60629-2025</t>
        </is>
      </c>
      <c r="B524" s="1" t="n">
        <v>45996.41972222222</v>
      </c>
      <c r="C524" s="1" t="n">
        <v>46134</v>
      </c>
      <c r="D524" t="inlineStr">
        <is>
          <t>VÄSTMANLANDS LÄN</t>
        </is>
      </c>
      <c r="E524" t="inlineStr">
        <is>
          <t>SALA</t>
        </is>
      </c>
      <c r="G524" t="n">
        <v>4.3</v>
      </c>
      <c r="H524" t="n">
        <v>0</v>
      </c>
      <c r="I524" t="n">
        <v>0</v>
      </c>
      <c r="J524" t="n">
        <v>0</v>
      </c>
      <c r="K524" t="n">
        <v>0</v>
      </c>
      <c r="L524" t="n">
        <v>0</v>
      </c>
      <c r="M524" t="n">
        <v>0</v>
      </c>
      <c r="N524" t="n">
        <v>0</v>
      </c>
      <c r="O524" t="n">
        <v>0</v>
      </c>
      <c r="P524" t="n">
        <v>0</v>
      </c>
      <c r="Q524" t="n">
        <v>0</v>
      </c>
      <c r="R524" s="2" t="inlineStr"/>
    </row>
    <row r="525" ht="15" customHeight="1">
      <c r="A525" t="inlineStr">
        <is>
          <t>A 18158-2025</t>
        </is>
      </c>
      <c r="B525" s="1" t="n">
        <v>45761</v>
      </c>
      <c r="C525" s="1" t="n">
        <v>46134</v>
      </c>
      <c r="D525" t="inlineStr">
        <is>
          <t>VÄSTMANLANDS LÄN</t>
        </is>
      </c>
      <c r="E525" t="inlineStr">
        <is>
          <t>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49661-2024</t>
        </is>
      </c>
      <c r="B526" s="1" t="n">
        <v>45596</v>
      </c>
      <c r="C526" s="1" t="n">
        <v>46134</v>
      </c>
      <c r="D526" t="inlineStr">
        <is>
          <t>VÄSTMANLANDS LÄN</t>
        </is>
      </c>
      <c r="E526" t="inlineStr">
        <is>
          <t>SALA</t>
        </is>
      </c>
      <c r="G526" t="n">
        <v>6.7</v>
      </c>
      <c r="H526" t="n">
        <v>0</v>
      </c>
      <c r="I526" t="n">
        <v>0</v>
      </c>
      <c r="J526" t="n">
        <v>0</v>
      </c>
      <c r="K526" t="n">
        <v>0</v>
      </c>
      <c r="L526" t="n">
        <v>0</v>
      </c>
      <c r="M526" t="n">
        <v>0</v>
      </c>
      <c r="N526" t="n">
        <v>0</v>
      </c>
      <c r="O526" t="n">
        <v>0</v>
      </c>
      <c r="P526" t="n">
        <v>0</v>
      </c>
      <c r="Q526" t="n">
        <v>0</v>
      </c>
      <c r="R526" s="2" t="inlineStr"/>
    </row>
    <row r="527" ht="15" customHeight="1">
      <c r="A527" t="inlineStr">
        <is>
          <t>A 35519-2024</t>
        </is>
      </c>
      <c r="B527" s="1" t="n">
        <v>45531</v>
      </c>
      <c r="C527" s="1" t="n">
        <v>46134</v>
      </c>
      <c r="D527" t="inlineStr">
        <is>
          <t>VÄSTMANLANDS LÄN</t>
        </is>
      </c>
      <c r="E527" t="inlineStr">
        <is>
          <t>SALA</t>
        </is>
      </c>
      <c r="G527" t="n">
        <v>1.8</v>
      </c>
      <c r="H527" t="n">
        <v>0</v>
      </c>
      <c r="I527" t="n">
        <v>0</v>
      </c>
      <c r="J527" t="n">
        <v>0</v>
      </c>
      <c r="K527" t="n">
        <v>0</v>
      </c>
      <c r="L527" t="n">
        <v>0</v>
      </c>
      <c r="M527" t="n">
        <v>0</v>
      </c>
      <c r="N527" t="n">
        <v>0</v>
      </c>
      <c r="O527" t="n">
        <v>0</v>
      </c>
      <c r="P527" t="n">
        <v>0</v>
      </c>
      <c r="Q527" t="n">
        <v>0</v>
      </c>
      <c r="R527" s="2" t="inlineStr"/>
    </row>
    <row r="528" ht="15" customHeight="1">
      <c r="A528" t="inlineStr">
        <is>
          <t>A 54347-2024</t>
        </is>
      </c>
      <c r="B528" s="1" t="n">
        <v>45617.39325231482</v>
      </c>
      <c r="C528" s="1" t="n">
        <v>46134</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13022-2023</t>
        </is>
      </c>
      <c r="B529" s="1" t="n">
        <v>45002.33291666667</v>
      </c>
      <c r="C529" s="1" t="n">
        <v>46134</v>
      </c>
      <c r="D529" t="inlineStr">
        <is>
          <t>VÄSTMANLANDS LÄN</t>
        </is>
      </c>
      <c r="E529" t="inlineStr">
        <is>
          <t>SALA</t>
        </is>
      </c>
      <c r="G529" t="n">
        <v>1.5</v>
      </c>
      <c r="H529" t="n">
        <v>0</v>
      </c>
      <c r="I529" t="n">
        <v>0</v>
      </c>
      <c r="J529" t="n">
        <v>0</v>
      </c>
      <c r="K529" t="n">
        <v>0</v>
      </c>
      <c r="L529" t="n">
        <v>0</v>
      </c>
      <c r="M529" t="n">
        <v>0</v>
      </c>
      <c r="N529" t="n">
        <v>0</v>
      </c>
      <c r="O529" t="n">
        <v>0</v>
      </c>
      <c r="P529" t="n">
        <v>0</v>
      </c>
      <c r="Q529" t="n">
        <v>0</v>
      </c>
      <c r="R529" s="2" t="inlineStr"/>
    </row>
    <row r="530" ht="15" customHeight="1">
      <c r="A530" t="inlineStr">
        <is>
          <t>A 35003-2024</t>
        </is>
      </c>
      <c r="B530" s="1" t="n">
        <v>45527.56790509259</v>
      </c>
      <c r="C530" s="1" t="n">
        <v>46134</v>
      </c>
      <c r="D530" t="inlineStr">
        <is>
          <t>VÄSTMANLANDS LÄN</t>
        </is>
      </c>
      <c r="E530" t="inlineStr">
        <is>
          <t>SALA</t>
        </is>
      </c>
      <c r="G530" t="n">
        <v>0.7</v>
      </c>
      <c r="H530" t="n">
        <v>0</v>
      </c>
      <c r="I530" t="n">
        <v>0</v>
      </c>
      <c r="J530" t="n">
        <v>0</v>
      </c>
      <c r="K530" t="n">
        <v>0</v>
      </c>
      <c r="L530" t="n">
        <v>0</v>
      </c>
      <c r="M530" t="n">
        <v>0</v>
      </c>
      <c r="N530" t="n">
        <v>0</v>
      </c>
      <c r="O530" t="n">
        <v>0</v>
      </c>
      <c r="P530" t="n">
        <v>0</v>
      </c>
      <c r="Q530" t="n">
        <v>0</v>
      </c>
      <c r="R530" s="2" t="inlineStr"/>
    </row>
    <row r="531" ht="15" customHeight="1">
      <c r="A531" t="inlineStr">
        <is>
          <t>A 66307-2021</t>
        </is>
      </c>
      <c r="B531" s="1" t="n">
        <v>44518.48670138889</v>
      </c>
      <c r="C531" s="1" t="n">
        <v>46134</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6030-2024</t>
        </is>
      </c>
      <c r="B532" s="1" t="n">
        <v>45336.62782407407</v>
      </c>
      <c r="C532" s="1" t="n">
        <v>46134</v>
      </c>
      <c r="D532" t="inlineStr">
        <is>
          <t>VÄSTMANLANDS LÄN</t>
        </is>
      </c>
      <c r="E532" t="inlineStr">
        <is>
          <t>SALA</t>
        </is>
      </c>
      <c r="G532" t="n">
        <v>3.9</v>
      </c>
      <c r="H532" t="n">
        <v>0</v>
      </c>
      <c r="I532" t="n">
        <v>0</v>
      </c>
      <c r="J532" t="n">
        <v>0</v>
      </c>
      <c r="K532" t="n">
        <v>0</v>
      </c>
      <c r="L532" t="n">
        <v>0</v>
      </c>
      <c r="M532" t="n">
        <v>0</v>
      </c>
      <c r="N532" t="n">
        <v>0</v>
      </c>
      <c r="O532" t="n">
        <v>0</v>
      </c>
      <c r="P532" t="n">
        <v>0</v>
      </c>
      <c r="Q532" t="n">
        <v>0</v>
      </c>
      <c r="R532" s="2" t="inlineStr"/>
    </row>
    <row r="533" ht="15" customHeight="1">
      <c r="A533" t="inlineStr">
        <is>
          <t>A 26761-2023</t>
        </is>
      </c>
      <c r="B533" s="1" t="n">
        <v>45093</v>
      </c>
      <c r="C533" s="1" t="n">
        <v>46134</v>
      </c>
      <c r="D533" t="inlineStr">
        <is>
          <t>VÄSTMANLANDS LÄN</t>
        </is>
      </c>
      <c r="E533" t="inlineStr">
        <is>
          <t>SALA</t>
        </is>
      </c>
      <c r="G533" t="n">
        <v>4.3</v>
      </c>
      <c r="H533" t="n">
        <v>0</v>
      </c>
      <c r="I533" t="n">
        <v>0</v>
      </c>
      <c r="J533" t="n">
        <v>0</v>
      </c>
      <c r="K533" t="n">
        <v>0</v>
      </c>
      <c r="L533" t="n">
        <v>0</v>
      </c>
      <c r="M533" t="n">
        <v>0</v>
      </c>
      <c r="N533" t="n">
        <v>0</v>
      </c>
      <c r="O533" t="n">
        <v>0</v>
      </c>
      <c r="P533" t="n">
        <v>0</v>
      </c>
      <c r="Q533" t="n">
        <v>0</v>
      </c>
      <c r="R533" s="2" t="inlineStr"/>
    </row>
    <row r="534" ht="15" customHeight="1">
      <c r="A534" t="inlineStr">
        <is>
          <t>A 61892-2021</t>
        </is>
      </c>
      <c r="B534" s="1" t="n">
        <v>44502</v>
      </c>
      <c r="C534" s="1" t="n">
        <v>46134</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46134</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15630-2026</t>
        </is>
      </c>
      <c r="B536" s="1" t="n">
        <v>46106.62283564815</v>
      </c>
      <c r="C536" s="1" t="n">
        <v>46134</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7772-2023</t>
        </is>
      </c>
      <c r="B537" s="1" t="n">
        <v>44973.40076388889</v>
      </c>
      <c r="C537" s="1" t="n">
        <v>46134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62523-2025</t>
        </is>
      </c>
      <c r="B538" s="1" t="n">
        <v>46007.61512731481</v>
      </c>
      <c r="C538" s="1" t="n">
        <v>46134</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42416-2022</t>
        </is>
      </c>
      <c r="B539" s="1" t="n">
        <v>44831</v>
      </c>
      <c r="C539" s="1" t="n">
        <v>46134</v>
      </c>
      <c r="D539" t="inlineStr">
        <is>
          <t>VÄSTMANLANDS LÄN</t>
        </is>
      </c>
      <c r="E539" t="inlineStr">
        <is>
          <t>SALA</t>
        </is>
      </c>
      <c r="G539" t="n">
        <v>2.2</v>
      </c>
      <c r="H539" t="n">
        <v>0</v>
      </c>
      <c r="I539" t="n">
        <v>0</v>
      </c>
      <c r="J539" t="n">
        <v>0</v>
      </c>
      <c r="K539" t="n">
        <v>0</v>
      </c>
      <c r="L539" t="n">
        <v>0</v>
      </c>
      <c r="M539" t="n">
        <v>0</v>
      </c>
      <c r="N539" t="n">
        <v>0</v>
      </c>
      <c r="O539" t="n">
        <v>0</v>
      </c>
      <c r="P539" t="n">
        <v>0</v>
      </c>
      <c r="Q539" t="n">
        <v>0</v>
      </c>
      <c r="R539" s="2" t="inlineStr"/>
    </row>
    <row r="540" ht="15" customHeight="1">
      <c r="A540" t="inlineStr">
        <is>
          <t>A 19381-2025</t>
        </is>
      </c>
      <c r="B540" s="1" t="n">
        <v>45769</v>
      </c>
      <c r="C540" s="1" t="n">
        <v>46134</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63055-2025</t>
        </is>
      </c>
      <c r="B541" s="1" t="n">
        <v>46009.63619212963</v>
      </c>
      <c r="C541" s="1" t="n">
        <v>46134</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48688-2024</t>
        </is>
      </c>
      <c r="B542" s="1" t="n">
        <v>45593.50541666667</v>
      </c>
      <c r="C542" s="1" t="n">
        <v>46134</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63353-2025</t>
        </is>
      </c>
      <c r="B543" s="1" t="n">
        <v>46010.66670138889</v>
      </c>
      <c r="C543" s="1" t="n">
        <v>46134</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63051-2025</t>
        </is>
      </c>
      <c r="B544" s="1" t="n">
        <v>46009.63134259259</v>
      </c>
      <c r="C544" s="1" t="n">
        <v>46134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63046-2025</t>
        </is>
      </c>
      <c r="B545" s="1" t="n">
        <v>46009.62373842593</v>
      </c>
      <c r="C545" s="1" t="n">
        <v>46134</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63269-2025</t>
        </is>
      </c>
      <c r="B546" s="1" t="n">
        <v>46010</v>
      </c>
      <c r="C546" s="1" t="n">
        <v>46134</v>
      </c>
      <c r="D546" t="inlineStr">
        <is>
          <t>VÄSTMANLANDS LÄN</t>
        </is>
      </c>
      <c r="E546" t="inlineStr">
        <is>
          <t>SALA</t>
        </is>
      </c>
      <c r="G546" t="n">
        <v>6.4</v>
      </c>
      <c r="H546" t="n">
        <v>0</v>
      </c>
      <c r="I546" t="n">
        <v>0</v>
      </c>
      <c r="J546" t="n">
        <v>0</v>
      </c>
      <c r="K546" t="n">
        <v>0</v>
      </c>
      <c r="L546" t="n">
        <v>0</v>
      </c>
      <c r="M546" t="n">
        <v>0</v>
      </c>
      <c r="N546" t="n">
        <v>0</v>
      </c>
      <c r="O546" t="n">
        <v>0</v>
      </c>
      <c r="P546" t="n">
        <v>0</v>
      </c>
      <c r="Q546" t="n">
        <v>0</v>
      </c>
      <c r="R546" s="2" t="inlineStr"/>
    </row>
    <row r="547" ht="15" customHeight="1">
      <c r="A547" t="inlineStr">
        <is>
          <t>A 45187-2024</t>
        </is>
      </c>
      <c r="B547" s="1" t="n">
        <v>45575</v>
      </c>
      <c r="C547" s="1" t="n">
        <v>46134</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15968-2024</t>
        </is>
      </c>
      <c r="B548" s="1" t="n">
        <v>45405.56021990741</v>
      </c>
      <c r="C548" s="1" t="n">
        <v>46134</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3733-2023</t>
        </is>
      </c>
      <c r="B549" s="1" t="n">
        <v>44951.42501157407</v>
      </c>
      <c r="C549" s="1" t="n">
        <v>46134</v>
      </c>
      <c r="D549" t="inlineStr">
        <is>
          <t>VÄSTMANLANDS LÄN</t>
        </is>
      </c>
      <c r="E549" t="inlineStr">
        <is>
          <t>SALA</t>
        </is>
      </c>
      <c r="G549" t="n">
        <v>3.1</v>
      </c>
      <c r="H549" t="n">
        <v>0</v>
      </c>
      <c r="I549" t="n">
        <v>0</v>
      </c>
      <c r="J549" t="n">
        <v>0</v>
      </c>
      <c r="K549" t="n">
        <v>0</v>
      </c>
      <c r="L549" t="n">
        <v>0</v>
      </c>
      <c r="M549" t="n">
        <v>0</v>
      </c>
      <c r="N549" t="n">
        <v>0</v>
      </c>
      <c r="O549" t="n">
        <v>0</v>
      </c>
      <c r="P549" t="n">
        <v>0</v>
      </c>
      <c r="Q549" t="n">
        <v>0</v>
      </c>
      <c r="R549" s="2" t="inlineStr"/>
    </row>
    <row r="550" ht="15" customHeight="1">
      <c r="A550" t="inlineStr">
        <is>
          <t>A 44544-2024</t>
        </is>
      </c>
      <c r="B550" s="1" t="n">
        <v>45574.46119212963</v>
      </c>
      <c r="C550" s="1" t="n">
        <v>46134</v>
      </c>
      <c r="D550" t="inlineStr">
        <is>
          <t>VÄSTMANLANDS LÄN</t>
        </is>
      </c>
      <c r="E550" t="inlineStr">
        <is>
          <t>SALA</t>
        </is>
      </c>
      <c r="G550" t="n">
        <v>3.3</v>
      </c>
      <c r="H550" t="n">
        <v>0</v>
      </c>
      <c r="I550" t="n">
        <v>0</v>
      </c>
      <c r="J550" t="n">
        <v>0</v>
      </c>
      <c r="K550" t="n">
        <v>0</v>
      </c>
      <c r="L550" t="n">
        <v>0</v>
      </c>
      <c r="M550" t="n">
        <v>0</v>
      </c>
      <c r="N550" t="n">
        <v>0</v>
      </c>
      <c r="O550" t="n">
        <v>0</v>
      </c>
      <c r="P550" t="n">
        <v>0</v>
      </c>
      <c r="Q550" t="n">
        <v>0</v>
      </c>
      <c r="R550" s="2" t="inlineStr"/>
    </row>
    <row r="551" ht="15" customHeight="1">
      <c r="A551" t="inlineStr">
        <is>
          <t>A 15823-2026</t>
        </is>
      </c>
      <c r="B551" s="1" t="n">
        <v>46107.54096064815</v>
      </c>
      <c r="C551" s="1" t="n">
        <v>46134</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64729-2023</t>
        </is>
      </c>
      <c r="B552" s="1" t="n">
        <v>45281</v>
      </c>
      <c r="C552" s="1" t="n">
        <v>46134</v>
      </c>
      <c r="D552" t="inlineStr">
        <is>
          <t>VÄSTMANLANDS LÄN</t>
        </is>
      </c>
      <c r="E552" t="inlineStr">
        <is>
          <t>SALA</t>
        </is>
      </c>
      <c r="G552" t="n">
        <v>1.8</v>
      </c>
      <c r="H552" t="n">
        <v>0</v>
      </c>
      <c r="I552" t="n">
        <v>0</v>
      </c>
      <c r="J552" t="n">
        <v>0</v>
      </c>
      <c r="K552" t="n">
        <v>0</v>
      </c>
      <c r="L552" t="n">
        <v>0</v>
      </c>
      <c r="M552" t="n">
        <v>0</v>
      </c>
      <c r="N552" t="n">
        <v>0</v>
      </c>
      <c r="O552" t="n">
        <v>0</v>
      </c>
      <c r="P552" t="n">
        <v>0</v>
      </c>
      <c r="Q552" t="n">
        <v>0</v>
      </c>
      <c r="R552" s="2" t="inlineStr"/>
    </row>
    <row r="553" ht="15" customHeight="1">
      <c r="A553" t="inlineStr">
        <is>
          <t>A 68864-2021</t>
        </is>
      </c>
      <c r="B553" s="1" t="n">
        <v>44530</v>
      </c>
      <c r="C553" s="1" t="n">
        <v>46134</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64925-2023</t>
        </is>
      </c>
      <c r="B554" s="1" t="n">
        <v>45282</v>
      </c>
      <c r="C554" s="1" t="n">
        <v>46134</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48570-2024</t>
        </is>
      </c>
      <c r="B555" s="1" t="n">
        <v>45591</v>
      </c>
      <c r="C555" s="1" t="n">
        <v>46134</v>
      </c>
      <c r="D555" t="inlineStr">
        <is>
          <t>VÄSTMANLANDS LÄN</t>
        </is>
      </c>
      <c r="E555" t="inlineStr">
        <is>
          <t>SALA</t>
        </is>
      </c>
      <c r="G555" t="n">
        <v>3</v>
      </c>
      <c r="H555" t="n">
        <v>0</v>
      </c>
      <c r="I555" t="n">
        <v>0</v>
      </c>
      <c r="J555" t="n">
        <v>0</v>
      </c>
      <c r="K555" t="n">
        <v>0</v>
      </c>
      <c r="L555" t="n">
        <v>0</v>
      </c>
      <c r="M555" t="n">
        <v>0</v>
      </c>
      <c r="N555" t="n">
        <v>0</v>
      </c>
      <c r="O555" t="n">
        <v>0</v>
      </c>
      <c r="P555" t="n">
        <v>0</v>
      </c>
      <c r="Q555" t="n">
        <v>0</v>
      </c>
      <c r="R555" s="2" t="inlineStr"/>
    </row>
    <row r="556" ht="15" customHeight="1">
      <c r="A556" t="inlineStr">
        <is>
          <t>A 16354-2026</t>
        </is>
      </c>
      <c r="B556" s="1" t="n">
        <v>46111.5968287037</v>
      </c>
      <c r="C556" s="1" t="n">
        <v>46134</v>
      </c>
      <c r="D556" t="inlineStr">
        <is>
          <t>VÄSTMANLANDS LÄN</t>
        </is>
      </c>
      <c r="E556" t="inlineStr">
        <is>
          <t>SALA</t>
        </is>
      </c>
      <c r="G556" t="n">
        <v>5.2</v>
      </c>
      <c r="H556" t="n">
        <v>0</v>
      </c>
      <c r="I556" t="n">
        <v>0</v>
      </c>
      <c r="J556" t="n">
        <v>0</v>
      </c>
      <c r="K556" t="n">
        <v>0</v>
      </c>
      <c r="L556" t="n">
        <v>0</v>
      </c>
      <c r="M556" t="n">
        <v>0</v>
      </c>
      <c r="N556" t="n">
        <v>0</v>
      </c>
      <c r="O556" t="n">
        <v>0</v>
      </c>
      <c r="P556" t="n">
        <v>0</v>
      </c>
      <c r="Q556" t="n">
        <v>0</v>
      </c>
      <c r="R556" s="2" t="inlineStr"/>
    </row>
    <row r="557" ht="15" customHeight="1">
      <c r="A557" t="inlineStr">
        <is>
          <t>A 16598-2026</t>
        </is>
      </c>
      <c r="B557" s="1" t="n">
        <v>46112.59598379629</v>
      </c>
      <c r="C557" s="1" t="n">
        <v>46134</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61517-2024</t>
        </is>
      </c>
      <c r="B558" s="1" t="n">
        <v>45645</v>
      </c>
      <c r="C558" s="1" t="n">
        <v>46134</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16760-2024</t>
        </is>
      </c>
      <c r="B559" s="1" t="n">
        <v>45411</v>
      </c>
      <c r="C559" s="1" t="n">
        <v>46134</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16367-2026</t>
        </is>
      </c>
      <c r="B560" s="1" t="n">
        <v>46111.61380787037</v>
      </c>
      <c r="C560" s="1" t="n">
        <v>46134</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16369-2026</t>
        </is>
      </c>
      <c r="B561" s="1" t="n">
        <v>46111</v>
      </c>
      <c r="C561" s="1" t="n">
        <v>46134</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54603-2024</t>
        </is>
      </c>
      <c r="B562" s="1" t="n">
        <v>45617.68224537037</v>
      </c>
      <c r="C562" s="1" t="n">
        <v>46134</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16364-2026</t>
        </is>
      </c>
      <c r="B563" s="1" t="n">
        <v>46111.6115625</v>
      </c>
      <c r="C563" s="1" t="n">
        <v>46134</v>
      </c>
      <c r="D563" t="inlineStr">
        <is>
          <t>VÄSTMANLANDS LÄN</t>
        </is>
      </c>
      <c r="E563" t="inlineStr">
        <is>
          <t>SALA</t>
        </is>
      </c>
      <c r="G563" t="n">
        <v>4.7</v>
      </c>
      <c r="H563" t="n">
        <v>0</v>
      </c>
      <c r="I563" t="n">
        <v>0</v>
      </c>
      <c r="J563" t="n">
        <v>0</v>
      </c>
      <c r="K563" t="n">
        <v>0</v>
      </c>
      <c r="L563" t="n">
        <v>0</v>
      </c>
      <c r="M563" t="n">
        <v>0</v>
      </c>
      <c r="N563" t="n">
        <v>0</v>
      </c>
      <c r="O563" t="n">
        <v>0</v>
      </c>
      <c r="P563" t="n">
        <v>0</v>
      </c>
      <c r="Q563" t="n">
        <v>0</v>
      </c>
      <c r="R563" s="2" t="inlineStr"/>
    </row>
    <row r="564" ht="15" customHeight="1">
      <c r="A564" t="inlineStr">
        <is>
          <t>A 18762-2024</t>
        </is>
      </c>
      <c r="B564" s="1" t="n">
        <v>45426.55240740741</v>
      </c>
      <c r="C564" s="1" t="n">
        <v>46134</v>
      </c>
      <c r="D564" t="inlineStr">
        <is>
          <t>VÄSTMANLANDS LÄN</t>
        </is>
      </c>
      <c r="E564" t="inlineStr">
        <is>
          <t>SALA</t>
        </is>
      </c>
      <c r="G564" t="n">
        <v>6.2</v>
      </c>
      <c r="H564" t="n">
        <v>0</v>
      </c>
      <c r="I564" t="n">
        <v>0</v>
      </c>
      <c r="J564" t="n">
        <v>0</v>
      </c>
      <c r="K564" t="n">
        <v>0</v>
      </c>
      <c r="L564" t="n">
        <v>0</v>
      </c>
      <c r="M564" t="n">
        <v>0</v>
      </c>
      <c r="N564" t="n">
        <v>0</v>
      </c>
      <c r="O564" t="n">
        <v>0</v>
      </c>
      <c r="P564" t="n">
        <v>0</v>
      </c>
      <c r="Q564" t="n">
        <v>0</v>
      </c>
      <c r="R564" s="2" t="inlineStr"/>
    </row>
    <row r="565" ht="15" customHeight="1">
      <c r="A565" t="inlineStr">
        <is>
          <t>A 17120-2023</t>
        </is>
      </c>
      <c r="B565" s="1" t="n">
        <v>45034</v>
      </c>
      <c r="C565" s="1" t="n">
        <v>46134</v>
      </c>
      <c r="D565" t="inlineStr">
        <is>
          <t>VÄSTMANLANDS LÄN</t>
        </is>
      </c>
      <c r="E565" t="inlineStr">
        <is>
          <t>SALA</t>
        </is>
      </c>
      <c r="G565" t="n">
        <v>0.1</v>
      </c>
      <c r="H565" t="n">
        <v>0</v>
      </c>
      <c r="I565" t="n">
        <v>0</v>
      </c>
      <c r="J565" t="n">
        <v>0</v>
      </c>
      <c r="K565" t="n">
        <v>0</v>
      </c>
      <c r="L565" t="n">
        <v>0</v>
      </c>
      <c r="M565" t="n">
        <v>0</v>
      </c>
      <c r="N565" t="n">
        <v>0</v>
      </c>
      <c r="O565" t="n">
        <v>0</v>
      </c>
      <c r="P565" t="n">
        <v>0</v>
      </c>
      <c r="Q565" t="n">
        <v>0</v>
      </c>
      <c r="R565" s="2" t="inlineStr"/>
    </row>
    <row r="566" ht="15" customHeight="1">
      <c r="A566" t="inlineStr">
        <is>
          <t>A 42938-2023</t>
        </is>
      </c>
      <c r="B566" s="1" t="n">
        <v>45179</v>
      </c>
      <c r="C566" s="1" t="n">
        <v>46134</v>
      </c>
      <c r="D566" t="inlineStr">
        <is>
          <t>VÄSTMANLANDS LÄN</t>
        </is>
      </c>
      <c r="E566" t="inlineStr">
        <is>
          <t>SALA</t>
        </is>
      </c>
      <c r="G566" t="n">
        <v>10.9</v>
      </c>
      <c r="H566" t="n">
        <v>0</v>
      </c>
      <c r="I566" t="n">
        <v>0</v>
      </c>
      <c r="J566" t="n">
        <v>0</v>
      </c>
      <c r="K566" t="n">
        <v>0</v>
      </c>
      <c r="L566" t="n">
        <v>0</v>
      </c>
      <c r="M566" t="n">
        <v>0</v>
      </c>
      <c r="N566" t="n">
        <v>0</v>
      </c>
      <c r="O566" t="n">
        <v>0</v>
      </c>
      <c r="P566" t="n">
        <v>0</v>
      </c>
      <c r="Q566" t="n">
        <v>0</v>
      </c>
      <c r="R566" s="2" t="inlineStr"/>
    </row>
    <row r="567" ht="15" customHeight="1">
      <c r="A567" t="inlineStr">
        <is>
          <t>A 42984-2023</t>
        </is>
      </c>
      <c r="B567" s="1" t="n">
        <v>45179</v>
      </c>
      <c r="C567" s="1" t="n">
        <v>46134</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15972-2024</t>
        </is>
      </c>
      <c r="B568" s="1" t="n">
        <v>45405.56498842593</v>
      </c>
      <c r="C568" s="1" t="n">
        <v>46134</v>
      </c>
      <c r="D568" t="inlineStr">
        <is>
          <t>VÄSTMANLANDS LÄN</t>
        </is>
      </c>
      <c r="E568" t="inlineStr">
        <is>
          <t>SALA</t>
        </is>
      </c>
      <c r="G568" t="n">
        <v>1.8</v>
      </c>
      <c r="H568" t="n">
        <v>0</v>
      </c>
      <c r="I568" t="n">
        <v>0</v>
      </c>
      <c r="J568" t="n">
        <v>0</v>
      </c>
      <c r="K568" t="n">
        <v>0</v>
      </c>
      <c r="L568" t="n">
        <v>0</v>
      </c>
      <c r="M568" t="n">
        <v>0</v>
      </c>
      <c r="N568" t="n">
        <v>0</v>
      </c>
      <c r="O568" t="n">
        <v>0</v>
      </c>
      <c r="P568" t="n">
        <v>0</v>
      </c>
      <c r="Q568" t="n">
        <v>0</v>
      </c>
      <c r="R568" s="2" t="inlineStr"/>
    </row>
    <row r="569" ht="15" customHeight="1">
      <c r="A569" t="inlineStr">
        <is>
          <t>A 39714-2023</t>
        </is>
      </c>
      <c r="B569" s="1" t="n">
        <v>45167.62133101852</v>
      </c>
      <c r="C569" s="1" t="n">
        <v>46134</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33527-2023</t>
        </is>
      </c>
      <c r="B570" s="1" t="n">
        <v>45131</v>
      </c>
      <c r="C570" s="1" t="n">
        <v>46134</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10913-2025</t>
        </is>
      </c>
      <c r="B571" s="1" t="n">
        <v>45722.73423611111</v>
      </c>
      <c r="C571" s="1" t="n">
        <v>46134</v>
      </c>
      <c r="D571" t="inlineStr">
        <is>
          <t>VÄSTMANLANDS LÄN</t>
        </is>
      </c>
      <c r="E571" t="inlineStr">
        <is>
          <t>SALA</t>
        </is>
      </c>
      <c r="G571" t="n">
        <v>7.6</v>
      </c>
      <c r="H571" t="n">
        <v>0</v>
      </c>
      <c r="I571" t="n">
        <v>0</v>
      </c>
      <c r="J571" t="n">
        <v>0</v>
      </c>
      <c r="K571" t="n">
        <v>0</v>
      </c>
      <c r="L571" t="n">
        <v>0</v>
      </c>
      <c r="M571" t="n">
        <v>0</v>
      </c>
      <c r="N571" t="n">
        <v>0</v>
      </c>
      <c r="O571" t="n">
        <v>0</v>
      </c>
      <c r="P571" t="n">
        <v>0</v>
      </c>
      <c r="Q571" t="n">
        <v>0</v>
      </c>
      <c r="R571" s="2" t="inlineStr"/>
    </row>
    <row r="572" ht="15" customHeight="1">
      <c r="A572" t="inlineStr">
        <is>
          <t>A 58107-2021</t>
        </is>
      </c>
      <c r="B572" s="1" t="n">
        <v>44487</v>
      </c>
      <c r="C572" s="1" t="n">
        <v>46134</v>
      </c>
      <c r="D572" t="inlineStr">
        <is>
          <t>VÄSTMANLANDS LÄN</t>
        </is>
      </c>
      <c r="E572" t="inlineStr">
        <is>
          <t>SALA</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2927-2024</t>
        </is>
      </c>
      <c r="B573" s="1" t="n">
        <v>45315.58989583333</v>
      </c>
      <c r="C573" s="1" t="n">
        <v>46134</v>
      </c>
      <c r="D573" t="inlineStr">
        <is>
          <t>VÄSTMANLANDS LÄN</t>
        </is>
      </c>
      <c r="E573" t="inlineStr">
        <is>
          <t>SALA</t>
        </is>
      </c>
      <c r="G573" t="n">
        <v>2.5</v>
      </c>
      <c r="H573" t="n">
        <v>0</v>
      </c>
      <c r="I573" t="n">
        <v>0</v>
      </c>
      <c r="J573" t="n">
        <v>0</v>
      </c>
      <c r="K573" t="n">
        <v>0</v>
      </c>
      <c r="L573" t="n">
        <v>0</v>
      </c>
      <c r="M573" t="n">
        <v>0</v>
      </c>
      <c r="N573" t="n">
        <v>0</v>
      </c>
      <c r="O573" t="n">
        <v>0</v>
      </c>
      <c r="P573" t="n">
        <v>0</v>
      </c>
      <c r="Q573" t="n">
        <v>0</v>
      </c>
      <c r="R573" s="2" t="inlineStr"/>
    </row>
    <row r="574" ht="15" customHeight="1">
      <c r="A574" t="inlineStr">
        <is>
          <t>A 37183-2024</t>
        </is>
      </c>
      <c r="B574" s="1" t="n">
        <v>45539</v>
      </c>
      <c r="C574" s="1" t="n">
        <v>46134</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10245-2026</t>
        </is>
      </c>
      <c r="B575" s="1" t="n">
        <v>46076.55144675926</v>
      </c>
      <c r="C575" s="1" t="n">
        <v>46134</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54199-2024</t>
        </is>
      </c>
      <c r="B576" s="1" t="n">
        <v>45616.64703703704</v>
      </c>
      <c r="C576" s="1" t="n">
        <v>46134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10252-2026</t>
        </is>
      </c>
      <c r="B577" s="1" t="n">
        <v>46076.55700231482</v>
      </c>
      <c r="C577" s="1" t="n">
        <v>46134</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60548-2024</t>
        </is>
      </c>
      <c r="B578" s="1" t="n">
        <v>45643.80978009259</v>
      </c>
      <c r="C578" s="1" t="n">
        <v>46134</v>
      </c>
      <c r="D578" t="inlineStr">
        <is>
          <t>VÄSTMANLANDS LÄN</t>
        </is>
      </c>
      <c r="E578" t="inlineStr">
        <is>
          <t>SALA</t>
        </is>
      </c>
      <c r="G578" t="n">
        <v>1.6</v>
      </c>
      <c r="H578" t="n">
        <v>0</v>
      </c>
      <c r="I578" t="n">
        <v>0</v>
      </c>
      <c r="J578" t="n">
        <v>0</v>
      </c>
      <c r="K578" t="n">
        <v>0</v>
      </c>
      <c r="L578" t="n">
        <v>0</v>
      </c>
      <c r="M578" t="n">
        <v>0</v>
      </c>
      <c r="N578" t="n">
        <v>0</v>
      </c>
      <c r="O578" t="n">
        <v>0</v>
      </c>
      <c r="P578" t="n">
        <v>0</v>
      </c>
      <c r="Q578" t="n">
        <v>0</v>
      </c>
      <c r="R578" s="2" t="inlineStr"/>
    </row>
    <row r="579" ht="15" customHeight="1">
      <c r="A579" t="inlineStr">
        <is>
          <t>A 10239-2026</t>
        </is>
      </c>
      <c r="B579" s="1" t="n">
        <v>46076.54824074074</v>
      </c>
      <c r="C579" s="1" t="n">
        <v>46134</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57895-2024</t>
        </is>
      </c>
      <c r="B580" s="1" t="n">
        <v>45631</v>
      </c>
      <c r="C580" s="1" t="n">
        <v>46134</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13639-2026</t>
        </is>
      </c>
      <c r="B581" s="1" t="n">
        <v>46097</v>
      </c>
      <c r="C581" s="1" t="n">
        <v>46134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31597-2024</t>
        </is>
      </c>
      <c r="B582" s="1" t="n">
        <v>45506</v>
      </c>
      <c r="C582" s="1" t="n">
        <v>46134</v>
      </c>
      <c r="D582" t="inlineStr">
        <is>
          <t>VÄSTMANLANDS LÄN</t>
        </is>
      </c>
      <c r="E582" t="inlineStr">
        <is>
          <t>SALA</t>
        </is>
      </c>
      <c r="G582" t="n">
        <v>2.4</v>
      </c>
      <c r="H582" t="n">
        <v>0</v>
      </c>
      <c r="I582" t="n">
        <v>0</v>
      </c>
      <c r="J582" t="n">
        <v>0</v>
      </c>
      <c r="K582" t="n">
        <v>0</v>
      </c>
      <c r="L582" t="n">
        <v>0</v>
      </c>
      <c r="M582" t="n">
        <v>0</v>
      </c>
      <c r="N582" t="n">
        <v>0</v>
      </c>
      <c r="O582" t="n">
        <v>0</v>
      </c>
      <c r="P582" t="n">
        <v>0</v>
      </c>
      <c r="Q582" t="n">
        <v>0</v>
      </c>
      <c r="R582" s="2" t="inlineStr"/>
    </row>
    <row r="583" ht="15" customHeight="1">
      <c r="A583" t="inlineStr">
        <is>
          <t>A 17458-2024</t>
        </is>
      </c>
      <c r="B583" s="1" t="n">
        <v>45415</v>
      </c>
      <c r="C583" s="1" t="n">
        <v>46134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56543-2024</t>
        </is>
      </c>
      <c r="B584" s="1" t="n">
        <v>45625</v>
      </c>
      <c r="C584" s="1" t="n">
        <v>46134</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28661-2024</t>
        </is>
      </c>
      <c r="B585" s="1" t="n">
        <v>45478</v>
      </c>
      <c r="C585" s="1" t="n">
        <v>46134</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2529-2022</t>
        </is>
      </c>
      <c r="B586" s="1" t="n">
        <v>44579.86452546297</v>
      </c>
      <c r="C586" s="1" t="n">
        <v>46134</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56540-2024</t>
        </is>
      </c>
      <c r="B587" s="1" t="n">
        <v>45625</v>
      </c>
      <c r="C587" s="1" t="n">
        <v>46134</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31599-2024</t>
        </is>
      </c>
      <c r="B588" s="1" t="n">
        <v>45506</v>
      </c>
      <c r="C588" s="1" t="n">
        <v>46134</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31601-2024</t>
        </is>
      </c>
      <c r="B589" s="1" t="n">
        <v>45506</v>
      </c>
      <c r="C589" s="1" t="n">
        <v>46134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31608-2024</t>
        </is>
      </c>
      <c r="B590" s="1" t="n">
        <v>45506</v>
      </c>
      <c r="C590" s="1" t="n">
        <v>46134</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31612-2024</t>
        </is>
      </c>
      <c r="B591" s="1" t="n">
        <v>45506</v>
      </c>
      <c r="C591" s="1" t="n">
        <v>46134</v>
      </c>
      <c r="D591" t="inlineStr">
        <is>
          <t>VÄSTMANLANDS LÄN</t>
        </is>
      </c>
      <c r="E591" t="inlineStr">
        <is>
          <t>SALA</t>
        </is>
      </c>
      <c r="G591" t="n">
        <v>3.2</v>
      </c>
      <c r="H591" t="n">
        <v>0</v>
      </c>
      <c r="I591" t="n">
        <v>0</v>
      </c>
      <c r="J591" t="n">
        <v>0</v>
      </c>
      <c r="K591" t="n">
        <v>0</v>
      </c>
      <c r="L591" t="n">
        <v>0</v>
      </c>
      <c r="M591" t="n">
        <v>0</v>
      </c>
      <c r="N591" t="n">
        <v>0</v>
      </c>
      <c r="O591" t="n">
        <v>0</v>
      </c>
      <c r="P591" t="n">
        <v>0</v>
      </c>
      <c r="Q591" t="n">
        <v>0</v>
      </c>
      <c r="R591" s="2" t="inlineStr"/>
    </row>
    <row r="592" ht="15" customHeight="1">
      <c r="A592" t="inlineStr">
        <is>
          <t>A 10579-2022</t>
        </is>
      </c>
      <c r="B592" s="1" t="n">
        <v>44624</v>
      </c>
      <c r="C592" s="1" t="n">
        <v>46134</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64693-2023</t>
        </is>
      </c>
      <c r="B593" s="1" t="n">
        <v>45281.63850694444</v>
      </c>
      <c r="C593" s="1" t="n">
        <v>46134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64695-2023</t>
        </is>
      </c>
      <c r="B594" s="1" t="n">
        <v>45281.64099537037</v>
      </c>
      <c r="C594" s="1" t="n">
        <v>46134</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18592-2026</t>
        </is>
      </c>
      <c r="B595" s="1" t="n">
        <v>46127.64232638889</v>
      </c>
      <c r="C595" s="1" t="n">
        <v>46134</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18382-2026</t>
        </is>
      </c>
      <c r="B596" s="1" t="n">
        <v>46126.63601851852</v>
      </c>
      <c r="C596" s="1" t="n">
        <v>46134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12144-2026</t>
        </is>
      </c>
      <c r="B597" s="1" t="n">
        <v>46086.58008101852</v>
      </c>
      <c r="C597" s="1" t="n">
        <v>46134</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55784-2024</t>
        </is>
      </c>
      <c r="B598" s="1" t="n">
        <v>45623</v>
      </c>
      <c r="C598" s="1" t="n">
        <v>46134</v>
      </c>
      <c r="D598" t="inlineStr">
        <is>
          <t>VÄSTMANLANDS LÄN</t>
        </is>
      </c>
      <c r="E598" t="inlineStr">
        <is>
          <t>SALA</t>
        </is>
      </c>
      <c r="F598" t="inlineStr">
        <is>
          <t>Bergvik skog öst AB</t>
        </is>
      </c>
      <c r="G598" t="n">
        <v>28.4</v>
      </c>
      <c r="H598" t="n">
        <v>0</v>
      </c>
      <c r="I598" t="n">
        <v>0</v>
      </c>
      <c r="J598" t="n">
        <v>0</v>
      </c>
      <c r="K598" t="n">
        <v>0</v>
      </c>
      <c r="L598" t="n">
        <v>0</v>
      </c>
      <c r="M598" t="n">
        <v>0</v>
      </c>
      <c r="N598" t="n">
        <v>0</v>
      </c>
      <c r="O598" t="n">
        <v>0</v>
      </c>
      <c r="P598" t="n">
        <v>0</v>
      </c>
      <c r="Q598" t="n">
        <v>0</v>
      </c>
      <c r="R598" s="2" t="inlineStr"/>
    </row>
    <row r="599" ht="15" customHeight="1">
      <c r="A599" t="inlineStr">
        <is>
          <t>A 29542-2023</t>
        </is>
      </c>
      <c r="B599" s="1" t="n">
        <v>45098</v>
      </c>
      <c r="C599" s="1" t="n">
        <v>46134</v>
      </c>
      <c r="D599" t="inlineStr">
        <is>
          <t>VÄSTMANLANDS LÄN</t>
        </is>
      </c>
      <c r="E599" t="inlineStr">
        <is>
          <t>SALA</t>
        </is>
      </c>
      <c r="G599" t="n">
        <v>4.8</v>
      </c>
      <c r="H599" t="n">
        <v>0</v>
      </c>
      <c r="I599" t="n">
        <v>0</v>
      </c>
      <c r="J599" t="n">
        <v>0</v>
      </c>
      <c r="K599" t="n">
        <v>0</v>
      </c>
      <c r="L599" t="n">
        <v>0</v>
      </c>
      <c r="M599" t="n">
        <v>0</v>
      </c>
      <c r="N599" t="n">
        <v>0</v>
      </c>
      <c r="O599" t="n">
        <v>0</v>
      </c>
      <c r="P599" t="n">
        <v>0</v>
      </c>
      <c r="Q599" t="n">
        <v>0</v>
      </c>
      <c r="R599" s="2" t="inlineStr"/>
    </row>
    <row r="600" ht="15" customHeight="1">
      <c r="A600" t="inlineStr">
        <is>
          <t>A 27038-2023</t>
        </is>
      </c>
      <c r="B600" s="1" t="n">
        <v>45095</v>
      </c>
      <c r="C600" s="1" t="n">
        <v>46134</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19044-2026</t>
        </is>
      </c>
      <c r="B601" s="1" t="n">
        <v>46132.33789351852</v>
      </c>
      <c r="C601" s="1" t="n">
        <v>46134</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17051-2025</t>
        </is>
      </c>
      <c r="B602" s="1" t="n">
        <v>45755</v>
      </c>
      <c r="C602" s="1" t="n">
        <v>46134</v>
      </c>
      <c r="D602" t="inlineStr">
        <is>
          <t>VÄSTMANLANDS LÄN</t>
        </is>
      </c>
      <c r="E602" t="inlineStr">
        <is>
          <t>SALA</t>
        </is>
      </c>
      <c r="G602" t="n">
        <v>2.9</v>
      </c>
      <c r="H602" t="n">
        <v>0</v>
      </c>
      <c r="I602" t="n">
        <v>0</v>
      </c>
      <c r="J602" t="n">
        <v>0</v>
      </c>
      <c r="K602" t="n">
        <v>0</v>
      </c>
      <c r="L602" t="n">
        <v>0</v>
      </c>
      <c r="M602" t="n">
        <v>0</v>
      </c>
      <c r="N602" t="n">
        <v>0</v>
      </c>
      <c r="O602" t="n">
        <v>0</v>
      </c>
      <c r="P602" t="n">
        <v>0</v>
      </c>
      <c r="Q602" t="n">
        <v>0</v>
      </c>
      <c r="R602" s="2" t="inlineStr"/>
    </row>
    <row r="603" ht="15" customHeight="1">
      <c r="A603" t="inlineStr">
        <is>
          <t>A 12497-2026</t>
        </is>
      </c>
      <c r="B603" s="1" t="n">
        <v>46090.57240740741</v>
      </c>
      <c r="C603" s="1" t="n">
        <v>46134</v>
      </c>
      <c r="D603" t="inlineStr">
        <is>
          <t>VÄSTMANLANDS LÄN</t>
        </is>
      </c>
      <c r="E603" t="inlineStr">
        <is>
          <t>SALA</t>
        </is>
      </c>
      <c r="G603" t="n">
        <v>1.3</v>
      </c>
      <c r="H603" t="n">
        <v>0</v>
      </c>
      <c r="I603" t="n">
        <v>0</v>
      </c>
      <c r="J603" t="n">
        <v>0</v>
      </c>
      <c r="K603" t="n">
        <v>0</v>
      </c>
      <c r="L603" t="n">
        <v>0</v>
      </c>
      <c r="M603" t="n">
        <v>0</v>
      </c>
      <c r="N603" t="n">
        <v>0</v>
      </c>
      <c r="O603" t="n">
        <v>0</v>
      </c>
      <c r="P603" t="n">
        <v>0</v>
      </c>
      <c r="Q603" t="n">
        <v>0</v>
      </c>
      <c r="R603" s="2" t="inlineStr"/>
    </row>
    <row r="604" ht="15" customHeight="1">
      <c r="A604" t="inlineStr">
        <is>
          <t>A 8285-2025</t>
        </is>
      </c>
      <c r="B604" s="1" t="n">
        <v>45708</v>
      </c>
      <c r="C604" s="1" t="n">
        <v>46134</v>
      </c>
      <c r="D604" t="inlineStr">
        <is>
          <t>VÄSTMANLANDS LÄN</t>
        </is>
      </c>
      <c r="E604" t="inlineStr">
        <is>
          <t>SALA</t>
        </is>
      </c>
      <c r="G604" t="n">
        <v>5.7</v>
      </c>
      <c r="H604" t="n">
        <v>0</v>
      </c>
      <c r="I604" t="n">
        <v>0</v>
      </c>
      <c r="J604" t="n">
        <v>0</v>
      </c>
      <c r="K604" t="n">
        <v>0</v>
      </c>
      <c r="L604" t="n">
        <v>0</v>
      </c>
      <c r="M604" t="n">
        <v>0</v>
      </c>
      <c r="N604" t="n">
        <v>0</v>
      </c>
      <c r="O604" t="n">
        <v>0</v>
      </c>
      <c r="P604" t="n">
        <v>0</v>
      </c>
      <c r="Q604" t="n">
        <v>0</v>
      </c>
      <c r="R604" s="2" t="inlineStr"/>
    </row>
    <row r="605" ht="15" customHeight="1">
      <c r="A605" t="inlineStr">
        <is>
          <t>A 19376-2026</t>
        </is>
      </c>
      <c r="B605" s="1" t="n">
        <v>46133.54998842593</v>
      </c>
      <c r="C605" s="1" t="n">
        <v>46134</v>
      </c>
      <c r="D605" t="inlineStr">
        <is>
          <t>VÄSTMANLANDS LÄN</t>
        </is>
      </c>
      <c r="E605" t="inlineStr">
        <is>
          <t>SALA</t>
        </is>
      </c>
      <c r="G605" t="n">
        <v>3.8</v>
      </c>
      <c r="H605" t="n">
        <v>0</v>
      </c>
      <c r="I605" t="n">
        <v>0</v>
      </c>
      <c r="J605" t="n">
        <v>0</v>
      </c>
      <c r="K605" t="n">
        <v>0</v>
      </c>
      <c r="L605" t="n">
        <v>0</v>
      </c>
      <c r="M605" t="n">
        <v>0</v>
      </c>
      <c r="N605" t="n">
        <v>0</v>
      </c>
      <c r="O605" t="n">
        <v>0</v>
      </c>
      <c r="P605" t="n">
        <v>0</v>
      </c>
      <c r="Q605" t="n">
        <v>0</v>
      </c>
      <c r="R605" s="2" t="inlineStr"/>
    </row>
    <row r="606" ht="15" customHeight="1">
      <c r="A606" t="inlineStr">
        <is>
          <t>A 22019-2021</t>
        </is>
      </c>
      <c r="B606" s="1" t="n">
        <v>44323</v>
      </c>
      <c r="C606" s="1" t="n">
        <v>46134</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57404-2024</t>
        </is>
      </c>
      <c r="B607" s="1" t="n">
        <v>45629.71967592592</v>
      </c>
      <c r="C607" s="1" t="n">
        <v>46134</v>
      </c>
      <c r="D607" t="inlineStr">
        <is>
          <t>VÄSTMANLANDS LÄN</t>
        </is>
      </c>
      <c r="E607" t="inlineStr">
        <is>
          <t>SALA</t>
        </is>
      </c>
      <c r="G607" t="n">
        <v>0.3</v>
      </c>
      <c r="H607" t="n">
        <v>0</v>
      </c>
      <c r="I607" t="n">
        <v>0</v>
      </c>
      <c r="J607" t="n">
        <v>0</v>
      </c>
      <c r="K607" t="n">
        <v>0</v>
      </c>
      <c r="L607" t="n">
        <v>0</v>
      </c>
      <c r="M607" t="n">
        <v>0</v>
      </c>
      <c r="N607" t="n">
        <v>0</v>
      </c>
      <c r="O607" t="n">
        <v>0</v>
      </c>
      <c r="P607" t="n">
        <v>0</v>
      </c>
      <c r="Q607" t="n">
        <v>0</v>
      </c>
      <c r="R607" s="2" t="inlineStr"/>
    </row>
    <row r="608" ht="15" customHeight="1">
      <c r="A608" t="inlineStr">
        <is>
          <t>A 21777-2022</t>
        </is>
      </c>
      <c r="B608" s="1" t="n">
        <v>44708.48194444444</v>
      </c>
      <c r="C608" s="1" t="n">
        <v>46134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17866-2025</t>
        </is>
      </c>
      <c r="B609" s="1" t="n">
        <v>45758</v>
      </c>
      <c r="C609" s="1" t="n">
        <v>46134</v>
      </c>
      <c r="D609" t="inlineStr">
        <is>
          <t>VÄSTMANLANDS LÄN</t>
        </is>
      </c>
      <c r="E609" t="inlineStr">
        <is>
          <t>SALA</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33732-2023</t>
        </is>
      </c>
      <c r="B610" s="1" t="n">
        <v>45133.32409722222</v>
      </c>
      <c r="C610" s="1" t="n">
        <v>46134</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7166-2025</t>
        </is>
      </c>
      <c r="B611" s="1" t="n">
        <v>45702</v>
      </c>
      <c r="C611" s="1" t="n">
        <v>46134</v>
      </c>
      <c r="D611" t="inlineStr">
        <is>
          <t>VÄSTMANLANDS LÄN</t>
        </is>
      </c>
      <c r="E611" t="inlineStr">
        <is>
          <t>SALA</t>
        </is>
      </c>
      <c r="G611" t="n">
        <v>6.1</v>
      </c>
      <c r="H611" t="n">
        <v>0</v>
      </c>
      <c r="I611" t="n">
        <v>0</v>
      </c>
      <c r="J611" t="n">
        <v>0</v>
      </c>
      <c r="K611" t="n">
        <v>0</v>
      </c>
      <c r="L611" t="n">
        <v>0</v>
      </c>
      <c r="M611" t="n">
        <v>0</v>
      </c>
      <c r="N611" t="n">
        <v>0</v>
      </c>
      <c r="O611" t="n">
        <v>0</v>
      </c>
      <c r="P611" t="n">
        <v>0</v>
      </c>
      <c r="Q611" t="n">
        <v>0</v>
      </c>
      <c r="R611" s="2" t="inlineStr"/>
    </row>
    <row r="612" ht="15" customHeight="1">
      <c r="A612" t="inlineStr">
        <is>
          <t>A 44857-2023</t>
        </is>
      </c>
      <c r="B612" s="1" t="n">
        <v>45190.58479166667</v>
      </c>
      <c r="C612" s="1" t="n">
        <v>46134</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46352-2023</t>
        </is>
      </c>
      <c r="B613" s="1" t="n">
        <v>45192</v>
      </c>
      <c r="C613" s="1" t="n">
        <v>46134</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22397-2022</t>
        </is>
      </c>
      <c r="B614" s="1" t="n">
        <v>44713</v>
      </c>
      <c r="C614" s="1" t="n">
        <v>46134</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27424-2023</t>
        </is>
      </c>
      <c r="B615" s="1" t="n">
        <v>45097.37690972222</v>
      </c>
      <c r="C615" s="1" t="n">
        <v>46134</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7469-2025</t>
        </is>
      </c>
      <c r="B616" s="1" t="n">
        <v>45705</v>
      </c>
      <c r="C616" s="1" t="n">
        <v>46134</v>
      </c>
      <c r="D616" t="inlineStr">
        <is>
          <t>VÄSTMANLANDS LÄN</t>
        </is>
      </c>
      <c r="E616" t="inlineStr">
        <is>
          <t>SALA</t>
        </is>
      </c>
      <c r="G616" t="n">
        <v>2.1</v>
      </c>
      <c r="H616" t="n">
        <v>0</v>
      </c>
      <c r="I616" t="n">
        <v>0</v>
      </c>
      <c r="J616" t="n">
        <v>0</v>
      </c>
      <c r="K616" t="n">
        <v>0</v>
      </c>
      <c r="L616" t="n">
        <v>0</v>
      </c>
      <c r="M616" t="n">
        <v>0</v>
      </c>
      <c r="N616" t="n">
        <v>0</v>
      </c>
      <c r="O616" t="n">
        <v>0</v>
      </c>
      <c r="P616" t="n">
        <v>0</v>
      </c>
      <c r="Q616" t="n">
        <v>0</v>
      </c>
      <c r="R616" s="2" t="inlineStr"/>
    </row>
    <row r="617" ht="15" customHeight="1">
      <c r="A617" t="inlineStr">
        <is>
          <t>A 6691-2025</t>
        </is>
      </c>
      <c r="B617" s="1" t="n">
        <v>45700.50625</v>
      </c>
      <c r="C617" s="1" t="n">
        <v>46134</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60036-2024</t>
        </is>
      </c>
      <c r="B618" s="1" t="n">
        <v>45642.46434027778</v>
      </c>
      <c r="C618" s="1" t="n">
        <v>46134</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43188-2023</t>
        </is>
      </c>
      <c r="B619" s="1" t="n">
        <v>45183</v>
      </c>
      <c r="C619" s="1" t="n">
        <v>46134</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43205-2023</t>
        </is>
      </c>
      <c r="B620" s="1" t="n">
        <v>45183</v>
      </c>
      <c r="C620" s="1" t="n">
        <v>46134</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28827-2022</t>
        </is>
      </c>
      <c r="B621" s="1" t="n">
        <v>44749.45561342593</v>
      </c>
      <c r="C621" s="1" t="n">
        <v>46134</v>
      </c>
      <c r="D621" t="inlineStr">
        <is>
          <t>VÄSTMANLANDS LÄN</t>
        </is>
      </c>
      <c r="E621" t="inlineStr">
        <is>
          <t>SALA</t>
        </is>
      </c>
      <c r="F621" t="inlineStr">
        <is>
          <t>Kommuner</t>
        </is>
      </c>
      <c r="G621" t="n">
        <v>11.9</v>
      </c>
      <c r="H621" t="n">
        <v>0</v>
      </c>
      <c r="I621" t="n">
        <v>0</v>
      </c>
      <c r="J621" t="n">
        <v>0</v>
      </c>
      <c r="K621" t="n">
        <v>0</v>
      </c>
      <c r="L621" t="n">
        <v>0</v>
      </c>
      <c r="M621" t="n">
        <v>0</v>
      </c>
      <c r="N621" t="n">
        <v>0</v>
      </c>
      <c r="O621" t="n">
        <v>0</v>
      </c>
      <c r="P621" t="n">
        <v>0</v>
      </c>
      <c r="Q621" t="n">
        <v>0</v>
      </c>
      <c r="R621" s="2" t="inlineStr"/>
    </row>
    <row r="622" ht="15" customHeight="1">
      <c r="A622" t="inlineStr">
        <is>
          <t>A 15756-2025</t>
        </is>
      </c>
      <c r="B622" s="1" t="n">
        <v>45748.56810185185</v>
      </c>
      <c r="C622" s="1" t="n">
        <v>46134</v>
      </c>
      <c r="D622" t="inlineStr">
        <is>
          <t>VÄSTMANLANDS LÄN</t>
        </is>
      </c>
      <c r="E622" t="inlineStr">
        <is>
          <t>SALA</t>
        </is>
      </c>
      <c r="F622" t="inlineStr">
        <is>
          <t>Bergvik skog öst AB</t>
        </is>
      </c>
      <c r="G622" t="n">
        <v>0.8</v>
      </c>
      <c r="H622" t="n">
        <v>0</v>
      </c>
      <c r="I622" t="n">
        <v>0</v>
      </c>
      <c r="J622" t="n">
        <v>0</v>
      </c>
      <c r="K622" t="n">
        <v>0</v>
      </c>
      <c r="L622" t="n">
        <v>0</v>
      </c>
      <c r="M622" t="n">
        <v>0</v>
      </c>
      <c r="N622" t="n">
        <v>0</v>
      </c>
      <c r="O622" t="n">
        <v>0</v>
      </c>
      <c r="P622" t="n">
        <v>0</v>
      </c>
      <c r="Q622" t="n">
        <v>0</v>
      </c>
      <c r="R622" s="2" t="inlineStr"/>
    </row>
    <row r="623" ht="15" customHeight="1">
      <c r="A623" t="inlineStr">
        <is>
          <t>A 19243-2025</t>
        </is>
      </c>
      <c r="B623" s="1" t="n">
        <v>45769</v>
      </c>
      <c r="C623" s="1" t="n">
        <v>46134</v>
      </c>
      <c r="D623" t="inlineStr">
        <is>
          <t>VÄSTMANLANDS LÄN</t>
        </is>
      </c>
      <c r="E623" t="inlineStr">
        <is>
          <t>SALA</t>
        </is>
      </c>
      <c r="F623" t="inlineStr">
        <is>
          <t>Bergvik skog öst AB</t>
        </is>
      </c>
      <c r="G623" t="n">
        <v>1.5</v>
      </c>
      <c r="H623" t="n">
        <v>0</v>
      </c>
      <c r="I623" t="n">
        <v>0</v>
      </c>
      <c r="J623" t="n">
        <v>0</v>
      </c>
      <c r="K623" t="n">
        <v>0</v>
      </c>
      <c r="L623" t="n">
        <v>0</v>
      </c>
      <c r="M623" t="n">
        <v>0</v>
      </c>
      <c r="N623" t="n">
        <v>0</v>
      </c>
      <c r="O623" t="n">
        <v>0</v>
      </c>
      <c r="P623" t="n">
        <v>0</v>
      </c>
      <c r="Q623" t="n">
        <v>0</v>
      </c>
      <c r="R623" s="2" t="inlineStr"/>
    </row>
    <row r="624" ht="15" customHeight="1">
      <c r="A624" t="inlineStr">
        <is>
          <t>A 59297-2023</t>
        </is>
      </c>
      <c r="B624" s="1" t="n">
        <v>45253</v>
      </c>
      <c r="C624" s="1" t="n">
        <v>46134</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6136-2025</t>
        </is>
      </c>
      <c r="B625" s="1" t="n">
        <v>45698.37601851852</v>
      </c>
      <c r="C625" s="1" t="n">
        <v>46134</v>
      </c>
      <c r="D625" t="inlineStr">
        <is>
          <t>VÄSTMANLANDS LÄN</t>
        </is>
      </c>
      <c r="E625" t="inlineStr">
        <is>
          <t>SALA</t>
        </is>
      </c>
      <c r="F625" t="inlineStr">
        <is>
          <t>Bergvik skog öst AB</t>
        </is>
      </c>
      <c r="G625" t="n">
        <v>2.2</v>
      </c>
      <c r="H625" t="n">
        <v>0</v>
      </c>
      <c r="I625" t="n">
        <v>0</v>
      </c>
      <c r="J625" t="n">
        <v>0</v>
      </c>
      <c r="K625" t="n">
        <v>0</v>
      </c>
      <c r="L625" t="n">
        <v>0</v>
      </c>
      <c r="M625" t="n">
        <v>0</v>
      </c>
      <c r="N625" t="n">
        <v>0</v>
      </c>
      <c r="O625" t="n">
        <v>0</v>
      </c>
      <c r="P625" t="n">
        <v>0</v>
      </c>
      <c r="Q625" t="n">
        <v>0</v>
      </c>
      <c r="R625" s="2" t="inlineStr"/>
    </row>
    <row r="626" ht="15" customHeight="1">
      <c r="A626" t="inlineStr">
        <is>
          <t>A 6190-2025</t>
        </is>
      </c>
      <c r="B626" s="1" t="n">
        <v>45698</v>
      </c>
      <c r="C626" s="1" t="n">
        <v>46134</v>
      </c>
      <c r="D626" t="inlineStr">
        <is>
          <t>VÄSTMANLANDS LÄN</t>
        </is>
      </c>
      <c r="E626" t="inlineStr">
        <is>
          <t>SALA</t>
        </is>
      </c>
      <c r="F626" t="inlineStr">
        <is>
          <t>Bergvik skog öst AB</t>
        </is>
      </c>
      <c r="G626" t="n">
        <v>4.6</v>
      </c>
      <c r="H626" t="n">
        <v>0</v>
      </c>
      <c r="I626" t="n">
        <v>0</v>
      </c>
      <c r="J626" t="n">
        <v>0</v>
      </c>
      <c r="K626" t="n">
        <v>0</v>
      </c>
      <c r="L626" t="n">
        <v>0</v>
      </c>
      <c r="M626" t="n">
        <v>0</v>
      </c>
      <c r="N626" t="n">
        <v>0</v>
      </c>
      <c r="O626" t="n">
        <v>0</v>
      </c>
      <c r="P626" t="n">
        <v>0</v>
      </c>
      <c r="Q626" t="n">
        <v>0</v>
      </c>
      <c r="R626" s="2" t="inlineStr"/>
    </row>
    <row r="627" ht="15" customHeight="1">
      <c r="A627" t="inlineStr">
        <is>
          <t>A 28863-2022</t>
        </is>
      </c>
      <c r="B627" s="1" t="n">
        <v>44749.50649305555</v>
      </c>
      <c r="C627" s="1" t="n">
        <v>46134</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25541-2024</t>
        </is>
      </c>
      <c r="B628" s="1" t="n">
        <v>45463.56337962963</v>
      </c>
      <c r="C628" s="1" t="n">
        <v>46134</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29213-2022</t>
        </is>
      </c>
      <c r="B629" s="1" t="n">
        <v>44750.57474537037</v>
      </c>
      <c r="C629" s="1" t="n">
        <v>46134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56964-2023</t>
        </is>
      </c>
      <c r="B630" s="1" t="n">
        <v>45244.63140046296</v>
      </c>
      <c r="C630" s="1" t="n">
        <v>46134</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1555-2024</t>
        </is>
      </c>
      <c r="B631" s="1" t="n">
        <v>45306</v>
      </c>
      <c r="C631" s="1" t="n">
        <v>46134</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13188-2025</t>
        </is>
      </c>
      <c r="B632" s="1" t="n">
        <v>45735.39246527778</v>
      </c>
      <c r="C632" s="1" t="n">
        <v>46134</v>
      </c>
      <c r="D632" t="inlineStr">
        <is>
          <t>VÄSTMANLANDS LÄN</t>
        </is>
      </c>
      <c r="E632" t="inlineStr">
        <is>
          <t>SALA</t>
        </is>
      </c>
      <c r="F632" t="inlineStr">
        <is>
          <t>Naturvårdsverket</t>
        </is>
      </c>
      <c r="G632" t="n">
        <v>18.4</v>
      </c>
      <c r="H632" t="n">
        <v>0</v>
      </c>
      <c r="I632" t="n">
        <v>0</v>
      </c>
      <c r="J632" t="n">
        <v>0</v>
      </c>
      <c r="K632" t="n">
        <v>0</v>
      </c>
      <c r="L632" t="n">
        <v>0</v>
      </c>
      <c r="M632" t="n">
        <v>0</v>
      </c>
      <c r="N632" t="n">
        <v>0</v>
      </c>
      <c r="O632" t="n">
        <v>0</v>
      </c>
      <c r="P632" t="n">
        <v>0</v>
      </c>
      <c r="Q632" t="n">
        <v>0</v>
      </c>
      <c r="R632" s="2" t="inlineStr"/>
    </row>
    <row r="633" ht="15" customHeight="1">
      <c r="A633" t="inlineStr">
        <is>
          <t>A 7197-2025</t>
        </is>
      </c>
      <c r="B633" s="1" t="n">
        <v>45702</v>
      </c>
      <c r="C633" s="1" t="n">
        <v>46134</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15099-2025</t>
        </is>
      </c>
      <c r="B634" s="1" t="n">
        <v>45744.3434837963</v>
      </c>
      <c r="C634" s="1" t="n">
        <v>46134</v>
      </c>
      <c r="D634" t="inlineStr">
        <is>
          <t>VÄSTMANLANDS LÄN</t>
        </is>
      </c>
      <c r="E634" t="inlineStr">
        <is>
          <t>SALA</t>
        </is>
      </c>
      <c r="F634" t="inlineStr">
        <is>
          <t>Sveaskog</t>
        </is>
      </c>
      <c r="G634" t="n">
        <v>14.4</v>
      </c>
      <c r="H634" t="n">
        <v>0</v>
      </c>
      <c r="I634" t="n">
        <v>0</v>
      </c>
      <c r="J634" t="n">
        <v>0</v>
      </c>
      <c r="K634" t="n">
        <v>0</v>
      </c>
      <c r="L634" t="n">
        <v>0</v>
      </c>
      <c r="M634" t="n">
        <v>0</v>
      </c>
      <c r="N634" t="n">
        <v>0</v>
      </c>
      <c r="O634" t="n">
        <v>0</v>
      </c>
      <c r="P634" t="n">
        <v>0</v>
      </c>
      <c r="Q634" t="n">
        <v>0</v>
      </c>
      <c r="R634" s="2" t="inlineStr"/>
    </row>
    <row r="635" ht="15" customHeight="1">
      <c r="A635" t="inlineStr">
        <is>
          <t>A 2928-2024</t>
        </is>
      </c>
      <c r="B635" s="1" t="n">
        <v>45315.59041666667</v>
      </c>
      <c r="C635" s="1" t="n">
        <v>46134</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9962-2025</t>
        </is>
      </c>
      <c r="B636" s="1" t="n">
        <v>45719.37072916667</v>
      </c>
      <c r="C636" s="1" t="n">
        <v>46134</v>
      </c>
      <c r="D636" t="inlineStr">
        <is>
          <t>VÄSTMANLANDS LÄN</t>
        </is>
      </c>
      <c r="E636" t="inlineStr">
        <is>
          <t>SALA</t>
        </is>
      </c>
      <c r="G636" t="n">
        <v>4.5</v>
      </c>
      <c r="H636" t="n">
        <v>0</v>
      </c>
      <c r="I636" t="n">
        <v>0</v>
      </c>
      <c r="J636" t="n">
        <v>0</v>
      </c>
      <c r="K636" t="n">
        <v>0</v>
      </c>
      <c r="L636" t="n">
        <v>0</v>
      </c>
      <c r="M636" t="n">
        <v>0</v>
      </c>
      <c r="N636" t="n">
        <v>0</v>
      </c>
      <c r="O636" t="n">
        <v>0</v>
      </c>
      <c r="P636" t="n">
        <v>0</v>
      </c>
      <c r="Q636" t="n">
        <v>0</v>
      </c>
      <c r="R636" s="2" t="inlineStr"/>
    </row>
    <row r="637" ht="15" customHeight="1">
      <c r="A637" t="inlineStr">
        <is>
          <t>A 14024-2025</t>
        </is>
      </c>
      <c r="B637" s="1" t="n">
        <v>45740.34650462963</v>
      </c>
      <c r="C637" s="1" t="n">
        <v>46134</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3551-2024</t>
        </is>
      </c>
      <c r="B638" s="1" t="n">
        <v>45320.61099537037</v>
      </c>
      <c r="C638" s="1" t="n">
        <v>46134</v>
      </c>
      <c r="D638" t="inlineStr">
        <is>
          <t>VÄSTMANLANDS LÄN</t>
        </is>
      </c>
      <c r="E638" t="inlineStr">
        <is>
          <t>SALA</t>
        </is>
      </c>
      <c r="F638" t="inlineStr">
        <is>
          <t>Kommuner</t>
        </is>
      </c>
      <c r="G638" t="n">
        <v>6</v>
      </c>
      <c r="H638" t="n">
        <v>0</v>
      </c>
      <c r="I638" t="n">
        <v>0</v>
      </c>
      <c r="J638" t="n">
        <v>0</v>
      </c>
      <c r="K638" t="n">
        <v>0</v>
      </c>
      <c r="L638" t="n">
        <v>0</v>
      </c>
      <c r="M638" t="n">
        <v>0</v>
      </c>
      <c r="N638" t="n">
        <v>0</v>
      </c>
      <c r="O638" t="n">
        <v>0</v>
      </c>
      <c r="P638" t="n">
        <v>0</v>
      </c>
      <c r="Q638" t="n">
        <v>0</v>
      </c>
      <c r="R638" s="2" t="inlineStr"/>
    </row>
    <row r="639" ht="15" customHeight="1">
      <c r="A639" t="inlineStr">
        <is>
          <t>A 62635-2022</t>
        </is>
      </c>
      <c r="B639" s="1" t="n">
        <v>44917</v>
      </c>
      <c r="C639" s="1" t="n">
        <v>46134</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19304-2025</t>
        </is>
      </c>
      <c r="B640" s="1" t="n">
        <v>45769</v>
      </c>
      <c r="C640" s="1" t="n">
        <v>46134</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56057-2023</t>
        </is>
      </c>
      <c r="B641" s="1" t="n">
        <v>45233</v>
      </c>
      <c r="C641" s="1" t="n">
        <v>46134</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55024-2023</t>
        </is>
      </c>
      <c r="B642" s="1" t="n">
        <v>45229</v>
      </c>
      <c r="C642" s="1" t="n">
        <v>46134</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55032-2023</t>
        </is>
      </c>
      <c r="B643" s="1" t="n">
        <v>45229</v>
      </c>
      <c r="C643" s="1" t="n">
        <v>46134</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29248-2022</t>
        </is>
      </c>
      <c r="B644" s="1" t="n">
        <v>44750</v>
      </c>
      <c r="C644" s="1" t="n">
        <v>46134</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46134</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39451-2022</t>
        </is>
      </c>
      <c r="B646" s="1" t="n">
        <v>44818.36606481481</v>
      </c>
      <c r="C646" s="1" t="n">
        <v>46134</v>
      </c>
      <c r="D646" t="inlineStr">
        <is>
          <t>VÄSTMANLANDS LÄN</t>
        </is>
      </c>
      <c r="E646" t="inlineStr">
        <is>
          <t>SALA</t>
        </is>
      </c>
      <c r="G646" t="n">
        <v>9.4</v>
      </c>
      <c r="H646" t="n">
        <v>0</v>
      </c>
      <c r="I646" t="n">
        <v>0</v>
      </c>
      <c r="J646" t="n">
        <v>0</v>
      </c>
      <c r="K646" t="n">
        <v>0</v>
      </c>
      <c r="L646" t="n">
        <v>0</v>
      </c>
      <c r="M646" t="n">
        <v>0</v>
      </c>
      <c r="N646" t="n">
        <v>0</v>
      </c>
      <c r="O646" t="n">
        <v>0</v>
      </c>
      <c r="P646" t="n">
        <v>0</v>
      </c>
      <c r="Q646" t="n">
        <v>0</v>
      </c>
      <c r="R646" s="2" t="inlineStr"/>
    </row>
    <row r="647" ht="15" customHeight="1">
      <c r="A647" t="inlineStr">
        <is>
          <t>A 11631-2023</t>
        </is>
      </c>
      <c r="B647" s="1" t="n">
        <v>44994.44001157407</v>
      </c>
      <c r="C647" s="1" t="n">
        <v>46134</v>
      </c>
      <c r="D647" t="inlineStr">
        <is>
          <t>VÄSTMANLANDS LÄN</t>
        </is>
      </c>
      <c r="E647" t="inlineStr">
        <is>
          <t>SALA</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62648-2022</t>
        </is>
      </c>
      <c r="B648" s="1" t="n">
        <v>44917</v>
      </c>
      <c r="C648" s="1" t="n">
        <v>46134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1934-2023</t>
        </is>
      </c>
      <c r="B649" s="1" t="n">
        <v>44939.43024305555</v>
      </c>
      <c r="C649" s="1" t="n">
        <v>46134</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11927-2025</t>
        </is>
      </c>
      <c r="B650" s="1" t="n">
        <v>45728.5137962963</v>
      </c>
      <c r="C650" s="1" t="n">
        <v>46134</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60823-2024</t>
        </is>
      </c>
      <c r="B651" s="1" t="n">
        <v>45644</v>
      </c>
      <c r="C651" s="1" t="n">
        <v>46134</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96-2024</t>
        </is>
      </c>
      <c r="B652" s="1" t="n">
        <v>45293.85872685185</v>
      </c>
      <c r="C652" s="1" t="n">
        <v>46134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23374-2023</t>
        </is>
      </c>
      <c r="B653" s="1" t="n">
        <v>45076.4399537037</v>
      </c>
      <c r="C653" s="1" t="n">
        <v>46134</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61874-2021</t>
        </is>
      </c>
      <c r="B654" s="1" t="n">
        <v>44502</v>
      </c>
      <c r="C654" s="1" t="n">
        <v>46134</v>
      </c>
      <c r="D654" t="inlineStr">
        <is>
          <t>VÄSTMANLANDS LÄN</t>
        </is>
      </c>
      <c r="E654" t="inlineStr">
        <is>
          <t>SALA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9856-2022</t>
        </is>
      </c>
      <c r="B655" s="1" t="n">
        <v>44620</v>
      </c>
      <c r="C655" s="1" t="n">
        <v>46134</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16159-2024</t>
        </is>
      </c>
      <c r="B656" s="1" t="n">
        <v>45406</v>
      </c>
      <c r="C656" s="1" t="n">
        <v>46134</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50241-2023</t>
        </is>
      </c>
      <c r="B657" s="1" t="n">
        <v>45216</v>
      </c>
      <c r="C657" s="1" t="n">
        <v>46134</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3332-2024</t>
        </is>
      </c>
      <c r="B658" s="1" t="n">
        <v>45317</v>
      </c>
      <c r="C658" s="1" t="n">
        <v>46134</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35637-2022</t>
        </is>
      </c>
      <c r="B659" s="1" t="n">
        <v>44799.55194444444</v>
      </c>
      <c r="C659" s="1" t="n">
        <v>46134</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57883-2024</t>
        </is>
      </c>
      <c r="B660" s="1" t="n">
        <v>45630</v>
      </c>
      <c r="C660" s="1" t="n">
        <v>46134</v>
      </c>
      <c r="D660" t="inlineStr">
        <is>
          <t>VÄSTMANLANDS LÄN</t>
        </is>
      </c>
      <c r="E660" t="inlineStr">
        <is>
          <t>SALA</t>
        </is>
      </c>
      <c r="G660" t="n">
        <v>5.4</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46134</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37624-2024</t>
        </is>
      </c>
      <c r="B662" s="1" t="n">
        <v>45541</v>
      </c>
      <c r="C662" s="1" t="n">
        <v>46134</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40398-2021</t>
        </is>
      </c>
      <c r="B663" s="1" t="n">
        <v>44419</v>
      </c>
      <c r="C663" s="1" t="n">
        <v>46134</v>
      </c>
      <c r="D663" t="inlineStr">
        <is>
          <t>VÄSTMANLANDS LÄN</t>
        </is>
      </c>
      <c r="E663" t="inlineStr">
        <is>
          <t>SALA</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46134</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27262-2024</t>
        </is>
      </c>
      <c r="B665" s="1" t="n">
        <v>45471</v>
      </c>
      <c r="C665" s="1" t="n">
        <v>46134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23119-2022</t>
        </is>
      </c>
      <c r="B666" s="1" t="n">
        <v>44719.56697916667</v>
      </c>
      <c r="C666" s="1" t="n">
        <v>46134</v>
      </c>
      <c r="D666" t="inlineStr">
        <is>
          <t>VÄSTMANLANDS LÄN</t>
        </is>
      </c>
      <c r="E666" t="inlineStr">
        <is>
          <t>SALA</t>
        </is>
      </c>
      <c r="G666" t="n">
        <v>7</v>
      </c>
      <c r="H666" t="n">
        <v>0</v>
      </c>
      <c r="I666" t="n">
        <v>0</v>
      </c>
      <c r="J666" t="n">
        <v>0</v>
      </c>
      <c r="K666" t="n">
        <v>0</v>
      </c>
      <c r="L666" t="n">
        <v>0</v>
      </c>
      <c r="M666" t="n">
        <v>0</v>
      </c>
      <c r="N666" t="n">
        <v>0</v>
      </c>
      <c r="O666" t="n">
        <v>0</v>
      </c>
      <c r="P666" t="n">
        <v>0</v>
      </c>
      <c r="Q666" t="n">
        <v>0</v>
      </c>
      <c r="R666" s="2" t="inlineStr"/>
    </row>
    <row r="667" ht="15" customHeight="1">
      <c r="A667" t="inlineStr">
        <is>
          <t>A 43751-2021</t>
        </is>
      </c>
      <c r="B667" s="1" t="n">
        <v>44433</v>
      </c>
      <c r="C667" s="1" t="n">
        <v>46134</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59483-2022</t>
        </is>
      </c>
      <c r="B668" s="1" t="n">
        <v>44907.45679398148</v>
      </c>
      <c r="C668" s="1" t="n">
        <v>46134</v>
      </c>
      <c r="D668" t="inlineStr">
        <is>
          <t>VÄSTMANLANDS LÄN</t>
        </is>
      </c>
      <c r="E668" t="inlineStr">
        <is>
          <t>SALA</t>
        </is>
      </c>
      <c r="G668" t="n">
        <v>5.2</v>
      </c>
      <c r="H668" t="n">
        <v>0</v>
      </c>
      <c r="I668" t="n">
        <v>0</v>
      </c>
      <c r="J668" t="n">
        <v>0</v>
      </c>
      <c r="K668" t="n">
        <v>0</v>
      </c>
      <c r="L668" t="n">
        <v>0</v>
      </c>
      <c r="M668" t="n">
        <v>0</v>
      </c>
      <c r="N668" t="n">
        <v>0</v>
      </c>
      <c r="O668" t="n">
        <v>0</v>
      </c>
      <c r="P668" t="n">
        <v>0</v>
      </c>
      <c r="Q668" t="n">
        <v>0</v>
      </c>
      <c r="R668" s="2" t="inlineStr"/>
    </row>
    <row r="669" ht="15" customHeight="1">
      <c r="A669" t="inlineStr">
        <is>
          <t>A 73673-2021</t>
        </is>
      </c>
      <c r="B669" s="1" t="n">
        <v>44552.46501157407</v>
      </c>
      <c r="C669" s="1" t="n">
        <v>46134</v>
      </c>
      <c r="D669" t="inlineStr">
        <is>
          <t>VÄSTMANLANDS LÄN</t>
        </is>
      </c>
      <c r="E669" t="inlineStr">
        <is>
          <t>SALA</t>
        </is>
      </c>
      <c r="G669" t="n">
        <v>11.4</v>
      </c>
      <c r="H669" t="n">
        <v>0</v>
      </c>
      <c r="I669" t="n">
        <v>0</v>
      </c>
      <c r="J669" t="n">
        <v>0</v>
      </c>
      <c r="K669" t="n">
        <v>0</v>
      </c>
      <c r="L669" t="n">
        <v>0</v>
      </c>
      <c r="M669" t="n">
        <v>0</v>
      </c>
      <c r="N669" t="n">
        <v>0</v>
      </c>
      <c r="O669" t="n">
        <v>0</v>
      </c>
      <c r="P669" t="n">
        <v>0</v>
      </c>
      <c r="Q669" t="n">
        <v>0</v>
      </c>
      <c r="R669" s="2" t="inlineStr"/>
    </row>
    <row r="670" ht="15" customHeight="1">
      <c r="A670" t="inlineStr">
        <is>
          <t>A 4853-2023</t>
        </is>
      </c>
      <c r="B670" s="1" t="n">
        <v>44957.73234953704</v>
      </c>
      <c r="C670" s="1" t="n">
        <v>46134</v>
      </c>
      <c r="D670" t="inlineStr">
        <is>
          <t>VÄSTMANLANDS LÄN</t>
        </is>
      </c>
      <c r="E670" t="inlineStr">
        <is>
          <t>SALA</t>
        </is>
      </c>
      <c r="G670" t="n">
        <v>2.7</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46134</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1793-2023</t>
        </is>
      </c>
      <c r="B672" s="1" t="n">
        <v>44937</v>
      </c>
      <c r="C672" s="1" t="n">
        <v>46134</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42447-2022</t>
        </is>
      </c>
      <c r="B673" s="1" t="n">
        <v>44831</v>
      </c>
      <c r="C673" s="1" t="n">
        <v>46134</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11183-2023</t>
        </is>
      </c>
      <c r="B674" s="1" t="n">
        <v>44992.57782407408</v>
      </c>
      <c r="C674" s="1" t="n">
        <v>46134</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11190-2023</t>
        </is>
      </c>
      <c r="B675" s="1" t="n">
        <v>44992</v>
      </c>
      <c r="C675" s="1" t="n">
        <v>46134</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31950-2023</t>
        </is>
      </c>
      <c r="B676" s="1" t="n">
        <v>45107</v>
      </c>
      <c r="C676" s="1" t="n">
        <v>46134</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48710-2024</t>
        </is>
      </c>
      <c r="B677" s="1" t="n">
        <v>45593.53636574074</v>
      </c>
      <c r="C677" s="1" t="n">
        <v>46134</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23406-2024</t>
        </is>
      </c>
      <c r="B678" s="1" t="n">
        <v>45453.58296296297</v>
      </c>
      <c r="C678" s="1" t="n">
        <v>46134</v>
      </c>
      <c r="D678" t="inlineStr">
        <is>
          <t>VÄSTMANLANDS LÄN</t>
        </is>
      </c>
      <c r="E678" t="inlineStr">
        <is>
          <t>SALA</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12246-2023</t>
        </is>
      </c>
      <c r="B679" s="1" t="n">
        <v>44995</v>
      </c>
      <c r="C679" s="1" t="n">
        <v>46134</v>
      </c>
      <c r="D679" t="inlineStr">
        <is>
          <t>VÄSTMANLANDS LÄN</t>
        </is>
      </c>
      <c r="E679" t="inlineStr">
        <is>
          <t>SALA</t>
        </is>
      </c>
      <c r="G679" t="n">
        <v>2.4</v>
      </c>
      <c r="H679" t="n">
        <v>0</v>
      </c>
      <c r="I679" t="n">
        <v>0</v>
      </c>
      <c r="J679" t="n">
        <v>0</v>
      </c>
      <c r="K679" t="n">
        <v>0</v>
      </c>
      <c r="L679" t="n">
        <v>0</v>
      </c>
      <c r="M679" t="n">
        <v>0</v>
      </c>
      <c r="N679" t="n">
        <v>0</v>
      </c>
      <c r="O679" t="n">
        <v>0</v>
      </c>
      <c r="P679" t="n">
        <v>0</v>
      </c>
      <c r="Q679" t="n">
        <v>0</v>
      </c>
      <c r="R679" s="2" t="inlineStr"/>
    </row>
    <row r="680" ht="15" customHeight="1">
      <c r="A680" t="inlineStr">
        <is>
          <t>A 48571-2024</t>
        </is>
      </c>
      <c r="B680" s="1" t="n">
        <v>45591</v>
      </c>
      <c r="C680" s="1" t="n">
        <v>46134</v>
      </c>
      <c r="D680" t="inlineStr">
        <is>
          <t>VÄSTMANLANDS LÄN</t>
        </is>
      </c>
      <c r="E680" t="inlineStr">
        <is>
          <t>SALA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43362-2023</t>
        </is>
      </c>
      <c r="B681" s="1" t="n">
        <v>45183</v>
      </c>
      <c r="C681" s="1" t="n">
        <v>46134</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16767-2024</t>
        </is>
      </c>
      <c r="B682" s="1" t="n">
        <v>45411.38171296296</v>
      </c>
      <c r="C682" s="1" t="n">
        <v>46134</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31470-2021</t>
        </is>
      </c>
      <c r="B683" s="1" t="n">
        <v>44369</v>
      </c>
      <c r="C683" s="1" t="n">
        <v>46134</v>
      </c>
      <c r="D683" t="inlineStr">
        <is>
          <t>VÄSTMANLANDS LÄN</t>
        </is>
      </c>
      <c r="E683" t="inlineStr">
        <is>
          <t>SALA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18461-2024</t>
        </is>
      </c>
      <c r="B684" s="1" t="n">
        <v>45425.47435185185</v>
      </c>
      <c r="C684" s="1" t="n">
        <v>46134</v>
      </c>
      <c r="D684" t="inlineStr">
        <is>
          <t>VÄSTMANLANDS LÄN</t>
        </is>
      </c>
      <c r="E684" t="inlineStr">
        <is>
          <t>SALA</t>
        </is>
      </c>
      <c r="G684" t="n">
        <v>1.7</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46134</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46134</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46134</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19065-2022</t>
        </is>
      </c>
      <c r="B688" s="1" t="n">
        <v>44691.44309027777</v>
      </c>
      <c r="C688" s="1" t="n">
        <v>46134</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22961-2023</t>
        </is>
      </c>
      <c r="B689" s="1" t="n">
        <v>45072</v>
      </c>
      <c r="C689" s="1" t="n">
        <v>46134</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46134</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10585-2022</t>
        </is>
      </c>
      <c r="B691" s="1" t="n">
        <v>44624</v>
      </c>
      <c r="C691" s="1" t="n">
        <v>46134</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69236-2021</t>
        </is>
      </c>
      <c r="B692" s="1" t="n">
        <v>44531.4047337963</v>
      </c>
      <c r="C692" s="1" t="n">
        <v>46134</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48117-2024</t>
        </is>
      </c>
      <c r="B693" s="1" t="n">
        <v>45589</v>
      </c>
      <c r="C693" s="1" t="n">
        <v>46134</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12225-2023</t>
        </is>
      </c>
      <c r="B694" s="1" t="n">
        <v>44995</v>
      </c>
      <c r="C694" s="1" t="n">
        <v>46134</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12252-2023</t>
        </is>
      </c>
      <c r="B695" s="1" t="n">
        <v>44995</v>
      </c>
      <c r="C695" s="1" t="n">
        <v>46134</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6116-2023</t>
        </is>
      </c>
      <c r="B696" s="1" t="n">
        <v>44964</v>
      </c>
      <c r="C696" s="1" t="n">
        <v>46134</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46134</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13471-2025</t>
        </is>
      </c>
      <c r="B698" s="1" t="n">
        <v>45736.40579861111</v>
      </c>
      <c r="C698" s="1" t="n">
        <v>46134</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26854-2024</t>
        </is>
      </c>
      <c r="B699" s="1" t="n">
        <v>45470</v>
      </c>
      <c r="C699" s="1" t="n">
        <v>46134</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37602-2024</t>
        </is>
      </c>
      <c r="B700" s="1" t="n">
        <v>45541</v>
      </c>
      <c r="C700" s="1" t="n">
        <v>46134</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1985-2022</t>
        </is>
      </c>
      <c r="B701" s="1" t="n">
        <v>44575</v>
      </c>
      <c r="C701" s="1" t="n">
        <v>46134</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46134</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4797-2023</t>
        </is>
      </c>
      <c r="B703" s="1" t="n">
        <v>44957</v>
      </c>
      <c r="C703" s="1" t="n">
        <v>46134</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4852-2023</t>
        </is>
      </c>
      <c r="B704" s="1" t="n">
        <v>44957.72496527778</v>
      </c>
      <c r="C704" s="1" t="n">
        <v>46134</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36858-2023</t>
        </is>
      </c>
      <c r="B705" s="1" t="n">
        <v>45154.55184027777</v>
      </c>
      <c r="C705" s="1" t="n">
        <v>46134</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58701-2021</t>
        </is>
      </c>
      <c r="B706" s="1" t="n">
        <v>44489.46454861111</v>
      </c>
      <c r="C706" s="1" t="n">
        <v>46134</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37337-2024</t>
        </is>
      </c>
      <c r="B707" s="1" t="n">
        <v>45540</v>
      </c>
      <c r="C707" s="1" t="n">
        <v>46134</v>
      </c>
      <c r="D707" t="inlineStr">
        <is>
          <t>VÄSTMANLANDS LÄN</t>
        </is>
      </c>
      <c r="E707" t="inlineStr">
        <is>
          <t>SALA</t>
        </is>
      </c>
      <c r="G707" t="n">
        <v>6.5</v>
      </c>
      <c r="H707" t="n">
        <v>0</v>
      </c>
      <c r="I707" t="n">
        <v>0</v>
      </c>
      <c r="J707" t="n">
        <v>0</v>
      </c>
      <c r="K707" t="n">
        <v>0</v>
      </c>
      <c r="L707" t="n">
        <v>0</v>
      </c>
      <c r="M707" t="n">
        <v>0</v>
      </c>
      <c r="N707" t="n">
        <v>0</v>
      </c>
      <c r="O707" t="n">
        <v>0</v>
      </c>
      <c r="P707" t="n">
        <v>0</v>
      </c>
      <c r="Q707" t="n">
        <v>0</v>
      </c>
      <c r="R707" s="2" t="inlineStr"/>
    </row>
    <row r="708" ht="15" customHeight="1">
      <c r="A708" t="inlineStr">
        <is>
          <t>A 10250-2025</t>
        </is>
      </c>
      <c r="B708" s="1" t="n">
        <v>45720.36165509259</v>
      </c>
      <c r="C708" s="1" t="n">
        <v>46134</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46134</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21053-2022</t>
        </is>
      </c>
      <c r="B710" s="1" t="n">
        <v>44704</v>
      </c>
      <c r="C710" s="1" t="n">
        <v>46134</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18340-2025</t>
        </is>
      </c>
      <c r="B711" s="1" t="n">
        <v>45762</v>
      </c>
      <c r="C711" s="1" t="n">
        <v>46134</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16638-2023</t>
        </is>
      </c>
      <c r="B712" s="1" t="n">
        <v>45027</v>
      </c>
      <c r="C712" s="1" t="n">
        <v>46134</v>
      </c>
      <c r="D712" t="inlineStr">
        <is>
          <t>VÄSTMANLANDS LÄN</t>
        </is>
      </c>
      <c r="E712" t="inlineStr">
        <is>
          <t>SALA</t>
        </is>
      </c>
      <c r="G712" t="n">
        <v>14.8</v>
      </c>
      <c r="H712" t="n">
        <v>0</v>
      </c>
      <c r="I712" t="n">
        <v>0</v>
      </c>
      <c r="J712" t="n">
        <v>0</v>
      </c>
      <c r="K712" t="n">
        <v>0</v>
      </c>
      <c r="L712" t="n">
        <v>0</v>
      </c>
      <c r="M712" t="n">
        <v>0</v>
      </c>
      <c r="N712" t="n">
        <v>0</v>
      </c>
      <c r="O712" t="n">
        <v>0</v>
      </c>
      <c r="P712" t="n">
        <v>0</v>
      </c>
      <c r="Q712" t="n">
        <v>0</v>
      </c>
      <c r="R712" s="2" t="inlineStr"/>
    </row>
    <row r="713" ht="15" customHeight="1">
      <c r="A713" t="inlineStr">
        <is>
          <t>A 17117-2023</t>
        </is>
      </c>
      <c r="B713" s="1" t="n">
        <v>45034</v>
      </c>
      <c r="C713" s="1" t="n">
        <v>46134</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59909-2024</t>
        </is>
      </c>
      <c r="B714" s="1" t="n">
        <v>45641</v>
      </c>
      <c r="C714" s="1" t="n">
        <v>46134</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30028-2024</t>
        </is>
      </c>
      <c r="B715" s="1" t="n">
        <v>45485</v>
      </c>
      <c r="C715" s="1" t="n">
        <v>46134</v>
      </c>
      <c r="D715" t="inlineStr">
        <is>
          <t>VÄSTMANLANDS LÄN</t>
        </is>
      </c>
      <c r="E715" t="inlineStr">
        <is>
          <t>SALA</t>
        </is>
      </c>
      <c r="G715" t="n">
        <v>2.6</v>
      </c>
      <c r="H715" t="n">
        <v>0</v>
      </c>
      <c r="I715" t="n">
        <v>0</v>
      </c>
      <c r="J715" t="n">
        <v>0</v>
      </c>
      <c r="K715" t="n">
        <v>0</v>
      </c>
      <c r="L715" t="n">
        <v>0</v>
      </c>
      <c r="M715" t="n">
        <v>0</v>
      </c>
      <c r="N715" t="n">
        <v>0</v>
      </c>
      <c r="O715" t="n">
        <v>0</v>
      </c>
      <c r="P715" t="n">
        <v>0</v>
      </c>
      <c r="Q715" t="n">
        <v>0</v>
      </c>
      <c r="R715" s="2" t="inlineStr"/>
    </row>
    <row r="716" ht="15" customHeight="1">
      <c r="A716" t="inlineStr">
        <is>
          <t>A 33309-2022</t>
        </is>
      </c>
      <c r="B716" s="1" t="n">
        <v>44788.40986111111</v>
      </c>
      <c r="C716" s="1" t="n">
        <v>46134</v>
      </c>
      <c r="D716" t="inlineStr">
        <is>
          <t>VÄSTMANLANDS LÄN</t>
        </is>
      </c>
      <c r="E716" t="inlineStr">
        <is>
          <t>SALA</t>
        </is>
      </c>
      <c r="G716" t="n">
        <v>2.6</v>
      </c>
      <c r="H716" t="n">
        <v>0</v>
      </c>
      <c r="I716" t="n">
        <v>0</v>
      </c>
      <c r="J716" t="n">
        <v>0</v>
      </c>
      <c r="K716" t="n">
        <v>0</v>
      </c>
      <c r="L716" t="n">
        <v>0</v>
      </c>
      <c r="M716" t="n">
        <v>0</v>
      </c>
      <c r="N716" t="n">
        <v>0</v>
      </c>
      <c r="O716" t="n">
        <v>0</v>
      </c>
      <c r="P716" t="n">
        <v>0</v>
      </c>
      <c r="Q716" t="n">
        <v>0</v>
      </c>
      <c r="R716" s="2" t="inlineStr"/>
    </row>
    <row r="717" ht="15" customHeight="1">
      <c r="A717" t="inlineStr">
        <is>
          <t>A 7377-2023</t>
        </is>
      </c>
      <c r="B717" s="1" t="n">
        <v>44971</v>
      </c>
      <c r="C717" s="1" t="n">
        <v>46134</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27229-2022</t>
        </is>
      </c>
      <c r="B718" s="1" t="n">
        <v>44741</v>
      </c>
      <c r="C718" s="1" t="n">
        <v>46134</v>
      </c>
      <c r="D718" t="inlineStr">
        <is>
          <t>VÄSTMANLANDS LÄN</t>
        </is>
      </c>
      <c r="E718" t="inlineStr">
        <is>
          <t>SALA</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24755-2021</t>
        </is>
      </c>
      <c r="B719" s="1" t="n">
        <v>44340</v>
      </c>
      <c r="C719" s="1" t="n">
        <v>46134</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34867-2023</t>
        </is>
      </c>
      <c r="B720" s="1" t="n">
        <v>45142.33481481481</v>
      </c>
      <c r="C720" s="1" t="n">
        <v>46134</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25748-2022</t>
        </is>
      </c>
      <c r="B721" s="1" t="n">
        <v>44732</v>
      </c>
      <c r="C721" s="1" t="n">
        <v>46134</v>
      </c>
      <c r="D721" t="inlineStr">
        <is>
          <t>VÄSTMANLANDS LÄN</t>
        </is>
      </c>
      <c r="E721" t="inlineStr">
        <is>
          <t>SALA</t>
        </is>
      </c>
      <c r="G721" t="n">
        <v>7.7</v>
      </c>
      <c r="H721" t="n">
        <v>0</v>
      </c>
      <c r="I721" t="n">
        <v>0</v>
      </c>
      <c r="J721" t="n">
        <v>0</v>
      </c>
      <c r="K721" t="n">
        <v>0</v>
      </c>
      <c r="L721" t="n">
        <v>0</v>
      </c>
      <c r="M721" t="n">
        <v>0</v>
      </c>
      <c r="N721" t="n">
        <v>0</v>
      </c>
      <c r="O721" t="n">
        <v>0</v>
      </c>
      <c r="P721" t="n">
        <v>0</v>
      </c>
      <c r="Q721" t="n">
        <v>0</v>
      </c>
      <c r="R721" s="2" t="inlineStr"/>
    </row>
    <row r="722" ht="15" customHeight="1">
      <c r="A722" t="inlineStr">
        <is>
          <t>A 49512-2024</t>
        </is>
      </c>
      <c r="B722" s="1" t="n">
        <v>45591</v>
      </c>
      <c r="C722" s="1" t="n">
        <v>46134</v>
      </c>
      <c r="D722" t="inlineStr">
        <is>
          <t>VÄSTMANLANDS LÄN</t>
        </is>
      </c>
      <c r="E722" t="inlineStr">
        <is>
          <t>SALA</t>
        </is>
      </c>
      <c r="G722" t="n">
        <v>8.1</v>
      </c>
      <c r="H722" t="n">
        <v>0</v>
      </c>
      <c r="I722" t="n">
        <v>0</v>
      </c>
      <c r="J722" t="n">
        <v>0</v>
      </c>
      <c r="K722" t="n">
        <v>0</v>
      </c>
      <c r="L722" t="n">
        <v>0</v>
      </c>
      <c r="M722" t="n">
        <v>0</v>
      </c>
      <c r="N722" t="n">
        <v>0</v>
      </c>
      <c r="O722" t="n">
        <v>0</v>
      </c>
      <c r="P722" t="n">
        <v>0</v>
      </c>
      <c r="Q722" t="n">
        <v>0</v>
      </c>
      <c r="R722" s="2" t="inlineStr"/>
    </row>
    <row r="723" ht="15" customHeight="1">
      <c r="A723" t="inlineStr">
        <is>
          <t>A 13128-2023</t>
        </is>
      </c>
      <c r="B723" s="1" t="n">
        <v>45002</v>
      </c>
      <c r="C723" s="1" t="n">
        <v>46134</v>
      </c>
      <c r="D723" t="inlineStr">
        <is>
          <t>VÄSTMANLANDS LÄN</t>
        </is>
      </c>
      <c r="E723" t="inlineStr">
        <is>
          <t>SALA</t>
        </is>
      </c>
      <c r="G723" t="n">
        <v>7.9</v>
      </c>
      <c r="H723" t="n">
        <v>0</v>
      </c>
      <c r="I723" t="n">
        <v>0</v>
      </c>
      <c r="J723" t="n">
        <v>0</v>
      </c>
      <c r="K723" t="n">
        <v>0</v>
      </c>
      <c r="L723" t="n">
        <v>0</v>
      </c>
      <c r="M723" t="n">
        <v>0</v>
      </c>
      <c r="N723" t="n">
        <v>0</v>
      </c>
      <c r="O723" t="n">
        <v>0</v>
      </c>
      <c r="P723" t="n">
        <v>0</v>
      </c>
      <c r="Q723" t="n">
        <v>0</v>
      </c>
      <c r="R723" s="2" t="inlineStr"/>
    </row>
    <row r="724" ht="15" customHeight="1">
      <c r="A724" t="inlineStr">
        <is>
          <t>A 37958-2024</t>
        </is>
      </c>
      <c r="B724" s="1" t="n">
        <v>45544</v>
      </c>
      <c r="C724" s="1" t="n">
        <v>46134</v>
      </c>
      <c r="D724" t="inlineStr">
        <is>
          <t>VÄSTMANLANDS LÄN</t>
        </is>
      </c>
      <c r="E724" t="inlineStr">
        <is>
          <t>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18431-2023</t>
        </is>
      </c>
      <c r="B725" s="1" t="n">
        <v>45042</v>
      </c>
      <c r="C725" s="1" t="n">
        <v>46134</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57650-2024</t>
        </is>
      </c>
      <c r="B726" s="1" t="n">
        <v>45630</v>
      </c>
      <c r="C726" s="1" t="n">
        <v>46134</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10255-2024</t>
        </is>
      </c>
      <c r="B727" s="1" t="n">
        <v>45365</v>
      </c>
      <c r="C727" s="1" t="n">
        <v>46134</v>
      </c>
      <c r="D727" t="inlineStr">
        <is>
          <t>VÄSTMANLANDS LÄN</t>
        </is>
      </c>
      <c r="E727" t="inlineStr">
        <is>
          <t>SALA</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28696-2023</t>
        </is>
      </c>
      <c r="B728" s="1" t="n">
        <v>45103.71759259259</v>
      </c>
      <c r="C728" s="1" t="n">
        <v>46134</v>
      </c>
      <c r="D728" t="inlineStr">
        <is>
          <t>VÄSTMANLANDS LÄN</t>
        </is>
      </c>
      <c r="E728" t="inlineStr">
        <is>
          <t>SALA</t>
        </is>
      </c>
      <c r="F728" t="inlineStr">
        <is>
          <t>Kommuner</t>
        </is>
      </c>
      <c r="G728" t="n">
        <v>5.9</v>
      </c>
      <c r="H728" t="n">
        <v>0</v>
      </c>
      <c r="I728" t="n">
        <v>0</v>
      </c>
      <c r="J728" t="n">
        <v>0</v>
      </c>
      <c r="K728" t="n">
        <v>0</v>
      </c>
      <c r="L728" t="n">
        <v>0</v>
      </c>
      <c r="M728" t="n">
        <v>0</v>
      </c>
      <c r="N728" t="n">
        <v>0</v>
      </c>
      <c r="O728" t="n">
        <v>0</v>
      </c>
      <c r="P728" t="n">
        <v>0</v>
      </c>
      <c r="Q728" t="n">
        <v>0</v>
      </c>
      <c r="R728" s="2" t="inlineStr"/>
    </row>
    <row r="729" ht="15" customHeight="1">
      <c r="A729" t="inlineStr">
        <is>
          <t>A 31072-2021</t>
        </is>
      </c>
      <c r="B729" s="1" t="n">
        <v>44368</v>
      </c>
      <c r="C729" s="1" t="n">
        <v>46134</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16543-2023</t>
        </is>
      </c>
      <c r="B730" s="1" t="n">
        <v>45029</v>
      </c>
      <c r="C730" s="1" t="n">
        <v>46134</v>
      </c>
      <c r="D730" t="inlineStr">
        <is>
          <t>VÄSTMANLANDS LÄN</t>
        </is>
      </c>
      <c r="E730" t="inlineStr">
        <is>
          <t>SALA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46134</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4663-2022</t>
        </is>
      </c>
      <c r="B732" s="1" t="n">
        <v>44592.45429398148</v>
      </c>
      <c r="C732" s="1" t="n">
        <v>46134</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6132-2025</t>
        </is>
      </c>
      <c r="B733" s="1" t="n">
        <v>45698</v>
      </c>
      <c r="C733" s="1" t="n">
        <v>46134</v>
      </c>
      <c r="D733" t="inlineStr">
        <is>
          <t>VÄSTMANLANDS LÄN</t>
        </is>
      </c>
      <c r="E733" t="inlineStr">
        <is>
          <t>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31859-2023</t>
        </is>
      </c>
      <c r="B734" s="1" t="n">
        <v>45118</v>
      </c>
      <c r="C734" s="1" t="n">
        <v>46134</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c r="U734">
        <f>HYPERLINK("https://klasma.github.io/Logging_1981/knärot/A 31859-2023 karta knärot.png", "A 31859-2023")</f>
        <v/>
      </c>
      <c r="V734">
        <f>HYPERLINK("https://klasma.github.io/Logging_1981/klagomål/A 31859-2023 FSC-klagomål.docx", "A 31859-2023")</f>
        <v/>
      </c>
      <c r="W734">
        <f>HYPERLINK("https://klasma.github.io/Logging_1981/klagomålsmail/A 31859-2023 FSC-klagomål mail.docx", "A 31859-2023")</f>
        <v/>
      </c>
      <c r="X734">
        <f>HYPERLINK("https://klasma.github.io/Logging_1981/tillsyn/A 31859-2023 tillsynsbegäran.docx", "A 31859-2023")</f>
        <v/>
      </c>
      <c r="Y734">
        <f>HYPERLINK("https://klasma.github.io/Logging_1981/tillsynsmail/A 31859-2023 tillsynsbegäran mail.docx", "A 31859-2023")</f>
        <v/>
      </c>
    </row>
    <row r="735" ht="15" customHeight="1">
      <c r="A735" t="inlineStr">
        <is>
          <t>A 61681-2024</t>
        </is>
      </c>
      <c r="B735" s="1" t="n">
        <v>45647</v>
      </c>
      <c r="C735" s="1" t="n">
        <v>46134</v>
      </c>
      <c r="D735" t="inlineStr">
        <is>
          <t>VÄSTMANLANDS LÄN</t>
        </is>
      </c>
      <c r="E735" t="inlineStr">
        <is>
          <t>SALA</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54960-2024</t>
        </is>
      </c>
      <c r="B736" s="1" t="n">
        <v>45619.85208333333</v>
      </c>
      <c r="C736" s="1" t="n">
        <v>46134</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31082-2021</t>
        </is>
      </c>
      <c r="B737" s="1" t="n">
        <v>44368</v>
      </c>
      <c r="C737" s="1" t="n">
        <v>46134</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20352-2022</t>
        </is>
      </c>
      <c r="B738" s="1" t="n">
        <v>44699.37318287037</v>
      </c>
      <c r="C738" s="1" t="n">
        <v>46134</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45097.76631944445</v>
      </c>
      <c r="C739" s="1" t="n">
        <v>46134</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2766-2024</t>
        </is>
      </c>
      <c r="B740" s="1" t="n">
        <v>45314.60950231482</v>
      </c>
      <c r="C740" s="1" t="n">
        <v>46134</v>
      </c>
      <c r="D740" t="inlineStr">
        <is>
          <t>VÄSTMANLANDS LÄN</t>
        </is>
      </c>
      <c r="E740" t="inlineStr">
        <is>
          <t>SALA</t>
        </is>
      </c>
      <c r="G740" t="n">
        <v>2.8</v>
      </c>
      <c r="H740" t="n">
        <v>0</v>
      </c>
      <c r="I740" t="n">
        <v>0</v>
      </c>
      <c r="J740" t="n">
        <v>0</v>
      </c>
      <c r="K740" t="n">
        <v>0</v>
      </c>
      <c r="L740" t="n">
        <v>0</v>
      </c>
      <c r="M740" t="n">
        <v>0</v>
      </c>
      <c r="N740" t="n">
        <v>0</v>
      </c>
      <c r="O740" t="n">
        <v>0</v>
      </c>
      <c r="P740" t="n">
        <v>0</v>
      </c>
      <c r="Q740" t="n">
        <v>0</v>
      </c>
      <c r="R740" s="2" t="inlineStr"/>
    </row>
    <row r="741" ht="15" customHeight="1">
      <c r="A741" t="inlineStr">
        <is>
          <t>A 60550-2024</t>
        </is>
      </c>
      <c r="B741" s="1" t="n">
        <v>45643</v>
      </c>
      <c r="C741" s="1" t="n">
        <v>46134</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14690-2025</t>
        </is>
      </c>
      <c r="B742" s="1" t="n">
        <v>45742.58212962963</v>
      </c>
      <c r="C742" s="1" t="n">
        <v>46134</v>
      </c>
      <c r="D742" t="inlineStr">
        <is>
          <t>VÄSTMANLANDS LÄN</t>
        </is>
      </c>
      <c r="E742" t="inlineStr">
        <is>
          <t>SALA</t>
        </is>
      </c>
      <c r="G742" t="n">
        <v>3.4</v>
      </c>
      <c r="H742" t="n">
        <v>0</v>
      </c>
      <c r="I742" t="n">
        <v>0</v>
      </c>
      <c r="J742" t="n">
        <v>0</v>
      </c>
      <c r="K742" t="n">
        <v>0</v>
      </c>
      <c r="L742" t="n">
        <v>0</v>
      </c>
      <c r="M742" t="n">
        <v>0</v>
      </c>
      <c r="N742" t="n">
        <v>0</v>
      </c>
      <c r="O742" t="n">
        <v>0</v>
      </c>
      <c r="P742" t="n">
        <v>0</v>
      </c>
      <c r="Q742" t="n">
        <v>0</v>
      </c>
      <c r="R742" s="2" t="inlineStr"/>
    </row>
    <row r="743" ht="15" customHeight="1">
      <c r="A743" t="inlineStr">
        <is>
          <t>A 24175-2024</t>
        </is>
      </c>
      <c r="B743" s="1" t="n">
        <v>45456</v>
      </c>
      <c r="C743" s="1" t="n">
        <v>46134</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62449-2023</t>
        </is>
      </c>
      <c r="B744" s="1" t="n">
        <v>45268.49008101852</v>
      </c>
      <c r="C744" s="1" t="n">
        <v>46134</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54910-2023</t>
        </is>
      </c>
      <c r="B745" s="1" t="n">
        <v>45229</v>
      </c>
      <c r="C745" s="1" t="n">
        <v>46134</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19222-2025</t>
        </is>
      </c>
      <c r="B746" s="1" t="n">
        <v>45769</v>
      </c>
      <c r="C746" s="1" t="n">
        <v>46134</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19241-2025</t>
        </is>
      </c>
      <c r="B747" s="1" t="n">
        <v>45769</v>
      </c>
      <c r="C747" s="1" t="n">
        <v>46134</v>
      </c>
      <c r="D747" t="inlineStr">
        <is>
          <t>VÄSTMANLANDS LÄN</t>
        </is>
      </c>
      <c r="E747" t="inlineStr">
        <is>
          <t>SALA</t>
        </is>
      </c>
      <c r="G747" t="n">
        <v>3.6</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45092.38087962963</v>
      </c>
      <c r="C748" s="1" t="n">
        <v>46134</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45093.360625</v>
      </c>
      <c r="C749" s="1" t="n">
        <v>46134</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15681-2025</t>
        </is>
      </c>
      <c r="B750" s="1" t="n">
        <v>45748.45454861111</v>
      </c>
      <c r="C750" s="1" t="n">
        <v>46134</v>
      </c>
      <c r="D750" t="inlineStr">
        <is>
          <t>VÄSTMANLANDS LÄN</t>
        </is>
      </c>
      <c r="E750" t="inlineStr">
        <is>
          <t>SALA</t>
        </is>
      </c>
      <c r="F750" t="inlineStr">
        <is>
          <t>Bergvik skog öst AB</t>
        </is>
      </c>
      <c r="G750" t="n">
        <v>4.3</v>
      </c>
      <c r="H750" t="n">
        <v>0</v>
      </c>
      <c r="I750" t="n">
        <v>0</v>
      </c>
      <c r="J750" t="n">
        <v>0</v>
      </c>
      <c r="K750" t="n">
        <v>0</v>
      </c>
      <c r="L750" t="n">
        <v>0</v>
      </c>
      <c r="M750" t="n">
        <v>0</v>
      </c>
      <c r="N750" t="n">
        <v>0</v>
      </c>
      <c r="O750" t="n">
        <v>0</v>
      </c>
      <c r="P750" t="n">
        <v>0</v>
      </c>
      <c r="Q750" t="n">
        <v>0</v>
      </c>
      <c r="R750" s="2" t="inlineStr"/>
    </row>
    <row r="751" ht="15" customHeight="1">
      <c r="A751" t="inlineStr">
        <is>
          <t>A 2925-2024</t>
        </is>
      </c>
      <c r="B751" s="1" t="n">
        <v>45315.58909722222</v>
      </c>
      <c r="C751" s="1" t="n">
        <v>46134</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44746-2024</t>
        </is>
      </c>
      <c r="B752" s="1" t="n">
        <v>45574.59813657407</v>
      </c>
      <c r="C752" s="1" t="n">
        <v>46134</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44713-2023</t>
        </is>
      </c>
      <c r="B753" s="1" t="n">
        <v>45184</v>
      </c>
      <c r="C753" s="1" t="n">
        <v>46134</v>
      </c>
      <c r="D753" t="inlineStr">
        <is>
          <t>VÄSTMANLANDS LÄN</t>
        </is>
      </c>
      <c r="E753" t="inlineStr">
        <is>
          <t>SALA</t>
        </is>
      </c>
      <c r="F753" t="inlineStr">
        <is>
          <t>Kyrkan</t>
        </is>
      </c>
      <c r="G753" t="n">
        <v>7.6</v>
      </c>
      <c r="H753" t="n">
        <v>0</v>
      </c>
      <c r="I753" t="n">
        <v>0</v>
      </c>
      <c r="J753" t="n">
        <v>0</v>
      </c>
      <c r="K753" t="n">
        <v>0</v>
      </c>
      <c r="L753" t="n">
        <v>0</v>
      </c>
      <c r="M753" t="n">
        <v>0</v>
      </c>
      <c r="N753" t="n">
        <v>0</v>
      </c>
      <c r="O753" t="n">
        <v>0</v>
      </c>
      <c r="P753" t="n">
        <v>0</v>
      </c>
      <c r="Q753" t="n">
        <v>0</v>
      </c>
      <c r="R753" s="2" t="inlineStr"/>
    </row>
    <row r="754" ht="15" customHeight="1">
      <c r="A754" t="inlineStr">
        <is>
          <t>A 23431-2024</t>
        </is>
      </c>
      <c r="B754" s="1" t="n">
        <v>45453</v>
      </c>
      <c r="C754" s="1" t="n">
        <v>46134</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21168-2025</t>
        </is>
      </c>
      <c r="B755" s="1" t="n">
        <v>45777</v>
      </c>
      <c r="C755" s="1" t="n">
        <v>46134</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21751-2025</t>
        </is>
      </c>
      <c r="B756" s="1" t="n">
        <v>45783.61372685185</v>
      </c>
      <c r="C756" s="1" t="n">
        <v>46134</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21754-2025</t>
        </is>
      </c>
      <c r="B757" s="1" t="n">
        <v>45783.61837962963</v>
      </c>
      <c r="C757" s="1" t="n">
        <v>46134</v>
      </c>
      <c r="D757" t="inlineStr">
        <is>
          <t>VÄSTMANLANDS LÄN</t>
        </is>
      </c>
      <c r="E757" t="inlineStr">
        <is>
          <t>SALA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37587-2024</t>
        </is>
      </c>
      <c r="B758" s="1" t="n">
        <v>45541</v>
      </c>
      <c r="C758" s="1" t="n">
        <v>46134</v>
      </c>
      <c r="D758" t="inlineStr">
        <is>
          <t>VÄSTMANLANDS LÄN</t>
        </is>
      </c>
      <c r="E758" t="inlineStr">
        <is>
          <t>SALA</t>
        </is>
      </c>
      <c r="G758" t="n">
        <v>1.2</v>
      </c>
      <c r="H758" t="n">
        <v>0</v>
      </c>
      <c r="I758" t="n">
        <v>0</v>
      </c>
      <c r="J758" t="n">
        <v>0</v>
      </c>
      <c r="K758" t="n">
        <v>0</v>
      </c>
      <c r="L758" t="n">
        <v>0</v>
      </c>
      <c r="M758" t="n">
        <v>0</v>
      </c>
      <c r="N758" t="n">
        <v>0</v>
      </c>
      <c r="O758" t="n">
        <v>0</v>
      </c>
      <c r="P758" t="n">
        <v>0</v>
      </c>
      <c r="Q758" t="n">
        <v>0</v>
      </c>
      <c r="R758" s="2" t="inlineStr"/>
    </row>
    <row r="759" ht="15" customHeight="1">
      <c r="A759" t="inlineStr">
        <is>
          <t>A 22353-2025</t>
        </is>
      </c>
      <c r="B759" s="1" t="n">
        <v>45786</v>
      </c>
      <c r="C759" s="1" t="n">
        <v>46134</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64724-2023</t>
        </is>
      </c>
      <c r="B760" s="1" t="n">
        <v>45281.7602662037</v>
      </c>
      <c r="C760" s="1" t="n">
        <v>46134</v>
      </c>
      <c r="D760" t="inlineStr">
        <is>
          <t>VÄSTMANLANDS LÄN</t>
        </is>
      </c>
      <c r="E760" t="inlineStr">
        <is>
          <t>SALA</t>
        </is>
      </c>
      <c r="G760" t="n">
        <v>2.3</v>
      </c>
      <c r="H760" t="n">
        <v>0</v>
      </c>
      <c r="I760" t="n">
        <v>0</v>
      </c>
      <c r="J760" t="n">
        <v>0</v>
      </c>
      <c r="K760" t="n">
        <v>0</v>
      </c>
      <c r="L760" t="n">
        <v>0</v>
      </c>
      <c r="M760" t="n">
        <v>0</v>
      </c>
      <c r="N760" t="n">
        <v>0</v>
      </c>
      <c r="O760" t="n">
        <v>0</v>
      </c>
      <c r="P760" t="n">
        <v>0</v>
      </c>
      <c r="Q760" t="n">
        <v>0</v>
      </c>
      <c r="R760" s="2" t="inlineStr"/>
    </row>
    <row r="761" ht="15" customHeight="1">
      <c r="A761" t="inlineStr">
        <is>
          <t>A 22370-2025</t>
        </is>
      </c>
      <c r="B761" s="1" t="n">
        <v>45786</v>
      </c>
      <c r="C761" s="1" t="n">
        <v>46134</v>
      </c>
      <c r="D761" t="inlineStr">
        <is>
          <t>VÄSTMANLANDS LÄN</t>
        </is>
      </c>
      <c r="E761" t="inlineStr">
        <is>
          <t>SALA</t>
        </is>
      </c>
      <c r="G761" t="n">
        <v>3.2</v>
      </c>
      <c r="H761" t="n">
        <v>0</v>
      </c>
      <c r="I761" t="n">
        <v>0</v>
      </c>
      <c r="J761" t="n">
        <v>0</v>
      </c>
      <c r="K761" t="n">
        <v>0</v>
      </c>
      <c r="L761" t="n">
        <v>0</v>
      </c>
      <c r="M761" t="n">
        <v>0</v>
      </c>
      <c r="N761" t="n">
        <v>0</v>
      </c>
      <c r="O761" t="n">
        <v>0</v>
      </c>
      <c r="P761" t="n">
        <v>0</v>
      </c>
      <c r="Q761" t="n">
        <v>0</v>
      </c>
      <c r="R761" s="2" t="inlineStr"/>
    </row>
    <row r="762" ht="15" customHeight="1">
      <c r="A762" t="inlineStr">
        <is>
          <t>A 22383-2025</t>
        </is>
      </c>
      <c r="B762" s="1" t="n">
        <v>45786</v>
      </c>
      <c r="C762" s="1" t="n">
        <v>46134</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7176-2023</t>
        </is>
      </c>
      <c r="B763" s="1" t="n">
        <v>44970</v>
      </c>
      <c r="C763" s="1" t="n">
        <v>46134</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22624-2025</t>
        </is>
      </c>
      <c r="B764" s="1" t="n">
        <v>45789.43327546296</v>
      </c>
      <c r="C764" s="1" t="n">
        <v>46134</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31405-2024</t>
        </is>
      </c>
      <c r="B765" s="1" t="n">
        <v>45505.5490625</v>
      </c>
      <c r="C765" s="1" t="n">
        <v>46134</v>
      </c>
      <c r="D765" t="inlineStr">
        <is>
          <t>VÄSTMANLANDS LÄN</t>
        </is>
      </c>
      <c r="E765" t="inlineStr">
        <is>
          <t>SALA</t>
        </is>
      </c>
      <c r="G765" t="n">
        <v>5.2</v>
      </c>
      <c r="H765" t="n">
        <v>0</v>
      </c>
      <c r="I765" t="n">
        <v>0</v>
      </c>
      <c r="J765" t="n">
        <v>0</v>
      </c>
      <c r="K765" t="n">
        <v>0</v>
      </c>
      <c r="L765" t="n">
        <v>0</v>
      </c>
      <c r="M765" t="n">
        <v>0</v>
      </c>
      <c r="N765" t="n">
        <v>0</v>
      </c>
      <c r="O765" t="n">
        <v>0</v>
      </c>
      <c r="P765" t="n">
        <v>0</v>
      </c>
      <c r="Q765" t="n">
        <v>0</v>
      </c>
      <c r="R765" s="2" t="inlineStr"/>
    </row>
    <row r="766" ht="15" customHeight="1">
      <c r="A766" t="inlineStr">
        <is>
          <t>A 22616-2025</t>
        </is>
      </c>
      <c r="B766" s="1" t="n">
        <v>45789.42752314815</v>
      </c>
      <c r="C766" s="1" t="n">
        <v>46134</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43600-2024</t>
        </is>
      </c>
      <c r="B767" s="1" t="n">
        <v>45569</v>
      </c>
      <c r="C767" s="1" t="n">
        <v>46134</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c r="A768" t="inlineStr">
        <is>
          <t>A 13130-2025</t>
        </is>
      </c>
      <c r="B768" s="1" t="n">
        <v>45734</v>
      </c>
      <c r="C768" s="1" t="n">
        <v>46134</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2026-04-22T10:51:39Z</dcterms:created>
  <dcterms:modified xmlns:dcterms="http://purl.org/dc/terms/" xmlns:xsi="http://www.w3.org/2001/XMLSchema-instance" xsi:type="dcterms:W3CDTF">2026-04-22T10:51:40Z</dcterms:modified>
</cp:coreProperties>
</file>