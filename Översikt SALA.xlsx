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46017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46017</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46017</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46017</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46017</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46017</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46017</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46017</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46017</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53009-2024</t>
        </is>
      </c>
      <c r="B11" s="1" t="n">
        <v>45610</v>
      </c>
      <c r="C11" s="1" t="n">
        <v>46017</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27488-2023</t>
        </is>
      </c>
      <c r="B12" s="1" t="n">
        <v>45097</v>
      </c>
      <c r="C12" s="1" t="n">
        <v>46017</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34752-2023</t>
        </is>
      </c>
      <c r="B13" s="1" t="n">
        <v>45141</v>
      </c>
      <c r="C13" s="1" t="n">
        <v>46017</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10344-2025</t>
        </is>
      </c>
      <c r="B14" s="1" t="n">
        <v>45720</v>
      </c>
      <c r="C14" s="1" t="n">
        <v>46017</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46017</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26571-2021</t>
        </is>
      </c>
      <c r="B16" s="1" t="n">
        <v>44348</v>
      </c>
      <c r="C16" s="1" t="n">
        <v>46017</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62768-2021</t>
        </is>
      </c>
      <c r="B17" s="1" t="n">
        <v>44504</v>
      </c>
      <c r="C17" s="1" t="n">
        <v>46017</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40493-2024</t>
        </is>
      </c>
      <c r="B18" s="1" t="n">
        <v>45555</v>
      </c>
      <c r="C18" s="1" t="n">
        <v>46017</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3567-2024</t>
        </is>
      </c>
      <c r="B19" s="1" t="n">
        <v>45320.63706018519</v>
      </c>
      <c r="C19" s="1" t="n">
        <v>46017</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4264-2024</t>
        </is>
      </c>
      <c r="B20" s="1" t="n">
        <v>45324</v>
      </c>
      <c r="C20" s="1" t="n">
        <v>46017</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53019-2024</t>
        </is>
      </c>
      <c r="B21" s="1" t="n">
        <v>45610</v>
      </c>
      <c r="C21" s="1" t="n">
        <v>46017</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40895-2025</t>
        </is>
      </c>
      <c r="B22" s="1" t="n">
        <v>45897.61241898148</v>
      </c>
      <c r="C22" s="1" t="n">
        <v>46017</v>
      </c>
      <c r="D22" t="inlineStr">
        <is>
          <t>VÄSTMANLANDS LÄN</t>
        </is>
      </c>
      <c r="E22" t="inlineStr">
        <is>
          <t>SALA</t>
        </is>
      </c>
      <c r="G22" t="n">
        <v>1.5</v>
      </c>
      <c r="H22" t="n">
        <v>2</v>
      </c>
      <c r="I22" t="n">
        <v>1</v>
      </c>
      <c r="J22" t="n">
        <v>0</v>
      </c>
      <c r="K22" t="n">
        <v>1</v>
      </c>
      <c r="L22" t="n">
        <v>0</v>
      </c>
      <c r="M22" t="n">
        <v>0</v>
      </c>
      <c r="N22" t="n">
        <v>0</v>
      </c>
      <c r="O22" t="n">
        <v>1</v>
      </c>
      <c r="P22" t="n">
        <v>1</v>
      </c>
      <c r="Q22" t="n">
        <v>3</v>
      </c>
      <c r="R22" s="2" t="inlineStr">
        <is>
          <t>Knärot
Dropptaggsvamp
Kungsfågel</t>
        </is>
      </c>
      <c r="S22">
        <f>HYPERLINK("https://klasma.github.io/Logging_1981/artfynd/A 40895-2025 artfynd.xlsx", "A 40895-2025")</f>
        <v/>
      </c>
      <c r="T22">
        <f>HYPERLINK("https://klasma.github.io/Logging_1981/kartor/A 40895-2025 karta.png", "A 40895-2025")</f>
        <v/>
      </c>
      <c r="U22">
        <f>HYPERLINK("https://klasma.github.io/Logging_1981/knärot/A 40895-2025 karta knärot.png", "A 40895-2025")</f>
        <v/>
      </c>
      <c r="V22">
        <f>HYPERLINK("https://klasma.github.io/Logging_1981/klagomål/A 40895-2025 FSC-klagomål.docx", "A 40895-2025")</f>
        <v/>
      </c>
      <c r="W22">
        <f>HYPERLINK("https://klasma.github.io/Logging_1981/klagomålsmail/A 40895-2025 FSC-klagomål mail.docx", "A 40895-2025")</f>
        <v/>
      </c>
      <c r="X22">
        <f>HYPERLINK("https://klasma.github.io/Logging_1981/tillsyn/A 40895-2025 tillsynsbegäran.docx", "A 40895-2025")</f>
        <v/>
      </c>
      <c r="Y22">
        <f>HYPERLINK("https://klasma.github.io/Logging_1981/tillsynsmail/A 40895-2025 tillsynsbegäran mail.docx", "A 40895-2025")</f>
        <v/>
      </c>
      <c r="Z22">
        <f>HYPERLINK("https://klasma.github.io/Logging_1981/fåglar/A 40895-2025 prioriterade fågelarter.docx", "A 40895-2025")</f>
        <v/>
      </c>
    </row>
    <row r="23" ht="15" customHeight="1">
      <c r="A23" t="inlineStr">
        <is>
          <t>A 35461-2024</t>
        </is>
      </c>
      <c r="B23" s="1" t="n">
        <v>45531</v>
      </c>
      <c r="C23" s="1" t="n">
        <v>46017</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34065-2025</t>
        </is>
      </c>
      <c r="B24" s="1" t="n">
        <v>45845.42806712963</v>
      </c>
      <c r="C24" s="1" t="n">
        <v>46017</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47475-2024</t>
        </is>
      </c>
      <c r="B25" s="1" t="n">
        <v>45587.57552083334</v>
      </c>
      <c r="C25" s="1" t="n">
        <v>46017</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46017</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46017</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46017</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12444-2024</t>
        </is>
      </c>
      <c r="B29" s="1" t="n">
        <v>45379.46285879629</v>
      </c>
      <c r="C29" s="1" t="n">
        <v>46017</v>
      </c>
      <c r="D29" t="inlineStr">
        <is>
          <t>VÄSTMANLANDS LÄN</t>
        </is>
      </c>
      <c r="E29" t="inlineStr">
        <is>
          <t>SALA</t>
        </is>
      </c>
      <c r="G29" t="n">
        <v>5.5</v>
      </c>
      <c r="H29" t="n">
        <v>0</v>
      </c>
      <c r="I29" t="n">
        <v>1</v>
      </c>
      <c r="J29" t="n">
        <v>1</v>
      </c>
      <c r="K29" t="n">
        <v>0</v>
      </c>
      <c r="L29" t="n">
        <v>0</v>
      </c>
      <c r="M29" t="n">
        <v>0</v>
      </c>
      <c r="N29" t="n">
        <v>0</v>
      </c>
      <c r="O29" t="n">
        <v>1</v>
      </c>
      <c r="P29" t="n">
        <v>0</v>
      </c>
      <c r="Q29" t="n">
        <v>2</v>
      </c>
      <c r="R29" s="2" t="inlineStr">
        <is>
          <t>Ullticka
Stuplav</t>
        </is>
      </c>
      <c r="S29">
        <f>HYPERLINK("https://klasma.github.io/Logging_1981/artfynd/A 12444-2024 artfynd.xlsx", "A 12444-2024")</f>
        <v/>
      </c>
      <c r="T29">
        <f>HYPERLINK("https://klasma.github.io/Logging_1981/kartor/A 12444-2024 karta.png", "A 12444-2024")</f>
        <v/>
      </c>
      <c r="U29">
        <f>HYPERLINK("https://klasma.github.io/Logging_1981/knärot/A 12444-2024 karta knärot.png", "A 12444-2024")</f>
        <v/>
      </c>
      <c r="V29">
        <f>HYPERLINK("https://klasma.github.io/Logging_1981/klagomål/A 12444-2024 FSC-klagomål.docx", "A 12444-2024")</f>
        <v/>
      </c>
      <c r="W29">
        <f>HYPERLINK("https://klasma.github.io/Logging_1981/klagomålsmail/A 12444-2024 FSC-klagomål mail.docx", "A 12444-2024")</f>
        <v/>
      </c>
      <c r="X29">
        <f>HYPERLINK("https://klasma.github.io/Logging_1981/tillsyn/A 12444-2024 tillsynsbegäran.docx", "A 12444-2024")</f>
        <v/>
      </c>
      <c r="Y29">
        <f>HYPERLINK("https://klasma.github.io/Logging_1981/tillsynsmail/A 12444-2024 tillsynsbegäran mail.docx", "A 12444-2024")</f>
        <v/>
      </c>
    </row>
    <row r="30" ht="15" customHeight="1">
      <c r="A30" t="inlineStr">
        <is>
          <t>A 1500-2022</t>
        </is>
      </c>
      <c r="B30" s="1" t="n">
        <v>44573.54357638889</v>
      </c>
      <c r="C30" s="1" t="n">
        <v>46017</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13029-2023</t>
        </is>
      </c>
      <c r="B31" s="1" t="n">
        <v>45001</v>
      </c>
      <c r="C31" s="1" t="n">
        <v>46017</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15102-2025</t>
        </is>
      </c>
      <c r="B32" s="1" t="n">
        <v>45744.34585648148</v>
      </c>
      <c r="C32" s="1" t="n">
        <v>46017</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59826-2025</t>
        </is>
      </c>
      <c r="B33" s="1" t="n">
        <v>45992.65416666667</v>
      </c>
      <c r="C33" s="1" t="n">
        <v>46017</v>
      </c>
      <c r="D33" t="inlineStr">
        <is>
          <t>VÄSTMANLANDS LÄN</t>
        </is>
      </c>
      <c r="E33" t="inlineStr">
        <is>
          <t>SALA</t>
        </is>
      </c>
      <c r="G33" t="n">
        <v>2.7</v>
      </c>
      <c r="H33" t="n">
        <v>0</v>
      </c>
      <c r="I33" t="n">
        <v>1</v>
      </c>
      <c r="J33" t="n">
        <v>1</v>
      </c>
      <c r="K33" t="n">
        <v>0</v>
      </c>
      <c r="L33" t="n">
        <v>0</v>
      </c>
      <c r="M33" t="n">
        <v>0</v>
      </c>
      <c r="N33" t="n">
        <v>0</v>
      </c>
      <c r="O33" t="n">
        <v>1</v>
      </c>
      <c r="P33" t="n">
        <v>0</v>
      </c>
      <c r="Q33" t="n">
        <v>2</v>
      </c>
      <c r="R33" s="2" t="inlineStr">
        <is>
          <t>Motaggsvamp
Gullgröppa</t>
        </is>
      </c>
      <c r="S33">
        <f>HYPERLINK("https://klasma.github.io/Logging_1981/artfynd/A 59826-2025 artfynd.xlsx", "A 59826-2025")</f>
        <v/>
      </c>
      <c r="T33">
        <f>HYPERLINK("https://klasma.github.io/Logging_1981/kartor/A 59826-2025 karta.png", "A 59826-2025")</f>
        <v/>
      </c>
      <c r="V33">
        <f>HYPERLINK("https://klasma.github.io/Logging_1981/klagomål/A 59826-2025 FSC-klagomål.docx", "A 59826-2025")</f>
        <v/>
      </c>
      <c r="W33">
        <f>HYPERLINK("https://klasma.github.io/Logging_1981/klagomålsmail/A 59826-2025 FSC-klagomål mail.docx", "A 59826-2025")</f>
        <v/>
      </c>
      <c r="X33">
        <f>HYPERLINK("https://klasma.github.io/Logging_1981/tillsyn/A 59826-2025 tillsynsbegäran.docx", "A 59826-2025")</f>
        <v/>
      </c>
      <c r="Y33">
        <f>HYPERLINK("https://klasma.github.io/Logging_1981/tillsynsmail/A 59826-2025 tillsynsbegäran mail.docx", "A 59826-2025")</f>
        <v/>
      </c>
    </row>
    <row r="34" ht="15" customHeight="1">
      <c r="A34" t="inlineStr">
        <is>
          <t>A 53048-2025</t>
        </is>
      </c>
      <c r="B34" s="1" t="n">
        <v>45958.36018518519</v>
      </c>
      <c r="C34" s="1" t="n">
        <v>46017</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24872-2025</t>
        </is>
      </c>
      <c r="B35" s="1" t="n">
        <v>45799.49038194444</v>
      </c>
      <c r="C35" s="1" t="n">
        <v>46017</v>
      </c>
      <c r="D35" t="inlineStr">
        <is>
          <t>VÄSTMANLANDS LÄN</t>
        </is>
      </c>
      <c r="E35" t="inlineStr">
        <is>
          <t>SALA</t>
        </is>
      </c>
      <c r="G35" t="n">
        <v>13.9</v>
      </c>
      <c r="H35" t="n">
        <v>1</v>
      </c>
      <c r="I35" t="n">
        <v>0</v>
      </c>
      <c r="J35" t="n">
        <v>1</v>
      </c>
      <c r="K35" t="n">
        <v>1</v>
      </c>
      <c r="L35" t="n">
        <v>0</v>
      </c>
      <c r="M35" t="n">
        <v>0</v>
      </c>
      <c r="N35" t="n">
        <v>0</v>
      </c>
      <c r="O35" t="n">
        <v>2</v>
      </c>
      <c r="P35" t="n">
        <v>1</v>
      </c>
      <c r="Q35" t="n">
        <v>2</v>
      </c>
      <c r="R35" s="2" t="inlineStr">
        <is>
          <t>Knärot
Motaggsvamp</t>
        </is>
      </c>
      <c r="S35">
        <f>HYPERLINK("https://klasma.github.io/Logging_1981/artfynd/A 24872-2025 artfynd.xlsx", "A 24872-2025")</f>
        <v/>
      </c>
      <c r="T35">
        <f>HYPERLINK("https://klasma.github.io/Logging_1981/kartor/A 24872-2025 karta.png", "A 24872-2025")</f>
        <v/>
      </c>
      <c r="U35">
        <f>HYPERLINK("https://klasma.github.io/Logging_1981/knärot/A 24872-2025 karta knärot.png", "A 24872-2025")</f>
        <v/>
      </c>
      <c r="V35">
        <f>HYPERLINK("https://klasma.github.io/Logging_1981/klagomål/A 24872-2025 FSC-klagomål.docx", "A 24872-2025")</f>
        <v/>
      </c>
      <c r="W35">
        <f>HYPERLINK("https://klasma.github.io/Logging_1981/klagomålsmail/A 24872-2025 FSC-klagomål mail.docx", "A 24872-2025")</f>
        <v/>
      </c>
      <c r="X35">
        <f>HYPERLINK("https://klasma.github.io/Logging_1981/tillsyn/A 24872-2025 tillsynsbegäran.docx", "A 24872-2025")</f>
        <v/>
      </c>
      <c r="Y35">
        <f>HYPERLINK("https://klasma.github.io/Logging_1981/tillsynsmail/A 24872-2025 tillsynsbegäran mail.docx", "A 24872-2025")</f>
        <v/>
      </c>
    </row>
    <row r="36" ht="15" customHeight="1">
      <c r="A36" t="inlineStr">
        <is>
          <t>A 63584-2025</t>
        </is>
      </c>
      <c r="B36" s="1" t="n">
        <v>46013.77002314815</v>
      </c>
      <c r="C36" s="1" t="n">
        <v>46017</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44970-2021</t>
        </is>
      </c>
      <c r="B37" s="1" t="n">
        <v>44438.74399305556</v>
      </c>
      <c r="C37" s="1" t="n">
        <v>46017</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46017</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69362-2020</t>
        </is>
      </c>
      <c r="B39" s="1" t="n">
        <v>44193</v>
      </c>
      <c r="C39" s="1" t="n">
        <v>46017</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13973-2021</t>
        </is>
      </c>
      <c r="B40" s="1" t="n">
        <v>44277</v>
      </c>
      <c r="C40" s="1" t="n">
        <v>46017</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43175-2023</t>
        </is>
      </c>
      <c r="B41" s="1" t="n">
        <v>45183</v>
      </c>
      <c r="C41" s="1" t="n">
        <v>46017</v>
      </c>
      <c r="D41" t="inlineStr">
        <is>
          <t>VÄSTMANLANDS LÄN</t>
        </is>
      </c>
      <c r="E41" t="inlineStr">
        <is>
          <t>SALA</t>
        </is>
      </c>
      <c r="G41" t="n">
        <v>5.6</v>
      </c>
      <c r="H41" t="n">
        <v>0</v>
      </c>
      <c r="I41" t="n">
        <v>1</v>
      </c>
      <c r="J41" t="n">
        <v>0</v>
      </c>
      <c r="K41" t="n">
        <v>0</v>
      </c>
      <c r="L41" t="n">
        <v>0</v>
      </c>
      <c r="M41" t="n">
        <v>0</v>
      </c>
      <c r="N41" t="n">
        <v>0</v>
      </c>
      <c r="O41" t="n">
        <v>0</v>
      </c>
      <c r="P41" t="n">
        <v>0</v>
      </c>
      <c r="Q41" t="n">
        <v>1</v>
      </c>
      <c r="R41" s="2" t="inlineStr">
        <is>
          <t>Grönpyrola</t>
        </is>
      </c>
      <c r="S41">
        <f>HYPERLINK("https://klasma.github.io/Logging_1981/artfynd/A 43175-2023 artfynd.xlsx", "A 43175-2023")</f>
        <v/>
      </c>
      <c r="T41">
        <f>HYPERLINK("https://klasma.github.io/Logging_1981/kartor/A 43175-2023 karta.png", "A 43175-2023")</f>
        <v/>
      </c>
      <c r="V41">
        <f>HYPERLINK("https://klasma.github.io/Logging_1981/klagomål/A 43175-2023 FSC-klagomål.docx", "A 43175-2023")</f>
        <v/>
      </c>
      <c r="W41">
        <f>HYPERLINK("https://klasma.github.io/Logging_1981/klagomålsmail/A 43175-2023 FSC-klagomål mail.docx", "A 43175-2023")</f>
        <v/>
      </c>
      <c r="X41">
        <f>HYPERLINK("https://klasma.github.io/Logging_1981/tillsyn/A 43175-2023 tillsynsbegäran.docx", "A 43175-2023")</f>
        <v/>
      </c>
      <c r="Y41">
        <f>HYPERLINK("https://klasma.github.io/Logging_1981/tillsynsmail/A 43175-2023 tillsynsbegäran mail.docx", "A 43175-2023")</f>
        <v/>
      </c>
    </row>
    <row r="42" ht="15" customHeight="1">
      <c r="A42" t="inlineStr">
        <is>
          <t>A 56704-2022</t>
        </is>
      </c>
      <c r="B42" s="1" t="n">
        <v>44893.78075231481</v>
      </c>
      <c r="C42" s="1" t="n">
        <v>46017</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41270-2024</t>
        </is>
      </c>
      <c r="B43" s="1" t="n">
        <v>45559</v>
      </c>
      <c r="C43" s="1" t="n">
        <v>46017</v>
      </c>
      <c r="D43" t="inlineStr">
        <is>
          <t>VÄSTMANLANDS LÄN</t>
        </is>
      </c>
      <c r="E43" t="inlineStr">
        <is>
          <t>SALA</t>
        </is>
      </c>
      <c r="G43" t="n">
        <v>15.2</v>
      </c>
      <c r="H43" t="n">
        <v>1</v>
      </c>
      <c r="I43" t="n">
        <v>0</v>
      </c>
      <c r="J43" t="n">
        <v>1</v>
      </c>
      <c r="K43" t="n">
        <v>0</v>
      </c>
      <c r="L43" t="n">
        <v>0</v>
      </c>
      <c r="M43" t="n">
        <v>0</v>
      </c>
      <c r="N43" t="n">
        <v>0</v>
      </c>
      <c r="O43" t="n">
        <v>1</v>
      </c>
      <c r="P43" t="n">
        <v>0</v>
      </c>
      <c r="Q43" t="n">
        <v>1</v>
      </c>
      <c r="R43" s="2" t="inlineStr">
        <is>
          <t>Havsörn</t>
        </is>
      </c>
      <c r="S43">
        <f>HYPERLINK("https://klasma.github.io/Logging_1981/artfynd/A 41270-2024 artfynd.xlsx", "A 41270-2024")</f>
        <v/>
      </c>
      <c r="T43">
        <f>HYPERLINK("https://klasma.github.io/Logging_1981/kartor/A 41270-2024 karta.png", "A 41270-2024")</f>
        <v/>
      </c>
      <c r="V43">
        <f>HYPERLINK("https://klasma.github.io/Logging_1981/klagomål/A 41270-2024 FSC-klagomål.docx", "A 41270-2024")</f>
        <v/>
      </c>
      <c r="W43">
        <f>HYPERLINK("https://klasma.github.io/Logging_1981/klagomålsmail/A 41270-2024 FSC-klagomål mail.docx", "A 41270-2024")</f>
        <v/>
      </c>
      <c r="X43">
        <f>HYPERLINK("https://klasma.github.io/Logging_1981/tillsyn/A 41270-2024 tillsynsbegäran.docx", "A 41270-2024")</f>
        <v/>
      </c>
      <c r="Y43">
        <f>HYPERLINK("https://klasma.github.io/Logging_1981/tillsynsmail/A 41270-2024 tillsynsbegäran mail.docx", "A 41270-2024")</f>
        <v/>
      </c>
      <c r="Z43">
        <f>HYPERLINK("https://klasma.github.io/Logging_1981/fåglar/A 41270-2024 prioriterade fågelarter.docx", "A 41270-2024")</f>
        <v/>
      </c>
    </row>
    <row r="44" ht="15" customHeight="1">
      <c r="A44" t="inlineStr">
        <is>
          <t>A 38255-2025</t>
        </is>
      </c>
      <c r="B44" s="1" t="n">
        <v>45883.38020833334</v>
      </c>
      <c r="C44" s="1" t="n">
        <v>46017</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43068-2024</t>
        </is>
      </c>
      <c r="B45" s="1" t="n">
        <v>45567</v>
      </c>
      <c r="C45" s="1" t="n">
        <v>46017</v>
      </c>
      <c r="D45" t="inlineStr">
        <is>
          <t>VÄSTMANLANDS LÄN</t>
        </is>
      </c>
      <c r="E45" t="inlineStr">
        <is>
          <t>SALA</t>
        </is>
      </c>
      <c r="G45" t="n">
        <v>1.1</v>
      </c>
      <c r="H45" t="n">
        <v>0</v>
      </c>
      <c r="I45" t="n">
        <v>1</v>
      </c>
      <c r="J45" t="n">
        <v>0</v>
      </c>
      <c r="K45" t="n">
        <v>0</v>
      </c>
      <c r="L45" t="n">
        <v>0</v>
      </c>
      <c r="M45" t="n">
        <v>0</v>
      </c>
      <c r="N45" t="n">
        <v>0</v>
      </c>
      <c r="O45" t="n">
        <v>0</v>
      </c>
      <c r="P45" t="n">
        <v>0</v>
      </c>
      <c r="Q45" t="n">
        <v>1</v>
      </c>
      <c r="R45" s="2" t="inlineStr">
        <is>
          <t>Vedticka</t>
        </is>
      </c>
      <c r="S45">
        <f>HYPERLINK("https://klasma.github.io/Logging_1981/artfynd/A 43068-2024 artfynd.xlsx", "A 43068-2024")</f>
        <v/>
      </c>
      <c r="T45">
        <f>HYPERLINK("https://klasma.github.io/Logging_1981/kartor/A 43068-2024 karta.png", "A 43068-2024")</f>
        <v/>
      </c>
      <c r="V45">
        <f>HYPERLINK("https://klasma.github.io/Logging_1981/klagomål/A 43068-2024 FSC-klagomål.docx", "A 43068-2024")</f>
        <v/>
      </c>
      <c r="W45">
        <f>HYPERLINK("https://klasma.github.io/Logging_1981/klagomålsmail/A 43068-2024 FSC-klagomål mail.docx", "A 43068-2024")</f>
        <v/>
      </c>
      <c r="X45">
        <f>HYPERLINK("https://klasma.github.io/Logging_1981/tillsyn/A 43068-2024 tillsynsbegäran.docx", "A 43068-2024")</f>
        <v/>
      </c>
      <c r="Y45">
        <f>HYPERLINK("https://klasma.github.io/Logging_1981/tillsynsmail/A 43068-2024 tillsynsbegäran mail.docx", "A 43068-2024")</f>
        <v/>
      </c>
    </row>
    <row r="46" ht="15" customHeight="1">
      <c r="A46" t="inlineStr">
        <is>
          <t>A 7731-2023</t>
        </is>
      </c>
      <c r="B46" s="1" t="n">
        <v>44973</v>
      </c>
      <c r="C46" s="1" t="n">
        <v>46017</v>
      </c>
      <c r="D46" t="inlineStr">
        <is>
          <t>VÄSTMANLANDS LÄN</t>
        </is>
      </c>
      <c r="E46" t="inlineStr">
        <is>
          <t>SALA</t>
        </is>
      </c>
      <c r="F46" t="inlineStr">
        <is>
          <t>Bergvik skog öst AB</t>
        </is>
      </c>
      <c r="G46" t="n">
        <v>1.7</v>
      </c>
      <c r="H46" t="n">
        <v>1</v>
      </c>
      <c r="I46" t="n">
        <v>0</v>
      </c>
      <c r="J46" t="n">
        <v>1</v>
      </c>
      <c r="K46" t="n">
        <v>0</v>
      </c>
      <c r="L46" t="n">
        <v>0</v>
      </c>
      <c r="M46" t="n">
        <v>0</v>
      </c>
      <c r="N46" t="n">
        <v>0</v>
      </c>
      <c r="O46" t="n">
        <v>1</v>
      </c>
      <c r="P46" t="n">
        <v>0</v>
      </c>
      <c r="Q46" t="n">
        <v>1</v>
      </c>
      <c r="R46" s="2" t="inlineStr">
        <is>
          <t>Ävjepilört</t>
        </is>
      </c>
      <c r="S46">
        <f>HYPERLINK("https://klasma.github.io/Logging_1981/artfynd/A 7731-2023 artfynd.xlsx", "A 7731-2023")</f>
        <v/>
      </c>
      <c r="T46">
        <f>HYPERLINK("https://klasma.github.io/Logging_1981/kartor/A 7731-2023 karta.png", "A 7731-2023")</f>
        <v/>
      </c>
      <c r="V46">
        <f>HYPERLINK("https://klasma.github.io/Logging_1981/klagomål/A 7731-2023 FSC-klagomål.docx", "A 7731-2023")</f>
        <v/>
      </c>
      <c r="W46">
        <f>HYPERLINK("https://klasma.github.io/Logging_1981/klagomålsmail/A 7731-2023 FSC-klagomål mail.docx", "A 7731-2023")</f>
        <v/>
      </c>
      <c r="X46">
        <f>HYPERLINK("https://klasma.github.io/Logging_1981/tillsyn/A 7731-2023 tillsynsbegäran.docx", "A 7731-2023")</f>
        <v/>
      </c>
      <c r="Y46">
        <f>HYPERLINK("https://klasma.github.io/Logging_1981/tillsynsmail/A 7731-2023 tillsynsbegäran mail.docx", "A 7731-2023")</f>
        <v/>
      </c>
    </row>
    <row r="47" ht="15" customHeight="1">
      <c r="A47" t="inlineStr">
        <is>
          <t>A 60852-2024</t>
        </is>
      </c>
      <c r="B47" s="1" t="n">
        <v>45644</v>
      </c>
      <c r="C47" s="1" t="n">
        <v>46017</v>
      </c>
      <c r="D47" t="inlineStr">
        <is>
          <t>VÄSTMANLANDS LÄN</t>
        </is>
      </c>
      <c r="E47" t="inlineStr">
        <is>
          <t>SALA</t>
        </is>
      </c>
      <c r="G47" t="n">
        <v>7.6</v>
      </c>
      <c r="H47" t="n">
        <v>1</v>
      </c>
      <c r="I47" t="n">
        <v>0</v>
      </c>
      <c r="J47" t="n">
        <v>0</v>
      </c>
      <c r="K47" t="n">
        <v>0</v>
      </c>
      <c r="L47" t="n">
        <v>0</v>
      </c>
      <c r="M47" t="n">
        <v>0</v>
      </c>
      <c r="N47" t="n">
        <v>0</v>
      </c>
      <c r="O47" t="n">
        <v>0</v>
      </c>
      <c r="P47" t="n">
        <v>0</v>
      </c>
      <c r="Q47" t="n">
        <v>1</v>
      </c>
      <c r="R47" s="2" t="inlineStr">
        <is>
          <t>Blåsippa</t>
        </is>
      </c>
      <c r="S47">
        <f>HYPERLINK("https://klasma.github.io/Logging_1981/artfynd/A 60852-2024 artfynd.xlsx", "A 60852-2024")</f>
        <v/>
      </c>
      <c r="T47">
        <f>HYPERLINK("https://klasma.github.io/Logging_1981/kartor/A 60852-2024 karta.png", "A 60852-2024")</f>
        <v/>
      </c>
      <c r="V47">
        <f>HYPERLINK("https://klasma.github.io/Logging_1981/klagomål/A 60852-2024 FSC-klagomål.docx", "A 60852-2024")</f>
        <v/>
      </c>
      <c r="W47">
        <f>HYPERLINK("https://klasma.github.io/Logging_1981/klagomålsmail/A 60852-2024 FSC-klagomål mail.docx", "A 60852-2024")</f>
        <v/>
      </c>
      <c r="X47">
        <f>HYPERLINK("https://klasma.github.io/Logging_1981/tillsyn/A 60852-2024 tillsynsbegäran.docx", "A 60852-2024")</f>
        <v/>
      </c>
      <c r="Y47">
        <f>HYPERLINK("https://klasma.github.io/Logging_1981/tillsynsmail/A 60852-2024 tillsynsbegäran mail.docx", "A 60852-2024")</f>
        <v/>
      </c>
    </row>
    <row r="48" ht="15" customHeight="1">
      <c r="A48" t="inlineStr">
        <is>
          <t>A 12509-2023</t>
        </is>
      </c>
      <c r="B48" s="1" t="n">
        <v>44999.95988425926</v>
      </c>
      <c r="C48" s="1" t="n">
        <v>46017</v>
      </c>
      <c r="D48" t="inlineStr">
        <is>
          <t>VÄSTMANLANDS LÄN</t>
        </is>
      </c>
      <c r="E48" t="inlineStr">
        <is>
          <t>SALA</t>
        </is>
      </c>
      <c r="G48" t="n">
        <v>13.9</v>
      </c>
      <c r="H48" t="n">
        <v>1</v>
      </c>
      <c r="I48" t="n">
        <v>0</v>
      </c>
      <c r="J48" t="n">
        <v>0</v>
      </c>
      <c r="K48" t="n">
        <v>0</v>
      </c>
      <c r="L48" t="n">
        <v>0</v>
      </c>
      <c r="M48" t="n">
        <v>0</v>
      </c>
      <c r="N48" t="n">
        <v>0</v>
      </c>
      <c r="O48" t="n">
        <v>0</v>
      </c>
      <c r="P48" t="n">
        <v>0</v>
      </c>
      <c r="Q48" t="n">
        <v>1</v>
      </c>
      <c r="R48" s="2" t="inlineStr">
        <is>
          <t>Grönvit nattviol</t>
        </is>
      </c>
      <c r="S48">
        <f>HYPERLINK("https://klasma.github.io/Logging_1981/artfynd/A 12509-2023 artfynd.xlsx", "A 12509-2023")</f>
        <v/>
      </c>
      <c r="T48">
        <f>HYPERLINK("https://klasma.github.io/Logging_1981/kartor/A 12509-2023 karta.png", "A 12509-2023")</f>
        <v/>
      </c>
      <c r="V48">
        <f>HYPERLINK("https://klasma.github.io/Logging_1981/klagomål/A 12509-2023 FSC-klagomål.docx", "A 12509-2023")</f>
        <v/>
      </c>
      <c r="W48">
        <f>HYPERLINK("https://klasma.github.io/Logging_1981/klagomålsmail/A 12509-2023 FSC-klagomål mail.docx", "A 12509-2023")</f>
        <v/>
      </c>
      <c r="X48">
        <f>HYPERLINK("https://klasma.github.io/Logging_1981/tillsyn/A 12509-2023 tillsynsbegäran.docx", "A 12509-2023")</f>
        <v/>
      </c>
      <c r="Y48">
        <f>HYPERLINK("https://klasma.github.io/Logging_1981/tillsynsmail/A 12509-2023 tillsynsbegäran mail.docx", "A 12509-2023")</f>
        <v/>
      </c>
    </row>
    <row r="49" ht="15" customHeight="1">
      <c r="A49" t="inlineStr">
        <is>
          <t>A 29985-2022</t>
        </is>
      </c>
      <c r="B49" s="1" t="n">
        <v>44756</v>
      </c>
      <c r="C49" s="1" t="n">
        <v>46017</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7919-2022</t>
        </is>
      </c>
      <c r="B50" s="1" t="n">
        <v>44608</v>
      </c>
      <c r="C50" s="1" t="n">
        <v>46017</v>
      </c>
      <c r="D50" t="inlineStr">
        <is>
          <t>VÄSTMANLANDS LÄN</t>
        </is>
      </c>
      <c r="E50" t="inlineStr">
        <is>
          <t>SALA</t>
        </is>
      </c>
      <c r="F50" t="inlineStr">
        <is>
          <t>Bergvik skog öst AB</t>
        </is>
      </c>
      <c r="G50" t="n">
        <v>4.5</v>
      </c>
      <c r="H50" t="n">
        <v>1</v>
      </c>
      <c r="I50" t="n">
        <v>0</v>
      </c>
      <c r="J50" t="n">
        <v>1</v>
      </c>
      <c r="K50" t="n">
        <v>0</v>
      </c>
      <c r="L50" t="n">
        <v>0</v>
      </c>
      <c r="M50" t="n">
        <v>0</v>
      </c>
      <c r="N50" t="n">
        <v>0</v>
      </c>
      <c r="O50" t="n">
        <v>1</v>
      </c>
      <c r="P50" t="n">
        <v>0</v>
      </c>
      <c r="Q50" t="n">
        <v>1</v>
      </c>
      <c r="R50" s="2" t="inlineStr">
        <is>
          <t>Ävjepilört</t>
        </is>
      </c>
      <c r="S50">
        <f>HYPERLINK("https://klasma.github.io/Logging_1981/artfynd/A 7919-2022 artfynd.xlsx", "A 7919-2022")</f>
        <v/>
      </c>
      <c r="T50">
        <f>HYPERLINK("https://klasma.github.io/Logging_1981/kartor/A 7919-2022 karta.png", "A 7919-2022")</f>
        <v/>
      </c>
      <c r="V50">
        <f>HYPERLINK("https://klasma.github.io/Logging_1981/klagomål/A 7919-2022 FSC-klagomål.docx", "A 7919-2022")</f>
        <v/>
      </c>
      <c r="W50">
        <f>HYPERLINK("https://klasma.github.io/Logging_1981/klagomålsmail/A 7919-2022 FSC-klagomål mail.docx", "A 7919-2022")</f>
        <v/>
      </c>
      <c r="X50">
        <f>HYPERLINK("https://klasma.github.io/Logging_1981/tillsyn/A 7919-2022 tillsynsbegäran.docx", "A 7919-2022")</f>
        <v/>
      </c>
      <c r="Y50">
        <f>HYPERLINK("https://klasma.github.io/Logging_1981/tillsynsmail/A 7919-2022 tillsynsbegäran mail.docx", "A 7919-2022")</f>
        <v/>
      </c>
    </row>
    <row r="51" ht="15" customHeight="1">
      <c r="A51" t="inlineStr">
        <is>
          <t>A 14775-2023</t>
        </is>
      </c>
      <c r="B51" s="1" t="n">
        <v>45014</v>
      </c>
      <c r="C51" s="1" t="n">
        <v>46017</v>
      </c>
      <c r="D51" t="inlineStr">
        <is>
          <t>VÄSTMANLANDS LÄN</t>
        </is>
      </c>
      <c r="E51" t="inlineStr">
        <is>
          <t>SALA</t>
        </is>
      </c>
      <c r="G51" t="n">
        <v>1.3</v>
      </c>
      <c r="H51" t="n">
        <v>1</v>
      </c>
      <c r="I51" t="n">
        <v>0</v>
      </c>
      <c r="J51" t="n">
        <v>0</v>
      </c>
      <c r="K51" t="n">
        <v>1</v>
      </c>
      <c r="L51" t="n">
        <v>0</v>
      </c>
      <c r="M51" t="n">
        <v>0</v>
      </c>
      <c r="N51" t="n">
        <v>0</v>
      </c>
      <c r="O51" t="n">
        <v>1</v>
      </c>
      <c r="P51" t="n">
        <v>1</v>
      </c>
      <c r="Q51" t="n">
        <v>1</v>
      </c>
      <c r="R51" s="2" t="inlineStr">
        <is>
          <t>Knärot</t>
        </is>
      </c>
      <c r="S51">
        <f>HYPERLINK("https://klasma.github.io/Logging_1981/artfynd/A 14775-2023 artfynd.xlsx", "A 14775-2023")</f>
        <v/>
      </c>
      <c r="T51">
        <f>HYPERLINK("https://klasma.github.io/Logging_1981/kartor/A 14775-2023 karta.png", "A 14775-2023")</f>
        <v/>
      </c>
      <c r="U51">
        <f>HYPERLINK("https://klasma.github.io/Logging_1981/knärot/A 14775-2023 karta knärot.png", "A 14775-2023")</f>
        <v/>
      </c>
      <c r="V51">
        <f>HYPERLINK("https://klasma.github.io/Logging_1981/klagomål/A 14775-2023 FSC-klagomål.docx", "A 14775-2023")</f>
        <v/>
      </c>
      <c r="W51">
        <f>HYPERLINK("https://klasma.github.io/Logging_1981/klagomålsmail/A 14775-2023 FSC-klagomål mail.docx", "A 14775-2023")</f>
        <v/>
      </c>
      <c r="X51">
        <f>HYPERLINK("https://klasma.github.io/Logging_1981/tillsyn/A 14775-2023 tillsynsbegäran.docx", "A 14775-2023")</f>
        <v/>
      </c>
      <c r="Y51">
        <f>HYPERLINK("https://klasma.github.io/Logging_1981/tillsynsmail/A 14775-2023 tillsynsbegäran mail.docx", "A 14775-2023")</f>
        <v/>
      </c>
    </row>
    <row r="52" ht="15" customHeight="1">
      <c r="A52" t="inlineStr">
        <is>
          <t>A 19361-2025</t>
        </is>
      </c>
      <c r="B52" s="1" t="n">
        <v>45769.63357638889</v>
      </c>
      <c r="C52" s="1" t="n">
        <v>46017</v>
      </c>
      <c r="D52" t="inlineStr">
        <is>
          <t>VÄSTMANLANDS LÄN</t>
        </is>
      </c>
      <c r="E52" t="inlineStr">
        <is>
          <t>SALA</t>
        </is>
      </c>
      <c r="F52" t="inlineStr">
        <is>
          <t>Bergvik skog öst AB</t>
        </is>
      </c>
      <c r="G52" t="n">
        <v>8.9</v>
      </c>
      <c r="H52" t="n">
        <v>0</v>
      </c>
      <c r="I52" t="n">
        <v>0</v>
      </c>
      <c r="J52" t="n">
        <v>1</v>
      </c>
      <c r="K52" t="n">
        <v>0</v>
      </c>
      <c r="L52" t="n">
        <v>0</v>
      </c>
      <c r="M52" t="n">
        <v>0</v>
      </c>
      <c r="N52" t="n">
        <v>0</v>
      </c>
      <c r="O52" t="n">
        <v>1</v>
      </c>
      <c r="P52" t="n">
        <v>0</v>
      </c>
      <c r="Q52" t="n">
        <v>1</v>
      </c>
      <c r="R52" s="2" t="inlineStr">
        <is>
          <t>Garnlav</t>
        </is>
      </c>
      <c r="S52">
        <f>HYPERLINK("https://klasma.github.io/Logging_1981/artfynd/A 19361-2025 artfynd.xlsx", "A 19361-2025")</f>
        <v/>
      </c>
      <c r="T52">
        <f>HYPERLINK("https://klasma.github.io/Logging_1981/kartor/A 19361-2025 karta.png", "A 19361-2025")</f>
        <v/>
      </c>
      <c r="V52">
        <f>HYPERLINK("https://klasma.github.io/Logging_1981/klagomål/A 19361-2025 FSC-klagomål.docx", "A 19361-2025")</f>
        <v/>
      </c>
      <c r="W52">
        <f>HYPERLINK("https://klasma.github.io/Logging_1981/klagomålsmail/A 19361-2025 FSC-klagomål mail.docx", "A 19361-2025")</f>
        <v/>
      </c>
      <c r="X52">
        <f>HYPERLINK("https://klasma.github.io/Logging_1981/tillsyn/A 19361-2025 tillsynsbegäran.docx", "A 19361-2025")</f>
        <v/>
      </c>
      <c r="Y52">
        <f>HYPERLINK("https://klasma.github.io/Logging_1981/tillsynsmail/A 19361-2025 tillsynsbegäran mail.docx", "A 19361-2025")</f>
        <v/>
      </c>
    </row>
    <row r="53" ht="15" customHeight="1">
      <c r="A53" t="inlineStr">
        <is>
          <t>A 41570-2021</t>
        </is>
      </c>
      <c r="B53" s="1" t="n">
        <v>44425</v>
      </c>
      <c r="C53" s="1" t="n">
        <v>46017</v>
      </c>
      <c r="D53" t="inlineStr">
        <is>
          <t>VÄSTMANLANDS LÄN</t>
        </is>
      </c>
      <c r="E53" t="inlineStr">
        <is>
          <t>SALA</t>
        </is>
      </c>
      <c r="G53" t="n">
        <v>1.4</v>
      </c>
      <c r="H53" t="n">
        <v>0</v>
      </c>
      <c r="I53" t="n">
        <v>0</v>
      </c>
      <c r="J53" t="n">
        <v>1</v>
      </c>
      <c r="K53" t="n">
        <v>0</v>
      </c>
      <c r="L53" t="n">
        <v>0</v>
      </c>
      <c r="M53" t="n">
        <v>0</v>
      </c>
      <c r="N53" t="n">
        <v>0</v>
      </c>
      <c r="O53" t="n">
        <v>1</v>
      </c>
      <c r="P53" t="n">
        <v>0</v>
      </c>
      <c r="Q53" t="n">
        <v>1</v>
      </c>
      <c r="R53" s="2" t="inlineStr">
        <is>
          <t>Vedtrappmossa</t>
        </is>
      </c>
      <c r="S53">
        <f>HYPERLINK("https://klasma.github.io/Logging_1981/artfynd/A 41570-2021 artfynd.xlsx", "A 41570-2021")</f>
        <v/>
      </c>
      <c r="T53">
        <f>HYPERLINK("https://klasma.github.io/Logging_1981/kartor/A 41570-2021 karta.png", "A 41570-2021")</f>
        <v/>
      </c>
      <c r="V53">
        <f>HYPERLINK("https://klasma.github.io/Logging_1981/klagomål/A 41570-2021 FSC-klagomål.docx", "A 41570-2021")</f>
        <v/>
      </c>
      <c r="W53">
        <f>HYPERLINK("https://klasma.github.io/Logging_1981/klagomålsmail/A 41570-2021 FSC-klagomål mail.docx", "A 41570-2021")</f>
        <v/>
      </c>
      <c r="X53">
        <f>HYPERLINK("https://klasma.github.io/Logging_1981/tillsyn/A 41570-2021 tillsynsbegäran.docx", "A 41570-2021")</f>
        <v/>
      </c>
      <c r="Y53">
        <f>HYPERLINK("https://klasma.github.io/Logging_1981/tillsynsmail/A 41570-2021 tillsynsbegäran mail.docx", "A 41570-2021")</f>
        <v/>
      </c>
    </row>
    <row r="54" ht="15" customHeight="1">
      <c r="A54" t="inlineStr">
        <is>
          <t>A 48705-2025</t>
        </is>
      </c>
      <c r="B54" s="1" t="n">
        <v>45936.62290509259</v>
      </c>
      <c r="C54" s="1" t="n">
        <v>46017</v>
      </c>
      <c r="D54" t="inlineStr">
        <is>
          <t>VÄSTMANLANDS LÄN</t>
        </is>
      </c>
      <c r="E54" t="inlineStr">
        <is>
          <t>SALA</t>
        </is>
      </c>
      <c r="G54" t="n">
        <v>4.4</v>
      </c>
      <c r="H54" t="n">
        <v>1</v>
      </c>
      <c r="I54" t="n">
        <v>1</v>
      </c>
      <c r="J54" t="n">
        <v>0</v>
      </c>
      <c r="K54" t="n">
        <v>0</v>
      </c>
      <c r="L54" t="n">
        <v>0</v>
      </c>
      <c r="M54" t="n">
        <v>0</v>
      </c>
      <c r="N54" t="n">
        <v>0</v>
      </c>
      <c r="O54" t="n">
        <v>0</v>
      </c>
      <c r="P54" t="n">
        <v>0</v>
      </c>
      <c r="Q54" t="n">
        <v>1</v>
      </c>
      <c r="R54" s="2" t="inlineStr">
        <is>
          <t>Plattlummer</t>
        </is>
      </c>
      <c r="S54">
        <f>HYPERLINK("https://klasma.github.io/Logging_1981/artfynd/A 48705-2025 artfynd.xlsx", "A 48705-2025")</f>
        <v/>
      </c>
      <c r="T54">
        <f>HYPERLINK("https://klasma.github.io/Logging_1981/kartor/A 48705-2025 karta.png", "A 48705-2025")</f>
        <v/>
      </c>
      <c r="V54">
        <f>HYPERLINK("https://klasma.github.io/Logging_1981/klagomål/A 48705-2025 FSC-klagomål.docx", "A 48705-2025")</f>
        <v/>
      </c>
      <c r="W54">
        <f>HYPERLINK("https://klasma.github.io/Logging_1981/klagomålsmail/A 48705-2025 FSC-klagomål mail.docx", "A 48705-2025")</f>
        <v/>
      </c>
      <c r="X54">
        <f>HYPERLINK("https://klasma.github.io/Logging_1981/tillsyn/A 48705-2025 tillsynsbegäran.docx", "A 48705-2025")</f>
        <v/>
      </c>
      <c r="Y54">
        <f>HYPERLINK("https://klasma.github.io/Logging_1981/tillsynsmail/A 48705-2025 tillsynsbegäran mail.docx", "A 48705-2025")</f>
        <v/>
      </c>
    </row>
    <row r="55" ht="15" customHeight="1">
      <c r="A55" t="inlineStr">
        <is>
          <t>A 29727-2023</t>
        </is>
      </c>
      <c r="B55" s="1" t="n">
        <v>45107</v>
      </c>
      <c r="C55" s="1" t="n">
        <v>46017</v>
      </c>
      <c r="D55" t="inlineStr">
        <is>
          <t>VÄSTMANLANDS LÄN</t>
        </is>
      </c>
      <c r="E55" t="inlineStr">
        <is>
          <t>SALA</t>
        </is>
      </c>
      <c r="G55" t="n">
        <v>1.9</v>
      </c>
      <c r="H55" t="n">
        <v>0</v>
      </c>
      <c r="I55" t="n">
        <v>0</v>
      </c>
      <c r="J55" t="n">
        <v>1</v>
      </c>
      <c r="K55" t="n">
        <v>0</v>
      </c>
      <c r="L55" t="n">
        <v>0</v>
      </c>
      <c r="M55" t="n">
        <v>0</v>
      </c>
      <c r="N55" t="n">
        <v>0</v>
      </c>
      <c r="O55" t="n">
        <v>1</v>
      </c>
      <c r="P55" t="n">
        <v>0</v>
      </c>
      <c r="Q55" t="n">
        <v>1</v>
      </c>
      <c r="R55" s="2" t="inlineStr">
        <is>
          <t>Vedtrappmossa</t>
        </is>
      </c>
      <c r="S55">
        <f>HYPERLINK("https://klasma.github.io/Logging_1981/artfynd/A 29727-2023 artfynd.xlsx", "A 29727-2023")</f>
        <v/>
      </c>
      <c r="T55">
        <f>HYPERLINK("https://klasma.github.io/Logging_1981/kartor/A 29727-2023 karta.png", "A 29727-2023")</f>
        <v/>
      </c>
      <c r="V55">
        <f>HYPERLINK("https://klasma.github.io/Logging_1981/klagomål/A 29727-2023 FSC-klagomål.docx", "A 29727-2023")</f>
        <v/>
      </c>
      <c r="W55">
        <f>HYPERLINK("https://klasma.github.io/Logging_1981/klagomålsmail/A 29727-2023 FSC-klagomål mail.docx", "A 29727-2023")</f>
        <v/>
      </c>
      <c r="X55">
        <f>HYPERLINK("https://klasma.github.io/Logging_1981/tillsyn/A 29727-2023 tillsynsbegäran.docx", "A 29727-2023")</f>
        <v/>
      </c>
      <c r="Y55">
        <f>HYPERLINK("https://klasma.github.io/Logging_1981/tillsynsmail/A 29727-2023 tillsynsbegäran mail.docx", "A 29727-2023")</f>
        <v/>
      </c>
    </row>
    <row r="56" ht="15" customHeight="1">
      <c r="A56" t="inlineStr">
        <is>
          <t>A 50268-2025</t>
        </is>
      </c>
      <c r="B56" s="1" t="n">
        <v>45944.35162037037</v>
      </c>
      <c r="C56" s="1" t="n">
        <v>46017</v>
      </c>
      <c r="D56" t="inlineStr">
        <is>
          <t>VÄSTMANLANDS LÄN</t>
        </is>
      </c>
      <c r="E56" t="inlineStr">
        <is>
          <t>SALA</t>
        </is>
      </c>
      <c r="G56" t="n">
        <v>0.7</v>
      </c>
      <c r="H56" t="n">
        <v>1</v>
      </c>
      <c r="I56" t="n">
        <v>0</v>
      </c>
      <c r="J56" t="n">
        <v>0</v>
      </c>
      <c r="K56" t="n">
        <v>0</v>
      </c>
      <c r="L56" t="n">
        <v>0</v>
      </c>
      <c r="M56" t="n">
        <v>0</v>
      </c>
      <c r="N56" t="n">
        <v>0</v>
      </c>
      <c r="O56" t="n">
        <v>0</v>
      </c>
      <c r="P56" t="n">
        <v>0</v>
      </c>
      <c r="Q56" t="n">
        <v>1</v>
      </c>
      <c r="R56" s="2" t="inlineStr">
        <is>
          <t>Fläcknycklar</t>
        </is>
      </c>
      <c r="S56">
        <f>HYPERLINK("https://klasma.github.io/Logging_1981/artfynd/A 50268-2025 artfynd.xlsx", "A 50268-2025")</f>
        <v/>
      </c>
      <c r="T56">
        <f>HYPERLINK("https://klasma.github.io/Logging_1981/kartor/A 50268-2025 karta.png", "A 50268-2025")</f>
        <v/>
      </c>
      <c r="V56">
        <f>HYPERLINK("https://klasma.github.io/Logging_1981/klagomål/A 50268-2025 FSC-klagomål.docx", "A 50268-2025")</f>
        <v/>
      </c>
      <c r="W56">
        <f>HYPERLINK("https://klasma.github.io/Logging_1981/klagomålsmail/A 50268-2025 FSC-klagomål mail.docx", "A 50268-2025")</f>
        <v/>
      </c>
      <c r="X56">
        <f>HYPERLINK("https://klasma.github.io/Logging_1981/tillsyn/A 50268-2025 tillsynsbegäran.docx", "A 50268-2025")</f>
        <v/>
      </c>
      <c r="Y56">
        <f>HYPERLINK("https://klasma.github.io/Logging_1981/tillsynsmail/A 50268-2025 tillsynsbegäran mail.docx", "A 50268-2025")</f>
        <v/>
      </c>
    </row>
    <row r="57" ht="15" customHeight="1">
      <c r="A57" t="inlineStr">
        <is>
          <t>A 37166-2024</t>
        </is>
      </c>
      <c r="B57" s="1" t="n">
        <v>45539</v>
      </c>
      <c r="C57" s="1" t="n">
        <v>46017</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37166-2024 artfynd.xlsx", "A 37166-2024")</f>
        <v/>
      </c>
      <c r="T57">
        <f>HYPERLINK("https://klasma.github.io/Logging_1981/kartor/A 37166-2024 karta.png", "A 37166-2024")</f>
        <v/>
      </c>
      <c r="U57">
        <f>HYPERLINK("https://klasma.github.io/Logging_1981/knärot/A 37166-2024 karta knärot.png", "A 37166-2024")</f>
        <v/>
      </c>
      <c r="V57">
        <f>HYPERLINK("https://klasma.github.io/Logging_1981/klagomål/A 37166-2024 FSC-klagomål.docx", "A 37166-2024")</f>
        <v/>
      </c>
      <c r="W57">
        <f>HYPERLINK("https://klasma.github.io/Logging_1981/klagomålsmail/A 37166-2024 FSC-klagomål mail.docx", "A 37166-2024")</f>
        <v/>
      </c>
      <c r="X57">
        <f>HYPERLINK("https://klasma.github.io/Logging_1981/tillsyn/A 37166-2024 tillsynsbegäran.docx", "A 37166-2024")</f>
        <v/>
      </c>
      <c r="Y57">
        <f>HYPERLINK("https://klasma.github.io/Logging_1981/tillsynsmail/A 37166-2024 tillsynsbegäran mail.docx", "A 37166-2024")</f>
        <v/>
      </c>
    </row>
    <row r="58" ht="15" customHeight="1">
      <c r="A58" t="inlineStr">
        <is>
          <t>A 55550-2023</t>
        </is>
      </c>
      <c r="B58" s="1" t="n">
        <v>45232</v>
      </c>
      <c r="C58" s="1" t="n">
        <v>46017</v>
      </c>
      <c r="D58" t="inlineStr">
        <is>
          <t>VÄSTMANLANDS LÄN</t>
        </is>
      </c>
      <c r="E58" t="inlineStr">
        <is>
          <t>SALA</t>
        </is>
      </c>
      <c r="G58" t="n">
        <v>9.9</v>
      </c>
      <c r="H58" t="n">
        <v>1</v>
      </c>
      <c r="I58" t="n">
        <v>0</v>
      </c>
      <c r="J58" t="n">
        <v>0</v>
      </c>
      <c r="K58" t="n">
        <v>1</v>
      </c>
      <c r="L58" t="n">
        <v>0</v>
      </c>
      <c r="M58" t="n">
        <v>0</v>
      </c>
      <c r="N58" t="n">
        <v>0</v>
      </c>
      <c r="O58" t="n">
        <v>1</v>
      </c>
      <c r="P58" t="n">
        <v>1</v>
      </c>
      <c r="Q58" t="n">
        <v>1</v>
      </c>
      <c r="R58" s="2" t="inlineStr">
        <is>
          <t>Knärot</t>
        </is>
      </c>
      <c r="S58">
        <f>HYPERLINK("https://klasma.github.io/Logging_1981/artfynd/A 55550-2023 artfynd.xlsx", "A 55550-2023")</f>
        <v/>
      </c>
      <c r="T58">
        <f>HYPERLINK("https://klasma.github.io/Logging_1981/kartor/A 55550-2023 karta.png", "A 55550-2023")</f>
        <v/>
      </c>
      <c r="U58">
        <f>HYPERLINK("https://klasma.github.io/Logging_1981/knärot/A 55550-2023 karta knärot.png", "A 55550-2023")</f>
        <v/>
      </c>
      <c r="V58">
        <f>HYPERLINK("https://klasma.github.io/Logging_1981/klagomål/A 55550-2023 FSC-klagomål.docx", "A 55550-2023")</f>
        <v/>
      </c>
      <c r="W58">
        <f>HYPERLINK("https://klasma.github.io/Logging_1981/klagomålsmail/A 55550-2023 FSC-klagomål mail.docx", "A 55550-2023")</f>
        <v/>
      </c>
      <c r="X58">
        <f>HYPERLINK("https://klasma.github.io/Logging_1981/tillsyn/A 55550-2023 tillsynsbegäran.docx", "A 55550-2023")</f>
        <v/>
      </c>
      <c r="Y58">
        <f>HYPERLINK("https://klasma.github.io/Logging_1981/tillsynsmail/A 55550-2023 tillsynsbegäran mail.docx", "A 55550-2023")</f>
        <v/>
      </c>
    </row>
    <row r="59" ht="15" customHeight="1">
      <c r="A59" t="inlineStr">
        <is>
          <t>A 21738-2025</t>
        </is>
      </c>
      <c r="B59" s="1" t="n">
        <v>45783.59173611111</v>
      </c>
      <c r="C59" s="1" t="n">
        <v>46017</v>
      </c>
      <c r="D59" t="inlineStr">
        <is>
          <t>VÄSTMANLANDS LÄN</t>
        </is>
      </c>
      <c r="E59" t="inlineStr">
        <is>
          <t>SALA</t>
        </is>
      </c>
      <c r="G59" t="n">
        <v>2.1</v>
      </c>
      <c r="H59" t="n">
        <v>0</v>
      </c>
      <c r="I59" t="n">
        <v>0</v>
      </c>
      <c r="J59" t="n">
        <v>1</v>
      </c>
      <c r="K59" t="n">
        <v>0</v>
      </c>
      <c r="L59" t="n">
        <v>0</v>
      </c>
      <c r="M59" t="n">
        <v>0</v>
      </c>
      <c r="N59" t="n">
        <v>0</v>
      </c>
      <c r="O59" t="n">
        <v>1</v>
      </c>
      <c r="P59" t="n">
        <v>0</v>
      </c>
      <c r="Q59" t="n">
        <v>1</v>
      </c>
      <c r="R59" s="2" t="inlineStr">
        <is>
          <t>Motaggsvamp</t>
        </is>
      </c>
      <c r="S59">
        <f>HYPERLINK("https://klasma.github.io/Logging_1981/artfynd/A 21738-2025 artfynd.xlsx", "A 21738-2025")</f>
        <v/>
      </c>
      <c r="T59">
        <f>HYPERLINK("https://klasma.github.io/Logging_1981/kartor/A 21738-2025 karta.png", "A 21738-2025")</f>
        <v/>
      </c>
      <c r="V59">
        <f>HYPERLINK("https://klasma.github.io/Logging_1981/klagomål/A 21738-2025 FSC-klagomål.docx", "A 21738-2025")</f>
        <v/>
      </c>
      <c r="W59">
        <f>HYPERLINK("https://klasma.github.io/Logging_1981/klagomålsmail/A 21738-2025 FSC-klagomål mail.docx", "A 21738-2025")</f>
        <v/>
      </c>
      <c r="X59">
        <f>HYPERLINK("https://klasma.github.io/Logging_1981/tillsyn/A 21738-2025 tillsynsbegäran.docx", "A 21738-2025")</f>
        <v/>
      </c>
      <c r="Y59">
        <f>HYPERLINK("https://klasma.github.io/Logging_1981/tillsynsmail/A 21738-2025 tillsynsbegäran mail.docx", "A 21738-2025")</f>
        <v/>
      </c>
    </row>
    <row r="60" ht="15" customHeight="1">
      <c r="A60" t="inlineStr">
        <is>
          <t>A 53052-2025</t>
        </is>
      </c>
      <c r="B60" s="1" t="n">
        <v>45958.36266203703</v>
      </c>
      <c r="C60" s="1" t="n">
        <v>46017</v>
      </c>
      <c r="D60" t="inlineStr">
        <is>
          <t>VÄSTMANLANDS LÄN</t>
        </is>
      </c>
      <c r="E60" t="inlineStr">
        <is>
          <t>SALA</t>
        </is>
      </c>
      <c r="F60" t="inlineStr">
        <is>
          <t>Sveaskog</t>
        </is>
      </c>
      <c r="G60" t="n">
        <v>1.1</v>
      </c>
      <c r="H60" t="n">
        <v>0</v>
      </c>
      <c r="I60" t="n">
        <v>0</v>
      </c>
      <c r="J60" t="n">
        <v>1</v>
      </c>
      <c r="K60" t="n">
        <v>0</v>
      </c>
      <c r="L60" t="n">
        <v>0</v>
      </c>
      <c r="M60" t="n">
        <v>0</v>
      </c>
      <c r="N60" t="n">
        <v>0</v>
      </c>
      <c r="O60" t="n">
        <v>1</v>
      </c>
      <c r="P60" t="n">
        <v>0</v>
      </c>
      <c r="Q60" t="n">
        <v>1</v>
      </c>
      <c r="R60" s="2" t="inlineStr">
        <is>
          <t>Motaggsvamp</t>
        </is>
      </c>
      <c r="S60">
        <f>HYPERLINK("https://klasma.github.io/Logging_1981/artfynd/A 53052-2025 artfynd.xlsx", "A 53052-2025")</f>
        <v/>
      </c>
      <c r="T60">
        <f>HYPERLINK("https://klasma.github.io/Logging_1981/kartor/A 53052-2025 karta.png", "A 53052-2025")</f>
        <v/>
      </c>
      <c r="V60">
        <f>HYPERLINK("https://klasma.github.io/Logging_1981/klagomål/A 53052-2025 FSC-klagomål.docx", "A 53052-2025")</f>
        <v/>
      </c>
      <c r="W60">
        <f>HYPERLINK("https://klasma.github.io/Logging_1981/klagomålsmail/A 53052-2025 FSC-klagomål mail.docx", "A 53052-2025")</f>
        <v/>
      </c>
      <c r="X60">
        <f>HYPERLINK("https://klasma.github.io/Logging_1981/tillsyn/A 53052-2025 tillsynsbegäran.docx", "A 53052-2025")</f>
        <v/>
      </c>
      <c r="Y60">
        <f>HYPERLINK("https://klasma.github.io/Logging_1981/tillsynsmail/A 53052-2025 tillsynsbegäran mail.docx", "A 53052-2025")</f>
        <v/>
      </c>
    </row>
    <row r="61" ht="15" customHeight="1">
      <c r="A61" t="inlineStr">
        <is>
          <t>A 22950-2025</t>
        </is>
      </c>
      <c r="B61" s="1" t="n">
        <v>45790.50728009259</v>
      </c>
      <c r="C61" s="1" t="n">
        <v>46017</v>
      </c>
      <c r="D61" t="inlineStr">
        <is>
          <t>VÄSTMANLANDS LÄN</t>
        </is>
      </c>
      <c r="E61" t="inlineStr">
        <is>
          <t>SALA</t>
        </is>
      </c>
      <c r="G61" t="n">
        <v>6.2</v>
      </c>
      <c r="H61" t="n">
        <v>1</v>
      </c>
      <c r="I61" t="n">
        <v>0</v>
      </c>
      <c r="J61" t="n">
        <v>1</v>
      </c>
      <c r="K61" t="n">
        <v>0</v>
      </c>
      <c r="L61" t="n">
        <v>0</v>
      </c>
      <c r="M61" t="n">
        <v>0</v>
      </c>
      <c r="N61" t="n">
        <v>0</v>
      </c>
      <c r="O61" t="n">
        <v>1</v>
      </c>
      <c r="P61" t="n">
        <v>0</v>
      </c>
      <c r="Q61" t="n">
        <v>1</v>
      </c>
      <c r="R61" s="2" t="inlineStr">
        <is>
          <t>Svartvit flugsnappare</t>
        </is>
      </c>
      <c r="S61">
        <f>HYPERLINK("https://klasma.github.io/Logging_1981/artfynd/A 22950-2025 artfynd.xlsx", "A 22950-2025")</f>
        <v/>
      </c>
      <c r="T61">
        <f>HYPERLINK("https://klasma.github.io/Logging_1981/kartor/A 22950-2025 karta.png", "A 22950-2025")</f>
        <v/>
      </c>
      <c r="V61">
        <f>HYPERLINK("https://klasma.github.io/Logging_1981/klagomål/A 22950-2025 FSC-klagomål.docx", "A 22950-2025")</f>
        <v/>
      </c>
      <c r="W61">
        <f>HYPERLINK("https://klasma.github.io/Logging_1981/klagomålsmail/A 22950-2025 FSC-klagomål mail.docx", "A 22950-2025")</f>
        <v/>
      </c>
      <c r="X61">
        <f>HYPERLINK("https://klasma.github.io/Logging_1981/tillsyn/A 22950-2025 tillsynsbegäran.docx", "A 22950-2025")</f>
        <v/>
      </c>
      <c r="Y61">
        <f>HYPERLINK("https://klasma.github.io/Logging_1981/tillsynsmail/A 22950-2025 tillsynsbegäran mail.docx", "A 22950-2025")</f>
        <v/>
      </c>
      <c r="Z61">
        <f>HYPERLINK("https://klasma.github.io/Logging_1981/fåglar/A 22950-2025 prioriterade fågelarter.docx", "A 22950-2025")</f>
        <v/>
      </c>
    </row>
    <row r="62" ht="15" customHeight="1">
      <c r="A62" t="inlineStr">
        <is>
          <t>A 55995-2025</t>
        </is>
      </c>
      <c r="B62" s="1" t="n">
        <v>45973.56733796297</v>
      </c>
      <c r="C62" s="1" t="n">
        <v>46017</v>
      </c>
      <c r="D62" t="inlineStr">
        <is>
          <t>VÄSTMANLANDS LÄN</t>
        </is>
      </c>
      <c r="E62" t="inlineStr">
        <is>
          <t>SALA</t>
        </is>
      </c>
      <c r="F62" t="inlineStr">
        <is>
          <t>Sveaskog</t>
        </is>
      </c>
      <c r="G62" t="n">
        <v>4.5</v>
      </c>
      <c r="H62" t="n">
        <v>1</v>
      </c>
      <c r="I62" t="n">
        <v>0</v>
      </c>
      <c r="J62" t="n">
        <v>0</v>
      </c>
      <c r="K62" t="n">
        <v>0</v>
      </c>
      <c r="L62" t="n">
        <v>0</v>
      </c>
      <c r="M62" t="n">
        <v>0</v>
      </c>
      <c r="N62" t="n">
        <v>0</v>
      </c>
      <c r="O62" t="n">
        <v>0</v>
      </c>
      <c r="P62" t="n">
        <v>0</v>
      </c>
      <c r="Q62" t="n">
        <v>1</v>
      </c>
      <c r="R62" s="2" t="inlineStr">
        <is>
          <t>Fläcknycklar</t>
        </is>
      </c>
      <c r="S62">
        <f>HYPERLINK("https://klasma.github.io/Logging_1981/artfynd/A 55995-2025 artfynd.xlsx", "A 55995-2025")</f>
        <v/>
      </c>
      <c r="T62">
        <f>HYPERLINK("https://klasma.github.io/Logging_1981/kartor/A 55995-2025 karta.png", "A 55995-2025")</f>
        <v/>
      </c>
      <c r="V62">
        <f>HYPERLINK("https://klasma.github.io/Logging_1981/klagomål/A 55995-2025 FSC-klagomål.docx", "A 55995-2025")</f>
        <v/>
      </c>
      <c r="W62">
        <f>HYPERLINK("https://klasma.github.io/Logging_1981/klagomålsmail/A 55995-2025 FSC-klagomål mail.docx", "A 55995-2025")</f>
        <v/>
      </c>
      <c r="X62">
        <f>HYPERLINK("https://klasma.github.io/Logging_1981/tillsyn/A 55995-2025 tillsynsbegäran.docx", "A 55995-2025")</f>
        <v/>
      </c>
      <c r="Y62">
        <f>HYPERLINK("https://klasma.github.io/Logging_1981/tillsynsmail/A 55995-2025 tillsynsbegäran mail.docx", "A 55995-2025")</f>
        <v/>
      </c>
    </row>
    <row r="63" ht="15" customHeight="1">
      <c r="A63" t="inlineStr">
        <is>
          <t>A 32594-2025</t>
        </is>
      </c>
      <c r="B63" s="1" t="n">
        <v>45838</v>
      </c>
      <c r="C63" s="1" t="n">
        <v>46017</v>
      </c>
      <c r="D63" t="inlineStr">
        <is>
          <t>VÄSTMANLANDS LÄN</t>
        </is>
      </c>
      <c r="E63" t="inlineStr">
        <is>
          <t>SALA</t>
        </is>
      </c>
      <c r="F63" t="inlineStr">
        <is>
          <t>Bergvik skog öst AB</t>
        </is>
      </c>
      <c r="G63" t="n">
        <v>0.9</v>
      </c>
      <c r="H63" t="n">
        <v>1</v>
      </c>
      <c r="I63" t="n">
        <v>0</v>
      </c>
      <c r="J63" t="n">
        <v>0</v>
      </c>
      <c r="K63" t="n">
        <v>0</v>
      </c>
      <c r="L63" t="n">
        <v>0</v>
      </c>
      <c r="M63" t="n">
        <v>0</v>
      </c>
      <c r="N63" t="n">
        <v>0</v>
      </c>
      <c r="O63" t="n">
        <v>0</v>
      </c>
      <c r="P63" t="n">
        <v>0</v>
      </c>
      <c r="Q63" t="n">
        <v>1</v>
      </c>
      <c r="R63" s="2" t="inlineStr">
        <is>
          <t>Blåsippa</t>
        </is>
      </c>
      <c r="S63">
        <f>HYPERLINK("https://klasma.github.io/Logging_1981/artfynd/A 32594-2025 artfynd.xlsx", "A 32594-2025")</f>
        <v/>
      </c>
      <c r="T63">
        <f>HYPERLINK("https://klasma.github.io/Logging_1981/kartor/A 32594-2025 karta.png", "A 32594-2025")</f>
        <v/>
      </c>
      <c r="V63">
        <f>HYPERLINK("https://klasma.github.io/Logging_1981/klagomål/A 32594-2025 FSC-klagomål.docx", "A 32594-2025")</f>
        <v/>
      </c>
      <c r="W63">
        <f>HYPERLINK("https://klasma.github.io/Logging_1981/klagomålsmail/A 32594-2025 FSC-klagomål mail.docx", "A 32594-2025")</f>
        <v/>
      </c>
      <c r="X63">
        <f>HYPERLINK("https://klasma.github.io/Logging_1981/tillsyn/A 32594-2025 tillsynsbegäran.docx", "A 32594-2025")</f>
        <v/>
      </c>
      <c r="Y63">
        <f>HYPERLINK("https://klasma.github.io/Logging_1981/tillsynsmail/A 32594-2025 tillsynsbegäran mail.docx", "A 32594-2025")</f>
        <v/>
      </c>
    </row>
    <row r="64" ht="15" customHeight="1">
      <c r="A64" t="inlineStr">
        <is>
          <t>A 22350-2024</t>
        </is>
      </c>
      <c r="B64" s="1" t="n">
        <v>45446</v>
      </c>
      <c r="C64" s="1" t="n">
        <v>46017</v>
      </c>
      <c r="D64" t="inlineStr">
        <is>
          <t>VÄSTMANLANDS LÄN</t>
        </is>
      </c>
      <c r="E64" t="inlineStr">
        <is>
          <t>SALA</t>
        </is>
      </c>
      <c r="G64" t="n">
        <v>1.2</v>
      </c>
      <c r="H64" t="n">
        <v>1</v>
      </c>
      <c r="I64" t="n">
        <v>0</v>
      </c>
      <c r="J64" t="n">
        <v>0</v>
      </c>
      <c r="K64" t="n">
        <v>0</v>
      </c>
      <c r="L64" t="n">
        <v>0</v>
      </c>
      <c r="M64" t="n">
        <v>0</v>
      </c>
      <c r="N64" t="n">
        <v>0</v>
      </c>
      <c r="O64" t="n">
        <v>0</v>
      </c>
      <c r="P64" t="n">
        <v>0</v>
      </c>
      <c r="Q64" t="n">
        <v>1</v>
      </c>
      <c r="R64" s="2" t="inlineStr">
        <is>
          <t>Blåsippa</t>
        </is>
      </c>
      <c r="S64">
        <f>HYPERLINK("https://klasma.github.io/Logging_1981/artfynd/A 22350-2024 artfynd.xlsx", "A 22350-2024")</f>
        <v/>
      </c>
      <c r="T64">
        <f>HYPERLINK("https://klasma.github.io/Logging_1981/kartor/A 22350-2024 karta.png", "A 22350-2024")</f>
        <v/>
      </c>
      <c r="V64">
        <f>HYPERLINK("https://klasma.github.io/Logging_1981/klagomål/A 22350-2024 FSC-klagomål.docx", "A 22350-2024")</f>
        <v/>
      </c>
      <c r="W64">
        <f>HYPERLINK("https://klasma.github.io/Logging_1981/klagomålsmail/A 22350-2024 FSC-klagomål mail.docx", "A 22350-2024")</f>
        <v/>
      </c>
      <c r="X64">
        <f>HYPERLINK("https://klasma.github.io/Logging_1981/tillsyn/A 22350-2024 tillsynsbegäran.docx", "A 22350-2024")</f>
        <v/>
      </c>
      <c r="Y64">
        <f>HYPERLINK("https://klasma.github.io/Logging_1981/tillsynsmail/A 22350-2024 tillsynsbegäran mail.docx", "A 22350-2024")</f>
        <v/>
      </c>
    </row>
    <row r="65" ht="15" customHeight="1">
      <c r="A65" t="inlineStr">
        <is>
          <t>A 69194-2020</t>
        </is>
      </c>
      <c r="B65" s="1" t="n">
        <v>44191</v>
      </c>
      <c r="C65" s="1" t="n">
        <v>46017</v>
      </c>
      <c r="D65" t="inlineStr">
        <is>
          <t>VÄSTMANLANDS LÄN</t>
        </is>
      </c>
      <c r="E65" t="inlineStr">
        <is>
          <t>SALA</t>
        </is>
      </c>
      <c r="G65" t="n">
        <v>0.4</v>
      </c>
      <c r="H65" t="n">
        <v>0</v>
      </c>
      <c r="I65" t="n">
        <v>0</v>
      </c>
      <c r="J65" t="n">
        <v>0</v>
      </c>
      <c r="K65" t="n">
        <v>0</v>
      </c>
      <c r="L65" t="n">
        <v>0</v>
      </c>
      <c r="M65" t="n">
        <v>0</v>
      </c>
      <c r="N65" t="n">
        <v>0</v>
      </c>
      <c r="O65" t="n">
        <v>0</v>
      </c>
      <c r="P65" t="n">
        <v>0</v>
      </c>
      <c r="Q65" t="n">
        <v>0</v>
      </c>
      <c r="R65" s="2" t="inlineStr"/>
    </row>
    <row r="66" ht="15" customHeight="1">
      <c r="A66" t="inlineStr">
        <is>
          <t>A 66561-2021</t>
        </is>
      </c>
      <c r="B66" s="1" t="n">
        <v>44519.41648148148</v>
      </c>
      <c r="C66" s="1" t="n">
        <v>46017</v>
      </c>
      <c r="D66" t="inlineStr">
        <is>
          <t>VÄSTMANLANDS LÄN</t>
        </is>
      </c>
      <c r="E66" t="inlineStr">
        <is>
          <t>SALA</t>
        </is>
      </c>
      <c r="G66" t="n">
        <v>0.3</v>
      </c>
      <c r="H66" t="n">
        <v>0</v>
      </c>
      <c r="I66" t="n">
        <v>0</v>
      </c>
      <c r="J66" t="n">
        <v>0</v>
      </c>
      <c r="K66" t="n">
        <v>0</v>
      </c>
      <c r="L66" t="n">
        <v>0</v>
      </c>
      <c r="M66" t="n">
        <v>0</v>
      </c>
      <c r="N66" t="n">
        <v>0</v>
      </c>
      <c r="O66" t="n">
        <v>0</v>
      </c>
      <c r="P66" t="n">
        <v>0</v>
      </c>
      <c r="Q66" t="n">
        <v>0</v>
      </c>
      <c r="R66" s="2" t="inlineStr"/>
    </row>
    <row r="67" ht="15" customHeight="1">
      <c r="A67" t="inlineStr">
        <is>
          <t>A 73124-2021</t>
        </is>
      </c>
      <c r="B67" s="1" t="n">
        <v>44550</v>
      </c>
      <c r="C67" s="1" t="n">
        <v>46017</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73788-2021</t>
        </is>
      </c>
      <c r="B68" s="1" t="n">
        <v>44552</v>
      </c>
      <c r="C68" s="1" t="n">
        <v>46017</v>
      </c>
      <c r="D68" t="inlineStr">
        <is>
          <t>VÄSTMANLANDS LÄN</t>
        </is>
      </c>
      <c r="E68" t="inlineStr">
        <is>
          <t>SALA</t>
        </is>
      </c>
      <c r="G68" t="n">
        <v>0.8</v>
      </c>
      <c r="H68" t="n">
        <v>0</v>
      </c>
      <c r="I68" t="n">
        <v>0</v>
      </c>
      <c r="J68" t="n">
        <v>0</v>
      </c>
      <c r="K68" t="n">
        <v>0</v>
      </c>
      <c r="L68" t="n">
        <v>0</v>
      </c>
      <c r="M68" t="n">
        <v>0</v>
      </c>
      <c r="N68" t="n">
        <v>0</v>
      </c>
      <c r="O68" t="n">
        <v>0</v>
      </c>
      <c r="P68" t="n">
        <v>0</v>
      </c>
      <c r="Q68" t="n">
        <v>0</v>
      </c>
      <c r="R68" s="2" t="inlineStr"/>
    </row>
    <row r="69" ht="15" customHeight="1">
      <c r="A69" t="inlineStr">
        <is>
          <t>A 34110-2022</t>
        </is>
      </c>
      <c r="B69" s="1" t="n">
        <v>44791</v>
      </c>
      <c r="C69" s="1" t="n">
        <v>46017</v>
      </c>
      <c r="D69" t="inlineStr">
        <is>
          <t>VÄSTMANLANDS LÄN</t>
        </is>
      </c>
      <c r="E69" t="inlineStr">
        <is>
          <t>SALA</t>
        </is>
      </c>
      <c r="G69" t="n">
        <v>0.2</v>
      </c>
      <c r="H69" t="n">
        <v>0</v>
      </c>
      <c r="I69" t="n">
        <v>0</v>
      </c>
      <c r="J69" t="n">
        <v>0</v>
      </c>
      <c r="K69" t="n">
        <v>0</v>
      </c>
      <c r="L69" t="n">
        <v>0</v>
      </c>
      <c r="M69" t="n">
        <v>0</v>
      </c>
      <c r="N69" t="n">
        <v>0</v>
      </c>
      <c r="O69" t="n">
        <v>0</v>
      </c>
      <c r="P69" t="n">
        <v>0</v>
      </c>
      <c r="Q69" t="n">
        <v>0</v>
      </c>
      <c r="R69" s="2" t="inlineStr"/>
    </row>
    <row r="70" ht="15" customHeight="1">
      <c r="A70" t="inlineStr">
        <is>
          <t>A 43292-2021</t>
        </is>
      </c>
      <c r="B70" s="1" t="n">
        <v>44432</v>
      </c>
      <c r="C70" s="1" t="n">
        <v>46017</v>
      </c>
      <c r="D70" t="inlineStr">
        <is>
          <t>VÄSTMANLANDS LÄN</t>
        </is>
      </c>
      <c r="E70" t="inlineStr">
        <is>
          <t>SALA</t>
        </is>
      </c>
      <c r="G70" t="n">
        <v>15</v>
      </c>
      <c r="H70" t="n">
        <v>0</v>
      </c>
      <c r="I70" t="n">
        <v>0</v>
      </c>
      <c r="J70" t="n">
        <v>0</v>
      </c>
      <c r="K70" t="n">
        <v>0</v>
      </c>
      <c r="L70" t="n">
        <v>0</v>
      </c>
      <c r="M70" t="n">
        <v>0</v>
      </c>
      <c r="N70" t="n">
        <v>0</v>
      </c>
      <c r="O70" t="n">
        <v>0</v>
      </c>
      <c r="P70" t="n">
        <v>0</v>
      </c>
      <c r="Q70" t="n">
        <v>0</v>
      </c>
      <c r="R70" s="2" t="inlineStr"/>
    </row>
    <row r="71" ht="15" customHeight="1">
      <c r="A71" t="inlineStr">
        <is>
          <t>A 28999-2022</t>
        </is>
      </c>
      <c r="B71" s="1" t="n">
        <v>44749</v>
      </c>
      <c r="C71" s="1" t="n">
        <v>46017</v>
      </c>
      <c r="D71" t="inlineStr">
        <is>
          <t>VÄSTMANLANDS LÄN</t>
        </is>
      </c>
      <c r="E71" t="inlineStr">
        <is>
          <t>SALA</t>
        </is>
      </c>
      <c r="G71" t="n">
        <v>5.7</v>
      </c>
      <c r="H71" t="n">
        <v>0</v>
      </c>
      <c r="I71" t="n">
        <v>0</v>
      </c>
      <c r="J71" t="n">
        <v>0</v>
      </c>
      <c r="K71" t="n">
        <v>0</v>
      </c>
      <c r="L71" t="n">
        <v>0</v>
      </c>
      <c r="M71" t="n">
        <v>0</v>
      </c>
      <c r="N71" t="n">
        <v>0</v>
      </c>
      <c r="O71" t="n">
        <v>0</v>
      </c>
      <c r="P71" t="n">
        <v>0</v>
      </c>
      <c r="Q71" t="n">
        <v>0</v>
      </c>
      <c r="R71" s="2" t="inlineStr"/>
    </row>
    <row r="72" ht="15" customHeight="1">
      <c r="A72" t="inlineStr">
        <is>
          <t>A 11560-2021</t>
        </is>
      </c>
      <c r="B72" s="1" t="n">
        <v>44264</v>
      </c>
      <c r="C72" s="1" t="n">
        <v>46017</v>
      </c>
      <c r="D72" t="inlineStr">
        <is>
          <t>VÄSTMANLANDS LÄN</t>
        </is>
      </c>
      <c r="E72" t="inlineStr">
        <is>
          <t>SALA</t>
        </is>
      </c>
      <c r="G72" t="n">
        <v>1.4</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46017</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46017</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46017</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46017</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46017</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46017</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46017</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46017</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46017</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46017</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46017</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46017</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46017</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46017</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46017</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46017</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46017</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46017</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46017</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46017</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46017</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46017</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46017</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46017</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46017</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46017</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46017</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46017</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46017</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46017</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46017</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46017</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46017</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7955-2021</t>
        </is>
      </c>
      <c r="B106" s="1" t="n">
        <v>44243</v>
      </c>
      <c r="C106" s="1" t="n">
        <v>46017</v>
      </c>
      <c r="D106" t="inlineStr">
        <is>
          <t>VÄSTMANLANDS LÄN</t>
        </is>
      </c>
      <c r="E106" t="inlineStr">
        <is>
          <t>SALA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46017</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46017</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51377-2022</t>
        </is>
      </c>
      <c r="B109" s="1" t="n">
        <v>44866</v>
      </c>
      <c r="C109" s="1" t="n">
        <v>46017</v>
      </c>
      <c r="D109" t="inlineStr">
        <is>
          <t>VÄSTMANLANDS LÄN</t>
        </is>
      </c>
      <c r="E109" t="inlineStr">
        <is>
          <t>SALA</t>
        </is>
      </c>
      <c r="G109" t="n">
        <v>6.3</v>
      </c>
      <c r="H109" t="n">
        <v>0</v>
      </c>
      <c r="I109" t="n">
        <v>0</v>
      </c>
      <c r="J109" t="n">
        <v>0</v>
      </c>
      <c r="K109" t="n">
        <v>0</v>
      </c>
      <c r="L109" t="n">
        <v>0</v>
      </c>
      <c r="M109" t="n">
        <v>0</v>
      </c>
      <c r="N109" t="n">
        <v>0</v>
      </c>
      <c r="O109" t="n">
        <v>0</v>
      </c>
      <c r="P109" t="n">
        <v>0</v>
      </c>
      <c r="Q109" t="n">
        <v>0</v>
      </c>
      <c r="R109" s="2" t="inlineStr"/>
    </row>
    <row r="110" ht="15" customHeight="1">
      <c r="A110" t="inlineStr">
        <is>
          <t>A 68355-2021</t>
        </is>
      </c>
      <c r="B110" s="1" t="n">
        <v>44528</v>
      </c>
      <c r="C110" s="1" t="n">
        <v>46017</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46017</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46017</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46017</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46017</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46017</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18259-2021</t>
        </is>
      </c>
      <c r="B116" s="1" t="n">
        <v>44305</v>
      </c>
      <c r="C116" s="1" t="n">
        <v>46017</v>
      </c>
      <c r="D116" t="inlineStr">
        <is>
          <t>VÄSTMANLANDS LÄN</t>
        </is>
      </c>
      <c r="E116" t="inlineStr">
        <is>
          <t>SALA</t>
        </is>
      </c>
      <c r="G116" t="n">
        <v>0</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46017</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46017</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46017</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46017</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46017</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37856-2021</t>
        </is>
      </c>
      <c r="B122" s="1" t="n">
        <v>44403</v>
      </c>
      <c r="C122" s="1" t="n">
        <v>46017</v>
      </c>
      <c r="D122" t="inlineStr">
        <is>
          <t>VÄSTMANLANDS LÄN</t>
        </is>
      </c>
      <c r="E122" t="inlineStr">
        <is>
          <t>SALA</t>
        </is>
      </c>
      <c r="G122" t="n">
        <v>3.1</v>
      </c>
      <c r="H122" t="n">
        <v>0</v>
      </c>
      <c r="I122" t="n">
        <v>0</v>
      </c>
      <c r="J122" t="n">
        <v>0</v>
      </c>
      <c r="K122" t="n">
        <v>0</v>
      </c>
      <c r="L122" t="n">
        <v>0</v>
      </c>
      <c r="M122" t="n">
        <v>0</v>
      </c>
      <c r="N122" t="n">
        <v>0</v>
      </c>
      <c r="O122" t="n">
        <v>0</v>
      </c>
      <c r="P122" t="n">
        <v>0</v>
      </c>
      <c r="Q122" t="n">
        <v>0</v>
      </c>
      <c r="R122" s="2" t="inlineStr"/>
    </row>
    <row r="123" ht="15" customHeight="1">
      <c r="A123" t="inlineStr">
        <is>
          <t>A 37872-2021</t>
        </is>
      </c>
      <c r="B123" s="1" t="n">
        <v>44403</v>
      </c>
      <c r="C123" s="1" t="n">
        <v>46017</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23181-2022</t>
        </is>
      </c>
      <c r="B124" s="1" t="n">
        <v>44719.79537037037</v>
      </c>
      <c r="C124" s="1" t="n">
        <v>46017</v>
      </c>
      <c r="D124" t="inlineStr">
        <is>
          <t>VÄSTMANLANDS LÄN</t>
        </is>
      </c>
      <c r="E124" t="inlineStr">
        <is>
          <t>SALA</t>
        </is>
      </c>
      <c r="G124" t="n">
        <v>0.8</v>
      </c>
      <c r="H124" t="n">
        <v>0</v>
      </c>
      <c r="I124" t="n">
        <v>0</v>
      </c>
      <c r="J124" t="n">
        <v>0</v>
      </c>
      <c r="K124" t="n">
        <v>0</v>
      </c>
      <c r="L124" t="n">
        <v>0</v>
      </c>
      <c r="M124" t="n">
        <v>0</v>
      </c>
      <c r="N124" t="n">
        <v>0</v>
      </c>
      <c r="O124" t="n">
        <v>0</v>
      </c>
      <c r="P124" t="n">
        <v>0</v>
      </c>
      <c r="Q124" t="n">
        <v>0</v>
      </c>
      <c r="R124" s="2" t="inlineStr"/>
    </row>
    <row r="125" ht="15" customHeight="1">
      <c r="A125" t="inlineStr">
        <is>
          <t>A 65860-2021</t>
        </is>
      </c>
      <c r="B125" s="1" t="n">
        <v>44517.38163194444</v>
      </c>
      <c r="C125" s="1" t="n">
        <v>46017</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3204-2022</t>
        </is>
      </c>
      <c r="B126" s="1" t="n">
        <v>44582</v>
      </c>
      <c r="C126" s="1" t="n">
        <v>46017</v>
      </c>
      <c r="D126" t="inlineStr">
        <is>
          <t>VÄSTMANLANDS LÄN</t>
        </is>
      </c>
      <c r="E126" t="inlineStr">
        <is>
          <t>SALA</t>
        </is>
      </c>
      <c r="G126" t="n">
        <v>0.7</v>
      </c>
      <c r="H126" t="n">
        <v>0</v>
      </c>
      <c r="I126" t="n">
        <v>0</v>
      </c>
      <c r="J126" t="n">
        <v>0</v>
      </c>
      <c r="K126" t="n">
        <v>0</v>
      </c>
      <c r="L126" t="n">
        <v>0</v>
      </c>
      <c r="M126" t="n">
        <v>0</v>
      </c>
      <c r="N126" t="n">
        <v>0</v>
      </c>
      <c r="O126" t="n">
        <v>0</v>
      </c>
      <c r="P126" t="n">
        <v>0</v>
      </c>
      <c r="Q126" t="n">
        <v>0</v>
      </c>
      <c r="R126" s="2" t="inlineStr"/>
    </row>
    <row r="127" ht="15" customHeight="1">
      <c r="A127" t="inlineStr">
        <is>
          <t>A 30170-2021</t>
        </is>
      </c>
      <c r="B127" s="1" t="n">
        <v>44363</v>
      </c>
      <c r="C127" s="1" t="n">
        <v>46017</v>
      </c>
      <c r="D127" t="inlineStr">
        <is>
          <t>VÄSTMANLANDS LÄN</t>
        </is>
      </c>
      <c r="E127" t="inlineStr">
        <is>
          <t>SALA</t>
        </is>
      </c>
      <c r="G127" t="n">
        <v>7.2</v>
      </c>
      <c r="H127" t="n">
        <v>0</v>
      </c>
      <c r="I127" t="n">
        <v>0</v>
      </c>
      <c r="J127" t="n">
        <v>0</v>
      </c>
      <c r="K127" t="n">
        <v>0</v>
      </c>
      <c r="L127" t="n">
        <v>0</v>
      </c>
      <c r="M127" t="n">
        <v>0</v>
      </c>
      <c r="N127" t="n">
        <v>0</v>
      </c>
      <c r="O127" t="n">
        <v>0</v>
      </c>
      <c r="P127" t="n">
        <v>0</v>
      </c>
      <c r="Q127" t="n">
        <v>0</v>
      </c>
      <c r="R127" s="2" t="inlineStr"/>
    </row>
    <row r="128" ht="15" customHeight="1">
      <c r="A128" t="inlineStr">
        <is>
          <t>A 23847-2022</t>
        </is>
      </c>
      <c r="B128" s="1" t="n">
        <v>44722</v>
      </c>
      <c r="C128" s="1" t="n">
        <v>46017</v>
      </c>
      <c r="D128" t="inlineStr">
        <is>
          <t>VÄSTMANLANDS LÄN</t>
        </is>
      </c>
      <c r="E128" t="inlineStr">
        <is>
          <t>SALA</t>
        </is>
      </c>
      <c r="G128" t="n">
        <v>1</v>
      </c>
      <c r="H128" t="n">
        <v>0</v>
      </c>
      <c r="I128" t="n">
        <v>0</v>
      </c>
      <c r="J128" t="n">
        <v>0</v>
      </c>
      <c r="K128" t="n">
        <v>0</v>
      </c>
      <c r="L128" t="n">
        <v>0</v>
      </c>
      <c r="M128" t="n">
        <v>0</v>
      </c>
      <c r="N128" t="n">
        <v>0</v>
      </c>
      <c r="O128" t="n">
        <v>0</v>
      </c>
      <c r="P128" t="n">
        <v>0</v>
      </c>
      <c r="Q128" t="n">
        <v>0</v>
      </c>
      <c r="R128" s="2" t="inlineStr"/>
    </row>
    <row r="129" ht="15" customHeight="1">
      <c r="A129" t="inlineStr">
        <is>
          <t>A 26570-2021</t>
        </is>
      </c>
      <c r="B129" s="1" t="n">
        <v>44348</v>
      </c>
      <c r="C129" s="1" t="n">
        <v>46017</v>
      </c>
      <c r="D129" t="inlineStr">
        <is>
          <t>VÄSTMANLANDS LÄN</t>
        </is>
      </c>
      <c r="E129" t="inlineStr">
        <is>
          <t>SALA</t>
        </is>
      </c>
      <c r="G129" t="n">
        <v>2.5</v>
      </c>
      <c r="H129" t="n">
        <v>0</v>
      </c>
      <c r="I129" t="n">
        <v>0</v>
      </c>
      <c r="J129" t="n">
        <v>0</v>
      </c>
      <c r="K129" t="n">
        <v>0</v>
      </c>
      <c r="L129" t="n">
        <v>0</v>
      </c>
      <c r="M129" t="n">
        <v>0</v>
      </c>
      <c r="N129" t="n">
        <v>0</v>
      </c>
      <c r="O129" t="n">
        <v>0</v>
      </c>
      <c r="P129" t="n">
        <v>0</v>
      </c>
      <c r="Q129" t="n">
        <v>0</v>
      </c>
      <c r="R129" s="2" t="inlineStr"/>
    </row>
    <row r="130" ht="15" customHeight="1">
      <c r="A130" t="inlineStr">
        <is>
          <t>A 8130-2022</t>
        </is>
      </c>
      <c r="B130" s="1" t="n">
        <v>44609.5984837963</v>
      </c>
      <c r="C130" s="1" t="n">
        <v>46017</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65818-2021</t>
        </is>
      </c>
      <c r="B131" s="1" t="n">
        <v>44517</v>
      </c>
      <c r="C131" s="1" t="n">
        <v>46017</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30915-2021</t>
        </is>
      </c>
      <c r="B132" s="1" t="n">
        <v>44365</v>
      </c>
      <c r="C132" s="1" t="n">
        <v>46017</v>
      </c>
      <c r="D132" t="inlineStr">
        <is>
          <t>VÄSTMANLANDS LÄN</t>
        </is>
      </c>
      <c r="E132" t="inlineStr">
        <is>
          <t>SALA</t>
        </is>
      </c>
      <c r="G132" t="n">
        <v>0.5</v>
      </c>
      <c r="H132" t="n">
        <v>0</v>
      </c>
      <c r="I132" t="n">
        <v>0</v>
      </c>
      <c r="J132" t="n">
        <v>0</v>
      </c>
      <c r="K132" t="n">
        <v>0</v>
      </c>
      <c r="L132" t="n">
        <v>0</v>
      </c>
      <c r="M132" t="n">
        <v>0</v>
      </c>
      <c r="N132" t="n">
        <v>0</v>
      </c>
      <c r="O132" t="n">
        <v>0</v>
      </c>
      <c r="P132" t="n">
        <v>0</v>
      </c>
      <c r="Q132" t="n">
        <v>0</v>
      </c>
      <c r="R132" s="2" t="inlineStr"/>
    </row>
    <row r="133" ht="15" customHeight="1">
      <c r="A133" t="inlineStr">
        <is>
          <t>A 30918-2021</t>
        </is>
      </c>
      <c r="B133" s="1" t="n">
        <v>44365.60569444444</v>
      </c>
      <c r="C133" s="1" t="n">
        <v>46017</v>
      </c>
      <c r="D133" t="inlineStr">
        <is>
          <t>VÄSTMANLANDS LÄN</t>
        </is>
      </c>
      <c r="E133" t="inlineStr">
        <is>
          <t>SALA</t>
        </is>
      </c>
      <c r="G133" t="n">
        <v>0.7</v>
      </c>
      <c r="H133" t="n">
        <v>0</v>
      </c>
      <c r="I133" t="n">
        <v>0</v>
      </c>
      <c r="J133" t="n">
        <v>0</v>
      </c>
      <c r="K133" t="n">
        <v>0</v>
      </c>
      <c r="L133" t="n">
        <v>0</v>
      </c>
      <c r="M133" t="n">
        <v>0</v>
      </c>
      <c r="N133" t="n">
        <v>0</v>
      </c>
      <c r="O133" t="n">
        <v>0</v>
      </c>
      <c r="P133" t="n">
        <v>0</v>
      </c>
      <c r="Q133" t="n">
        <v>0</v>
      </c>
      <c r="R133" s="2" t="inlineStr"/>
    </row>
    <row r="134" ht="15" customHeight="1">
      <c r="A134" t="inlineStr">
        <is>
          <t>A 9075-2022</t>
        </is>
      </c>
      <c r="B134" s="1" t="n">
        <v>44615.47800925926</v>
      </c>
      <c r="C134" s="1" t="n">
        <v>46017</v>
      </c>
      <c r="D134" t="inlineStr">
        <is>
          <t>VÄSTMANLANDS LÄN</t>
        </is>
      </c>
      <c r="E134" t="inlineStr">
        <is>
          <t>SALA</t>
        </is>
      </c>
      <c r="G134" t="n">
        <v>0.7</v>
      </c>
      <c r="H134" t="n">
        <v>0</v>
      </c>
      <c r="I134" t="n">
        <v>0</v>
      </c>
      <c r="J134" t="n">
        <v>0</v>
      </c>
      <c r="K134" t="n">
        <v>0</v>
      </c>
      <c r="L134" t="n">
        <v>0</v>
      </c>
      <c r="M134" t="n">
        <v>0</v>
      </c>
      <c r="N134" t="n">
        <v>0</v>
      </c>
      <c r="O134" t="n">
        <v>0</v>
      </c>
      <c r="P134" t="n">
        <v>0</v>
      </c>
      <c r="Q134" t="n">
        <v>0</v>
      </c>
      <c r="R134" s="2" t="inlineStr"/>
    </row>
    <row r="135" ht="15" customHeight="1">
      <c r="A135" t="inlineStr">
        <is>
          <t>A 22562-2022</t>
        </is>
      </c>
      <c r="B135" s="1" t="n">
        <v>44713</v>
      </c>
      <c r="C135" s="1" t="n">
        <v>46017</v>
      </c>
      <c r="D135" t="inlineStr">
        <is>
          <t>VÄSTMANLANDS LÄN</t>
        </is>
      </c>
      <c r="E135" t="inlineStr">
        <is>
          <t>SALA</t>
        </is>
      </c>
      <c r="G135" t="n">
        <v>0.8</v>
      </c>
      <c r="H135" t="n">
        <v>0</v>
      </c>
      <c r="I135" t="n">
        <v>0</v>
      </c>
      <c r="J135" t="n">
        <v>0</v>
      </c>
      <c r="K135" t="n">
        <v>0</v>
      </c>
      <c r="L135" t="n">
        <v>0</v>
      </c>
      <c r="M135" t="n">
        <v>0</v>
      </c>
      <c r="N135" t="n">
        <v>0</v>
      </c>
      <c r="O135" t="n">
        <v>0</v>
      </c>
      <c r="P135" t="n">
        <v>0</v>
      </c>
      <c r="Q135" t="n">
        <v>0</v>
      </c>
      <c r="R135" s="2" t="inlineStr"/>
    </row>
    <row r="136" ht="15" customHeight="1">
      <c r="A136" t="inlineStr">
        <is>
          <t>A 30904-2021</t>
        </is>
      </c>
      <c r="B136" s="1" t="n">
        <v>44365.5983449074</v>
      </c>
      <c r="C136" s="1" t="n">
        <v>46017</v>
      </c>
      <c r="D136" t="inlineStr">
        <is>
          <t>VÄSTMANLANDS LÄN</t>
        </is>
      </c>
      <c r="E136" t="inlineStr">
        <is>
          <t>SALA</t>
        </is>
      </c>
      <c r="G136" t="n">
        <v>1.9</v>
      </c>
      <c r="H136" t="n">
        <v>0</v>
      </c>
      <c r="I136" t="n">
        <v>0</v>
      </c>
      <c r="J136" t="n">
        <v>0</v>
      </c>
      <c r="K136" t="n">
        <v>0</v>
      </c>
      <c r="L136" t="n">
        <v>0</v>
      </c>
      <c r="M136" t="n">
        <v>0</v>
      </c>
      <c r="N136" t="n">
        <v>0</v>
      </c>
      <c r="O136" t="n">
        <v>0</v>
      </c>
      <c r="P136" t="n">
        <v>0</v>
      </c>
      <c r="Q136" t="n">
        <v>0</v>
      </c>
      <c r="R136" s="2" t="inlineStr"/>
    </row>
    <row r="137" ht="15" customHeight="1">
      <c r="A137" t="inlineStr">
        <is>
          <t>A 29002-2022</t>
        </is>
      </c>
      <c r="B137" s="1" t="n">
        <v>44749</v>
      </c>
      <c r="C137" s="1" t="n">
        <v>46017</v>
      </c>
      <c r="D137" t="inlineStr">
        <is>
          <t>VÄSTMANLANDS LÄN</t>
        </is>
      </c>
      <c r="E137" t="inlineStr">
        <is>
          <t>SALA</t>
        </is>
      </c>
      <c r="G137" t="n">
        <v>5.4</v>
      </c>
      <c r="H137" t="n">
        <v>0</v>
      </c>
      <c r="I137" t="n">
        <v>0</v>
      </c>
      <c r="J137" t="n">
        <v>0</v>
      </c>
      <c r="K137" t="n">
        <v>0</v>
      </c>
      <c r="L137" t="n">
        <v>0</v>
      </c>
      <c r="M137" t="n">
        <v>0</v>
      </c>
      <c r="N137" t="n">
        <v>0</v>
      </c>
      <c r="O137" t="n">
        <v>0</v>
      </c>
      <c r="P137" t="n">
        <v>0</v>
      </c>
      <c r="Q137" t="n">
        <v>0</v>
      </c>
      <c r="R137" s="2" t="inlineStr"/>
    </row>
    <row r="138" ht="15" customHeight="1">
      <c r="A138" t="inlineStr">
        <is>
          <t>A 9050-2022</t>
        </is>
      </c>
      <c r="B138" s="1" t="n">
        <v>44615.45451388889</v>
      </c>
      <c r="C138" s="1" t="n">
        <v>46017</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49254-2022</t>
        </is>
      </c>
      <c r="B139" s="1" t="n">
        <v>44861</v>
      </c>
      <c r="C139" s="1" t="n">
        <v>46017</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65353-2021</t>
        </is>
      </c>
      <c r="B140" s="1" t="n">
        <v>44515</v>
      </c>
      <c r="C140" s="1" t="n">
        <v>46017</v>
      </c>
      <c r="D140" t="inlineStr">
        <is>
          <t>VÄSTMANLANDS LÄN</t>
        </is>
      </c>
      <c r="E140" t="inlineStr">
        <is>
          <t>SALA</t>
        </is>
      </c>
      <c r="G140" t="n">
        <v>1.5</v>
      </c>
      <c r="H140" t="n">
        <v>0</v>
      </c>
      <c r="I140" t="n">
        <v>0</v>
      </c>
      <c r="J140" t="n">
        <v>0</v>
      </c>
      <c r="K140" t="n">
        <v>0</v>
      </c>
      <c r="L140" t="n">
        <v>0</v>
      </c>
      <c r="M140" t="n">
        <v>0</v>
      </c>
      <c r="N140" t="n">
        <v>0</v>
      </c>
      <c r="O140" t="n">
        <v>0</v>
      </c>
      <c r="P140" t="n">
        <v>0</v>
      </c>
      <c r="Q140" t="n">
        <v>0</v>
      </c>
      <c r="R140" s="2" t="inlineStr"/>
    </row>
    <row r="141" ht="15" customHeight="1">
      <c r="A141" t="inlineStr">
        <is>
          <t>A 66830-2021</t>
        </is>
      </c>
      <c r="B141" s="1" t="n">
        <v>44522.40886574074</v>
      </c>
      <c r="C141" s="1" t="n">
        <v>46017</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28402-2022</t>
        </is>
      </c>
      <c r="B142" s="1" t="n">
        <v>44747</v>
      </c>
      <c r="C142" s="1" t="n">
        <v>46017</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73606-2021</t>
        </is>
      </c>
      <c r="B143" s="1" t="n">
        <v>44552</v>
      </c>
      <c r="C143" s="1" t="n">
        <v>46017</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11370-2022</t>
        </is>
      </c>
      <c r="B144" s="1" t="n">
        <v>44630</v>
      </c>
      <c r="C144" s="1" t="n">
        <v>46017</v>
      </c>
      <c r="D144" t="inlineStr">
        <is>
          <t>VÄSTMANLANDS LÄN</t>
        </is>
      </c>
      <c r="E144" t="inlineStr">
        <is>
          <t>SALA</t>
        </is>
      </c>
      <c r="G144" t="n">
        <v>4.3</v>
      </c>
      <c r="H144" t="n">
        <v>0</v>
      </c>
      <c r="I144" t="n">
        <v>0</v>
      </c>
      <c r="J144" t="n">
        <v>0</v>
      </c>
      <c r="K144" t="n">
        <v>0</v>
      </c>
      <c r="L144" t="n">
        <v>0</v>
      </c>
      <c r="M144" t="n">
        <v>0</v>
      </c>
      <c r="N144" t="n">
        <v>0</v>
      </c>
      <c r="O144" t="n">
        <v>0</v>
      </c>
      <c r="P144" t="n">
        <v>0</v>
      </c>
      <c r="Q144" t="n">
        <v>0</v>
      </c>
      <c r="R144" s="2" t="inlineStr"/>
    </row>
    <row r="145" ht="15" customHeight="1">
      <c r="A145" t="inlineStr">
        <is>
          <t>A 22575-2022</t>
        </is>
      </c>
      <c r="B145" s="1" t="n">
        <v>44713</v>
      </c>
      <c r="C145" s="1" t="n">
        <v>46017</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69192-2020</t>
        </is>
      </c>
      <c r="B146" s="1" t="n">
        <v>44191</v>
      </c>
      <c r="C146" s="1" t="n">
        <v>46017</v>
      </c>
      <c r="D146" t="inlineStr">
        <is>
          <t>VÄSTMANLANDS LÄN</t>
        </is>
      </c>
      <c r="E146" t="inlineStr">
        <is>
          <t>SALA</t>
        </is>
      </c>
      <c r="G146" t="n">
        <v>0.8</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46017</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40094-2022</t>
        </is>
      </c>
      <c r="B148" s="1" t="n">
        <v>44819</v>
      </c>
      <c r="C148" s="1" t="n">
        <v>46017</v>
      </c>
      <c r="D148" t="inlineStr">
        <is>
          <t>VÄSTMANLANDS LÄN</t>
        </is>
      </c>
      <c r="E148" t="inlineStr">
        <is>
          <t>SALA</t>
        </is>
      </c>
      <c r="G148" t="n">
        <v>1.7</v>
      </c>
      <c r="H148" t="n">
        <v>0</v>
      </c>
      <c r="I148" t="n">
        <v>0</v>
      </c>
      <c r="J148" t="n">
        <v>0</v>
      </c>
      <c r="K148" t="n">
        <v>0</v>
      </c>
      <c r="L148" t="n">
        <v>0</v>
      </c>
      <c r="M148" t="n">
        <v>0</v>
      </c>
      <c r="N148" t="n">
        <v>0</v>
      </c>
      <c r="O148" t="n">
        <v>0</v>
      </c>
      <c r="P148" t="n">
        <v>0</v>
      </c>
      <c r="Q148" t="n">
        <v>0</v>
      </c>
      <c r="R148" s="2" t="inlineStr"/>
    </row>
    <row r="149" ht="15" customHeight="1">
      <c r="A149" t="inlineStr">
        <is>
          <t>A 14047-2021</t>
        </is>
      </c>
      <c r="B149" s="1" t="n">
        <v>44277</v>
      </c>
      <c r="C149" s="1" t="n">
        <v>46017</v>
      </c>
      <c r="D149" t="inlineStr">
        <is>
          <t>VÄSTMANLANDS LÄN</t>
        </is>
      </c>
      <c r="E149" t="inlineStr">
        <is>
          <t>SALA</t>
        </is>
      </c>
      <c r="F149" t="inlineStr">
        <is>
          <t>Kyrkan</t>
        </is>
      </c>
      <c r="G149" t="n">
        <v>0.7</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46017</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67962-2021</t>
        </is>
      </c>
      <c r="B151" s="1" t="n">
        <v>44525</v>
      </c>
      <c r="C151" s="1" t="n">
        <v>46017</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53630-2022</t>
        </is>
      </c>
      <c r="B152" s="1" t="n">
        <v>44879.87533564815</v>
      </c>
      <c r="C152" s="1" t="n">
        <v>46017</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46017</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57517-2021</t>
        </is>
      </c>
      <c r="B154" s="1" t="n">
        <v>44483</v>
      </c>
      <c r="C154" s="1" t="n">
        <v>46017</v>
      </c>
      <c r="D154" t="inlineStr">
        <is>
          <t>VÄSTMANLANDS LÄN</t>
        </is>
      </c>
      <c r="E154" t="inlineStr">
        <is>
          <t>SALA</t>
        </is>
      </c>
      <c r="G154" t="n">
        <v>1.1</v>
      </c>
      <c r="H154" t="n">
        <v>0</v>
      </c>
      <c r="I154" t="n">
        <v>0</v>
      </c>
      <c r="J154" t="n">
        <v>0</v>
      </c>
      <c r="K154" t="n">
        <v>0</v>
      </c>
      <c r="L154" t="n">
        <v>0</v>
      </c>
      <c r="M154" t="n">
        <v>0</v>
      </c>
      <c r="N154" t="n">
        <v>0</v>
      </c>
      <c r="O154" t="n">
        <v>0</v>
      </c>
      <c r="P154" t="n">
        <v>0</v>
      </c>
      <c r="Q154" t="n">
        <v>0</v>
      </c>
      <c r="R154" s="2" t="inlineStr"/>
    </row>
    <row r="155" ht="15" customHeight="1">
      <c r="A155" t="inlineStr">
        <is>
          <t>A 25603-2022</t>
        </is>
      </c>
      <c r="B155" s="1" t="n">
        <v>44732</v>
      </c>
      <c r="C155" s="1" t="n">
        <v>46017</v>
      </c>
      <c r="D155" t="inlineStr">
        <is>
          <t>VÄSTMANLANDS LÄN</t>
        </is>
      </c>
      <c r="E155" t="inlineStr">
        <is>
          <t>SALA</t>
        </is>
      </c>
      <c r="G155" t="n">
        <v>2</v>
      </c>
      <c r="H155" t="n">
        <v>0</v>
      </c>
      <c r="I155" t="n">
        <v>0</v>
      </c>
      <c r="J155" t="n">
        <v>0</v>
      </c>
      <c r="K155" t="n">
        <v>0</v>
      </c>
      <c r="L155" t="n">
        <v>0</v>
      </c>
      <c r="M155" t="n">
        <v>0</v>
      </c>
      <c r="N155" t="n">
        <v>0</v>
      </c>
      <c r="O155" t="n">
        <v>0</v>
      </c>
      <c r="P155" t="n">
        <v>0</v>
      </c>
      <c r="Q155" t="n">
        <v>0</v>
      </c>
      <c r="R155" s="2" t="inlineStr"/>
    </row>
    <row r="156" ht="15" customHeight="1">
      <c r="A156" t="inlineStr">
        <is>
          <t>A 26575-2021</t>
        </is>
      </c>
      <c r="B156" s="1" t="n">
        <v>44348</v>
      </c>
      <c r="C156" s="1" t="n">
        <v>46017</v>
      </c>
      <c r="D156" t="inlineStr">
        <is>
          <t>VÄSTMANLANDS LÄN</t>
        </is>
      </c>
      <c r="E156" t="inlineStr">
        <is>
          <t>SALA</t>
        </is>
      </c>
      <c r="G156" t="n">
        <v>2.7</v>
      </c>
      <c r="H156" t="n">
        <v>0</v>
      </c>
      <c r="I156" t="n">
        <v>0</v>
      </c>
      <c r="J156" t="n">
        <v>0</v>
      </c>
      <c r="K156" t="n">
        <v>0</v>
      </c>
      <c r="L156" t="n">
        <v>0</v>
      </c>
      <c r="M156" t="n">
        <v>0</v>
      </c>
      <c r="N156" t="n">
        <v>0</v>
      </c>
      <c r="O156" t="n">
        <v>0</v>
      </c>
      <c r="P156" t="n">
        <v>0</v>
      </c>
      <c r="Q156" t="n">
        <v>0</v>
      </c>
      <c r="R156" s="2" t="inlineStr"/>
    </row>
    <row r="157" ht="15" customHeight="1">
      <c r="A157" t="inlineStr">
        <is>
          <t>A 72405-2021</t>
        </is>
      </c>
      <c r="B157" s="1" t="n">
        <v>44545</v>
      </c>
      <c r="C157" s="1" t="n">
        <v>46017</v>
      </c>
      <c r="D157" t="inlineStr">
        <is>
          <t>VÄSTMANLANDS LÄN</t>
        </is>
      </c>
      <c r="E157" t="inlineStr">
        <is>
          <t>SALA</t>
        </is>
      </c>
      <c r="G157" t="n">
        <v>1</v>
      </c>
      <c r="H157" t="n">
        <v>0</v>
      </c>
      <c r="I157" t="n">
        <v>0</v>
      </c>
      <c r="J157" t="n">
        <v>0</v>
      </c>
      <c r="K157" t="n">
        <v>0</v>
      </c>
      <c r="L157" t="n">
        <v>0</v>
      </c>
      <c r="M157" t="n">
        <v>0</v>
      </c>
      <c r="N157" t="n">
        <v>0</v>
      </c>
      <c r="O157" t="n">
        <v>0</v>
      </c>
      <c r="P157" t="n">
        <v>0</v>
      </c>
      <c r="Q157" t="n">
        <v>0</v>
      </c>
      <c r="R157" s="2" t="inlineStr"/>
    </row>
    <row r="158" ht="15" customHeight="1">
      <c r="A158" t="inlineStr">
        <is>
          <t>A 63290-2021</t>
        </is>
      </c>
      <c r="B158" s="1" t="n">
        <v>44505</v>
      </c>
      <c r="C158" s="1" t="n">
        <v>46017</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29235-2022</t>
        </is>
      </c>
      <c r="B159" s="1" t="n">
        <v>44750</v>
      </c>
      <c r="C159" s="1" t="n">
        <v>46017</v>
      </c>
      <c r="D159" t="inlineStr">
        <is>
          <t>VÄSTMANLANDS LÄN</t>
        </is>
      </c>
      <c r="E159" t="inlineStr">
        <is>
          <t>SALA</t>
        </is>
      </c>
      <c r="G159" t="n">
        <v>0.6</v>
      </c>
      <c r="H159" t="n">
        <v>0</v>
      </c>
      <c r="I159" t="n">
        <v>0</v>
      </c>
      <c r="J159" t="n">
        <v>0</v>
      </c>
      <c r="K159" t="n">
        <v>0</v>
      </c>
      <c r="L159" t="n">
        <v>0</v>
      </c>
      <c r="M159" t="n">
        <v>0</v>
      </c>
      <c r="N159" t="n">
        <v>0</v>
      </c>
      <c r="O159" t="n">
        <v>0</v>
      </c>
      <c r="P159" t="n">
        <v>0</v>
      </c>
      <c r="Q159" t="n">
        <v>0</v>
      </c>
      <c r="R159" s="2" t="inlineStr"/>
    </row>
    <row r="160" ht="15" customHeight="1">
      <c r="A160" t="inlineStr">
        <is>
          <t>A 53628-2022</t>
        </is>
      </c>
      <c r="B160" s="1" t="n">
        <v>44879.87171296297</v>
      </c>
      <c r="C160" s="1" t="n">
        <v>46017</v>
      </c>
      <c r="D160" t="inlineStr">
        <is>
          <t>VÄSTMANLANDS LÄN</t>
        </is>
      </c>
      <c r="E160" t="inlineStr">
        <is>
          <t>SALA</t>
        </is>
      </c>
      <c r="G160" t="n">
        <v>2.7</v>
      </c>
      <c r="H160" t="n">
        <v>0</v>
      </c>
      <c r="I160" t="n">
        <v>0</v>
      </c>
      <c r="J160" t="n">
        <v>0</v>
      </c>
      <c r="K160" t="n">
        <v>0</v>
      </c>
      <c r="L160" t="n">
        <v>0</v>
      </c>
      <c r="M160" t="n">
        <v>0</v>
      </c>
      <c r="N160" t="n">
        <v>0</v>
      </c>
      <c r="O160" t="n">
        <v>0</v>
      </c>
      <c r="P160" t="n">
        <v>0</v>
      </c>
      <c r="Q160" t="n">
        <v>0</v>
      </c>
      <c r="R160" s="2" t="inlineStr"/>
    </row>
    <row r="161" ht="15" customHeight="1">
      <c r="A161" t="inlineStr">
        <is>
          <t>A 24882-2022</t>
        </is>
      </c>
      <c r="B161" s="1" t="n">
        <v>44728.56488425926</v>
      </c>
      <c r="C161" s="1" t="n">
        <v>46017</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10168-2022</t>
        </is>
      </c>
      <c r="B162" s="1" t="n">
        <v>44622.37693287037</v>
      </c>
      <c r="C162" s="1" t="n">
        <v>46017</v>
      </c>
      <c r="D162" t="inlineStr">
        <is>
          <t>VÄSTMANLANDS LÄN</t>
        </is>
      </c>
      <c r="E162" t="inlineStr">
        <is>
          <t>SALA</t>
        </is>
      </c>
      <c r="G162" t="n">
        <v>2.1</v>
      </c>
      <c r="H162" t="n">
        <v>0</v>
      </c>
      <c r="I162" t="n">
        <v>0</v>
      </c>
      <c r="J162" t="n">
        <v>0</v>
      </c>
      <c r="K162" t="n">
        <v>0</v>
      </c>
      <c r="L162" t="n">
        <v>0</v>
      </c>
      <c r="M162" t="n">
        <v>0</v>
      </c>
      <c r="N162" t="n">
        <v>0</v>
      </c>
      <c r="O162" t="n">
        <v>0</v>
      </c>
      <c r="P162" t="n">
        <v>0</v>
      </c>
      <c r="Q162" t="n">
        <v>0</v>
      </c>
      <c r="R162" s="2" t="inlineStr"/>
    </row>
    <row r="163" ht="15" customHeight="1">
      <c r="A163" t="inlineStr">
        <is>
          <t>A 73519-2021</t>
        </is>
      </c>
      <c r="B163" s="1" t="n">
        <v>44551</v>
      </c>
      <c r="C163" s="1" t="n">
        <v>46017</v>
      </c>
      <c r="D163" t="inlineStr">
        <is>
          <t>VÄSTMANLANDS LÄN</t>
        </is>
      </c>
      <c r="E163" t="inlineStr">
        <is>
          <t>SALA</t>
        </is>
      </c>
      <c r="G163" t="n">
        <v>0.3</v>
      </c>
      <c r="H163" t="n">
        <v>0</v>
      </c>
      <c r="I163" t="n">
        <v>0</v>
      </c>
      <c r="J163" t="n">
        <v>0</v>
      </c>
      <c r="K163" t="n">
        <v>0</v>
      </c>
      <c r="L163" t="n">
        <v>0</v>
      </c>
      <c r="M163" t="n">
        <v>0</v>
      </c>
      <c r="N163" t="n">
        <v>0</v>
      </c>
      <c r="O163" t="n">
        <v>0</v>
      </c>
      <c r="P163" t="n">
        <v>0</v>
      </c>
      <c r="Q163" t="n">
        <v>0</v>
      </c>
      <c r="R163" s="2" t="inlineStr"/>
    </row>
    <row r="164" ht="15" customHeight="1">
      <c r="A164" t="inlineStr">
        <is>
          <t>A 37881-2021</t>
        </is>
      </c>
      <c r="B164" s="1" t="n">
        <v>44403</v>
      </c>
      <c r="C164" s="1" t="n">
        <v>46017</v>
      </c>
      <c r="D164" t="inlineStr">
        <is>
          <t>VÄSTMANLANDS LÄN</t>
        </is>
      </c>
      <c r="E164" t="inlineStr">
        <is>
          <t>SALA</t>
        </is>
      </c>
      <c r="G164" t="n">
        <v>4.6</v>
      </c>
      <c r="H164" t="n">
        <v>0</v>
      </c>
      <c r="I164" t="n">
        <v>0</v>
      </c>
      <c r="J164" t="n">
        <v>0</v>
      </c>
      <c r="K164" t="n">
        <v>0</v>
      </c>
      <c r="L164" t="n">
        <v>0</v>
      </c>
      <c r="M164" t="n">
        <v>0</v>
      </c>
      <c r="N164" t="n">
        <v>0</v>
      </c>
      <c r="O164" t="n">
        <v>0</v>
      </c>
      <c r="P164" t="n">
        <v>0</v>
      </c>
      <c r="Q164" t="n">
        <v>0</v>
      </c>
      <c r="R164" s="2" t="inlineStr"/>
    </row>
    <row r="165" ht="15" customHeight="1">
      <c r="A165" t="inlineStr">
        <is>
          <t>A 72805-2021</t>
        </is>
      </c>
      <c r="B165" s="1" t="n">
        <v>44546</v>
      </c>
      <c r="C165" s="1" t="n">
        <v>46017</v>
      </c>
      <c r="D165" t="inlineStr">
        <is>
          <t>VÄSTMANLANDS LÄN</t>
        </is>
      </c>
      <c r="E165" t="inlineStr">
        <is>
          <t>SALA</t>
        </is>
      </c>
      <c r="G165" t="n">
        <v>7.8</v>
      </c>
      <c r="H165" t="n">
        <v>0</v>
      </c>
      <c r="I165" t="n">
        <v>0</v>
      </c>
      <c r="J165" t="n">
        <v>0</v>
      </c>
      <c r="K165" t="n">
        <v>0</v>
      </c>
      <c r="L165" t="n">
        <v>0</v>
      </c>
      <c r="M165" t="n">
        <v>0</v>
      </c>
      <c r="N165" t="n">
        <v>0</v>
      </c>
      <c r="O165" t="n">
        <v>0</v>
      </c>
      <c r="P165" t="n">
        <v>0</v>
      </c>
      <c r="Q165" t="n">
        <v>0</v>
      </c>
      <c r="R165" s="2" t="inlineStr"/>
    </row>
    <row r="166" ht="15" customHeight="1">
      <c r="A166" t="inlineStr">
        <is>
          <t>A 72808-2021</t>
        </is>
      </c>
      <c r="B166" s="1" t="n">
        <v>44546</v>
      </c>
      <c r="C166" s="1" t="n">
        <v>46017</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70218-2021</t>
        </is>
      </c>
      <c r="B167" s="1" t="n">
        <v>44535.6571412037</v>
      </c>
      <c r="C167" s="1" t="n">
        <v>46017</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56916-2022</t>
        </is>
      </c>
      <c r="B168" s="1" t="n">
        <v>44888</v>
      </c>
      <c r="C168" s="1" t="n">
        <v>46017</v>
      </c>
      <c r="D168" t="inlineStr">
        <is>
          <t>VÄSTMANLANDS LÄN</t>
        </is>
      </c>
      <c r="E168" t="inlineStr">
        <is>
          <t>SALA</t>
        </is>
      </c>
      <c r="G168" t="n">
        <v>1.7</v>
      </c>
      <c r="H168" t="n">
        <v>0</v>
      </c>
      <c r="I168" t="n">
        <v>0</v>
      </c>
      <c r="J168" t="n">
        <v>0</v>
      </c>
      <c r="K168" t="n">
        <v>0</v>
      </c>
      <c r="L168" t="n">
        <v>0</v>
      </c>
      <c r="M168" t="n">
        <v>0</v>
      </c>
      <c r="N168" t="n">
        <v>0</v>
      </c>
      <c r="O168" t="n">
        <v>0</v>
      </c>
      <c r="P168" t="n">
        <v>0</v>
      </c>
      <c r="Q168" t="n">
        <v>0</v>
      </c>
      <c r="R168" s="2" t="inlineStr"/>
    </row>
    <row r="169" ht="15" customHeight="1">
      <c r="A169" t="inlineStr">
        <is>
          <t>A 57000-2021</t>
        </is>
      </c>
      <c r="B169" s="1" t="n">
        <v>44482.46760416667</v>
      </c>
      <c r="C169" s="1" t="n">
        <v>46017</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46017</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26579-2021</t>
        </is>
      </c>
      <c r="B171" s="1" t="n">
        <v>44348</v>
      </c>
      <c r="C171" s="1" t="n">
        <v>46017</v>
      </c>
      <c r="D171" t="inlineStr">
        <is>
          <t>VÄSTMANLANDS LÄN</t>
        </is>
      </c>
      <c r="E171" t="inlineStr">
        <is>
          <t>SALA</t>
        </is>
      </c>
      <c r="G171" t="n">
        <v>1.6</v>
      </c>
      <c r="H171" t="n">
        <v>0</v>
      </c>
      <c r="I171" t="n">
        <v>0</v>
      </c>
      <c r="J171" t="n">
        <v>0</v>
      </c>
      <c r="K171" t="n">
        <v>0</v>
      </c>
      <c r="L171" t="n">
        <v>0</v>
      </c>
      <c r="M171" t="n">
        <v>0</v>
      </c>
      <c r="N171" t="n">
        <v>0</v>
      </c>
      <c r="O171" t="n">
        <v>0</v>
      </c>
      <c r="P171" t="n">
        <v>0</v>
      </c>
      <c r="Q171" t="n">
        <v>0</v>
      </c>
      <c r="R171" s="2" t="inlineStr"/>
    </row>
    <row r="172" ht="15" customHeight="1">
      <c r="A172" t="inlineStr">
        <is>
          <t>A 29233-2022</t>
        </is>
      </c>
      <c r="B172" s="1" t="n">
        <v>44750</v>
      </c>
      <c r="C172" s="1" t="n">
        <v>46017</v>
      </c>
      <c r="D172" t="inlineStr">
        <is>
          <t>VÄSTMANLANDS LÄN</t>
        </is>
      </c>
      <c r="E172" t="inlineStr">
        <is>
          <t>SALA</t>
        </is>
      </c>
      <c r="G172" t="n">
        <v>2.4</v>
      </c>
      <c r="H172" t="n">
        <v>0</v>
      </c>
      <c r="I172" t="n">
        <v>0</v>
      </c>
      <c r="J172" t="n">
        <v>0</v>
      </c>
      <c r="K172" t="n">
        <v>0</v>
      </c>
      <c r="L172" t="n">
        <v>0</v>
      </c>
      <c r="M172" t="n">
        <v>0</v>
      </c>
      <c r="N172" t="n">
        <v>0</v>
      </c>
      <c r="O172" t="n">
        <v>0</v>
      </c>
      <c r="P172" t="n">
        <v>0</v>
      </c>
      <c r="Q172" t="n">
        <v>0</v>
      </c>
      <c r="R172" s="2" t="inlineStr"/>
    </row>
    <row r="173" ht="15" customHeight="1">
      <c r="A173" t="inlineStr">
        <is>
          <t>A 64932-2021</t>
        </is>
      </c>
      <c r="B173" s="1" t="n">
        <v>44512</v>
      </c>
      <c r="C173" s="1" t="n">
        <v>46017</v>
      </c>
      <c r="D173" t="inlineStr">
        <is>
          <t>VÄSTMANLANDS LÄN</t>
        </is>
      </c>
      <c r="E173" t="inlineStr">
        <is>
          <t>SALA</t>
        </is>
      </c>
      <c r="G173" t="n">
        <v>0.8</v>
      </c>
      <c r="H173" t="n">
        <v>0</v>
      </c>
      <c r="I173" t="n">
        <v>0</v>
      </c>
      <c r="J173" t="n">
        <v>0</v>
      </c>
      <c r="K173" t="n">
        <v>0</v>
      </c>
      <c r="L173" t="n">
        <v>0</v>
      </c>
      <c r="M173" t="n">
        <v>0</v>
      </c>
      <c r="N173" t="n">
        <v>0</v>
      </c>
      <c r="O173" t="n">
        <v>0</v>
      </c>
      <c r="P173" t="n">
        <v>0</v>
      </c>
      <c r="Q173" t="n">
        <v>0</v>
      </c>
      <c r="R173" s="2" t="inlineStr"/>
    </row>
    <row r="174" ht="15" customHeight="1">
      <c r="A174" t="inlineStr">
        <is>
          <t>A 56688-2024</t>
        </is>
      </c>
      <c r="B174" s="1" t="n">
        <v>45627.66478009259</v>
      </c>
      <c r="C174" s="1" t="n">
        <v>46017</v>
      </c>
      <c r="D174" t="inlineStr">
        <is>
          <t>VÄSTMANLANDS LÄN</t>
        </is>
      </c>
      <c r="E174" t="inlineStr">
        <is>
          <t>SALA</t>
        </is>
      </c>
      <c r="G174" t="n">
        <v>0.9</v>
      </c>
      <c r="H174" t="n">
        <v>0</v>
      </c>
      <c r="I174" t="n">
        <v>0</v>
      </c>
      <c r="J174" t="n">
        <v>0</v>
      </c>
      <c r="K174" t="n">
        <v>0</v>
      </c>
      <c r="L174" t="n">
        <v>0</v>
      </c>
      <c r="M174" t="n">
        <v>0</v>
      </c>
      <c r="N174" t="n">
        <v>0</v>
      </c>
      <c r="O174" t="n">
        <v>0</v>
      </c>
      <c r="P174" t="n">
        <v>0</v>
      </c>
      <c r="Q174" t="n">
        <v>0</v>
      </c>
      <c r="R174" s="2" t="inlineStr"/>
    </row>
    <row r="175" ht="15" customHeight="1">
      <c r="A175" t="inlineStr">
        <is>
          <t>A 41876-2022</t>
        </is>
      </c>
      <c r="B175" s="1" t="n">
        <v>44829.97008101852</v>
      </c>
      <c r="C175" s="1" t="n">
        <v>46017</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67958-2021</t>
        </is>
      </c>
      <c r="B176" s="1" t="n">
        <v>44525</v>
      </c>
      <c r="C176" s="1" t="n">
        <v>46017</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67965-2021</t>
        </is>
      </c>
      <c r="B177" s="1" t="n">
        <v>44525</v>
      </c>
      <c r="C177" s="1" t="n">
        <v>46017</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27261-2024</t>
        </is>
      </c>
      <c r="B178" s="1" t="n">
        <v>45471</v>
      </c>
      <c r="C178" s="1" t="n">
        <v>46017</v>
      </c>
      <c r="D178" t="inlineStr">
        <is>
          <t>VÄSTMANLANDS LÄN</t>
        </is>
      </c>
      <c r="E178" t="inlineStr">
        <is>
          <t>SALA</t>
        </is>
      </c>
      <c r="G178" t="n">
        <v>6.1</v>
      </c>
      <c r="H178" t="n">
        <v>0</v>
      </c>
      <c r="I178" t="n">
        <v>0</v>
      </c>
      <c r="J178" t="n">
        <v>0</v>
      </c>
      <c r="K178" t="n">
        <v>0</v>
      </c>
      <c r="L178" t="n">
        <v>0</v>
      </c>
      <c r="M178" t="n">
        <v>0</v>
      </c>
      <c r="N178" t="n">
        <v>0</v>
      </c>
      <c r="O178" t="n">
        <v>0</v>
      </c>
      <c r="P178" t="n">
        <v>0</v>
      </c>
      <c r="Q178" t="n">
        <v>0</v>
      </c>
      <c r="R178" s="2" t="inlineStr"/>
    </row>
    <row r="179" ht="15" customHeight="1">
      <c r="A179" t="inlineStr">
        <is>
          <t>A 18713-2025</t>
        </is>
      </c>
      <c r="B179" s="1" t="n">
        <v>45763</v>
      </c>
      <c r="C179" s="1" t="n">
        <v>46017</v>
      </c>
      <c r="D179" t="inlineStr">
        <is>
          <t>VÄSTMANLANDS LÄN</t>
        </is>
      </c>
      <c r="E179" t="inlineStr">
        <is>
          <t>SALA</t>
        </is>
      </c>
      <c r="F179" t="inlineStr">
        <is>
          <t>Bergvik skog öst AB</t>
        </is>
      </c>
      <c r="G179" t="n">
        <v>11.6</v>
      </c>
      <c r="H179" t="n">
        <v>0</v>
      </c>
      <c r="I179" t="n">
        <v>0</v>
      </c>
      <c r="J179" t="n">
        <v>0</v>
      </c>
      <c r="K179" t="n">
        <v>0</v>
      </c>
      <c r="L179" t="n">
        <v>0</v>
      </c>
      <c r="M179" t="n">
        <v>0</v>
      </c>
      <c r="N179" t="n">
        <v>0</v>
      </c>
      <c r="O179" t="n">
        <v>0</v>
      </c>
      <c r="P179" t="n">
        <v>0</v>
      </c>
      <c r="Q179" t="n">
        <v>0</v>
      </c>
      <c r="R179" s="2" t="inlineStr"/>
    </row>
    <row r="180" ht="15" customHeight="1">
      <c r="A180" t="inlineStr">
        <is>
          <t>A 54959-2024</t>
        </is>
      </c>
      <c r="B180" s="1" t="n">
        <v>45619</v>
      </c>
      <c r="C180" s="1" t="n">
        <v>46017</v>
      </c>
      <c r="D180" t="inlineStr">
        <is>
          <t>VÄSTMANLANDS LÄN</t>
        </is>
      </c>
      <c r="E180" t="inlineStr">
        <is>
          <t>SALA</t>
        </is>
      </c>
      <c r="G180" t="n">
        <v>1.3</v>
      </c>
      <c r="H180" t="n">
        <v>0</v>
      </c>
      <c r="I180" t="n">
        <v>0</v>
      </c>
      <c r="J180" t="n">
        <v>0</v>
      </c>
      <c r="K180" t="n">
        <v>0</v>
      </c>
      <c r="L180" t="n">
        <v>0</v>
      </c>
      <c r="M180" t="n">
        <v>0</v>
      </c>
      <c r="N180" t="n">
        <v>0</v>
      </c>
      <c r="O180" t="n">
        <v>0</v>
      </c>
      <c r="P180" t="n">
        <v>0</v>
      </c>
      <c r="Q180" t="n">
        <v>0</v>
      </c>
      <c r="R180" s="2" t="inlineStr"/>
    </row>
    <row r="181" ht="15" customHeight="1">
      <c r="A181" t="inlineStr">
        <is>
          <t>A 45015-2022</t>
        </is>
      </c>
      <c r="B181" s="1" t="n">
        <v>44841.63766203704</v>
      </c>
      <c r="C181" s="1" t="n">
        <v>46017</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45313-2024</t>
        </is>
      </c>
      <c r="B182" s="1" t="n">
        <v>45576</v>
      </c>
      <c r="C182" s="1" t="n">
        <v>46017</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27486-2022</t>
        </is>
      </c>
      <c r="B183" s="1" t="n">
        <v>44742.60846064815</v>
      </c>
      <c r="C183" s="1" t="n">
        <v>46017</v>
      </c>
      <c r="D183" t="inlineStr">
        <is>
          <t>VÄSTMANLANDS LÄN</t>
        </is>
      </c>
      <c r="E183" t="inlineStr">
        <is>
          <t>SALA</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16651-2021</t>
        </is>
      </c>
      <c r="B184" s="1" t="n">
        <v>44294.50096064815</v>
      </c>
      <c r="C184" s="1" t="n">
        <v>46017</v>
      </c>
      <c r="D184" t="inlineStr">
        <is>
          <t>VÄSTMANLANDS LÄN</t>
        </is>
      </c>
      <c r="E184" t="inlineStr">
        <is>
          <t>SALA</t>
        </is>
      </c>
      <c r="G184" t="n">
        <v>7.7</v>
      </c>
      <c r="H184" t="n">
        <v>0</v>
      </c>
      <c r="I184" t="n">
        <v>0</v>
      </c>
      <c r="J184" t="n">
        <v>0</v>
      </c>
      <c r="K184" t="n">
        <v>0</v>
      </c>
      <c r="L184" t="n">
        <v>0</v>
      </c>
      <c r="M184" t="n">
        <v>0</v>
      </c>
      <c r="N184" t="n">
        <v>0</v>
      </c>
      <c r="O184" t="n">
        <v>0</v>
      </c>
      <c r="P184" t="n">
        <v>0</v>
      </c>
      <c r="Q184" t="n">
        <v>0</v>
      </c>
      <c r="R184" s="2" t="inlineStr"/>
    </row>
    <row r="185" ht="15" customHeight="1">
      <c r="A185" t="inlineStr">
        <is>
          <t>A 56535-2022</t>
        </is>
      </c>
      <c r="B185" s="1" t="n">
        <v>44893.47173611111</v>
      </c>
      <c r="C185" s="1" t="n">
        <v>46017</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47909-2022</t>
        </is>
      </c>
      <c r="B186" s="1" t="n">
        <v>44855</v>
      </c>
      <c r="C186" s="1" t="n">
        <v>46017</v>
      </c>
      <c r="D186" t="inlineStr">
        <is>
          <t>VÄSTMANLANDS LÄN</t>
        </is>
      </c>
      <c r="E186" t="inlineStr">
        <is>
          <t>SALA</t>
        </is>
      </c>
      <c r="F186" t="inlineStr">
        <is>
          <t>Bergvik skog öst AB</t>
        </is>
      </c>
      <c r="G186" t="n">
        <v>2</v>
      </c>
      <c r="H186" t="n">
        <v>0</v>
      </c>
      <c r="I186" t="n">
        <v>0</v>
      </c>
      <c r="J186" t="n">
        <v>0</v>
      </c>
      <c r="K186" t="n">
        <v>0</v>
      </c>
      <c r="L186" t="n">
        <v>0</v>
      </c>
      <c r="M186" t="n">
        <v>0</v>
      </c>
      <c r="N186" t="n">
        <v>0</v>
      </c>
      <c r="O186" t="n">
        <v>0</v>
      </c>
      <c r="P186" t="n">
        <v>0</v>
      </c>
      <c r="Q186" t="n">
        <v>0</v>
      </c>
      <c r="R186" s="2" t="inlineStr"/>
    </row>
    <row r="187" ht="15" customHeight="1">
      <c r="A187" t="inlineStr">
        <is>
          <t>A 44544-2024</t>
        </is>
      </c>
      <c r="B187" s="1" t="n">
        <v>45574.46119212963</v>
      </c>
      <c r="C187" s="1" t="n">
        <v>46017</v>
      </c>
      <c r="D187" t="inlineStr">
        <is>
          <t>VÄSTMANLANDS LÄN</t>
        </is>
      </c>
      <c r="E187" t="inlineStr">
        <is>
          <t>SALA</t>
        </is>
      </c>
      <c r="G187" t="n">
        <v>3.3</v>
      </c>
      <c r="H187" t="n">
        <v>0</v>
      </c>
      <c r="I187" t="n">
        <v>0</v>
      </c>
      <c r="J187" t="n">
        <v>0</v>
      </c>
      <c r="K187" t="n">
        <v>0</v>
      </c>
      <c r="L187" t="n">
        <v>0</v>
      </c>
      <c r="M187" t="n">
        <v>0</v>
      </c>
      <c r="N187" t="n">
        <v>0</v>
      </c>
      <c r="O187" t="n">
        <v>0</v>
      </c>
      <c r="P187" t="n">
        <v>0</v>
      </c>
      <c r="Q187" t="n">
        <v>0</v>
      </c>
      <c r="R187" s="2" t="inlineStr"/>
    </row>
    <row r="188" ht="15" customHeight="1">
      <c r="A188" t="inlineStr">
        <is>
          <t>A 52630-2022</t>
        </is>
      </c>
      <c r="B188" s="1" t="n">
        <v>44874</v>
      </c>
      <c r="C188" s="1" t="n">
        <v>46017</v>
      </c>
      <c r="D188" t="inlineStr">
        <is>
          <t>VÄSTMANLANDS LÄN</t>
        </is>
      </c>
      <c r="E188" t="inlineStr">
        <is>
          <t>SALA</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6134-2024</t>
        </is>
      </c>
      <c r="B189" s="1" t="n">
        <v>45337</v>
      </c>
      <c r="C189" s="1" t="n">
        <v>46017</v>
      </c>
      <c r="D189" t="inlineStr">
        <is>
          <t>VÄSTMANLANDS LÄN</t>
        </is>
      </c>
      <c r="E189" t="inlineStr">
        <is>
          <t>SALA</t>
        </is>
      </c>
      <c r="G189" t="n">
        <v>1.8</v>
      </c>
      <c r="H189" t="n">
        <v>0</v>
      </c>
      <c r="I189" t="n">
        <v>0</v>
      </c>
      <c r="J189" t="n">
        <v>0</v>
      </c>
      <c r="K189" t="n">
        <v>0</v>
      </c>
      <c r="L189" t="n">
        <v>0</v>
      </c>
      <c r="M189" t="n">
        <v>0</v>
      </c>
      <c r="N189" t="n">
        <v>0</v>
      </c>
      <c r="O189" t="n">
        <v>0</v>
      </c>
      <c r="P189" t="n">
        <v>0</v>
      </c>
      <c r="Q189" t="n">
        <v>0</v>
      </c>
      <c r="R189" s="2" t="inlineStr"/>
    </row>
    <row r="190" ht="15" customHeight="1">
      <c r="A190" t="inlineStr">
        <is>
          <t>A 15354-2021</t>
        </is>
      </c>
      <c r="B190" s="1" t="n">
        <v>44284</v>
      </c>
      <c r="C190" s="1" t="n">
        <v>46017</v>
      </c>
      <c r="D190" t="inlineStr">
        <is>
          <t>VÄSTMANLANDS LÄN</t>
        </is>
      </c>
      <c r="E190" t="inlineStr">
        <is>
          <t>SALA</t>
        </is>
      </c>
      <c r="F190" t="inlineStr">
        <is>
          <t>Kyrkan</t>
        </is>
      </c>
      <c r="G190" t="n">
        <v>8.5</v>
      </c>
      <c r="H190" t="n">
        <v>0</v>
      </c>
      <c r="I190" t="n">
        <v>0</v>
      </c>
      <c r="J190" t="n">
        <v>0</v>
      </c>
      <c r="K190" t="n">
        <v>0</v>
      </c>
      <c r="L190" t="n">
        <v>0</v>
      </c>
      <c r="M190" t="n">
        <v>0</v>
      </c>
      <c r="N190" t="n">
        <v>0</v>
      </c>
      <c r="O190" t="n">
        <v>0</v>
      </c>
      <c r="P190" t="n">
        <v>0</v>
      </c>
      <c r="Q190" t="n">
        <v>0</v>
      </c>
      <c r="R190" s="2" t="inlineStr"/>
    </row>
    <row r="191" ht="15" customHeight="1">
      <c r="A191" t="inlineStr">
        <is>
          <t>A 56687-2024</t>
        </is>
      </c>
      <c r="B191" s="1" t="n">
        <v>45627.63271990741</v>
      </c>
      <c r="C191" s="1" t="n">
        <v>46017</v>
      </c>
      <c r="D191" t="inlineStr">
        <is>
          <t>VÄSTMANLANDS LÄN</t>
        </is>
      </c>
      <c r="E191" t="inlineStr">
        <is>
          <t>SALA</t>
        </is>
      </c>
      <c r="G191" t="n">
        <v>1.2</v>
      </c>
      <c r="H191" t="n">
        <v>0</v>
      </c>
      <c r="I191" t="n">
        <v>0</v>
      </c>
      <c r="J191" t="n">
        <v>0</v>
      </c>
      <c r="K191" t="n">
        <v>0</v>
      </c>
      <c r="L191" t="n">
        <v>0</v>
      </c>
      <c r="M191" t="n">
        <v>0</v>
      </c>
      <c r="N191" t="n">
        <v>0</v>
      </c>
      <c r="O191" t="n">
        <v>0</v>
      </c>
      <c r="P191" t="n">
        <v>0</v>
      </c>
      <c r="Q191" t="n">
        <v>0</v>
      </c>
      <c r="R191" s="2" t="inlineStr"/>
    </row>
    <row r="192" ht="15" customHeight="1">
      <c r="A192" t="inlineStr">
        <is>
          <t>A 64729-2023</t>
        </is>
      </c>
      <c r="B192" s="1" t="n">
        <v>45281</v>
      </c>
      <c r="C192" s="1" t="n">
        <v>46017</v>
      </c>
      <c r="D192" t="inlineStr">
        <is>
          <t>VÄSTMANLANDS LÄN</t>
        </is>
      </c>
      <c r="E192" t="inlineStr">
        <is>
          <t>SALA</t>
        </is>
      </c>
      <c r="G192" t="n">
        <v>1.8</v>
      </c>
      <c r="H192" t="n">
        <v>0</v>
      </c>
      <c r="I192" t="n">
        <v>0</v>
      </c>
      <c r="J192" t="n">
        <v>0</v>
      </c>
      <c r="K192" t="n">
        <v>0</v>
      </c>
      <c r="L192" t="n">
        <v>0</v>
      </c>
      <c r="M192" t="n">
        <v>0</v>
      </c>
      <c r="N192" t="n">
        <v>0</v>
      </c>
      <c r="O192" t="n">
        <v>0</v>
      </c>
      <c r="P192" t="n">
        <v>0</v>
      </c>
      <c r="Q192" t="n">
        <v>0</v>
      </c>
      <c r="R192" s="2" t="inlineStr"/>
    </row>
    <row r="193" ht="15" customHeight="1">
      <c r="A193" t="inlineStr">
        <is>
          <t>A 61715-2024</t>
        </is>
      </c>
      <c r="B193" s="1" t="n">
        <v>45648.89519675926</v>
      </c>
      <c r="C193" s="1" t="n">
        <v>46017</v>
      </c>
      <c r="D193" t="inlineStr">
        <is>
          <t>VÄSTMANLANDS LÄN</t>
        </is>
      </c>
      <c r="E193" t="inlineStr">
        <is>
          <t>SALA</t>
        </is>
      </c>
      <c r="G193" t="n">
        <v>2.5</v>
      </c>
      <c r="H193" t="n">
        <v>0</v>
      </c>
      <c r="I193" t="n">
        <v>0</v>
      </c>
      <c r="J193" t="n">
        <v>0</v>
      </c>
      <c r="K193" t="n">
        <v>0</v>
      </c>
      <c r="L193" t="n">
        <v>0</v>
      </c>
      <c r="M193" t="n">
        <v>0</v>
      </c>
      <c r="N193" t="n">
        <v>0</v>
      </c>
      <c r="O193" t="n">
        <v>0</v>
      </c>
      <c r="P193" t="n">
        <v>0</v>
      </c>
      <c r="Q193" t="n">
        <v>0</v>
      </c>
      <c r="R193" s="2" t="inlineStr"/>
    </row>
    <row r="194" ht="15" customHeight="1">
      <c r="A194" t="inlineStr">
        <is>
          <t>A 39597-2022</t>
        </is>
      </c>
      <c r="B194" s="1" t="n">
        <v>44818</v>
      </c>
      <c r="C194" s="1" t="n">
        <v>46017</v>
      </c>
      <c r="D194" t="inlineStr">
        <is>
          <t>VÄSTMANLANDS LÄN</t>
        </is>
      </c>
      <c r="E194" t="inlineStr">
        <is>
          <t>SALA</t>
        </is>
      </c>
      <c r="G194" t="n">
        <v>2.3</v>
      </c>
      <c r="H194" t="n">
        <v>0</v>
      </c>
      <c r="I194" t="n">
        <v>0</v>
      </c>
      <c r="J194" t="n">
        <v>0</v>
      </c>
      <c r="K194" t="n">
        <v>0</v>
      </c>
      <c r="L194" t="n">
        <v>0</v>
      </c>
      <c r="M194" t="n">
        <v>0</v>
      </c>
      <c r="N194" t="n">
        <v>0</v>
      </c>
      <c r="O194" t="n">
        <v>0</v>
      </c>
      <c r="P194" t="n">
        <v>0</v>
      </c>
      <c r="Q194" t="n">
        <v>0</v>
      </c>
      <c r="R194" s="2" t="inlineStr"/>
    </row>
    <row r="195" ht="15" customHeight="1">
      <c r="A195" t="inlineStr">
        <is>
          <t>A 68864-2021</t>
        </is>
      </c>
      <c r="B195" s="1" t="n">
        <v>44530</v>
      </c>
      <c r="C195" s="1" t="n">
        <v>46017</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16404-2022</t>
        </is>
      </c>
      <c r="B196" s="1" t="n">
        <v>44671</v>
      </c>
      <c r="C196" s="1" t="n">
        <v>46017</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25860-2024</t>
        </is>
      </c>
      <c r="B197" s="1" t="n">
        <v>45467.46278935186</v>
      </c>
      <c r="C197" s="1" t="n">
        <v>46017</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6097-2022</t>
        </is>
      </c>
      <c r="B198" s="1" t="n">
        <v>44599</v>
      </c>
      <c r="C198" s="1" t="n">
        <v>46017</v>
      </c>
      <c r="D198" t="inlineStr">
        <is>
          <t>VÄSTMANLANDS LÄN</t>
        </is>
      </c>
      <c r="E198" t="inlineStr">
        <is>
          <t>SALA</t>
        </is>
      </c>
      <c r="G198" t="n">
        <v>0.6</v>
      </c>
      <c r="H198" t="n">
        <v>0</v>
      </c>
      <c r="I198" t="n">
        <v>0</v>
      </c>
      <c r="J198" t="n">
        <v>0</v>
      </c>
      <c r="K198" t="n">
        <v>0</v>
      </c>
      <c r="L198" t="n">
        <v>0</v>
      </c>
      <c r="M198" t="n">
        <v>0</v>
      </c>
      <c r="N198" t="n">
        <v>0</v>
      </c>
      <c r="O198" t="n">
        <v>0</v>
      </c>
      <c r="P198" t="n">
        <v>0</v>
      </c>
      <c r="Q198" t="n">
        <v>0</v>
      </c>
      <c r="R198" s="2" t="inlineStr"/>
    </row>
    <row r="199" ht="15" customHeight="1">
      <c r="A199" t="inlineStr">
        <is>
          <t>A 22026-2021</t>
        </is>
      </c>
      <c r="B199" s="1" t="n">
        <v>44323</v>
      </c>
      <c r="C199" s="1" t="n">
        <v>46017</v>
      </c>
      <c r="D199" t="inlineStr">
        <is>
          <t>VÄSTMANLANDS LÄN</t>
        </is>
      </c>
      <c r="E199" t="inlineStr">
        <is>
          <t>SALA</t>
        </is>
      </c>
      <c r="G199" t="n">
        <v>2.9</v>
      </c>
      <c r="H199" t="n">
        <v>0</v>
      </c>
      <c r="I199" t="n">
        <v>0</v>
      </c>
      <c r="J199" t="n">
        <v>0</v>
      </c>
      <c r="K199" t="n">
        <v>0</v>
      </c>
      <c r="L199" t="n">
        <v>0</v>
      </c>
      <c r="M199" t="n">
        <v>0</v>
      </c>
      <c r="N199" t="n">
        <v>0</v>
      </c>
      <c r="O199" t="n">
        <v>0</v>
      </c>
      <c r="P199" t="n">
        <v>0</v>
      </c>
      <c r="Q199" t="n">
        <v>0</v>
      </c>
      <c r="R199" s="2" t="inlineStr"/>
    </row>
    <row r="200" ht="15" customHeight="1">
      <c r="A200" t="inlineStr">
        <is>
          <t>A 10559-2024</t>
        </is>
      </c>
      <c r="B200" s="1" t="n">
        <v>45366</v>
      </c>
      <c r="C200" s="1" t="n">
        <v>46017</v>
      </c>
      <c r="D200" t="inlineStr">
        <is>
          <t>VÄSTMANLANDS LÄN</t>
        </is>
      </c>
      <c r="E200" t="inlineStr">
        <is>
          <t>SALA</t>
        </is>
      </c>
      <c r="G200" t="n">
        <v>0.3</v>
      </c>
      <c r="H200" t="n">
        <v>0</v>
      </c>
      <c r="I200" t="n">
        <v>0</v>
      </c>
      <c r="J200" t="n">
        <v>0</v>
      </c>
      <c r="K200" t="n">
        <v>0</v>
      </c>
      <c r="L200" t="n">
        <v>0</v>
      </c>
      <c r="M200" t="n">
        <v>0</v>
      </c>
      <c r="N200" t="n">
        <v>0</v>
      </c>
      <c r="O200" t="n">
        <v>0</v>
      </c>
      <c r="P200" t="n">
        <v>0</v>
      </c>
      <c r="Q200" t="n">
        <v>0</v>
      </c>
      <c r="R200" s="2" t="inlineStr"/>
    </row>
    <row r="201" ht="15" customHeight="1">
      <c r="A201" t="inlineStr">
        <is>
          <t>A 23757-2022</t>
        </is>
      </c>
      <c r="B201" s="1" t="n">
        <v>44722.37339120371</v>
      </c>
      <c r="C201" s="1" t="n">
        <v>46017</v>
      </c>
      <c r="D201" t="inlineStr">
        <is>
          <t>VÄSTMANLANDS LÄN</t>
        </is>
      </c>
      <c r="E201" t="inlineStr">
        <is>
          <t>SALA</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64925-2023</t>
        </is>
      </c>
      <c r="B202" s="1" t="n">
        <v>45282</v>
      </c>
      <c r="C202" s="1" t="n">
        <v>46017</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48570-2024</t>
        </is>
      </c>
      <c r="B203" s="1" t="n">
        <v>45591</v>
      </c>
      <c r="C203" s="1" t="n">
        <v>46017</v>
      </c>
      <c r="D203" t="inlineStr">
        <is>
          <t>VÄSTMANLANDS LÄN</t>
        </is>
      </c>
      <c r="E203" t="inlineStr">
        <is>
          <t>SALA</t>
        </is>
      </c>
      <c r="G203" t="n">
        <v>3</v>
      </c>
      <c r="H203" t="n">
        <v>0</v>
      </c>
      <c r="I203" t="n">
        <v>0</v>
      </c>
      <c r="J203" t="n">
        <v>0</v>
      </c>
      <c r="K203" t="n">
        <v>0</v>
      </c>
      <c r="L203" t="n">
        <v>0</v>
      </c>
      <c r="M203" t="n">
        <v>0</v>
      </c>
      <c r="N203" t="n">
        <v>0</v>
      </c>
      <c r="O203" t="n">
        <v>0</v>
      </c>
      <c r="P203" t="n">
        <v>0</v>
      </c>
      <c r="Q203" t="n">
        <v>0</v>
      </c>
      <c r="R203" s="2" t="inlineStr"/>
    </row>
    <row r="204" ht="15" customHeight="1">
      <c r="A204" t="inlineStr">
        <is>
          <t>A 60545-2024</t>
        </is>
      </c>
      <c r="B204" s="1" t="n">
        <v>45643</v>
      </c>
      <c r="C204" s="1" t="n">
        <v>46017</v>
      </c>
      <c r="D204" t="inlineStr">
        <is>
          <t>VÄSTMANLANDS LÄN</t>
        </is>
      </c>
      <c r="E204" t="inlineStr">
        <is>
          <t>SALA</t>
        </is>
      </c>
      <c r="G204" t="n">
        <v>3.3</v>
      </c>
      <c r="H204" t="n">
        <v>0</v>
      </c>
      <c r="I204" t="n">
        <v>0</v>
      </c>
      <c r="J204" t="n">
        <v>0</v>
      </c>
      <c r="K204" t="n">
        <v>0</v>
      </c>
      <c r="L204" t="n">
        <v>0</v>
      </c>
      <c r="M204" t="n">
        <v>0</v>
      </c>
      <c r="N204" t="n">
        <v>0</v>
      </c>
      <c r="O204" t="n">
        <v>0</v>
      </c>
      <c r="P204" t="n">
        <v>0</v>
      </c>
      <c r="Q204" t="n">
        <v>0</v>
      </c>
      <c r="R204" s="2" t="inlineStr"/>
    </row>
    <row r="205" ht="15" customHeight="1">
      <c r="A205" t="inlineStr">
        <is>
          <t>A 60547-2024</t>
        </is>
      </c>
      <c r="B205" s="1" t="n">
        <v>45643</v>
      </c>
      <c r="C205" s="1" t="n">
        <v>46017</v>
      </c>
      <c r="D205" t="inlineStr">
        <is>
          <t>VÄSTMANLANDS LÄN</t>
        </is>
      </c>
      <c r="E205" t="inlineStr">
        <is>
          <t>SALA</t>
        </is>
      </c>
      <c r="G205" t="n">
        <v>0.6</v>
      </c>
      <c r="H205" t="n">
        <v>0</v>
      </c>
      <c r="I205" t="n">
        <v>0</v>
      </c>
      <c r="J205" t="n">
        <v>0</v>
      </c>
      <c r="K205" t="n">
        <v>0</v>
      </c>
      <c r="L205" t="n">
        <v>0</v>
      </c>
      <c r="M205" t="n">
        <v>0</v>
      </c>
      <c r="N205" t="n">
        <v>0</v>
      </c>
      <c r="O205" t="n">
        <v>0</v>
      </c>
      <c r="P205" t="n">
        <v>0</v>
      </c>
      <c r="Q205" t="n">
        <v>0</v>
      </c>
      <c r="R205" s="2" t="inlineStr"/>
    </row>
    <row r="206" ht="15" customHeight="1">
      <c r="A206" t="inlineStr">
        <is>
          <t>A 16160-2024</t>
        </is>
      </c>
      <c r="B206" s="1" t="n">
        <v>45406</v>
      </c>
      <c r="C206" s="1" t="n">
        <v>46017</v>
      </c>
      <c r="D206" t="inlineStr">
        <is>
          <t>VÄSTMANLANDS LÄN</t>
        </is>
      </c>
      <c r="E206" t="inlineStr">
        <is>
          <t>SALA</t>
        </is>
      </c>
      <c r="G206" t="n">
        <v>1.1</v>
      </c>
      <c r="H206" t="n">
        <v>0</v>
      </c>
      <c r="I206" t="n">
        <v>0</v>
      </c>
      <c r="J206" t="n">
        <v>0</v>
      </c>
      <c r="K206" t="n">
        <v>0</v>
      </c>
      <c r="L206" t="n">
        <v>0</v>
      </c>
      <c r="M206" t="n">
        <v>0</v>
      </c>
      <c r="N206" t="n">
        <v>0</v>
      </c>
      <c r="O206" t="n">
        <v>0</v>
      </c>
      <c r="P206" t="n">
        <v>0</v>
      </c>
      <c r="Q206" t="n">
        <v>0</v>
      </c>
      <c r="R206" s="2" t="inlineStr"/>
    </row>
    <row r="207" ht="15" customHeight="1">
      <c r="A207" t="inlineStr">
        <is>
          <t>A 15965-2024</t>
        </is>
      </c>
      <c r="B207" s="1" t="n">
        <v>45405.55740740741</v>
      </c>
      <c r="C207" s="1" t="n">
        <v>46017</v>
      </c>
      <c r="D207" t="inlineStr">
        <is>
          <t>VÄSTMANLANDS LÄN</t>
        </is>
      </c>
      <c r="E207" t="inlineStr">
        <is>
          <t>SALA</t>
        </is>
      </c>
      <c r="G207" t="n">
        <v>0.5</v>
      </c>
      <c r="H207" t="n">
        <v>0</v>
      </c>
      <c r="I207" t="n">
        <v>0</v>
      </c>
      <c r="J207" t="n">
        <v>0</v>
      </c>
      <c r="K207" t="n">
        <v>0</v>
      </c>
      <c r="L207" t="n">
        <v>0</v>
      </c>
      <c r="M207" t="n">
        <v>0</v>
      </c>
      <c r="N207" t="n">
        <v>0</v>
      </c>
      <c r="O207" t="n">
        <v>0</v>
      </c>
      <c r="P207" t="n">
        <v>0</v>
      </c>
      <c r="Q207" t="n">
        <v>0</v>
      </c>
      <c r="R207" s="2" t="inlineStr"/>
    </row>
    <row r="208" ht="15" customHeight="1">
      <c r="A208" t="inlineStr">
        <is>
          <t>A 40597-2022</t>
        </is>
      </c>
      <c r="B208" s="1" t="n">
        <v>44823.84862268518</v>
      </c>
      <c r="C208" s="1" t="n">
        <v>46017</v>
      </c>
      <c r="D208" t="inlineStr">
        <is>
          <t>VÄSTMANLANDS LÄN</t>
        </is>
      </c>
      <c r="E208" t="inlineStr">
        <is>
          <t>SALA</t>
        </is>
      </c>
      <c r="G208" t="n">
        <v>3.5</v>
      </c>
      <c r="H208" t="n">
        <v>0</v>
      </c>
      <c r="I208" t="n">
        <v>0</v>
      </c>
      <c r="J208" t="n">
        <v>0</v>
      </c>
      <c r="K208" t="n">
        <v>0</v>
      </c>
      <c r="L208" t="n">
        <v>0</v>
      </c>
      <c r="M208" t="n">
        <v>0</v>
      </c>
      <c r="N208" t="n">
        <v>0</v>
      </c>
      <c r="O208" t="n">
        <v>0</v>
      </c>
      <c r="P208" t="n">
        <v>0</v>
      </c>
      <c r="Q208" t="n">
        <v>0</v>
      </c>
      <c r="R208" s="2" t="inlineStr"/>
    </row>
    <row r="209" ht="15" customHeight="1">
      <c r="A209" t="inlineStr">
        <is>
          <t>A 61517-2024</t>
        </is>
      </c>
      <c r="B209" s="1" t="n">
        <v>45645</v>
      </c>
      <c r="C209" s="1" t="n">
        <v>46017</v>
      </c>
      <c r="D209" t="inlineStr">
        <is>
          <t>VÄSTMANLANDS LÄN</t>
        </is>
      </c>
      <c r="E209" t="inlineStr">
        <is>
          <t>SALA</t>
        </is>
      </c>
      <c r="G209" t="n">
        <v>0.6</v>
      </c>
      <c r="H209" t="n">
        <v>0</v>
      </c>
      <c r="I209" t="n">
        <v>0</v>
      </c>
      <c r="J209" t="n">
        <v>0</v>
      </c>
      <c r="K209" t="n">
        <v>0</v>
      </c>
      <c r="L209" t="n">
        <v>0</v>
      </c>
      <c r="M209" t="n">
        <v>0</v>
      </c>
      <c r="N209" t="n">
        <v>0</v>
      </c>
      <c r="O209" t="n">
        <v>0</v>
      </c>
      <c r="P209" t="n">
        <v>0</v>
      </c>
      <c r="Q209" t="n">
        <v>0</v>
      </c>
      <c r="R209" s="2" t="inlineStr"/>
    </row>
    <row r="210" ht="15" customHeight="1">
      <c r="A210" t="inlineStr">
        <is>
          <t>A 1196-2023</t>
        </is>
      </c>
      <c r="B210" s="1" t="n">
        <v>44935.82290509259</v>
      </c>
      <c r="C210" s="1" t="n">
        <v>46017</v>
      </c>
      <c r="D210" t="inlineStr">
        <is>
          <t>VÄSTMANLANDS LÄN</t>
        </is>
      </c>
      <c r="E210" t="inlineStr">
        <is>
          <t>SALA</t>
        </is>
      </c>
      <c r="G210" t="n">
        <v>4.1</v>
      </c>
      <c r="H210" t="n">
        <v>0</v>
      </c>
      <c r="I210" t="n">
        <v>0</v>
      </c>
      <c r="J210" t="n">
        <v>0</v>
      </c>
      <c r="K210" t="n">
        <v>0</v>
      </c>
      <c r="L210" t="n">
        <v>0</v>
      </c>
      <c r="M210" t="n">
        <v>0</v>
      </c>
      <c r="N210" t="n">
        <v>0</v>
      </c>
      <c r="O210" t="n">
        <v>0</v>
      </c>
      <c r="P210" t="n">
        <v>0</v>
      </c>
      <c r="Q210" t="n">
        <v>0</v>
      </c>
      <c r="R210" s="2" t="inlineStr"/>
    </row>
    <row r="211" ht="15" customHeight="1">
      <c r="A211" t="inlineStr">
        <is>
          <t>A 16760-2024</t>
        </is>
      </c>
      <c r="B211" s="1" t="n">
        <v>45411</v>
      </c>
      <c r="C211" s="1" t="n">
        <v>46017</v>
      </c>
      <c r="D211" t="inlineStr">
        <is>
          <t>VÄSTMANLANDS LÄN</t>
        </is>
      </c>
      <c r="E211" t="inlineStr">
        <is>
          <t>SALA</t>
        </is>
      </c>
      <c r="G211" t="n">
        <v>2.6</v>
      </c>
      <c r="H211" t="n">
        <v>0</v>
      </c>
      <c r="I211" t="n">
        <v>0</v>
      </c>
      <c r="J211" t="n">
        <v>0</v>
      </c>
      <c r="K211" t="n">
        <v>0</v>
      </c>
      <c r="L211" t="n">
        <v>0</v>
      </c>
      <c r="M211" t="n">
        <v>0</v>
      </c>
      <c r="N211" t="n">
        <v>0</v>
      </c>
      <c r="O211" t="n">
        <v>0</v>
      </c>
      <c r="P211" t="n">
        <v>0</v>
      </c>
      <c r="Q211" t="n">
        <v>0</v>
      </c>
      <c r="R211" s="2" t="inlineStr"/>
    </row>
    <row r="212" ht="15" customHeight="1">
      <c r="A212" t="inlineStr">
        <is>
          <t>A 7196-2025</t>
        </is>
      </c>
      <c r="B212" s="1" t="n">
        <v>45702</v>
      </c>
      <c r="C212" s="1" t="n">
        <v>46017</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6183-2025</t>
        </is>
      </c>
      <c r="B213" s="1" t="n">
        <v>45698</v>
      </c>
      <c r="C213" s="1" t="n">
        <v>46017</v>
      </c>
      <c r="D213" t="inlineStr">
        <is>
          <t>VÄSTMANLANDS LÄN</t>
        </is>
      </c>
      <c r="E213" t="inlineStr">
        <is>
          <t>SALA</t>
        </is>
      </c>
      <c r="F213" t="inlineStr">
        <is>
          <t>Bergvik skog öst AB</t>
        </is>
      </c>
      <c r="G213" t="n">
        <v>2.3</v>
      </c>
      <c r="H213" t="n">
        <v>0</v>
      </c>
      <c r="I213" t="n">
        <v>0</v>
      </c>
      <c r="J213" t="n">
        <v>0</v>
      </c>
      <c r="K213" t="n">
        <v>0</v>
      </c>
      <c r="L213" t="n">
        <v>0</v>
      </c>
      <c r="M213" t="n">
        <v>0</v>
      </c>
      <c r="N213" t="n">
        <v>0</v>
      </c>
      <c r="O213" t="n">
        <v>0</v>
      </c>
      <c r="P213" t="n">
        <v>0</v>
      </c>
      <c r="Q213" t="n">
        <v>0</v>
      </c>
      <c r="R213" s="2" t="inlineStr"/>
    </row>
    <row r="214" ht="15" customHeight="1">
      <c r="A214" t="inlineStr">
        <is>
          <t>A 54603-2024</t>
        </is>
      </c>
      <c r="B214" s="1" t="n">
        <v>45617.68224537037</v>
      </c>
      <c r="C214" s="1" t="n">
        <v>46017</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62651-2022</t>
        </is>
      </c>
      <c r="B215" s="1" t="n">
        <v>44917</v>
      </c>
      <c r="C215" s="1" t="n">
        <v>46017</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54836-2024</t>
        </is>
      </c>
      <c r="B216" s="1" t="n">
        <v>45618</v>
      </c>
      <c r="C216" s="1" t="n">
        <v>46017</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13987-2023</t>
        </is>
      </c>
      <c r="B217" s="1" t="n">
        <v>45007</v>
      </c>
      <c r="C217" s="1" t="n">
        <v>46017</v>
      </c>
      <c r="D217" t="inlineStr">
        <is>
          <t>VÄSTMANLANDS LÄN</t>
        </is>
      </c>
      <c r="E217" t="inlineStr">
        <is>
          <t>SALA</t>
        </is>
      </c>
      <c r="G217" t="n">
        <v>3.2</v>
      </c>
      <c r="H217" t="n">
        <v>0</v>
      </c>
      <c r="I217" t="n">
        <v>0</v>
      </c>
      <c r="J217" t="n">
        <v>0</v>
      </c>
      <c r="K217" t="n">
        <v>0</v>
      </c>
      <c r="L217" t="n">
        <v>0</v>
      </c>
      <c r="M217" t="n">
        <v>0</v>
      </c>
      <c r="N217" t="n">
        <v>0</v>
      </c>
      <c r="O217" t="n">
        <v>0</v>
      </c>
      <c r="P217" t="n">
        <v>0</v>
      </c>
      <c r="Q217" t="n">
        <v>0</v>
      </c>
      <c r="R217" s="2" t="inlineStr"/>
    </row>
    <row r="218" ht="15" customHeight="1">
      <c r="A218" t="inlineStr">
        <is>
          <t>A 13990-2023</t>
        </is>
      </c>
      <c r="B218" s="1" t="n">
        <v>45007</v>
      </c>
      <c r="C218" s="1" t="n">
        <v>46017</v>
      </c>
      <c r="D218" t="inlineStr">
        <is>
          <t>VÄSTMANLANDS LÄN</t>
        </is>
      </c>
      <c r="E218" t="inlineStr">
        <is>
          <t>SALA</t>
        </is>
      </c>
      <c r="G218" t="n">
        <v>2.6</v>
      </c>
      <c r="H218" t="n">
        <v>0</v>
      </c>
      <c r="I218" t="n">
        <v>0</v>
      </c>
      <c r="J218" t="n">
        <v>0</v>
      </c>
      <c r="K218" t="n">
        <v>0</v>
      </c>
      <c r="L218" t="n">
        <v>0</v>
      </c>
      <c r="M218" t="n">
        <v>0</v>
      </c>
      <c r="N218" t="n">
        <v>0</v>
      </c>
      <c r="O218" t="n">
        <v>0</v>
      </c>
      <c r="P218" t="n">
        <v>0</v>
      </c>
      <c r="Q218" t="n">
        <v>0</v>
      </c>
      <c r="R218" s="2" t="inlineStr"/>
    </row>
    <row r="219" ht="15" customHeight="1">
      <c r="A219" t="inlineStr">
        <is>
          <t>A 40871-2021</t>
        </is>
      </c>
      <c r="B219" s="1" t="n">
        <v>44421</v>
      </c>
      <c r="C219" s="1" t="n">
        <v>46017</v>
      </c>
      <c r="D219" t="inlineStr">
        <is>
          <t>VÄSTMANLANDS LÄN</t>
        </is>
      </c>
      <c r="E219" t="inlineStr">
        <is>
          <t>SALA</t>
        </is>
      </c>
      <c r="G219" t="n">
        <v>1.4</v>
      </c>
      <c r="H219" t="n">
        <v>0</v>
      </c>
      <c r="I219" t="n">
        <v>0</v>
      </c>
      <c r="J219" t="n">
        <v>0</v>
      </c>
      <c r="K219" t="n">
        <v>0</v>
      </c>
      <c r="L219" t="n">
        <v>0</v>
      </c>
      <c r="M219" t="n">
        <v>0</v>
      </c>
      <c r="N219" t="n">
        <v>0</v>
      </c>
      <c r="O219" t="n">
        <v>0</v>
      </c>
      <c r="P219" t="n">
        <v>0</v>
      </c>
      <c r="Q219" t="n">
        <v>0</v>
      </c>
      <c r="R219" s="2" t="inlineStr"/>
    </row>
    <row r="220" ht="15" customHeight="1">
      <c r="A220" t="inlineStr">
        <is>
          <t>A 19803-2024</t>
        </is>
      </c>
      <c r="B220" s="1" t="n">
        <v>45432</v>
      </c>
      <c r="C220" s="1" t="n">
        <v>46017</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51464-2024</t>
        </is>
      </c>
      <c r="B221" s="1" t="n">
        <v>45604.49768518518</v>
      </c>
      <c r="C221" s="1" t="n">
        <v>46017</v>
      </c>
      <c r="D221" t="inlineStr">
        <is>
          <t>VÄSTMANLANDS LÄN</t>
        </is>
      </c>
      <c r="E221" t="inlineStr">
        <is>
          <t>SALA</t>
        </is>
      </c>
      <c r="G221" t="n">
        <v>3.9</v>
      </c>
      <c r="H221" t="n">
        <v>0</v>
      </c>
      <c r="I221" t="n">
        <v>0</v>
      </c>
      <c r="J221" t="n">
        <v>0</v>
      </c>
      <c r="K221" t="n">
        <v>0</v>
      </c>
      <c r="L221" t="n">
        <v>0</v>
      </c>
      <c r="M221" t="n">
        <v>0</v>
      </c>
      <c r="N221" t="n">
        <v>0</v>
      </c>
      <c r="O221" t="n">
        <v>0</v>
      </c>
      <c r="P221" t="n">
        <v>0</v>
      </c>
      <c r="Q221" t="n">
        <v>0</v>
      </c>
      <c r="R221" s="2" t="inlineStr"/>
    </row>
    <row r="222" ht="15" customHeight="1">
      <c r="A222" t="inlineStr">
        <is>
          <t>A 1128-2025</t>
        </is>
      </c>
      <c r="B222" s="1" t="n">
        <v>45666.68469907407</v>
      </c>
      <c r="C222" s="1" t="n">
        <v>46017</v>
      </c>
      <c r="D222" t="inlineStr">
        <is>
          <t>VÄSTMANLANDS LÄN</t>
        </is>
      </c>
      <c r="E222" t="inlineStr">
        <is>
          <t>SALA</t>
        </is>
      </c>
      <c r="G222" t="n">
        <v>2.5</v>
      </c>
      <c r="H222" t="n">
        <v>0</v>
      </c>
      <c r="I222" t="n">
        <v>0</v>
      </c>
      <c r="J222" t="n">
        <v>0</v>
      </c>
      <c r="K222" t="n">
        <v>0</v>
      </c>
      <c r="L222" t="n">
        <v>0</v>
      </c>
      <c r="M222" t="n">
        <v>0</v>
      </c>
      <c r="N222" t="n">
        <v>0</v>
      </c>
      <c r="O222" t="n">
        <v>0</v>
      </c>
      <c r="P222" t="n">
        <v>0</v>
      </c>
      <c r="Q222" t="n">
        <v>0</v>
      </c>
      <c r="R222" s="2" t="inlineStr"/>
    </row>
    <row r="223" ht="15" customHeight="1">
      <c r="A223" t="inlineStr">
        <is>
          <t>A 43176-2023</t>
        </is>
      </c>
      <c r="B223" s="1" t="n">
        <v>45183</v>
      </c>
      <c r="C223" s="1" t="n">
        <v>46017</v>
      </c>
      <c r="D223" t="inlineStr">
        <is>
          <t>VÄSTMANLANDS LÄN</t>
        </is>
      </c>
      <c r="E223" t="inlineStr">
        <is>
          <t>SALA</t>
        </is>
      </c>
      <c r="G223" t="n">
        <v>1.2</v>
      </c>
      <c r="H223" t="n">
        <v>0</v>
      </c>
      <c r="I223" t="n">
        <v>0</v>
      </c>
      <c r="J223" t="n">
        <v>0</v>
      </c>
      <c r="K223" t="n">
        <v>0</v>
      </c>
      <c r="L223" t="n">
        <v>0</v>
      </c>
      <c r="M223" t="n">
        <v>0</v>
      </c>
      <c r="N223" t="n">
        <v>0</v>
      </c>
      <c r="O223" t="n">
        <v>0</v>
      </c>
      <c r="P223" t="n">
        <v>0</v>
      </c>
      <c r="Q223" t="n">
        <v>0</v>
      </c>
      <c r="R223" s="2" t="inlineStr"/>
    </row>
    <row r="224" ht="15" customHeight="1">
      <c r="A224" t="inlineStr">
        <is>
          <t>A 73835-2021</t>
        </is>
      </c>
      <c r="B224" s="1" t="n">
        <v>44552.92112268518</v>
      </c>
      <c r="C224" s="1" t="n">
        <v>46017</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60379-2022</t>
        </is>
      </c>
      <c r="B225" s="1" t="n">
        <v>44910</v>
      </c>
      <c r="C225" s="1" t="n">
        <v>46017</v>
      </c>
      <c r="D225" t="inlineStr">
        <is>
          <t>VÄSTMANLANDS LÄN</t>
        </is>
      </c>
      <c r="E225" t="inlineStr">
        <is>
          <t>SALA</t>
        </is>
      </c>
      <c r="F225" t="inlineStr">
        <is>
          <t>Kyrkan</t>
        </is>
      </c>
      <c r="G225" t="n">
        <v>2.5</v>
      </c>
      <c r="H225" t="n">
        <v>0</v>
      </c>
      <c r="I225" t="n">
        <v>0</v>
      </c>
      <c r="J225" t="n">
        <v>0</v>
      </c>
      <c r="K225" t="n">
        <v>0</v>
      </c>
      <c r="L225" t="n">
        <v>0</v>
      </c>
      <c r="M225" t="n">
        <v>0</v>
      </c>
      <c r="N225" t="n">
        <v>0</v>
      </c>
      <c r="O225" t="n">
        <v>0</v>
      </c>
      <c r="P225" t="n">
        <v>0</v>
      </c>
      <c r="Q225" t="n">
        <v>0</v>
      </c>
      <c r="R225" s="2" t="inlineStr"/>
    </row>
    <row r="226" ht="15" customHeight="1">
      <c r="A226" t="inlineStr">
        <is>
          <t>A 18762-2024</t>
        </is>
      </c>
      <c r="B226" s="1" t="n">
        <v>45426.55240740741</v>
      </c>
      <c r="C226" s="1" t="n">
        <v>46017</v>
      </c>
      <c r="D226" t="inlineStr">
        <is>
          <t>VÄSTMANLANDS LÄN</t>
        </is>
      </c>
      <c r="E226" t="inlineStr">
        <is>
          <t>SALA</t>
        </is>
      </c>
      <c r="G226" t="n">
        <v>6.2</v>
      </c>
      <c r="H226" t="n">
        <v>0</v>
      </c>
      <c r="I226" t="n">
        <v>0</v>
      </c>
      <c r="J226" t="n">
        <v>0</v>
      </c>
      <c r="K226" t="n">
        <v>0</v>
      </c>
      <c r="L226" t="n">
        <v>0</v>
      </c>
      <c r="M226" t="n">
        <v>0</v>
      </c>
      <c r="N226" t="n">
        <v>0</v>
      </c>
      <c r="O226" t="n">
        <v>0</v>
      </c>
      <c r="P226" t="n">
        <v>0</v>
      </c>
      <c r="Q226" t="n">
        <v>0</v>
      </c>
      <c r="R226" s="2" t="inlineStr"/>
    </row>
    <row r="227" ht="15" customHeight="1">
      <c r="A227" t="inlineStr">
        <is>
          <t>A 17120-2023</t>
        </is>
      </c>
      <c r="B227" s="1" t="n">
        <v>45034</v>
      </c>
      <c r="C227" s="1" t="n">
        <v>46017</v>
      </c>
      <c r="D227" t="inlineStr">
        <is>
          <t>VÄSTMANLANDS LÄN</t>
        </is>
      </c>
      <c r="E227" t="inlineStr">
        <is>
          <t>SALA</t>
        </is>
      </c>
      <c r="G227" t="n">
        <v>0.1</v>
      </c>
      <c r="H227" t="n">
        <v>0</v>
      </c>
      <c r="I227" t="n">
        <v>0</v>
      </c>
      <c r="J227" t="n">
        <v>0</v>
      </c>
      <c r="K227" t="n">
        <v>0</v>
      </c>
      <c r="L227" t="n">
        <v>0</v>
      </c>
      <c r="M227" t="n">
        <v>0</v>
      </c>
      <c r="N227" t="n">
        <v>0</v>
      </c>
      <c r="O227" t="n">
        <v>0</v>
      </c>
      <c r="P227" t="n">
        <v>0</v>
      </c>
      <c r="Q227" t="n">
        <v>0</v>
      </c>
      <c r="R227" s="2" t="inlineStr"/>
    </row>
    <row r="228" ht="15" customHeight="1">
      <c r="A228" t="inlineStr">
        <is>
          <t>A 42938-2023</t>
        </is>
      </c>
      <c r="B228" s="1" t="n">
        <v>45179</v>
      </c>
      <c r="C228" s="1" t="n">
        <v>46017</v>
      </c>
      <c r="D228" t="inlineStr">
        <is>
          <t>VÄSTMANLANDS LÄN</t>
        </is>
      </c>
      <c r="E228" t="inlineStr">
        <is>
          <t>SALA</t>
        </is>
      </c>
      <c r="G228" t="n">
        <v>10.9</v>
      </c>
      <c r="H228" t="n">
        <v>0</v>
      </c>
      <c r="I228" t="n">
        <v>0</v>
      </c>
      <c r="J228" t="n">
        <v>0</v>
      </c>
      <c r="K228" t="n">
        <v>0</v>
      </c>
      <c r="L228" t="n">
        <v>0</v>
      </c>
      <c r="M228" t="n">
        <v>0</v>
      </c>
      <c r="N228" t="n">
        <v>0</v>
      </c>
      <c r="O228" t="n">
        <v>0</v>
      </c>
      <c r="P228" t="n">
        <v>0</v>
      </c>
      <c r="Q228" t="n">
        <v>0</v>
      </c>
      <c r="R228" s="2" t="inlineStr"/>
    </row>
    <row r="229" ht="15" customHeight="1">
      <c r="A229" t="inlineStr">
        <is>
          <t>A 1638-2023</t>
        </is>
      </c>
      <c r="B229" s="1" t="n">
        <v>44937</v>
      </c>
      <c r="C229" s="1" t="n">
        <v>46017</v>
      </c>
      <c r="D229" t="inlineStr">
        <is>
          <t>VÄSTMANLANDS LÄN</t>
        </is>
      </c>
      <c r="E229" t="inlineStr">
        <is>
          <t>SALA</t>
        </is>
      </c>
      <c r="G229" t="n">
        <v>3.1</v>
      </c>
      <c r="H229" t="n">
        <v>0</v>
      </c>
      <c r="I229" t="n">
        <v>0</v>
      </c>
      <c r="J229" t="n">
        <v>0</v>
      </c>
      <c r="K229" t="n">
        <v>0</v>
      </c>
      <c r="L229" t="n">
        <v>0</v>
      </c>
      <c r="M229" t="n">
        <v>0</v>
      </c>
      <c r="N229" t="n">
        <v>0</v>
      </c>
      <c r="O229" t="n">
        <v>0</v>
      </c>
      <c r="P229" t="n">
        <v>0</v>
      </c>
      <c r="Q229" t="n">
        <v>0</v>
      </c>
      <c r="R229" s="2" t="inlineStr"/>
    </row>
    <row r="230" ht="15" customHeight="1">
      <c r="A230" t="inlineStr">
        <is>
          <t>A 42984-2023</t>
        </is>
      </c>
      <c r="B230" s="1" t="n">
        <v>45179</v>
      </c>
      <c r="C230" s="1" t="n">
        <v>46017</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7953-2024</t>
        </is>
      </c>
      <c r="B231" s="1" t="n">
        <v>45350</v>
      </c>
      <c r="C231" s="1" t="n">
        <v>46017</v>
      </c>
      <c r="D231" t="inlineStr">
        <is>
          <t>VÄSTMANLANDS LÄN</t>
        </is>
      </c>
      <c r="E231" t="inlineStr">
        <is>
          <t>SALA</t>
        </is>
      </c>
      <c r="G231" t="n">
        <v>2.6</v>
      </c>
      <c r="H231" t="n">
        <v>0</v>
      </c>
      <c r="I231" t="n">
        <v>0</v>
      </c>
      <c r="J231" t="n">
        <v>0</v>
      </c>
      <c r="K231" t="n">
        <v>0</v>
      </c>
      <c r="L231" t="n">
        <v>0</v>
      </c>
      <c r="M231" t="n">
        <v>0</v>
      </c>
      <c r="N231" t="n">
        <v>0</v>
      </c>
      <c r="O231" t="n">
        <v>0</v>
      </c>
      <c r="P231" t="n">
        <v>0</v>
      </c>
      <c r="Q231" t="n">
        <v>0</v>
      </c>
      <c r="R231" s="2" t="inlineStr"/>
    </row>
    <row r="232" ht="15" customHeight="1">
      <c r="A232" t="inlineStr">
        <is>
          <t>A 15972-2024</t>
        </is>
      </c>
      <c r="B232" s="1" t="n">
        <v>45405.56498842593</v>
      </c>
      <c r="C232" s="1" t="n">
        <v>46017</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39714-2023</t>
        </is>
      </c>
      <c r="B233" s="1" t="n">
        <v>45167.62133101852</v>
      </c>
      <c r="C233" s="1" t="n">
        <v>46017</v>
      </c>
      <c r="D233" t="inlineStr">
        <is>
          <t>VÄSTMANLANDS LÄN</t>
        </is>
      </c>
      <c r="E233" t="inlineStr">
        <is>
          <t>SALA</t>
        </is>
      </c>
      <c r="G233" t="n">
        <v>1.3</v>
      </c>
      <c r="H233" t="n">
        <v>0</v>
      </c>
      <c r="I233" t="n">
        <v>0</v>
      </c>
      <c r="J233" t="n">
        <v>0</v>
      </c>
      <c r="K233" t="n">
        <v>0</v>
      </c>
      <c r="L233" t="n">
        <v>0</v>
      </c>
      <c r="M233" t="n">
        <v>0</v>
      </c>
      <c r="N233" t="n">
        <v>0</v>
      </c>
      <c r="O233" t="n">
        <v>0</v>
      </c>
      <c r="P233" t="n">
        <v>0</v>
      </c>
      <c r="Q233" t="n">
        <v>0</v>
      </c>
      <c r="R233" s="2" t="inlineStr"/>
    </row>
    <row r="234" ht="15" customHeight="1">
      <c r="A234" t="inlineStr">
        <is>
          <t>A 5477-2024</t>
        </is>
      </c>
      <c r="B234" s="1" t="n">
        <v>45333.67833333334</v>
      </c>
      <c r="C234" s="1" t="n">
        <v>46017</v>
      </c>
      <c r="D234" t="inlineStr">
        <is>
          <t>VÄSTMANLANDS LÄN</t>
        </is>
      </c>
      <c r="E234" t="inlineStr">
        <is>
          <t>SALA</t>
        </is>
      </c>
      <c r="G234" t="n">
        <v>2.3</v>
      </c>
      <c r="H234" t="n">
        <v>0</v>
      </c>
      <c r="I234" t="n">
        <v>0</v>
      </c>
      <c r="J234" t="n">
        <v>0</v>
      </c>
      <c r="K234" t="n">
        <v>0</v>
      </c>
      <c r="L234" t="n">
        <v>0</v>
      </c>
      <c r="M234" t="n">
        <v>0</v>
      </c>
      <c r="N234" t="n">
        <v>0</v>
      </c>
      <c r="O234" t="n">
        <v>0</v>
      </c>
      <c r="P234" t="n">
        <v>0</v>
      </c>
      <c r="Q234" t="n">
        <v>0</v>
      </c>
      <c r="R234" s="2" t="inlineStr"/>
    </row>
    <row r="235" ht="15" customHeight="1">
      <c r="A235" t="inlineStr">
        <is>
          <t>A 24864-2024</t>
        </is>
      </c>
      <c r="B235" s="1" t="n">
        <v>45461.48888888889</v>
      </c>
      <c r="C235" s="1" t="n">
        <v>46017</v>
      </c>
      <c r="D235" t="inlineStr">
        <is>
          <t>VÄSTMANLANDS LÄN</t>
        </is>
      </c>
      <c r="E235" t="inlineStr">
        <is>
          <t>SALA</t>
        </is>
      </c>
      <c r="G235" t="n">
        <v>0.6</v>
      </c>
      <c r="H235" t="n">
        <v>0</v>
      </c>
      <c r="I235" t="n">
        <v>0</v>
      </c>
      <c r="J235" t="n">
        <v>0</v>
      </c>
      <c r="K235" t="n">
        <v>0</v>
      </c>
      <c r="L235" t="n">
        <v>0</v>
      </c>
      <c r="M235" t="n">
        <v>0</v>
      </c>
      <c r="N235" t="n">
        <v>0</v>
      </c>
      <c r="O235" t="n">
        <v>0</v>
      </c>
      <c r="P235" t="n">
        <v>0</v>
      </c>
      <c r="Q235" t="n">
        <v>0</v>
      </c>
      <c r="R235" s="2" t="inlineStr"/>
    </row>
    <row r="236" ht="15" customHeight="1">
      <c r="A236" t="inlineStr">
        <is>
          <t>A 1118-2024</t>
        </is>
      </c>
      <c r="B236" s="1" t="n">
        <v>45302</v>
      </c>
      <c r="C236" s="1" t="n">
        <v>46017</v>
      </c>
      <c r="D236" t="inlineStr">
        <is>
          <t>VÄSTMANLANDS LÄN</t>
        </is>
      </c>
      <c r="E236" t="inlineStr">
        <is>
          <t>SALA</t>
        </is>
      </c>
      <c r="G236" t="n">
        <v>1.9</v>
      </c>
      <c r="H236" t="n">
        <v>0</v>
      </c>
      <c r="I236" t="n">
        <v>0</v>
      </c>
      <c r="J236" t="n">
        <v>0</v>
      </c>
      <c r="K236" t="n">
        <v>0</v>
      </c>
      <c r="L236" t="n">
        <v>0</v>
      </c>
      <c r="M236" t="n">
        <v>0</v>
      </c>
      <c r="N236" t="n">
        <v>0</v>
      </c>
      <c r="O236" t="n">
        <v>0</v>
      </c>
      <c r="P236" t="n">
        <v>0</v>
      </c>
      <c r="Q236" t="n">
        <v>0</v>
      </c>
      <c r="R236" s="2" t="inlineStr"/>
    </row>
    <row r="237" ht="15" customHeight="1">
      <c r="A237" t="inlineStr">
        <is>
          <t>A 51596-2022</t>
        </is>
      </c>
      <c r="B237" s="1" t="n">
        <v>44871</v>
      </c>
      <c r="C237" s="1" t="n">
        <v>46017</v>
      </c>
      <c r="D237" t="inlineStr">
        <is>
          <t>VÄSTMANLANDS LÄN</t>
        </is>
      </c>
      <c r="E237" t="inlineStr">
        <is>
          <t>SALA</t>
        </is>
      </c>
      <c r="F237" t="inlineStr">
        <is>
          <t>Bergvik skog öst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63933-2023</t>
        </is>
      </c>
      <c r="B238" s="1" t="n">
        <v>45278</v>
      </c>
      <c r="C238" s="1" t="n">
        <v>46017</v>
      </c>
      <c r="D238" t="inlineStr">
        <is>
          <t>VÄSTMANLANDS LÄN</t>
        </is>
      </c>
      <c r="E238" t="inlineStr">
        <is>
          <t>SALA</t>
        </is>
      </c>
      <c r="G238" t="n">
        <v>1.4</v>
      </c>
      <c r="H238" t="n">
        <v>0</v>
      </c>
      <c r="I238" t="n">
        <v>0</v>
      </c>
      <c r="J238" t="n">
        <v>0</v>
      </c>
      <c r="K238" t="n">
        <v>0</v>
      </c>
      <c r="L238" t="n">
        <v>0</v>
      </c>
      <c r="M238" t="n">
        <v>0</v>
      </c>
      <c r="N238" t="n">
        <v>0</v>
      </c>
      <c r="O238" t="n">
        <v>0</v>
      </c>
      <c r="P238" t="n">
        <v>0</v>
      </c>
      <c r="Q238" t="n">
        <v>0</v>
      </c>
      <c r="R238" s="2" t="inlineStr"/>
    </row>
    <row r="239" ht="15" customHeight="1">
      <c r="A239" t="inlineStr">
        <is>
          <t>A 66508-2021</t>
        </is>
      </c>
      <c r="B239" s="1" t="n">
        <v>44519.33401620371</v>
      </c>
      <c r="C239" s="1" t="n">
        <v>46017</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33527-2023</t>
        </is>
      </c>
      <c r="B240" s="1" t="n">
        <v>45131</v>
      </c>
      <c r="C240" s="1" t="n">
        <v>46017</v>
      </c>
      <c r="D240" t="inlineStr">
        <is>
          <t>VÄSTMANLANDS LÄN</t>
        </is>
      </c>
      <c r="E240" t="inlineStr">
        <is>
          <t>SALA</t>
        </is>
      </c>
      <c r="G240" t="n">
        <v>1</v>
      </c>
      <c r="H240" t="n">
        <v>0</v>
      </c>
      <c r="I240" t="n">
        <v>0</v>
      </c>
      <c r="J240" t="n">
        <v>0</v>
      </c>
      <c r="K240" t="n">
        <v>0</v>
      </c>
      <c r="L240" t="n">
        <v>0</v>
      </c>
      <c r="M240" t="n">
        <v>0</v>
      </c>
      <c r="N240" t="n">
        <v>0</v>
      </c>
      <c r="O240" t="n">
        <v>0</v>
      </c>
      <c r="P240" t="n">
        <v>0</v>
      </c>
      <c r="Q240" t="n">
        <v>0</v>
      </c>
      <c r="R240" s="2" t="inlineStr"/>
    </row>
    <row r="241" ht="15" customHeight="1">
      <c r="A241" t="inlineStr">
        <is>
          <t>A 26507-2023</t>
        </is>
      </c>
      <c r="B241" s="1" t="n">
        <v>45092</v>
      </c>
      <c r="C241" s="1" t="n">
        <v>46017</v>
      </c>
      <c r="D241" t="inlineStr">
        <is>
          <t>VÄSTMANLANDS LÄN</t>
        </is>
      </c>
      <c r="E241" t="inlineStr">
        <is>
          <t>SALA</t>
        </is>
      </c>
      <c r="F241" t="inlineStr">
        <is>
          <t>Sveaskog</t>
        </is>
      </c>
      <c r="G241" t="n">
        <v>2.2</v>
      </c>
      <c r="H241" t="n">
        <v>0</v>
      </c>
      <c r="I241" t="n">
        <v>0</v>
      </c>
      <c r="J241" t="n">
        <v>0</v>
      </c>
      <c r="K241" t="n">
        <v>0</v>
      </c>
      <c r="L241" t="n">
        <v>0</v>
      </c>
      <c r="M241" t="n">
        <v>0</v>
      </c>
      <c r="N241" t="n">
        <v>0</v>
      </c>
      <c r="O241" t="n">
        <v>0</v>
      </c>
      <c r="P241" t="n">
        <v>0</v>
      </c>
      <c r="Q241" t="n">
        <v>0</v>
      </c>
      <c r="R241" s="2" t="inlineStr"/>
    </row>
    <row r="242" ht="15" customHeight="1">
      <c r="A242" t="inlineStr">
        <is>
          <t>A 6032-2025</t>
        </is>
      </c>
      <c r="B242" s="1" t="n">
        <v>45695.6371875</v>
      </c>
      <c r="C242" s="1" t="n">
        <v>46017</v>
      </c>
      <c r="D242" t="inlineStr">
        <is>
          <t>VÄSTMANLANDS LÄN</t>
        </is>
      </c>
      <c r="E242" t="inlineStr">
        <is>
          <t>SALA</t>
        </is>
      </c>
      <c r="F242" t="inlineStr">
        <is>
          <t>Bergvik skog öst AB</t>
        </is>
      </c>
      <c r="G242" t="n">
        <v>8.1</v>
      </c>
      <c r="H242" t="n">
        <v>0</v>
      </c>
      <c r="I242" t="n">
        <v>0</v>
      </c>
      <c r="J242" t="n">
        <v>0</v>
      </c>
      <c r="K242" t="n">
        <v>0</v>
      </c>
      <c r="L242" t="n">
        <v>0</v>
      </c>
      <c r="M242" t="n">
        <v>0</v>
      </c>
      <c r="N242" t="n">
        <v>0</v>
      </c>
      <c r="O242" t="n">
        <v>0</v>
      </c>
      <c r="P242" t="n">
        <v>0</v>
      </c>
      <c r="Q242" t="n">
        <v>0</v>
      </c>
      <c r="R242" s="2" t="inlineStr"/>
    </row>
    <row r="243" ht="15" customHeight="1">
      <c r="A243" t="inlineStr">
        <is>
          <t>A 10913-2025</t>
        </is>
      </c>
      <c r="B243" s="1" t="n">
        <v>45722.73423611111</v>
      </c>
      <c r="C243" s="1" t="n">
        <v>46017</v>
      </c>
      <c r="D243" t="inlineStr">
        <is>
          <t>VÄSTMANLANDS LÄN</t>
        </is>
      </c>
      <c r="E243" t="inlineStr">
        <is>
          <t>SALA</t>
        </is>
      </c>
      <c r="G243" t="n">
        <v>7.6</v>
      </c>
      <c r="H243" t="n">
        <v>0</v>
      </c>
      <c r="I243" t="n">
        <v>0</v>
      </c>
      <c r="J243" t="n">
        <v>0</v>
      </c>
      <c r="K243" t="n">
        <v>0</v>
      </c>
      <c r="L243" t="n">
        <v>0</v>
      </c>
      <c r="M243" t="n">
        <v>0</v>
      </c>
      <c r="N243" t="n">
        <v>0</v>
      </c>
      <c r="O243" t="n">
        <v>0</v>
      </c>
      <c r="P243" t="n">
        <v>0</v>
      </c>
      <c r="Q243" t="n">
        <v>0</v>
      </c>
      <c r="R243" s="2" t="inlineStr"/>
    </row>
    <row r="244" ht="15" customHeight="1">
      <c r="A244" t="inlineStr">
        <is>
          <t>A 58107-2021</t>
        </is>
      </c>
      <c r="B244" s="1" t="n">
        <v>44487</v>
      </c>
      <c r="C244" s="1" t="n">
        <v>46017</v>
      </c>
      <c r="D244" t="inlineStr">
        <is>
          <t>VÄSTMANLANDS LÄN</t>
        </is>
      </c>
      <c r="E244" t="inlineStr">
        <is>
          <t>SALA</t>
        </is>
      </c>
      <c r="F244" t="inlineStr">
        <is>
          <t>Sveaskog</t>
        </is>
      </c>
      <c r="G244" t="n">
        <v>2.8</v>
      </c>
      <c r="H244" t="n">
        <v>0</v>
      </c>
      <c r="I244" t="n">
        <v>0</v>
      </c>
      <c r="J244" t="n">
        <v>0</v>
      </c>
      <c r="K244" t="n">
        <v>0</v>
      </c>
      <c r="L244" t="n">
        <v>0</v>
      </c>
      <c r="M244" t="n">
        <v>0</v>
      </c>
      <c r="N244" t="n">
        <v>0</v>
      </c>
      <c r="O244" t="n">
        <v>0</v>
      </c>
      <c r="P244" t="n">
        <v>0</v>
      </c>
      <c r="Q244" t="n">
        <v>0</v>
      </c>
      <c r="R244" s="2" t="inlineStr"/>
    </row>
    <row r="245" ht="15" customHeight="1">
      <c r="A245" t="inlineStr">
        <is>
          <t>A 31452-2021</t>
        </is>
      </c>
      <c r="B245" s="1" t="n">
        <v>44369</v>
      </c>
      <c r="C245" s="1" t="n">
        <v>46017</v>
      </c>
      <c r="D245" t="inlineStr">
        <is>
          <t>VÄSTMANLANDS LÄN</t>
        </is>
      </c>
      <c r="E245" t="inlineStr">
        <is>
          <t>SALA</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37190-2024</t>
        </is>
      </c>
      <c r="B246" s="1" t="n">
        <v>45539</v>
      </c>
      <c r="C246" s="1" t="n">
        <v>46017</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2927-2024</t>
        </is>
      </c>
      <c r="B247" s="1" t="n">
        <v>45315.58989583333</v>
      </c>
      <c r="C247" s="1" t="n">
        <v>46017</v>
      </c>
      <c r="D247" t="inlineStr">
        <is>
          <t>VÄSTMANLANDS LÄN</t>
        </is>
      </c>
      <c r="E247" t="inlineStr">
        <is>
          <t>SALA</t>
        </is>
      </c>
      <c r="G247" t="n">
        <v>2.5</v>
      </c>
      <c r="H247" t="n">
        <v>0</v>
      </c>
      <c r="I247" t="n">
        <v>0</v>
      </c>
      <c r="J247" t="n">
        <v>0</v>
      </c>
      <c r="K247" t="n">
        <v>0</v>
      </c>
      <c r="L247" t="n">
        <v>0</v>
      </c>
      <c r="M247" t="n">
        <v>0</v>
      </c>
      <c r="N247" t="n">
        <v>0</v>
      </c>
      <c r="O247" t="n">
        <v>0</v>
      </c>
      <c r="P247" t="n">
        <v>0</v>
      </c>
      <c r="Q247" t="n">
        <v>0</v>
      </c>
      <c r="R247" s="2" t="inlineStr"/>
    </row>
    <row r="248" ht="15" customHeight="1">
      <c r="A248" t="inlineStr">
        <is>
          <t>A 22811-2022</t>
        </is>
      </c>
      <c r="B248" s="1" t="n">
        <v>44715</v>
      </c>
      <c r="C248" s="1" t="n">
        <v>46017</v>
      </c>
      <c r="D248" t="inlineStr">
        <is>
          <t>VÄSTMANLANDS LÄN</t>
        </is>
      </c>
      <c r="E248" t="inlineStr">
        <is>
          <t>SALA</t>
        </is>
      </c>
      <c r="G248" t="n">
        <v>5</v>
      </c>
      <c r="H248" t="n">
        <v>0</v>
      </c>
      <c r="I248" t="n">
        <v>0</v>
      </c>
      <c r="J248" t="n">
        <v>0</v>
      </c>
      <c r="K248" t="n">
        <v>0</v>
      </c>
      <c r="L248" t="n">
        <v>0</v>
      </c>
      <c r="M248" t="n">
        <v>0</v>
      </c>
      <c r="N248" t="n">
        <v>0</v>
      </c>
      <c r="O248" t="n">
        <v>0</v>
      </c>
      <c r="P248" t="n">
        <v>0</v>
      </c>
      <c r="Q248" t="n">
        <v>0</v>
      </c>
      <c r="R248" s="2" t="inlineStr"/>
    </row>
    <row r="249" ht="15" customHeight="1">
      <c r="A249" t="inlineStr">
        <is>
          <t>A 39439-2021</t>
        </is>
      </c>
      <c r="B249" s="1" t="n">
        <v>44414</v>
      </c>
      <c r="C249" s="1" t="n">
        <v>46017</v>
      </c>
      <c r="D249" t="inlineStr">
        <is>
          <t>VÄSTMANLANDS LÄN</t>
        </is>
      </c>
      <c r="E249" t="inlineStr">
        <is>
          <t>SALA</t>
        </is>
      </c>
      <c r="G249" t="n">
        <v>1.1</v>
      </c>
      <c r="H249" t="n">
        <v>0</v>
      </c>
      <c r="I249" t="n">
        <v>0</v>
      </c>
      <c r="J249" t="n">
        <v>0</v>
      </c>
      <c r="K249" t="n">
        <v>0</v>
      </c>
      <c r="L249" t="n">
        <v>0</v>
      </c>
      <c r="M249" t="n">
        <v>0</v>
      </c>
      <c r="N249" t="n">
        <v>0</v>
      </c>
      <c r="O249" t="n">
        <v>0</v>
      </c>
      <c r="P249" t="n">
        <v>0</v>
      </c>
      <c r="Q249" t="n">
        <v>0</v>
      </c>
      <c r="R249" s="2" t="inlineStr"/>
    </row>
    <row r="250" ht="15" customHeight="1">
      <c r="A250" t="inlineStr">
        <is>
          <t>A 65213-2021</t>
        </is>
      </c>
      <c r="B250" s="1" t="n">
        <v>44515</v>
      </c>
      <c r="C250" s="1" t="n">
        <v>46017</v>
      </c>
      <c r="D250" t="inlineStr">
        <is>
          <t>VÄSTMANLANDS LÄN</t>
        </is>
      </c>
      <c r="E250" t="inlineStr">
        <is>
          <t>SALA</t>
        </is>
      </c>
      <c r="G250" t="n">
        <v>0.6</v>
      </c>
      <c r="H250" t="n">
        <v>0</v>
      </c>
      <c r="I250" t="n">
        <v>0</v>
      </c>
      <c r="J250" t="n">
        <v>0</v>
      </c>
      <c r="K250" t="n">
        <v>0</v>
      </c>
      <c r="L250" t="n">
        <v>0</v>
      </c>
      <c r="M250" t="n">
        <v>0</v>
      </c>
      <c r="N250" t="n">
        <v>0</v>
      </c>
      <c r="O250" t="n">
        <v>0</v>
      </c>
      <c r="P250" t="n">
        <v>0</v>
      </c>
      <c r="Q250" t="n">
        <v>0</v>
      </c>
      <c r="R250" s="2" t="inlineStr"/>
    </row>
    <row r="251" ht="15" customHeight="1">
      <c r="A251" t="inlineStr">
        <is>
          <t>A 34814-2021</t>
        </is>
      </c>
      <c r="B251" s="1" t="n">
        <v>44383</v>
      </c>
      <c r="C251" s="1" t="n">
        <v>46017</v>
      </c>
      <c r="D251" t="inlineStr">
        <is>
          <t>VÄSTMANLANDS LÄN</t>
        </is>
      </c>
      <c r="E251" t="inlineStr">
        <is>
          <t>SALA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37183-2024</t>
        </is>
      </c>
      <c r="B252" s="1" t="n">
        <v>45539</v>
      </c>
      <c r="C252" s="1" t="n">
        <v>46017</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54118-2023</t>
        </is>
      </c>
      <c r="B253" s="1" t="n">
        <v>45232</v>
      </c>
      <c r="C253" s="1" t="n">
        <v>46017</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35462-2024</t>
        </is>
      </c>
      <c r="B254" s="1" t="n">
        <v>45531</v>
      </c>
      <c r="C254" s="1" t="n">
        <v>46017</v>
      </c>
      <c r="D254" t="inlineStr">
        <is>
          <t>VÄSTMANLANDS LÄN</t>
        </is>
      </c>
      <c r="E254" t="inlineStr">
        <is>
          <t>SALA</t>
        </is>
      </c>
      <c r="G254" t="n">
        <v>0.6</v>
      </c>
      <c r="H254" t="n">
        <v>0</v>
      </c>
      <c r="I254" t="n">
        <v>0</v>
      </c>
      <c r="J254" t="n">
        <v>0</v>
      </c>
      <c r="K254" t="n">
        <v>0</v>
      </c>
      <c r="L254" t="n">
        <v>0</v>
      </c>
      <c r="M254" t="n">
        <v>0</v>
      </c>
      <c r="N254" t="n">
        <v>0</v>
      </c>
      <c r="O254" t="n">
        <v>0</v>
      </c>
      <c r="P254" t="n">
        <v>0</v>
      </c>
      <c r="Q254" t="n">
        <v>0</v>
      </c>
      <c r="R254" s="2" t="inlineStr"/>
    </row>
    <row r="255" ht="15" customHeight="1">
      <c r="A255" t="inlineStr">
        <is>
          <t>A 54199-2024</t>
        </is>
      </c>
      <c r="B255" s="1" t="n">
        <v>45616.64703703704</v>
      </c>
      <c r="C255" s="1" t="n">
        <v>46017</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11389-2024</t>
        </is>
      </c>
      <c r="B256" s="1" t="n">
        <v>45372.45016203704</v>
      </c>
      <c r="C256" s="1" t="n">
        <v>46017</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56706-2022</t>
        </is>
      </c>
      <c r="B257" s="1" t="n">
        <v>44893.78893518518</v>
      </c>
      <c r="C257" s="1" t="n">
        <v>46017</v>
      </c>
      <c r="D257" t="inlineStr">
        <is>
          <t>VÄSTMANLANDS LÄN</t>
        </is>
      </c>
      <c r="E257" t="inlineStr">
        <is>
          <t>SALA</t>
        </is>
      </c>
      <c r="G257" t="n">
        <v>4.5</v>
      </c>
      <c r="H257" t="n">
        <v>0</v>
      </c>
      <c r="I257" t="n">
        <v>0</v>
      </c>
      <c r="J257" t="n">
        <v>0</v>
      </c>
      <c r="K257" t="n">
        <v>0</v>
      </c>
      <c r="L257" t="n">
        <v>0</v>
      </c>
      <c r="M257" t="n">
        <v>0</v>
      </c>
      <c r="N257" t="n">
        <v>0</v>
      </c>
      <c r="O257" t="n">
        <v>0</v>
      </c>
      <c r="P257" t="n">
        <v>0</v>
      </c>
      <c r="Q257" t="n">
        <v>0</v>
      </c>
      <c r="R257" s="2" t="inlineStr"/>
    </row>
    <row r="258" ht="15" customHeight="1">
      <c r="A258" t="inlineStr">
        <is>
          <t>A 56707-2022</t>
        </is>
      </c>
      <c r="B258" s="1" t="n">
        <v>44893.79412037037</v>
      </c>
      <c r="C258" s="1" t="n">
        <v>46017</v>
      </c>
      <c r="D258" t="inlineStr">
        <is>
          <t>VÄSTMANLANDS LÄN</t>
        </is>
      </c>
      <c r="E258" t="inlineStr">
        <is>
          <t>SALA</t>
        </is>
      </c>
      <c r="G258" t="n">
        <v>1</v>
      </c>
      <c r="H258" t="n">
        <v>0</v>
      </c>
      <c r="I258" t="n">
        <v>0</v>
      </c>
      <c r="J258" t="n">
        <v>0</v>
      </c>
      <c r="K258" t="n">
        <v>0</v>
      </c>
      <c r="L258" t="n">
        <v>0</v>
      </c>
      <c r="M258" t="n">
        <v>0</v>
      </c>
      <c r="N258" t="n">
        <v>0</v>
      </c>
      <c r="O258" t="n">
        <v>0</v>
      </c>
      <c r="P258" t="n">
        <v>0</v>
      </c>
      <c r="Q258" t="n">
        <v>0</v>
      </c>
      <c r="R258" s="2" t="inlineStr"/>
    </row>
    <row r="259" ht="15" customHeight="1">
      <c r="A259" t="inlineStr">
        <is>
          <t>A 60548-2024</t>
        </is>
      </c>
      <c r="B259" s="1" t="n">
        <v>45643.80978009259</v>
      </c>
      <c r="C259" s="1" t="n">
        <v>46017</v>
      </c>
      <c r="D259" t="inlineStr">
        <is>
          <t>VÄSTMANLANDS LÄN</t>
        </is>
      </c>
      <c r="E259" t="inlineStr">
        <is>
          <t>SALA</t>
        </is>
      </c>
      <c r="G259" t="n">
        <v>1.6</v>
      </c>
      <c r="H259" t="n">
        <v>0</v>
      </c>
      <c r="I259" t="n">
        <v>0</v>
      </c>
      <c r="J259" t="n">
        <v>0</v>
      </c>
      <c r="K259" t="n">
        <v>0</v>
      </c>
      <c r="L259" t="n">
        <v>0</v>
      </c>
      <c r="M259" t="n">
        <v>0</v>
      </c>
      <c r="N259" t="n">
        <v>0</v>
      </c>
      <c r="O259" t="n">
        <v>0</v>
      </c>
      <c r="P259" t="n">
        <v>0</v>
      </c>
      <c r="Q259" t="n">
        <v>0</v>
      </c>
      <c r="R259" s="2" t="inlineStr"/>
    </row>
    <row r="260" ht="15" customHeight="1">
      <c r="A260" t="inlineStr">
        <is>
          <t>A 30971-2022</t>
        </is>
      </c>
      <c r="B260" s="1" t="n">
        <v>44768.46725694444</v>
      </c>
      <c r="C260" s="1" t="n">
        <v>46017</v>
      </c>
      <c r="D260" t="inlineStr">
        <is>
          <t>VÄSTMANLANDS LÄN</t>
        </is>
      </c>
      <c r="E260" t="inlineStr">
        <is>
          <t>SALA</t>
        </is>
      </c>
      <c r="G260" t="n">
        <v>2.4</v>
      </c>
      <c r="H260" t="n">
        <v>0</v>
      </c>
      <c r="I260" t="n">
        <v>0</v>
      </c>
      <c r="J260" t="n">
        <v>0</v>
      </c>
      <c r="K260" t="n">
        <v>0</v>
      </c>
      <c r="L260" t="n">
        <v>0</v>
      </c>
      <c r="M260" t="n">
        <v>0</v>
      </c>
      <c r="N260" t="n">
        <v>0</v>
      </c>
      <c r="O260" t="n">
        <v>0</v>
      </c>
      <c r="P260" t="n">
        <v>0</v>
      </c>
      <c r="Q260" t="n">
        <v>0</v>
      </c>
      <c r="R260" s="2" t="inlineStr"/>
    </row>
    <row r="261" ht="15" customHeight="1">
      <c r="A261" t="inlineStr">
        <is>
          <t>A 36393-2023</t>
        </is>
      </c>
      <c r="B261" s="1" t="n">
        <v>45152</v>
      </c>
      <c r="C261" s="1" t="n">
        <v>46017</v>
      </c>
      <c r="D261" t="inlineStr">
        <is>
          <t>VÄSTMANLANDS LÄN</t>
        </is>
      </c>
      <c r="E261" t="inlineStr">
        <is>
          <t>SALA</t>
        </is>
      </c>
      <c r="G261" t="n">
        <v>0.9</v>
      </c>
      <c r="H261" t="n">
        <v>0</v>
      </c>
      <c r="I261" t="n">
        <v>0</v>
      </c>
      <c r="J261" t="n">
        <v>0</v>
      </c>
      <c r="K261" t="n">
        <v>0</v>
      </c>
      <c r="L261" t="n">
        <v>0</v>
      </c>
      <c r="M261" t="n">
        <v>0</v>
      </c>
      <c r="N261" t="n">
        <v>0</v>
      </c>
      <c r="O261" t="n">
        <v>0</v>
      </c>
      <c r="P261" t="n">
        <v>0</v>
      </c>
      <c r="Q261" t="n">
        <v>0</v>
      </c>
      <c r="R261" s="2" t="inlineStr"/>
    </row>
    <row r="262" ht="15" customHeight="1">
      <c r="A262" t="inlineStr">
        <is>
          <t>A 45790-2023</t>
        </is>
      </c>
      <c r="B262" s="1" t="n">
        <v>45195.45958333334</v>
      </c>
      <c r="C262" s="1" t="n">
        <v>46017</v>
      </c>
      <c r="D262" t="inlineStr">
        <is>
          <t>VÄSTMANLANDS LÄN</t>
        </is>
      </c>
      <c r="E262" t="inlineStr">
        <is>
          <t>SALA</t>
        </is>
      </c>
      <c r="G262" t="n">
        <v>5.7</v>
      </c>
      <c r="H262" t="n">
        <v>0</v>
      </c>
      <c r="I262" t="n">
        <v>0</v>
      </c>
      <c r="J262" t="n">
        <v>0</v>
      </c>
      <c r="K262" t="n">
        <v>0</v>
      </c>
      <c r="L262" t="n">
        <v>0</v>
      </c>
      <c r="M262" t="n">
        <v>0</v>
      </c>
      <c r="N262" t="n">
        <v>0</v>
      </c>
      <c r="O262" t="n">
        <v>0</v>
      </c>
      <c r="P262" t="n">
        <v>0</v>
      </c>
      <c r="Q262" t="n">
        <v>0</v>
      </c>
      <c r="R262" s="2" t="inlineStr"/>
    </row>
    <row r="263" ht="15" customHeight="1">
      <c r="A263" t="inlineStr">
        <is>
          <t>A 10255-2024</t>
        </is>
      </c>
      <c r="B263" s="1" t="n">
        <v>45365</v>
      </c>
      <c r="C263" s="1" t="n">
        <v>46017</v>
      </c>
      <c r="D263" t="inlineStr">
        <is>
          <t>VÄSTMANLANDS LÄN</t>
        </is>
      </c>
      <c r="E263" t="inlineStr">
        <is>
          <t>SALA</t>
        </is>
      </c>
      <c r="F263" t="inlineStr">
        <is>
          <t>Kommuner</t>
        </is>
      </c>
      <c r="G263" t="n">
        <v>0.8</v>
      </c>
      <c r="H263" t="n">
        <v>0</v>
      </c>
      <c r="I263" t="n">
        <v>0</v>
      </c>
      <c r="J263" t="n">
        <v>0</v>
      </c>
      <c r="K263" t="n">
        <v>0</v>
      </c>
      <c r="L263" t="n">
        <v>0</v>
      </c>
      <c r="M263" t="n">
        <v>0</v>
      </c>
      <c r="N263" t="n">
        <v>0</v>
      </c>
      <c r="O263" t="n">
        <v>0</v>
      </c>
      <c r="P263" t="n">
        <v>0</v>
      </c>
      <c r="Q263" t="n">
        <v>0</v>
      </c>
      <c r="R263" s="2" t="inlineStr"/>
    </row>
    <row r="264" ht="15" customHeight="1">
      <c r="A264" t="inlineStr">
        <is>
          <t>A 56949-2023</t>
        </is>
      </c>
      <c r="B264" s="1" t="n">
        <v>45244.61589120371</v>
      </c>
      <c r="C264" s="1" t="n">
        <v>46017</v>
      </c>
      <c r="D264" t="inlineStr">
        <is>
          <t>VÄSTMANLANDS LÄN</t>
        </is>
      </c>
      <c r="E264" t="inlineStr">
        <is>
          <t>SALA</t>
        </is>
      </c>
      <c r="G264" t="n">
        <v>4.7</v>
      </c>
      <c r="H264" t="n">
        <v>0</v>
      </c>
      <c r="I264" t="n">
        <v>0</v>
      </c>
      <c r="J264" t="n">
        <v>0</v>
      </c>
      <c r="K264" t="n">
        <v>0</v>
      </c>
      <c r="L264" t="n">
        <v>0</v>
      </c>
      <c r="M264" t="n">
        <v>0</v>
      </c>
      <c r="N264" t="n">
        <v>0</v>
      </c>
      <c r="O264" t="n">
        <v>0</v>
      </c>
      <c r="P264" t="n">
        <v>0</v>
      </c>
      <c r="Q264" t="n">
        <v>0</v>
      </c>
      <c r="R264" s="2" t="inlineStr"/>
    </row>
    <row r="265" ht="15" customHeight="1">
      <c r="A265" t="inlineStr">
        <is>
          <t>A 40214-2023</t>
        </is>
      </c>
      <c r="B265" s="1" t="n">
        <v>45169.45173611111</v>
      </c>
      <c r="C265" s="1" t="n">
        <v>46017</v>
      </c>
      <c r="D265" t="inlineStr">
        <is>
          <t>VÄSTMANLANDS LÄN</t>
        </is>
      </c>
      <c r="E265" t="inlineStr">
        <is>
          <t>SALA</t>
        </is>
      </c>
      <c r="G265" t="n">
        <v>5.5</v>
      </c>
      <c r="H265" t="n">
        <v>0</v>
      </c>
      <c r="I265" t="n">
        <v>0</v>
      </c>
      <c r="J265" t="n">
        <v>0</v>
      </c>
      <c r="K265" t="n">
        <v>0</v>
      </c>
      <c r="L265" t="n">
        <v>0</v>
      </c>
      <c r="M265" t="n">
        <v>0</v>
      </c>
      <c r="N265" t="n">
        <v>0</v>
      </c>
      <c r="O265" t="n">
        <v>0</v>
      </c>
      <c r="P265" t="n">
        <v>0</v>
      </c>
      <c r="Q265" t="n">
        <v>0</v>
      </c>
      <c r="R265" s="2" t="inlineStr"/>
    </row>
    <row r="266" ht="15" customHeight="1">
      <c r="A266" t="inlineStr">
        <is>
          <t>A 2900-2023</t>
        </is>
      </c>
      <c r="B266" s="1" t="n">
        <v>44943</v>
      </c>
      <c r="C266" s="1" t="n">
        <v>46017</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35016-2024</t>
        </is>
      </c>
      <c r="B267" s="1" t="n">
        <v>45527.59115740741</v>
      </c>
      <c r="C267" s="1" t="n">
        <v>46017</v>
      </c>
      <c r="D267" t="inlineStr">
        <is>
          <t>VÄSTMANLANDS LÄN</t>
        </is>
      </c>
      <c r="E267" t="inlineStr">
        <is>
          <t>SALA</t>
        </is>
      </c>
      <c r="G267" t="n">
        <v>0.4</v>
      </c>
      <c r="H267" t="n">
        <v>0</v>
      </c>
      <c r="I267" t="n">
        <v>0</v>
      </c>
      <c r="J267" t="n">
        <v>0</v>
      </c>
      <c r="K267" t="n">
        <v>0</v>
      </c>
      <c r="L267" t="n">
        <v>0</v>
      </c>
      <c r="M267" t="n">
        <v>0</v>
      </c>
      <c r="N267" t="n">
        <v>0</v>
      </c>
      <c r="O267" t="n">
        <v>0</v>
      </c>
      <c r="P267" t="n">
        <v>0</v>
      </c>
      <c r="Q267" t="n">
        <v>0</v>
      </c>
      <c r="R267" s="2" t="inlineStr"/>
    </row>
    <row r="268" ht="15" customHeight="1">
      <c r="A268" t="inlineStr">
        <is>
          <t>A 60730-2023</t>
        </is>
      </c>
      <c r="B268" s="1" t="n">
        <v>45260</v>
      </c>
      <c r="C268" s="1" t="n">
        <v>46017</v>
      </c>
      <c r="D268" t="inlineStr">
        <is>
          <t>VÄSTMANLANDS LÄN</t>
        </is>
      </c>
      <c r="E268" t="inlineStr">
        <is>
          <t>SALA</t>
        </is>
      </c>
      <c r="G268" t="n">
        <v>1.3</v>
      </c>
      <c r="H268" t="n">
        <v>0</v>
      </c>
      <c r="I268" t="n">
        <v>0</v>
      </c>
      <c r="J268" t="n">
        <v>0</v>
      </c>
      <c r="K268" t="n">
        <v>0</v>
      </c>
      <c r="L268" t="n">
        <v>0</v>
      </c>
      <c r="M268" t="n">
        <v>0</v>
      </c>
      <c r="N268" t="n">
        <v>0</v>
      </c>
      <c r="O268" t="n">
        <v>0</v>
      </c>
      <c r="P268" t="n">
        <v>0</v>
      </c>
      <c r="Q268" t="n">
        <v>0</v>
      </c>
      <c r="R268" s="2" t="inlineStr"/>
    </row>
    <row r="269" ht="15" customHeight="1">
      <c r="A269" t="inlineStr">
        <is>
          <t>A 60731-2023</t>
        </is>
      </c>
      <c r="B269" s="1" t="n">
        <v>45260</v>
      </c>
      <c r="C269" s="1" t="n">
        <v>46017</v>
      </c>
      <c r="D269" t="inlineStr">
        <is>
          <t>VÄSTMANLANDS LÄN</t>
        </is>
      </c>
      <c r="E269" t="inlineStr">
        <is>
          <t>SALA</t>
        </is>
      </c>
      <c r="G269" t="n">
        <v>1</v>
      </c>
      <c r="H269" t="n">
        <v>0</v>
      </c>
      <c r="I269" t="n">
        <v>0</v>
      </c>
      <c r="J269" t="n">
        <v>0</v>
      </c>
      <c r="K269" t="n">
        <v>0</v>
      </c>
      <c r="L269" t="n">
        <v>0</v>
      </c>
      <c r="M269" t="n">
        <v>0</v>
      </c>
      <c r="N269" t="n">
        <v>0</v>
      </c>
      <c r="O269" t="n">
        <v>0</v>
      </c>
      <c r="P269" t="n">
        <v>0</v>
      </c>
      <c r="Q269" t="n">
        <v>0</v>
      </c>
      <c r="R269" s="2" t="inlineStr"/>
    </row>
    <row r="270" ht="15" customHeight="1">
      <c r="A270" t="inlineStr">
        <is>
          <t>A 37612-2024</t>
        </is>
      </c>
      <c r="B270" s="1" t="n">
        <v>45541</v>
      </c>
      <c r="C270" s="1" t="n">
        <v>46017</v>
      </c>
      <c r="D270" t="inlineStr">
        <is>
          <t>VÄSTMANLANDS LÄN</t>
        </is>
      </c>
      <c r="E270" t="inlineStr">
        <is>
          <t>SALA</t>
        </is>
      </c>
      <c r="G270" t="n">
        <v>2.2</v>
      </c>
      <c r="H270" t="n">
        <v>0</v>
      </c>
      <c r="I270" t="n">
        <v>0</v>
      </c>
      <c r="J270" t="n">
        <v>0</v>
      </c>
      <c r="K270" t="n">
        <v>0</v>
      </c>
      <c r="L270" t="n">
        <v>0</v>
      </c>
      <c r="M270" t="n">
        <v>0</v>
      </c>
      <c r="N270" t="n">
        <v>0</v>
      </c>
      <c r="O270" t="n">
        <v>0</v>
      </c>
      <c r="P270" t="n">
        <v>0</v>
      </c>
      <c r="Q270" t="n">
        <v>0</v>
      </c>
      <c r="R270" s="2" t="inlineStr"/>
    </row>
    <row r="271" ht="15" customHeight="1">
      <c r="A271" t="inlineStr">
        <is>
          <t>A 37615-2024</t>
        </is>
      </c>
      <c r="B271" s="1" t="n">
        <v>45541.50673611111</v>
      </c>
      <c r="C271" s="1" t="n">
        <v>46017</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5728-2022</t>
        </is>
      </c>
      <c r="B272" s="1" t="n">
        <v>44596.42082175926</v>
      </c>
      <c r="C272" s="1" t="n">
        <v>46017</v>
      </c>
      <c r="D272" t="inlineStr">
        <is>
          <t>VÄSTMANLANDS LÄN</t>
        </is>
      </c>
      <c r="E272" t="inlineStr">
        <is>
          <t>SALA</t>
        </is>
      </c>
      <c r="G272" t="n">
        <v>1.7</v>
      </c>
      <c r="H272" t="n">
        <v>0</v>
      </c>
      <c r="I272" t="n">
        <v>0</v>
      </c>
      <c r="J272" t="n">
        <v>0</v>
      </c>
      <c r="K272" t="n">
        <v>0</v>
      </c>
      <c r="L272" t="n">
        <v>0</v>
      </c>
      <c r="M272" t="n">
        <v>0</v>
      </c>
      <c r="N272" t="n">
        <v>0</v>
      </c>
      <c r="O272" t="n">
        <v>0</v>
      </c>
      <c r="P272" t="n">
        <v>0</v>
      </c>
      <c r="Q272" t="n">
        <v>0</v>
      </c>
      <c r="R272" s="2" t="inlineStr"/>
    </row>
    <row r="273" ht="15" customHeight="1">
      <c r="A273" t="inlineStr">
        <is>
          <t>A 57895-2024</t>
        </is>
      </c>
      <c r="B273" s="1" t="n">
        <v>45631</v>
      </c>
      <c r="C273" s="1" t="n">
        <v>46017</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7681-2021</t>
        </is>
      </c>
      <c r="B274" s="1" t="n">
        <v>44242</v>
      </c>
      <c r="C274" s="1" t="n">
        <v>46017</v>
      </c>
      <c r="D274" t="inlineStr">
        <is>
          <t>VÄSTMANLANDS LÄN</t>
        </is>
      </c>
      <c r="E274" t="inlineStr">
        <is>
          <t>SALA</t>
        </is>
      </c>
      <c r="F274" t="inlineStr">
        <is>
          <t>Sveaskog</t>
        </is>
      </c>
      <c r="G274" t="n">
        <v>16.1</v>
      </c>
      <c r="H274" t="n">
        <v>0</v>
      </c>
      <c r="I274" t="n">
        <v>0</v>
      </c>
      <c r="J274" t="n">
        <v>0</v>
      </c>
      <c r="K274" t="n">
        <v>0</v>
      </c>
      <c r="L274" t="n">
        <v>0</v>
      </c>
      <c r="M274" t="n">
        <v>0</v>
      </c>
      <c r="N274" t="n">
        <v>0</v>
      </c>
      <c r="O274" t="n">
        <v>0</v>
      </c>
      <c r="P274" t="n">
        <v>0</v>
      </c>
      <c r="Q274" t="n">
        <v>0</v>
      </c>
      <c r="R274" s="2" t="inlineStr"/>
    </row>
    <row r="275" ht="15" customHeight="1">
      <c r="A275" t="inlineStr">
        <is>
          <t>A 31597-2024</t>
        </is>
      </c>
      <c r="B275" s="1" t="n">
        <v>45506</v>
      </c>
      <c r="C275" s="1" t="n">
        <v>46017</v>
      </c>
      <c r="D275" t="inlineStr">
        <is>
          <t>VÄSTMANLANDS LÄN</t>
        </is>
      </c>
      <c r="E275" t="inlineStr">
        <is>
          <t>SALA</t>
        </is>
      </c>
      <c r="G275" t="n">
        <v>2.4</v>
      </c>
      <c r="H275" t="n">
        <v>0</v>
      </c>
      <c r="I275" t="n">
        <v>0</v>
      </c>
      <c r="J275" t="n">
        <v>0</v>
      </c>
      <c r="K275" t="n">
        <v>0</v>
      </c>
      <c r="L275" t="n">
        <v>0</v>
      </c>
      <c r="M275" t="n">
        <v>0</v>
      </c>
      <c r="N275" t="n">
        <v>0</v>
      </c>
      <c r="O275" t="n">
        <v>0</v>
      </c>
      <c r="P275" t="n">
        <v>0</v>
      </c>
      <c r="Q275" t="n">
        <v>0</v>
      </c>
      <c r="R275" s="2" t="inlineStr"/>
    </row>
    <row r="276" ht="15" customHeight="1">
      <c r="A276" t="inlineStr">
        <is>
          <t>A 17458-2024</t>
        </is>
      </c>
      <c r="B276" s="1" t="n">
        <v>45415</v>
      </c>
      <c r="C276" s="1" t="n">
        <v>46017</v>
      </c>
      <c r="D276" t="inlineStr">
        <is>
          <t>VÄSTMANLANDS LÄN</t>
        </is>
      </c>
      <c r="E276" t="inlineStr">
        <is>
          <t>SALA</t>
        </is>
      </c>
      <c r="G276" t="n">
        <v>0.5</v>
      </c>
      <c r="H276" t="n">
        <v>0</v>
      </c>
      <c r="I276" t="n">
        <v>0</v>
      </c>
      <c r="J276" t="n">
        <v>0</v>
      </c>
      <c r="K276" t="n">
        <v>0</v>
      </c>
      <c r="L276" t="n">
        <v>0</v>
      </c>
      <c r="M276" t="n">
        <v>0</v>
      </c>
      <c r="N276" t="n">
        <v>0</v>
      </c>
      <c r="O276" t="n">
        <v>0</v>
      </c>
      <c r="P276" t="n">
        <v>0</v>
      </c>
      <c r="Q276" t="n">
        <v>0</v>
      </c>
      <c r="R276" s="2" t="inlineStr"/>
    </row>
    <row r="277" ht="15" customHeight="1">
      <c r="A277" t="inlineStr">
        <is>
          <t>A 56543-2024</t>
        </is>
      </c>
      <c r="B277" s="1" t="n">
        <v>45625</v>
      </c>
      <c r="C277" s="1" t="n">
        <v>46017</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19751-2022</t>
        </is>
      </c>
      <c r="B278" s="1" t="n">
        <v>44694</v>
      </c>
      <c r="C278" s="1" t="n">
        <v>46017</v>
      </c>
      <c r="D278" t="inlineStr">
        <is>
          <t>VÄSTMANLANDS LÄN</t>
        </is>
      </c>
      <c r="E278" t="inlineStr">
        <is>
          <t>SALA</t>
        </is>
      </c>
      <c r="G278" t="n">
        <v>2.7</v>
      </c>
      <c r="H278" t="n">
        <v>0</v>
      </c>
      <c r="I278" t="n">
        <v>0</v>
      </c>
      <c r="J278" t="n">
        <v>0</v>
      </c>
      <c r="K278" t="n">
        <v>0</v>
      </c>
      <c r="L278" t="n">
        <v>0</v>
      </c>
      <c r="M278" t="n">
        <v>0</v>
      </c>
      <c r="N278" t="n">
        <v>0</v>
      </c>
      <c r="O278" t="n">
        <v>0</v>
      </c>
      <c r="P278" t="n">
        <v>0</v>
      </c>
      <c r="Q278" t="n">
        <v>0</v>
      </c>
      <c r="R278" s="2" t="inlineStr"/>
    </row>
    <row r="279" ht="15" customHeight="1">
      <c r="A279" t="inlineStr">
        <is>
          <t>A 28661-2024</t>
        </is>
      </c>
      <c r="B279" s="1" t="n">
        <v>45478</v>
      </c>
      <c r="C279" s="1" t="n">
        <v>46017</v>
      </c>
      <c r="D279" t="inlineStr">
        <is>
          <t>VÄSTMANLANDS LÄN</t>
        </is>
      </c>
      <c r="E279" t="inlineStr">
        <is>
          <t>SALA</t>
        </is>
      </c>
      <c r="G279" t="n">
        <v>0.6</v>
      </c>
      <c r="H279" t="n">
        <v>0</v>
      </c>
      <c r="I279" t="n">
        <v>0</v>
      </c>
      <c r="J279" t="n">
        <v>0</v>
      </c>
      <c r="K279" t="n">
        <v>0</v>
      </c>
      <c r="L279" t="n">
        <v>0</v>
      </c>
      <c r="M279" t="n">
        <v>0</v>
      </c>
      <c r="N279" t="n">
        <v>0</v>
      </c>
      <c r="O279" t="n">
        <v>0</v>
      </c>
      <c r="P279" t="n">
        <v>0</v>
      </c>
      <c r="Q279" t="n">
        <v>0</v>
      </c>
      <c r="R279" s="2" t="inlineStr"/>
    </row>
    <row r="280" ht="15" customHeight="1">
      <c r="A280" t="inlineStr">
        <is>
          <t>A 2529-2022</t>
        </is>
      </c>
      <c r="B280" s="1" t="n">
        <v>44579.86452546297</v>
      </c>
      <c r="C280" s="1" t="n">
        <v>46017</v>
      </c>
      <c r="D280" t="inlineStr">
        <is>
          <t>VÄSTMANLANDS LÄN</t>
        </is>
      </c>
      <c r="E280" t="inlineStr">
        <is>
          <t>SALA</t>
        </is>
      </c>
      <c r="G280" t="n">
        <v>1.7</v>
      </c>
      <c r="H280" t="n">
        <v>0</v>
      </c>
      <c r="I280" t="n">
        <v>0</v>
      </c>
      <c r="J280" t="n">
        <v>0</v>
      </c>
      <c r="K280" t="n">
        <v>0</v>
      </c>
      <c r="L280" t="n">
        <v>0</v>
      </c>
      <c r="M280" t="n">
        <v>0</v>
      </c>
      <c r="N280" t="n">
        <v>0</v>
      </c>
      <c r="O280" t="n">
        <v>0</v>
      </c>
      <c r="P280" t="n">
        <v>0</v>
      </c>
      <c r="Q280" t="n">
        <v>0</v>
      </c>
      <c r="R280" s="2" t="inlineStr"/>
    </row>
    <row r="281" ht="15" customHeight="1">
      <c r="A281" t="inlineStr">
        <is>
          <t>A 56540-2024</t>
        </is>
      </c>
      <c r="B281" s="1" t="n">
        <v>45625</v>
      </c>
      <c r="C281" s="1" t="n">
        <v>46017</v>
      </c>
      <c r="D281" t="inlineStr">
        <is>
          <t>VÄSTMANLANDS LÄN</t>
        </is>
      </c>
      <c r="E281" t="inlineStr">
        <is>
          <t>SALA</t>
        </is>
      </c>
      <c r="G281" t="n">
        <v>1.8</v>
      </c>
      <c r="H281" t="n">
        <v>0</v>
      </c>
      <c r="I281" t="n">
        <v>0</v>
      </c>
      <c r="J281" t="n">
        <v>0</v>
      </c>
      <c r="K281" t="n">
        <v>0</v>
      </c>
      <c r="L281" t="n">
        <v>0</v>
      </c>
      <c r="M281" t="n">
        <v>0</v>
      </c>
      <c r="N281" t="n">
        <v>0</v>
      </c>
      <c r="O281" t="n">
        <v>0</v>
      </c>
      <c r="P281" t="n">
        <v>0</v>
      </c>
      <c r="Q281" t="n">
        <v>0</v>
      </c>
      <c r="R281" s="2" t="inlineStr"/>
    </row>
    <row r="282" ht="15" customHeight="1">
      <c r="A282" t="inlineStr">
        <is>
          <t>A 35976-2024</t>
        </is>
      </c>
      <c r="B282" s="1" t="n">
        <v>45533.49555555556</v>
      </c>
      <c r="C282" s="1" t="n">
        <v>46017</v>
      </c>
      <c r="D282" t="inlineStr">
        <is>
          <t>VÄSTMANLANDS LÄN</t>
        </is>
      </c>
      <c r="E282" t="inlineStr">
        <is>
          <t>SALA</t>
        </is>
      </c>
      <c r="G282" t="n">
        <v>2.3</v>
      </c>
      <c r="H282" t="n">
        <v>0</v>
      </c>
      <c r="I282" t="n">
        <v>0</v>
      </c>
      <c r="J282" t="n">
        <v>0</v>
      </c>
      <c r="K282" t="n">
        <v>0</v>
      </c>
      <c r="L282" t="n">
        <v>0</v>
      </c>
      <c r="M282" t="n">
        <v>0</v>
      </c>
      <c r="N282" t="n">
        <v>0</v>
      </c>
      <c r="O282" t="n">
        <v>0</v>
      </c>
      <c r="P282" t="n">
        <v>0</v>
      </c>
      <c r="Q282" t="n">
        <v>0</v>
      </c>
      <c r="R282" s="2" t="inlineStr"/>
    </row>
    <row r="283" ht="15" customHeight="1">
      <c r="A283" t="inlineStr">
        <is>
          <t>A 31599-2024</t>
        </is>
      </c>
      <c r="B283" s="1" t="n">
        <v>45506</v>
      </c>
      <c r="C283" s="1" t="n">
        <v>46017</v>
      </c>
      <c r="D283" t="inlineStr">
        <is>
          <t>VÄSTMANLANDS LÄN</t>
        </is>
      </c>
      <c r="E283" t="inlineStr">
        <is>
          <t>SALA</t>
        </is>
      </c>
      <c r="G283" t="n">
        <v>0.9</v>
      </c>
      <c r="H283" t="n">
        <v>0</v>
      </c>
      <c r="I283" t="n">
        <v>0</v>
      </c>
      <c r="J283" t="n">
        <v>0</v>
      </c>
      <c r="K283" t="n">
        <v>0</v>
      </c>
      <c r="L283" t="n">
        <v>0</v>
      </c>
      <c r="M283" t="n">
        <v>0</v>
      </c>
      <c r="N283" t="n">
        <v>0</v>
      </c>
      <c r="O283" t="n">
        <v>0</v>
      </c>
      <c r="P283" t="n">
        <v>0</v>
      </c>
      <c r="Q283" t="n">
        <v>0</v>
      </c>
      <c r="R283" s="2" t="inlineStr"/>
    </row>
    <row r="284" ht="15" customHeight="1">
      <c r="A284" t="inlineStr">
        <is>
          <t>A 31601-2024</t>
        </is>
      </c>
      <c r="B284" s="1" t="n">
        <v>45506</v>
      </c>
      <c r="C284" s="1" t="n">
        <v>46017</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31608-2024</t>
        </is>
      </c>
      <c r="B285" s="1" t="n">
        <v>45506</v>
      </c>
      <c r="C285" s="1" t="n">
        <v>46017</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31612-2024</t>
        </is>
      </c>
      <c r="B286" s="1" t="n">
        <v>45506</v>
      </c>
      <c r="C286" s="1" t="n">
        <v>46017</v>
      </c>
      <c r="D286" t="inlineStr">
        <is>
          <t>VÄSTMANLANDS LÄN</t>
        </is>
      </c>
      <c r="E286" t="inlineStr">
        <is>
          <t>SALA</t>
        </is>
      </c>
      <c r="G286" t="n">
        <v>3.2</v>
      </c>
      <c r="H286" t="n">
        <v>0</v>
      </c>
      <c r="I286" t="n">
        <v>0</v>
      </c>
      <c r="J286" t="n">
        <v>0</v>
      </c>
      <c r="K286" t="n">
        <v>0</v>
      </c>
      <c r="L286" t="n">
        <v>0</v>
      </c>
      <c r="M286" t="n">
        <v>0</v>
      </c>
      <c r="N286" t="n">
        <v>0</v>
      </c>
      <c r="O286" t="n">
        <v>0</v>
      </c>
      <c r="P286" t="n">
        <v>0</v>
      </c>
      <c r="Q286" t="n">
        <v>0</v>
      </c>
      <c r="R286" s="2" t="inlineStr"/>
    </row>
    <row r="287" ht="15" customHeight="1">
      <c r="A287" t="inlineStr">
        <is>
          <t>A 10579-2022</t>
        </is>
      </c>
      <c r="B287" s="1" t="n">
        <v>44624</v>
      </c>
      <c r="C287" s="1" t="n">
        <v>46017</v>
      </c>
      <c r="D287" t="inlineStr">
        <is>
          <t>VÄSTMANLANDS LÄN</t>
        </is>
      </c>
      <c r="E287" t="inlineStr">
        <is>
          <t>SALA</t>
        </is>
      </c>
      <c r="G287" t="n">
        <v>1</v>
      </c>
      <c r="H287" t="n">
        <v>0</v>
      </c>
      <c r="I287" t="n">
        <v>0</v>
      </c>
      <c r="J287" t="n">
        <v>0</v>
      </c>
      <c r="K287" t="n">
        <v>0</v>
      </c>
      <c r="L287" t="n">
        <v>0</v>
      </c>
      <c r="M287" t="n">
        <v>0</v>
      </c>
      <c r="N287" t="n">
        <v>0</v>
      </c>
      <c r="O287" t="n">
        <v>0</v>
      </c>
      <c r="P287" t="n">
        <v>0</v>
      </c>
      <c r="Q287" t="n">
        <v>0</v>
      </c>
      <c r="R287" s="2" t="inlineStr"/>
    </row>
    <row r="288" ht="15" customHeight="1">
      <c r="A288" t="inlineStr">
        <is>
          <t>A 64693-2023</t>
        </is>
      </c>
      <c r="B288" s="1" t="n">
        <v>45281.63850694444</v>
      </c>
      <c r="C288" s="1" t="n">
        <v>46017</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64695-2023</t>
        </is>
      </c>
      <c r="B289" s="1" t="n">
        <v>45281.64099537037</v>
      </c>
      <c r="C289" s="1" t="n">
        <v>46017</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6312-2025</t>
        </is>
      </c>
      <c r="B290" s="1" t="n">
        <v>45698</v>
      </c>
      <c r="C290" s="1" t="n">
        <v>46017</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55035-2023</t>
        </is>
      </c>
      <c r="B291" s="1" t="n">
        <v>45229</v>
      </c>
      <c r="C291" s="1" t="n">
        <v>46017</v>
      </c>
      <c r="D291" t="inlineStr">
        <is>
          <t>VÄSTMANLANDS LÄN</t>
        </is>
      </c>
      <c r="E291" t="inlineStr">
        <is>
          <t>SALA</t>
        </is>
      </c>
      <c r="G291" t="n">
        <v>1.1</v>
      </c>
      <c r="H291" t="n">
        <v>0</v>
      </c>
      <c r="I291" t="n">
        <v>0</v>
      </c>
      <c r="J291" t="n">
        <v>0</v>
      </c>
      <c r="K291" t="n">
        <v>0</v>
      </c>
      <c r="L291" t="n">
        <v>0</v>
      </c>
      <c r="M291" t="n">
        <v>0</v>
      </c>
      <c r="N291" t="n">
        <v>0</v>
      </c>
      <c r="O291" t="n">
        <v>0</v>
      </c>
      <c r="P291" t="n">
        <v>0</v>
      </c>
      <c r="Q291" t="n">
        <v>0</v>
      </c>
      <c r="R291" s="2" t="inlineStr"/>
    </row>
    <row r="292" ht="15" customHeight="1">
      <c r="A292" t="inlineStr">
        <is>
          <t>A 4736-2021</t>
        </is>
      </c>
      <c r="B292" s="1" t="n">
        <v>44225</v>
      </c>
      <c r="C292" s="1" t="n">
        <v>46017</v>
      </c>
      <c r="D292" t="inlineStr">
        <is>
          <t>VÄSTMANLANDS LÄN</t>
        </is>
      </c>
      <c r="E292" t="inlineStr">
        <is>
          <t>SALA</t>
        </is>
      </c>
      <c r="G292" t="n">
        <v>4.2</v>
      </c>
      <c r="H292" t="n">
        <v>0</v>
      </c>
      <c r="I292" t="n">
        <v>0</v>
      </c>
      <c r="J292" t="n">
        <v>0</v>
      </c>
      <c r="K292" t="n">
        <v>0</v>
      </c>
      <c r="L292" t="n">
        <v>0</v>
      </c>
      <c r="M292" t="n">
        <v>0</v>
      </c>
      <c r="N292" t="n">
        <v>0</v>
      </c>
      <c r="O292" t="n">
        <v>0</v>
      </c>
      <c r="P292" t="n">
        <v>0</v>
      </c>
      <c r="Q292" t="n">
        <v>0</v>
      </c>
      <c r="R292" s="2" t="inlineStr"/>
    </row>
    <row r="293" ht="15" customHeight="1">
      <c r="A293" t="inlineStr">
        <is>
          <t>A 71471-2021</t>
        </is>
      </c>
      <c r="B293" s="1" t="n">
        <v>44540.53421296296</v>
      </c>
      <c r="C293" s="1" t="n">
        <v>46017</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8775-2024</t>
        </is>
      </c>
      <c r="B294" s="1" t="n">
        <v>45356</v>
      </c>
      <c r="C294" s="1" t="n">
        <v>46017</v>
      </c>
      <c r="D294" t="inlineStr">
        <is>
          <t>VÄSTMANLANDS LÄN</t>
        </is>
      </c>
      <c r="E294" t="inlineStr">
        <is>
          <t>SALA</t>
        </is>
      </c>
      <c r="G294" t="n">
        <v>0.6</v>
      </c>
      <c r="H294" t="n">
        <v>0</v>
      </c>
      <c r="I294" t="n">
        <v>0</v>
      </c>
      <c r="J294" t="n">
        <v>0</v>
      </c>
      <c r="K294" t="n">
        <v>0</v>
      </c>
      <c r="L294" t="n">
        <v>0</v>
      </c>
      <c r="M294" t="n">
        <v>0</v>
      </c>
      <c r="N294" t="n">
        <v>0</v>
      </c>
      <c r="O294" t="n">
        <v>0</v>
      </c>
      <c r="P294" t="n">
        <v>0</v>
      </c>
      <c r="Q294" t="n">
        <v>0</v>
      </c>
      <c r="R294" s="2" t="inlineStr"/>
    </row>
    <row r="295" ht="15" customHeight="1">
      <c r="A295" t="inlineStr">
        <is>
          <t>A 52500-2024</t>
        </is>
      </c>
      <c r="B295" s="1" t="n">
        <v>45609</v>
      </c>
      <c r="C295" s="1" t="n">
        <v>46017</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39011-2023</t>
        </is>
      </c>
      <c r="B296" s="1" t="n">
        <v>45162</v>
      </c>
      <c r="C296" s="1" t="n">
        <v>46017</v>
      </c>
      <c r="D296" t="inlineStr">
        <is>
          <t>VÄSTMANLANDS LÄN</t>
        </is>
      </c>
      <c r="E296" t="inlineStr">
        <is>
          <t>SALA</t>
        </is>
      </c>
      <c r="G296" t="n">
        <v>1.6</v>
      </c>
      <c r="H296" t="n">
        <v>0</v>
      </c>
      <c r="I296" t="n">
        <v>0</v>
      </c>
      <c r="J296" t="n">
        <v>0</v>
      </c>
      <c r="K296" t="n">
        <v>0</v>
      </c>
      <c r="L296" t="n">
        <v>0</v>
      </c>
      <c r="M296" t="n">
        <v>0</v>
      </c>
      <c r="N296" t="n">
        <v>0</v>
      </c>
      <c r="O296" t="n">
        <v>0</v>
      </c>
      <c r="P296" t="n">
        <v>0</v>
      </c>
      <c r="Q296" t="n">
        <v>0</v>
      </c>
      <c r="R296" s="2" t="inlineStr"/>
    </row>
    <row r="297" ht="15" customHeight="1">
      <c r="A297" t="inlineStr">
        <is>
          <t>A 55784-2024</t>
        </is>
      </c>
      <c r="B297" s="1" t="n">
        <v>45623</v>
      </c>
      <c r="C297" s="1" t="n">
        <v>46017</v>
      </c>
      <c r="D297" t="inlineStr">
        <is>
          <t>VÄSTMANLANDS LÄN</t>
        </is>
      </c>
      <c r="E297" t="inlineStr">
        <is>
          <t>SALA</t>
        </is>
      </c>
      <c r="F297" t="inlineStr">
        <is>
          <t>Bergvik skog öst AB</t>
        </is>
      </c>
      <c r="G297" t="n">
        <v>28.4</v>
      </c>
      <c r="H297" t="n">
        <v>0</v>
      </c>
      <c r="I297" t="n">
        <v>0</v>
      </c>
      <c r="J297" t="n">
        <v>0</v>
      </c>
      <c r="K297" t="n">
        <v>0</v>
      </c>
      <c r="L297" t="n">
        <v>0</v>
      </c>
      <c r="M297" t="n">
        <v>0</v>
      </c>
      <c r="N297" t="n">
        <v>0</v>
      </c>
      <c r="O297" t="n">
        <v>0</v>
      </c>
      <c r="P297" t="n">
        <v>0</v>
      </c>
      <c r="Q297" t="n">
        <v>0</v>
      </c>
      <c r="R297" s="2" t="inlineStr"/>
    </row>
    <row r="298" ht="15" customHeight="1">
      <c r="A298" t="inlineStr">
        <is>
          <t>A 56547-2022</t>
        </is>
      </c>
      <c r="B298" s="1" t="n">
        <v>44893.48284722222</v>
      </c>
      <c r="C298" s="1" t="n">
        <v>46017</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7950-2025</t>
        </is>
      </c>
      <c r="B299" s="1" t="n">
        <v>45707.41799768519</v>
      </c>
      <c r="C299" s="1" t="n">
        <v>46017</v>
      </c>
      <c r="D299" t="inlineStr">
        <is>
          <t>VÄSTMANLANDS LÄN</t>
        </is>
      </c>
      <c r="E299" t="inlineStr">
        <is>
          <t>SALA</t>
        </is>
      </c>
      <c r="G299" t="n">
        <v>3.2</v>
      </c>
      <c r="H299" t="n">
        <v>0</v>
      </c>
      <c r="I299" t="n">
        <v>0</v>
      </c>
      <c r="J299" t="n">
        <v>0</v>
      </c>
      <c r="K299" t="n">
        <v>0</v>
      </c>
      <c r="L299" t="n">
        <v>0</v>
      </c>
      <c r="M299" t="n">
        <v>0</v>
      </c>
      <c r="N299" t="n">
        <v>0</v>
      </c>
      <c r="O299" t="n">
        <v>0</v>
      </c>
      <c r="P299" t="n">
        <v>0</v>
      </c>
      <c r="Q299" t="n">
        <v>0</v>
      </c>
      <c r="R299" s="2" t="inlineStr"/>
    </row>
    <row r="300" ht="15" customHeight="1">
      <c r="A300" t="inlineStr">
        <is>
          <t>A 29542-2023</t>
        </is>
      </c>
      <c r="B300" s="1" t="n">
        <v>45098</v>
      </c>
      <c r="C300" s="1" t="n">
        <v>46017</v>
      </c>
      <c r="D300" t="inlineStr">
        <is>
          <t>VÄSTMANLANDS LÄN</t>
        </is>
      </c>
      <c r="E300" t="inlineStr">
        <is>
          <t>SALA</t>
        </is>
      </c>
      <c r="G300" t="n">
        <v>4.8</v>
      </c>
      <c r="H300" t="n">
        <v>0</v>
      </c>
      <c r="I300" t="n">
        <v>0</v>
      </c>
      <c r="J300" t="n">
        <v>0</v>
      </c>
      <c r="K300" t="n">
        <v>0</v>
      </c>
      <c r="L300" t="n">
        <v>0</v>
      </c>
      <c r="M300" t="n">
        <v>0</v>
      </c>
      <c r="N300" t="n">
        <v>0</v>
      </c>
      <c r="O300" t="n">
        <v>0</v>
      </c>
      <c r="P300" t="n">
        <v>0</v>
      </c>
      <c r="Q300" t="n">
        <v>0</v>
      </c>
      <c r="R300" s="2" t="inlineStr"/>
    </row>
    <row r="301" ht="15" customHeight="1">
      <c r="A301" t="inlineStr">
        <is>
          <t>A 27038-2023</t>
        </is>
      </c>
      <c r="B301" s="1" t="n">
        <v>45095</v>
      </c>
      <c r="C301" s="1" t="n">
        <v>46017</v>
      </c>
      <c r="D301" t="inlineStr">
        <is>
          <t>VÄSTMANLANDS LÄN</t>
        </is>
      </c>
      <c r="E301" t="inlineStr">
        <is>
          <t>SALA</t>
        </is>
      </c>
      <c r="G301" t="n">
        <v>0.8</v>
      </c>
      <c r="H301" t="n">
        <v>0</v>
      </c>
      <c r="I301" t="n">
        <v>0</v>
      </c>
      <c r="J301" t="n">
        <v>0</v>
      </c>
      <c r="K301" t="n">
        <v>0</v>
      </c>
      <c r="L301" t="n">
        <v>0</v>
      </c>
      <c r="M301" t="n">
        <v>0</v>
      </c>
      <c r="N301" t="n">
        <v>0</v>
      </c>
      <c r="O301" t="n">
        <v>0</v>
      </c>
      <c r="P301" t="n">
        <v>0</v>
      </c>
      <c r="Q301" t="n">
        <v>0</v>
      </c>
      <c r="R301" s="2" t="inlineStr"/>
    </row>
    <row r="302" ht="15" customHeight="1">
      <c r="A302" t="inlineStr">
        <is>
          <t>A 10812-2021</t>
        </is>
      </c>
      <c r="B302" s="1" t="n">
        <v>44259</v>
      </c>
      <c r="C302" s="1" t="n">
        <v>46017</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10154-2021</t>
        </is>
      </c>
      <c r="B303" s="1" t="n">
        <v>44256</v>
      </c>
      <c r="C303" s="1" t="n">
        <v>46017</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28696-2023</t>
        </is>
      </c>
      <c r="B304" s="1" t="n">
        <v>45103.71759259259</v>
      </c>
      <c r="C304" s="1" t="n">
        <v>46017</v>
      </c>
      <c r="D304" t="inlineStr">
        <is>
          <t>VÄSTMANLANDS LÄN</t>
        </is>
      </c>
      <c r="E304" t="inlineStr">
        <is>
          <t>SALA</t>
        </is>
      </c>
      <c r="F304" t="inlineStr">
        <is>
          <t>Kommuner</t>
        </is>
      </c>
      <c r="G304" t="n">
        <v>5.9</v>
      </c>
      <c r="H304" t="n">
        <v>0</v>
      </c>
      <c r="I304" t="n">
        <v>0</v>
      </c>
      <c r="J304" t="n">
        <v>0</v>
      </c>
      <c r="K304" t="n">
        <v>0</v>
      </c>
      <c r="L304" t="n">
        <v>0</v>
      </c>
      <c r="M304" t="n">
        <v>0</v>
      </c>
      <c r="N304" t="n">
        <v>0</v>
      </c>
      <c r="O304" t="n">
        <v>0</v>
      </c>
      <c r="P304" t="n">
        <v>0</v>
      </c>
      <c r="Q304" t="n">
        <v>0</v>
      </c>
      <c r="R304" s="2" t="inlineStr"/>
    </row>
    <row r="305" ht="15" customHeight="1">
      <c r="A305" t="inlineStr">
        <is>
          <t>A 16328-2025</t>
        </is>
      </c>
      <c r="B305" s="1" t="n">
        <v>45751</v>
      </c>
      <c r="C305" s="1" t="n">
        <v>46017</v>
      </c>
      <c r="D305" t="inlineStr">
        <is>
          <t>VÄSTMANLANDS LÄN</t>
        </is>
      </c>
      <c r="E305" t="inlineStr">
        <is>
          <t>SALA</t>
        </is>
      </c>
      <c r="G305" t="n">
        <v>2.9</v>
      </c>
      <c r="H305" t="n">
        <v>0</v>
      </c>
      <c r="I305" t="n">
        <v>0</v>
      </c>
      <c r="J305" t="n">
        <v>0</v>
      </c>
      <c r="K305" t="n">
        <v>0</v>
      </c>
      <c r="L305" t="n">
        <v>0</v>
      </c>
      <c r="M305" t="n">
        <v>0</v>
      </c>
      <c r="N305" t="n">
        <v>0</v>
      </c>
      <c r="O305" t="n">
        <v>0</v>
      </c>
      <c r="P305" t="n">
        <v>0</v>
      </c>
      <c r="Q305" t="n">
        <v>0</v>
      </c>
      <c r="R305" s="2" t="inlineStr"/>
    </row>
    <row r="306" ht="15" customHeight="1">
      <c r="A306" t="inlineStr">
        <is>
          <t>A 31072-2021</t>
        </is>
      </c>
      <c r="B306" s="1" t="n">
        <v>44368</v>
      </c>
      <c r="C306" s="1" t="n">
        <v>46017</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17051-2025</t>
        </is>
      </c>
      <c r="B307" s="1" t="n">
        <v>45755</v>
      </c>
      <c r="C307" s="1" t="n">
        <v>46017</v>
      </c>
      <c r="D307" t="inlineStr">
        <is>
          <t>VÄSTMANLANDS LÄN</t>
        </is>
      </c>
      <c r="E307" t="inlineStr">
        <is>
          <t>SALA</t>
        </is>
      </c>
      <c r="G307" t="n">
        <v>2.9</v>
      </c>
      <c r="H307" t="n">
        <v>0</v>
      </c>
      <c r="I307" t="n">
        <v>0</v>
      </c>
      <c r="J307" t="n">
        <v>0</v>
      </c>
      <c r="K307" t="n">
        <v>0</v>
      </c>
      <c r="L307" t="n">
        <v>0</v>
      </c>
      <c r="M307" t="n">
        <v>0</v>
      </c>
      <c r="N307" t="n">
        <v>0</v>
      </c>
      <c r="O307" t="n">
        <v>0</v>
      </c>
      <c r="P307" t="n">
        <v>0</v>
      </c>
      <c r="Q307" t="n">
        <v>0</v>
      </c>
      <c r="R307" s="2" t="inlineStr"/>
    </row>
    <row r="308" ht="15" customHeight="1">
      <c r="A308" t="inlineStr">
        <is>
          <t>A 16543-2023</t>
        </is>
      </c>
      <c r="B308" s="1" t="n">
        <v>45029</v>
      </c>
      <c r="C308" s="1" t="n">
        <v>46017</v>
      </c>
      <c r="D308" t="inlineStr">
        <is>
          <t>VÄSTMANLANDS LÄN</t>
        </is>
      </c>
      <c r="E308" t="inlineStr">
        <is>
          <t>SALA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31609-2024</t>
        </is>
      </c>
      <c r="B309" s="1" t="n">
        <v>45506</v>
      </c>
      <c r="C309" s="1" t="n">
        <v>46017</v>
      </c>
      <c r="D309" t="inlineStr">
        <is>
          <t>VÄSTMANLANDS LÄN</t>
        </is>
      </c>
      <c r="E309" t="inlineStr">
        <is>
          <t>SALA</t>
        </is>
      </c>
      <c r="G309" t="n">
        <v>0.8</v>
      </c>
      <c r="H309" t="n">
        <v>0</v>
      </c>
      <c r="I309" t="n">
        <v>0</v>
      </c>
      <c r="J309" t="n">
        <v>0</v>
      </c>
      <c r="K309" t="n">
        <v>0</v>
      </c>
      <c r="L309" t="n">
        <v>0</v>
      </c>
      <c r="M309" t="n">
        <v>0</v>
      </c>
      <c r="N309" t="n">
        <v>0</v>
      </c>
      <c r="O309" t="n">
        <v>0</v>
      </c>
      <c r="P309" t="n">
        <v>0</v>
      </c>
      <c r="Q309" t="n">
        <v>0</v>
      </c>
      <c r="R309" s="2" t="inlineStr"/>
    </row>
    <row r="310" ht="15" customHeight="1">
      <c r="A310" t="inlineStr">
        <is>
          <t>A 8285-2025</t>
        </is>
      </c>
      <c r="B310" s="1" t="n">
        <v>45708</v>
      </c>
      <c r="C310" s="1" t="n">
        <v>46017</v>
      </c>
      <c r="D310" t="inlineStr">
        <is>
          <t>VÄSTMANLANDS LÄN</t>
        </is>
      </c>
      <c r="E310" t="inlineStr">
        <is>
          <t>SALA</t>
        </is>
      </c>
      <c r="G310" t="n">
        <v>5.7</v>
      </c>
      <c r="H310" t="n">
        <v>0</v>
      </c>
      <c r="I310" t="n">
        <v>0</v>
      </c>
      <c r="J310" t="n">
        <v>0</v>
      </c>
      <c r="K310" t="n">
        <v>0</v>
      </c>
      <c r="L310" t="n">
        <v>0</v>
      </c>
      <c r="M310" t="n">
        <v>0</v>
      </c>
      <c r="N310" t="n">
        <v>0</v>
      </c>
      <c r="O310" t="n">
        <v>0</v>
      </c>
      <c r="P310" t="n">
        <v>0</v>
      </c>
      <c r="Q310" t="n">
        <v>0</v>
      </c>
      <c r="R310" s="2" t="inlineStr"/>
    </row>
    <row r="311" ht="15" customHeight="1">
      <c r="A311" t="inlineStr">
        <is>
          <t>A 22523-2023</t>
        </is>
      </c>
      <c r="B311" s="1" t="n">
        <v>45069</v>
      </c>
      <c r="C311" s="1" t="n">
        <v>46017</v>
      </c>
      <c r="D311" t="inlineStr">
        <is>
          <t>VÄSTMANLANDS LÄN</t>
        </is>
      </c>
      <c r="E311" t="inlineStr">
        <is>
          <t>SALA</t>
        </is>
      </c>
      <c r="G311" t="n">
        <v>2.4</v>
      </c>
      <c r="H311" t="n">
        <v>0</v>
      </c>
      <c r="I311" t="n">
        <v>0</v>
      </c>
      <c r="J311" t="n">
        <v>0</v>
      </c>
      <c r="K311" t="n">
        <v>0</v>
      </c>
      <c r="L311" t="n">
        <v>0</v>
      </c>
      <c r="M311" t="n">
        <v>0</v>
      </c>
      <c r="N311" t="n">
        <v>0</v>
      </c>
      <c r="O311" t="n">
        <v>0</v>
      </c>
      <c r="P311" t="n">
        <v>0</v>
      </c>
      <c r="Q311" t="n">
        <v>0</v>
      </c>
      <c r="R311" s="2" t="inlineStr"/>
    </row>
    <row r="312" ht="15" customHeight="1">
      <c r="A312" t="inlineStr">
        <is>
          <t>A 14010-2021</t>
        </is>
      </c>
      <c r="B312" s="1" t="n">
        <v>44277.63396990741</v>
      </c>
      <c r="C312" s="1" t="n">
        <v>46017</v>
      </c>
      <c r="D312" t="inlineStr">
        <is>
          <t>VÄSTMANLANDS LÄN</t>
        </is>
      </c>
      <c r="E312" t="inlineStr">
        <is>
          <t>SALA</t>
        </is>
      </c>
      <c r="G312" t="n">
        <v>3.5</v>
      </c>
      <c r="H312" t="n">
        <v>0</v>
      </c>
      <c r="I312" t="n">
        <v>0</v>
      </c>
      <c r="J312" t="n">
        <v>0</v>
      </c>
      <c r="K312" t="n">
        <v>0</v>
      </c>
      <c r="L312" t="n">
        <v>0</v>
      </c>
      <c r="M312" t="n">
        <v>0</v>
      </c>
      <c r="N312" t="n">
        <v>0</v>
      </c>
      <c r="O312" t="n">
        <v>0</v>
      </c>
      <c r="P312" t="n">
        <v>0</v>
      </c>
      <c r="Q312" t="n">
        <v>0</v>
      </c>
      <c r="R312" s="2" t="inlineStr"/>
    </row>
    <row r="313" ht="15" customHeight="1">
      <c r="A313" t="inlineStr">
        <is>
          <t>A 4663-2022</t>
        </is>
      </c>
      <c r="B313" s="1" t="n">
        <v>44592.45429398148</v>
      </c>
      <c r="C313" s="1" t="n">
        <v>46017</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73673-2021</t>
        </is>
      </c>
      <c r="B314" s="1" t="n">
        <v>44552.46501157407</v>
      </c>
      <c r="C314" s="1" t="n">
        <v>46017</v>
      </c>
      <c r="D314" t="inlineStr">
        <is>
          <t>VÄSTMANLANDS LÄN</t>
        </is>
      </c>
      <c r="E314" t="inlineStr">
        <is>
          <t>SALA</t>
        </is>
      </c>
      <c r="G314" t="n">
        <v>11.4</v>
      </c>
      <c r="H314" t="n">
        <v>0</v>
      </c>
      <c r="I314" t="n">
        <v>0</v>
      </c>
      <c r="J314" t="n">
        <v>0</v>
      </c>
      <c r="K314" t="n">
        <v>0</v>
      </c>
      <c r="L314" t="n">
        <v>0</v>
      </c>
      <c r="M314" t="n">
        <v>0</v>
      </c>
      <c r="N314" t="n">
        <v>0</v>
      </c>
      <c r="O314" t="n">
        <v>0</v>
      </c>
      <c r="P314" t="n">
        <v>0</v>
      </c>
      <c r="Q314" t="n">
        <v>0</v>
      </c>
      <c r="R314" s="2" t="inlineStr"/>
    </row>
    <row r="315" ht="15" customHeight="1">
      <c r="A315" t="inlineStr">
        <is>
          <t>A 38574-2025</t>
        </is>
      </c>
      <c r="B315" s="1" t="n">
        <v>45884.46390046296</v>
      </c>
      <c r="C315" s="1" t="n">
        <v>46017</v>
      </c>
      <c r="D315" t="inlineStr">
        <is>
          <t>VÄSTMANLANDS LÄN</t>
        </is>
      </c>
      <c r="E315" t="inlineStr">
        <is>
          <t>SALA</t>
        </is>
      </c>
      <c r="G315" t="n">
        <v>2.1</v>
      </c>
      <c r="H315" t="n">
        <v>0</v>
      </c>
      <c r="I315" t="n">
        <v>0</v>
      </c>
      <c r="J315" t="n">
        <v>0</v>
      </c>
      <c r="K315" t="n">
        <v>0</v>
      </c>
      <c r="L315" t="n">
        <v>0</v>
      </c>
      <c r="M315" t="n">
        <v>0</v>
      </c>
      <c r="N315" t="n">
        <v>0</v>
      </c>
      <c r="O315" t="n">
        <v>0</v>
      </c>
      <c r="P315" t="n">
        <v>0</v>
      </c>
      <c r="Q315" t="n">
        <v>0</v>
      </c>
      <c r="R315" s="2" t="inlineStr"/>
    </row>
    <row r="316" ht="15" customHeight="1">
      <c r="A316" t="inlineStr">
        <is>
          <t>A 22019-2021</t>
        </is>
      </c>
      <c r="B316" s="1" t="n">
        <v>44323</v>
      </c>
      <c r="C316" s="1" t="n">
        <v>46017</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35410-2022</t>
        </is>
      </c>
      <c r="B317" s="1" t="n">
        <v>44798.62576388889</v>
      </c>
      <c r="C317" s="1" t="n">
        <v>46017</v>
      </c>
      <c r="D317" t="inlineStr">
        <is>
          <t>VÄSTMANLANDS LÄN</t>
        </is>
      </c>
      <c r="E317" t="inlineStr">
        <is>
          <t>SALA</t>
        </is>
      </c>
      <c r="G317" t="n">
        <v>1.6</v>
      </c>
      <c r="H317" t="n">
        <v>0</v>
      </c>
      <c r="I317" t="n">
        <v>0</v>
      </c>
      <c r="J317" t="n">
        <v>0</v>
      </c>
      <c r="K317" t="n">
        <v>0</v>
      </c>
      <c r="L317" t="n">
        <v>0</v>
      </c>
      <c r="M317" t="n">
        <v>0</v>
      </c>
      <c r="N317" t="n">
        <v>0</v>
      </c>
      <c r="O317" t="n">
        <v>0</v>
      </c>
      <c r="P317" t="n">
        <v>0</v>
      </c>
      <c r="Q317" t="n">
        <v>0</v>
      </c>
      <c r="R317" s="2" t="inlineStr"/>
    </row>
    <row r="318" ht="15" customHeight="1">
      <c r="A318" t="inlineStr">
        <is>
          <t>A 16651-2021</t>
        </is>
      </c>
      <c r="B318" s="1" t="n">
        <v>44294.50096064815</v>
      </c>
      <c r="C318" s="1" t="n">
        <v>46017</v>
      </c>
      <c r="D318" t="inlineStr">
        <is>
          <t>VÄSTMANLANDS LÄN</t>
        </is>
      </c>
      <c r="E318" t="inlineStr">
        <is>
          <t>SALA</t>
        </is>
      </c>
      <c r="G318" t="n">
        <v>7.7</v>
      </c>
      <c r="H318" t="n">
        <v>0</v>
      </c>
      <c r="I318" t="n">
        <v>0</v>
      </c>
      <c r="J318" t="n">
        <v>0</v>
      </c>
      <c r="K318" t="n">
        <v>0</v>
      </c>
      <c r="L318" t="n">
        <v>0</v>
      </c>
      <c r="M318" t="n">
        <v>0</v>
      </c>
      <c r="N318" t="n">
        <v>0</v>
      </c>
      <c r="O318" t="n">
        <v>0</v>
      </c>
      <c r="P318" t="n">
        <v>0</v>
      </c>
      <c r="Q318" t="n">
        <v>0</v>
      </c>
      <c r="R318" s="2" t="inlineStr"/>
    </row>
    <row r="319" ht="15" customHeight="1">
      <c r="A319" t="inlineStr">
        <is>
          <t>A 38294-2025</t>
        </is>
      </c>
      <c r="B319" s="1" t="n">
        <v>45883.44854166666</v>
      </c>
      <c r="C319" s="1" t="n">
        <v>46017</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57404-2024</t>
        </is>
      </c>
      <c r="B320" s="1" t="n">
        <v>45629.71967592592</v>
      </c>
      <c r="C320" s="1" t="n">
        <v>46017</v>
      </c>
      <c r="D320" t="inlineStr">
        <is>
          <t>VÄSTMANLANDS LÄN</t>
        </is>
      </c>
      <c r="E320" t="inlineStr">
        <is>
          <t>SALA</t>
        </is>
      </c>
      <c r="G320" t="n">
        <v>0.3</v>
      </c>
      <c r="H320" t="n">
        <v>0</v>
      </c>
      <c r="I320" t="n">
        <v>0</v>
      </c>
      <c r="J320" t="n">
        <v>0</v>
      </c>
      <c r="K320" t="n">
        <v>0</v>
      </c>
      <c r="L320" t="n">
        <v>0</v>
      </c>
      <c r="M320" t="n">
        <v>0</v>
      </c>
      <c r="N320" t="n">
        <v>0</v>
      </c>
      <c r="O320" t="n">
        <v>0</v>
      </c>
      <c r="P320" t="n">
        <v>0</v>
      </c>
      <c r="Q320" t="n">
        <v>0</v>
      </c>
      <c r="R320" s="2" t="inlineStr"/>
    </row>
    <row r="321" ht="15" customHeight="1">
      <c r="A321" t="inlineStr">
        <is>
          <t>A 6132-2025</t>
        </is>
      </c>
      <c r="B321" s="1" t="n">
        <v>45698</v>
      </c>
      <c r="C321" s="1" t="n">
        <v>46017</v>
      </c>
      <c r="D321" t="inlineStr">
        <is>
          <t>VÄSTMANLANDS LÄN</t>
        </is>
      </c>
      <c r="E321" t="inlineStr">
        <is>
          <t>SALA</t>
        </is>
      </c>
      <c r="F321" t="inlineStr">
        <is>
          <t>Bergvik skog öst AB</t>
        </is>
      </c>
      <c r="G321" t="n">
        <v>1.5</v>
      </c>
      <c r="H321" t="n">
        <v>0</v>
      </c>
      <c r="I321" t="n">
        <v>0</v>
      </c>
      <c r="J321" t="n">
        <v>0</v>
      </c>
      <c r="K321" t="n">
        <v>0</v>
      </c>
      <c r="L321" t="n">
        <v>0</v>
      </c>
      <c r="M321" t="n">
        <v>0</v>
      </c>
      <c r="N321" t="n">
        <v>0</v>
      </c>
      <c r="O321" t="n">
        <v>0</v>
      </c>
      <c r="P321" t="n">
        <v>0</v>
      </c>
      <c r="Q321" t="n">
        <v>0</v>
      </c>
      <c r="R321" s="2" t="inlineStr"/>
    </row>
    <row r="322" ht="15" customHeight="1">
      <c r="A322" t="inlineStr">
        <is>
          <t>A 21777-2022</t>
        </is>
      </c>
      <c r="B322" s="1" t="n">
        <v>44708.48194444444</v>
      </c>
      <c r="C322" s="1" t="n">
        <v>46017</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17866-2025</t>
        </is>
      </c>
      <c r="B323" s="1" t="n">
        <v>45758</v>
      </c>
      <c r="C323" s="1" t="n">
        <v>46017</v>
      </c>
      <c r="D323" t="inlineStr">
        <is>
          <t>VÄSTMANLANDS LÄN</t>
        </is>
      </c>
      <c r="E323" t="inlineStr">
        <is>
          <t>SALA</t>
        </is>
      </c>
      <c r="F323" t="inlineStr">
        <is>
          <t>Bergvik skog öst AB</t>
        </is>
      </c>
      <c r="G323" t="n">
        <v>2.1</v>
      </c>
      <c r="H323" t="n">
        <v>0</v>
      </c>
      <c r="I323" t="n">
        <v>0</v>
      </c>
      <c r="J323" t="n">
        <v>0</v>
      </c>
      <c r="K323" t="n">
        <v>0</v>
      </c>
      <c r="L323" t="n">
        <v>0</v>
      </c>
      <c r="M323" t="n">
        <v>0</v>
      </c>
      <c r="N323" t="n">
        <v>0</v>
      </c>
      <c r="O323" t="n">
        <v>0</v>
      </c>
      <c r="P323" t="n">
        <v>0</v>
      </c>
      <c r="Q323" t="n">
        <v>0</v>
      </c>
      <c r="R323" s="2" t="inlineStr"/>
    </row>
    <row r="324" ht="15" customHeight="1">
      <c r="A324" t="inlineStr">
        <is>
          <t>A 33732-2023</t>
        </is>
      </c>
      <c r="B324" s="1" t="n">
        <v>45133.32409722222</v>
      </c>
      <c r="C324" s="1" t="n">
        <v>46017</v>
      </c>
      <c r="D324" t="inlineStr">
        <is>
          <t>VÄSTMANLANDS LÄN</t>
        </is>
      </c>
      <c r="E324" t="inlineStr">
        <is>
          <t>SALA</t>
        </is>
      </c>
      <c r="G324" t="n">
        <v>2</v>
      </c>
      <c r="H324" t="n">
        <v>0</v>
      </c>
      <c r="I324" t="n">
        <v>0</v>
      </c>
      <c r="J324" t="n">
        <v>0</v>
      </c>
      <c r="K324" t="n">
        <v>0</v>
      </c>
      <c r="L324" t="n">
        <v>0</v>
      </c>
      <c r="M324" t="n">
        <v>0</v>
      </c>
      <c r="N324" t="n">
        <v>0</v>
      </c>
      <c r="O324" t="n">
        <v>0</v>
      </c>
      <c r="P324" t="n">
        <v>0</v>
      </c>
      <c r="Q324" t="n">
        <v>0</v>
      </c>
      <c r="R324" s="2" t="inlineStr"/>
    </row>
    <row r="325" ht="15" customHeight="1">
      <c r="A325" t="inlineStr">
        <is>
          <t>A 7166-2025</t>
        </is>
      </c>
      <c r="B325" s="1" t="n">
        <v>45702</v>
      </c>
      <c r="C325" s="1" t="n">
        <v>46017</v>
      </c>
      <c r="D325" t="inlineStr">
        <is>
          <t>VÄSTMANLANDS LÄN</t>
        </is>
      </c>
      <c r="E325" t="inlineStr">
        <is>
          <t>SALA</t>
        </is>
      </c>
      <c r="G325" t="n">
        <v>6.1</v>
      </c>
      <c r="H325" t="n">
        <v>0</v>
      </c>
      <c r="I325" t="n">
        <v>0</v>
      </c>
      <c r="J325" t="n">
        <v>0</v>
      </c>
      <c r="K325" t="n">
        <v>0</v>
      </c>
      <c r="L325" t="n">
        <v>0</v>
      </c>
      <c r="M325" t="n">
        <v>0</v>
      </c>
      <c r="N325" t="n">
        <v>0</v>
      </c>
      <c r="O325" t="n">
        <v>0</v>
      </c>
      <c r="P325" t="n">
        <v>0</v>
      </c>
      <c r="Q325" t="n">
        <v>0</v>
      </c>
      <c r="R325" s="2" t="inlineStr"/>
    </row>
    <row r="326" ht="15" customHeight="1">
      <c r="A326" t="inlineStr">
        <is>
          <t>A 21159-2022</t>
        </is>
      </c>
      <c r="B326" s="1" t="n">
        <v>44704</v>
      </c>
      <c r="C326" s="1" t="n">
        <v>46017</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44857-2023</t>
        </is>
      </c>
      <c r="B327" s="1" t="n">
        <v>45190.58479166667</v>
      </c>
      <c r="C327" s="1" t="n">
        <v>46017</v>
      </c>
      <c r="D327" t="inlineStr">
        <is>
          <t>VÄSTMANLANDS LÄN</t>
        </is>
      </c>
      <c r="E327" t="inlineStr">
        <is>
          <t>SALA</t>
        </is>
      </c>
      <c r="G327" t="n">
        <v>1</v>
      </c>
      <c r="H327" t="n">
        <v>0</v>
      </c>
      <c r="I327" t="n">
        <v>0</v>
      </c>
      <c r="J327" t="n">
        <v>0</v>
      </c>
      <c r="K327" t="n">
        <v>0</v>
      </c>
      <c r="L327" t="n">
        <v>0</v>
      </c>
      <c r="M327" t="n">
        <v>0</v>
      </c>
      <c r="N327" t="n">
        <v>0</v>
      </c>
      <c r="O327" t="n">
        <v>0</v>
      </c>
      <c r="P327" t="n">
        <v>0</v>
      </c>
      <c r="Q327" t="n">
        <v>0</v>
      </c>
      <c r="R327" s="2" t="inlineStr"/>
    </row>
    <row r="328" ht="15" customHeight="1">
      <c r="A328" t="inlineStr">
        <is>
          <t>A 46352-2023</t>
        </is>
      </c>
      <c r="B328" s="1" t="n">
        <v>45192</v>
      </c>
      <c r="C328" s="1" t="n">
        <v>46017</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31859-2023</t>
        </is>
      </c>
      <c r="B329" s="1" t="n">
        <v>45118</v>
      </c>
      <c r="C329" s="1" t="n">
        <v>46017</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c r="U329">
        <f>HYPERLINK("https://klasma.github.io/Logging_1981/knärot/A 31859-2023 karta knärot.png", "A 31859-2023")</f>
        <v/>
      </c>
      <c r="V329">
        <f>HYPERLINK("https://klasma.github.io/Logging_1981/klagomål/A 31859-2023 FSC-klagomål.docx", "A 31859-2023")</f>
        <v/>
      </c>
      <c r="W329">
        <f>HYPERLINK("https://klasma.github.io/Logging_1981/klagomålsmail/A 31859-2023 FSC-klagomål mail.docx", "A 31859-2023")</f>
        <v/>
      </c>
      <c r="X329">
        <f>HYPERLINK("https://klasma.github.io/Logging_1981/tillsyn/A 31859-2023 tillsynsbegäran.docx", "A 31859-2023")</f>
        <v/>
      </c>
      <c r="Y329">
        <f>HYPERLINK("https://klasma.github.io/Logging_1981/tillsynsmail/A 31859-2023 tillsynsbegäran mail.docx", "A 31859-2023")</f>
        <v/>
      </c>
    </row>
    <row r="330" ht="15" customHeight="1">
      <c r="A330" t="inlineStr">
        <is>
          <t>A 22397-2022</t>
        </is>
      </c>
      <c r="B330" s="1" t="n">
        <v>44713</v>
      </c>
      <c r="C330" s="1" t="n">
        <v>46017</v>
      </c>
      <c r="D330" t="inlineStr">
        <is>
          <t>VÄSTMANLANDS LÄN</t>
        </is>
      </c>
      <c r="E330" t="inlineStr">
        <is>
          <t>SALA</t>
        </is>
      </c>
      <c r="G330" t="n">
        <v>2.1</v>
      </c>
      <c r="H330" t="n">
        <v>0</v>
      </c>
      <c r="I330" t="n">
        <v>0</v>
      </c>
      <c r="J330" t="n">
        <v>0</v>
      </c>
      <c r="K330" t="n">
        <v>0</v>
      </c>
      <c r="L330" t="n">
        <v>0</v>
      </c>
      <c r="M330" t="n">
        <v>0</v>
      </c>
      <c r="N330" t="n">
        <v>0</v>
      </c>
      <c r="O330" t="n">
        <v>0</v>
      </c>
      <c r="P330" t="n">
        <v>0</v>
      </c>
      <c r="Q330" t="n">
        <v>0</v>
      </c>
      <c r="R330" s="2" t="inlineStr"/>
    </row>
    <row r="331" ht="15" customHeight="1">
      <c r="A331" t="inlineStr">
        <is>
          <t>A 27424-2023</t>
        </is>
      </c>
      <c r="B331" s="1" t="n">
        <v>45097.37690972222</v>
      </c>
      <c r="C331" s="1" t="n">
        <v>46017</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41292-2021</t>
        </is>
      </c>
      <c r="B332" s="1" t="n">
        <v>44424</v>
      </c>
      <c r="C332" s="1" t="n">
        <v>46017</v>
      </c>
      <c r="D332" t="inlineStr">
        <is>
          <t>VÄSTMANLANDS LÄN</t>
        </is>
      </c>
      <c r="E332" t="inlineStr">
        <is>
          <t>SALA</t>
        </is>
      </c>
      <c r="G332" t="n">
        <v>0.3</v>
      </c>
      <c r="H332" t="n">
        <v>0</v>
      </c>
      <c r="I332" t="n">
        <v>0</v>
      </c>
      <c r="J332" t="n">
        <v>0</v>
      </c>
      <c r="K332" t="n">
        <v>0</v>
      </c>
      <c r="L332" t="n">
        <v>0</v>
      </c>
      <c r="M332" t="n">
        <v>0</v>
      </c>
      <c r="N332" t="n">
        <v>0</v>
      </c>
      <c r="O332" t="n">
        <v>0</v>
      </c>
      <c r="P332" t="n">
        <v>0</v>
      </c>
      <c r="Q332" t="n">
        <v>0</v>
      </c>
      <c r="R332" s="2" t="inlineStr"/>
    </row>
    <row r="333" ht="15" customHeight="1">
      <c r="A333" t="inlineStr">
        <is>
          <t>A 60328-2024</t>
        </is>
      </c>
      <c r="B333" s="1" t="n">
        <v>45643.38416666666</v>
      </c>
      <c r="C333" s="1" t="n">
        <v>46017</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39182-2025</t>
        </is>
      </c>
      <c r="B334" s="1" t="n">
        <v>45888.66204861111</v>
      </c>
      <c r="C334" s="1" t="n">
        <v>46017</v>
      </c>
      <c r="D334" t="inlineStr">
        <is>
          <t>VÄSTMANLANDS LÄN</t>
        </is>
      </c>
      <c r="E334" t="inlineStr">
        <is>
          <t>SALA</t>
        </is>
      </c>
      <c r="F334" t="inlineStr">
        <is>
          <t>Bergvik skog öst AB</t>
        </is>
      </c>
      <c r="G334" t="n">
        <v>1.3</v>
      </c>
      <c r="H334" t="n">
        <v>0</v>
      </c>
      <c r="I334" t="n">
        <v>0</v>
      </c>
      <c r="J334" t="n">
        <v>0</v>
      </c>
      <c r="K334" t="n">
        <v>0</v>
      </c>
      <c r="L334" t="n">
        <v>0</v>
      </c>
      <c r="M334" t="n">
        <v>0</v>
      </c>
      <c r="N334" t="n">
        <v>0</v>
      </c>
      <c r="O334" t="n">
        <v>0</v>
      </c>
      <c r="P334" t="n">
        <v>0</v>
      </c>
      <c r="Q334" t="n">
        <v>0</v>
      </c>
      <c r="R334" s="2" t="inlineStr"/>
    </row>
    <row r="335" ht="15" customHeight="1">
      <c r="A335" t="inlineStr">
        <is>
          <t>A 61681-2024</t>
        </is>
      </c>
      <c r="B335" s="1" t="n">
        <v>45647</v>
      </c>
      <c r="C335" s="1" t="n">
        <v>46017</v>
      </c>
      <c r="D335" t="inlineStr">
        <is>
          <t>VÄSTMANLANDS LÄN</t>
        </is>
      </c>
      <c r="E335" t="inlineStr">
        <is>
          <t>SALA</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7469-2025</t>
        </is>
      </c>
      <c r="B336" s="1" t="n">
        <v>45705</v>
      </c>
      <c r="C336" s="1" t="n">
        <v>46017</v>
      </c>
      <c r="D336" t="inlineStr">
        <is>
          <t>VÄSTMANLANDS LÄN</t>
        </is>
      </c>
      <c r="E336" t="inlineStr">
        <is>
          <t>SALA</t>
        </is>
      </c>
      <c r="G336" t="n">
        <v>2.1</v>
      </c>
      <c r="H336" t="n">
        <v>0</v>
      </c>
      <c r="I336" t="n">
        <v>0</v>
      </c>
      <c r="J336" t="n">
        <v>0</v>
      </c>
      <c r="K336" t="n">
        <v>0</v>
      </c>
      <c r="L336" t="n">
        <v>0</v>
      </c>
      <c r="M336" t="n">
        <v>0</v>
      </c>
      <c r="N336" t="n">
        <v>0</v>
      </c>
      <c r="O336" t="n">
        <v>0</v>
      </c>
      <c r="P336" t="n">
        <v>0</v>
      </c>
      <c r="Q336" t="n">
        <v>0</v>
      </c>
      <c r="R336" s="2" t="inlineStr"/>
    </row>
    <row r="337" ht="15" customHeight="1">
      <c r="A337" t="inlineStr">
        <is>
          <t>A 6691-2025</t>
        </is>
      </c>
      <c r="B337" s="1" t="n">
        <v>45700.50625</v>
      </c>
      <c r="C337" s="1" t="n">
        <v>46017</v>
      </c>
      <c r="D337" t="inlineStr">
        <is>
          <t>VÄSTMANLANDS LÄN</t>
        </is>
      </c>
      <c r="E337" t="inlineStr">
        <is>
          <t>SALA</t>
        </is>
      </c>
      <c r="G337" t="n">
        <v>2.1</v>
      </c>
      <c r="H337" t="n">
        <v>0</v>
      </c>
      <c r="I337" t="n">
        <v>0</v>
      </c>
      <c r="J337" t="n">
        <v>0</v>
      </c>
      <c r="K337" t="n">
        <v>0</v>
      </c>
      <c r="L337" t="n">
        <v>0</v>
      </c>
      <c r="M337" t="n">
        <v>0</v>
      </c>
      <c r="N337" t="n">
        <v>0</v>
      </c>
      <c r="O337" t="n">
        <v>0</v>
      </c>
      <c r="P337" t="n">
        <v>0</v>
      </c>
      <c r="Q337" t="n">
        <v>0</v>
      </c>
      <c r="R337" s="2" t="inlineStr"/>
    </row>
    <row r="338" ht="15" customHeight="1">
      <c r="A338" t="inlineStr">
        <is>
          <t>A 6088-2021</t>
        </is>
      </c>
      <c r="B338" s="1" t="n">
        <v>44232</v>
      </c>
      <c r="C338" s="1" t="n">
        <v>46017</v>
      </c>
      <c r="D338" t="inlineStr">
        <is>
          <t>VÄSTMANLANDS LÄN</t>
        </is>
      </c>
      <c r="E338" t="inlineStr">
        <is>
          <t>SALA</t>
        </is>
      </c>
      <c r="G338" t="n">
        <v>0.2</v>
      </c>
      <c r="H338" t="n">
        <v>0</v>
      </c>
      <c r="I338" t="n">
        <v>0</v>
      </c>
      <c r="J338" t="n">
        <v>0</v>
      </c>
      <c r="K338" t="n">
        <v>0</v>
      </c>
      <c r="L338" t="n">
        <v>0</v>
      </c>
      <c r="M338" t="n">
        <v>0</v>
      </c>
      <c r="N338" t="n">
        <v>0</v>
      </c>
      <c r="O338" t="n">
        <v>0</v>
      </c>
      <c r="P338" t="n">
        <v>0</v>
      </c>
      <c r="Q338" t="n">
        <v>0</v>
      </c>
      <c r="R338" s="2" t="inlineStr"/>
    </row>
    <row r="339" ht="15" customHeight="1">
      <c r="A339" t="inlineStr">
        <is>
          <t>A 60036-2024</t>
        </is>
      </c>
      <c r="B339" s="1" t="n">
        <v>45642.46434027778</v>
      </c>
      <c r="C339" s="1" t="n">
        <v>46017</v>
      </c>
      <c r="D339" t="inlineStr">
        <is>
          <t>VÄSTMANLANDS LÄN</t>
        </is>
      </c>
      <c r="E339" t="inlineStr">
        <is>
          <t>SALA</t>
        </is>
      </c>
      <c r="G339" t="n">
        <v>2.5</v>
      </c>
      <c r="H339" t="n">
        <v>0</v>
      </c>
      <c r="I339" t="n">
        <v>0</v>
      </c>
      <c r="J339" t="n">
        <v>0</v>
      </c>
      <c r="K339" t="n">
        <v>0</v>
      </c>
      <c r="L339" t="n">
        <v>0</v>
      </c>
      <c r="M339" t="n">
        <v>0</v>
      </c>
      <c r="N339" t="n">
        <v>0</v>
      </c>
      <c r="O339" t="n">
        <v>0</v>
      </c>
      <c r="P339" t="n">
        <v>0</v>
      </c>
      <c r="Q339" t="n">
        <v>0</v>
      </c>
      <c r="R339" s="2" t="inlineStr"/>
    </row>
    <row r="340" ht="15" customHeight="1">
      <c r="A340" t="inlineStr">
        <is>
          <t>A 33273-2023</t>
        </is>
      </c>
      <c r="B340" s="1" t="n">
        <v>45127</v>
      </c>
      <c r="C340" s="1" t="n">
        <v>46017</v>
      </c>
      <c r="D340" t="inlineStr">
        <is>
          <t>VÄSTMANLANDS LÄN</t>
        </is>
      </c>
      <c r="E340" t="inlineStr">
        <is>
          <t>SALA</t>
        </is>
      </c>
      <c r="G340" t="n">
        <v>2.6</v>
      </c>
      <c r="H340" t="n">
        <v>0</v>
      </c>
      <c r="I340" t="n">
        <v>0</v>
      </c>
      <c r="J340" t="n">
        <v>0</v>
      </c>
      <c r="K340" t="n">
        <v>0</v>
      </c>
      <c r="L340" t="n">
        <v>0</v>
      </c>
      <c r="M340" t="n">
        <v>0</v>
      </c>
      <c r="N340" t="n">
        <v>0</v>
      </c>
      <c r="O340" t="n">
        <v>0</v>
      </c>
      <c r="P340" t="n">
        <v>0</v>
      </c>
      <c r="Q340" t="n">
        <v>0</v>
      </c>
      <c r="R340" s="2" t="inlineStr"/>
    </row>
    <row r="341" ht="15" customHeight="1">
      <c r="A341" t="inlineStr">
        <is>
          <t>A 54960-2024</t>
        </is>
      </c>
      <c r="B341" s="1" t="n">
        <v>45619.85208333333</v>
      </c>
      <c r="C341" s="1" t="n">
        <v>46017</v>
      </c>
      <c r="D341" t="inlineStr">
        <is>
          <t>VÄSTMANLANDS LÄN</t>
        </is>
      </c>
      <c r="E341" t="inlineStr">
        <is>
          <t>SALA</t>
        </is>
      </c>
      <c r="G341" t="n">
        <v>2.6</v>
      </c>
      <c r="H341" t="n">
        <v>0</v>
      </c>
      <c r="I341" t="n">
        <v>0</v>
      </c>
      <c r="J341" t="n">
        <v>0</v>
      </c>
      <c r="K341" t="n">
        <v>0</v>
      </c>
      <c r="L341" t="n">
        <v>0</v>
      </c>
      <c r="M341" t="n">
        <v>0</v>
      </c>
      <c r="N341" t="n">
        <v>0</v>
      </c>
      <c r="O341" t="n">
        <v>0</v>
      </c>
      <c r="P341" t="n">
        <v>0</v>
      </c>
      <c r="Q341" t="n">
        <v>0</v>
      </c>
      <c r="R341" s="2" t="inlineStr"/>
    </row>
    <row r="342" ht="15" customHeight="1">
      <c r="A342" t="inlineStr">
        <is>
          <t>A 46279-2021</t>
        </is>
      </c>
      <c r="B342" s="1" t="n">
        <v>44442.57797453704</v>
      </c>
      <c r="C342" s="1" t="n">
        <v>46017</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52827-2024</t>
        </is>
      </c>
      <c r="B343" s="1" t="n">
        <v>45610</v>
      </c>
      <c r="C343" s="1" t="n">
        <v>46017</v>
      </c>
      <c r="D343" t="inlineStr">
        <is>
          <t>VÄSTMANLANDS LÄN</t>
        </is>
      </c>
      <c r="E343" t="inlineStr">
        <is>
          <t>SALA</t>
        </is>
      </c>
      <c r="G343" t="n">
        <v>0.2</v>
      </c>
      <c r="H343" t="n">
        <v>0</v>
      </c>
      <c r="I343" t="n">
        <v>0</v>
      </c>
      <c r="J343" t="n">
        <v>0</v>
      </c>
      <c r="K343" t="n">
        <v>0</v>
      </c>
      <c r="L343" t="n">
        <v>0</v>
      </c>
      <c r="M343" t="n">
        <v>0</v>
      </c>
      <c r="N343" t="n">
        <v>0</v>
      </c>
      <c r="O343" t="n">
        <v>0</v>
      </c>
      <c r="P343" t="n">
        <v>0</v>
      </c>
      <c r="Q343" t="n">
        <v>0</v>
      </c>
      <c r="R343" s="2" t="inlineStr"/>
    </row>
    <row r="344" ht="15" customHeight="1">
      <c r="A344" t="inlineStr">
        <is>
          <t>A 31864-2025</t>
        </is>
      </c>
      <c r="B344" s="1" t="n">
        <v>45834.63819444444</v>
      </c>
      <c r="C344" s="1" t="n">
        <v>46017</v>
      </c>
      <c r="D344" t="inlineStr">
        <is>
          <t>VÄSTMANLANDS LÄN</t>
        </is>
      </c>
      <c r="E344" t="inlineStr">
        <is>
          <t>SALA</t>
        </is>
      </c>
      <c r="G344" t="n">
        <v>6.3</v>
      </c>
      <c r="H344" t="n">
        <v>0</v>
      </c>
      <c r="I344" t="n">
        <v>0</v>
      </c>
      <c r="J344" t="n">
        <v>0</v>
      </c>
      <c r="K344" t="n">
        <v>0</v>
      </c>
      <c r="L344" t="n">
        <v>0</v>
      </c>
      <c r="M344" t="n">
        <v>0</v>
      </c>
      <c r="N344" t="n">
        <v>0</v>
      </c>
      <c r="O344" t="n">
        <v>0</v>
      </c>
      <c r="P344" t="n">
        <v>0</v>
      </c>
      <c r="Q344" t="n">
        <v>0</v>
      </c>
      <c r="R344" s="2" t="inlineStr"/>
    </row>
    <row r="345" ht="15" customHeight="1">
      <c r="A345" t="inlineStr">
        <is>
          <t>A 53166-2024</t>
        </is>
      </c>
      <c r="B345" s="1" t="n">
        <v>45611</v>
      </c>
      <c r="C345" s="1" t="n">
        <v>46017</v>
      </c>
      <c r="D345" t="inlineStr">
        <is>
          <t>VÄSTMANLANDS LÄN</t>
        </is>
      </c>
      <c r="E345" t="inlineStr">
        <is>
          <t>SALA</t>
        </is>
      </c>
      <c r="G345" t="n">
        <v>1.5</v>
      </c>
      <c r="H345" t="n">
        <v>0</v>
      </c>
      <c r="I345" t="n">
        <v>0</v>
      </c>
      <c r="J345" t="n">
        <v>0</v>
      </c>
      <c r="K345" t="n">
        <v>0</v>
      </c>
      <c r="L345" t="n">
        <v>0</v>
      </c>
      <c r="M345" t="n">
        <v>0</v>
      </c>
      <c r="N345" t="n">
        <v>0</v>
      </c>
      <c r="O345" t="n">
        <v>0</v>
      </c>
      <c r="P345" t="n">
        <v>0</v>
      </c>
      <c r="Q345" t="n">
        <v>0</v>
      </c>
      <c r="R345" s="2" t="inlineStr"/>
    </row>
    <row r="346" ht="15" customHeight="1">
      <c r="A346" t="inlineStr">
        <is>
          <t>A 11244-2024</t>
        </is>
      </c>
      <c r="B346" s="1" t="n">
        <v>45371</v>
      </c>
      <c r="C346" s="1" t="n">
        <v>46017</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62654-2022</t>
        </is>
      </c>
      <c r="B347" s="1" t="n">
        <v>44917</v>
      </c>
      <c r="C347" s="1" t="n">
        <v>46017</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6135-2023</t>
        </is>
      </c>
      <c r="B348" s="1" t="n">
        <v>44964.62628472222</v>
      </c>
      <c r="C348" s="1" t="n">
        <v>46017</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53864-2022</t>
        </is>
      </c>
      <c r="B349" s="1" t="n">
        <v>44880.64016203704</v>
      </c>
      <c r="C349" s="1" t="n">
        <v>46017</v>
      </c>
      <c r="D349" t="inlineStr">
        <is>
          <t>VÄSTMANLANDS LÄN</t>
        </is>
      </c>
      <c r="E349" t="inlineStr">
        <is>
          <t>SALA</t>
        </is>
      </c>
      <c r="G349" t="n">
        <v>5.9</v>
      </c>
      <c r="H349" t="n">
        <v>0</v>
      </c>
      <c r="I349" t="n">
        <v>0</v>
      </c>
      <c r="J349" t="n">
        <v>0</v>
      </c>
      <c r="K349" t="n">
        <v>0</v>
      </c>
      <c r="L349" t="n">
        <v>0</v>
      </c>
      <c r="M349" t="n">
        <v>0</v>
      </c>
      <c r="N349" t="n">
        <v>0</v>
      </c>
      <c r="O349" t="n">
        <v>0</v>
      </c>
      <c r="P349" t="n">
        <v>0</v>
      </c>
      <c r="Q349" t="n">
        <v>0</v>
      </c>
      <c r="R349" s="2" t="inlineStr"/>
    </row>
    <row r="350" ht="15" customHeight="1">
      <c r="A350" t="inlineStr">
        <is>
          <t>A 39167-2025</t>
        </is>
      </c>
      <c r="B350" s="1" t="n">
        <v>45888</v>
      </c>
      <c r="C350" s="1" t="n">
        <v>46017</v>
      </c>
      <c r="D350" t="inlineStr">
        <is>
          <t>VÄSTMANLANDS LÄN</t>
        </is>
      </c>
      <c r="E350" t="inlineStr">
        <is>
          <t>SALA</t>
        </is>
      </c>
      <c r="G350" t="n">
        <v>5.5</v>
      </c>
      <c r="H350" t="n">
        <v>0</v>
      </c>
      <c r="I350" t="n">
        <v>0</v>
      </c>
      <c r="J350" t="n">
        <v>0</v>
      </c>
      <c r="K350" t="n">
        <v>0</v>
      </c>
      <c r="L350" t="n">
        <v>0</v>
      </c>
      <c r="M350" t="n">
        <v>0</v>
      </c>
      <c r="N350" t="n">
        <v>0</v>
      </c>
      <c r="O350" t="n">
        <v>0</v>
      </c>
      <c r="P350" t="n">
        <v>0</v>
      </c>
      <c r="Q350" t="n">
        <v>0</v>
      </c>
      <c r="R350" s="2" t="inlineStr"/>
    </row>
    <row r="351" ht="15" customHeight="1">
      <c r="A351" t="inlineStr">
        <is>
          <t>A 43188-2023</t>
        </is>
      </c>
      <c r="B351" s="1" t="n">
        <v>45183</v>
      </c>
      <c r="C351" s="1" t="n">
        <v>46017</v>
      </c>
      <c r="D351" t="inlineStr">
        <is>
          <t>VÄSTMANLANDS LÄN</t>
        </is>
      </c>
      <c r="E351" t="inlineStr">
        <is>
          <t>SALA</t>
        </is>
      </c>
      <c r="G351" t="n">
        <v>1.2</v>
      </c>
      <c r="H351" t="n">
        <v>0</v>
      </c>
      <c r="I351" t="n">
        <v>0</v>
      </c>
      <c r="J351" t="n">
        <v>0</v>
      </c>
      <c r="K351" t="n">
        <v>0</v>
      </c>
      <c r="L351" t="n">
        <v>0</v>
      </c>
      <c r="M351" t="n">
        <v>0</v>
      </c>
      <c r="N351" t="n">
        <v>0</v>
      </c>
      <c r="O351" t="n">
        <v>0</v>
      </c>
      <c r="P351" t="n">
        <v>0</v>
      </c>
      <c r="Q351" t="n">
        <v>0</v>
      </c>
      <c r="R351" s="2" t="inlineStr"/>
    </row>
    <row r="352" ht="15" customHeight="1">
      <c r="A352" t="inlineStr">
        <is>
          <t>A 43205-2023</t>
        </is>
      </c>
      <c r="B352" s="1" t="n">
        <v>45183</v>
      </c>
      <c r="C352" s="1" t="n">
        <v>46017</v>
      </c>
      <c r="D352" t="inlineStr">
        <is>
          <t>VÄSTMANLANDS LÄN</t>
        </is>
      </c>
      <c r="E352" t="inlineStr">
        <is>
          <t>SALA</t>
        </is>
      </c>
      <c r="G352" t="n">
        <v>2.1</v>
      </c>
      <c r="H352" t="n">
        <v>0</v>
      </c>
      <c r="I352" t="n">
        <v>0</v>
      </c>
      <c r="J352" t="n">
        <v>0</v>
      </c>
      <c r="K352" t="n">
        <v>0</v>
      </c>
      <c r="L352" t="n">
        <v>0</v>
      </c>
      <c r="M352" t="n">
        <v>0</v>
      </c>
      <c r="N352" t="n">
        <v>0</v>
      </c>
      <c r="O352" t="n">
        <v>0</v>
      </c>
      <c r="P352" t="n">
        <v>0</v>
      </c>
      <c r="Q352" t="n">
        <v>0</v>
      </c>
      <c r="R352" s="2" t="inlineStr"/>
    </row>
    <row r="353" ht="15" customHeight="1">
      <c r="A353" t="inlineStr">
        <is>
          <t>A 28827-2022</t>
        </is>
      </c>
      <c r="B353" s="1" t="n">
        <v>44749.45561342593</v>
      </c>
      <c r="C353" s="1" t="n">
        <v>46017</v>
      </c>
      <c r="D353" t="inlineStr">
        <is>
          <t>VÄSTMANLANDS LÄN</t>
        </is>
      </c>
      <c r="E353" t="inlineStr">
        <is>
          <t>SALA</t>
        </is>
      </c>
      <c r="F353" t="inlineStr">
        <is>
          <t>Kommuner</t>
        </is>
      </c>
      <c r="G353" t="n">
        <v>11.9</v>
      </c>
      <c r="H353" t="n">
        <v>0</v>
      </c>
      <c r="I353" t="n">
        <v>0</v>
      </c>
      <c r="J353" t="n">
        <v>0</v>
      </c>
      <c r="K353" t="n">
        <v>0</v>
      </c>
      <c r="L353" t="n">
        <v>0</v>
      </c>
      <c r="M353" t="n">
        <v>0</v>
      </c>
      <c r="N353" t="n">
        <v>0</v>
      </c>
      <c r="O353" t="n">
        <v>0</v>
      </c>
      <c r="P353" t="n">
        <v>0</v>
      </c>
      <c r="Q353" t="n">
        <v>0</v>
      </c>
      <c r="R353" s="2" t="inlineStr"/>
    </row>
    <row r="354" ht="15" customHeight="1">
      <c r="A354" t="inlineStr">
        <is>
          <t>A 27255-2023</t>
        </is>
      </c>
      <c r="B354" s="1" t="n">
        <v>45096</v>
      </c>
      <c r="C354" s="1" t="n">
        <v>46017</v>
      </c>
      <c r="D354" t="inlineStr">
        <is>
          <t>VÄSTMANLANDS LÄN</t>
        </is>
      </c>
      <c r="E354" t="inlineStr">
        <is>
          <t>SALA</t>
        </is>
      </c>
      <c r="F354" t="inlineStr">
        <is>
          <t>Sveaskog</t>
        </is>
      </c>
      <c r="G354" t="n">
        <v>2.3</v>
      </c>
      <c r="H354" t="n">
        <v>0</v>
      </c>
      <c r="I354" t="n">
        <v>0</v>
      </c>
      <c r="J354" t="n">
        <v>0</v>
      </c>
      <c r="K354" t="n">
        <v>0</v>
      </c>
      <c r="L354" t="n">
        <v>0</v>
      </c>
      <c r="M354" t="n">
        <v>0</v>
      </c>
      <c r="N354" t="n">
        <v>0</v>
      </c>
      <c r="O354" t="n">
        <v>0</v>
      </c>
      <c r="P354" t="n">
        <v>0</v>
      </c>
      <c r="Q354" t="n">
        <v>0</v>
      </c>
      <c r="R354" s="2" t="inlineStr"/>
    </row>
    <row r="355" ht="15" customHeight="1">
      <c r="A355" t="inlineStr">
        <is>
          <t>A 15756-2025</t>
        </is>
      </c>
      <c r="B355" s="1" t="n">
        <v>45748.56810185185</v>
      </c>
      <c r="C355" s="1" t="n">
        <v>46017</v>
      </c>
      <c r="D355" t="inlineStr">
        <is>
          <t>VÄSTMANLANDS LÄN</t>
        </is>
      </c>
      <c r="E355" t="inlineStr">
        <is>
          <t>SALA</t>
        </is>
      </c>
      <c r="F355" t="inlineStr">
        <is>
          <t>Bergvik skog öst AB</t>
        </is>
      </c>
      <c r="G355" t="n">
        <v>0.8</v>
      </c>
      <c r="H355" t="n">
        <v>0</v>
      </c>
      <c r="I355" t="n">
        <v>0</v>
      </c>
      <c r="J355" t="n">
        <v>0</v>
      </c>
      <c r="K355" t="n">
        <v>0</v>
      </c>
      <c r="L355" t="n">
        <v>0</v>
      </c>
      <c r="M355" t="n">
        <v>0</v>
      </c>
      <c r="N355" t="n">
        <v>0</v>
      </c>
      <c r="O355" t="n">
        <v>0</v>
      </c>
      <c r="P355" t="n">
        <v>0</v>
      </c>
      <c r="Q355" t="n">
        <v>0</v>
      </c>
      <c r="R355" s="2" t="inlineStr"/>
    </row>
    <row r="356" ht="15" customHeight="1">
      <c r="A356" t="inlineStr">
        <is>
          <t>A 19243-2025</t>
        </is>
      </c>
      <c r="B356" s="1" t="n">
        <v>45769</v>
      </c>
      <c r="C356" s="1" t="n">
        <v>46017</v>
      </c>
      <c r="D356" t="inlineStr">
        <is>
          <t>VÄSTMANLANDS LÄN</t>
        </is>
      </c>
      <c r="E356" t="inlineStr">
        <is>
          <t>SALA</t>
        </is>
      </c>
      <c r="F356" t="inlineStr">
        <is>
          <t>Bergvik skog öst AB</t>
        </is>
      </c>
      <c r="G356" t="n">
        <v>1.5</v>
      </c>
      <c r="H356" t="n">
        <v>0</v>
      </c>
      <c r="I356" t="n">
        <v>0</v>
      </c>
      <c r="J356" t="n">
        <v>0</v>
      </c>
      <c r="K356" t="n">
        <v>0</v>
      </c>
      <c r="L356" t="n">
        <v>0</v>
      </c>
      <c r="M356" t="n">
        <v>0</v>
      </c>
      <c r="N356" t="n">
        <v>0</v>
      </c>
      <c r="O356" t="n">
        <v>0</v>
      </c>
      <c r="P356" t="n">
        <v>0</v>
      </c>
      <c r="Q356" t="n">
        <v>0</v>
      </c>
      <c r="R356" s="2" t="inlineStr"/>
    </row>
    <row r="357" ht="15" customHeight="1">
      <c r="A357" t="inlineStr">
        <is>
          <t>A 59297-2023</t>
        </is>
      </c>
      <c r="B357" s="1" t="n">
        <v>45253</v>
      </c>
      <c r="C357" s="1" t="n">
        <v>46017</v>
      </c>
      <c r="D357" t="inlineStr">
        <is>
          <t>VÄSTMANLANDS LÄN</t>
        </is>
      </c>
      <c r="E357" t="inlineStr">
        <is>
          <t>SALA</t>
        </is>
      </c>
      <c r="G357" t="n">
        <v>2</v>
      </c>
      <c r="H357" t="n">
        <v>0</v>
      </c>
      <c r="I357" t="n">
        <v>0</v>
      </c>
      <c r="J357" t="n">
        <v>0</v>
      </c>
      <c r="K357" t="n">
        <v>0</v>
      </c>
      <c r="L357" t="n">
        <v>0</v>
      </c>
      <c r="M357" t="n">
        <v>0</v>
      </c>
      <c r="N357" t="n">
        <v>0</v>
      </c>
      <c r="O357" t="n">
        <v>0</v>
      </c>
      <c r="P357" t="n">
        <v>0</v>
      </c>
      <c r="Q357" t="n">
        <v>0</v>
      </c>
      <c r="R357" s="2" t="inlineStr"/>
    </row>
    <row r="358" ht="15" customHeight="1">
      <c r="A358" t="inlineStr">
        <is>
          <t>A 6136-2025</t>
        </is>
      </c>
      <c r="B358" s="1" t="n">
        <v>45698.37601851852</v>
      </c>
      <c r="C358" s="1" t="n">
        <v>46017</v>
      </c>
      <c r="D358" t="inlineStr">
        <is>
          <t>VÄSTMANLANDS LÄN</t>
        </is>
      </c>
      <c r="E358" t="inlineStr">
        <is>
          <t>SALA</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6190-2025</t>
        </is>
      </c>
      <c r="B359" s="1" t="n">
        <v>45698</v>
      </c>
      <c r="C359" s="1" t="n">
        <v>46017</v>
      </c>
      <c r="D359" t="inlineStr">
        <is>
          <t>VÄSTMANLANDS LÄN</t>
        </is>
      </c>
      <c r="E359" t="inlineStr">
        <is>
          <t>SALA</t>
        </is>
      </c>
      <c r="F359" t="inlineStr">
        <is>
          <t>Bergvik skog öst AB</t>
        </is>
      </c>
      <c r="G359" t="n">
        <v>4.6</v>
      </c>
      <c r="H359" t="n">
        <v>0</v>
      </c>
      <c r="I359" t="n">
        <v>0</v>
      </c>
      <c r="J359" t="n">
        <v>0</v>
      </c>
      <c r="K359" t="n">
        <v>0</v>
      </c>
      <c r="L359" t="n">
        <v>0</v>
      </c>
      <c r="M359" t="n">
        <v>0</v>
      </c>
      <c r="N359" t="n">
        <v>0</v>
      </c>
      <c r="O359" t="n">
        <v>0</v>
      </c>
      <c r="P359" t="n">
        <v>0</v>
      </c>
      <c r="Q359" t="n">
        <v>0</v>
      </c>
      <c r="R359" s="2" t="inlineStr"/>
    </row>
    <row r="360" ht="15" customHeight="1">
      <c r="A360" t="inlineStr">
        <is>
          <t>A 52498-2022</t>
        </is>
      </c>
      <c r="B360" s="1" t="n">
        <v>44874.50152777778</v>
      </c>
      <c r="C360" s="1" t="n">
        <v>46017</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60034-2024</t>
        </is>
      </c>
      <c r="B361" s="1" t="n">
        <v>45642.46261574074</v>
      </c>
      <c r="C361" s="1" t="n">
        <v>46017</v>
      </c>
      <c r="D361" t="inlineStr">
        <is>
          <t>VÄSTMANLANDS LÄN</t>
        </is>
      </c>
      <c r="E361" t="inlineStr">
        <is>
          <t>SALA</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3810-2023</t>
        </is>
      </c>
      <c r="B362" s="1" t="n">
        <v>44951.60454861111</v>
      </c>
      <c r="C362" s="1" t="n">
        <v>46017</v>
      </c>
      <c r="D362" t="inlineStr">
        <is>
          <t>VÄSTMANLANDS LÄN</t>
        </is>
      </c>
      <c r="E362" t="inlineStr">
        <is>
          <t>SALA</t>
        </is>
      </c>
      <c r="G362" t="n">
        <v>4.2</v>
      </c>
      <c r="H362" t="n">
        <v>0</v>
      </c>
      <c r="I362" t="n">
        <v>0</v>
      </c>
      <c r="J362" t="n">
        <v>0</v>
      </c>
      <c r="K362" t="n">
        <v>0</v>
      </c>
      <c r="L362" t="n">
        <v>0</v>
      </c>
      <c r="M362" t="n">
        <v>0</v>
      </c>
      <c r="N362" t="n">
        <v>0</v>
      </c>
      <c r="O362" t="n">
        <v>0</v>
      </c>
      <c r="P362" t="n">
        <v>0</v>
      </c>
      <c r="Q362" t="n">
        <v>0</v>
      </c>
      <c r="R362" s="2" t="inlineStr"/>
    </row>
    <row r="363" ht="15" customHeight="1">
      <c r="A363" t="inlineStr">
        <is>
          <t>A 28863-2022</t>
        </is>
      </c>
      <c r="B363" s="1" t="n">
        <v>44749.50649305555</v>
      </c>
      <c r="C363" s="1" t="n">
        <v>46017</v>
      </c>
      <c r="D363" t="inlineStr">
        <is>
          <t>VÄSTMANLANDS LÄN</t>
        </is>
      </c>
      <c r="E363" t="inlineStr">
        <is>
          <t>SALA</t>
        </is>
      </c>
      <c r="G363" t="n">
        <v>1.6</v>
      </c>
      <c r="H363" t="n">
        <v>0</v>
      </c>
      <c r="I363" t="n">
        <v>0</v>
      </c>
      <c r="J363" t="n">
        <v>0</v>
      </c>
      <c r="K363" t="n">
        <v>0</v>
      </c>
      <c r="L363" t="n">
        <v>0</v>
      </c>
      <c r="M363" t="n">
        <v>0</v>
      </c>
      <c r="N363" t="n">
        <v>0</v>
      </c>
      <c r="O363" t="n">
        <v>0</v>
      </c>
      <c r="P363" t="n">
        <v>0</v>
      </c>
      <c r="Q363" t="n">
        <v>0</v>
      </c>
      <c r="R363" s="2" t="inlineStr"/>
    </row>
    <row r="364" ht="15" customHeight="1">
      <c r="A364" t="inlineStr">
        <is>
          <t>A 31082-2021</t>
        </is>
      </c>
      <c r="B364" s="1" t="n">
        <v>44368</v>
      </c>
      <c r="C364" s="1" t="n">
        <v>46017</v>
      </c>
      <c r="D364" t="inlineStr">
        <is>
          <t>VÄSTMANLANDS LÄN</t>
        </is>
      </c>
      <c r="E364" t="inlineStr">
        <is>
          <t>SALA</t>
        </is>
      </c>
      <c r="G364" t="n">
        <v>2</v>
      </c>
      <c r="H364" t="n">
        <v>0</v>
      </c>
      <c r="I364" t="n">
        <v>0</v>
      </c>
      <c r="J364" t="n">
        <v>0</v>
      </c>
      <c r="K364" t="n">
        <v>0</v>
      </c>
      <c r="L364" t="n">
        <v>0</v>
      </c>
      <c r="M364" t="n">
        <v>0</v>
      </c>
      <c r="N364" t="n">
        <v>0</v>
      </c>
      <c r="O364" t="n">
        <v>0</v>
      </c>
      <c r="P364" t="n">
        <v>0</v>
      </c>
      <c r="Q364" t="n">
        <v>0</v>
      </c>
      <c r="R364" s="2" t="inlineStr"/>
    </row>
    <row r="365" ht="15" customHeight="1">
      <c r="A365" t="inlineStr">
        <is>
          <t>A 25541-2024</t>
        </is>
      </c>
      <c r="B365" s="1" t="n">
        <v>45463.56337962963</v>
      </c>
      <c r="C365" s="1" t="n">
        <v>46017</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52503-2024</t>
        </is>
      </c>
      <c r="B366" s="1" t="n">
        <v>45609.58806712963</v>
      </c>
      <c r="C366" s="1" t="n">
        <v>46017</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2521-2025</t>
        </is>
      </c>
      <c r="B367" s="1" t="n">
        <v>45674</v>
      </c>
      <c r="C367" s="1" t="n">
        <v>46017</v>
      </c>
      <c r="D367" t="inlineStr">
        <is>
          <t>VÄSTMANLANDS LÄN</t>
        </is>
      </c>
      <c r="E367" t="inlineStr">
        <is>
          <t>SALA</t>
        </is>
      </c>
      <c r="G367" t="n">
        <v>3.5</v>
      </c>
      <c r="H367" t="n">
        <v>0</v>
      </c>
      <c r="I367" t="n">
        <v>0</v>
      </c>
      <c r="J367" t="n">
        <v>0</v>
      </c>
      <c r="K367" t="n">
        <v>0</v>
      </c>
      <c r="L367" t="n">
        <v>0</v>
      </c>
      <c r="M367" t="n">
        <v>0</v>
      </c>
      <c r="N367" t="n">
        <v>0</v>
      </c>
      <c r="O367" t="n">
        <v>0</v>
      </c>
      <c r="P367" t="n">
        <v>0</v>
      </c>
      <c r="Q367" t="n">
        <v>0</v>
      </c>
      <c r="R367" s="2" t="inlineStr"/>
    </row>
    <row r="368" ht="15" customHeight="1">
      <c r="A368" t="inlineStr">
        <is>
          <t>A 29213-2022</t>
        </is>
      </c>
      <c r="B368" s="1" t="n">
        <v>44750.57474537037</v>
      </c>
      <c r="C368" s="1" t="n">
        <v>46017</v>
      </c>
      <c r="D368" t="inlineStr">
        <is>
          <t>VÄSTMANLANDS LÄN</t>
        </is>
      </c>
      <c r="E368" t="inlineStr">
        <is>
          <t>SALA</t>
        </is>
      </c>
      <c r="G368" t="n">
        <v>1</v>
      </c>
      <c r="H368" t="n">
        <v>0</v>
      </c>
      <c r="I368" t="n">
        <v>0</v>
      </c>
      <c r="J368" t="n">
        <v>0</v>
      </c>
      <c r="K368" t="n">
        <v>0</v>
      </c>
      <c r="L368" t="n">
        <v>0</v>
      </c>
      <c r="M368" t="n">
        <v>0</v>
      </c>
      <c r="N368" t="n">
        <v>0</v>
      </c>
      <c r="O368" t="n">
        <v>0</v>
      </c>
      <c r="P368" t="n">
        <v>0</v>
      </c>
      <c r="Q368" t="n">
        <v>0</v>
      </c>
      <c r="R368" s="2" t="inlineStr"/>
    </row>
    <row r="369" ht="15" customHeight="1">
      <c r="A369" t="inlineStr">
        <is>
          <t>A 56964-2023</t>
        </is>
      </c>
      <c r="B369" s="1" t="n">
        <v>45244.63140046296</v>
      </c>
      <c r="C369" s="1" t="n">
        <v>46017</v>
      </c>
      <c r="D369" t="inlineStr">
        <is>
          <t>VÄSTMANLANDS LÄN</t>
        </is>
      </c>
      <c r="E369" t="inlineStr">
        <is>
          <t>SALA</t>
        </is>
      </c>
      <c r="G369" t="n">
        <v>4.6</v>
      </c>
      <c r="H369" t="n">
        <v>0</v>
      </c>
      <c r="I369" t="n">
        <v>0</v>
      </c>
      <c r="J369" t="n">
        <v>0</v>
      </c>
      <c r="K369" t="n">
        <v>0</v>
      </c>
      <c r="L369" t="n">
        <v>0</v>
      </c>
      <c r="M369" t="n">
        <v>0</v>
      </c>
      <c r="N369" t="n">
        <v>0</v>
      </c>
      <c r="O369" t="n">
        <v>0</v>
      </c>
      <c r="P369" t="n">
        <v>0</v>
      </c>
      <c r="Q369" t="n">
        <v>0</v>
      </c>
      <c r="R369" s="2" t="inlineStr"/>
    </row>
    <row r="370" ht="15" customHeight="1">
      <c r="A370" t="inlineStr">
        <is>
          <t>A 31000-2022</t>
        </is>
      </c>
      <c r="B370" s="1" t="n">
        <v>44768</v>
      </c>
      <c r="C370" s="1" t="n">
        <v>46017</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40556-2025</t>
        </is>
      </c>
      <c r="B371" s="1" t="n">
        <v>45896.44944444444</v>
      </c>
      <c r="C371" s="1" t="n">
        <v>46017</v>
      </c>
      <c r="D371" t="inlineStr">
        <is>
          <t>VÄSTMANLANDS LÄN</t>
        </is>
      </c>
      <c r="E371" t="inlineStr">
        <is>
          <t>SALA</t>
        </is>
      </c>
      <c r="G371" t="n">
        <v>1.9</v>
      </c>
      <c r="H371" t="n">
        <v>0</v>
      </c>
      <c r="I371" t="n">
        <v>0</v>
      </c>
      <c r="J371" t="n">
        <v>0</v>
      </c>
      <c r="K371" t="n">
        <v>0</v>
      </c>
      <c r="L371" t="n">
        <v>0</v>
      </c>
      <c r="M371" t="n">
        <v>0</v>
      </c>
      <c r="N371" t="n">
        <v>0</v>
      </c>
      <c r="O371" t="n">
        <v>0</v>
      </c>
      <c r="P371" t="n">
        <v>0</v>
      </c>
      <c r="Q371" t="n">
        <v>0</v>
      </c>
      <c r="R371" s="2" t="inlineStr"/>
    </row>
    <row r="372" ht="15" customHeight="1">
      <c r="A372" t="inlineStr">
        <is>
          <t>A 20352-2022</t>
        </is>
      </c>
      <c r="B372" s="1" t="n">
        <v>44699.37318287037</v>
      </c>
      <c r="C372" s="1" t="n">
        <v>46017</v>
      </c>
      <c r="D372" t="inlineStr">
        <is>
          <t>VÄSTMANLANDS LÄN</t>
        </is>
      </c>
      <c r="E372" t="inlineStr">
        <is>
          <t>SALA</t>
        </is>
      </c>
      <c r="G372" t="n">
        <v>1.3</v>
      </c>
      <c r="H372" t="n">
        <v>0</v>
      </c>
      <c r="I372" t="n">
        <v>0</v>
      </c>
      <c r="J372" t="n">
        <v>0</v>
      </c>
      <c r="K372" t="n">
        <v>0</v>
      </c>
      <c r="L372" t="n">
        <v>0</v>
      </c>
      <c r="M372" t="n">
        <v>0</v>
      </c>
      <c r="N372" t="n">
        <v>0</v>
      </c>
      <c r="O372" t="n">
        <v>0</v>
      </c>
      <c r="P372" t="n">
        <v>0</v>
      </c>
      <c r="Q372" t="n">
        <v>0</v>
      </c>
      <c r="R372" s="2" t="inlineStr"/>
    </row>
    <row r="373" ht="15" customHeight="1">
      <c r="A373" t="inlineStr">
        <is>
          <t>A 40559-2025</t>
        </is>
      </c>
      <c r="B373" s="1" t="n">
        <v>45896.45037037037</v>
      </c>
      <c r="C373" s="1" t="n">
        <v>46017</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40620-2025</t>
        </is>
      </c>
      <c r="B374" s="1" t="n">
        <v>45896.58609953704</v>
      </c>
      <c r="C374" s="1" t="n">
        <v>46017</v>
      </c>
      <c r="D374" t="inlineStr">
        <is>
          <t>VÄSTMANLANDS LÄN</t>
        </is>
      </c>
      <c r="E374" t="inlineStr">
        <is>
          <t>SALA</t>
        </is>
      </c>
      <c r="G374" t="n">
        <v>6.7</v>
      </c>
      <c r="H374" t="n">
        <v>0</v>
      </c>
      <c r="I374" t="n">
        <v>0</v>
      </c>
      <c r="J374" t="n">
        <v>0</v>
      </c>
      <c r="K374" t="n">
        <v>0</v>
      </c>
      <c r="L374" t="n">
        <v>0</v>
      </c>
      <c r="M374" t="n">
        <v>0</v>
      </c>
      <c r="N374" t="n">
        <v>0</v>
      </c>
      <c r="O374" t="n">
        <v>0</v>
      </c>
      <c r="P374" t="n">
        <v>0</v>
      </c>
      <c r="Q374" t="n">
        <v>0</v>
      </c>
      <c r="R374" s="2" t="inlineStr"/>
    </row>
    <row r="375" ht="15" customHeight="1">
      <c r="A375" t="inlineStr">
        <is>
          <t>A 31950-2023</t>
        </is>
      </c>
      <c r="B375" s="1" t="n">
        <v>45107</v>
      </c>
      <c r="C375" s="1" t="n">
        <v>46017</v>
      </c>
      <c r="D375" t="inlineStr">
        <is>
          <t>VÄSTMANLANDS LÄN</t>
        </is>
      </c>
      <c r="E375" t="inlineStr">
        <is>
          <t>SALA</t>
        </is>
      </c>
      <c r="G375" t="n">
        <v>0.1</v>
      </c>
      <c r="H375" t="n">
        <v>0</v>
      </c>
      <c r="I375" t="n">
        <v>0</v>
      </c>
      <c r="J375" t="n">
        <v>0</v>
      </c>
      <c r="K375" t="n">
        <v>0</v>
      </c>
      <c r="L375" t="n">
        <v>0</v>
      </c>
      <c r="M375" t="n">
        <v>0</v>
      </c>
      <c r="N375" t="n">
        <v>0</v>
      </c>
      <c r="O375" t="n">
        <v>0</v>
      </c>
      <c r="P375" t="n">
        <v>0</v>
      </c>
      <c r="Q375" t="n">
        <v>0</v>
      </c>
      <c r="R375" s="2" t="inlineStr"/>
    </row>
    <row r="376" ht="15" customHeight="1">
      <c r="A376" t="inlineStr">
        <is>
          <t>A 1555-2024</t>
        </is>
      </c>
      <c r="B376" s="1" t="n">
        <v>45306</v>
      </c>
      <c r="C376" s="1" t="n">
        <v>46017</v>
      </c>
      <c r="D376" t="inlineStr">
        <is>
          <t>VÄSTMANLANDS LÄN</t>
        </is>
      </c>
      <c r="E376" t="inlineStr">
        <is>
          <t>SALA</t>
        </is>
      </c>
      <c r="G376" t="n">
        <v>1.3</v>
      </c>
      <c r="H376" t="n">
        <v>0</v>
      </c>
      <c r="I376" t="n">
        <v>0</v>
      </c>
      <c r="J376" t="n">
        <v>0</v>
      </c>
      <c r="K376" t="n">
        <v>0</v>
      </c>
      <c r="L376" t="n">
        <v>0</v>
      </c>
      <c r="M376" t="n">
        <v>0</v>
      </c>
      <c r="N376" t="n">
        <v>0</v>
      </c>
      <c r="O376" t="n">
        <v>0</v>
      </c>
      <c r="P376" t="n">
        <v>0</v>
      </c>
      <c r="Q376" t="n">
        <v>0</v>
      </c>
      <c r="R376" s="2" t="inlineStr"/>
    </row>
    <row r="377" ht="15" customHeight="1">
      <c r="A377" t="inlineStr">
        <is>
          <t>A 13188-2025</t>
        </is>
      </c>
      <c r="B377" s="1" t="n">
        <v>45735.39246527778</v>
      </c>
      <c r="C377" s="1" t="n">
        <v>46017</v>
      </c>
      <c r="D377" t="inlineStr">
        <is>
          <t>VÄSTMANLANDS LÄN</t>
        </is>
      </c>
      <c r="E377" t="inlineStr">
        <is>
          <t>SALA</t>
        </is>
      </c>
      <c r="F377" t="inlineStr">
        <is>
          <t>Naturvårdsverket</t>
        </is>
      </c>
      <c r="G377" t="n">
        <v>18.4</v>
      </c>
      <c r="H377" t="n">
        <v>0</v>
      </c>
      <c r="I377" t="n">
        <v>0</v>
      </c>
      <c r="J377" t="n">
        <v>0</v>
      </c>
      <c r="K377" t="n">
        <v>0</v>
      </c>
      <c r="L377" t="n">
        <v>0</v>
      </c>
      <c r="M377" t="n">
        <v>0</v>
      </c>
      <c r="N377" t="n">
        <v>0</v>
      </c>
      <c r="O377" t="n">
        <v>0</v>
      </c>
      <c r="P377" t="n">
        <v>0</v>
      </c>
      <c r="Q377" t="n">
        <v>0</v>
      </c>
      <c r="R377" s="2" t="inlineStr"/>
    </row>
    <row r="378" ht="15" customHeight="1">
      <c r="A378" t="inlineStr">
        <is>
          <t>A 16693-2023</t>
        </is>
      </c>
      <c r="B378" s="1" t="n">
        <v>45028</v>
      </c>
      <c r="C378" s="1" t="n">
        <v>46017</v>
      </c>
      <c r="D378" t="inlineStr">
        <is>
          <t>VÄSTMANLANDS LÄN</t>
        </is>
      </c>
      <c r="E378" t="inlineStr">
        <is>
          <t>SALA</t>
        </is>
      </c>
      <c r="G378" t="n">
        <v>1.5</v>
      </c>
      <c r="H378" t="n">
        <v>0</v>
      </c>
      <c r="I378" t="n">
        <v>0</v>
      </c>
      <c r="J378" t="n">
        <v>0</v>
      </c>
      <c r="K378" t="n">
        <v>0</v>
      </c>
      <c r="L378" t="n">
        <v>0</v>
      </c>
      <c r="M378" t="n">
        <v>0</v>
      </c>
      <c r="N378" t="n">
        <v>0</v>
      </c>
      <c r="O378" t="n">
        <v>0</v>
      </c>
      <c r="P378" t="n">
        <v>0</v>
      </c>
      <c r="Q378" t="n">
        <v>0</v>
      </c>
      <c r="R378" s="2" t="inlineStr"/>
    </row>
    <row r="379" ht="15" customHeight="1">
      <c r="A379" t="inlineStr">
        <is>
          <t>A 23182-2022</t>
        </is>
      </c>
      <c r="B379" s="1" t="n">
        <v>44719.79707175926</v>
      </c>
      <c r="C379" s="1" t="n">
        <v>46017</v>
      </c>
      <c r="D379" t="inlineStr">
        <is>
          <t>VÄSTMANLANDS LÄN</t>
        </is>
      </c>
      <c r="E379" t="inlineStr">
        <is>
          <t>SALA</t>
        </is>
      </c>
      <c r="G379" t="n">
        <v>1.2</v>
      </c>
      <c r="H379" t="n">
        <v>0</v>
      </c>
      <c r="I379" t="n">
        <v>0</v>
      </c>
      <c r="J379" t="n">
        <v>0</v>
      </c>
      <c r="K379" t="n">
        <v>0</v>
      </c>
      <c r="L379" t="n">
        <v>0</v>
      </c>
      <c r="M379" t="n">
        <v>0</v>
      </c>
      <c r="N379" t="n">
        <v>0</v>
      </c>
      <c r="O379" t="n">
        <v>0</v>
      </c>
      <c r="P379" t="n">
        <v>0</v>
      </c>
      <c r="Q379" t="n">
        <v>0</v>
      </c>
      <c r="R379" s="2" t="inlineStr"/>
    </row>
    <row r="380" ht="15" customHeight="1">
      <c r="A380" t="inlineStr">
        <is>
          <t>A 41230-2025</t>
        </is>
      </c>
      <c r="B380" s="1" t="n">
        <v>45898</v>
      </c>
      <c r="C380" s="1" t="n">
        <v>46017</v>
      </c>
      <c r="D380" t="inlineStr">
        <is>
          <t>VÄSTMANLANDS LÄN</t>
        </is>
      </c>
      <c r="E380" t="inlineStr">
        <is>
          <t>SALA</t>
        </is>
      </c>
      <c r="G380" t="n">
        <v>2.3</v>
      </c>
      <c r="H380" t="n">
        <v>0</v>
      </c>
      <c r="I380" t="n">
        <v>0</v>
      </c>
      <c r="J380" t="n">
        <v>0</v>
      </c>
      <c r="K380" t="n">
        <v>0</v>
      </c>
      <c r="L380" t="n">
        <v>0</v>
      </c>
      <c r="M380" t="n">
        <v>0</v>
      </c>
      <c r="N380" t="n">
        <v>0</v>
      </c>
      <c r="O380" t="n">
        <v>0</v>
      </c>
      <c r="P380" t="n">
        <v>0</v>
      </c>
      <c r="Q380" t="n">
        <v>0</v>
      </c>
      <c r="R380" s="2" t="inlineStr"/>
    </row>
    <row r="381" ht="15" customHeight="1">
      <c r="A381" t="inlineStr">
        <is>
          <t>A 7197-2025</t>
        </is>
      </c>
      <c r="B381" s="1" t="n">
        <v>45702</v>
      </c>
      <c r="C381" s="1" t="n">
        <v>46017</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57371-2022</t>
        </is>
      </c>
      <c r="B382" s="1" t="n">
        <v>44896.43832175926</v>
      </c>
      <c r="C382" s="1" t="n">
        <v>46017</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15099-2025</t>
        </is>
      </c>
      <c r="B383" s="1" t="n">
        <v>45744.3434837963</v>
      </c>
      <c r="C383" s="1" t="n">
        <v>46017</v>
      </c>
      <c r="D383" t="inlineStr">
        <is>
          <t>VÄSTMANLANDS LÄN</t>
        </is>
      </c>
      <c r="E383" t="inlineStr">
        <is>
          <t>SALA</t>
        </is>
      </c>
      <c r="F383" t="inlineStr">
        <is>
          <t>Sveaskog</t>
        </is>
      </c>
      <c r="G383" t="n">
        <v>14.4</v>
      </c>
      <c r="H383" t="n">
        <v>0</v>
      </c>
      <c r="I383" t="n">
        <v>0</v>
      </c>
      <c r="J383" t="n">
        <v>0</v>
      </c>
      <c r="K383" t="n">
        <v>0</v>
      </c>
      <c r="L383" t="n">
        <v>0</v>
      </c>
      <c r="M383" t="n">
        <v>0</v>
      </c>
      <c r="N383" t="n">
        <v>0</v>
      </c>
      <c r="O383" t="n">
        <v>0</v>
      </c>
      <c r="P383" t="n">
        <v>0</v>
      </c>
      <c r="Q383" t="n">
        <v>0</v>
      </c>
      <c r="R383" s="2" t="inlineStr"/>
    </row>
    <row r="384" ht="15" customHeight="1">
      <c r="A384" t="inlineStr">
        <is>
          <t>A 2928-2024</t>
        </is>
      </c>
      <c r="B384" s="1" t="n">
        <v>45315.59041666667</v>
      </c>
      <c r="C384" s="1" t="n">
        <v>46017</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row>
    <row r="385" ht="15" customHeight="1">
      <c r="A385" t="inlineStr">
        <is>
          <t>A 41431-2025</t>
        </is>
      </c>
      <c r="B385" s="1" t="n">
        <v>45901.39347222223</v>
      </c>
      <c r="C385" s="1" t="n">
        <v>46017</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41414-2025</t>
        </is>
      </c>
      <c r="B386" s="1" t="n">
        <v>45901.360625</v>
      </c>
      <c r="C386" s="1" t="n">
        <v>46017</v>
      </c>
      <c r="D386" t="inlineStr">
        <is>
          <t>VÄSTMANLANDS LÄN</t>
        </is>
      </c>
      <c r="E386" t="inlineStr">
        <is>
          <t>SALA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53164-2024</t>
        </is>
      </c>
      <c r="B387" s="1" t="n">
        <v>45611.64887731482</v>
      </c>
      <c r="C387" s="1" t="n">
        <v>46017</v>
      </c>
      <c r="D387" t="inlineStr">
        <is>
          <t>VÄSTMANLANDS LÄN</t>
        </is>
      </c>
      <c r="E387" t="inlineStr">
        <is>
          <t>SALA</t>
        </is>
      </c>
      <c r="G387" t="n">
        <v>2.6</v>
      </c>
      <c r="H387" t="n">
        <v>0</v>
      </c>
      <c r="I387" t="n">
        <v>0</v>
      </c>
      <c r="J387" t="n">
        <v>0</v>
      </c>
      <c r="K387" t="n">
        <v>0</v>
      </c>
      <c r="L387" t="n">
        <v>0</v>
      </c>
      <c r="M387" t="n">
        <v>0</v>
      </c>
      <c r="N387" t="n">
        <v>0</v>
      </c>
      <c r="O387" t="n">
        <v>0</v>
      </c>
      <c r="P387" t="n">
        <v>0</v>
      </c>
      <c r="Q387" t="n">
        <v>0</v>
      </c>
      <c r="R387" s="2" t="inlineStr"/>
    </row>
    <row r="388" ht="15" customHeight="1">
      <c r="A388" t="inlineStr">
        <is>
          <t>A 9962-2025</t>
        </is>
      </c>
      <c r="B388" s="1" t="n">
        <v>45719.37072916667</v>
      </c>
      <c r="C388" s="1" t="n">
        <v>46017</v>
      </c>
      <c r="D388" t="inlineStr">
        <is>
          <t>VÄSTMANLANDS LÄN</t>
        </is>
      </c>
      <c r="E388" t="inlineStr">
        <is>
          <t>SALA</t>
        </is>
      </c>
      <c r="G388" t="n">
        <v>4.5</v>
      </c>
      <c r="H388" t="n">
        <v>0</v>
      </c>
      <c r="I388" t="n">
        <v>0</v>
      </c>
      <c r="J388" t="n">
        <v>0</v>
      </c>
      <c r="K388" t="n">
        <v>0</v>
      </c>
      <c r="L388" t="n">
        <v>0</v>
      </c>
      <c r="M388" t="n">
        <v>0</v>
      </c>
      <c r="N388" t="n">
        <v>0</v>
      </c>
      <c r="O388" t="n">
        <v>0</v>
      </c>
      <c r="P388" t="n">
        <v>0</v>
      </c>
      <c r="Q388" t="n">
        <v>0</v>
      </c>
      <c r="R388" s="2" t="inlineStr"/>
    </row>
    <row r="389" ht="15" customHeight="1">
      <c r="A389" t="inlineStr">
        <is>
          <t>A 56548-2024</t>
        </is>
      </c>
      <c r="B389" s="1" t="n">
        <v>45625</v>
      </c>
      <c r="C389" s="1" t="n">
        <v>46017</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47086-2022</t>
        </is>
      </c>
      <c r="B390" s="1" t="n">
        <v>44852</v>
      </c>
      <c r="C390" s="1" t="n">
        <v>46017</v>
      </c>
      <c r="D390" t="inlineStr">
        <is>
          <t>VÄSTMANLANDS LÄN</t>
        </is>
      </c>
      <c r="E390" t="inlineStr">
        <is>
          <t>SALA</t>
        </is>
      </c>
      <c r="G390" t="n">
        <v>12.5</v>
      </c>
      <c r="H390" t="n">
        <v>0</v>
      </c>
      <c r="I390" t="n">
        <v>0</v>
      </c>
      <c r="J390" t="n">
        <v>0</v>
      </c>
      <c r="K390" t="n">
        <v>0</v>
      </c>
      <c r="L390" t="n">
        <v>0</v>
      </c>
      <c r="M390" t="n">
        <v>0</v>
      </c>
      <c r="N390" t="n">
        <v>0</v>
      </c>
      <c r="O390" t="n">
        <v>0</v>
      </c>
      <c r="P390" t="n">
        <v>0</v>
      </c>
      <c r="Q390" t="n">
        <v>0</v>
      </c>
      <c r="R390" s="2" t="inlineStr"/>
    </row>
    <row r="391" ht="15" customHeight="1">
      <c r="A391" t="inlineStr">
        <is>
          <t>A 14024-2025</t>
        </is>
      </c>
      <c r="B391" s="1" t="n">
        <v>45740.34650462963</v>
      </c>
      <c r="C391" s="1" t="n">
        <v>46017</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61717-2024</t>
        </is>
      </c>
      <c r="B392" s="1" t="n">
        <v>45648</v>
      </c>
      <c r="C392" s="1" t="n">
        <v>46017</v>
      </c>
      <c r="D392" t="inlineStr">
        <is>
          <t>VÄSTMANLANDS LÄN</t>
        </is>
      </c>
      <c r="E392" t="inlineStr">
        <is>
          <t>SALA</t>
        </is>
      </c>
      <c r="G392" t="n">
        <v>3.7</v>
      </c>
      <c r="H392" t="n">
        <v>0</v>
      </c>
      <c r="I392" t="n">
        <v>0</v>
      </c>
      <c r="J392" t="n">
        <v>0</v>
      </c>
      <c r="K392" t="n">
        <v>0</v>
      </c>
      <c r="L392" t="n">
        <v>0</v>
      </c>
      <c r="M392" t="n">
        <v>0</v>
      </c>
      <c r="N392" t="n">
        <v>0</v>
      </c>
      <c r="O392" t="n">
        <v>0</v>
      </c>
      <c r="P392" t="n">
        <v>0</v>
      </c>
      <c r="Q392" t="n">
        <v>0</v>
      </c>
      <c r="R392" s="2" t="inlineStr"/>
    </row>
    <row r="393" ht="15" customHeight="1">
      <c r="A393" t="inlineStr">
        <is>
          <t>A 3551-2024</t>
        </is>
      </c>
      <c r="B393" s="1" t="n">
        <v>45320.61099537037</v>
      </c>
      <c r="C393" s="1" t="n">
        <v>46017</v>
      </c>
      <c r="D393" t="inlineStr">
        <is>
          <t>VÄSTMANLANDS LÄN</t>
        </is>
      </c>
      <c r="E393" t="inlineStr">
        <is>
          <t>SALA</t>
        </is>
      </c>
      <c r="F393" t="inlineStr">
        <is>
          <t>Kommuner</t>
        </is>
      </c>
      <c r="G393" t="n">
        <v>6</v>
      </c>
      <c r="H393" t="n">
        <v>0</v>
      </c>
      <c r="I393" t="n">
        <v>0</v>
      </c>
      <c r="J393" t="n">
        <v>0</v>
      </c>
      <c r="K393" t="n">
        <v>0</v>
      </c>
      <c r="L393" t="n">
        <v>0</v>
      </c>
      <c r="M393" t="n">
        <v>0</v>
      </c>
      <c r="N393" t="n">
        <v>0</v>
      </c>
      <c r="O393" t="n">
        <v>0</v>
      </c>
      <c r="P393" t="n">
        <v>0</v>
      </c>
      <c r="Q393" t="n">
        <v>0</v>
      </c>
      <c r="R393" s="2" t="inlineStr"/>
    </row>
    <row r="394" ht="15" customHeight="1">
      <c r="A394" t="inlineStr">
        <is>
          <t>A 62635-2022</t>
        </is>
      </c>
      <c r="B394" s="1" t="n">
        <v>44917</v>
      </c>
      <c r="C394" s="1" t="n">
        <v>46017</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19304-2025</t>
        </is>
      </c>
      <c r="B395" s="1" t="n">
        <v>45769</v>
      </c>
      <c r="C395" s="1" t="n">
        <v>46017</v>
      </c>
      <c r="D395" t="inlineStr">
        <is>
          <t>VÄSTMANLANDS LÄN</t>
        </is>
      </c>
      <c r="E395" t="inlineStr">
        <is>
          <t>SALA</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988-2025</t>
        </is>
      </c>
      <c r="B396" s="1" t="n">
        <v>45666.44038194444</v>
      </c>
      <c r="C396" s="1" t="n">
        <v>46017</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21968-2024</t>
        </is>
      </c>
      <c r="B397" s="1" t="n">
        <v>45443</v>
      </c>
      <c r="C397" s="1" t="n">
        <v>46017</v>
      </c>
      <c r="D397" t="inlineStr">
        <is>
          <t>VÄSTMANLANDS LÄN</t>
        </is>
      </c>
      <c r="E397" t="inlineStr">
        <is>
          <t>SALA</t>
        </is>
      </c>
      <c r="G397" t="n">
        <v>1.9</v>
      </c>
      <c r="H397" t="n">
        <v>0</v>
      </c>
      <c r="I397" t="n">
        <v>0</v>
      </c>
      <c r="J397" t="n">
        <v>0</v>
      </c>
      <c r="K397" t="n">
        <v>0</v>
      </c>
      <c r="L397" t="n">
        <v>0</v>
      </c>
      <c r="M397" t="n">
        <v>0</v>
      </c>
      <c r="N397" t="n">
        <v>0</v>
      </c>
      <c r="O397" t="n">
        <v>0</v>
      </c>
      <c r="P397" t="n">
        <v>0</v>
      </c>
      <c r="Q397" t="n">
        <v>0</v>
      </c>
      <c r="R397" s="2" t="inlineStr"/>
    </row>
    <row r="398" ht="15" customHeight="1">
      <c r="A398" t="inlineStr">
        <is>
          <t>A 5032-2025</t>
        </is>
      </c>
      <c r="B398" s="1" t="n">
        <v>45691</v>
      </c>
      <c r="C398" s="1" t="n">
        <v>46017</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56057-2023</t>
        </is>
      </c>
      <c r="B399" s="1" t="n">
        <v>45233</v>
      </c>
      <c r="C399" s="1" t="n">
        <v>46017</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42421-2025</t>
        </is>
      </c>
      <c r="B400" s="1" t="n">
        <v>45905.40067129629</v>
      </c>
      <c r="C400" s="1" t="n">
        <v>46017</v>
      </c>
      <c r="D400" t="inlineStr">
        <is>
          <t>VÄSTMANLANDS LÄN</t>
        </is>
      </c>
      <c r="E400" t="inlineStr">
        <is>
          <t>SALA</t>
        </is>
      </c>
      <c r="G400" t="n">
        <v>1.3</v>
      </c>
      <c r="H400" t="n">
        <v>0</v>
      </c>
      <c r="I400" t="n">
        <v>0</v>
      </c>
      <c r="J400" t="n">
        <v>0</v>
      </c>
      <c r="K400" t="n">
        <v>0</v>
      </c>
      <c r="L400" t="n">
        <v>0</v>
      </c>
      <c r="M400" t="n">
        <v>0</v>
      </c>
      <c r="N400" t="n">
        <v>0</v>
      </c>
      <c r="O400" t="n">
        <v>0</v>
      </c>
      <c r="P400" t="n">
        <v>0</v>
      </c>
      <c r="Q400" t="n">
        <v>0</v>
      </c>
      <c r="R400" s="2" t="inlineStr"/>
    </row>
    <row r="401" ht="15" customHeight="1">
      <c r="A401" t="inlineStr">
        <is>
          <t>A 55024-2023</t>
        </is>
      </c>
      <c r="B401" s="1" t="n">
        <v>45229</v>
      </c>
      <c r="C401" s="1" t="n">
        <v>46017</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55032-2023</t>
        </is>
      </c>
      <c r="B402" s="1" t="n">
        <v>45229</v>
      </c>
      <c r="C402" s="1" t="n">
        <v>46017</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66908-2021</t>
        </is>
      </c>
      <c r="B403" s="1" t="n">
        <v>44522</v>
      </c>
      <c r="C403" s="1" t="n">
        <v>46017</v>
      </c>
      <c r="D403" t="inlineStr">
        <is>
          <t>VÄSTMANLANDS LÄN</t>
        </is>
      </c>
      <c r="E403" t="inlineStr">
        <is>
          <t>SALA</t>
        </is>
      </c>
      <c r="G403" t="n">
        <v>2.6</v>
      </c>
      <c r="H403" t="n">
        <v>0</v>
      </c>
      <c r="I403" t="n">
        <v>0</v>
      </c>
      <c r="J403" t="n">
        <v>0</v>
      </c>
      <c r="K403" t="n">
        <v>0</v>
      </c>
      <c r="L403" t="n">
        <v>0</v>
      </c>
      <c r="M403" t="n">
        <v>0</v>
      </c>
      <c r="N403" t="n">
        <v>0</v>
      </c>
      <c r="O403" t="n">
        <v>0</v>
      </c>
      <c r="P403" t="n">
        <v>0</v>
      </c>
      <c r="Q403" t="n">
        <v>0</v>
      </c>
      <c r="R403" s="2" t="inlineStr"/>
    </row>
    <row r="404" ht="15" customHeight="1">
      <c r="A404" t="inlineStr">
        <is>
          <t>A 11696-2025</t>
        </is>
      </c>
      <c r="B404" s="1" t="n">
        <v>45727</v>
      </c>
      <c r="C404" s="1" t="n">
        <v>46017</v>
      </c>
      <c r="D404" t="inlineStr">
        <is>
          <t>VÄSTMANLANDS LÄN</t>
        </is>
      </c>
      <c r="E404" t="inlineStr">
        <is>
          <t>SALA</t>
        </is>
      </c>
      <c r="F404" t="inlineStr">
        <is>
          <t>Bergvik skog öst AB</t>
        </is>
      </c>
      <c r="G404" t="n">
        <v>1.6</v>
      </c>
      <c r="H404" t="n">
        <v>0</v>
      </c>
      <c r="I404" t="n">
        <v>0</v>
      </c>
      <c r="J404" t="n">
        <v>0</v>
      </c>
      <c r="K404" t="n">
        <v>0</v>
      </c>
      <c r="L404" t="n">
        <v>0</v>
      </c>
      <c r="M404" t="n">
        <v>0</v>
      </c>
      <c r="N404" t="n">
        <v>0</v>
      </c>
      <c r="O404" t="n">
        <v>0</v>
      </c>
      <c r="P404" t="n">
        <v>0</v>
      </c>
      <c r="Q404" t="n">
        <v>0</v>
      </c>
      <c r="R404" s="2" t="inlineStr"/>
    </row>
    <row r="405" ht="15" customHeight="1">
      <c r="A405" t="inlineStr">
        <is>
          <t>A 29248-2022</t>
        </is>
      </c>
      <c r="B405" s="1" t="n">
        <v>44750</v>
      </c>
      <c r="C405" s="1" t="n">
        <v>46017</v>
      </c>
      <c r="D405" t="inlineStr">
        <is>
          <t>VÄSTMANLANDS LÄN</t>
        </is>
      </c>
      <c r="E405" t="inlineStr">
        <is>
          <t>SALA</t>
        </is>
      </c>
      <c r="G405" t="n">
        <v>1.6</v>
      </c>
      <c r="H405" t="n">
        <v>0</v>
      </c>
      <c r="I405" t="n">
        <v>0</v>
      </c>
      <c r="J405" t="n">
        <v>0</v>
      </c>
      <c r="K405" t="n">
        <v>0</v>
      </c>
      <c r="L405" t="n">
        <v>0</v>
      </c>
      <c r="M405" t="n">
        <v>0</v>
      </c>
      <c r="N405" t="n">
        <v>0</v>
      </c>
      <c r="O405" t="n">
        <v>0</v>
      </c>
      <c r="P405" t="n">
        <v>0</v>
      </c>
      <c r="Q405" t="n">
        <v>0</v>
      </c>
      <c r="R405" s="2" t="inlineStr"/>
    </row>
    <row r="406" ht="15" customHeight="1">
      <c r="A406" t="inlineStr">
        <is>
          <t>A 59175-2022</t>
        </is>
      </c>
      <c r="B406" s="1" t="n">
        <v>44904.48502314815</v>
      </c>
      <c r="C406" s="1" t="n">
        <v>46017</v>
      </c>
      <c r="D406" t="inlineStr">
        <is>
          <t>VÄSTMANLANDS LÄN</t>
        </is>
      </c>
      <c r="E406" t="inlineStr">
        <is>
          <t>SALA</t>
        </is>
      </c>
      <c r="G406" t="n">
        <v>2.1</v>
      </c>
      <c r="H406" t="n">
        <v>0</v>
      </c>
      <c r="I406" t="n">
        <v>0</v>
      </c>
      <c r="J406" t="n">
        <v>0</v>
      </c>
      <c r="K406" t="n">
        <v>0</v>
      </c>
      <c r="L406" t="n">
        <v>0</v>
      </c>
      <c r="M406" t="n">
        <v>0</v>
      </c>
      <c r="N406" t="n">
        <v>0</v>
      </c>
      <c r="O406" t="n">
        <v>0</v>
      </c>
      <c r="P406" t="n">
        <v>0</v>
      </c>
      <c r="Q406" t="n">
        <v>0</v>
      </c>
      <c r="R406" s="2" t="inlineStr"/>
    </row>
    <row r="407" ht="15" customHeight="1">
      <c r="A407" t="inlineStr">
        <is>
          <t>A 39451-2022</t>
        </is>
      </c>
      <c r="B407" s="1" t="n">
        <v>44818.36606481481</v>
      </c>
      <c r="C407" s="1" t="n">
        <v>46017</v>
      </c>
      <c r="D407" t="inlineStr">
        <is>
          <t>VÄSTMANLANDS LÄN</t>
        </is>
      </c>
      <c r="E407" t="inlineStr">
        <is>
          <t>SALA</t>
        </is>
      </c>
      <c r="G407" t="n">
        <v>9.4</v>
      </c>
      <c r="H407" t="n">
        <v>0</v>
      </c>
      <c r="I407" t="n">
        <v>0</v>
      </c>
      <c r="J407" t="n">
        <v>0</v>
      </c>
      <c r="K407" t="n">
        <v>0</v>
      </c>
      <c r="L407" t="n">
        <v>0</v>
      </c>
      <c r="M407" t="n">
        <v>0</v>
      </c>
      <c r="N407" t="n">
        <v>0</v>
      </c>
      <c r="O407" t="n">
        <v>0</v>
      </c>
      <c r="P407" t="n">
        <v>0</v>
      </c>
      <c r="Q407" t="n">
        <v>0</v>
      </c>
      <c r="R407" s="2" t="inlineStr"/>
    </row>
    <row r="408" ht="15" customHeight="1">
      <c r="A408" t="inlineStr">
        <is>
          <t>A 43028-2025</t>
        </is>
      </c>
      <c r="B408" s="1" t="n">
        <v>45909.53472222222</v>
      </c>
      <c r="C408" s="1" t="n">
        <v>46017</v>
      </c>
      <c r="D408" t="inlineStr">
        <is>
          <t>VÄSTMANLANDS LÄN</t>
        </is>
      </c>
      <c r="E408" t="inlineStr">
        <is>
          <t>SALA</t>
        </is>
      </c>
      <c r="G408" t="n">
        <v>3.8</v>
      </c>
      <c r="H408" t="n">
        <v>0</v>
      </c>
      <c r="I408" t="n">
        <v>0</v>
      </c>
      <c r="J408" t="n">
        <v>0</v>
      </c>
      <c r="K408" t="n">
        <v>0</v>
      </c>
      <c r="L408" t="n">
        <v>0</v>
      </c>
      <c r="M408" t="n">
        <v>0</v>
      </c>
      <c r="N408" t="n">
        <v>0</v>
      </c>
      <c r="O408" t="n">
        <v>0</v>
      </c>
      <c r="P408" t="n">
        <v>0</v>
      </c>
      <c r="Q408" t="n">
        <v>0</v>
      </c>
      <c r="R408" s="2" t="inlineStr"/>
    </row>
    <row r="409" ht="15" customHeight="1">
      <c r="A409" t="inlineStr">
        <is>
          <t>A 43328-2025</t>
        </is>
      </c>
      <c r="B409" s="1" t="n">
        <v>45910</v>
      </c>
      <c r="C409" s="1" t="n">
        <v>46017</v>
      </c>
      <c r="D409" t="inlineStr">
        <is>
          <t>VÄSTMANLANDS LÄN</t>
        </is>
      </c>
      <c r="E409" t="inlineStr">
        <is>
          <t>SALA</t>
        </is>
      </c>
      <c r="G409" t="n">
        <v>0.8</v>
      </c>
      <c r="H409" t="n">
        <v>0</v>
      </c>
      <c r="I409" t="n">
        <v>0</v>
      </c>
      <c r="J409" t="n">
        <v>0</v>
      </c>
      <c r="K409" t="n">
        <v>0</v>
      </c>
      <c r="L409" t="n">
        <v>0</v>
      </c>
      <c r="M409" t="n">
        <v>0</v>
      </c>
      <c r="N409" t="n">
        <v>0</v>
      </c>
      <c r="O409" t="n">
        <v>0</v>
      </c>
      <c r="P409" t="n">
        <v>0</v>
      </c>
      <c r="Q409" t="n">
        <v>0</v>
      </c>
      <c r="R409" s="2" t="inlineStr"/>
    </row>
    <row r="410" ht="15" customHeight="1">
      <c r="A410" t="inlineStr">
        <is>
          <t>A 43031-2025</t>
        </is>
      </c>
      <c r="B410" s="1" t="n">
        <v>45909.53856481481</v>
      </c>
      <c r="C410" s="1" t="n">
        <v>46017</v>
      </c>
      <c r="D410" t="inlineStr">
        <is>
          <t>VÄSTMANLANDS LÄN</t>
        </is>
      </c>
      <c r="E410" t="inlineStr">
        <is>
          <t>SALA</t>
        </is>
      </c>
      <c r="G410" t="n">
        <v>0.2</v>
      </c>
      <c r="H410" t="n">
        <v>0</v>
      </c>
      <c r="I410" t="n">
        <v>0</v>
      </c>
      <c r="J410" t="n">
        <v>0</v>
      </c>
      <c r="K410" t="n">
        <v>0</v>
      </c>
      <c r="L410" t="n">
        <v>0</v>
      </c>
      <c r="M410" t="n">
        <v>0</v>
      </c>
      <c r="N410" t="n">
        <v>0</v>
      </c>
      <c r="O410" t="n">
        <v>0</v>
      </c>
      <c r="P410" t="n">
        <v>0</v>
      </c>
      <c r="Q410" t="n">
        <v>0</v>
      </c>
      <c r="R410" s="2" t="inlineStr"/>
    </row>
    <row r="411" ht="15" customHeight="1">
      <c r="A411" t="inlineStr">
        <is>
          <t>A 17495-2024</t>
        </is>
      </c>
      <c r="B411" s="1" t="n">
        <v>45415</v>
      </c>
      <c r="C411" s="1" t="n">
        <v>46017</v>
      </c>
      <c r="D411" t="inlineStr">
        <is>
          <t>VÄSTMANLANDS LÄN</t>
        </is>
      </c>
      <c r="E411" t="inlineStr">
        <is>
          <t>SALA</t>
        </is>
      </c>
      <c r="G411" t="n">
        <v>3.1</v>
      </c>
      <c r="H411" t="n">
        <v>0</v>
      </c>
      <c r="I411" t="n">
        <v>0</v>
      </c>
      <c r="J411" t="n">
        <v>0</v>
      </c>
      <c r="K411" t="n">
        <v>0</v>
      </c>
      <c r="L411" t="n">
        <v>0</v>
      </c>
      <c r="M411" t="n">
        <v>0</v>
      </c>
      <c r="N411" t="n">
        <v>0</v>
      </c>
      <c r="O411" t="n">
        <v>0</v>
      </c>
      <c r="P411" t="n">
        <v>0</v>
      </c>
      <c r="Q411" t="n">
        <v>0</v>
      </c>
      <c r="R411" s="2" t="inlineStr"/>
    </row>
    <row r="412" ht="15" customHeight="1">
      <c r="A412" t="inlineStr">
        <is>
          <t>A 37263-2025</t>
        </is>
      </c>
      <c r="B412" s="1" t="n">
        <v>45876.4584837963</v>
      </c>
      <c r="C412" s="1" t="n">
        <v>46017</v>
      </c>
      <c r="D412" t="inlineStr">
        <is>
          <t>VÄSTMANLANDS LÄN</t>
        </is>
      </c>
      <c r="E412" t="inlineStr">
        <is>
          <t>SALA</t>
        </is>
      </c>
      <c r="G412" t="n">
        <v>2.3</v>
      </c>
      <c r="H412" t="n">
        <v>0</v>
      </c>
      <c r="I412" t="n">
        <v>0</v>
      </c>
      <c r="J412" t="n">
        <v>0</v>
      </c>
      <c r="K412" t="n">
        <v>0</v>
      </c>
      <c r="L412" t="n">
        <v>0</v>
      </c>
      <c r="M412" t="n">
        <v>0</v>
      </c>
      <c r="N412" t="n">
        <v>0</v>
      </c>
      <c r="O412" t="n">
        <v>0</v>
      </c>
      <c r="P412" t="n">
        <v>0</v>
      </c>
      <c r="Q412" t="n">
        <v>0</v>
      </c>
      <c r="R412" s="2" t="inlineStr"/>
    </row>
    <row r="413" ht="15" customHeight="1">
      <c r="A413" t="inlineStr">
        <is>
          <t>A 43509-2021</t>
        </is>
      </c>
      <c r="B413" s="1" t="n">
        <v>44433</v>
      </c>
      <c r="C413" s="1" t="n">
        <v>46017</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40554-2025</t>
        </is>
      </c>
      <c r="B414" s="1" t="n">
        <v>45896.44506944445</v>
      </c>
      <c r="C414" s="1" t="n">
        <v>46017</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11631-2023</t>
        </is>
      </c>
      <c r="B415" s="1" t="n">
        <v>44994.44001157407</v>
      </c>
      <c r="C415" s="1" t="n">
        <v>46017</v>
      </c>
      <c r="D415" t="inlineStr">
        <is>
          <t>VÄSTMANLANDS LÄN</t>
        </is>
      </c>
      <c r="E415" t="inlineStr">
        <is>
          <t>SALA</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43129-2025</t>
        </is>
      </c>
      <c r="B416" s="1" t="n">
        <v>45909</v>
      </c>
      <c r="C416" s="1" t="n">
        <v>46017</v>
      </c>
      <c r="D416" t="inlineStr">
        <is>
          <t>VÄSTMANLANDS LÄN</t>
        </is>
      </c>
      <c r="E416" t="inlineStr">
        <is>
          <t>SALA</t>
        </is>
      </c>
      <c r="G416" t="n">
        <v>2.4</v>
      </c>
      <c r="H416" t="n">
        <v>0</v>
      </c>
      <c r="I416" t="n">
        <v>0</v>
      </c>
      <c r="J416" t="n">
        <v>0</v>
      </c>
      <c r="K416" t="n">
        <v>0</v>
      </c>
      <c r="L416" t="n">
        <v>0</v>
      </c>
      <c r="M416" t="n">
        <v>0</v>
      </c>
      <c r="N416" t="n">
        <v>0</v>
      </c>
      <c r="O416" t="n">
        <v>0</v>
      </c>
      <c r="P416" t="n">
        <v>0</v>
      </c>
      <c r="Q416" t="n">
        <v>0</v>
      </c>
      <c r="R416" s="2" t="inlineStr"/>
    </row>
    <row r="417" ht="15" customHeight="1">
      <c r="A417" t="inlineStr">
        <is>
          <t>A 43130-2025</t>
        </is>
      </c>
      <c r="B417" s="1" t="n">
        <v>45909</v>
      </c>
      <c r="C417" s="1" t="n">
        <v>46017</v>
      </c>
      <c r="D417" t="inlineStr">
        <is>
          <t>VÄSTMANLANDS LÄN</t>
        </is>
      </c>
      <c r="E417" t="inlineStr">
        <is>
          <t>SALA</t>
        </is>
      </c>
      <c r="G417" t="n">
        <v>0.9</v>
      </c>
      <c r="H417" t="n">
        <v>0</v>
      </c>
      <c r="I417" t="n">
        <v>0</v>
      </c>
      <c r="J417" t="n">
        <v>0</v>
      </c>
      <c r="K417" t="n">
        <v>0</v>
      </c>
      <c r="L417" t="n">
        <v>0</v>
      </c>
      <c r="M417" t="n">
        <v>0</v>
      </c>
      <c r="N417" t="n">
        <v>0</v>
      </c>
      <c r="O417" t="n">
        <v>0</v>
      </c>
      <c r="P417" t="n">
        <v>0</v>
      </c>
      <c r="Q417" t="n">
        <v>0</v>
      </c>
      <c r="R417" s="2" t="inlineStr"/>
    </row>
    <row r="418" ht="15" customHeight="1">
      <c r="A418" t="inlineStr">
        <is>
          <t>A 43128-2025</t>
        </is>
      </c>
      <c r="B418" s="1" t="n">
        <v>45909</v>
      </c>
      <c r="C418" s="1" t="n">
        <v>46017</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27657-2023</t>
        </is>
      </c>
      <c r="B419" s="1" t="n">
        <v>45097.76631944445</v>
      </c>
      <c r="C419" s="1" t="n">
        <v>46017</v>
      </c>
      <c r="D419" t="inlineStr">
        <is>
          <t>VÄSTMANLANDS LÄN</t>
        </is>
      </c>
      <c r="E419" t="inlineStr">
        <is>
          <t>SALA</t>
        </is>
      </c>
      <c r="G419" t="n">
        <v>0.1</v>
      </c>
      <c r="H419" t="n">
        <v>0</v>
      </c>
      <c r="I419" t="n">
        <v>0</v>
      </c>
      <c r="J419" t="n">
        <v>0</v>
      </c>
      <c r="K419" t="n">
        <v>0</v>
      </c>
      <c r="L419" t="n">
        <v>0</v>
      </c>
      <c r="M419" t="n">
        <v>0</v>
      </c>
      <c r="N419" t="n">
        <v>0</v>
      </c>
      <c r="O419" t="n">
        <v>0</v>
      </c>
      <c r="P419" t="n">
        <v>0</v>
      </c>
      <c r="Q419" t="n">
        <v>0</v>
      </c>
      <c r="R419" s="2" t="inlineStr"/>
    </row>
    <row r="420" ht="15" customHeight="1">
      <c r="A420" t="inlineStr">
        <is>
          <t>A 43127-2025</t>
        </is>
      </c>
      <c r="B420" s="1" t="n">
        <v>45909</v>
      </c>
      <c r="C420" s="1" t="n">
        <v>46017</v>
      </c>
      <c r="D420" t="inlineStr">
        <is>
          <t>VÄSTMANLANDS LÄN</t>
        </is>
      </c>
      <c r="E420" t="inlineStr">
        <is>
          <t>SALA</t>
        </is>
      </c>
      <c r="G420" t="n">
        <v>0.7</v>
      </c>
      <c r="H420" t="n">
        <v>0</v>
      </c>
      <c r="I420" t="n">
        <v>0</v>
      </c>
      <c r="J420" t="n">
        <v>0</v>
      </c>
      <c r="K420" t="n">
        <v>0</v>
      </c>
      <c r="L420" t="n">
        <v>0</v>
      </c>
      <c r="M420" t="n">
        <v>0</v>
      </c>
      <c r="N420" t="n">
        <v>0</v>
      </c>
      <c r="O420" t="n">
        <v>0</v>
      </c>
      <c r="P420" t="n">
        <v>0</v>
      </c>
      <c r="Q420" t="n">
        <v>0</v>
      </c>
      <c r="R420" s="2" t="inlineStr"/>
    </row>
    <row r="421" ht="15" customHeight="1">
      <c r="A421" t="inlineStr">
        <is>
          <t>A 2766-2024</t>
        </is>
      </c>
      <c r="B421" s="1" t="n">
        <v>45314.60950231482</v>
      </c>
      <c r="C421" s="1" t="n">
        <v>46017</v>
      </c>
      <c r="D421" t="inlineStr">
        <is>
          <t>VÄSTMANLANDS LÄN</t>
        </is>
      </c>
      <c r="E421" t="inlineStr">
        <is>
          <t>SALA</t>
        </is>
      </c>
      <c r="G421" t="n">
        <v>2.8</v>
      </c>
      <c r="H421" t="n">
        <v>0</v>
      </c>
      <c r="I421" t="n">
        <v>0</v>
      </c>
      <c r="J421" t="n">
        <v>0</v>
      </c>
      <c r="K421" t="n">
        <v>0</v>
      </c>
      <c r="L421" t="n">
        <v>0</v>
      </c>
      <c r="M421" t="n">
        <v>0</v>
      </c>
      <c r="N421" t="n">
        <v>0</v>
      </c>
      <c r="O421" t="n">
        <v>0</v>
      </c>
      <c r="P421" t="n">
        <v>0</v>
      </c>
      <c r="Q421" t="n">
        <v>0</v>
      </c>
      <c r="R421" s="2" t="inlineStr"/>
    </row>
    <row r="422" ht="15" customHeight="1">
      <c r="A422" t="inlineStr">
        <is>
          <t>A 13746-2025</t>
        </is>
      </c>
      <c r="B422" s="1" t="n">
        <v>45737.40944444444</v>
      </c>
      <c r="C422" s="1" t="n">
        <v>46017</v>
      </c>
      <c r="D422" t="inlineStr">
        <is>
          <t>VÄSTMANLANDS LÄN</t>
        </is>
      </c>
      <c r="E422" t="inlineStr">
        <is>
          <t>SALA</t>
        </is>
      </c>
      <c r="G422" t="n">
        <v>2.1</v>
      </c>
      <c r="H422" t="n">
        <v>0</v>
      </c>
      <c r="I422" t="n">
        <v>0</v>
      </c>
      <c r="J422" t="n">
        <v>0</v>
      </c>
      <c r="K422" t="n">
        <v>0</v>
      </c>
      <c r="L422" t="n">
        <v>0</v>
      </c>
      <c r="M422" t="n">
        <v>0</v>
      </c>
      <c r="N422" t="n">
        <v>0</v>
      </c>
      <c r="O422" t="n">
        <v>0</v>
      </c>
      <c r="P422" t="n">
        <v>0</v>
      </c>
      <c r="Q422" t="n">
        <v>0</v>
      </c>
      <c r="R422" s="2" t="inlineStr"/>
    </row>
    <row r="423" ht="15" customHeight="1">
      <c r="A423" t="inlineStr">
        <is>
          <t>A 62648-2022</t>
        </is>
      </c>
      <c r="B423" s="1" t="n">
        <v>44917</v>
      </c>
      <c r="C423" s="1" t="n">
        <v>46017</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25897-2024</t>
        </is>
      </c>
      <c r="B424" s="1" t="n">
        <v>45467.54435185185</v>
      </c>
      <c r="C424" s="1" t="n">
        <v>46017</v>
      </c>
      <c r="D424" t="inlineStr">
        <is>
          <t>VÄSTMANLANDS LÄN</t>
        </is>
      </c>
      <c r="E424" t="inlineStr">
        <is>
          <t>SALA</t>
        </is>
      </c>
      <c r="G424" t="n">
        <v>9.9</v>
      </c>
      <c r="H424" t="n">
        <v>0</v>
      </c>
      <c r="I424" t="n">
        <v>0</v>
      </c>
      <c r="J424" t="n">
        <v>0</v>
      </c>
      <c r="K424" t="n">
        <v>0</v>
      </c>
      <c r="L424" t="n">
        <v>0</v>
      </c>
      <c r="M424" t="n">
        <v>0</v>
      </c>
      <c r="N424" t="n">
        <v>0</v>
      </c>
      <c r="O424" t="n">
        <v>0</v>
      </c>
      <c r="P424" t="n">
        <v>0</v>
      </c>
      <c r="Q424" t="n">
        <v>0</v>
      </c>
      <c r="R424" s="2" t="inlineStr"/>
    </row>
    <row r="425" ht="15" customHeight="1">
      <c r="A425" t="inlineStr">
        <is>
          <t>A 1934-2023</t>
        </is>
      </c>
      <c r="B425" s="1" t="n">
        <v>44939.43024305555</v>
      </c>
      <c r="C425" s="1" t="n">
        <v>46017</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23222-2023</t>
        </is>
      </c>
      <c r="B426" s="1" t="n">
        <v>45075</v>
      </c>
      <c r="C426" s="1" t="n">
        <v>46017</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23224-2023</t>
        </is>
      </c>
      <c r="B427" s="1" t="n">
        <v>45075.65040509259</v>
      </c>
      <c r="C427" s="1" t="n">
        <v>46017</v>
      </c>
      <c r="D427" t="inlineStr">
        <is>
          <t>VÄSTMANLANDS LÄN</t>
        </is>
      </c>
      <c r="E427" t="inlineStr">
        <is>
          <t>SALA</t>
        </is>
      </c>
      <c r="G427" t="n">
        <v>0.8</v>
      </c>
      <c r="H427" t="n">
        <v>0</v>
      </c>
      <c r="I427" t="n">
        <v>0</v>
      </c>
      <c r="J427" t="n">
        <v>0</v>
      </c>
      <c r="K427" t="n">
        <v>0</v>
      </c>
      <c r="L427" t="n">
        <v>0</v>
      </c>
      <c r="M427" t="n">
        <v>0</v>
      </c>
      <c r="N427" t="n">
        <v>0</v>
      </c>
      <c r="O427" t="n">
        <v>0</v>
      </c>
      <c r="P427" t="n">
        <v>0</v>
      </c>
      <c r="Q427" t="n">
        <v>0</v>
      </c>
      <c r="R427" s="2" t="inlineStr"/>
    </row>
    <row r="428" ht="15" customHeight="1">
      <c r="A428" t="inlineStr">
        <is>
          <t>A 50479-2022</t>
        </is>
      </c>
      <c r="B428" s="1" t="n">
        <v>44861</v>
      </c>
      <c r="C428" s="1" t="n">
        <v>46017</v>
      </c>
      <c r="D428" t="inlineStr">
        <is>
          <t>VÄSTMANLANDS LÄN</t>
        </is>
      </c>
      <c r="E428" t="inlineStr">
        <is>
          <t>SALA</t>
        </is>
      </c>
      <c r="G428" t="n">
        <v>0.9</v>
      </c>
      <c r="H428" t="n">
        <v>0</v>
      </c>
      <c r="I428" t="n">
        <v>0</v>
      </c>
      <c r="J428" t="n">
        <v>0</v>
      </c>
      <c r="K428" t="n">
        <v>0</v>
      </c>
      <c r="L428" t="n">
        <v>0</v>
      </c>
      <c r="M428" t="n">
        <v>0</v>
      </c>
      <c r="N428" t="n">
        <v>0</v>
      </c>
      <c r="O428" t="n">
        <v>0</v>
      </c>
      <c r="P428" t="n">
        <v>0</v>
      </c>
      <c r="Q428" t="n">
        <v>0</v>
      </c>
      <c r="R428" s="2" t="inlineStr"/>
    </row>
    <row r="429" ht="15" customHeight="1">
      <c r="A429" t="inlineStr">
        <is>
          <t>A 11927-2025</t>
        </is>
      </c>
      <c r="B429" s="1" t="n">
        <v>45728.5137962963</v>
      </c>
      <c r="C429" s="1" t="n">
        <v>46017</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60823-2024</t>
        </is>
      </c>
      <c r="B430" s="1" t="n">
        <v>45644</v>
      </c>
      <c r="C430" s="1" t="n">
        <v>46017</v>
      </c>
      <c r="D430" t="inlineStr">
        <is>
          <t>VÄSTMANLANDS LÄN</t>
        </is>
      </c>
      <c r="E430" t="inlineStr">
        <is>
          <t>SALA</t>
        </is>
      </c>
      <c r="G430" t="n">
        <v>0.6</v>
      </c>
      <c r="H430" t="n">
        <v>0</v>
      </c>
      <c r="I430" t="n">
        <v>0</v>
      </c>
      <c r="J430" t="n">
        <v>0</v>
      </c>
      <c r="K430" t="n">
        <v>0</v>
      </c>
      <c r="L430" t="n">
        <v>0</v>
      </c>
      <c r="M430" t="n">
        <v>0</v>
      </c>
      <c r="N430" t="n">
        <v>0</v>
      </c>
      <c r="O430" t="n">
        <v>0</v>
      </c>
      <c r="P430" t="n">
        <v>0</v>
      </c>
      <c r="Q430" t="n">
        <v>0</v>
      </c>
      <c r="R430" s="2" t="inlineStr"/>
    </row>
    <row r="431" ht="15" customHeight="1">
      <c r="A431" t="inlineStr">
        <is>
          <t>A 96-2024</t>
        </is>
      </c>
      <c r="B431" s="1" t="n">
        <v>45293.85872685185</v>
      </c>
      <c r="C431" s="1" t="n">
        <v>46017</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14919-2025</t>
        </is>
      </c>
      <c r="B432" s="1" t="n">
        <v>45743.54256944444</v>
      </c>
      <c r="C432" s="1" t="n">
        <v>46017</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14920-2025</t>
        </is>
      </c>
      <c r="B433" s="1" t="n">
        <v>45743</v>
      </c>
      <c r="C433" s="1" t="n">
        <v>46017</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23374-2023</t>
        </is>
      </c>
      <c r="B434" s="1" t="n">
        <v>45076.4399537037</v>
      </c>
      <c r="C434" s="1" t="n">
        <v>46017</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44100-2025</t>
        </is>
      </c>
      <c r="B435" s="1" t="n">
        <v>45915.56707175926</v>
      </c>
      <c r="C435" s="1" t="n">
        <v>46017</v>
      </c>
      <c r="D435" t="inlineStr">
        <is>
          <t>VÄSTMANLANDS LÄN</t>
        </is>
      </c>
      <c r="E435" t="inlineStr">
        <is>
          <t>SALA</t>
        </is>
      </c>
      <c r="G435" t="n">
        <v>0.8</v>
      </c>
      <c r="H435" t="n">
        <v>0</v>
      </c>
      <c r="I435" t="n">
        <v>0</v>
      </c>
      <c r="J435" t="n">
        <v>0</v>
      </c>
      <c r="K435" t="n">
        <v>0</v>
      </c>
      <c r="L435" t="n">
        <v>0</v>
      </c>
      <c r="M435" t="n">
        <v>0</v>
      </c>
      <c r="N435" t="n">
        <v>0</v>
      </c>
      <c r="O435" t="n">
        <v>0</v>
      </c>
      <c r="P435" t="n">
        <v>0</v>
      </c>
      <c r="Q435" t="n">
        <v>0</v>
      </c>
      <c r="R435" s="2" t="inlineStr"/>
    </row>
    <row r="436" ht="15" customHeight="1">
      <c r="A436" t="inlineStr">
        <is>
          <t>A 13855-2023</t>
        </is>
      </c>
      <c r="B436" s="1" t="n">
        <v>45007</v>
      </c>
      <c r="C436" s="1" t="n">
        <v>46017</v>
      </c>
      <c r="D436" t="inlineStr">
        <is>
          <t>VÄSTMANLANDS LÄN</t>
        </is>
      </c>
      <c r="E436" t="inlineStr">
        <is>
          <t>SALA</t>
        </is>
      </c>
      <c r="G436" t="n">
        <v>2.9</v>
      </c>
      <c r="H436" t="n">
        <v>0</v>
      </c>
      <c r="I436" t="n">
        <v>0</v>
      </c>
      <c r="J436" t="n">
        <v>0</v>
      </c>
      <c r="K436" t="n">
        <v>0</v>
      </c>
      <c r="L436" t="n">
        <v>0</v>
      </c>
      <c r="M436" t="n">
        <v>0</v>
      </c>
      <c r="N436" t="n">
        <v>0</v>
      </c>
      <c r="O436" t="n">
        <v>0</v>
      </c>
      <c r="P436" t="n">
        <v>0</v>
      </c>
      <c r="Q436" t="n">
        <v>0</v>
      </c>
      <c r="R436" s="2" t="inlineStr"/>
    </row>
    <row r="437" ht="15" customHeight="1">
      <c r="A437" t="inlineStr">
        <is>
          <t>A 61874-2021</t>
        </is>
      </c>
      <c r="B437" s="1" t="n">
        <v>44502</v>
      </c>
      <c r="C437" s="1" t="n">
        <v>46017</v>
      </c>
      <c r="D437" t="inlineStr">
        <is>
          <t>VÄSTMANLANDS LÄN</t>
        </is>
      </c>
      <c r="E437" t="inlineStr">
        <is>
          <t>SALA</t>
        </is>
      </c>
      <c r="F437" t="inlineStr">
        <is>
          <t>Kyrkan</t>
        </is>
      </c>
      <c r="G437" t="n">
        <v>1.3</v>
      </c>
      <c r="H437" t="n">
        <v>0</v>
      </c>
      <c r="I437" t="n">
        <v>0</v>
      </c>
      <c r="J437" t="n">
        <v>0</v>
      </c>
      <c r="K437" t="n">
        <v>0</v>
      </c>
      <c r="L437" t="n">
        <v>0</v>
      </c>
      <c r="M437" t="n">
        <v>0</v>
      </c>
      <c r="N437" t="n">
        <v>0</v>
      </c>
      <c r="O437" t="n">
        <v>0</v>
      </c>
      <c r="P437" t="n">
        <v>0</v>
      </c>
      <c r="Q437" t="n">
        <v>0</v>
      </c>
      <c r="R437" s="2" t="inlineStr"/>
    </row>
    <row r="438" ht="15" customHeight="1">
      <c r="A438" t="inlineStr">
        <is>
          <t>A 9856-2022</t>
        </is>
      </c>
      <c r="B438" s="1" t="n">
        <v>44620</v>
      </c>
      <c r="C438" s="1" t="n">
        <v>46017</v>
      </c>
      <c r="D438" t="inlineStr">
        <is>
          <t>VÄSTMANLANDS LÄN</t>
        </is>
      </c>
      <c r="E438" t="inlineStr">
        <is>
          <t>SALA</t>
        </is>
      </c>
      <c r="G438" t="n">
        <v>2.4</v>
      </c>
      <c r="H438" t="n">
        <v>0</v>
      </c>
      <c r="I438" t="n">
        <v>0</v>
      </c>
      <c r="J438" t="n">
        <v>0</v>
      </c>
      <c r="K438" t="n">
        <v>0</v>
      </c>
      <c r="L438" t="n">
        <v>0</v>
      </c>
      <c r="M438" t="n">
        <v>0</v>
      </c>
      <c r="N438" t="n">
        <v>0</v>
      </c>
      <c r="O438" t="n">
        <v>0</v>
      </c>
      <c r="P438" t="n">
        <v>0</v>
      </c>
      <c r="Q438" t="n">
        <v>0</v>
      </c>
      <c r="R438" s="2" t="inlineStr"/>
    </row>
    <row r="439" ht="15" customHeight="1">
      <c r="A439" t="inlineStr">
        <is>
          <t>A 44486-2025</t>
        </is>
      </c>
      <c r="B439" s="1" t="n">
        <v>45916.65517361111</v>
      </c>
      <c r="C439" s="1" t="n">
        <v>46017</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16159-2024</t>
        </is>
      </c>
      <c r="B440" s="1" t="n">
        <v>45406</v>
      </c>
      <c r="C440" s="1" t="n">
        <v>46017</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44524-2025</t>
        </is>
      </c>
      <c r="B441" s="1" t="n">
        <v>45916.72920138889</v>
      </c>
      <c r="C441" s="1" t="n">
        <v>46017</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50241-2023</t>
        </is>
      </c>
      <c r="B442" s="1" t="n">
        <v>45216</v>
      </c>
      <c r="C442" s="1" t="n">
        <v>46017</v>
      </c>
      <c r="D442" t="inlineStr">
        <is>
          <t>VÄSTMANLANDS LÄN</t>
        </is>
      </c>
      <c r="E442" t="inlineStr">
        <is>
          <t>SALA</t>
        </is>
      </c>
      <c r="G442" t="n">
        <v>1.9</v>
      </c>
      <c r="H442" t="n">
        <v>0</v>
      </c>
      <c r="I442" t="n">
        <v>0</v>
      </c>
      <c r="J442" t="n">
        <v>0</v>
      </c>
      <c r="K442" t="n">
        <v>0</v>
      </c>
      <c r="L442" t="n">
        <v>0</v>
      </c>
      <c r="M442" t="n">
        <v>0</v>
      </c>
      <c r="N442" t="n">
        <v>0</v>
      </c>
      <c r="O442" t="n">
        <v>0</v>
      </c>
      <c r="P442" t="n">
        <v>0</v>
      </c>
      <c r="Q442" t="n">
        <v>0</v>
      </c>
      <c r="R442" s="2" t="inlineStr"/>
    </row>
    <row r="443" ht="15" customHeight="1">
      <c r="A443" t="inlineStr">
        <is>
          <t>A 3332-2024</t>
        </is>
      </c>
      <c r="B443" s="1" t="n">
        <v>45317</v>
      </c>
      <c r="C443" s="1" t="n">
        <v>46017</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18877-2023</t>
        </is>
      </c>
      <c r="B444" s="1" t="n">
        <v>45044</v>
      </c>
      <c r="C444" s="1" t="n">
        <v>46017</v>
      </c>
      <c r="D444" t="inlineStr">
        <is>
          <t>VÄSTMANLANDS LÄN</t>
        </is>
      </c>
      <c r="E444" t="inlineStr">
        <is>
          <t>SALA</t>
        </is>
      </c>
      <c r="F444" t="inlineStr">
        <is>
          <t>Kommuner</t>
        </is>
      </c>
      <c r="G444" t="n">
        <v>4.4</v>
      </c>
      <c r="H444" t="n">
        <v>0</v>
      </c>
      <c r="I444" t="n">
        <v>0</v>
      </c>
      <c r="J444" t="n">
        <v>0</v>
      </c>
      <c r="K444" t="n">
        <v>0</v>
      </c>
      <c r="L444" t="n">
        <v>0</v>
      </c>
      <c r="M444" t="n">
        <v>0</v>
      </c>
      <c r="N444" t="n">
        <v>0</v>
      </c>
      <c r="O444" t="n">
        <v>0</v>
      </c>
      <c r="P444" t="n">
        <v>0</v>
      </c>
      <c r="Q444" t="n">
        <v>0</v>
      </c>
      <c r="R444" s="2" t="inlineStr"/>
    </row>
    <row r="445" ht="15" customHeight="1">
      <c r="A445" t="inlineStr">
        <is>
          <t>A 55556-2023</t>
        </is>
      </c>
      <c r="B445" s="1" t="n">
        <v>45232</v>
      </c>
      <c r="C445" s="1" t="n">
        <v>46017</v>
      </c>
      <c r="D445" t="inlineStr">
        <is>
          <t>VÄSTMANLANDS LÄN</t>
        </is>
      </c>
      <c r="E445" t="inlineStr">
        <is>
          <t>SALA</t>
        </is>
      </c>
      <c r="G445" t="n">
        <v>1.3</v>
      </c>
      <c r="H445" t="n">
        <v>0</v>
      </c>
      <c r="I445" t="n">
        <v>0</v>
      </c>
      <c r="J445" t="n">
        <v>0</v>
      </c>
      <c r="K445" t="n">
        <v>0</v>
      </c>
      <c r="L445" t="n">
        <v>0</v>
      </c>
      <c r="M445" t="n">
        <v>0</v>
      </c>
      <c r="N445" t="n">
        <v>0</v>
      </c>
      <c r="O445" t="n">
        <v>0</v>
      </c>
      <c r="P445" t="n">
        <v>0</v>
      </c>
      <c r="Q445" t="n">
        <v>0</v>
      </c>
      <c r="R445" s="2" t="inlineStr"/>
    </row>
    <row r="446" ht="15" customHeight="1">
      <c r="A446" t="inlineStr">
        <is>
          <t>A 34494-2023</t>
        </is>
      </c>
      <c r="B446" s="1" t="n">
        <v>45133</v>
      </c>
      <c r="C446" s="1" t="n">
        <v>46017</v>
      </c>
      <c r="D446" t="inlineStr">
        <is>
          <t>VÄSTMANLANDS LÄN</t>
        </is>
      </c>
      <c r="E446" t="inlineStr">
        <is>
          <t>SALA</t>
        </is>
      </c>
      <c r="G446" t="n">
        <v>0.8</v>
      </c>
      <c r="H446" t="n">
        <v>0</v>
      </c>
      <c r="I446" t="n">
        <v>0</v>
      </c>
      <c r="J446" t="n">
        <v>0</v>
      </c>
      <c r="K446" t="n">
        <v>0</v>
      </c>
      <c r="L446" t="n">
        <v>0</v>
      </c>
      <c r="M446" t="n">
        <v>0</v>
      </c>
      <c r="N446" t="n">
        <v>0</v>
      </c>
      <c r="O446" t="n">
        <v>0</v>
      </c>
      <c r="P446" t="n">
        <v>0</v>
      </c>
      <c r="Q446" t="n">
        <v>0</v>
      </c>
      <c r="R446" s="2" t="inlineStr"/>
    </row>
    <row r="447" ht="15" customHeight="1">
      <c r="A447" t="inlineStr">
        <is>
          <t>A 43122-2025</t>
        </is>
      </c>
      <c r="B447" s="1" t="n">
        <v>45909</v>
      </c>
      <c r="C447" s="1" t="n">
        <v>46017</v>
      </c>
      <c r="D447" t="inlineStr">
        <is>
          <t>VÄSTMANLANDS LÄN</t>
        </is>
      </c>
      <c r="E447" t="inlineStr">
        <is>
          <t>SALA</t>
        </is>
      </c>
      <c r="G447" t="n">
        <v>3.2</v>
      </c>
      <c r="H447" t="n">
        <v>0</v>
      </c>
      <c r="I447" t="n">
        <v>0</v>
      </c>
      <c r="J447" t="n">
        <v>0</v>
      </c>
      <c r="K447" t="n">
        <v>0</v>
      </c>
      <c r="L447" t="n">
        <v>0</v>
      </c>
      <c r="M447" t="n">
        <v>0</v>
      </c>
      <c r="N447" t="n">
        <v>0</v>
      </c>
      <c r="O447" t="n">
        <v>0</v>
      </c>
      <c r="P447" t="n">
        <v>0</v>
      </c>
      <c r="Q447" t="n">
        <v>0</v>
      </c>
      <c r="R447" s="2" t="inlineStr"/>
    </row>
    <row r="448" ht="15" customHeight="1">
      <c r="A448" t="inlineStr">
        <is>
          <t>A 35637-2022</t>
        </is>
      </c>
      <c r="B448" s="1" t="n">
        <v>44799.55194444444</v>
      </c>
      <c r="C448" s="1" t="n">
        <v>46017</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13752-2025</t>
        </is>
      </c>
      <c r="B449" s="1" t="n">
        <v>45737.41416666667</v>
      </c>
      <c r="C449" s="1" t="n">
        <v>46017</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19398-2025</t>
        </is>
      </c>
      <c r="B450" s="1" t="n">
        <v>45769</v>
      </c>
      <c r="C450" s="1" t="n">
        <v>46017</v>
      </c>
      <c r="D450" t="inlineStr">
        <is>
          <t>VÄSTMANLANDS LÄN</t>
        </is>
      </c>
      <c r="E450" t="inlineStr">
        <is>
          <t>SALA</t>
        </is>
      </c>
      <c r="G450" t="n">
        <v>0.4</v>
      </c>
      <c r="H450" t="n">
        <v>0</v>
      </c>
      <c r="I450" t="n">
        <v>0</v>
      </c>
      <c r="J450" t="n">
        <v>0</v>
      </c>
      <c r="K450" t="n">
        <v>0</v>
      </c>
      <c r="L450" t="n">
        <v>0</v>
      </c>
      <c r="M450" t="n">
        <v>0</v>
      </c>
      <c r="N450" t="n">
        <v>0</v>
      </c>
      <c r="O450" t="n">
        <v>0</v>
      </c>
      <c r="P450" t="n">
        <v>0</v>
      </c>
      <c r="Q450" t="n">
        <v>0</v>
      </c>
      <c r="R450" s="2" t="inlineStr"/>
    </row>
    <row r="451" ht="15" customHeight="1">
      <c r="A451" t="inlineStr">
        <is>
          <t>A 57883-2024</t>
        </is>
      </c>
      <c r="B451" s="1" t="n">
        <v>45630</v>
      </c>
      <c r="C451" s="1" t="n">
        <v>46017</v>
      </c>
      <c r="D451" t="inlineStr">
        <is>
          <t>VÄSTMANLANDS LÄN</t>
        </is>
      </c>
      <c r="E451" t="inlineStr">
        <is>
          <t>SALA</t>
        </is>
      </c>
      <c r="G451" t="n">
        <v>5.4</v>
      </c>
      <c r="H451" t="n">
        <v>0</v>
      </c>
      <c r="I451" t="n">
        <v>0</v>
      </c>
      <c r="J451" t="n">
        <v>0</v>
      </c>
      <c r="K451" t="n">
        <v>0</v>
      </c>
      <c r="L451" t="n">
        <v>0</v>
      </c>
      <c r="M451" t="n">
        <v>0</v>
      </c>
      <c r="N451" t="n">
        <v>0</v>
      </c>
      <c r="O451" t="n">
        <v>0</v>
      </c>
      <c r="P451" t="n">
        <v>0</v>
      </c>
      <c r="Q451" t="n">
        <v>0</v>
      </c>
      <c r="R451" s="2" t="inlineStr"/>
    </row>
    <row r="452" ht="15" customHeight="1">
      <c r="A452" t="inlineStr">
        <is>
          <t>A 45371-2025</t>
        </is>
      </c>
      <c r="B452" s="1" t="n">
        <v>45922.39001157408</v>
      </c>
      <c r="C452" s="1" t="n">
        <v>46017</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50876-2023</t>
        </is>
      </c>
      <c r="B453" s="1" t="n">
        <v>45211</v>
      </c>
      <c r="C453" s="1" t="n">
        <v>46017</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22921-2023</t>
        </is>
      </c>
      <c r="B454" s="1" t="n">
        <v>45070</v>
      </c>
      <c r="C454" s="1" t="n">
        <v>46017</v>
      </c>
      <c r="D454" t="inlineStr">
        <is>
          <t>VÄSTMANLANDS LÄN</t>
        </is>
      </c>
      <c r="E454" t="inlineStr">
        <is>
          <t>SALA</t>
        </is>
      </c>
      <c r="G454" t="n">
        <v>1.3</v>
      </c>
      <c r="H454" t="n">
        <v>0</v>
      </c>
      <c r="I454" t="n">
        <v>0</v>
      </c>
      <c r="J454" t="n">
        <v>0</v>
      </c>
      <c r="K454" t="n">
        <v>0</v>
      </c>
      <c r="L454" t="n">
        <v>0</v>
      </c>
      <c r="M454" t="n">
        <v>0</v>
      </c>
      <c r="N454" t="n">
        <v>0</v>
      </c>
      <c r="O454" t="n">
        <v>0</v>
      </c>
      <c r="P454" t="n">
        <v>0</v>
      </c>
      <c r="Q454" t="n">
        <v>0</v>
      </c>
      <c r="R454" s="2" t="inlineStr"/>
    </row>
    <row r="455" ht="15" customHeight="1">
      <c r="A455" t="inlineStr">
        <is>
          <t>A 45177-2025</t>
        </is>
      </c>
      <c r="B455" s="1" t="n">
        <v>45919.52444444445</v>
      </c>
      <c r="C455" s="1" t="n">
        <v>46017</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37624-2024</t>
        </is>
      </c>
      <c r="B456" s="1" t="n">
        <v>45541</v>
      </c>
      <c r="C456" s="1" t="n">
        <v>46017</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16133-2025</t>
        </is>
      </c>
      <c r="B457" s="1" t="n">
        <v>45750</v>
      </c>
      <c r="C457" s="1" t="n">
        <v>46017</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40398-2021</t>
        </is>
      </c>
      <c r="B458" s="1" t="n">
        <v>44419</v>
      </c>
      <c r="C458" s="1" t="n">
        <v>46017</v>
      </c>
      <c r="D458" t="inlineStr">
        <is>
          <t>VÄSTMANLANDS LÄN</t>
        </is>
      </c>
      <c r="E458" t="inlineStr">
        <is>
          <t>SALA</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6351-2023</t>
        </is>
      </c>
      <c r="B459" s="1" t="n">
        <v>44965</v>
      </c>
      <c r="C459" s="1" t="n">
        <v>46017</v>
      </c>
      <c r="D459" t="inlineStr">
        <is>
          <t>VÄSTMANLANDS LÄN</t>
        </is>
      </c>
      <c r="E459" t="inlineStr">
        <is>
          <t>SALA</t>
        </is>
      </c>
      <c r="F459" t="inlineStr">
        <is>
          <t>Kommuner</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27262-2024</t>
        </is>
      </c>
      <c r="B460" s="1" t="n">
        <v>45471</v>
      </c>
      <c r="C460" s="1" t="n">
        <v>46017</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6127-2025</t>
        </is>
      </c>
      <c r="B461" s="1" t="n">
        <v>45698</v>
      </c>
      <c r="C461" s="1" t="n">
        <v>46017</v>
      </c>
      <c r="D461" t="inlineStr">
        <is>
          <t>VÄSTMANLANDS LÄN</t>
        </is>
      </c>
      <c r="E461" t="inlineStr">
        <is>
          <t>SALA</t>
        </is>
      </c>
      <c r="F461" t="inlineStr">
        <is>
          <t>Bergvik skog öst AB</t>
        </is>
      </c>
      <c r="G461" t="n">
        <v>4.3</v>
      </c>
      <c r="H461" t="n">
        <v>0</v>
      </c>
      <c r="I461" t="n">
        <v>0</v>
      </c>
      <c r="J461" t="n">
        <v>0</v>
      </c>
      <c r="K461" t="n">
        <v>0</v>
      </c>
      <c r="L461" t="n">
        <v>0</v>
      </c>
      <c r="M461" t="n">
        <v>0</v>
      </c>
      <c r="N461" t="n">
        <v>0</v>
      </c>
      <c r="O461" t="n">
        <v>0</v>
      </c>
      <c r="P461" t="n">
        <v>0</v>
      </c>
      <c r="Q461" t="n">
        <v>0</v>
      </c>
      <c r="R461" s="2" t="inlineStr"/>
    </row>
    <row r="462" ht="15" customHeight="1">
      <c r="A462" t="inlineStr">
        <is>
          <t>A 15272-2025</t>
        </is>
      </c>
      <c r="B462" s="1" t="n">
        <v>45744</v>
      </c>
      <c r="C462" s="1" t="n">
        <v>46017</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15584-2021</t>
        </is>
      </c>
      <c r="B463" s="1" t="n">
        <v>44285</v>
      </c>
      <c r="C463" s="1" t="n">
        <v>46017</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60550-2024</t>
        </is>
      </c>
      <c r="B464" s="1" t="n">
        <v>45643</v>
      </c>
      <c r="C464" s="1" t="n">
        <v>46017</v>
      </c>
      <c r="D464" t="inlineStr">
        <is>
          <t>VÄSTMANLANDS LÄN</t>
        </is>
      </c>
      <c r="E464" t="inlineStr">
        <is>
          <t>SALA</t>
        </is>
      </c>
      <c r="G464" t="n">
        <v>0.6</v>
      </c>
      <c r="H464" t="n">
        <v>0</v>
      </c>
      <c r="I464" t="n">
        <v>0</v>
      </c>
      <c r="J464" t="n">
        <v>0</v>
      </c>
      <c r="K464" t="n">
        <v>0</v>
      </c>
      <c r="L464" t="n">
        <v>0</v>
      </c>
      <c r="M464" t="n">
        <v>0</v>
      </c>
      <c r="N464" t="n">
        <v>0</v>
      </c>
      <c r="O464" t="n">
        <v>0</v>
      </c>
      <c r="P464" t="n">
        <v>0</v>
      </c>
      <c r="Q464" t="n">
        <v>0</v>
      </c>
      <c r="R464" s="2" t="inlineStr"/>
    </row>
    <row r="465" ht="15" customHeight="1">
      <c r="A465" t="inlineStr">
        <is>
          <t>A 23119-2022</t>
        </is>
      </c>
      <c r="B465" s="1" t="n">
        <v>44719.56697916667</v>
      </c>
      <c r="C465" s="1" t="n">
        <v>46017</v>
      </c>
      <c r="D465" t="inlineStr">
        <is>
          <t>VÄSTMANLANDS LÄN</t>
        </is>
      </c>
      <c r="E465" t="inlineStr">
        <is>
          <t>SALA</t>
        </is>
      </c>
      <c r="G465" t="n">
        <v>7</v>
      </c>
      <c r="H465" t="n">
        <v>0</v>
      </c>
      <c r="I465" t="n">
        <v>0</v>
      </c>
      <c r="J465" t="n">
        <v>0</v>
      </c>
      <c r="K465" t="n">
        <v>0</v>
      </c>
      <c r="L465" t="n">
        <v>0</v>
      </c>
      <c r="M465" t="n">
        <v>0</v>
      </c>
      <c r="N465" t="n">
        <v>0</v>
      </c>
      <c r="O465" t="n">
        <v>0</v>
      </c>
      <c r="P465" t="n">
        <v>0</v>
      </c>
      <c r="Q465" t="n">
        <v>0</v>
      </c>
      <c r="R465" s="2" t="inlineStr"/>
    </row>
    <row r="466" ht="15" customHeight="1">
      <c r="A466" t="inlineStr">
        <is>
          <t>A 14690-2025</t>
        </is>
      </c>
      <c r="B466" s="1" t="n">
        <v>45742.58212962963</v>
      </c>
      <c r="C466" s="1" t="n">
        <v>46017</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43751-2021</t>
        </is>
      </c>
      <c r="B467" s="1" t="n">
        <v>44433</v>
      </c>
      <c r="C467" s="1" t="n">
        <v>46017</v>
      </c>
      <c r="D467" t="inlineStr">
        <is>
          <t>VÄSTMANLANDS LÄN</t>
        </is>
      </c>
      <c r="E467" t="inlineStr">
        <is>
          <t>SALA</t>
        </is>
      </c>
      <c r="G467" t="n">
        <v>1.5</v>
      </c>
      <c r="H467" t="n">
        <v>0</v>
      </c>
      <c r="I467" t="n">
        <v>0</v>
      </c>
      <c r="J467" t="n">
        <v>0</v>
      </c>
      <c r="K467" t="n">
        <v>0</v>
      </c>
      <c r="L467" t="n">
        <v>0</v>
      </c>
      <c r="M467" t="n">
        <v>0</v>
      </c>
      <c r="N467" t="n">
        <v>0</v>
      </c>
      <c r="O467" t="n">
        <v>0</v>
      </c>
      <c r="P467" t="n">
        <v>0</v>
      </c>
      <c r="Q467" t="n">
        <v>0</v>
      </c>
      <c r="R467" s="2" t="inlineStr"/>
    </row>
    <row r="468" ht="15" customHeight="1">
      <c r="A468" t="inlineStr">
        <is>
          <t>A 59483-2022</t>
        </is>
      </c>
      <c r="B468" s="1" t="n">
        <v>44907.45679398148</v>
      </c>
      <c r="C468" s="1" t="n">
        <v>46017</v>
      </c>
      <c r="D468" t="inlineStr">
        <is>
          <t>VÄSTMANLANDS LÄN</t>
        </is>
      </c>
      <c r="E468" t="inlineStr">
        <is>
          <t>SALA</t>
        </is>
      </c>
      <c r="G468" t="n">
        <v>5.2</v>
      </c>
      <c r="H468" t="n">
        <v>0</v>
      </c>
      <c r="I468" t="n">
        <v>0</v>
      </c>
      <c r="J468" t="n">
        <v>0</v>
      </c>
      <c r="K468" t="n">
        <v>0</v>
      </c>
      <c r="L468" t="n">
        <v>0</v>
      </c>
      <c r="M468" t="n">
        <v>0</v>
      </c>
      <c r="N468" t="n">
        <v>0</v>
      </c>
      <c r="O468" t="n">
        <v>0</v>
      </c>
      <c r="P468" t="n">
        <v>0</v>
      </c>
      <c r="Q468" t="n">
        <v>0</v>
      </c>
      <c r="R468" s="2" t="inlineStr"/>
    </row>
    <row r="469" ht="15" customHeight="1">
      <c r="A469" t="inlineStr">
        <is>
          <t>A 45914-2025</t>
        </is>
      </c>
      <c r="B469" s="1" t="n">
        <v>45923.82582175926</v>
      </c>
      <c r="C469" s="1" t="n">
        <v>46017</v>
      </c>
      <c r="D469" t="inlineStr">
        <is>
          <t>VÄSTMANLANDS LÄN</t>
        </is>
      </c>
      <c r="E469" t="inlineStr">
        <is>
          <t>SALA</t>
        </is>
      </c>
      <c r="F469" t="inlineStr">
        <is>
          <t>Kommuner</t>
        </is>
      </c>
      <c r="G469" t="n">
        <v>18.2</v>
      </c>
      <c r="H469" t="n">
        <v>0</v>
      </c>
      <c r="I469" t="n">
        <v>0</v>
      </c>
      <c r="J469" t="n">
        <v>0</v>
      </c>
      <c r="K469" t="n">
        <v>0</v>
      </c>
      <c r="L469" t="n">
        <v>0</v>
      </c>
      <c r="M469" t="n">
        <v>0</v>
      </c>
      <c r="N469" t="n">
        <v>0</v>
      </c>
      <c r="O469" t="n">
        <v>0</v>
      </c>
      <c r="P469" t="n">
        <v>0</v>
      </c>
      <c r="Q469" t="n">
        <v>0</v>
      </c>
      <c r="R469" s="2" t="inlineStr"/>
    </row>
    <row r="470" ht="15" customHeight="1">
      <c r="A470" t="inlineStr">
        <is>
          <t>A 45909-2025</t>
        </is>
      </c>
      <c r="B470" s="1" t="n">
        <v>45923.75078703704</v>
      </c>
      <c r="C470" s="1" t="n">
        <v>46017</v>
      </c>
      <c r="D470" t="inlineStr">
        <is>
          <t>VÄSTMANLANDS LÄN</t>
        </is>
      </c>
      <c r="E470" t="inlineStr">
        <is>
          <t>SALA</t>
        </is>
      </c>
      <c r="G470" t="n">
        <v>1.4</v>
      </c>
      <c r="H470" t="n">
        <v>0</v>
      </c>
      <c r="I470" t="n">
        <v>0</v>
      </c>
      <c r="J470" t="n">
        <v>0</v>
      </c>
      <c r="K470" t="n">
        <v>0</v>
      </c>
      <c r="L470" t="n">
        <v>0</v>
      </c>
      <c r="M470" t="n">
        <v>0</v>
      </c>
      <c r="N470" t="n">
        <v>0</v>
      </c>
      <c r="O470" t="n">
        <v>0</v>
      </c>
      <c r="P470" t="n">
        <v>0</v>
      </c>
      <c r="Q470" t="n">
        <v>0</v>
      </c>
      <c r="R470" s="2" t="inlineStr"/>
    </row>
    <row r="471" ht="15" customHeight="1">
      <c r="A471" t="inlineStr">
        <is>
          <t>A 24248-2023</t>
        </is>
      </c>
      <c r="B471" s="1" t="n">
        <v>45079</v>
      </c>
      <c r="C471" s="1" t="n">
        <v>46017</v>
      </c>
      <c r="D471" t="inlineStr">
        <is>
          <t>VÄSTMANLANDS LÄN</t>
        </is>
      </c>
      <c r="E471" t="inlineStr">
        <is>
          <t>SALA</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38195-2021</t>
        </is>
      </c>
      <c r="B472" s="1" t="n">
        <v>44405</v>
      </c>
      <c r="C472" s="1" t="n">
        <v>46017</v>
      </c>
      <c r="D472" t="inlineStr">
        <is>
          <t>VÄSTMANLANDS LÄN</t>
        </is>
      </c>
      <c r="E472" t="inlineStr">
        <is>
          <t>SALA</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27228-2023</t>
        </is>
      </c>
      <c r="B473" s="1" t="n">
        <v>45096.59189814814</v>
      </c>
      <c r="C473" s="1" t="n">
        <v>46017</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73673-2021</t>
        </is>
      </c>
      <c r="B474" s="1" t="n">
        <v>44552.46501157407</v>
      </c>
      <c r="C474" s="1" t="n">
        <v>46017</v>
      </c>
      <c r="D474" t="inlineStr">
        <is>
          <t>VÄSTMANLANDS LÄN</t>
        </is>
      </c>
      <c r="E474" t="inlineStr">
        <is>
          <t>SALA</t>
        </is>
      </c>
      <c r="G474" t="n">
        <v>11.4</v>
      </c>
      <c r="H474" t="n">
        <v>0</v>
      </c>
      <c r="I474" t="n">
        <v>0</v>
      </c>
      <c r="J474" t="n">
        <v>0</v>
      </c>
      <c r="K474" t="n">
        <v>0</v>
      </c>
      <c r="L474" t="n">
        <v>0</v>
      </c>
      <c r="M474" t="n">
        <v>0</v>
      </c>
      <c r="N474" t="n">
        <v>0</v>
      </c>
      <c r="O474" t="n">
        <v>0</v>
      </c>
      <c r="P474" t="n">
        <v>0</v>
      </c>
      <c r="Q474" t="n">
        <v>0</v>
      </c>
      <c r="R474" s="2" t="inlineStr"/>
    </row>
    <row r="475" ht="15" customHeight="1">
      <c r="A475" t="inlineStr">
        <is>
          <t>A 46597-2025</t>
        </is>
      </c>
      <c r="B475" s="1" t="n">
        <v>45926.40113425926</v>
      </c>
      <c r="C475" s="1" t="n">
        <v>46017</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4853-2023</t>
        </is>
      </c>
      <c r="B476" s="1" t="n">
        <v>44957.73234953704</v>
      </c>
      <c r="C476" s="1" t="n">
        <v>46017</v>
      </c>
      <c r="D476" t="inlineStr">
        <is>
          <t>VÄSTMANLANDS LÄN</t>
        </is>
      </c>
      <c r="E476" t="inlineStr">
        <is>
          <t>SALA</t>
        </is>
      </c>
      <c r="G476" t="n">
        <v>2.7</v>
      </c>
      <c r="H476" t="n">
        <v>0</v>
      </c>
      <c r="I476" t="n">
        <v>0</v>
      </c>
      <c r="J476" t="n">
        <v>0</v>
      </c>
      <c r="K476" t="n">
        <v>0</v>
      </c>
      <c r="L476" t="n">
        <v>0</v>
      </c>
      <c r="M476" t="n">
        <v>0</v>
      </c>
      <c r="N476" t="n">
        <v>0</v>
      </c>
      <c r="O476" t="n">
        <v>0</v>
      </c>
      <c r="P476" t="n">
        <v>0</v>
      </c>
      <c r="Q476" t="n">
        <v>0</v>
      </c>
      <c r="R476" s="2" t="inlineStr"/>
    </row>
    <row r="477" ht="15" customHeight="1">
      <c r="A477" t="inlineStr">
        <is>
          <t>A 24175-2024</t>
        </is>
      </c>
      <c r="B477" s="1" t="n">
        <v>45456</v>
      </c>
      <c r="C477" s="1" t="n">
        <v>46017</v>
      </c>
      <c r="D477" t="inlineStr">
        <is>
          <t>VÄSTMANLANDS LÄN</t>
        </is>
      </c>
      <c r="E477" t="inlineStr">
        <is>
          <t>SALA</t>
        </is>
      </c>
      <c r="G477" t="n">
        <v>0.6</v>
      </c>
      <c r="H477" t="n">
        <v>0</v>
      </c>
      <c r="I477" t="n">
        <v>0</v>
      </c>
      <c r="J477" t="n">
        <v>0</v>
      </c>
      <c r="K477" t="n">
        <v>0</v>
      </c>
      <c r="L477" t="n">
        <v>0</v>
      </c>
      <c r="M477" t="n">
        <v>0</v>
      </c>
      <c r="N477" t="n">
        <v>0</v>
      </c>
      <c r="O477" t="n">
        <v>0</v>
      </c>
      <c r="P477" t="n">
        <v>0</v>
      </c>
      <c r="Q477" t="n">
        <v>0</v>
      </c>
      <c r="R477" s="2" t="inlineStr"/>
    </row>
    <row r="478" ht="15" customHeight="1">
      <c r="A478" t="inlineStr">
        <is>
          <t>A 53838-2022</t>
        </is>
      </c>
      <c r="B478" s="1" t="n">
        <v>44880.59363425926</v>
      </c>
      <c r="C478" s="1" t="n">
        <v>46017</v>
      </c>
      <c r="D478" t="inlineStr">
        <is>
          <t>VÄSTMANLANDS LÄN</t>
        </is>
      </c>
      <c r="E478" t="inlineStr">
        <is>
          <t>SALA</t>
        </is>
      </c>
      <c r="G478" t="n">
        <v>3.9</v>
      </c>
      <c r="H478" t="n">
        <v>0</v>
      </c>
      <c r="I478" t="n">
        <v>0</v>
      </c>
      <c r="J478" t="n">
        <v>0</v>
      </c>
      <c r="K478" t="n">
        <v>0</v>
      </c>
      <c r="L478" t="n">
        <v>0</v>
      </c>
      <c r="M478" t="n">
        <v>0</v>
      </c>
      <c r="N478" t="n">
        <v>0</v>
      </c>
      <c r="O478" t="n">
        <v>0</v>
      </c>
      <c r="P478" t="n">
        <v>0</v>
      </c>
      <c r="Q478" t="n">
        <v>0</v>
      </c>
      <c r="R478" s="2" t="inlineStr"/>
    </row>
    <row r="479" ht="15" customHeight="1">
      <c r="A479" t="inlineStr">
        <is>
          <t>A 1993-2022</t>
        </is>
      </c>
      <c r="B479" s="1" t="n">
        <v>44575</v>
      </c>
      <c r="C479" s="1" t="n">
        <v>46017</v>
      </c>
      <c r="D479" t="inlineStr">
        <is>
          <t>VÄSTMANLANDS LÄN</t>
        </is>
      </c>
      <c r="E479" t="inlineStr">
        <is>
          <t>SALA</t>
        </is>
      </c>
      <c r="G479" t="n">
        <v>1.6</v>
      </c>
      <c r="H479" t="n">
        <v>0</v>
      </c>
      <c r="I479" t="n">
        <v>0</v>
      </c>
      <c r="J479" t="n">
        <v>0</v>
      </c>
      <c r="K479" t="n">
        <v>0</v>
      </c>
      <c r="L479" t="n">
        <v>0</v>
      </c>
      <c r="M479" t="n">
        <v>0</v>
      </c>
      <c r="N479" t="n">
        <v>0</v>
      </c>
      <c r="O479" t="n">
        <v>0</v>
      </c>
      <c r="P479" t="n">
        <v>0</v>
      </c>
      <c r="Q479" t="n">
        <v>0</v>
      </c>
      <c r="R479" s="2" t="inlineStr"/>
    </row>
    <row r="480" ht="15" customHeight="1">
      <c r="A480" t="inlineStr">
        <is>
          <t>A 1793-2023</t>
        </is>
      </c>
      <c r="B480" s="1" t="n">
        <v>44937</v>
      </c>
      <c r="C480" s="1" t="n">
        <v>46017</v>
      </c>
      <c r="D480" t="inlineStr">
        <is>
          <t>VÄSTMANLANDS LÄN</t>
        </is>
      </c>
      <c r="E480" t="inlineStr">
        <is>
          <t>SALA</t>
        </is>
      </c>
      <c r="G480" t="n">
        <v>2.6</v>
      </c>
      <c r="H480" t="n">
        <v>0</v>
      </c>
      <c r="I480" t="n">
        <v>0</v>
      </c>
      <c r="J480" t="n">
        <v>0</v>
      </c>
      <c r="K480" t="n">
        <v>0</v>
      </c>
      <c r="L480" t="n">
        <v>0</v>
      </c>
      <c r="M480" t="n">
        <v>0</v>
      </c>
      <c r="N480" t="n">
        <v>0</v>
      </c>
      <c r="O480" t="n">
        <v>0</v>
      </c>
      <c r="P480" t="n">
        <v>0</v>
      </c>
      <c r="Q480" t="n">
        <v>0</v>
      </c>
      <c r="R480" s="2" t="inlineStr"/>
    </row>
    <row r="481" ht="15" customHeight="1">
      <c r="A481" t="inlineStr">
        <is>
          <t>A 46661-2025</t>
        </is>
      </c>
      <c r="B481" s="1" t="n">
        <v>45926</v>
      </c>
      <c r="C481" s="1" t="n">
        <v>46017</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25260-2023</t>
        </is>
      </c>
      <c r="B482" s="1" t="n">
        <v>45086</v>
      </c>
      <c r="C482" s="1" t="n">
        <v>46017</v>
      </c>
      <c r="D482" t="inlineStr">
        <is>
          <t>VÄSTMANLANDS LÄN</t>
        </is>
      </c>
      <c r="E482" t="inlineStr">
        <is>
          <t>SALA</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46915-2025</t>
        </is>
      </c>
      <c r="B483" s="1" t="n">
        <v>45929.42114583333</v>
      </c>
      <c r="C483" s="1" t="n">
        <v>46017</v>
      </c>
      <c r="D483" t="inlineStr">
        <is>
          <t>VÄSTMANLANDS LÄN</t>
        </is>
      </c>
      <c r="E483" t="inlineStr">
        <is>
          <t>SALA</t>
        </is>
      </c>
      <c r="G483" t="n">
        <v>1.5</v>
      </c>
      <c r="H483" t="n">
        <v>0</v>
      </c>
      <c r="I483" t="n">
        <v>0</v>
      </c>
      <c r="J483" t="n">
        <v>0</v>
      </c>
      <c r="K483" t="n">
        <v>0</v>
      </c>
      <c r="L483" t="n">
        <v>0</v>
      </c>
      <c r="M483" t="n">
        <v>0</v>
      </c>
      <c r="N483" t="n">
        <v>0</v>
      </c>
      <c r="O483" t="n">
        <v>0</v>
      </c>
      <c r="P483" t="n">
        <v>0</v>
      </c>
      <c r="Q483" t="n">
        <v>0</v>
      </c>
      <c r="R483" s="2" t="inlineStr"/>
    </row>
    <row r="484" ht="15" customHeight="1">
      <c r="A484" t="inlineStr">
        <is>
          <t>A 42447-2022</t>
        </is>
      </c>
      <c r="B484" s="1" t="n">
        <v>44831</v>
      </c>
      <c r="C484" s="1" t="n">
        <v>46017</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16769-2024</t>
        </is>
      </c>
      <c r="B485" s="1" t="n">
        <v>45411.38738425926</v>
      </c>
      <c r="C485" s="1" t="n">
        <v>46017</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11183-2023</t>
        </is>
      </c>
      <c r="B486" s="1" t="n">
        <v>44992.57782407408</v>
      </c>
      <c r="C486" s="1" t="n">
        <v>46017</v>
      </c>
      <c r="D486" t="inlineStr">
        <is>
          <t>VÄSTMANLANDS LÄN</t>
        </is>
      </c>
      <c r="E486" t="inlineStr">
        <is>
          <t>SALA</t>
        </is>
      </c>
      <c r="G486" t="n">
        <v>0.9</v>
      </c>
      <c r="H486" t="n">
        <v>0</v>
      </c>
      <c r="I486" t="n">
        <v>0</v>
      </c>
      <c r="J486" t="n">
        <v>0</v>
      </c>
      <c r="K486" t="n">
        <v>0</v>
      </c>
      <c r="L486" t="n">
        <v>0</v>
      </c>
      <c r="M486" t="n">
        <v>0</v>
      </c>
      <c r="N486" t="n">
        <v>0</v>
      </c>
      <c r="O486" t="n">
        <v>0</v>
      </c>
      <c r="P486" t="n">
        <v>0</v>
      </c>
      <c r="Q486" t="n">
        <v>0</v>
      </c>
      <c r="R486" s="2" t="inlineStr"/>
    </row>
    <row r="487" ht="15" customHeight="1">
      <c r="A487" t="inlineStr">
        <is>
          <t>A 11190-2023</t>
        </is>
      </c>
      <c r="B487" s="1" t="n">
        <v>44992</v>
      </c>
      <c r="C487" s="1" t="n">
        <v>46017</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31950-2023</t>
        </is>
      </c>
      <c r="B488" s="1" t="n">
        <v>45107</v>
      </c>
      <c r="C488" s="1" t="n">
        <v>46017</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48057-2025</t>
        </is>
      </c>
      <c r="B489" s="1" t="n">
        <v>45932.67947916667</v>
      </c>
      <c r="C489" s="1" t="n">
        <v>46017</v>
      </c>
      <c r="D489" t="inlineStr">
        <is>
          <t>VÄSTMANLANDS LÄN</t>
        </is>
      </c>
      <c r="E489" t="inlineStr">
        <is>
          <t>SALA</t>
        </is>
      </c>
      <c r="G489" t="n">
        <v>4.3</v>
      </c>
      <c r="H489" t="n">
        <v>0</v>
      </c>
      <c r="I489" t="n">
        <v>0</v>
      </c>
      <c r="J489" t="n">
        <v>0</v>
      </c>
      <c r="K489" t="n">
        <v>0</v>
      </c>
      <c r="L489" t="n">
        <v>0</v>
      </c>
      <c r="M489" t="n">
        <v>0</v>
      </c>
      <c r="N489" t="n">
        <v>0</v>
      </c>
      <c r="O489" t="n">
        <v>0</v>
      </c>
      <c r="P489" t="n">
        <v>0</v>
      </c>
      <c r="Q489" t="n">
        <v>0</v>
      </c>
      <c r="R489" s="2" t="inlineStr"/>
    </row>
    <row r="490" ht="15" customHeight="1">
      <c r="A490" t="inlineStr">
        <is>
          <t>A 60249-2023</t>
        </is>
      </c>
      <c r="B490" s="1" t="n">
        <v>45258</v>
      </c>
      <c r="C490" s="1" t="n">
        <v>46017</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47577-2025</t>
        </is>
      </c>
      <c r="B491" s="1" t="n">
        <v>45931.4047337963</v>
      </c>
      <c r="C491" s="1" t="n">
        <v>46017</v>
      </c>
      <c r="D491" t="inlineStr">
        <is>
          <t>VÄSTMANLANDS LÄN</t>
        </is>
      </c>
      <c r="E491" t="inlineStr">
        <is>
          <t>SALA</t>
        </is>
      </c>
      <c r="G491" t="n">
        <v>3.7</v>
      </c>
      <c r="H491" t="n">
        <v>0</v>
      </c>
      <c r="I491" t="n">
        <v>0</v>
      </c>
      <c r="J491" t="n">
        <v>0</v>
      </c>
      <c r="K491" t="n">
        <v>0</v>
      </c>
      <c r="L491" t="n">
        <v>0</v>
      </c>
      <c r="M491" t="n">
        <v>0</v>
      </c>
      <c r="N491" t="n">
        <v>0</v>
      </c>
      <c r="O491" t="n">
        <v>0</v>
      </c>
      <c r="P491" t="n">
        <v>0</v>
      </c>
      <c r="Q491" t="n">
        <v>0</v>
      </c>
      <c r="R491" s="2" t="inlineStr"/>
    </row>
    <row r="492" ht="15" customHeight="1">
      <c r="A492" t="inlineStr">
        <is>
          <t>A 14271-2025</t>
        </is>
      </c>
      <c r="B492" s="1" t="n">
        <v>45740.64129629629</v>
      </c>
      <c r="C492" s="1" t="n">
        <v>46017</v>
      </c>
      <c r="D492" t="inlineStr">
        <is>
          <t>VÄSTMANLANDS LÄN</t>
        </is>
      </c>
      <c r="E492" t="inlineStr">
        <is>
          <t>SALA</t>
        </is>
      </c>
      <c r="G492" t="n">
        <v>0.8</v>
      </c>
      <c r="H492" t="n">
        <v>0</v>
      </c>
      <c r="I492" t="n">
        <v>0</v>
      </c>
      <c r="J492" t="n">
        <v>0</v>
      </c>
      <c r="K492" t="n">
        <v>0</v>
      </c>
      <c r="L492" t="n">
        <v>0</v>
      </c>
      <c r="M492" t="n">
        <v>0</v>
      </c>
      <c r="N492" t="n">
        <v>0</v>
      </c>
      <c r="O492" t="n">
        <v>0</v>
      </c>
      <c r="P492" t="n">
        <v>0</v>
      </c>
      <c r="Q492" t="n">
        <v>0</v>
      </c>
      <c r="R492" s="2" t="inlineStr"/>
    </row>
    <row r="493" ht="15" customHeight="1">
      <c r="A493" t="inlineStr">
        <is>
          <t>A 62449-2023</t>
        </is>
      </c>
      <c r="B493" s="1" t="n">
        <v>45268.49008101852</v>
      </c>
      <c r="C493" s="1" t="n">
        <v>46017</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69232-2021</t>
        </is>
      </c>
      <c r="B494" s="1" t="n">
        <v>44531.39696759259</v>
      </c>
      <c r="C494" s="1" t="n">
        <v>46017</v>
      </c>
      <c r="D494" t="inlineStr">
        <is>
          <t>VÄSTMANLANDS LÄN</t>
        </is>
      </c>
      <c r="E494" t="inlineStr">
        <is>
          <t>SALA</t>
        </is>
      </c>
      <c r="G494" t="n">
        <v>2.3</v>
      </c>
      <c r="H494" t="n">
        <v>0</v>
      </c>
      <c r="I494" t="n">
        <v>0</v>
      </c>
      <c r="J494" t="n">
        <v>0</v>
      </c>
      <c r="K494" t="n">
        <v>0</v>
      </c>
      <c r="L494" t="n">
        <v>0</v>
      </c>
      <c r="M494" t="n">
        <v>0</v>
      </c>
      <c r="N494" t="n">
        <v>0</v>
      </c>
      <c r="O494" t="n">
        <v>0</v>
      </c>
      <c r="P494" t="n">
        <v>0</v>
      </c>
      <c r="Q494" t="n">
        <v>0</v>
      </c>
      <c r="R494" s="2" t="inlineStr"/>
    </row>
    <row r="495" ht="15" customHeight="1">
      <c r="A495" t="inlineStr">
        <is>
          <t>A 48710-2024</t>
        </is>
      </c>
      <c r="B495" s="1" t="n">
        <v>45593.53636574074</v>
      </c>
      <c r="C495" s="1" t="n">
        <v>46017</v>
      </c>
      <c r="D495" t="inlineStr">
        <is>
          <t>VÄSTMANLANDS LÄN</t>
        </is>
      </c>
      <c r="E495" t="inlineStr">
        <is>
          <t>SALA</t>
        </is>
      </c>
      <c r="G495" t="n">
        <v>6.5</v>
      </c>
      <c r="H495" t="n">
        <v>0</v>
      </c>
      <c r="I495" t="n">
        <v>0</v>
      </c>
      <c r="J495" t="n">
        <v>0</v>
      </c>
      <c r="K495" t="n">
        <v>0</v>
      </c>
      <c r="L495" t="n">
        <v>0</v>
      </c>
      <c r="M495" t="n">
        <v>0</v>
      </c>
      <c r="N495" t="n">
        <v>0</v>
      </c>
      <c r="O495" t="n">
        <v>0</v>
      </c>
      <c r="P495" t="n">
        <v>0</v>
      </c>
      <c r="Q495" t="n">
        <v>0</v>
      </c>
      <c r="R495" s="2" t="inlineStr"/>
    </row>
    <row r="496" ht="15" customHeight="1">
      <c r="A496" t="inlineStr">
        <is>
          <t>A 28328-2023</t>
        </is>
      </c>
      <c r="B496" s="1" t="n">
        <v>45099.71063657408</v>
      </c>
      <c r="C496" s="1" t="n">
        <v>46017</v>
      </c>
      <c r="D496" t="inlineStr">
        <is>
          <t>VÄSTMANLANDS LÄN</t>
        </is>
      </c>
      <c r="E496" t="inlineStr">
        <is>
          <t>SALA</t>
        </is>
      </c>
      <c r="G496" t="n">
        <v>1.8</v>
      </c>
      <c r="H496" t="n">
        <v>0</v>
      </c>
      <c r="I496" t="n">
        <v>0</v>
      </c>
      <c r="J496" t="n">
        <v>0</v>
      </c>
      <c r="K496" t="n">
        <v>0</v>
      </c>
      <c r="L496" t="n">
        <v>0</v>
      </c>
      <c r="M496" t="n">
        <v>0</v>
      </c>
      <c r="N496" t="n">
        <v>0</v>
      </c>
      <c r="O496" t="n">
        <v>0</v>
      </c>
      <c r="P496" t="n">
        <v>0</v>
      </c>
      <c r="Q496" t="n">
        <v>0</v>
      </c>
      <c r="R496" s="2" t="inlineStr"/>
    </row>
    <row r="497" ht="15" customHeight="1">
      <c r="A497" t="inlineStr">
        <is>
          <t>A 23406-2024</t>
        </is>
      </c>
      <c r="B497" s="1" t="n">
        <v>45453.58296296297</v>
      </c>
      <c r="C497" s="1" t="n">
        <v>46017</v>
      </c>
      <c r="D497" t="inlineStr">
        <is>
          <t>VÄSTMANLANDS LÄN</t>
        </is>
      </c>
      <c r="E497" t="inlineStr">
        <is>
          <t>SALA</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12246-2023</t>
        </is>
      </c>
      <c r="B498" s="1" t="n">
        <v>44995</v>
      </c>
      <c r="C498" s="1" t="n">
        <v>46017</v>
      </c>
      <c r="D498" t="inlineStr">
        <is>
          <t>VÄSTMANLANDS LÄN</t>
        </is>
      </c>
      <c r="E498" t="inlineStr">
        <is>
          <t>SALA</t>
        </is>
      </c>
      <c r="G498" t="n">
        <v>2.4</v>
      </c>
      <c r="H498" t="n">
        <v>0</v>
      </c>
      <c r="I498" t="n">
        <v>0</v>
      </c>
      <c r="J498" t="n">
        <v>0</v>
      </c>
      <c r="K498" t="n">
        <v>0</v>
      </c>
      <c r="L498" t="n">
        <v>0</v>
      </c>
      <c r="M498" t="n">
        <v>0</v>
      </c>
      <c r="N498" t="n">
        <v>0</v>
      </c>
      <c r="O498" t="n">
        <v>0</v>
      </c>
      <c r="P498" t="n">
        <v>0</v>
      </c>
      <c r="Q498" t="n">
        <v>0</v>
      </c>
      <c r="R498" s="2" t="inlineStr"/>
    </row>
    <row r="499" ht="15" customHeight="1">
      <c r="A499" t="inlineStr">
        <is>
          <t>A 48710-2025</t>
        </is>
      </c>
      <c r="B499" s="1" t="n">
        <v>45936.63184027778</v>
      </c>
      <c r="C499" s="1" t="n">
        <v>46017</v>
      </c>
      <c r="D499" t="inlineStr">
        <is>
          <t>VÄSTMANLANDS LÄN</t>
        </is>
      </c>
      <c r="E499" t="inlineStr">
        <is>
          <t>SALA</t>
        </is>
      </c>
      <c r="G499" t="n">
        <v>2.7</v>
      </c>
      <c r="H499" t="n">
        <v>0</v>
      </c>
      <c r="I499" t="n">
        <v>0</v>
      </c>
      <c r="J499" t="n">
        <v>0</v>
      </c>
      <c r="K499" t="n">
        <v>0</v>
      </c>
      <c r="L499" t="n">
        <v>0</v>
      </c>
      <c r="M499" t="n">
        <v>0</v>
      </c>
      <c r="N499" t="n">
        <v>0</v>
      </c>
      <c r="O499" t="n">
        <v>0</v>
      </c>
      <c r="P499" t="n">
        <v>0</v>
      </c>
      <c r="Q499" t="n">
        <v>0</v>
      </c>
      <c r="R499" s="2" t="inlineStr"/>
    </row>
    <row r="500" ht="15" customHeight="1">
      <c r="A500" t="inlineStr">
        <is>
          <t>A 48571-2024</t>
        </is>
      </c>
      <c r="B500" s="1" t="n">
        <v>45591</v>
      </c>
      <c r="C500" s="1" t="n">
        <v>46017</v>
      </c>
      <c r="D500" t="inlineStr">
        <is>
          <t>VÄSTMANLANDS LÄN</t>
        </is>
      </c>
      <c r="E500" t="inlineStr">
        <is>
          <t>SALA</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40085-2024</t>
        </is>
      </c>
      <c r="B501" s="1" t="n">
        <v>45554</v>
      </c>
      <c r="C501" s="1" t="n">
        <v>46017</v>
      </c>
      <c r="D501" t="inlineStr">
        <is>
          <t>VÄSTMANLANDS LÄN</t>
        </is>
      </c>
      <c r="E501" t="inlineStr">
        <is>
          <t>SALA</t>
        </is>
      </c>
      <c r="G501" t="n">
        <v>2.8</v>
      </c>
      <c r="H501" t="n">
        <v>0</v>
      </c>
      <c r="I501" t="n">
        <v>0</v>
      </c>
      <c r="J501" t="n">
        <v>0</v>
      </c>
      <c r="K501" t="n">
        <v>0</v>
      </c>
      <c r="L501" t="n">
        <v>0</v>
      </c>
      <c r="M501" t="n">
        <v>0</v>
      </c>
      <c r="N501" t="n">
        <v>0</v>
      </c>
      <c r="O501" t="n">
        <v>0</v>
      </c>
      <c r="P501" t="n">
        <v>0</v>
      </c>
      <c r="Q501" t="n">
        <v>0</v>
      </c>
      <c r="R501" s="2" t="inlineStr"/>
    </row>
    <row r="502" ht="15" customHeight="1">
      <c r="A502" t="inlineStr">
        <is>
          <t>A 43362-2023</t>
        </is>
      </c>
      <c r="B502" s="1" t="n">
        <v>45183</v>
      </c>
      <c r="C502" s="1" t="n">
        <v>46017</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54910-2023</t>
        </is>
      </c>
      <c r="B503" s="1" t="n">
        <v>45229</v>
      </c>
      <c r="C503" s="1" t="n">
        <v>46017</v>
      </c>
      <c r="D503" t="inlineStr">
        <is>
          <t>VÄSTMANLANDS LÄN</t>
        </is>
      </c>
      <c r="E503" t="inlineStr">
        <is>
          <t>SALA</t>
        </is>
      </c>
      <c r="G503" t="n">
        <v>2.4</v>
      </c>
      <c r="H503" t="n">
        <v>0</v>
      </c>
      <c r="I503" t="n">
        <v>0</v>
      </c>
      <c r="J503" t="n">
        <v>0</v>
      </c>
      <c r="K503" t="n">
        <v>0</v>
      </c>
      <c r="L503" t="n">
        <v>0</v>
      </c>
      <c r="M503" t="n">
        <v>0</v>
      </c>
      <c r="N503" t="n">
        <v>0</v>
      </c>
      <c r="O503" t="n">
        <v>0</v>
      </c>
      <c r="P503" t="n">
        <v>0</v>
      </c>
      <c r="Q503" t="n">
        <v>0</v>
      </c>
      <c r="R503" s="2" t="inlineStr"/>
    </row>
    <row r="504" ht="15" customHeight="1">
      <c r="A504" t="inlineStr">
        <is>
          <t>A 18158-2025</t>
        </is>
      </c>
      <c r="B504" s="1" t="n">
        <v>45761</v>
      </c>
      <c r="C504" s="1" t="n">
        <v>46017</v>
      </c>
      <c r="D504" t="inlineStr">
        <is>
          <t>VÄSTMANLANDS LÄN</t>
        </is>
      </c>
      <c r="E504" t="inlineStr">
        <is>
          <t>SALA</t>
        </is>
      </c>
      <c r="F504" t="inlineStr">
        <is>
          <t>Bergvik skog öst AB</t>
        </is>
      </c>
      <c r="G504" t="n">
        <v>1.6</v>
      </c>
      <c r="H504" t="n">
        <v>0</v>
      </c>
      <c r="I504" t="n">
        <v>0</v>
      </c>
      <c r="J504" t="n">
        <v>0</v>
      </c>
      <c r="K504" t="n">
        <v>0</v>
      </c>
      <c r="L504" t="n">
        <v>0</v>
      </c>
      <c r="M504" t="n">
        <v>0</v>
      </c>
      <c r="N504" t="n">
        <v>0</v>
      </c>
      <c r="O504" t="n">
        <v>0</v>
      </c>
      <c r="P504" t="n">
        <v>0</v>
      </c>
      <c r="Q504" t="n">
        <v>0</v>
      </c>
      <c r="R504" s="2" t="inlineStr"/>
    </row>
    <row r="505" ht="15" customHeight="1">
      <c r="A505" t="inlineStr">
        <is>
          <t>A 49661-2024</t>
        </is>
      </c>
      <c r="B505" s="1" t="n">
        <v>45596</v>
      </c>
      <c r="C505" s="1" t="n">
        <v>46017</v>
      </c>
      <c r="D505" t="inlineStr">
        <is>
          <t>VÄSTMANLANDS LÄN</t>
        </is>
      </c>
      <c r="E505" t="inlineStr">
        <is>
          <t>SALA</t>
        </is>
      </c>
      <c r="G505" t="n">
        <v>6.7</v>
      </c>
      <c r="H505" t="n">
        <v>0</v>
      </c>
      <c r="I505" t="n">
        <v>0</v>
      </c>
      <c r="J505" t="n">
        <v>0</v>
      </c>
      <c r="K505" t="n">
        <v>0</v>
      </c>
      <c r="L505" t="n">
        <v>0</v>
      </c>
      <c r="M505" t="n">
        <v>0</v>
      </c>
      <c r="N505" t="n">
        <v>0</v>
      </c>
      <c r="O505" t="n">
        <v>0</v>
      </c>
      <c r="P505" t="n">
        <v>0</v>
      </c>
      <c r="Q505" t="n">
        <v>0</v>
      </c>
      <c r="R505" s="2" t="inlineStr"/>
    </row>
    <row r="506" ht="15" customHeight="1">
      <c r="A506" t="inlineStr">
        <is>
          <t>A 16767-2024</t>
        </is>
      </c>
      <c r="B506" s="1" t="n">
        <v>45411.38171296296</v>
      </c>
      <c r="C506" s="1" t="n">
        <v>46017</v>
      </c>
      <c r="D506" t="inlineStr">
        <is>
          <t>VÄSTMANLANDS LÄN</t>
        </is>
      </c>
      <c r="E506" t="inlineStr">
        <is>
          <t>SALA</t>
        </is>
      </c>
      <c r="G506" t="n">
        <v>2.5</v>
      </c>
      <c r="H506" t="n">
        <v>0</v>
      </c>
      <c r="I506" t="n">
        <v>0</v>
      </c>
      <c r="J506" t="n">
        <v>0</v>
      </c>
      <c r="K506" t="n">
        <v>0</v>
      </c>
      <c r="L506" t="n">
        <v>0</v>
      </c>
      <c r="M506" t="n">
        <v>0</v>
      </c>
      <c r="N506" t="n">
        <v>0</v>
      </c>
      <c r="O506" t="n">
        <v>0</v>
      </c>
      <c r="P506" t="n">
        <v>0</v>
      </c>
      <c r="Q506" t="n">
        <v>0</v>
      </c>
      <c r="R506" s="2" t="inlineStr"/>
    </row>
    <row r="507" ht="15" customHeight="1">
      <c r="A507" t="inlineStr">
        <is>
          <t>A 56614-2025</t>
        </is>
      </c>
      <c r="B507" s="1" t="n">
        <v>45975.59288194445</v>
      </c>
      <c r="C507" s="1" t="n">
        <v>46017</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31470-2021</t>
        </is>
      </c>
      <c r="B508" s="1" t="n">
        <v>44369</v>
      </c>
      <c r="C508" s="1" t="n">
        <v>46017</v>
      </c>
      <c r="D508" t="inlineStr">
        <is>
          <t>VÄSTMANLANDS LÄN</t>
        </is>
      </c>
      <c r="E508" t="inlineStr">
        <is>
          <t>SALA</t>
        </is>
      </c>
      <c r="F508" t="inlineStr">
        <is>
          <t>Sveaskog</t>
        </is>
      </c>
      <c r="G508" t="n">
        <v>2.1</v>
      </c>
      <c r="H508" t="n">
        <v>0</v>
      </c>
      <c r="I508" t="n">
        <v>0</v>
      </c>
      <c r="J508" t="n">
        <v>0</v>
      </c>
      <c r="K508" t="n">
        <v>0</v>
      </c>
      <c r="L508" t="n">
        <v>0</v>
      </c>
      <c r="M508" t="n">
        <v>0</v>
      </c>
      <c r="N508" t="n">
        <v>0</v>
      </c>
      <c r="O508" t="n">
        <v>0</v>
      </c>
      <c r="P508" t="n">
        <v>0</v>
      </c>
      <c r="Q508" t="n">
        <v>0</v>
      </c>
      <c r="R508" s="2" t="inlineStr"/>
    </row>
    <row r="509" ht="15" customHeight="1">
      <c r="A509" t="inlineStr">
        <is>
          <t>A 56502-2025</t>
        </is>
      </c>
      <c r="B509" s="1" t="n">
        <v>45975</v>
      </c>
      <c r="C509" s="1" t="n">
        <v>46017</v>
      </c>
      <c r="D509" t="inlineStr">
        <is>
          <t>VÄSTMANLANDS LÄN</t>
        </is>
      </c>
      <c r="E509" t="inlineStr">
        <is>
          <t>SALA</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18461-2024</t>
        </is>
      </c>
      <c r="B510" s="1" t="n">
        <v>45425.47435185185</v>
      </c>
      <c r="C510" s="1" t="n">
        <v>46017</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57412-2025</t>
        </is>
      </c>
      <c r="B511" s="1" t="n">
        <v>45980.44883101852</v>
      </c>
      <c r="C511" s="1" t="n">
        <v>46017</v>
      </c>
      <c r="D511" t="inlineStr">
        <is>
          <t>VÄSTMANLANDS LÄN</t>
        </is>
      </c>
      <c r="E511" t="inlineStr">
        <is>
          <t>SALA</t>
        </is>
      </c>
      <c r="F511" t="inlineStr">
        <is>
          <t>Bergvik skog öst AB</t>
        </is>
      </c>
      <c r="G511" t="n">
        <v>4.5</v>
      </c>
      <c r="H511" t="n">
        <v>0</v>
      </c>
      <c r="I511" t="n">
        <v>0</v>
      </c>
      <c r="J511" t="n">
        <v>0</v>
      </c>
      <c r="K511" t="n">
        <v>0</v>
      </c>
      <c r="L511" t="n">
        <v>0</v>
      </c>
      <c r="M511" t="n">
        <v>0</v>
      </c>
      <c r="N511" t="n">
        <v>0</v>
      </c>
      <c r="O511" t="n">
        <v>0</v>
      </c>
      <c r="P511" t="n">
        <v>0</v>
      </c>
      <c r="Q511" t="n">
        <v>0</v>
      </c>
      <c r="R511" s="2" t="inlineStr"/>
    </row>
    <row r="512" ht="15" customHeight="1">
      <c r="A512" t="inlineStr">
        <is>
          <t>A 35519-2024</t>
        </is>
      </c>
      <c r="B512" s="1" t="n">
        <v>45531</v>
      </c>
      <c r="C512" s="1" t="n">
        <v>46017</v>
      </c>
      <c r="D512" t="inlineStr">
        <is>
          <t>VÄSTMANLANDS LÄN</t>
        </is>
      </c>
      <c r="E512" t="inlineStr">
        <is>
          <t>SALA</t>
        </is>
      </c>
      <c r="G512" t="n">
        <v>1.8</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46017</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9335-2022</t>
        </is>
      </c>
      <c r="B514" s="1" t="n">
        <v>44616.56579861111</v>
      </c>
      <c r="C514" s="1" t="n">
        <v>46017</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56611-2025</t>
        </is>
      </c>
      <c r="B515" s="1" t="n">
        <v>45975</v>
      </c>
      <c r="C515" s="1" t="n">
        <v>46017</v>
      </c>
      <c r="D515" t="inlineStr">
        <is>
          <t>VÄSTMANLANDS LÄN</t>
        </is>
      </c>
      <c r="E515" t="inlineStr">
        <is>
          <t>SALA</t>
        </is>
      </c>
      <c r="G515" t="n">
        <v>2.8</v>
      </c>
      <c r="H515" t="n">
        <v>0</v>
      </c>
      <c r="I515" t="n">
        <v>0</v>
      </c>
      <c r="J515" t="n">
        <v>0</v>
      </c>
      <c r="K515" t="n">
        <v>0</v>
      </c>
      <c r="L515" t="n">
        <v>0</v>
      </c>
      <c r="M515" t="n">
        <v>0</v>
      </c>
      <c r="N515" t="n">
        <v>0</v>
      </c>
      <c r="O515" t="n">
        <v>0</v>
      </c>
      <c r="P515" t="n">
        <v>0</v>
      </c>
      <c r="Q515" t="n">
        <v>0</v>
      </c>
      <c r="R515" s="2" t="inlineStr"/>
    </row>
    <row r="516" ht="15" customHeight="1">
      <c r="A516" t="inlineStr">
        <is>
          <t>A 54347-2024</t>
        </is>
      </c>
      <c r="B516" s="1" t="n">
        <v>45617.39325231482</v>
      </c>
      <c r="C516" s="1" t="n">
        <v>46017</v>
      </c>
      <c r="D516" t="inlineStr">
        <is>
          <t>VÄSTMANLANDS LÄN</t>
        </is>
      </c>
      <c r="E516" t="inlineStr">
        <is>
          <t>SALA</t>
        </is>
      </c>
      <c r="G516" t="n">
        <v>2</v>
      </c>
      <c r="H516" t="n">
        <v>0</v>
      </c>
      <c r="I516" t="n">
        <v>0</v>
      </c>
      <c r="J516" t="n">
        <v>0</v>
      </c>
      <c r="K516" t="n">
        <v>0</v>
      </c>
      <c r="L516" t="n">
        <v>0</v>
      </c>
      <c r="M516" t="n">
        <v>0</v>
      </c>
      <c r="N516" t="n">
        <v>0</v>
      </c>
      <c r="O516" t="n">
        <v>0</v>
      </c>
      <c r="P516" t="n">
        <v>0</v>
      </c>
      <c r="Q516" t="n">
        <v>0</v>
      </c>
      <c r="R516" s="2" t="inlineStr"/>
    </row>
    <row r="517" ht="15" customHeight="1">
      <c r="A517" t="inlineStr">
        <is>
          <t>A 47479-2024</t>
        </is>
      </c>
      <c r="B517" s="1" t="n">
        <v>45587</v>
      </c>
      <c r="C517" s="1" t="n">
        <v>46017</v>
      </c>
      <c r="D517" t="inlineStr">
        <is>
          <t>VÄSTMANLANDS LÄN</t>
        </is>
      </c>
      <c r="E517" t="inlineStr">
        <is>
          <t>SALA</t>
        </is>
      </c>
      <c r="F517" t="inlineStr">
        <is>
          <t>Kommuner</t>
        </is>
      </c>
      <c r="G517" t="n">
        <v>0.8</v>
      </c>
      <c r="H517" t="n">
        <v>0</v>
      </c>
      <c r="I517" t="n">
        <v>0</v>
      </c>
      <c r="J517" t="n">
        <v>0</v>
      </c>
      <c r="K517" t="n">
        <v>0</v>
      </c>
      <c r="L517" t="n">
        <v>0</v>
      </c>
      <c r="M517" t="n">
        <v>0</v>
      </c>
      <c r="N517" t="n">
        <v>0</v>
      </c>
      <c r="O517" t="n">
        <v>0</v>
      </c>
      <c r="P517" t="n">
        <v>0</v>
      </c>
      <c r="Q517" t="n">
        <v>0</v>
      </c>
      <c r="R517" s="2" t="inlineStr"/>
    </row>
    <row r="518" ht="15" customHeight="1">
      <c r="A518" t="inlineStr">
        <is>
          <t>A 56593-2025</t>
        </is>
      </c>
      <c r="B518" s="1" t="n">
        <v>45975</v>
      </c>
      <c r="C518" s="1" t="n">
        <v>46017</v>
      </c>
      <c r="D518" t="inlineStr">
        <is>
          <t>VÄSTMANLANDS LÄN</t>
        </is>
      </c>
      <c r="E518" t="inlineStr">
        <is>
          <t>SALA</t>
        </is>
      </c>
      <c r="F518" t="inlineStr">
        <is>
          <t>Kyrkan</t>
        </is>
      </c>
      <c r="G518" t="n">
        <v>0.1</v>
      </c>
      <c r="H518" t="n">
        <v>0</v>
      </c>
      <c r="I518" t="n">
        <v>0</v>
      </c>
      <c r="J518" t="n">
        <v>0</v>
      </c>
      <c r="K518" t="n">
        <v>0</v>
      </c>
      <c r="L518" t="n">
        <v>0</v>
      </c>
      <c r="M518" t="n">
        <v>0</v>
      </c>
      <c r="N518" t="n">
        <v>0</v>
      </c>
      <c r="O518" t="n">
        <v>0</v>
      </c>
      <c r="P518" t="n">
        <v>0</v>
      </c>
      <c r="Q518" t="n">
        <v>0</v>
      </c>
      <c r="R518" s="2" t="inlineStr"/>
    </row>
    <row r="519" ht="15" customHeight="1">
      <c r="A519" t="inlineStr">
        <is>
          <t>A 13022-2023</t>
        </is>
      </c>
      <c r="B519" s="1" t="n">
        <v>45002.33291666667</v>
      </c>
      <c r="C519" s="1" t="n">
        <v>46017</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35003-2024</t>
        </is>
      </c>
      <c r="B520" s="1" t="n">
        <v>45527.56790509259</v>
      </c>
      <c r="C520" s="1" t="n">
        <v>46017</v>
      </c>
      <c r="D520" t="inlineStr">
        <is>
          <t>VÄSTMANLANDS LÄN</t>
        </is>
      </c>
      <c r="E520" t="inlineStr">
        <is>
          <t>SALA</t>
        </is>
      </c>
      <c r="G520" t="n">
        <v>0.7</v>
      </c>
      <c r="H520" t="n">
        <v>0</v>
      </c>
      <c r="I520" t="n">
        <v>0</v>
      </c>
      <c r="J520" t="n">
        <v>0</v>
      </c>
      <c r="K520" t="n">
        <v>0</v>
      </c>
      <c r="L520" t="n">
        <v>0</v>
      </c>
      <c r="M520" t="n">
        <v>0</v>
      </c>
      <c r="N520" t="n">
        <v>0</v>
      </c>
      <c r="O520" t="n">
        <v>0</v>
      </c>
      <c r="P520" t="n">
        <v>0</v>
      </c>
      <c r="Q520" t="n">
        <v>0</v>
      </c>
      <c r="R520" s="2" t="inlineStr"/>
    </row>
    <row r="521" ht="15" customHeight="1">
      <c r="A521" t="inlineStr">
        <is>
          <t>A 19065-2022</t>
        </is>
      </c>
      <c r="B521" s="1" t="n">
        <v>44691.44309027777</v>
      </c>
      <c r="C521" s="1" t="n">
        <v>46017</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22961-2023</t>
        </is>
      </c>
      <c r="B522" s="1" t="n">
        <v>45072</v>
      </c>
      <c r="C522" s="1" t="n">
        <v>46017</v>
      </c>
      <c r="D522" t="inlineStr">
        <is>
          <t>VÄSTMANLANDS LÄN</t>
        </is>
      </c>
      <c r="E522" t="inlineStr">
        <is>
          <t>SALA</t>
        </is>
      </c>
      <c r="G522" t="n">
        <v>2.7</v>
      </c>
      <c r="H522" t="n">
        <v>0</v>
      </c>
      <c r="I522" t="n">
        <v>0</v>
      </c>
      <c r="J522" t="n">
        <v>0</v>
      </c>
      <c r="K522" t="n">
        <v>0</v>
      </c>
      <c r="L522" t="n">
        <v>0</v>
      </c>
      <c r="M522" t="n">
        <v>0</v>
      </c>
      <c r="N522" t="n">
        <v>0</v>
      </c>
      <c r="O522" t="n">
        <v>0</v>
      </c>
      <c r="P522" t="n">
        <v>0</v>
      </c>
      <c r="Q522" t="n">
        <v>0</v>
      </c>
      <c r="R522" s="2" t="inlineStr"/>
    </row>
    <row r="523" ht="15" customHeight="1">
      <c r="A523" t="inlineStr">
        <is>
          <t>A 22963-2023</t>
        </is>
      </c>
      <c r="B523" s="1" t="n">
        <v>45072</v>
      </c>
      <c r="C523" s="1" t="n">
        <v>46017</v>
      </c>
      <c r="D523" t="inlineStr">
        <is>
          <t>VÄSTMANLANDS LÄN</t>
        </is>
      </c>
      <c r="E523" t="inlineStr">
        <is>
          <t>SALA</t>
        </is>
      </c>
      <c r="G523" t="n">
        <v>1.2</v>
      </c>
      <c r="H523" t="n">
        <v>0</v>
      </c>
      <c r="I523" t="n">
        <v>0</v>
      </c>
      <c r="J523" t="n">
        <v>0</v>
      </c>
      <c r="K523" t="n">
        <v>0</v>
      </c>
      <c r="L523" t="n">
        <v>0</v>
      </c>
      <c r="M523" t="n">
        <v>0</v>
      </c>
      <c r="N523" t="n">
        <v>0</v>
      </c>
      <c r="O523" t="n">
        <v>0</v>
      </c>
      <c r="P523" t="n">
        <v>0</v>
      </c>
      <c r="Q523" t="n">
        <v>0</v>
      </c>
      <c r="R523" s="2" t="inlineStr"/>
    </row>
    <row r="524" ht="15" customHeight="1">
      <c r="A524" t="inlineStr">
        <is>
          <t>A 66307-2021</t>
        </is>
      </c>
      <c r="B524" s="1" t="n">
        <v>44518.48670138889</v>
      </c>
      <c r="C524" s="1" t="n">
        <v>46017</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6030-2024</t>
        </is>
      </c>
      <c r="B525" s="1" t="n">
        <v>45336.62782407407</v>
      </c>
      <c r="C525" s="1" t="n">
        <v>46017</v>
      </c>
      <c r="D525" t="inlineStr">
        <is>
          <t>VÄSTMANLANDS LÄN</t>
        </is>
      </c>
      <c r="E525" t="inlineStr">
        <is>
          <t>SALA</t>
        </is>
      </c>
      <c r="G525" t="n">
        <v>3.9</v>
      </c>
      <c r="H525" t="n">
        <v>0</v>
      </c>
      <c r="I525" t="n">
        <v>0</v>
      </c>
      <c r="J525" t="n">
        <v>0</v>
      </c>
      <c r="K525" t="n">
        <v>0</v>
      </c>
      <c r="L525" t="n">
        <v>0</v>
      </c>
      <c r="M525" t="n">
        <v>0</v>
      </c>
      <c r="N525" t="n">
        <v>0</v>
      </c>
      <c r="O525" t="n">
        <v>0</v>
      </c>
      <c r="P525" t="n">
        <v>0</v>
      </c>
      <c r="Q525" t="n">
        <v>0</v>
      </c>
      <c r="R525" s="2" t="inlineStr"/>
    </row>
    <row r="526" ht="15" customHeight="1">
      <c r="A526" t="inlineStr">
        <is>
          <t>A 48910-2025</t>
        </is>
      </c>
      <c r="B526" s="1" t="n">
        <v>45937.48649305556</v>
      </c>
      <c r="C526" s="1" t="n">
        <v>46017</v>
      </c>
      <c r="D526" t="inlineStr">
        <is>
          <t>VÄSTMANLANDS LÄN</t>
        </is>
      </c>
      <c r="E526" t="inlineStr">
        <is>
          <t>SALA</t>
        </is>
      </c>
      <c r="G526" t="n">
        <v>7.8</v>
      </c>
      <c r="H526" t="n">
        <v>0</v>
      </c>
      <c r="I526" t="n">
        <v>0</v>
      </c>
      <c r="J526" t="n">
        <v>0</v>
      </c>
      <c r="K526" t="n">
        <v>0</v>
      </c>
      <c r="L526" t="n">
        <v>0</v>
      </c>
      <c r="M526" t="n">
        <v>0</v>
      </c>
      <c r="N526" t="n">
        <v>0</v>
      </c>
      <c r="O526" t="n">
        <v>0</v>
      </c>
      <c r="P526" t="n">
        <v>0</v>
      </c>
      <c r="Q526" t="n">
        <v>0</v>
      </c>
      <c r="R526" s="2" t="inlineStr"/>
    </row>
    <row r="527" ht="15" customHeight="1">
      <c r="A527" t="inlineStr">
        <is>
          <t>A 10585-2022</t>
        </is>
      </c>
      <c r="B527" s="1" t="n">
        <v>44624</v>
      </c>
      <c r="C527" s="1" t="n">
        <v>46017</v>
      </c>
      <c r="D527" t="inlineStr">
        <is>
          <t>VÄSTMANLANDS LÄN</t>
        </is>
      </c>
      <c r="E527" t="inlineStr">
        <is>
          <t>SALA</t>
        </is>
      </c>
      <c r="G527" t="n">
        <v>2</v>
      </c>
      <c r="H527" t="n">
        <v>0</v>
      </c>
      <c r="I527" t="n">
        <v>0</v>
      </c>
      <c r="J527" t="n">
        <v>0</v>
      </c>
      <c r="K527" t="n">
        <v>0</v>
      </c>
      <c r="L527" t="n">
        <v>0</v>
      </c>
      <c r="M527" t="n">
        <v>0</v>
      </c>
      <c r="N527" t="n">
        <v>0</v>
      </c>
      <c r="O527" t="n">
        <v>0</v>
      </c>
      <c r="P527" t="n">
        <v>0</v>
      </c>
      <c r="Q527" t="n">
        <v>0</v>
      </c>
      <c r="R527" s="2" t="inlineStr"/>
    </row>
    <row r="528" ht="15" customHeight="1">
      <c r="A528" t="inlineStr">
        <is>
          <t>A 69236-2021</t>
        </is>
      </c>
      <c r="B528" s="1" t="n">
        <v>44531.4047337963</v>
      </c>
      <c r="C528" s="1" t="n">
        <v>46017</v>
      </c>
      <c r="D528" t="inlineStr">
        <is>
          <t>VÄSTMANLANDS LÄN</t>
        </is>
      </c>
      <c r="E528" t="inlineStr">
        <is>
          <t>SALA</t>
        </is>
      </c>
      <c r="G528" t="n">
        <v>2.8</v>
      </c>
      <c r="H528" t="n">
        <v>0</v>
      </c>
      <c r="I528" t="n">
        <v>0</v>
      </c>
      <c r="J528" t="n">
        <v>0</v>
      </c>
      <c r="K528" t="n">
        <v>0</v>
      </c>
      <c r="L528" t="n">
        <v>0</v>
      </c>
      <c r="M528" t="n">
        <v>0</v>
      </c>
      <c r="N528" t="n">
        <v>0</v>
      </c>
      <c r="O528" t="n">
        <v>0</v>
      </c>
      <c r="P528" t="n">
        <v>0</v>
      </c>
      <c r="Q528" t="n">
        <v>0</v>
      </c>
      <c r="R528" s="2" t="inlineStr"/>
    </row>
    <row r="529" ht="15" customHeight="1">
      <c r="A529" t="inlineStr">
        <is>
          <t>A 19222-2025</t>
        </is>
      </c>
      <c r="B529" s="1" t="n">
        <v>45769</v>
      </c>
      <c r="C529" s="1" t="n">
        <v>46017</v>
      </c>
      <c r="D529" t="inlineStr">
        <is>
          <t>VÄSTMANLANDS LÄN</t>
        </is>
      </c>
      <c r="E529" t="inlineStr">
        <is>
          <t>SALA</t>
        </is>
      </c>
      <c r="G529" t="n">
        <v>1.8</v>
      </c>
      <c r="H529" t="n">
        <v>0</v>
      </c>
      <c r="I529" t="n">
        <v>0</v>
      </c>
      <c r="J529" t="n">
        <v>0</v>
      </c>
      <c r="K529" t="n">
        <v>0</v>
      </c>
      <c r="L529" t="n">
        <v>0</v>
      </c>
      <c r="M529" t="n">
        <v>0</v>
      </c>
      <c r="N529" t="n">
        <v>0</v>
      </c>
      <c r="O529" t="n">
        <v>0</v>
      </c>
      <c r="P529" t="n">
        <v>0</v>
      </c>
      <c r="Q529" t="n">
        <v>0</v>
      </c>
      <c r="R529" s="2" t="inlineStr"/>
    </row>
    <row r="530" ht="15" customHeight="1">
      <c r="A530" t="inlineStr">
        <is>
          <t>A 19241-2025</t>
        </is>
      </c>
      <c r="B530" s="1" t="n">
        <v>45769</v>
      </c>
      <c r="C530" s="1" t="n">
        <v>46017</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57415-2025</t>
        </is>
      </c>
      <c r="B531" s="1" t="n">
        <v>45980.45099537037</v>
      </c>
      <c r="C531" s="1" t="n">
        <v>46017</v>
      </c>
      <c r="D531" t="inlineStr">
        <is>
          <t>VÄSTMANLANDS LÄN</t>
        </is>
      </c>
      <c r="E531" t="inlineStr">
        <is>
          <t>SALA</t>
        </is>
      </c>
      <c r="F531" t="inlineStr">
        <is>
          <t>Bergvik skog öst AB</t>
        </is>
      </c>
      <c r="G531" t="n">
        <v>1.4</v>
      </c>
      <c r="H531" t="n">
        <v>0</v>
      </c>
      <c r="I531" t="n">
        <v>0</v>
      </c>
      <c r="J531" t="n">
        <v>0</v>
      </c>
      <c r="K531" t="n">
        <v>0</v>
      </c>
      <c r="L531" t="n">
        <v>0</v>
      </c>
      <c r="M531" t="n">
        <v>0</v>
      </c>
      <c r="N531" t="n">
        <v>0</v>
      </c>
      <c r="O531" t="n">
        <v>0</v>
      </c>
      <c r="P531" t="n">
        <v>0</v>
      </c>
      <c r="Q531" t="n">
        <v>0</v>
      </c>
      <c r="R531" s="2" t="inlineStr"/>
    </row>
    <row r="532" ht="15" customHeight="1">
      <c r="A532" t="inlineStr">
        <is>
          <t>A 26761-2023</t>
        </is>
      </c>
      <c r="B532" s="1" t="n">
        <v>45093</v>
      </c>
      <c r="C532" s="1" t="n">
        <v>46017</v>
      </c>
      <c r="D532" t="inlineStr">
        <is>
          <t>VÄSTMANLANDS LÄN</t>
        </is>
      </c>
      <c r="E532" t="inlineStr">
        <is>
          <t>SALA</t>
        </is>
      </c>
      <c r="G532" t="n">
        <v>4.3</v>
      </c>
      <c r="H532" t="n">
        <v>0</v>
      </c>
      <c r="I532" t="n">
        <v>0</v>
      </c>
      <c r="J532" t="n">
        <v>0</v>
      </c>
      <c r="K532" t="n">
        <v>0</v>
      </c>
      <c r="L532" t="n">
        <v>0</v>
      </c>
      <c r="M532" t="n">
        <v>0</v>
      </c>
      <c r="N532" t="n">
        <v>0</v>
      </c>
      <c r="O532" t="n">
        <v>0</v>
      </c>
      <c r="P532" t="n">
        <v>0</v>
      </c>
      <c r="Q532" t="n">
        <v>0</v>
      </c>
      <c r="R532" s="2" t="inlineStr"/>
    </row>
    <row r="533" ht="15" customHeight="1">
      <c r="A533" t="inlineStr">
        <is>
          <t>A 49640-2025</t>
        </is>
      </c>
      <c r="B533" s="1" t="n">
        <v>45939.61459490741</v>
      </c>
      <c r="C533" s="1" t="n">
        <v>46017</v>
      </c>
      <c r="D533" t="inlineStr">
        <is>
          <t>VÄSTMANLANDS LÄN</t>
        </is>
      </c>
      <c r="E533" t="inlineStr">
        <is>
          <t>SALA</t>
        </is>
      </c>
      <c r="F533" t="inlineStr">
        <is>
          <t>Kommuner</t>
        </is>
      </c>
      <c r="G533" t="n">
        <v>18.8</v>
      </c>
      <c r="H533" t="n">
        <v>0</v>
      </c>
      <c r="I533" t="n">
        <v>0</v>
      </c>
      <c r="J533" t="n">
        <v>0</v>
      </c>
      <c r="K533" t="n">
        <v>0</v>
      </c>
      <c r="L533" t="n">
        <v>0</v>
      </c>
      <c r="M533" t="n">
        <v>0</v>
      </c>
      <c r="N533" t="n">
        <v>0</v>
      </c>
      <c r="O533" t="n">
        <v>0</v>
      </c>
      <c r="P533" t="n">
        <v>0</v>
      </c>
      <c r="Q533" t="n">
        <v>0</v>
      </c>
      <c r="R533" s="2" t="inlineStr"/>
    </row>
    <row r="534" ht="15" customHeight="1">
      <c r="A534" t="inlineStr">
        <is>
          <t>A 61892-2021</t>
        </is>
      </c>
      <c r="B534" s="1" t="n">
        <v>44502</v>
      </c>
      <c r="C534" s="1" t="n">
        <v>46017</v>
      </c>
      <c r="D534" t="inlineStr">
        <is>
          <t>VÄSTMANLANDS LÄN</t>
        </is>
      </c>
      <c r="E534" t="inlineStr">
        <is>
          <t>SALA</t>
        </is>
      </c>
      <c r="G534" t="n">
        <v>1.4</v>
      </c>
      <c r="H534" t="n">
        <v>0</v>
      </c>
      <c r="I534" t="n">
        <v>0</v>
      </c>
      <c r="J534" t="n">
        <v>0</v>
      </c>
      <c r="K534" t="n">
        <v>0</v>
      </c>
      <c r="L534" t="n">
        <v>0</v>
      </c>
      <c r="M534" t="n">
        <v>0</v>
      </c>
      <c r="N534" t="n">
        <v>0</v>
      </c>
      <c r="O534" t="n">
        <v>0</v>
      </c>
      <c r="P534" t="n">
        <v>0</v>
      </c>
      <c r="Q534" t="n">
        <v>0</v>
      </c>
      <c r="R534" s="2" t="inlineStr"/>
    </row>
    <row r="535" ht="15" customHeight="1">
      <c r="A535" t="inlineStr">
        <is>
          <t>A 48117-2024</t>
        </is>
      </c>
      <c r="B535" s="1" t="n">
        <v>45589</v>
      </c>
      <c r="C535" s="1" t="n">
        <v>46017</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12225-2023</t>
        </is>
      </c>
      <c r="B536" s="1" t="n">
        <v>44995</v>
      </c>
      <c r="C536" s="1" t="n">
        <v>46017</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12252-2023</t>
        </is>
      </c>
      <c r="B537" s="1" t="n">
        <v>44995</v>
      </c>
      <c r="C537" s="1" t="n">
        <v>46017</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6116-2023</t>
        </is>
      </c>
      <c r="B538" s="1" t="n">
        <v>44964</v>
      </c>
      <c r="C538" s="1" t="n">
        <v>46017</v>
      </c>
      <c r="D538" t="inlineStr">
        <is>
          <t>VÄSTMANLANDS LÄN</t>
        </is>
      </c>
      <c r="E538" t="inlineStr">
        <is>
          <t>SALA</t>
        </is>
      </c>
      <c r="G538" t="n">
        <v>1.9</v>
      </c>
      <c r="H538" t="n">
        <v>0</v>
      </c>
      <c r="I538" t="n">
        <v>0</v>
      </c>
      <c r="J538" t="n">
        <v>0</v>
      </c>
      <c r="K538" t="n">
        <v>0</v>
      </c>
      <c r="L538" t="n">
        <v>0</v>
      </c>
      <c r="M538" t="n">
        <v>0</v>
      </c>
      <c r="N538" t="n">
        <v>0</v>
      </c>
      <c r="O538" t="n">
        <v>0</v>
      </c>
      <c r="P538" t="n">
        <v>0</v>
      </c>
      <c r="Q538" t="n">
        <v>0</v>
      </c>
      <c r="R538" s="2" t="inlineStr"/>
    </row>
    <row r="539" ht="15" customHeight="1">
      <c r="A539" t="inlineStr">
        <is>
          <t>A 18100-2023</t>
        </is>
      </c>
      <c r="B539" s="1" t="n">
        <v>45040</v>
      </c>
      <c r="C539" s="1" t="n">
        <v>46017</v>
      </c>
      <c r="D539" t="inlineStr">
        <is>
          <t>VÄSTMANLANDS LÄN</t>
        </is>
      </c>
      <c r="E539" t="inlineStr">
        <is>
          <t>SALA</t>
        </is>
      </c>
      <c r="G539" t="n">
        <v>1.8</v>
      </c>
      <c r="H539" t="n">
        <v>0</v>
      </c>
      <c r="I539" t="n">
        <v>0</v>
      </c>
      <c r="J539" t="n">
        <v>0</v>
      </c>
      <c r="K539" t="n">
        <v>0</v>
      </c>
      <c r="L539" t="n">
        <v>0</v>
      </c>
      <c r="M539" t="n">
        <v>0</v>
      </c>
      <c r="N539" t="n">
        <v>0</v>
      </c>
      <c r="O539" t="n">
        <v>0</v>
      </c>
      <c r="P539" t="n">
        <v>0</v>
      </c>
      <c r="Q539" t="n">
        <v>0</v>
      </c>
      <c r="R539" s="2" t="inlineStr"/>
    </row>
    <row r="540" ht="15" customHeight="1">
      <c r="A540" t="inlineStr">
        <is>
          <t>A 49585-2025</t>
        </is>
      </c>
      <c r="B540" s="1" t="n">
        <v>45939.5043287037</v>
      </c>
      <c r="C540" s="1" t="n">
        <v>46017</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7772-2023</t>
        </is>
      </c>
      <c r="B541" s="1" t="n">
        <v>44973.40076388889</v>
      </c>
      <c r="C541" s="1" t="n">
        <v>46017</v>
      </c>
      <c r="D541" t="inlineStr">
        <is>
          <t>VÄSTMANLANDS LÄN</t>
        </is>
      </c>
      <c r="E541" t="inlineStr">
        <is>
          <t>SALA</t>
        </is>
      </c>
      <c r="G541" t="n">
        <v>0.5</v>
      </c>
      <c r="H541" t="n">
        <v>0</v>
      </c>
      <c r="I541" t="n">
        <v>0</v>
      </c>
      <c r="J541" t="n">
        <v>0</v>
      </c>
      <c r="K541" t="n">
        <v>0</v>
      </c>
      <c r="L541" t="n">
        <v>0</v>
      </c>
      <c r="M541" t="n">
        <v>0</v>
      </c>
      <c r="N541" t="n">
        <v>0</v>
      </c>
      <c r="O541" t="n">
        <v>0</v>
      </c>
      <c r="P541" t="n">
        <v>0</v>
      </c>
      <c r="Q541" t="n">
        <v>0</v>
      </c>
      <c r="R541" s="2" t="inlineStr"/>
    </row>
    <row r="542" ht="15" customHeight="1">
      <c r="A542" t="inlineStr">
        <is>
          <t>A 13471-2025</t>
        </is>
      </c>
      <c r="B542" s="1" t="n">
        <v>45736.40579861111</v>
      </c>
      <c r="C542" s="1" t="n">
        <v>46017</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26854-2024</t>
        </is>
      </c>
      <c r="B543" s="1" t="n">
        <v>45470</v>
      </c>
      <c r="C543" s="1" t="n">
        <v>46017</v>
      </c>
      <c r="D543" t="inlineStr">
        <is>
          <t>VÄSTMANLANDS LÄN</t>
        </is>
      </c>
      <c r="E543" t="inlineStr">
        <is>
          <t>SALA</t>
        </is>
      </c>
      <c r="G543" t="n">
        <v>1.4</v>
      </c>
      <c r="H543" t="n">
        <v>0</v>
      </c>
      <c r="I543" t="n">
        <v>0</v>
      </c>
      <c r="J543" t="n">
        <v>0</v>
      </c>
      <c r="K543" t="n">
        <v>0</v>
      </c>
      <c r="L543" t="n">
        <v>0</v>
      </c>
      <c r="M543" t="n">
        <v>0</v>
      </c>
      <c r="N543" t="n">
        <v>0</v>
      </c>
      <c r="O543" t="n">
        <v>0</v>
      </c>
      <c r="P543" t="n">
        <v>0</v>
      </c>
      <c r="Q543" t="n">
        <v>0</v>
      </c>
      <c r="R543" s="2" t="inlineStr"/>
    </row>
    <row r="544" ht="15" customHeight="1">
      <c r="A544" t="inlineStr">
        <is>
          <t>A 37602-2024</t>
        </is>
      </c>
      <c r="B544" s="1" t="n">
        <v>45541</v>
      </c>
      <c r="C544" s="1" t="n">
        <v>46017</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1985-2022</t>
        </is>
      </c>
      <c r="B545" s="1" t="n">
        <v>44575</v>
      </c>
      <c r="C545" s="1" t="n">
        <v>46017</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58282-2025</t>
        </is>
      </c>
      <c r="B546" s="1" t="n">
        <v>45985.44309027777</v>
      </c>
      <c r="C546" s="1" t="n">
        <v>46017</v>
      </c>
      <c r="D546" t="inlineStr">
        <is>
          <t>VÄSTMANLANDS LÄN</t>
        </is>
      </c>
      <c r="E546" t="inlineStr">
        <is>
          <t>SALA</t>
        </is>
      </c>
      <c r="G546" t="n">
        <v>8.9</v>
      </c>
      <c r="H546" t="n">
        <v>0</v>
      </c>
      <c r="I546" t="n">
        <v>0</v>
      </c>
      <c r="J546" t="n">
        <v>0</v>
      </c>
      <c r="K546" t="n">
        <v>0</v>
      </c>
      <c r="L546" t="n">
        <v>0</v>
      </c>
      <c r="M546" t="n">
        <v>0</v>
      </c>
      <c r="N546" t="n">
        <v>0</v>
      </c>
      <c r="O546" t="n">
        <v>0</v>
      </c>
      <c r="P546" t="n">
        <v>0</v>
      </c>
      <c r="Q546" t="n">
        <v>0</v>
      </c>
      <c r="R546" s="2" t="inlineStr"/>
    </row>
    <row r="547" ht="15" customHeight="1">
      <c r="A547" t="inlineStr">
        <is>
          <t>A 58357-2025</t>
        </is>
      </c>
      <c r="B547" s="1" t="n">
        <v>45985.51518518518</v>
      </c>
      <c r="C547" s="1" t="n">
        <v>46017</v>
      </c>
      <c r="D547" t="inlineStr">
        <is>
          <t>VÄSTMANLANDS LÄN</t>
        </is>
      </c>
      <c r="E547" t="inlineStr">
        <is>
          <t>SALA</t>
        </is>
      </c>
      <c r="G547" t="n">
        <v>3</v>
      </c>
      <c r="H547" t="n">
        <v>0</v>
      </c>
      <c r="I547" t="n">
        <v>0</v>
      </c>
      <c r="J547" t="n">
        <v>0</v>
      </c>
      <c r="K547" t="n">
        <v>0</v>
      </c>
      <c r="L547" t="n">
        <v>0</v>
      </c>
      <c r="M547" t="n">
        <v>0</v>
      </c>
      <c r="N547" t="n">
        <v>0</v>
      </c>
      <c r="O547" t="n">
        <v>0</v>
      </c>
      <c r="P547" t="n">
        <v>0</v>
      </c>
      <c r="Q547" t="n">
        <v>0</v>
      </c>
      <c r="R547" s="2" t="inlineStr"/>
    </row>
    <row r="548" ht="15" customHeight="1">
      <c r="A548" t="inlineStr">
        <is>
          <t>A 58364-2025</t>
        </is>
      </c>
      <c r="B548" s="1" t="n">
        <v>45985.5228125</v>
      </c>
      <c r="C548" s="1" t="n">
        <v>46017</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6308-2021</t>
        </is>
      </c>
      <c r="B549" s="1" t="n">
        <v>44235</v>
      </c>
      <c r="C549" s="1" t="n">
        <v>46017</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21455-2023</t>
        </is>
      </c>
      <c r="B550" s="1" t="n">
        <v>45058</v>
      </c>
      <c r="C550" s="1" t="n">
        <v>46017</v>
      </c>
      <c r="D550" t="inlineStr">
        <is>
          <t>VÄSTMANLANDS LÄN</t>
        </is>
      </c>
      <c r="E550" t="inlineStr">
        <is>
          <t>SALA</t>
        </is>
      </c>
      <c r="G550" t="n">
        <v>6.4</v>
      </c>
      <c r="H550" t="n">
        <v>0</v>
      </c>
      <c r="I550" t="n">
        <v>0</v>
      </c>
      <c r="J550" t="n">
        <v>0</v>
      </c>
      <c r="K550" t="n">
        <v>0</v>
      </c>
      <c r="L550" t="n">
        <v>0</v>
      </c>
      <c r="M550" t="n">
        <v>0</v>
      </c>
      <c r="N550" t="n">
        <v>0</v>
      </c>
      <c r="O550" t="n">
        <v>0</v>
      </c>
      <c r="P550" t="n">
        <v>0</v>
      </c>
      <c r="Q550" t="n">
        <v>0</v>
      </c>
      <c r="R550" s="2" t="inlineStr"/>
    </row>
    <row r="551" ht="15" customHeight="1">
      <c r="A551" t="inlineStr">
        <is>
          <t>A 42416-2022</t>
        </is>
      </c>
      <c r="B551" s="1" t="n">
        <v>44831</v>
      </c>
      <c r="C551" s="1" t="n">
        <v>46017</v>
      </c>
      <c r="D551" t="inlineStr">
        <is>
          <t>VÄSTMANLANDS LÄN</t>
        </is>
      </c>
      <c r="E551" t="inlineStr">
        <is>
          <t>SALA</t>
        </is>
      </c>
      <c r="G551" t="n">
        <v>2.2</v>
      </c>
      <c r="H551" t="n">
        <v>0</v>
      </c>
      <c r="I551" t="n">
        <v>0</v>
      </c>
      <c r="J551" t="n">
        <v>0</v>
      </c>
      <c r="K551" t="n">
        <v>0</v>
      </c>
      <c r="L551" t="n">
        <v>0</v>
      </c>
      <c r="M551" t="n">
        <v>0</v>
      </c>
      <c r="N551" t="n">
        <v>0</v>
      </c>
      <c r="O551" t="n">
        <v>0</v>
      </c>
      <c r="P551" t="n">
        <v>0</v>
      </c>
      <c r="Q551" t="n">
        <v>0</v>
      </c>
      <c r="R551" s="2" t="inlineStr"/>
    </row>
    <row r="552" ht="15" customHeight="1">
      <c r="A552" t="inlineStr">
        <is>
          <t>A 19381-2025</t>
        </is>
      </c>
      <c r="B552" s="1" t="n">
        <v>45769</v>
      </c>
      <c r="C552" s="1" t="n">
        <v>46017</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4797-2023</t>
        </is>
      </c>
      <c r="B553" s="1" t="n">
        <v>44957</v>
      </c>
      <c r="C553" s="1" t="n">
        <v>46017</v>
      </c>
      <c r="D553" t="inlineStr">
        <is>
          <t>VÄSTMANLANDS LÄN</t>
        </is>
      </c>
      <c r="E553" t="inlineStr">
        <is>
          <t>SALA</t>
        </is>
      </c>
      <c r="G553" t="n">
        <v>5.7</v>
      </c>
      <c r="H553" t="n">
        <v>0</v>
      </c>
      <c r="I553" t="n">
        <v>0</v>
      </c>
      <c r="J553" t="n">
        <v>0</v>
      </c>
      <c r="K553" t="n">
        <v>0</v>
      </c>
      <c r="L553" t="n">
        <v>0</v>
      </c>
      <c r="M553" t="n">
        <v>0</v>
      </c>
      <c r="N553" t="n">
        <v>0</v>
      </c>
      <c r="O553" t="n">
        <v>0</v>
      </c>
      <c r="P553" t="n">
        <v>0</v>
      </c>
      <c r="Q553" t="n">
        <v>0</v>
      </c>
      <c r="R553" s="2" t="inlineStr"/>
    </row>
    <row r="554" ht="15" customHeight="1">
      <c r="A554" t="inlineStr">
        <is>
          <t>A 4852-2023</t>
        </is>
      </c>
      <c r="B554" s="1" t="n">
        <v>44957.72496527778</v>
      </c>
      <c r="C554" s="1" t="n">
        <v>46017</v>
      </c>
      <c r="D554" t="inlineStr">
        <is>
          <t>VÄSTMANLANDS LÄN</t>
        </is>
      </c>
      <c r="E554" t="inlineStr">
        <is>
          <t>SALA</t>
        </is>
      </c>
      <c r="G554" t="n">
        <v>2</v>
      </c>
      <c r="H554" t="n">
        <v>0</v>
      </c>
      <c r="I554" t="n">
        <v>0</v>
      </c>
      <c r="J554" t="n">
        <v>0</v>
      </c>
      <c r="K554" t="n">
        <v>0</v>
      </c>
      <c r="L554" t="n">
        <v>0</v>
      </c>
      <c r="M554" t="n">
        <v>0</v>
      </c>
      <c r="N554" t="n">
        <v>0</v>
      </c>
      <c r="O554" t="n">
        <v>0</v>
      </c>
      <c r="P554" t="n">
        <v>0</v>
      </c>
      <c r="Q554" t="n">
        <v>0</v>
      </c>
      <c r="R554" s="2" t="inlineStr"/>
    </row>
    <row r="555" ht="15" customHeight="1">
      <c r="A555" t="inlineStr">
        <is>
          <t>A 36858-2023</t>
        </is>
      </c>
      <c r="B555" s="1" t="n">
        <v>45154.55184027777</v>
      </c>
      <c r="C555" s="1" t="n">
        <v>46017</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50128-2025</t>
        </is>
      </c>
      <c r="B556" s="1" t="n">
        <v>45943.55318287037</v>
      </c>
      <c r="C556" s="1" t="n">
        <v>46017</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48688-2024</t>
        </is>
      </c>
      <c r="B557" s="1" t="n">
        <v>45593.50541666667</v>
      </c>
      <c r="C557" s="1" t="n">
        <v>46017</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58701-2021</t>
        </is>
      </c>
      <c r="B558" s="1" t="n">
        <v>44489.46454861111</v>
      </c>
      <c r="C558" s="1" t="n">
        <v>46017</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58359-2025</t>
        </is>
      </c>
      <c r="B559" s="1" t="n">
        <v>45985.51594907408</v>
      </c>
      <c r="C559" s="1" t="n">
        <v>46017</v>
      </c>
      <c r="D559" t="inlineStr">
        <is>
          <t>VÄSTMANLANDS LÄN</t>
        </is>
      </c>
      <c r="E559" t="inlineStr">
        <is>
          <t>SALA</t>
        </is>
      </c>
      <c r="G559" t="n">
        <v>3.7</v>
      </c>
      <c r="H559" t="n">
        <v>0</v>
      </c>
      <c r="I559" t="n">
        <v>0</v>
      </c>
      <c r="J559" t="n">
        <v>0</v>
      </c>
      <c r="K559" t="n">
        <v>0</v>
      </c>
      <c r="L559" t="n">
        <v>0</v>
      </c>
      <c r="M559" t="n">
        <v>0</v>
      </c>
      <c r="N559" t="n">
        <v>0</v>
      </c>
      <c r="O559" t="n">
        <v>0</v>
      </c>
      <c r="P559" t="n">
        <v>0</v>
      </c>
      <c r="Q559" t="n">
        <v>0</v>
      </c>
      <c r="R559" s="2" t="inlineStr"/>
    </row>
    <row r="560" ht="15" customHeight="1">
      <c r="A560" t="inlineStr">
        <is>
          <t>A 58365-2025</t>
        </is>
      </c>
      <c r="B560" s="1" t="n">
        <v>45985.52288194445</v>
      </c>
      <c r="C560" s="1" t="n">
        <v>46017</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50249-2025</t>
        </is>
      </c>
      <c r="B561" s="1" t="n">
        <v>45944.31508101852</v>
      </c>
      <c r="C561" s="1" t="n">
        <v>46017</v>
      </c>
      <c r="D561" t="inlineStr">
        <is>
          <t>VÄSTMANLANDS LÄN</t>
        </is>
      </c>
      <c r="E561" t="inlineStr">
        <is>
          <t>SALA</t>
        </is>
      </c>
      <c r="G561" t="n">
        <v>2.3</v>
      </c>
      <c r="H561" t="n">
        <v>0</v>
      </c>
      <c r="I561" t="n">
        <v>0</v>
      </c>
      <c r="J561" t="n">
        <v>0</v>
      </c>
      <c r="K561" t="n">
        <v>0</v>
      </c>
      <c r="L561" t="n">
        <v>0</v>
      </c>
      <c r="M561" t="n">
        <v>0</v>
      </c>
      <c r="N561" t="n">
        <v>0</v>
      </c>
      <c r="O561" t="n">
        <v>0</v>
      </c>
      <c r="P561" t="n">
        <v>0</v>
      </c>
      <c r="Q561" t="n">
        <v>0</v>
      </c>
      <c r="R561" s="2" t="inlineStr"/>
    </row>
    <row r="562" ht="15" customHeight="1">
      <c r="A562" t="inlineStr">
        <is>
          <t>A 26416-2023</t>
        </is>
      </c>
      <c r="B562" s="1" t="n">
        <v>45092.38087962963</v>
      </c>
      <c r="C562" s="1" t="n">
        <v>46017</v>
      </c>
      <c r="D562" t="inlineStr">
        <is>
          <t>VÄSTMANLANDS LÄN</t>
        </is>
      </c>
      <c r="E562" t="inlineStr">
        <is>
          <t>SALA</t>
        </is>
      </c>
      <c r="G562" t="n">
        <v>2.9</v>
      </c>
      <c r="H562" t="n">
        <v>0</v>
      </c>
      <c r="I562" t="n">
        <v>0</v>
      </c>
      <c r="J562" t="n">
        <v>0</v>
      </c>
      <c r="K562" t="n">
        <v>0</v>
      </c>
      <c r="L562" t="n">
        <v>0</v>
      </c>
      <c r="M562" t="n">
        <v>0</v>
      </c>
      <c r="N562" t="n">
        <v>0</v>
      </c>
      <c r="O562" t="n">
        <v>0</v>
      </c>
      <c r="P562" t="n">
        <v>0</v>
      </c>
      <c r="Q562" t="n">
        <v>0</v>
      </c>
      <c r="R562" s="2" t="inlineStr"/>
    </row>
    <row r="563" ht="15" customHeight="1">
      <c r="A563" t="inlineStr">
        <is>
          <t>A 50119-2025</t>
        </is>
      </c>
      <c r="B563" s="1" t="n">
        <v>45943.54883101852</v>
      </c>
      <c r="C563" s="1" t="n">
        <v>46017</v>
      </c>
      <c r="D563" t="inlineStr">
        <is>
          <t>VÄSTMANLANDS LÄN</t>
        </is>
      </c>
      <c r="E563" t="inlineStr">
        <is>
          <t>SALA</t>
        </is>
      </c>
      <c r="G563" t="n">
        <v>3.3</v>
      </c>
      <c r="H563" t="n">
        <v>0</v>
      </c>
      <c r="I563" t="n">
        <v>0</v>
      </c>
      <c r="J563" t="n">
        <v>0</v>
      </c>
      <c r="K563" t="n">
        <v>0</v>
      </c>
      <c r="L563" t="n">
        <v>0</v>
      </c>
      <c r="M563" t="n">
        <v>0</v>
      </c>
      <c r="N563" t="n">
        <v>0</v>
      </c>
      <c r="O563" t="n">
        <v>0</v>
      </c>
      <c r="P563" t="n">
        <v>0</v>
      </c>
      <c r="Q563" t="n">
        <v>0</v>
      </c>
      <c r="R563" s="2" t="inlineStr"/>
    </row>
    <row r="564" ht="15" customHeight="1">
      <c r="A564" t="inlineStr">
        <is>
          <t>A 50059-2025</t>
        </is>
      </c>
      <c r="B564" s="1" t="n">
        <v>45943.44125</v>
      </c>
      <c r="C564" s="1" t="n">
        <v>46017</v>
      </c>
      <c r="D564" t="inlineStr">
        <is>
          <t>VÄSTMANLANDS LÄN</t>
        </is>
      </c>
      <c r="E564" t="inlineStr">
        <is>
          <t>SALA</t>
        </is>
      </c>
      <c r="G564" t="n">
        <v>4.4</v>
      </c>
      <c r="H564" t="n">
        <v>0</v>
      </c>
      <c r="I564" t="n">
        <v>0</v>
      </c>
      <c r="J564" t="n">
        <v>0</v>
      </c>
      <c r="K564" t="n">
        <v>0</v>
      </c>
      <c r="L564" t="n">
        <v>0</v>
      </c>
      <c r="M564" t="n">
        <v>0</v>
      </c>
      <c r="N564" t="n">
        <v>0</v>
      </c>
      <c r="O564" t="n">
        <v>0</v>
      </c>
      <c r="P564" t="n">
        <v>0</v>
      </c>
      <c r="Q564" t="n">
        <v>0</v>
      </c>
      <c r="R564" s="2" t="inlineStr"/>
    </row>
    <row r="565" ht="15" customHeight="1">
      <c r="A565" t="inlineStr">
        <is>
          <t>A 37337-2024</t>
        </is>
      </c>
      <c r="B565" s="1" t="n">
        <v>45540</v>
      </c>
      <c r="C565" s="1" t="n">
        <v>46017</v>
      </c>
      <c r="D565" t="inlineStr">
        <is>
          <t>VÄSTMANLANDS LÄN</t>
        </is>
      </c>
      <c r="E565" t="inlineStr">
        <is>
          <t>SALA</t>
        </is>
      </c>
      <c r="G565" t="n">
        <v>6.5</v>
      </c>
      <c r="H565" t="n">
        <v>0</v>
      </c>
      <c r="I565" t="n">
        <v>0</v>
      </c>
      <c r="J565" t="n">
        <v>0</v>
      </c>
      <c r="K565" t="n">
        <v>0</v>
      </c>
      <c r="L565" t="n">
        <v>0</v>
      </c>
      <c r="M565" t="n">
        <v>0</v>
      </c>
      <c r="N565" t="n">
        <v>0</v>
      </c>
      <c r="O565" t="n">
        <v>0</v>
      </c>
      <c r="P565" t="n">
        <v>0</v>
      </c>
      <c r="Q565" t="n">
        <v>0</v>
      </c>
      <c r="R565" s="2" t="inlineStr"/>
    </row>
    <row r="566" ht="15" customHeight="1">
      <c r="A566" t="inlineStr">
        <is>
          <t>A 45187-2024</t>
        </is>
      </c>
      <c r="B566" s="1" t="n">
        <v>45575</v>
      </c>
      <c r="C566" s="1" t="n">
        <v>46017</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15968-2024</t>
        </is>
      </c>
      <c r="B567" s="1" t="n">
        <v>45405.56021990741</v>
      </c>
      <c r="C567" s="1" t="n">
        <v>46017</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3733-2023</t>
        </is>
      </c>
      <c r="B568" s="1" t="n">
        <v>44951.42501157407</v>
      </c>
      <c r="C568" s="1" t="n">
        <v>46017</v>
      </c>
      <c r="D568" t="inlineStr">
        <is>
          <t>VÄSTMANLANDS LÄN</t>
        </is>
      </c>
      <c r="E568" t="inlineStr">
        <is>
          <t>SALA</t>
        </is>
      </c>
      <c r="G568" t="n">
        <v>3.1</v>
      </c>
      <c r="H568" t="n">
        <v>0</v>
      </c>
      <c r="I568" t="n">
        <v>0</v>
      </c>
      <c r="J568" t="n">
        <v>0</v>
      </c>
      <c r="K568" t="n">
        <v>0</v>
      </c>
      <c r="L568" t="n">
        <v>0</v>
      </c>
      <c r="M568" t="n">
        <v>0</v>
      </c>
      <c r="N568" t="n">
        <v>0</v>
      </c>
      <c r="O568" t="n">
        <v>0</v>
      </c>
      <c r="P568" t="n">
        <v>0</v>
      </c>
      <c r="Q568" t="n">
        <v>0</v>
      </c>
      <c r="R568" s="2" t="inlineStr"/>
    </row>
    <row r="569" ht="15" customHeight="1">
      <c r="A569" t="inlineStr">
        <is>
          <t>A 26692-2023</t>
        </is>
      </c>
      <c r="B569" s="1" t="n">
        <v>45093.360625</v>
      </c>
      <c r="C569" s="1" t="n">
        <v>46017</v>
      </c>
      <c r="D569" t="inlineStr">
        <is>
          <t>VÄSTMANLANDS LÄN</t>
        </is>
      </c>
      <c r="E569" t="inlineStr">
        <is>
          <t>SALA</t>
        </is>
      </c>
      <c r="G569" t="n">
        <v>1.8</v>
      </c>
      <c r="H569" t="n">
        <v>0</v>
      </c>
      <c r="I569" t="n">
        <v>0</v>
      </c>
      <c r="J569" t="n">
        <v>0</v>
      </c>
      <c r="K569" t="n">
        <v>0</v>
      </c>
      <c r="L569" t="n">
        <v>0</v>
      </c>
      <c r="M569" t="n">
        <v>0</v>
      </c>
      <c r="N569" t="n">
        <v>0</v>
      </c>
      <c r="O569" t="n">
        <v>0</v>
      </c>
      <c r="P569" t="n">
        <v>0</v>
      </c>
      <c r="Q569" t="n">
        <v>0</v>
      </c>
      <c r="R569" s="2" t="inlineStr"/>
    </row>
    <row r="570" ht="15" customHeight="1">
      <c r="A570" t="inlineStr">
        <is>
          <t>A 10250-2025</t>
        </is>
      </c>
      <c r="B570" s="1" t="n">
        <v>45720.36165509259</v>
      </c>
      <c r="C570" s="1" t="n">
        <v>46017</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23180-2022</t>
        </is>
      </c>
      <c r="B571" s="1" t="n">
        <v>44719.79344907407</v>
      </c>
      <c r="C571" s="1" t="n">
        <v>46017</v>
      </c>
      <c r="D571" t="inlineStr">
        <is>
          <t>VÄSTMANLANDS LÄN</t>
        </is>
      </c>
      <c r="E571" t="inlineStr">
        <is>
          <t>SALA</t>
        </is>
      </c>
      <c r="G571" t="n">
        <v>1.2</v>
      </c>
      <c r="H571" t="n">
        <v>0</v>
      </c>
      <c r="I571" t="n">
        <v>0</v>
      </c>
      <c r="J571" t="n">
        <v>0</v>
      </c>
      <c r="K571" t="n">
        <v>0</v>
      </c>
      <c r="L571" t="n">
        <v>0</v>
      </c>
      <c r="M571" t="n">
        <v>0</v>
      </c>
      <c r="N571" t="n">
        <v>0</v>
      </c>
      <c r="O571" t="n">
        <v>0</v>
      </c>
      <c r="P571" t="n">
        <v>0</v>
      </c>
      <c r="Q571" t="n">
        <v>0</v>
      </c>
      <c r="R571" s="2" t="inlineStr"/>
    </row>
    <row r="572" ht="15" customHeight="1">
      <c r="A572" t="inlineStr">
        <is>
          <t>A 21053-2022</t>
        </is>
      </c>
      <c r="B572" s="1" t="n">
        <v>44704</v>
      </c>
      <c r="C572" s="1" t="n">
        <v>46017</v>
      </c>
      <c r="D572" t="inlineStr">
        <is>
          <t>VÄSTMANLANDS LÄN</t>
        </is>
      </c>
      <c r="E572" t="inlineStr">
        <is>
          <t>SALA</t>
        </is>
      </c>
      <c r="G572" t="n">
        <v>2</v>
      </c>
      <c r="H572" t="n">
        <v>0</v>
      </c>
      <c r="I572" t="n">
        <v>0</v>
      </c>
      <c r="J572" t="n">
        <v>0</v>
      </c>
      <c r="K572" t="n">
        <v>0</v>
      </c>
      <c r="L572" t="n">
        <v>0</v>
      </c>
      <c r="M572" t="n">
        <v>0</v>
      </c>
      <c r="N572" t="n">
        <v>0</v>
      </c>
      <c r="O572" t="n">
        <v>0</v>
      </c>
      <c r="P572" t="n">
        <v>0</v>
      </c>
      <c r="Q572" t="n">
        <v>0</v>
      </c>
      <c r="R572" s="2" t="inlineStr"/>
    </row>
    <row r="573" ht="15" customHeight="1">
      <c r="A573" t="inlineStr">
        <is>
          <t>A 18340-2025</t>
        </is>
      </c>
      <c r="B573" s="1" t="n">
        <v>45762</v>
      </c>
      <c r="C573" s="1" t="n">
        <v>46017</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16638-2023</t>
        </is>
      </c>
      <c r="B574" s="1" t="n">
        <v>45027</v>
      </c>
      <c r="C574" s="1" t="n">
        <v>46017</v>
      </c>
      <c r="D574" t="inlineStr">
        <is>
          <t>VÄSTMANLANDS LÄN</t>
        </is>
      </c>
      <c r="E574" t="inlineStr">
        <is>
          <t>SALA</t>
        </is>
      </c>
      <c r="G574" t="n">
        <v>14.8</v>
      </c>
      <c r="H574" t="n">
        <v>0</v>
      </c>
      <c r="I574" t="n">
        <v>0</v>
      </c>
      <c r="J574" t="n">
        <v>0</v>
      </c>
      <c r="K574" t="n">
        <v>0</v>
      </c>
      <c r="L574" t="n">
        <v>0</v>
      </c>
      <c r="M574" t="n">
        <v>0</v>
      </c>
      <c r="N574" t="n">
        <v>0</v>
      </c>
      <c r="O574" t="n">
        <v>0</v>
      </c>
      <c r="P574" t="n">
        <v>0</v>
      </c>
      <c r="Q574" t="n">
        <v>0</v>
      </c>
      <c r="R574" s="2" t="inlineStr"/>
    </row>
    <row r="575" ht="15" customHeight="1">
      <c r="A575" t="inlineStr">
        <is>
          <t>A 15681-2025</t>
        </is>
      </c>
      <c r="B575" s="1" t="n">
        <v>45748.45454861111</v>
      </c>
      <c r="C575" s="1" t="n">
        <v>46017</v>
      </c>
      <c r="D575" t="inlineStr">
        <is>
          <t>VÄSTMANLANDS LÄN</t>
        </is>
      </c>
      <c r="E575" t="inlineStr">
        <is>
          <t>SALA</t>
        </is>
      </c>
      <c r="F575" t="inlineStr">
        <is>
          <t>Bergvik skog öst AB</t>
        </is>
      </c>
      <c r="G575" t="n">
        <v>4.3</v>
      </c>
      <c r="H575" t="n">
        <v>0</v>
      </c>
      <c r="I575" t="n">
        <v>0</v>
      </c>
      <c r="J575" t="n">
        <v>0</v>
      </c>
      <c r="K575" t="n">
        <v>0</v>
      </c>
      <c r="L575" t="n">
        <v>0</v>
      </c>
      <c r="M575" t="n">
        <v>0</v>
      </c>
      <c r="N575" t="n">
        <v>0</v>
      </c>
      <c r="O575" t="n">
        <v>0</v>
      </c>
      <c r="P575" t="n">
        <v>0</v>
      </c>
      <c r="Q575" t="n">
        <v>0</v>
      </c>
      <c r="R575" s="2" t="inlineStr"/>
    </row>
    <row r="576" ht="15" customHeight="1">
      <c r="A576" t="inlineStr">
        <is>
          <t>A 59817-2025</t>
        </is>
      </c>
      <c r="B576" s="1" t="n">
        <v>45992.63711805556</v>
      </c>
      <c r="C576" s="1" t="n">
        <v>46017</v>
      </c>
      <c r="D576" t="inlineStr">
        <is>
          <t>VÄSTMANLANDS LÄN</t>
        </is>
      </c>
      <c r="E576" t="inlineStr">
        <is>
          <t>SALA</t>
        </is>
      </c>
      <c r="G576" t="n">
        <v>6.9</v>
      </c>
      <c r="H576" t="n">
        <v>0</v>
      </c>
      <c r="I576" t="n">
        <v>0</v>
      </c>
      <c r="J576" t="n">
        <v>0</v>
      </c>
      <c r="K576" t="n">
        <v>0</v>
      </c>
      <c r="L576" t="n">
        <v>0</v>
      </c>
      <c r="M576" t="n">
        <v>0</v>
      </c>
      <c r="N576" t="n">
        <v>0</v>
      </c>
      <c r="O576" t="n">
        <v>0</v>
      </c>
      <c r="P576" t="n">
        <v>0</v>
      </c>
      <c r="Q576" t="n">
        <v>0</v>
      </c>
      <c r="R576" s="2" t="inlineStr"/>
    </row>
    <row r="577" ht="15" customHeight="1">
      <c r="A577" t="inlineStr">
        <is>
          <t>A 51247-2025</t>
        </is>
      </c>
      <c r="B577" s="1" t="n">
        <v>45947.86487268518</v>
      </c>
      <c r="C577" s="1" t="n">
        <v>46017</v>
      </c>
      <c r="D577" t="inlineStr">
        <is>
          <t>VÄSTMANLANDS LÄN</t>
        </is>
      </c>
      <c r="E577" t="inlineStr">
        <is>
          <t>SALA</t>
        </is>
      </c>
      <c r="G577" t="n">
        <v>10.4</v>
      </c>
      <c r="H577" t="n">
        <v>0</v>
      </c>
      <c r="I577" t="n">
        <v>0</v>
      </c>
      <c r="J577" t="n">
        <v>0</v>
      </c>
      <c r="K577" t="n">
        <v>0</v>
      </c>
      <c r="L577" t="n">
        <v>0</v>
      </c>
      <c r="M577" t="n">
        <v>0</v>
      </c>
      <c r="N577" t="n">
        <v>0</v>
      </c>
      <c r="O577" t="n">
        <v>0</v>
      </c>
      <c r="P577" t="n">
        <v>0</v>
      </c>
      <c r="Q577" t="n">
        <v>0</v>
      </c>
      <c r="R577" s="2" t="inlineStr"/>
    </row>
    <row r="578" ht="15" customHeight="1">
      <c r="A578" t="inlineStr">
        <is>
          <t>A 59385-2025</t>
        </is>
      </c>
      <c r="B578" s="1" t="n">
        <v>45989.45746527778</v>
      </c>
      <c r="C578" s="1" t="n">
        <v>46017</v>
      </c>
      <c r="D578" t="inlineStr">
        <is>
          <t>VÄSTMANLANDS LÄN</t>
        </is>
      </c>
      <c r="E578" t="inlineStr">
        <is>
          <t>SALA</t>
        </is>
      </c>
      <c r="G578" t="n">
        <v>0.4</v>
      </c>
      <c r="H578" t="n">
        <v>0</v>
      </c>
      <c r="I578" t="n">
        <v>0</v>
      </c>
      <c r="J578" t="n">
        <v>0</v>
      </c>
      <c r="K578" t="n">
        <v>0</v>
      </c>
      <c r="L578" t="n">
        <v>0</v>
      </c>
      <c r="M578" t="n">
        <v>0</v>
      </c>
      <c r="N578" t="n">
        <v>0</v>
      </c>
      <c r="O578" t="n">
        <v>0</v>
      </c>
      <c r="P578" t="n">
        <v>0</v>
      </c>
      <c r="Q578" t="n">
        <v>0</v>
      </c>
      <c r="R578" s="2" t="inlineStr"/>
    </row>
    <row r="579" ht="15" customHeight="1">
      <c r="A579" t="inlineStr">
        <is>
          <t>A 17117-2023</t>
        </is>
      </c>
      <c r="B579" s="1" t="n">
        <v>45034</v>
      </c>
      <c r="C579" s="1" t="n">
        <v>46017</v>
      </c>
      <c r="D579" t="inlineStr">
        <is>
          <t>VÄSTMANLANDS LÄN</t>
        </is>
      </c>
      <c r="E579" t="inlineStr">
        <is>
          <t>SALA</t>
        </is>
      </c>
      <c r="G579" t="n">
        <v>0.4</v>
      </c>
      <c r="H579" t="n">
        <v>0</v>
      </c>
      <c r="I579" t="n">
        <v>0</v>
      </c>
      <c r="J579" t="n">
        <v>0</v>
      </c>
      <c r="K579" t="n">
        <v>0</v>
      </c>
      <c r="L579" t="n">
        <v>0</v>
      </c>
      <c r="M579" t="n">
        <v>0</v>
      </c>
      <c r="N579" t="n">
        <v>0</v>
      </c>
      <c r="O579" t="n">
        <v>0</v>
      </c>
      <c r="P579" t="n">
        <v>0</v>
      </c>
      <c r="Q579" t="n">
        <v>0</v>
      </c>
      <c r="R579" s="2" t="inlineStr"/>
    </row>
    <row r="580" ht="15" customHeight="1">
      <c r="A580" t="inlineStr">
        <is>
          <t>A 59909-2024</t>
        </is>
      </c>
      <c r="B580" s="1" t="n">
        <v>45641</v>
      </c>
      <c r="C580" s="1" t="n">
        <v>46017</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30028-2024</t>
        </is>
      </c>
      <c r="B581" s="1" t="n">
        <v>45485</v>
      </c>
      <c r="C581" s="1" t="n">
        <v>46017</v>
      </c>
      <c r="D581" t="inlineStr">
        <is>
          <t>VÄSTMANLANDS LÄN</t>
        </is>
      </c>
      <c r="E581" t="inlineStr">
        <is>
          <t>SALA</t>
        </is>
      </c>
      <c r="G581" t="n">
        <v>2.6</v>
      </c>
      <c r="H581" t="n">
        <v>0</v>
      </c>
      <c r="I581" t="n">
        <v>0</v>
      </c>
      <c r="J581" t="n">
        <v>0</v>
      </c>
      <c r="K581" t="n">
        <v>0</v>
      </c>
      <c r="L581" t="n">
        <v>0</v>
      </c>
      <c r="M581" t="n">
        <v>0</v>
      </c>
      <c r="N581" t="n">
        <v>0</v>
      </c>
      <c r="O581" t="n">
        <v>0</v>
      </c>
      <c r="P581" t="n">
        <v>0</v>
      </c>
      <c r="Q581" t="n">
        <v>0</v>
      </c>
      <c r="R581" s="2" t="inlineStr"/>
    </row>
    <row r="582" ht="15" customHeight="1">
      <c r="A582" t="inlineStr">
        <is>
          <t>A 33309-2022</t>
        </is>
      </c>
      <c r="B582" s="1" t="n">
        <v>44788.40986111111</v>
      </c>
      <c r="C582" s="1" t="n">
        <v>46017</v>
      </c>
      <c r="D582" t="inlineStr">
        <is>
          <t>VÄSTMANLANDS LÄN</t>
        </is>
      </c>
      <c r="E582" t="inlineStr">
        <is>
          <t>SALA</t>
        </is>
      </c>
      <c r="G582" t="n">
        <v>2.6</v>
      </c>
      <c r="H582" t="n">
        <v>0</v>
      </c>
      <c r="I582" t="n">
        <v>0</v>
      </c>
      <c r="J582" t="n">
        <v>0</v>
      </c>
      <c r="K582" t="n">
        <v>0</v>
      </c>
      <c r="L582" t="n">
        <v>0</v>
      </c>
      <c r="M582" t="n">
        <v>0</v>
      </c>
      <c r="N582" t="n">
        <v>0</v>
      </c>
      <c r="O582" t="n">
        <v>0</v>
      </c>
      <c r="P582" t="n">
        <v>0</v>
      </c>
      <c r="Q582" t="n">
        <v>0</v>
      </c>
      <c r="R582" s="2" t="inlineStr"/>
    </row>
    <row r="583" ht="15" customHeight="1">
      <c r="A583" t="inlineStr">
        <is>
          <t>A 7377-2023</t>
        </is>
      </c>
      <c r="B583" s="1" t="n">
        <v>44971</v>
      </c>
      <c r="C583" s="1" t="n">
        <v>46017</v>
      </c>
      <c r="D583" t="inlineStr">
        <is>
          <t>VÄSTMANLANDS LÄN</t>
        </is>
      </c>
      <c r="E583" t="inlineStr">
        <is>
          <t>SALA</t>
        </is>
      </c>
      <c r="G583" t="n">
        <v>0.9</v>
      </c>
      <c r="H583" t="n">
        <v>0</v>
      </c>
      <c r="I583" t="n">
        <v>0</v>
      </c>
      <c r="J583" t="n">
        <v>0</v>
      </c>
      <c r="K583" t="n">
        <v>0</v>
      </c>
      <c r="L583" t="n">
        <v>0</v>
      </c>
      <c r="M583" t="n">
        <v>0</v>
      </c>
      <c r="N583" t="n">
        <v>0</v>
      </c>
      <c r="O583" t="n">
        <v>0</v>
      </c>
      <c r="P583" t="n">
        <v>0</v>
      </c>
      <c r="Q583" t="n">
        <v>0</v>
      </c>
      <c r="R583" s="2" t="inlineStr"/>
    </row>
    <row r="584" ht="15" customHeight="1">
      <c r="A584" t="inlineStr">
        <is>
          <t>A 59390-2025</t>
        </is>
      </c>
      <c r="B584" s="1" t="n">
        <v>45989.4640162037</v>
      </c>
      <c r="C584" s="1" t="n">
        <v>46017</v>
      </c>
      <c r="D584" t="inlineStr">
        <is>
          <t>VÄSTMANLANDS LÄN</t>
        </is>
      </c>
      <c r="E584" t="inlineStr">
        <is>
          <t>SALA</t>
        </is>
      </c>
      <c r="G584" t="n">
        <v>1.8</v>
      </c>
      <c r="H584" t="n">
        <v>0</v>
      </c>
      <c r="I584" t="n">
        <v>0</v>
      </c>
      <c r="J584" t="n">
        <v>0</v>
      </c>
      <c r="K584" t="n">
        <v>0</v>
      </c>
      <c r="L584" t="n">
        <v>0</v>
      </c>
      <c r="M584" t="n">
        <v>0</v>
      </c>
      <c r="N584" t="n">
        <v>0</v>
      </c>
      <c r="O584" t="n">
        <v>0</v>
      </c>
      <c r="P584" t="n">
        <v>0</v>
      </c>
      <c r="Q584" t="n">
        <v>0</v>
      </c>
      <c r="R584" s="2" t="inlineStr"/>
    </row>
    <row r="585" ht="15" customHeight="1">
      <c r="A585" t="inlineStr">
        <is>
          <t>A 59926-2025</t>
        </is>
      </c>
      <c r="B585" s="1" t="n">
        <v>45993.39221064815</v>
      </c>
      <c r="C585" s="1" t="n">
        <v>46017</v>
      </c>
      <c r="D585" t="inlineStr">
        <is>
          <t>VÄSTMANLANDS LÄN</t>
        </is>
      </c>
      <c r="E585" t="inlineStr">
        <is>
          <t>SALA</t>
        </is>
      </c>
      <c r="G585" t="n">
        <v>7.1</v>
      </c>
      <c r="H585" t="n">
        <v>0</v>
      </c>
      <c r="I585" t="n">
        <v>0</v>
      </c>
      <c r="J585" t="n">
        <v>0</v>
      </c>
      <c r="K585" t="n">
        <v>0</v>
      </c>
      <c r="L585" t="n">
        <v>0</v>
      </c>
      <c r="M585" t="n">
        <v>0</v>
      </c>
      <c r="N585" t="n">
        <v>0</v>
      </c>
      <c r="O585" t="n">
        <v>0</v>
      </c>
      <c r="P585" t="n">
        <v>0</v>
      </c>
      <c r="Q585" t="n">
        <v>0</v>
      </c>
      <c r="R585" s="2" t="inlineStr"/>
    </row>
    <row r="586" ht="15" customHeight="1">
      <c r="A586" t="inlineStr">
        <is>
          <t>A 60241-2025</t>
        </is>
      </c>
      <c r="B586" s="1" t="n">
        <v>45994.58454861111</v>
      </c>
      <c r="C586" s="1" t="n">
        <v>46017</v>
      </c>
      <c r="D586" t="inlineStr">
        <is>
          <t>VÄSTMANLANDS LÄN</t>
        </is>
      </c>
      <c r="E586" t="inlineStr">
        <is>
          <t>SALA</t>
        </is>
      </c>
      <c r="G586" t="n">
        <v>1.6</v>
      </c>
      <c r="H586" t="n">
        <v>0</v>
      </c>
      <c r="I586" t="n">
        <v>0</v>
      </c>
      <c r="J586" t="n">
        <v>0</v>
      </c>
      <c r="K586" t="n">
        <v>0</v>
      </c>
      <c r="L586" t="n">
        <v>0</v>
      </c>
      <c r="M586" t="n">
        <v>0</v>
      </c>
      <c r="N586" t="n">
        <v>0</v>
      </c>
      <c r="O586" t="n">
        <v>0</v>
      </c>
      <c r="P586" t="n">
        <v>0</v>
      </c>
      <c r="Q586" t="n">
        <v>0</v>
      </c>
      <c r="R586" s="2" t="inlineStr"/>
    </row>
    <row r="587" ht="15" customHeight="1">
      <c r="A587" t="inlineStr">
        <is>
          <t>A 51626-2025</t>
        </is>
      </c>
      <c r="B587" s="1" t="n">
        <v>45951.41769675926</v>
      </c>
      <c r="C587" s="1" t="n">
        <v>46017</v>
      </c>
      <c r="D587" t="inlineStr">
        <is>
          <t>VÄSTMANLANDS LÄN</t>
        </is>
      </c>
      <c r="E587" t="inlineStr">
        <is>
          <t>SALA</t>
        </is>
      </c>
      <c r="G587" t="n">
        <v>2.6</v>
      </c>
      <c r="H587" t="n">
        <v>0</v>
      </c>
      <c r="I587" t="n">
        <v>0</v>
      </c>
      <c r="J587" t="n">
        <v>0</v>
      </c>
      <c r="K587" t="n">
        <v>0</v>
      </c>
      <c r="L587" t="n">
        <v>0</v>
      </c>
      <c r="M587" t="n">
        <v>0</v>
      </c>
      <c r="N587" t="n">
        <v>0</v>
      </c>
      <c r="O587" t="n">
        <v>0</v>
      </c>
      <c r="P587" t="n">
        <v>0</v>
      </c>
      <c r="Q587" t="n">
        <v>0</v>
      </c>
      <c r="R587" s="2" t="inlineStr"/>
    </row>
    <row r="588" ht="15" customHeight="1">
      <c r="A588" t="inlineStr">
        <is>
          <t>A 51690-2025</t>
        </is>
      </c>
      <c r="B588" s="1" t="n">
        <v>45951.53462962963</v>
      </c>
      <c r="C588" s="1" t="n">
        <v>46017</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60017-2025</t>
        </is>
      </c>
      <c r="B589" s="1" t="n">
        <v>45993.59998842593</v>
      </c>
      <c r="C589" s="1" t="n">
        <v>46017</v>
      </c>
      <c r="D589" t="inlineStr">
        <is>
          <t>VÄSTMANLANDS LÄN</t>
        </is>
      </c>
      <c r="E589" t="inlineStr">
        <is>
          <t>SALA</t>
        </is>
      </c>
      <c r="G589" t="n">
        <v>4.4</v>
      </c>
      <c r="H589" t="n">
        <v>0</v>
      </c>
      <c r="I589" t="n">
        <v>0</v>
      </c>
      <c r="J589" t="n">
        <v>0</v>
      </c>
      <c r="K589" t="n">
        <v>0</v>
      </c>
      <c r="L589" t="n">
        <v>0</v>
      </c>
      <c r="M589" t="n">
        <v>0</v>
      </c>
      <c r="N589" t="n">
        <v>0</v>
      </c>
      <c r="O589" t="n">
        <v>0</v>
      </c>
      <c r="P589" t="n">
        <v>0</v>
      </c>
      <c r="Q589" t="n">
        <v>0</v>
      </c>
      <c r="R589" s="2" t="inlineStr"/>
    </row>
    <row r="590" ht="15" customHeight="1">
      <c r="A590" t="inlineStr">
        <is>
          <t>A 27229-2022</t>
        </is>
      </c>
      <c r="B590" s="1" t="n">
        <v>44741</v>
      </c>
      <c r="C590" s="1" t="n">
        <v>46017</v>
      </c>
      <c r="D590" t="inlineStr">
        <is>
          <t>VÄSTMANLANDS LÄN</t>
        </is>
      </c>
      <c r="E590" t="inlineStr">
        <is>
          <t>SALA</t>
        </is>
      </c>
      <c r="F590" t="inlineStr">
        <is>
          <t>Kommuner</t>
        </is>
      </c>
      <c r="G590" t="n">
        <v>1.4</v>
      </c>
      <c r="H590" t="n">
        <v>0</v>
      </c>
      <c r="I590" t="n">
        <v>0</v>
      </c>
      <c r="J590" t="n">
        <v>0</v>
      </c>
      <c r="K590" t="n">
        <v>0</v>
      </c>
      <c r="L590" t="n">
        <v>0</v>
      </c>
      <c r="M590" t="n">
        <v>0</v>
      </c>
      <c r="N590" t="n">
        <v>0</v>
      </c>
      <c r="O590" t="n">
        <v>0</v>
      </c>
      <c r="P590" t="n">
        <v>0</v>
      </c>
      <c r="Q590" t="n">
        <v>0</v>
      </c>
      <c r="R590" s="2" t="inlineStr"/>
    </row>
    <row r="591" ht="15" customHeight="1">
      <c r="A591" t="inlineStr">
        <is>
          <t>A 2925-2024</t>
        </is>
      </c>
      <c r="B591" s="1" t="n">
        <v>45315.58909722222</v>
      </c>
      <c r="C591" s="1" t="n">
        <v>46017</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51809-2025</t>
        </is>
      </c>
      <c r="B592" s="1" t="n">
        <v>45951.80116898148</v>
      </c>
      <c r="C592" s="1" t="n">
        <v>46017</v>
      </c>
      <c r="D592" t="inlineStr">
        <is>
          <t>VÄSTMANLANDS LÄN</t>
        </is>
      </c>
      <c r="E592" t="inlineStr">
        <is>
          <t>SALA</t>
        </is>
      </c>
      <c r="F592" t="inlineStr">
        <is>
          <t>Kommuner</t>
        </is>
      </c>
      <c r="G592" t="n">
        <v>3.5</v>
      </c>
      <c r="H592" t="n">
        <v>0</v>
      </c>
      <c r="I592" t="n">
        <v>0</v>
      </c>
      <c r="J592" t="n">
        <v>0</v>
      </c>
      <c r="K592" t="n">
        <v>0</v>
      </c>
      <c r="L592" t="n">
        <v>0</v>
      </c>
      <c r="M592" t="n">
        <v>0</v>
      </c>
      <c r="N592" t="n">
        <v>0</v>
      </c>
      <c r="O592" t="n">
        <v>0</v>
      </c>
      <c r="P592" t="n">
        <v>0</v>
      </c>
      <c r="Q592" t="n">
        <v>0</v>
      </c>
      <c r="R592" s="2" t="inlineStr"/>
    </row>
    <row r="593" ht="15" customHeight="1">
      <c r="A593" t="inlineStr">
        <is>
          <t>A 59870-2025</t>
        </is>
      </c>
      <c r="B593" s="1" t="n">
        <v>45992.92226851852</v>
      </c>
      <c r="C593" s="1" t="n">
        <v>46017</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24755-2021</t>
        </is>
      </c>
      <c r="B594" s="1" t="n">
        <v>44340</v>
      </c>
      <c r="C594" s="1" t="n">
        <v>46017</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34867-2023</t>
        </is>
      </c>
      <c r="B595" s="1" t="n">
        <v>45142.33481481481</v>
      </c>
      <c r="C595" s="1" t="n">
        <v>46017</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44746-2024</t>
        </is>
      </c>
      <c r="B596" s="1" t="n">
        <v>45574.59813657407</v>
      </c>
      <c r="C596" s="1" t="n">
        <v>46017</v>
      </c>
      <c r="D596" t="inlineStr">
        <is>
          <t>VÄSTMANLANDS LÄN</t>
        </is>
      </c>
      <c r="E596" t="inlineStr">
        <is>
          <t>SALA</t>
        </is>
      </c>
      <c r="G596" t="n">
        <v>6.7</v>
      </c>
      <c r="H596" t="n">
        <v>0</v>
      </c>
      <c r="I596" t="n">
        <v>0</v>
      </c>
      <c r="J596" t="n">
        <v>0</v>
      </c>
      <c r="K596" t="n">
        <v>0</v>
      </c>
      <c r="L596" t="n">
        <v>0</v>
      </c>
      <c r="M596" t="n">
        <v>0</v>
      </c>
      <c r="N596" t="n">
        <v>0</v>
      </c>
      <c r="O596" t="n">
        <v>0</v>
      </c>
      <c r="P596" t="n">
        <v>0</v>
      </c>
      <c r="Q596" t="n">
        <v>0</v>
      </c>
      <c r="R596" s="2" t="inlineStr"/>
    </row>
    <row r="597" ht="15" customHeight="1">
      <c r="A597" t="inlineStr">
        <is>
          <t>A 44713-2023</t>
        </is>
      </c>
      <c r="B597" s="1" t="n">
        <v>45184</v>
      </c>
      <c r="C597" s="1" t="n">
        <v>46017</v>
      </c>
      <c r="D597" t="inlineStr">
        <is>
          <t>VÄSTMANLANDS LÄN</t>
        </is>
      </c>
      <c r="E597" t="inlineStr">
        <is>
          <t>SALA</t>
        </is>
      </c>
      <c r="F597" t="inlineStr">
        <is>
          <t>Kyrkan</t>
        </is>
      </c>
      <c r="G597" t="n">
        <v>7.6</v>
      </c>
      <c r="H597" t="n">
        <v>0</v>
      </c>
      <c r="I597" t="n">
        <v>0</v>
      </c>
      <c r="J597" t="n">
        <v>0</v>
      </c>
      <c r="K597" t="n">
        <v>0</v>
      </c>
      <c r="L597" t="n">
        <v>0</v>
      </c>
      <c r="M597" t="n">
        <v>0</v>
      </c>
      <c r="N597" t="n">
        <v>0</v>
      </c>
      <c r="O597" t="n">
        <v>0</v>
      </c>
      <c r="P597" t="n">
        <v>0</v>
      </c>
      <c r="Q597" t="n">
        <v>0</v>
      </c>
      <c r="R597" s="2" t="inlineStr"/>
    </row>
    <row r="598" ht="15" customHeight="1">
      <c r="A598" t="inlineStr">
        <is>
          <t>A 60254-2025</t>
        </is>
      </c>
      <c r="B598" s="1" t="n">
        <v>45994.60146990741</v>
      </c>
      <c r="C598" s="1" t="n">
        <v>46017</v>
      </c>
      <c r="D598" t="inlineStr">
        <is>
          <t>VÄSTMANLANDS LÄN</t>
        </is>
      </c>
      <c r="E598" t="inlineStr">
        <is>
          <t>SALA</t>
        </is>
      </c>
      <c r="G598" t="n">
        <v>1.7</v>
      </c>
      <c r="H598" t="n">
        <v>0</v>
      </c>
      <c r="I598" t="n">
        <v>0</v>
      </c>
      <c r="J598" t="n">
        <v>0</v>
      </c>
      <c r="K598" t="n">
        <v>0</v>
      </c>
      <c r="L598" t="n">
        <v>0</v>
      </c>
      <c r="M598" t="n">
        <v>0</v>
      </c>
      <c r="N598" t="n">
        <v>0</v>
      </c>
      <c r="O598" t="n">
        <v>0</v>
      </c>
      <c r="P598" t="n">
        <v>0</v>
      </c>
      <c r="Q598" t="n">
        <v>0</v>
      </c>
      <c r="R598" s="2" t="inlineStr"/>
    </row>
    <row r="599" ht="15" customHeight="1">
      <c r="A599" t="inlineStr">
        <is>
          <t>A 23431-2024</t>
        </is>
      </c>
      <c r="B599" s="1" t="n">
        <v>45453</v>
      </c>
      <c r="C599" s="1" t="n">
        <v>46017</v>
      </c>
      <c r="D599" t="inlineStr">
        <is>
          <t>VÄSTMANLANDS LÄN</t>
        </is>
      </c>
      <c r="E599" t="inlineStr">
        <is>
          <t>SALA</t>
        </is>
      </c>
      <c r="G599" t="n">
        <v>1.6</v>
      </c>
      <c r="H599" t="n">
        <v>0</v>
      </c>
      <c r="I599" t="n">
        <v>0</v>
      </c>
      <c r="J599" t="n">
        <v>0</v>
      </c>
      <c r="K599" t="n">
        <v>0</v>
      </c>
      <c r="L599" t="n">
        <v>0</v>
      </c>
      <c r="M599" t="n">
        <v>0</v>
      </c>
      <c r="N599" t="n">
        <v>0</v>
      </c>
      <c r="O599" t="n">
        <v>0</v>
      </c>
      <c r="P599" t="n">
        <v>0</v>
      </c>
      <c r="Q599" t="n">
        <v>0</v>
      </c>
      <c r="R599" s="2" t="inlineStr"/>
    </row>
    <row r="600" ht="15" customHeight="1">
      <c r="A600" t="inlineStr">
        <is>
          <t>A 60258-2025</t>
        </is>
      </c>
      <c r="B600" s="1" t="n">
        <v>45994.6064699074</v>
      </c>
      <c r="C600" s="1" t="n">
        <v>46017</v>
      </c>
      <c r="D600" t="inlineStr">
        <is>
          <t>VÄSTMANLANDS LÄN</t>
        </is>
      </c>
      <c r="E600" t="inlineStr">
        <is>
          <t>SALA</t>
        </is>
      </c>
      <c r="G600" t="n">
        <v>2.2</v>
      </c>
      <c r="H600" t="n">
        <v>0</v>
      </c>
      <c r="I600" t="n">
        <v>0</v>
      </c>
      <c r="J600" t="n">
        <v>0</v>
      </c>
      <c r="K600" t="n">
        <v>0</v>
      </c>
      <c r="L600" t="n">
        <v>0</v>
      </c>
      <c r="M600" t="n">
        <v>0</v>
      </c>
      <c r="N600" t="n">
        <v>0</v>
      </c>
      <c r="O600" t="n">
        <v>0</v>
      </c>
      <c r="P600" t="n">
        <v>0</v>
      </c>
      <c r="Q600" t="n">
        <v>0</v>
      </c>
      <c r="R600" s="2" t="inlineStr"/>
    </row>
    <row r="601" ht="15" customHeight="1">
      <c r="A601" t="inlineStr">
        <is>
          <t>A 51803-2025</t>
        </is>
      </c>
      <c r="B601" s="1" t="n">
        <v>45951.76818287037</v>
      </c>
      <c r="C601" s="1" t="n">
        <v>46017</v>
      </c>
      <c r="D601" t="inlineStr">
        <is>
          <t>VÄSTMANLANDS LÄN</t>
        </is>
      </c>
      <c r="E601" t="inlineStr">
        <is>
          <t>SALA</t>
        </is>
      </c>
      <c r="F601" t="inlineStr">
        <is>
          <t>Kommuner</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51805-2025</t>
        </is>
      </c>
      <c r="B602" s="1" t="n">
        <v>45951.78359953704</v>
      </c>
      <c r="C602" s="1" t="n">
        <v>46017</v>
      </c>
      <c r="D602" t="inlineStr">
        <is>
          <t>VÄSTMANLANDS LÄN</t>
        </is>
      </c>
      <c r="E602" t="inlineStr">
        <is>
          <t>SALA</t>
        </is>
      </c>
      <c r="F602" t="inlineStr">
        <is>
          <t>Kommuner</t>
        </is>
      </c>
      <c r="G602" t="n">
        <v>1.3</v>
      </c>
      <c r="H602" t="n">
        <v>0</v>
      </c>
      <c r="I602" t="n">
        <v>0</v>
      </c>
      <c r="J602" t="n">
        <v>0</v>
      </c>
      <c r="K602" t="n">
        <v>0</v>
      </c>
      <c r="L602" t="n">
        <v>0</v>
      </c>
      <c r="M602" t="n">
        <v>0</v>
      </c>
      <c r="N602" t="n">
        <v>0</v>
      </c>
      <c r="O602" t="n">
        <v>0</v>
      </c>
      <c r="P602" t="n">
        <v>0</v>
      </c>
      <c r="Q602" t="n">
        <v>0</v>
      </c>
      <c r="R602" s="2" t="inlineStr"/>
    </row>
    <row r="603" ht="15" customHeight="1">
      <c r="A603" t="inlineStr">
        <is>
          <t>A 25748-2022</t>
        </is>
      </c>
      <c r="B603" s="1" t="n">
        <v>44732</v>
      </c>
      <c r="C603" s="1" t="n">
        <v>46017</v>
      </c>
      <c r="D603" t="inlineStr">
        <is>
          <t>VÄSTMANLANDS LÄN</t>
        </is>
      </c>
      <c r="E603" t="inlineStr">
        <is>
          <t>SALA</t>
        </is>
      </c>
      <c r="G603" t="n">
        <v>7.7</v>
      </c>
      <c r="H603" t="n">
        <v>0</v>
      </c>
      <c r="I603" t="n">
        <v>0</v>
      </c>
      <c r="J603" t="n">
        <v>0</v>
      </c>
      <c r="K603" t="n">
        <v>0</v>
      </c>
      <c r="L603" t="n">
        <v>0</v>
      </c>
      <c r="M603" t="n">
        <v>0</v>
      </c>
      <c r="N603" t="n">
        <v>0</v>
      </c>
      <c r="O603" t="n">
        <v>0</v>
      </c>
      <c r="P603" t="n">
        <v>0</v>
      </c>
      <c r="Q603" t="n">
        <v>0</v>
      </c>
      <c r="R603" s="2" t="inlineStr"/>
    </row>
    <row r="604" ht="15" customHeight="1">
      <c r="A604" t="inlineStr">
        <is>
          <t>A 60259-2025</t>
        </is>
      </c>
      <c r="B604" s="1" t="n">
        <v>45994.60913194445</v>
      </c>
      <c r="C604" s="1" t="n">
        <v>46017</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60246-2025</t>
        </is>
      </c>
      <c r="B605" s="1" t="n">
        <v>45994.58931712963</v>
      </c>
      <c r="C605" s="1" t="n">
        <v>46017</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51804-2025</t>
        </is>
      </c>
      <c r="B606" s="1" t="n">
        <v>45951.77697916667</v>
      </c>
      <c r="C606" s="1" t="n">
        <v>46017</v>
      </c>
      <c r="D606" t="inlineStr">
        <is>
          <t>VÄSTMANLANDS LÄN</t>
        </is>
      </c>
      <c r="E606" t="inlineStr">
        <is>
          <t>SALA</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51808-2025</t>
        </is>
      </c>
      <c r="B607" s="1" t="n">
        <v>45951.79302083333</v>
      </c>
      <c r="C607" s="1" t="n">
        <v>46017</v>
      </c>
      <c r="D607" t="inlineStr">
        <is>
          <t>VÄSTMANLANDS LÄN</t>
        </is>
      </c>
      <c r="E607" t="inlineStr">
        <is>
          <t>SALA</t>
        </is>
      </c>
      <c r="F607" t="inlineStr">
        <is>
          <t>Kommuner</t>
        </is>
      </c>
      <c r="G607" t="n">
        <v>3</v>
      </c>
      <c r="H607" t="n">
        <v>0</v>
      </c>
      <c r="I607" t="n">
        <v>0</v>
      </c>
      <c r="J607" t="n">
        <v>0</v>
      </c>
      <c r="K607" t="n">
        <v>0</v>
      </c>
      <c r="L607" t="n">
        <v>0</v>
      </c>
      <c r="M607" t="n">
        <v>0</v>
      </c>
      <c r="N607" t="n">
        <v>0</v>
      </c>
      <c r="O607" t="n">
        <v>0</v>
      </c>
      <c r="P607" t="n">
        <v>0</v>
      </c>
      <c r="Q607" t="n">
        <v>0</v>
      </c>
      <c r="R607" s="2" t="inlineStr"/>
    </row>
    <row r="608" ht="15" customHeight="1">
      <c r="A608" t="inlineStr">
        <is>
          <t>A 21168-2025</t>
        </is>
      </c>
      <c r="B608" s="1" t="n">
        <v>45777</v>
      </c>
      <c r="C608" s="1" t="n">
        <v>46017</v>
      </c>
      <c r="D608" t="inlineStr">
        <is>
          <t>VÄSTMANLANDS LÄN</t>
        </is>
      </c>
      <c r="E608" t="inlineStr">
        <is>
          <t>SALA</t>
        </is>
      </c>
      <c r="G608" t="n">
        <v>4.5</v>
      </c>
      <c r="H608" t="n">
        <v>0</v>
      </c>
      <c r="I608" t="n">
        <v>0</v>
      </c>
      <c r="J608" t="n">
        <v>0</v>
      </c>
      <c r="K608" t="n">
        <v>0</v>
      </c>
      <c r="L608" t="n">
        <v>0</v>
      </c>
      <c r="M608" t="n">
        <v>0</v>
      </c>
      <c r="N608" t="n">
        <v>0</v>
      </c>
      <c r="O608" t="n">
        <v>0</v>
      </c>
      <c r="P608" t="n">
        <v>0</v>
      </c>
      <c r="Q608" t="n">
        <v>0</v>
      </c>
      <c r="R608" s="2" t="inlineStr"/>
    </row>
    <row r="609" ht="15" customHeight="1">
      <c r="A609" t="inlineStr">
        <is>
          <t>A 51764-2025</t>
        </is>
      </c>
      <c r="B609" s="1" t="n">
        <v>45951.63636574074</v>
      </c>
      <c r="C609" s="1" t="n">
        <v>46017</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60629-2025</t>
        </is>
      </c>
      <c r="B610" s="1" t="n">
        <v>45996.41972222222</v>
      </c>
      <c r="C610" s="1" t="n">
        <v>46017</v>
      </c>
      <c r="D610" t="inlineStr">
        <is>
          <t>VÄSTMANLANDS LÄN</t>
        </is>
      </c>
      <c r="E610" t="inlineStr">
        <is>
          <t>SALA</t>
        </is>
      </c>
      <c r="G610" t="n">
        <v>4.3</v>
      </c>
      <c r="H610" t="n">
        <v>0</v>
      </c>
      <c r="I610" t="n">
        <v>0</v>
      </c>
      <c r="J610" t="n">
        <v>0</v>
      </c>
      <c r="K610" t="n">
        <v>0</v>
      </c>
      <c r="L610" t="n">
        <v>0</v>
      </c>
      <c r="M610" t="n">
        <v>0</v>
      </c>
      <c r="N610" t="n">
        <v>0</v>
      </c>
      <c r="O610" t="n">
        <v>0</v>
      </c>
      <c r="P610" t="n">
        <v>0</v>
      </c>
      <c r="Q610" t="n">
        <v>0</v>
      </c>
      <c r="R610" s="2" t="inlineStr"/>
    </row>
    <row r="611" ht="15" customHeight="1">
      <c r="A611" t="inlineStr">
        <is>
          <t>A 49512-2024</t>
        </is>
      </c>
      <c r="B611" s="1" t="n">
        <v>45591</v>
      </c>
      <c r="C611" s="1" t="n">
        <v>46017</v>
      </c>
      <c r="D611" t="inlineStr">
        <is>
          <t>VÄSTMANLANDS LÄN</t>
        </is>
      </c>
      <c r="E611" t="inlineStr">
        <is>
          <t>SALA</t>
        </is>
      </c>
      <c r="G611" t="n">
        <v>8.1</v>
      </c>
      <c r="H611" t="n">
        <v>0</v>
      </c>
      <c r="I611" t="n">
        <v>0</v>
      </c>
      <c r="J611" t="n">
        <v>0</v>
      </c>
      <c r="K611" t="n">
        <v>0</v>
      </c>
      <c r="L611" t="n">
        <v>0</v>
      </c>
      <c r="M611" t="n">
        <v>0</v>
      </c>
      <c r="N611" t="n">
        <v>0</v>
      </c>
      <c r="O611" t="n">
        <v>0</v>
      </c>
      <c r="P611" t="n">
        <v>0</v>
      </c>
      <c r="Q611" t="n">
        <v>0</v>
      </c>
      <c r="R611" s="2" t="inlineStr"/>
    </row>
    <row r="612" ht="15" customHeight="1">
      <c r="A612" t="inlineStr">
        <is>
          <t>A 21751-2025</t>
        </is>
      </c>
      <c r="B612" s="1" t="n">
        <v>45783.61372685185</v>
      </c>
      <c r="C612" s="1" t="n">
        <v>46017</v>
      </c>
      <c r="D612" t="inlineStr">
        <is>
          <t>VÄSTMANLANDS LÄN</t>
        </is>
      </c>
      <c r="E612" t="inlineStr">
        <is>
          <t>SALA</t>
        </is>
      </c>
      <c r="G612" t="n">
        <v>1</v>
      </c>
      <c r="H612" t="n">
        <v>0</v>
      </c>
      <c r="I612" t="n">
        <v>0</v>
      </c>
      <c r="J612" t="n">
        <v>0</v>
      </c>
      <c r="K612" t="n">
        <v>0</v>
      </c>
      <c r="L612" t="n">
        <v>0</v>
      </c>
      <c r="M612" t="n">
        <v>0</v>
      </c>
      <c r="N612" t="n">
        <v>0</v>
      </c>
      <c r="O612" t="n">
        <v>0</v>
      </c>
      <c r="P612" t="n">
        <v>0</v>
      </c>
      <c r="Q612" t="n">
        <v>0</v>
      </c>
      <c r="R612" s="2" t="inlineStr"/>
    </row>
    <row r="613" ht="15" customHeight="1">
      <c r="A613" t="inlineStr">
        <is>
          <t>A 13128-2023</t>
        </is>
      </c>
      <c r="B613" s="1" t="n">
        <v>45002</v>
      </c>
      <c r="C613" s="1" t="n">
        <v>46017</v>
      </c>
      <c r="D613" t="inlineStr">
        <is>
          <t>VÄSTMANLANDS LÄN</t>
        </is>
      </c>
      <c r="E613" t="inlineStr">
        <is>
          <t>SALA</t>
        </is>
      </c>
      <c r="G613" t="n">
        <v>7.9</v>
      </c>
      <c r="H613" t="n">
        <v>0</v>
      </c>
      <c r="I613" t="n">
        <v>0</v>
      </c>
      <c r="J613" t="n">
        <v>0</v>
      </c>
      <c r="K613" t="n">
        <v>0</v>
      </c>
      <c r="L613" t="n">
        <v>0</v>
      </c>
      <c r="M613" t="n">
        <v>0</v>
      </c>
      <c r="N613" t="n">
        <v>0</v>
      </c>
      <c r="O613" t="n">
        <v>0</v>
      </c>
      <c r="P613" t="n">
        <v>0</v>
      </c>
      <c r="Q613" t="n">
        <v>0</v>
      </c>
      <c r="R613" s="2" t="inlineStr"/>
    </row>
    <row r="614" ht="15" customHeight="1">
      <c r="A614" t="inlineStr">
        <is>
          <t>A 57014-2025</t>
        </is>
      </c>
      <c r="B614" s="1" t="n">
        <v>45978</v>
      </c>
      <c r="C614" s="1" t="n">
        <v>46017</v>
      </c>
      <c r="D614" t="inlineStr">
        <is>
          <t>VÄSTMANLANDS LÄN</t>
        </is>
      </c>
      <c r="E614" t="inlineStr">
        <is>
          <t>SALA</t>
        </is>
      </c>
      <c r="G614" t="n">
        <v>2.2</v>
      </c>
      <c r="H614" t="n">
        <v>0</v>
      </c>
      <c r="I614" t="n">
        <v>0</v>
      </c>
      <c r="J614" t="n">
        <v>0</v>
      </c>
      <c r="K614" t="n">
        <v>0</v>
      </c>
      <c r="L614" t="n">
        <v>0</v>
      </c>
      <c r="M614" t="n">
        <v>0</v>
      </c>
      <c r="N614" t="n">
        <v>0</v>
      </c>
      <c r="O614" t="n">
        <v>0</v>
      </c>
      <c r="P614" t="n">
        <v>0</v>
      </c>
      <c r="Q614" t="n">
        <v>0</v>
      </c>
      <c r="R614" s="2" t="inlineStr"/>
    </row>
    <row r="615" ht="15" customHeight="1">
      <c r="A615" t="inlineStr">
        <is>
          <t>A 37958-2024</t>
        </is>
      </c>
      <c r="B615" s="1" t="n">
        <v>45544</v>
      </c>
      <c r="C615" s="1" t="n">
        <v>46017</v>
      </c>
      <c r="D615" t="inlineStr">
        <is>
          <t>VÄSTMANLANDS LÄN</t>
        </is>
      </c>
      <c r="E615" t="inlineStr">
        <is>
          <t>SALA</t>
        </is>
      </c>
      <c r="G615" t="n">
        <v>5.6</v>
      </c>
      <c r="H615" t="n">
        <v>0</v>
      </c>
      <c r="I615" t="n">
        <v>0</v>
      </c>
      <c r="J615" t="n">
        <v>0</v>
      </c>
      <c r="K615" t="n">
        <v>0</v>
      </c>
      <c r="L615" t="n">
        <v>0</v>
      </c>
      <c r="M615" t="n">
        <v>0</v>
      </c>
      <c r="N615" t="n">
        <v>0</v>
      </c>
      <c r="O615" t="n">
        <v>0</v>
      </c>
      <c r="P615" t="n">
        <v>0</v>
      </c>
      <c r="Q615" t="n">
        <v>0</v>
      </c>
      <c r="R615" s="2" t="inlineStr"/>
    </row>
    <row r="616" ht="15" customHeight="1">
      <c r="A616" t="inlineStr">
        <is>
          <t>A 18431-2023</t>
        </is>
      </c>
      <c r="B616" s="1" t="n">
        <v>45042</v>
      </c>
      <c r="C616" s="1" t="n">
        <v>46017</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21754-2025</t>
        </is>
      </c>
      <c r="B617" s="1" t="n">
        <v>45783.61837962963</v>
      </c>
      <c r="C617" s="1" t="n">
        <v>46017</v>
      </c>
      <c r="D617" t="inlineStr">
        <is>
          <t>VÄSTMANLANDS LÄN</t>
        </is>
      </c>
      <c r="E617" t="inlineStr">
        <is>
          <t>SALA</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57650-2024</t>
        </is>
      </c>
      <c r="B618" s="1" t="n">
        <v>45630</v>
      </c>
      <c r="C618" s="1" t="n">
        <v>46017</v>
      </c>
      <c r="D618" t="inlineStr">
        <is>
          <t>VÄSTMANLANDS LÄN</t>
        </is>
      </c>
      <c r="E618" t="inlineStr">
        <is>
          <t>SALA</t>
        </is>
      </c>
      <c r="G618" t="n">
        <v>0.6</v>
      </c>
      <c r="H618" t="n">
        <v>0</v>
      </c>
      <c r="I618" t="n">
        <v>0</v>
      </c>
      <c r="J618" t="n">
        <v>0</v>
      </c>
      <c r="K618" t="n">
        <v>0</v>
      </c>
      <c r="L618" t="n">
        <v>0</v>
      </c>
      <c r="M618" t="n">
        <v>0</v>
      </c>
      <c r="N618" t="n">
        <v>0</v>
      </c>
      <c r="O618" t="n">
        <v>0</v>
      </c>
      <c r="P618" t="n">
        <v>0</v>
      </c>
      <c r="Q618" t="n">
        <v>0</v>
      </c>
      <c r="R618" s="2" t="inlineStr"/>
    </row>
    <row r="619" ht="15" customHeight="1">
      <c r="A619" t="inlineStr">
        <is>
          <t>A 37587-2024</t>
        </is>
      </c>
      <c r="B619" s="1" t="n">
        <v>45541</v>
      </c>
      <c r="C619" s="1" t="n">
        <v>46017</v>
      </c>
      <c r="D619" t="inlineStr">
        <is>
          <t>VÄSTMANLANDS LÄN</t>
        </is>
      </c>
      <c r="E619" t="inlineStr">
        <is>
          <t>SALA</t>
        </is>
      </c>
      <c r="G619" t="n">
        <v>1.2</v>
      </c>
      <c r="H619" t="n">
        <v>0</v>
      </c>
      <c r="I619" t="n">
        <v>0</v>
      </c>
      <c r="J619" t="n">
        <v>0</v>
      </c>
      <c r="K619" t="n">
        <v>0</v>
      </c>
      <c r="L619" t="n">
        <v>0</v>
      </c>
      <c r="M619" t="n">
        <v>0</v>
      </c>
      <c r="N619" t="n">
        <v>0</v>
      </c>
      <c r="O619" t="n">
        <v>0</v>
      </c>
      <c r="P619" t="n">
        <v>0</v>
      </c>
      <c r="Q619" t="n">
        <v>0</v>
      </c>
      <c r="R619" s="2" t="inlineStr"/>
    </row>
    <row r="620" ht="15" customHeight="1">
      <c r="A620" t="inlineStr">
        <is>
          <t>A 22353-2025</t>
        </is>
      </c>
      <c r="B620" s="1" t="n">
        <v>45786</v>
      </c>
      <c r="C620" s="1" t="n">
        <v>46017</v>
      </c>
      <c r="D620" t="inlineStr">
        <is>
          <t>VÄSTMANLANDS LÄN</t>
        </is>
      </c>
      <c r="E620" t="inlineStr">
        <is>
          <t>SALA</t>
        </is>
      </c>
      <c r="G620" t="n">
        <v>2.5</v>
      </c>
      <c r="H620" t="n">
        <v>0</v>
      </c>
      <c r="I620" t="n">
        <v>0</v>
      </c>
      <c r="J620" t="n">
        <v>0</v>
      </c>
      <c r="K620" t="n">
        <v>0</v>
      </c>
      <c r="L620" t="n">
        <v>0</v>
      </c>
      <c r="M620" t="n">
        <v>0</v>
      </c>
      <c r="N620" t="n">
        <v>0</v>
      </c>
      <c r="O620" t="n">
        <v>0</v>
      </c>
      <c r="P620" t="n">
        <v>0</v>
      </c>
      <c r="Q620" t="n">
        <v>0</v>
      </c>
      <c r="R620" s="2" t="inlineStr"/>
    </row>
    <row r="621" ht="15" customHeight="1">
      <c r="A621" t="inlineStr">
        <is>
          <t>A 64724-2023</t>
        </is>
      </c>
      <c r="B621" s="1" t="n">
        <v>45281.7602662037</v>
      </c>
      <c r="C621" s="1" t="n">
        <v>46017</v>
      </c>
      <c r="D621" t="inlineStr">
        <is>
          <t>VÄSTMANLANDS LÄN</t>
        </is>
      </c>
      <c r="E621" t="inlineStr">
        <is>
          <t>SALA</t>
        </is>
      </c>
      <c r="G621" t="n">
        <v>2.3</v>
      </c>
      <c r="H621" t="n">
        <v>0</v>
      </c>
      <c r="I621" t="n">
        <v>0</v>
      </c>
      <c r="J621" t="n">
        <v>0</v>
      </c>
      <c r="K621" t="n">
        <v>0</v>
      </c>
      <c r="L621" t="n">
        <v>0</v>
      </c>
      <c r="M621" t="n">
        <v>0</v>
      </c>
      <c r="N621" t="n">
        <v>0</v>
      </c>
      <c r="O621" t="n">
        <v>0</v>
      </c>
      <c r="P621" t="n">
        <v>0</v>
      </c>
      <c r="Q621" t="n">
        <v>0</v>
      </c>
      <c r="R621" s="2" t="inlineStr"/>
    </row>
    <row r="622" ht="15" customHeight="1">
      <c r="A622" t="inlineStr">
        <is>
          <t>A 22370-2025</t>
        </is>
      </c>
      <c r="B622" s="1" t="n">
        <v>45786</v>
      </c>
      <c r="C622" s="1" t="n">
        <v>46017</v>
      </c>
      <c r="D622" t="inlineStr">
        <is>
          <t>VÄSTMANLANDS LÄN</t>
        </is>
      </c>
      <c r="E622" t="inlineStr">
        <is>
          <t>SALA</t>
        </is>
      </c>
      <c r="G622" t="n">
        <v>3.2</v>
      </c>
      <c r="H622" t="n">
        <v>0</v>
      </c>
      <c r="I622" t="n">
        <v>0</v>
      </c>
      <c r="J622" t="n">
        <v>0</v>
      </c>
      <c r="K622" t="n">
        <v>0</v>
      </c>
      <c r="L622" t="n">
        <v>0</v>
      </c>
      <c r="M622" t="n">
        <v>0</v>
      </c>
      <c r="N622" t="n">
        <v>0</v>
      </c>
      <c r="O622" t="n">
        <v>0</v>
      </c>
      <c r="P622" t="n">
        <v>0</v>
      </c>
      <c r="Q622" t="n">
        <v>0</v>
      </c>
      <c r="R622" s="2" t="inlineStr"/>
    </row>
    <row r="623" ht="15" customHeight="1">
      <c r="A623" t="inlineStr">
        <is>
          <t>A 22383-2025</t>
        </is>
      </c>
      <c r="B623" s="1" t="n">
        <v>45786</v>
      </c>
      <c r="C623" s="1" t="n">
        <v>46017</v>
      </c>
      <c r="D623" t="inlineStr">
        <is>
          <t>VÄSTMANLANDS LÄN</t>
        </is>
      </c>
      <c r="E623" t="inlineStr">
        <is>
          <t>SALA</t>
        </is>
      </c>
      <c r="G623" t="n">
        <v>2.2</v>
      </c>
      <c r="H623" t="n">
        <v>0</v>
      </c>
      <c r="I623" t="n">
        <v>0</v>
      </c>
      <c r="J623" t="n">
        <v>0</v>
      </c>
      <c r="K623" t="n">
        <v>0</v>
      </c>
      <c r="L623" t="n">
        <v>0</v>
      </c>
      <c r="M623" t="n">
        <v>0</v>
      </c>
      <c r="N623" t="n">
        <v>0</v>
      </c>
      <c r="O623" t="n">
        <v>0</v>
      </c>
      <c r="P623" t="n">
        <v>0</v>
      </c>
      <c r="Q623" t="n">
        <v>0</v>
      </c>
      <c r="R623" s="2" t="inlineStr"/>
    </row>
    <row r="624" ht="15" customHeight="1">
      <c r="A624" t="inlineStr">
        <is>
          <t>A 53744-2025</t>
        </is>
      </c>
      <c r="B624" s="1" t="n">
        <v>45960.64863425926</v>
      </c>
      <c r="C624" s="1" t="n">
        <v>46017</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53725-2025</t>
        </is>
      </c>
      <c r="B625" s="1" t="n">
        <v>45960.63394675926</v>
      </c>
      <c r="C625" s="1" t="n">
        <v>46017</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7176-2023</t>
        </is>
      </c>
      <c r="B626" s="1" t="n">
        <v>44970</v>
      </c>
      <c r="C626" s="1" t="n">
        <v>46017</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61522-2025</t>
        </is>
      </c>
      <c r="B627" s="1" t="n">
        <v>46001.68684027778</v>
      </c>
      <c r="C627" s="1" t="n">
        <v>46017</v>
      </c>
      <c r="D627" t="inlineStr">
        <is>
          <t>VÄSTMANLANDS LÄN</t>
        </is>
      </c>
      <c r="E627" t="inlineStr">
        <is>
          <t>SALA</t>
        </is>
      </c>
      <c r="G627" t="n">
        <v>5.7</v>
      </c>
      <c r="H627" t="n">
        <v>0</v>
      </c>
      <c r="I627" t="n">
        <v>0</v>
      </c>
      <c r="J627" t="n">
        <v>0</v>
      </c>
      <c r="K627" t="n">
        <v>0</v>
      </c>
      <c r="L627" t="n">
        <v>0</v>
      </c>
      <c r="M627" t="n">
        <v>0</v>
      </c>
      <c r="N627" t="n">
        <v>0</v>
      </c>
      <c r="O627" t="n">
        <v>0</v>
      </c>
      <c r="P627" t="n">
        <v>0</v>
      </c>
      <c r="Q627" t="n">
        <v>0</v>
      </c>
      <c r="R627" s="2" t="inlineStr"/>
    </row>
    <row r="628" ht="15" customHeight="1">
      <c r="A628" t="inlineStr">
        <is>
          <t>A 22624-2025</t>
        </is>
      </c>
      <c r="B628" s="1" t="n">
        <v>45789.43327546296</v>
      </c>
      <c r="C628" s="1" t="n">
        <v>46017</v>
      </c>
      <c r="D628" t="inlineStr">
        <is>
          <t>VÄSTMANLANDS LÄN</t>
        </is>
      </c>
      <c r="E628" t="inlineStr">
        <is>
          <t>SALA</t>
        </is>
      </c>
      <c r="G628" t="n">
        <v>1.5</v>
      </c>
      <c r="H628" t="n">
        <v>0</v>
      </c>
      <c r="I628" t="n">
        <v>0</v>
      </c>
      <c r="J628" t="n">
        <v>0</v>
      </c>
      <c r="K628" t="n">
        <v>0</v>
      </c>
      <c r="L628" t="n">
        <v>0</v>
      </c>
      <c r="M628" t="n">
        <v>0</v>
      </c>
      <c r="N628" t="n">
        <v>0</v>
      </c>
      <c r="O628" t="n">
        <v>0</v>
      </c>
      <c r="P628" t="n">
        <v>0</v>
      </c>
      <c r="Q628" t="n">
        <v>0</v>
      </c>
      <c r="R628" s="2" t="inlineStr"/>
    </row>
    <row r="629" ht="15" customHeight="1">
      <c r="A629" t="inlineStr">
        <is>
          <t>A 31405-2024</t>
        </is>
      </c>
      <c r="B629" s="1" t="n">
        <v>45505.5490625</v>
      </c>
      <c r="C629" s="1" t="n">
        <v>46017</v>
      </c>
      <c r="D629" t="inlineStr">
        <is>
          <t>VÄSTMANLANDS LÄN</t>
        </is>
      </c>
      <c r="E629" t="inlineStr">
        <is>
          <t>SALA</t>
        </is>
      </c>
      <c r="G629" t="n">
        <v>5.2</v>
      </c>
      <c r="H629" t="n">
        <v>0</v>
      </c>
      <c r="I629" t="n">
        <v>0</v>
      </c>
      <c r="J629" t="n">
        <v>0</v>
      </c>
      <c r="K629" t="n">
        <v>0</v>
      </c>
      <c r="L629" t="n">
        <v>0</v>
      </c>
      <c r="M629" t="n">
        <v>0</v>
      </c>
      <c r="N629" t="n">
        <v>0</v>
      </c>
      <c r="O629" t="n">
        <v>0</v>
      </c>
      <c r="P629" t="n">
        <v>0</v>
      </c>
      <c r="Q629" t="n">
        <v>0</v>
      </c>
      <c r="R629" s="2" t="inlineStr"/>
    </row>
    <row r="630" ht="15" customHeight="1">
      <c r="A630" t="inlineStr">
        <is>
          <t>A 53724-2025</t>
        </is>
      </c>
      <c r="B630" s="1" t="n">
        <v>45960.63174768518</v>
      </c>
      <c r="C630" s="1" t="n">
        <v>46017</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22616-2025</t>
        </is>
      </c>
      <c r="B631" s="1" t="n">
        <v>45789.42752314815</v>
      </c>
      <c r="C631" s="1" t="n">
        <v>46017</v>
      </c>
      <c r="D631" t="inlineStr">
        <is>
          <t>VÄSTMANLANDS LÄN</t>
        </is>
      </c>
      <c r="E631" t="inlineStr">
        <is>
          <t>SALA</t>
        </is>
      </c>
      <c r="G631" t="n">
        <v>0.8</v>
      </c>
      <c r="H631" t="n">
        <v>0</v>
      </c>
      <c r="I631" t="n">
        <v>0</v>
      </c>
      <c r="J631" t="n">
        <v>0</v>
      </c>
      <c r="K631" t="n">
        <v>0</v>
      </c>
      <c r="L631" t="n">
        <v>0</v>
      </c>
      <c r="M631" t="n">
        <v>0</v>
      </c>
      <c r="N631" t="n">
        <v>0</v>
      </c>
      <c r="O631" t="n">
        <v>0</v>
      </c>
      <c r="P631" t="n">
        <v>0</v>
      </c>
      <c r="Q631" t="n">
        <v>0</v>
      </c>
      <c r="R631" s="2" t="inlineStr"/>
    </row>
    <row r="632" ht="15" customHeight="1">
      <c r="A632" t="inlineStr">
        <is>
          <t>A 43600-2024</t>
        </is>
      </c>
      <c r="B632" s="1" t="n">
        <v>45569</v>
      </c>
      <c r="C632" s="1" t="n">
        <v>46017</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13130-2025</t>
        </is>
      </c>
      <c r="B633" s="1" t="n">
        <v>45734</v>
      </c>
      <c r="C633" s="1" t="n">
        <v>46017</v>
      </c>
      <c r="D633" t="inlineStr">
        <is>
          <t>VÄSTMANLANDS LÄN</t>
        </is>
      </c>
      <c r="E633" t="inlineStr">
        <is>
          <t>SALA</t>
        </is>
      </c>
      <c r="G633" t="n">
        <v>1.5</v>
      </c>
      <c r="H633" t="n">
        <v>0</v>
      </c>
      <c r="I633" t="n">
        <v>0</v>
      </c>
      <c r="J633" t="n">
        <v>0</v>
      </c>
      <c r="K633" t="n">
        <v>0</v>
      </c>
      <c r="L633" t="n">
        <v>0</v>
      </c>
      <c r="M633" t="n">
        <v>0</v>
      </c>
      <c r="N633" t="n">
        <v>0</v>
      </c>
      <c r="O633" t="n">
        <v>0</v>
      </c>
      <c r="P633" t="n">
        <v>0</v>
      </c>
      <c r="Q633" t="n">
        <v>0</v>
      </c>
      <c r="R633" s="2" t="inlineStr"/>
    </row>
    <row r="634" ht="15" customHeight="1">
      <c r="A634" t="inlineStr">
        <is>
          <t>A 38636-2024</t>
        </is>
      </c>
      <c r="B634" s="1" t="n">
        <v>45546</v>
      </c>
      <c r="C634" s="1" t="n">
        <v>46017</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54201-2025</t>
        </is>
      </c>
      <c r="B635" s="1" t="n">
        <v>45964.58055555556</v>
      </c>
      <c r="C635" s="1" t="n">
        <v>46017</v>
      </c>
      <c r="D635" t="inlineStr">
        <is>
          <t>VÄSTMANLANDS LÄN</t>
        </is>
      </c>
      <c r="E635" t="inlineStr">
        <is>
          <t>SALA</t>
        </is>
      </c>
      <c r="G635" t="n">
        <v>1.7</v>
      </c>
      <c r="H635" t="n">
        <v>0</v>
      </c>
      <c r="I635" t="n">
        <v>0</v>
      </c>
      <c r="J635" t="n">
        <v>0</v>
      </c>
      <c r="K635" t="n">
        <v>0</v>
      </c>
      <c r="L635" t="n">
        <v>0</v>
      </c>
      <c r="M635" t="n">
        <v>0</v>
      </c>
      <c r="N635" t="n">
        <v>0</v>
      </c>
      <c r="O635" t="n">
        <v>0</v>
      </c>
      <c r="P635" t="n">
        <v>0</v>
      </c>
      <c r="Q635" t="n">
        <v>0</v>
      </c>
      <c r="R635" s="2" t="inlineStr"/>
    </row>
    <row r="636" ht="15" customHeight="1">
      <c r="A636" t="inlineStr">
        <is>
          <t>A 24169-2025</t>
        </is>
      </c>
      <c r="B636" s="1" t="n">
        <v>45796</v>
      </c>
      <c r="C636" s="1" t="n">
        <v>46017</v>
      </c>
      <c r="D636" t="inlineStr">
        <is>
          <t>VÄSTMANLANDS LÄN</t>
        </is>
      </c>
      <c r="E636" t="inlineStr">
        <is>
          <t>SALA</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22126-2025</t>
        </is>
      </c>
      <c r="B637" s="1" t="n">
        <v>45785</v>
      </c>
      <c r="C637" s="1" t="n">
        <v>46017</v>
      </c>
      <c r="D637" t="inlineStr">
        <is>
          <t>VÄSTMANLANDS LÄN</t>
        </is>
      </c>
      <c r="E637" t="inlineStr">
        <is>
          <t>SALA</t>
        </is>
      </c>
      <c r="G637" t="n">
        <v>10.6</v>
      </c>
      <c r="H637" t="n">
        <v>0</v>
      </c>
      <c r="I637" t="n">
        <v>0</v>
      </c>
      <c r="J637" t="n">
        <v>0</v>
      </c>
      <c r="K637" t="n">
        <v>0</v>
      </c>
      <c r="L637" t="n">
        <v>0</v>
      </c>
      <c r="M637" t="n">
        <v>0</v>
      </c>
      <c r="N637" t="n">
        <v>0</v>
      </c>
      <c r="O637" t="n">
        <v>0</v>
      </c>
      <c r="P637" t="n">
        <v>0</v>
      </c>
      <c r="Q637" t="n">
        <v>0</v>
      </c>
      <c r="R637" s="2" t="inlineStr"/>
    </row>
    <row r="638" ht="15" customHeight="1">
      <c r="A638" t="inlineStr">
        <is>
          <t>A 23810-2025</t>
        </is>
      </c>
      <c r="B638" s="1" t="n">
        <v>45793.56989583333</v>
      </c>
      <c r="C638" s="1" t="n">
        <v>46017</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24944-2023</t>
        </is>
      </c>
      <c r="B639" s="1" t="n">
        <v>45085</v>
      </c>
      <c r="C639" s="1" t="n">
        <v>46017</v>
      </c>
      <c r="D639" t="inlineStr">
        <is>
          <t>VÄSTMANLANDS LÄN</t>
        </is>
      </c>
      <c r="E639" t="inlineStr">
        <is>
          <t>SALA</t>
        </is>
      </c>
      <c r="G639" t="n">
        <v>3.8</v>
      </c>
      <c r="H639" t="n">
        <v>0</v>
      </c>
      <c r="I639" t="n">
        <v>0</v>
      </c>
      <c r="J639" t="n">
        <v>0</v>
      </c>
      <c r="K639" t="n">
        <v>0</v>
      </c>
      <c r="L639" t="n">
        <v>0</v>
      </c>
      <c r="M639" t="n">
        <v>0</v>
      </c>
      <c r="N639" t="n">
        <v>0</v>
      </c>
      <c r="O639" t="n">
        <v>0</v>
      </c>
      <c r="P639" t="n">
        <v>0</v>
      </c>
      <c r="Q639" t="n">
        <v>0</v>
      </c>
      <c r="R639" s="2" t="inlineStr"/>
    </row>
    <row r="640" ht="15" customHeight="1">
      <c r="A640" t="inlineStr">
        <is>
          <t>A 54344-2025</t>
        </is>
      </c>
      <c r="B640" s="1" t="n">
        <v>45965.36462962963</v>
      </c>
      <c r="C640" s="1" t="n">
        <v>46017</v>
      </c>
      <c r="D640" t="inlineStr">
        <is>
          <t>VÄSTMANLANDS LÄN</t>
        </is>
      </c>
      <c r="E640" t="inlineStr">
        <is>
          <t>SALA</t>
        </is>
      </c>
      <c r="G640" t="n">
        <v>2</v>
      </c>
      <c r="H640" t="n">
        <v>0</v>
      </c>
      <c r="I640" t="n">
        <v>0</v>
      </c>
      <c r="J640" t="n">
        <v>0</v>
      </c>
      <c r="K640" t="n">
        <v>0</v>
      </c>
      <c r="L640" t="n">
        <v>0</v>
      </c>
      <c r="M640" t="n">
        <v>0</v>
      </c>
      <c r="N640" t="n">
        <v>0</v>
      </c>
      <c r="O640" t="n">
        <v>0</v>
      </c>
      <c r="P640" t="n">
        <v>0</v>
      </c>
      <c r="Q640" t="n">
        <v>0</v>
      </c>
      <c r="R640" s="2" t="inlineStr"/>
    </row>
    <row r="641" ht="15" customHeight="1">
      <c r="A641" t="inlineStr">
        <is>
          <t>A 23804-2025</t>
        </is>
      </c>
      <c r="B641" s="1" t="n">
        <v>45793.55995370371</v>
      </c>
      <c r="C641" s="1" t="n">
        <v>46017</v>
      </c>
      <c r="D641" t="inlineStr">
        <is>
          <t>VÄSTMANLANDS LÄN</t>
        </is>
      </c>
      <c r="E641" t="inlineStr">
        <is>
          <t>SALA</t>
        </is>
      </c>
      <c r="G641" t="n">
        <v>1.9</v>
      </c>
      <c r="H641" t="n">
        <v>0</v>
      </c>
      <c r="I641" t="n">
        <v>0</v>
      </c>
      <c r="J641" t="n">
        <v>0</v>
      </c>
      <c r="K641" t="n">
        <v>0</v>
      </c>
      <c r="L641" t="n">
        <v>0</v>
      </c>
      <c r="M641" t="n">
        <v>0</v>
      </c>
      <c r="N641" t="n">
        <v>0</v>
      </c>
      <c r="O641" t="n">
        <v>0</v>
      </c>
      <c r="P641" t="n">
        <v>0</v>
      </c>
      <c r="Q641" t="n">
        <v>0</v>
      </c>
      <c r="R641" s="2" t="inlineStr"/>
    </row>
    <row r="642" ht="15" customHeight="1">
      <c r="A642" t="inlineStr">
        <is>
          <t>A 11210-2025</t>
        </is>
      </c>
      <c r="B642" s="1" t="n">
        <v>45726</v>
      </c>
      <c r="C642" s="1" t="n">
        <v>46017</v>
      </c>
      <c r="D642" t="inlineStr">
        <is>
          <t>VÄSTMANLANDS LÄN</t>
        </is>
      </c>
      <c r="E642" t="inlineStr">
        <is>
          <t>SALA</t>
        </is>
      </c>
      <c r="G642" t="n">
        <v>4.1</v>
      </c>
      <c r="H642" t="n">
        <v>0</v>
      </c>
      <c r="I642" t="n">
        <v>0</v>
      </c>
      <c r="J642" t="n">
        <v>0</v>
      </c>
      <c r="K642" t="n">
        <v>0</v>
      </c>
      <c r="L642" t="n">
        <v>0</v>
      </c>
      <c r="M642" t="n">
        <v>0</v>
      </c>
      <c r="N642" t="n">
        <v>0</v>
      </c>
      <c r="O642" t="n">
        <v>0</v>
      </c>
      <c r="P642" t="n">
        <v>0</v>
      </c>
      <c r="Q642" t="n">
        <v>0</v>
      </c>
      <c r="R642" s="2" t="inlineStr"/>
    </row>
    <row r="643" ht="15" customHeight="1">
      <c r="A643" t="inlineStr">
        <is>
          <t>A 62523-2025</t>
        </is>
      </c>
      <c r="B643" s="1" t="n">
        <v>46007.61512731481</v>
      </c>
      <c r="C643" s="1" t="n">
        <v>46017</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19297-2025</t>
        </is>
      </c>
      <c r="B644" s="1" t="n">
        <v>45769.56261574074</v>
      </c>
      <c r="C644" s="1" t="n">
        <v>46017</v>
      </c>
      <c r="D644" t="inlineStr">
        <is>
          <t>VÄSTMANLANDS LÄN</t>
        </is>
      </c>
      <c r="E644" t="inlineStr">
        <is>
          <t>SALA</t>
        </is>
      </c>
      <c r="G644" t="n">
        <v>0.8</v>
      </c>
      <c r="H644" t="n">
        <v>0</v>
      </c>
      <c r="I644" t="n">
        <v>0</v>
      </c>
      <c r="J644" t="n">
        <v>0</v>
      </c>
      <c r="K644" t="n">
        <v>0</v>
      </c>
      <c r="L644" t="n">
        <v>0</v>
      </c>
      <c r="M644" t="n">
        <v>0</v>
      </c>
      <c r="N644" t="n">
        <v>0</v>
      </c>
      <c r="O644" t="n">
        <v>0</v>
      </c>
      <c r="P644" t="n">
        <v>0</v>
      </c>
      <c r="Q644" t="n">
        <v>0</v>
      </c>
      <c r="R644" s="2" t="inlineStr"/>
    </row>
    <row r="645" ht="15" customHeight="1">
      <c r="A645" t="inlineStr">
        <is>
          <t>A 24460-2025</t>
        </is>
      </c>
      <c r="B645" s="1" t="n">
        <v>45798</v>
      </c>
      <c r="C645" s="1" t="n">
        <v>46017</v>
      </c>
      <c r="D645" t="inlineStr">
        <is>
          <t>VÄSTMANLANDS LÄN</t>
        </is>
      </c>
      <c r="E645" t="inlineStr">
        <is>
          <t>SALA</t>
        </is>
      </c>
      <c r="F645" t="inlineStr">
        <is>
          <t>Bergvik skog öst AB</t>
        </is>
      </c>
      <c r="G645" t="n">
        <v>2.6</v>
      </c>
      <c r="H645" t="n">
        <v>0</v>
      </c>
      <c r="I645" t="n">
        <v>0</v>
      </c>
      <c r="J645" t="n">
        <v>0</v>
      </c>
      <c r="K645" t="n">
        <v>0</v>
      </c>
      <c r="L645" t="n">
        <v>0</v>
      </c>
      <c r="M645" t="n">
        <v>0</v>
      </c>
      <c r="N645" t="n">
        <v>0</v>
      </c>
      <c r="O645" t="n">
        <v>0</v>
      </c>
      <c r="P645" t="n">
        <v>0</v>
      </c>
      <c r="Q645" t="n">
        <v>0</v>
      </c>
      <c r="R645" s="2" t="inlineStr"/>
    </row>
    <row r="646" ht="15" customHeight="1">
      <c r="A646" t="inlineStr">
        <is>
          <t>A 54590-2025</t>
        </is>
      </c>
      <c r="B646" s="1" t="n">
        <v>45965.74199074074</v>
      </c>
      <c r="C646" s="1" t="n">
        <v>46017</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55065-2024</t>
        </is>
      </c>
      <c r="B647" s="1" t="n">
        <v>45618</v>
      </c>
      <c r="C647" s="1" t="n">
        <v>46017</v>
      </c>
      <c r="D647" t="inlineStr">
        <is>
          <t>VÄSTMANLANDS LÄN</t>
        </is>
      </c>
      <c r="E647" t="inlineStr">
        <is>
          <t>SALA</t>
        </is>
      </c>
      <c r="G647" t="n">
        <v>3.5</v>
      </c>
      <c r="H647" t="n">
        <v>0</v>
      </c>
      <c r="I647" t="n">
        <v>0</v>
      </c>
      <c r="J647" t="n">
        <v>0</v>
      </c>
      <c r="K647" t="n">
        <v>0</v>
      </c>
      <c r="L647" t="n">
        <v>0</v>
      </c>
      <c r="M647" t="n">
        <v>0</v>
      </c>
      <c r="N647" t="n">
        <v>0</v>
      </c>
      <c r="O647" t="n">
        <v>0</v>
      </c>
      <c r="P647" t="n">
        <v>0</v>
      </c>
      <c r="Q647" t="n">
        <v>0</v>
      </c>
      <c r="R647" s="2" t="inlineStr"/>
    </row>
    <row r="648" ht="15" customHeight="1">
      <c r="A648" t="inlineStr">
        <is>
          <t>A 63046-2025</t>
        </is>
      </c>
      <c r="B648" s="1" t="n">
        <v>46009.62373842593</v>
      </c>
      <c r="C648" s="1" t="n">
        <v>46017</v>
      </c>
      <c r="D648" t="inlineStr">
        <is>
          <t>VÄSTMANLANDS LÄN</t>
        </is>
      </c>
      <c r="E648" t="inlineStr">
        <is>
          <t>SALA</t>
        </is>
      </c>
      <c r="G648" t="n">
        <v>1.1</v>
      </c>
      <c r="H648" t="n">
        <v>0</v>
      </c>
      <c r="I648" t="n">
        <v>0</v>
      </c>
      <c r="J648" t="n">
        <v>0</v>
      </c>
      <c r="K648" t="n">
        <v>0</v>
      </c>
      <c r="L648" t="n">
        <v>0</v>
      </c>
      <c r="M648" t="n">
        <v>0</v>
      </c>
      <c r="N648" t="n">
        <v>0</v>
      </c>
      <c r="O648" t="n">
        <v>0</v>
      </c>
      <c r="P648" t="n">
        <v>0</v>
      </c>
      <c r="Q648" t="n">
        <v>0</v>
      </c>
      <c r="R648" s="2" t="inlineStr"/>
    </row>
    <row r="649" ht="15" customHeight="1">
      <c r="A649" t="inlineStr">
        <is>
          <t>A 24463-2025</t>
        </is>
      </c>
      <c r="B649" s="1" t="n">
        <v>45798</v>
      </c>
      <c r="C649" s="1" t="n">
        <v>46017</v>
      </c>
      <c r="D649" t="inlineStr">
        <is>
          <t>VÄSTMANLANDS LÄN</t>
        </is>
      </c>
      <c r="E649" t="inlineStr">
        <is>
          <t>SALA</t>
        </is>
      </c>
      <c r="F649" t="inlineStr">
        <is>
          <t>Bergvik skog öst AB</t>
        </is>
      </c>
      <c r="G649" t="n">
        <v>1.5</v>
      </c>
      <c r="H649" t="n">
        <v>0</v>
      </c>
      <c r="I649" t="n">
        <v>0</v>
      </c>
      <c r="J649" t="n">
        <v>0</v>
      </c>
      <c r="K649" t="n">
        <v>0</v>
      </c>
      <c r="L649" t="n">
        <v>0</v>
      </c>
      <c r="M649" t="n">
        <v>0</v>
      </c>
      <c r="N649" t="n">
        <v>0</v>
      </c>
      <c r="O649" t="n">
        <v>0</v>
      </c>
      <c r="P649" t="n">
        <v>0</v>
      </c>
      <c r="Q649" t="n">
        <v>0</v>
      </c>
      <c r="R649" s="2" t="inlineStr"/>
    </row>
    <row r="650" ht="15" customHeight="1">
      <c r="A650" t="inlineStr">
        <is>
          <t>A 54893-2025</t>
        </is>
      </c>
      <c r="B650" s="1" t="n">
        <v>45967.36383101852</v>
      </c>
      <c r="C650" s="1" t="n">
        <v>46017</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24907-2025</t>
        </is>
      </c>
      <c r="B651" s="1" t="n">
        <v>45799</v>
      </c>
      <c r="C651" s="1" t="n">
        <v>46017</v>
      </c>
      <c r="D651" t="inlineStr">
        <is>
          <t>VÄSTMANLANDS LÄN</t>
        </is>
      </c>
      <c r="E651" t="inlineStr">
        <is>
          <t>SALA</t>
        </is>
      </c>
      <c r="G651" t="n">
        <v>3.5</v>
      </c>
      <c r="H651" t="n">
        <v>0</v>
      </c>
      <c r="I651" t="n">
        <v>0</v>
      </c>
      <c r="J651" t="n">
        <v>0</v>
      </c>
      <c r="K651" t="n">
        <v>0</v>
      </c>
      <c r="L651" t="n">
        <v>0</v>
      </c>
      <c r="M651" t="n">
        <v>0</v>
      </c>
      <c r="N651" t="n">
        <v>0</v>
      </c>
      <c r="O651" t="n">
        <v>0</v>
      </c>
      <c r="P651" t="n">
        <v>0</v>
      </c>
      <c r="Q651" t="n">
        <v>0</v>
      </c>
      <c r="R651" s="2" t="inlineStr"/>
    </row>
    <row r="652" ht="15" customHeight="1">
      <c r="A652" t="inlineStr">
        <is>
          <t>A 24910-2025</t>
        </is>
      </c>
      <c r="B652" s="1" t="n">
        <v>45799.53775462963</v>
      </c>
      <c r="C652" s="1" t="n">
        <v>46017</v>
      </c>
      <c r="D652" t="inlineStr">
        <is>
          <t>VÄSTMANLANDS LÄN</t>
        </is>
      </c>
      <c r="E652" t="inlineStr">
        <is>
          <t>SALA</t>
        </is>
      </c>
      <c r="G652" t="n">
        <v>3.5</v>
      </c>
      <c r="H652" t="n">
        <v>0</v>
      </c>
      <c r="I652" t="n">
        <v>0</v>
      </c>
      <c r="J652" t="n">
        <v>0</v>
      </c>
      <c r="K652" t="n">
        <v>0</v>
      </c>
      <c r="L652" t="n">
        <v>0</v>
      </c>
      <c r="M652" t="n">
        <v>0</v>
      </c>
      <c r="N652" t="n">
        <v>0</v>
      </c>
      <c r="O652" t="n">
        <v>0</v>
      </c>
      <c r="P652" t="n">
        <v>0</v>
      </c>
      <c r="Q652" t="n">
        <v>0</v>
      </c>
      <c r="R652" s="2" t="inlineStr"/>
    </row>
    <row r="653" ht="15" customHeight="1">
      <c r="A653" t="inlineStr">
        <is>
          <t>A 63051-2025</t>
        </is>
      </c>
      <c r="B653" s="1" t="n">
        <v>46009.63134259259</v>
      </c>
      <c r="C653" s="1" t="n">
        <v>46017</v>
      </c>
      <c r="D653" t="inlineStr">
        <is>
          <t>VÄSTMANLANDS LÄN</t>
        </is>
      </c>
      <c r="E653" t="inlineStr">
        <is>
          <t>SALA</t>
        </is>
      </c>
      <c r="G653" t="n">
        <v>1.1</v>
      </c>
      <c r="H653" t="n">
        <v>0</v>
      </c>
      <c r="I653" t="n">
        <v>0</v>
      </c>
      <c r="J653" t="n">
        <v>0</v>
      </c>
      <c r="K653" t="n">
        <v>0</v>
      </c>
      <c r="L653" t="n">
        <v>0</v>
      </c>
      <c r="M653" t="n">
        <v>0</v>
      </c>
      <c r="N653" t="n">
        <v>0</v>
      </c>
      <c r="O653" t="n">
        <v>0</v>
      </c>
      <c r="P653" t="n">
        <v>0</v>
      </c>
      <c r="Q653" t="n">
        <v>0</v>
      </c>
      <c r="R653" s="2" t="inlineStr"/>
    </row>
    <row r="654" ht="15" customHeight="1">
      <c r="A654" t="inlineStr">
        <is>
          <t>A 63269-2025</t>
        </is>
      </c>
      <c r="B654" s="1" t="n">
        <v>46010.56664351852</v>
      </c>
      <c r="C654" s="1" t="n">
        <v>46017</v>
      </c>
      <c r="D654" t="inlineStr">
        <is>
          <t>VÄSTMANLANDS LÄN</t>
        </is>
      </c>
      <c r="E654" t="inlineStr">
        <is>
          <t>SALA</t>
        </is>
      </c>
      <c r="G654" t="n">
        <v>6.4</v>
      </c>
      <c r="H654" t="n">
        <v>0</v>
      </c>
      <c r="I654" t="n">
        <v>0</v>
      </c>
      <c r="J654" t="n">
        <v>0</v>
      </c>
      <c r="K654" t="n">
        <v>0</v>
      </c>
      <c r="L654" t="n">
        <v>0</v>
      </c>
      <c r="M654" t="n">
        <v>0</v>
      </c>
      <c r="N654" t="n">
        <v>0</v>
      </c>
      <c r="O654" t="n">
        <v>0</v>
      </c>
      <c r="P654" t="n">
        <v>0</v>
      </c>
      <c r="Q654" t="n">
        <v>0</v>
      </c>
      <c r="R654" s="2" t="inlineStr"/>
    </row>
    <row r="655" ht="15" customHeight="1">
      <c r="A655" t="inlineStr">
        <is>
          <t>A 63055-2025</t>
        </is>
      </c>
      <c r="B655" s="1" t="n">
        <v>46009.63619212963</v>
      </c>
      <c r="C655" s="1" t="n">
        <v>46017</v>
      </c>
      <c r="D655" t="inlineStr">
        <is>
          <t>VÄSTMANLANDS LÄN</t>
        </is>
      </c>
      <c r="E655" t="inlineStr">
        <is>
          <t>SALA</t>
        </is>
      </c>
      <c r="G655" t="n">
        <v>0.4</v>
      </c>
      <c r="H655" t="n">
        <v>0</v>
      </c>
      <c r="I655" t="n">
        <v>0</v>
      </c>
      <c r="J655" t="n">
        <v>0</v>
      </c>
      <c r="K655" t="n">
        <v>0</v>
      </c>
      <c r="L655" t="n">
        <v>0</v>
      </c>
      <c r="M655" t="n">
        <v>0</v>
      </c>
      <c r="N655" t="n">
        <v>0</v>
      </c>
      <c r="O655" t="n">
        <v>0</v>
      </c>
      <c r="P655" t="n">
        <v>0</v>
      </c>
      <c r="Q655" t="n">
        <v>0</v>
      </c>
      <c r="R655" s="2" t="inlineStr"/>
    </row>
    <row r="656" ht="15" customHeight="1">
      <c r="A656" t="inlineStr">
        <is>
          <t>A 63353-2025</t>
        </is>
      </c>
      <c r="B656" s="1" t="n">
        <v>46010.66670138889</v>
      </c>
      <c r="C656" s="1" t="n">
        <v>46017</v>
      </c>
      <c r="D656" t="inlineStr">
        <is>
          <t>VÄSTMANLANDS LÄN</t>
        </is>
      </c>
      <c r="E656" t="inlineStr">
        <is>
          <t>SALA</t>
        </is>
      </c>
      <c r="G656" t="n">
        <v>1.9</v>
      </c>
      <c r="H656" t="n">
        <v>0</v>
      </c>
      <c r="I656" t="n">
        <v>0</v>
      </c>
      <c r="J656" t="n">
        <v>0</v>
      </c>
      <c r="K656" t="n">
        <v>0</v>
      </c>
      <c r="L656" t="n">
        <v>0</v>
      </c>
      <c r="M656" t="n">
        <v>0</v>
      </c>
      <c r="N656" t="n">
        <v>0</v>
      </c>
      <c r="O656" t="n">
        <v>0</v>
      </c>
      <c r="P656" t="n">
        <v>0</v>
      </c>
      <c r="Q656" t="n">
        <v>0</v>
      </c>
      <c r="R656" s="2" t="inlineStr"/>
    </row>
    <row r="657" ht="15" customHeight="1">
      <c r="A657" t="inlineStr">
        <is>
          <t>A 10909-2024</t>
        </is>
      </c>
      <c r="B657" s="1" t="n">
        <v>45370</v>
      </c>
      <c r="C657" s="1" t="n">
        <v>46017</v>
      </c>
      <c r="D657" t="inlineStr">
        <is>
          <t>VÄSTMANLANDS LÄN</t>
        </is>
      </c>
      <c r="E657" t="inlineStr">
        <is>
          <t>SALA</t>
        </is>
      </c>
      <c r="G657" t="n">
        <v>3.3</v>
      </c>
      <c r="H657" t="n">
        <v>0</v>
      </c>
      <c r="I657" t="n">
        <v>0</v>
      </c>
      <c r="J657" t="n">
        <v>0</v>
      </c>
      <c r="K657" t="n">
        <v>0</v>
      </c>
      <c r="L657" t="n">
        <v>0</v>
      </c>
      <c r="M657" t="n">
        <v>0</v>
      </c>
      <c r="N657" t="n">
        <v>0</v>
      </c>
      <c r="O657" t="n">
        <v>0</v>
      </c>
      <c r="P657" t="n">
        <v>0</v>
      </c>
      <c r="Q657" t="n">
        <v>0</v>
      </c>
      <c r="R657" s="2" t="inlineStr"/>
    </row>
    <row r="658" ht="15" customHeight="1">
      <c r="A658" t="inlineStr">
        <is>
          <t>A 19033-2025</t>
        </is>
      </c>
      <c r="B658" s="1" t="n">
        <v>45764.65796296296</v>
      </c>
      <c r="C658" s="1" t="n">
        <v>46017</v>
      </c>
      <c r="D658" t="inlineStr">
        <is>
          <t>VÄSTMANLANDS LÄN</t>
        </is>
      </c>
      <c r="E658" t="inlineStr">
        <is>
          <t>SALA</t>
        </is>
      </c>
      <c r="F658" t="inlineStr">
        <is>
          <t>Bergvik skog öst AB</t>
        </is>
      </c>
      <c r="G658" t="n">
        <v>1.4</v>
      </c>
      <c r="H658" t="n">
        <v>0</v>
      </c>
      <c r="I658" t="n">
        <v>0</v>
      </c>
      <c r="J658" t="n">
        <v>0</v>
      </c>
      <c r="K658" t="n">
        <v>0</v>
      </c>
      <c r="L658" t="n">
        <v>0</v>
      </c>
      <c r="M658" t="n">
        <v>0</v>
      </c>
      <c r="N658" t="n">
        <v>0</v>
      </c>
      <c r="O658" t="n">
        <v>0</v>
      </c>
      <c r="P658" t="n">
        <v>0</v>
      </c>
      <c r="Q658" t="n">
        <v>0</v>
      </c>
      <c r="R658" s="2" t="inlineStr"/>
    </row>
    <row r="659" ht="15" customHeight="1">
      <c r="A659" t="inlineStr">
        <is>
          <t>A 55760-2025</t>
        </is>
      </c>
      <c r="B659" s="1" t="n">
        <v>45972</v>
      </c>
      <c r="C659" s="1" t="n">
        <v>46017</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57414-2025</t>
        </is>
      </c>
      <c r="B660" s="1" t="n">
        <v>45980.45003472222</v>
      </c>
      <c r="C660" s="1" t="n">
        <v>46017</v>
      </c>
      <c r="D660" t="inlineStr">
        <is>
          <t>VÄSTMANLANDS LÄN</t>
        </is>
      </c>
      <c r="E660" t="inlineStr">
        <is>
          <t>SALA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56645-2025</t>
        </is>
      </c>
      <c r="B661" s="1" t="n">
        <v>45975.63063657407</v>
      </c>
      <c r="C661" s="1" t="n">
        <v>46017</v>
      </c>
      <c r="D661" t="inlineStr">
        <is>
          <t>VÄSTMANLANDS LÄN</t>
        </is>
      </c>
      <c r="E661" t="inlineStr">
        <is>
          <t>SALA</t>
        </is>
      </c>
      <c r="F661" t="inlineStr">
        <is>
          <t>Bergvik skog öst AB</t>
        </is>
      </c>
      <c r="G661" t="n">
        <v>5.3</v>
      </c>
      <c r="H661" t="n">
        <v>0</v>
      </c>
      <c r="I661" t="n">
        <v>0</v>
      </c>
      <c r="J661" t="n">
        <v>0</v>
      </c>
      <c r="K661" t="n">
        <v>0</v>
      </c>
      <c r="L661" t="n">
        <v>0</v>
      </c>
      <c r="M661" t="n">
        <v>0</v>
      </c>
      <c r="N661" t="n">
        <v>0</v>
      </c>
      <c r="O661" t="n">
        <v>0</v>
      </c>
      <c r="P661" t="n">
        <v>0</v>
      </c>
      <c r="Q661" t="n">
        <v>0</v>
      </c>
      <c r="R661" s="2" t="inlineStr"/>
    </row>
    <row r="662" ht="15" customHeight="1">
      <c r="A662" t="inlineStr">
        <is>
          <t>A 55997-2025</t>
        </is>
      </c>
      <c r="B662" s="1" t="n">
        <v>45973.56833333334</v>
      </c>
      <c r="C662" s="1" t="n">
        <v>46017</v>
      </c>
      <c r="D662" t="inlineStr">
        <is>
          <t>VÄSTMANLANDS LÄN</t>
        </is>
      </c>
      <c r="E662" t="inlineStr">
        <is>
          <t>SALA</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55714-2025</t>
        </is>
      </c>
      <c r="B663" s="1" t="n">
        <v>45972.49131944445</v>
      </c>
      <c r="C663" s="1" t="n">
        <v>46017</v>
      </c>
      <c r="D663" t="inlineStr">
        <is>
          <t>VÄSTMANLANDS LÄN</t>
        </is>
      </c>
      <c r="E663" t="inlineStr">
        <is>
          <t>SALA</t>
        </is>
      </c>
      <c r="G663" t="n">
        <v>6.6</v>
      </c>
      <c r="H663" t="n">
        <v>0</v>
      </c>
      <c r="I663" t="n">
        <v>0</v>
      </c>
      <c r="J663" t="n">
        <v>0</v>
      </c>
      <c r="K663" t="n">
        <v>0</v>
      </c>
      <c r="L663" t="n">
        <v>0</v>
      </c>
      <c r="M663" t="n">
        <v>0</v>
      </c>
      <c r="N663" t="n">
        <v>0</v>
      </c>
      <c r="O663" t="n">
        <v>0</v>
      </c>
      <c r="P663" t="n">
        <v>0</v>
      </c>
      <c r="Q663" t="n">
        <v>0</v>
      </c>
      <c r="R663" s="2" t="inlineStr"/>
    </row>
    <row r="664" ht="15" customHeight="1">
      <c r="A664" t="inlineStr">
        <is>
          <t>A 26661-2025</t>
        </is>
      </c>
      <c r="B664" s="1" t="n">
        <v>45810</v>
      </c>
      <c r="C664" s="1" t="n">
        <v>46017</v>
      </c>
      <c r="D664" t="inlineStr">
        <is>
          <t>VÄSTMANLANDS LÄN</t>
        </is>
      </c>
      <c r="E664" t="inlineStr">
        <is>
          <t>SALA</t>
        </is>
      </c>
      <c r="G664" t="n">
        <v>3.5</v>
      </c>
      <c r="H664" t="n">
        <v>0</v>
      </c>
      <c r="I664" t="n">
        <v>0</v>
      </c>
      <c r="J664" t="n">
        <v>0</v>
      </c>
      <c r="K664" t="n">
        <v>0</v>
      </c>
      <c r="L664" t="n">
        <v>0</v>
      </c>
      <c r="M664" t="n">
        <v>0</v>
      </c>
      <c r="N664" t="n">
        <v>0</v>
      </c>
      <c r="O664" t="n">
        <v>0</v>
      </c>
      <c r="P664" t="n">
        <v>0</v>
      </c>
      <c r="Q664" t="n">
        <v>0</v>
      </c>
      <c r="R664" s="2" t="inlineStr"/>
    </row>
    <row r="665" ht="15" customHeight="1">
      <c r="A665" t="inlineStr">
        <is>
          <t>A 28193-2025</t>
        </is>
      </c>
      <c r="B665" s="1" t="n">
        <v>45818.425625</v>
      </c>
      <c r="C665" s="1" t="n">
        <v>46017</v>
      </c>
      <c r="D665" t="inlineStr">
        <is>
          <t>VÄSTMANLANDS LÄN</t>
        </is>
      </c>
      <c r="E665" t="inlineStr">
        <is>
          <t>SALA</t>
        </is>
      </c>
      <c r="G665" t="n">
        <v>1.8</v>
      </c>
      <c r="H665" t="n">
        <v>0</v>
      </c>
      <c r="I665" t="n">
        <v>0</v>
      </c>
      <c r="J665" t="n">
        <v>0</v>
      </c>
      <c r="K665" t="n">
        <v>0</v>
      </c>
      <c r="L665" t="n">
        <v>0</v>
      </c>
      <c r="M665" t="n">
        <v>0</v>
      </c>
      <c r="N665" t="n">
        <v>0</v>
      </c>
      <c r="O665" t="n">
        <v>0</v>
      </c>
      <c r="P665" t="n">
        <v>0</v>
      </c>
      <c r="Q665" t="n">
        <v>0</v>
      </c>
      <c r="R665" s="2" t="inlineStr"/>
    </row>
    <row r="666" ht="15" customHeight="1">
      <c r="A666" t="inlineStr">
        <is>
          <t>A 27981-2025</t>
        </is>
      </c>
      <c r="B666" s="1" t="n">
        <v>45817.57471064815</v>
      </c>
      <c r="C666" s="1" t="n">
        <v>46017</v>
      </c>
      <c r="D666" t="inlineStr">
        <is>
          <t>VÄSTMANLANDS LÄN</t>
        </is>
      </c>
      <c r="E666" t="inlineStr">
        <is>
          <t>SALA</t>
        </is>
      </c>
      <c r="G666" t="n">
        <v>1.7</v>
      </c>
      <c r="H666" t="n">
        <v>0</v>
      </c>
      <c r="I666" t="n">
        <v>0</v>
      </c>
      <c r="J666" t="n">
        <v>0</v>
      </c>
      <c r="K666" t="n">
        <v>0</v>
      </c>
      <c r="L666" t="n">
        <v>0</v>
      </c>
      <c r="M666" t="n">
        <v>0</v>
      </c>
      <c r="N666" t="n">
        <v>0</v>
      </c>
      <c r="O666" t="n">
        <v>0</v>
      </c>
      <c r="P666" t="n">
        <v>0</v>
      </c>
      <c r="Q666" t="n">
        <v>0</v>
      </c>
      <c r="R666" s="2" t="inlineStr"/>
    </row>
    <row r="667" ht="15" customHeight="1">
      <c r="A667" t="inlineStr">
        <is>
          <t>A 28278-2025</t>
        </is>
      </c>
      <c r="B667" s="1" t="n">
        <v>45818.58454861111</v>
      </c>
      <c r="C667" s="1" t="n">
        <v>46017</v>
      </c>
      <c r="D667" t="inlineStr">
        <is>
          <t>VÄSTMANLANDS LÄN</t>
        </is>
      </c>
      <c r="E667" t="inlineStr">
        <is>
          <t>SALA</t>
        </is>
      </c>
      <c r="G667" t="n">
        <v>7.6</v>
      </c>
      <c r="H667" t="n">
        <v>0</v>
      </c>
      <c r="I667" t="n">
        <v>0</v>
      </c>
      <c r="J667" t="n">
        <v>0</v>
      </c>
      <c r="K667" t="n">
        <v>0</v>
      </c>
      <c r="L667" t="n">
        <v>0</v>
      </c>
      <c r="M667" t="n">
        <v>0</v>
      </c>
      <c r="N667" t="n">
        <v>0</v>
      </c>
      <c r="O667" t="n">
        <v>0</v>
      </c>
      <c r="P667" t="n">
        <v>0</v>
      </c>
      <c r="Q667" t="n">
        <v>0</v>
      </c>
      <c r="R667" s="2" t="inlineStr"/>
    </row>
    <row r="668" ht="15" customHeight="1">
      <c r="A668" t="inlineStr">
        <is>
          <t>A 27989-2025</t>
        </is>
      </c>
      <c r="B668" s="1" t="n">
        <v>45817.58716435185</v>
      </c>
      <c r="C668" s="1" t="n">
        <v>46017</v>
      </c>
      <c r="D668" t="inlineStr">
        <is>
          <t>VÄSTMANLANDS LÄN</t>
        </is>
      </c>
      <c r="E668" t="inlineStr">
        <is>
          <t>SALA</t>
        </is>
      </c>
      <c r="G668" t="n">
        <v>1.9</v>
      </c>
      <c r="H668" t="n">
        <v>0</v>
      </c>
      <c r="I668" t="n">
        <v>0</v>
      </c>
      <c r="J668" t="n">
        <v>0</v>
      </c>
      <c r="K668" t="n">
        <v>0</v>
      </c>
      <c r="L668" t="n">
        <v>0</v>
      </c>
      <c r="M668" t="n">
        <v>0</v>
      </c>
      <c r="N668" t="n">
        <v>0</v>
      </c>
      <c r="O668" t="n">
        <v>0</v>
      </c>
      <c r="P668" t="n">
        <v>0</v>
      </c>
      <c r="Q668" t="n">
        <v>0</v>
      </c>
      <c r="R668" s="2" t="inlineStr"/>
    </row>
    <row r="669" ht="15" customHeight="1">
      <c r="A669" t="inlineStr">
        <is>
          <t>A 28284-2025</t>
        </is>
      </c>
      <c r="B669" s="1" t="n">
        <v>45818.58893518519</v>
      </c>
      <c r="C669" s="1" t="n">
        <v>46017</v>
      </c>
      <c r="D669" t="inlineStr">
        <is>
          <t>VÄSTMANLANDS LÄN</t>
        </is>
      </c>
      <c r="E669" t="inlineStr">
        <is>
          <t>SALA</t>
        </is>
      </c>
      <c r="G669" t="n">
        <v>2.4</v>
      </c>
      <c r="H669" t="n">
        <v>0</v>
      </c>
      <c r="I669" t="n">
        <v>0</v>
      </c>
      <c r="J669" t="n">
        <v>0</v>
      </c>
      <c r="K669" t="n">
        <v>0</v>
      </c>
      <c r="L669" t="n">
        <v>0</v>
      </c>
      <c r="M669" t="n">
        <v>0</v>
      </c>
      <c r="N669" t="n">
        <v>0</v>
      </c>
      <c r="O669" t="n">
        <v>0</v>
      </c>
      <c r="P669" t="n">
        <v>0</v>
      </c>
      <c r="Q669" t="n">
        <v>0</v>
      </c>
      <c r="R669" s="2" t="inlineStr"/>
    </row>
    <row r="670" ht="15" customHeight="1">
      <c r="A670" t="inlineStr">
        <is>
          <t>A 28632-2025</t>
        </is>
      </c>
      <c r="B670" s="1" t="n">
        <v>45819.62344907408</v>
      </c>
      <c r="C670" s="1" t="n">
        <v>46017</v>
      </c>
      <c r="D670" t="inlineStr">
        <is>
          <t>VÄSTMANLANDS LÄN</t>
        </is>
      </c>
      <c r="E670" t="inlineStr">
        <is>
          <t>SALA</t>
        </is>
      </c>
      <c r="F670" t="inlineStr">
        <is>
          <t>Sveaskog</t>
        </is>
      </c>
      <c r="G670" t="n">
        <v>2.4</v>
      </c>
      <c r="H670" t="n">
        <v>0</v>
      </c>
      <c r="I670" t="n">
        <v>0</v>
      </c>
      <c r="J670" t="n">
        <v>0</v>
      </c>
      <c r="K670" t="n">
        <v>0</v>
      </c>
      <c r="L670" t="n">
        <v>0</v>
      </c>
      <c r="M670" t="n">
        <v>0</v>
      </c>
      <c r="N670" t="n">
        <v>0</v>
      </c>
      <c r="O670" t="n">
        <v>0</v>
      </c>
      <c r="P670" t="n">
        <v>0</v>
      </c>
      <c r="Q670" t="n">
        <v>0</v>
      </c>
      <c r="R670" s="2" t="inlineStr"/>
    </row>
    <row r="671" ht="15" customHeight="1">
      <c r="A671" t="inlineStr">
        <is>
          <t>A 28628-2025</t>
        </is>
      </c>
      <c r="B671" s="1" t="n">
        <v>45819.62158564815</v>
      </c>
      <c r="C671" s="1" t="n">
        <v>46017</v>
      </c>
      <c r="D671" t="inlineStr">
        <is>
          <t>VÄSTMANLANDS LÄN</t>
        </is>
      </c>
      <c r="E671" t="inlineStr">
        <is>
          <t>SALA</t>
        </is>
      </c>
      <c r="F671" t="inlineStr">
        <is>
          <t>Sveaskog</t>
        </is>
      </c>
      <c r="G671" t="n">
        <v>0.9</v>
      </c>
      <c r="H671" t="n">
        <v>0</v>
      </c>
      <c r="I671" t="n">
        <v>0</v>
      </c>
      <c r="J671" t="n">
        <v>0</v>
      </c>
      <c r="K671" t="n">
        <v>0</v>
      </c>
      <c r="L671" t="n">
        <v>0</v>
      </c>
      <c r="M671" t="n">
        <v>0</v>
      </c>
      <c r="N671" t="n">
        <v>0</v>
      </c>
      <c r="O671" t="n">
        <v>0</v>
      </c>
      <c r="P671" t="n">
        <v>0</v>
      </c>
      <c r="Q671" t="n">
        <v>0</v>
      </c>
      <c r="R671" s="2" t="inlineStr"/>
    </row>
    <row r="672" ht="15" customHeight="1">
      <c r="A672" t="inlineStr">
        <is>
          <t>A 28630-2025</t>
        </is>
      </c>
      <c r="B672" s="1" t="n">
        <v>45819.62274305556</v>
      </c>
      <c r="C672" s="1" t="n">
        <v>46017</v>
      </c>
      <c r="D672" t="inlineStr">
        <is>
          <t>VÄSTMANLANDS LÄN</t>
        </is>
      </c>
      <c r="E672" t="inlineStr">
        <is>
          <t>SALA</t>
        </is>
      </c>
      <c r="F672" t="inlineStr">
        <is>
          <t>Sveaskog</t>
        </is>
      </c>
      <c r="G672" t="n">
        <v>9</v>
      </c>
      <c r="H672" t="n">
        <v>0</v>
      </c>
      <c r="I672" t="n">
        <v>0</v>
      </c>
      <c r="J672" t="n">
        <v>0</v>
      </c>
      <c r="K672" t="n">
        <v>0</v>
      </c>
      <c r="L672" t="n">
        <v>0</v>
      </c>
      <c r="M672" t="n">
        <v>0</v>
      </c>
      <c r="N672" t="n">
        <v>0</v>
      </c>
      <c r="O672" t="n">
        <v>0</v>
      </c>
      <c r="P672" t="n">
        <v>0</v>
      </c>
      <c r="Q672" t="n">
        <v>0</v>
      </c>
      <c r="R672" s="2" t="inlineStr"/>
    </row>
    <row r="673" ht="15" customHeight="1">
      <c r="A673" t="inlineStr">
        <is>
          <t>A 28837-2025</t>
        </is>
      </c>
      <c r="B673" s="1" t="n">
        <v>45820.56243055555</v>
      </c>
      <c r="C673" s="1" t="n">
        <v>46017</v>
      </c>
      <c r="D673" t="inlineStr">
        <is>
          <t>VÄSTMANLANDS LÄN</t>
        </is>
      </c>
      <c r="E673" t="inlineStr">
        <is>
          <t>SALA</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28849-2025</t>
        </is>
      </c>
      <c r="B674" s="1" t="n">
        <v>45820</v>
      </c>
      <c r="C674" s="1" t="n">
        <v>46017</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29085-2025</t>
        </is>
      </c>
      <c r="B675" s="1" t="n">
        <v>45821</v>
      </c>
      <c r="C675" s="1" t="n">
        <v>46017</v>
      </c>
      <c r="D675" t="inlineStr">
        <is>
          <t>VÄSTMANLANDS LÄN</t>
        </is>
      </c>
      <c r="E675" t="inlineStr">
        <is>
          <t>SALA</t>
        </is>
      </c>
      <c r="G675" t="n">
        <v>3.5</v>
      </c>
      <c r="H675" t="n">
        <v>0</v>
      </c>
      <c r="I675" t="n">
        <v>0</v>
      </c>
      <c r="J675" t="n">
        <v>0</v>
      </c>
      <c r="K675" t="n">
        <v>0</v>
      </c>
      <c r="L675" t="n">
        <v>0</v>
      </c>
      <c r="M675" t="n">
        <v>0</v>
      </c>
      <c r="N675" t="n">
        <v>0</v>
      </c>
      <c r="O675" t="n">
        <v>0</v>
      </c>
      <c r="P675" t="n">
        <v>0</v>
      </c>
      <c r="Q675" t="n">
        <v>0</v>
      </c>
      <c r="R675" s="2" t="inlineStr"/>
    </row>
    <row r="676" ht="15" customHeight="1">
      <c r="A676" t="inlineStr">
        <is>
          <t>A 60541-2024</t>
        </is>
      </c>
      <c r="B676" s="1" t="n">
        <v>45643</v>
      </c>
      <c r="C676" s="1" t="n">
        <v>46017</v>
      </c>
      <c r="D676" t="inlineStr">
        <is>
          <t>VÄSTMANLANDS LÄN</t>
        </is>
      </c>
      <c r="E676" t="inlineStr">
        <is>
          <t>SALA</t>
        </is>
      </c>
      <c r="G676" t="n">
        <v>10.6</v>
      </c>
      <c r="H676" t="n">
        <v>0</v>
      </c>
      <c r="I676" t="n">
        <v>0</v>
      </c>
      <c r="J676" t="n">
        <v>0</v>
      </c>
      <c r="K676" t="n">
        <v>0</v>
      </c>
      <c r="L676" t="n">
        <v>0</v>
      </c>
      <c r="M676" t="n">
        <v>0</v>
      </c>
      <c r="N676" t="n">
        <v>0</v>
      </c>
      <c r="O676" t="n">
        <v>0</v>
      </c>
      <c r="P676" t="n">
        <v>0</v>
      </c>
      <c r="Q676" t="n">
        <v>0</v>
      </c>
      <c r="R676" s="2" t="inlineStr"/>
    </row>
    <row r="677" ht="15" customHeight="1">
      <c r="A677" t="inlineStr">
        <is>
          <t>A 29826-2025</t>
        </is>
      </c>
      <c r="B677" s="1" t="n">
        <v>45825.85761574074</v>
      </c>
      <c r="C677" s="1" t="n">
        <v>46017</v>
      </c>
      <c r="D677" t="inlineStr">
        <is>
          <t>VÄSTMANLANDS LÄN</t>
        </is>
      </c>
      <c r="E677" t="inlineStr">
        <is>
          <t>SALA</t>
        </is>
      </c>
      <c r="G677" t="n">
        <v>1.9</v>
      </c>
      <c r="H677" t="n">
        <v>0</v>
      </c>
      <c r="I677" t="n">
        <v>0</v>
      </c>
      <c r="J677" t="n">
        <v>0</v>
      </c>
      <c r="K677" t="n">
        <v>0</v>
      </c>
      <c r="L677" t="n">
        <v>0</v>
      </c>
      <c r="M677" t="n">
        <v>0</v>
      </c>
      <c r="N677" t="n">
        <v>0</v>
      </c>
      <c r="O677" t="n">
        <v>0</v>
      </c>
      <c r="P677" t="n">
        <v>0</v>
      </c>
      <c r="Q677" t="n">
        <v>0</v>
      </c>
      <c r="R677" s="2" t="inlineStr"/>
    </row>
    <row r="678" ht="15" customHeight="1">
      <c r="A678" t="inlineStr">
        <is>
          <t>A 29691-2025</t>
        </is>
      </c>
      <c r="B678" s="1" t="n">
        <v>45825.53645833334</v>
      </c>
      <c r="C678" s="1" t="n">
        <v>46017</v>
      </c>
      <c r="D678" t="inlineStr">
        <is>
          <t>VÄSTMANLANDS LÄN</t>
        </is>
      </c>
      <c r="E678" t="inlineStr">
        <is>
          <t>SALA</t>
        </is>
      </c>
      <c r="G678" t="n">
        <v>0.7</v>
      </c>
      <c r="H678" t="n">
        <v>0</v>
      </c>
      <c r="I678" t="n">
        <v>0</v>
      </c>
      <c r="J678" t="n">
        <v>0</v>
      </c>
      <c r="K678" t="n">
        <v>0</v>
      </c>
      <c r="L678" t="n">
        <v>0</v>
      </c>
      <c r="M678" t="n">
        <v>0</v>
      </c>
      <c r="N678" t="n">
        <v>0</v>
      </c>
      <c r="O678" t="n">
        <v>0</v>
      </c>
      <c r="P678" t="n">
        <v>0</v>
      </c>
      <c r="Q678" t="n">
        <v>0</v>
      </c>
      <c r="R678" s="2" t="inlineStr"/>
    </row>
    <row r="679" ht="15" customHeight="1">
      <c r="A679" t="inlineStr">
        <is>
          <t>A 30874-2025</t>
        </is>
      </c>
      <c r="B679" s="1" t="n">
        <v>45832.34430555555</v>
      </c>
      <c r="C679" s="1" t="n">
        <v>46017</v>
      </c>
      <c r="D679" t="inlineStr">
        <is>
          <t>VÄSTMANLANDS LÄN</t>
        </is>
      </c>
      <c r="E679" t="inlineStr">
        <is>
          <t>SALA</t>
        </is>
      </c>
      <c r="G679" t="n">
        <v>8.4</v>
      </c>
      <c r="H679" t="n">
        <v>0</v>
      </c>
      <c r="I679" t="n">
        <v>0</v>
      </c>
      <c r="J679" t="n">
        <v>0</v>
      </c>
      <c r="K679" t="n">
        <v>0</v>
      </c>
      <c r="L679" t="n">
        <v>0</v>
      </c>
      <c r="M679" t="n">
        <v>0</v>
      </c>
      <c r="N679" t="n">
        <v>0</v>
      </c>
      <c r="O679" t="n">
        <v>0</v>
      </c>
      <c r="P679" t="n">
        <v>0</v>
      </c>
      <c r="Q679" t="n">
        <v>0</v>
      </c>
      <c r="R679" s="2" t="inlineStr"/>
    </row>
    <row r="680" ht="15" customHeight="1">
      <c r="A680" t="inlineStr">
        <is>
          <t>A 30899-2025</t>
        </is>
      </c>
      <c r="B680" s="1" t="n">
        <v>45832.35767361111</v>
      </c>
      <c r="C680" s="1" t="n">
        <v>46017</v>
      </c>
      <c r="D680" t="inlineStr">
        <is>
          <t>VÄSTMANLANDS LÄN</t>
        </is>
      </c>
      <c r="E680" t="inlineStr">
        <is>
          <t>SALA</t>
        </is>
      </c>
      <c r="G680" t="n">
        <v>3.1</v>
      </c>
      <c r="H680" t="n">
        <v>0</v>
      </c>
      <c r="I680" t="n">
        <v>0</v>
      </c>
      <c r="J680" t="n">
        <v>0</v>
      </c>
      <c r="K680" t="n">
        <v>0</v>
      </c>
      <c r="L680" t="n">
        <v>0</v>
      </c>
      <c r="M680" t="n">
        <v>0</v>
      </c>
      <c r="N680" t="n">
        <v>0</v>
      </c>
      <c r="O680" t="n">
        <v>0</v>
      </c>
      <c r="P680" t="n">
        <v>0</v>
      </c>
      <c r="Q680" t="n">
        <v>0</v>
      </c>
      <c r="R680" s="2" t="inlineStr"/>
    </row>
    <row r="681" ht="15" customHeight="1">
      <c r="A681" t="inlineStr">
        <is>
          <t>A 30866-2025</t>
        </is>
      </c>
      <c r="B681" s="1" t="n">
        <v>45832.3246875</v>
      </c>
      <c r="C681" s="1" t="n">
        <v>46017</v>
      </c>
      <c r="D681" t="inlineStr">
        <is>
          <t>VÄSTMANLANDS LÄN</t>
        </is>
      </c>
      <c r="E681" t="inlineStr">
        <is>
          <t>SALA</t>
        </is>
      </c>
      <c r="G681" t="n">
        <v>14.3</v>
      </c>
      <c r="H681" t="n">
        <v>0</v>
      </c>
      <c r="I681" t="n">
        <v>0</v>
      </c>
      <c r="J681" t="n">
        <v>0</v>
      </c>
      <c r="K681" t="n">
        <v>0</v>
      </c>
      <c r="L681" t="n">
        <v>0</v>
      </c>
      <c r="M681" t="n">
        <v>0</v>
      </c>
      <c r="N681" t="n">
        <v>0</v>
      </c>
      <c r="O681" t="n">
        <v>0</v>
      </c>
      <c r="P681" t="n">
        <v>0</v>
      </c>
      <c r="Q681" t="n">
        <v>0</v>
      </c>
      <c r="R681" s="2" t="inlineStr"/>
    </row>
    <row r="682" ht="15" customHeight="1">
      <c r="A682" t="inlineStr">
        <is>
          <t>A 31065-2025</t>
        </is>
      </c>
      <c r="B682" s="1" t="n">
        <v>45832.57571759259</v>
      </c>
      <c r="C682" s="1" t="n">
        <v>46017</v>
      </c>
      <c r="D682" t="inlineStr">
        <is>
          <t>VÄSTMANLANDS LÄN</t>
        </is>
      </c>
      <c r="E682" t="inlineStr">
        <is>
          <t>SALA</t>
        </is>
      </c>
      <c r="G682" t="n">
        <v>1.1</v>
      </c>
      <c r="H682" t="n">
        <v>0</v>
      </c>
      <c r="I682" t="n">
        <v>0</v>
      </c>
      <c r="J682" t="n">
        <v>0</v>
      </c>
      <c r="K682" t="n">
        <v>0</v>
      </c>
      <c r="L682" t="n">
        <v>0</v>
      </c>
      <c r="M682" t="n">
        <v>0</v>
      </c>
      <c r="N682" t="n">
        <v>0</v>
      </c>
      <c r="O682" t="n">
        <v>0</v>
      </c>
      <c r="P682" t="n">
        <v>0</v>
      </c>
      <c r="Q682" t="n">
        <v>0</v>
      </c>
      <c r="R682" s="2" t="inlineStr"/>
    </row>
    <row r="683" ht="15" customHeight="1">
      <c r="A683" t="inlineStr">
        <is>
          <t>A 31612-2025</t>
        </is>
      </c>
      <c r="B683" s="1" t="n">
        <v>45833.80056712963</v>
      </c>
      <c r="C683" s="1" t="n">
        <v>46017</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31748-2025</t>
        </is>
      </c>
      <c r="B684" s="1" t="n">
        <v>45834</v>
      </c>
      <c r="C684" s="1" t="n">
        <v>46017</v>
      </c>
      <c r="D684" t="inlineStr">
        <is>
          <t>VÄSTMANLANDS LÄN</t>
        </is>
      </c>
      <c r="E684" t="inlineStr">
        <is>
          <t>SALA</t>
        </is>
      </c>
      <c r="G684" t="n">
        <v>2</v>
      </c>
      <c r="H684" t="n">
        <v>0</v>
      </c>
      <c r="I684" t="n">
        <v>0</v>
      </c>
      <c r="J684" t="n">
        <v>0</v>
      </c>
      <c r="K684" t="n">
        <v>0</v>
      </c>
      <c r="L684" t="n">
        <v>0</v>
      </c>
      <c r="M684" t="n">
        <v>0</v>
      </c>
      <c r="N684" t="n">
        <v>0</v>
      </c>
      <c r="O684" t="n">
        <v>0</v>
      </c>
      <c r="P684" t="n">
        <v>0</v>
      </c>
      <c r="Q684" t="n">
        <v>0</v>
      </c>
      <c r="R684" s="2" t="inlineStr"/>
    </row>
    <row r="685" ht="15" customHeight="1">
      <c r="A685" t="inlineStr">
        <is>
          <t>A 31288-2025</t>
        </is>
      </c>
      <c r="B685" s="1" t="n">
        <v>45833</v>
      </c>
      <c r="C685" s="1" t="n">
        <v>46017</v>
      </c>
      <c r="D685" t="inlineStr">
        <is>
          <t>VÄSTMANLANDS LÄN</t>
        </is>
      </c>
      <c r="E685" t="inlineStr">
        <is>
          <t>SALA</t>
        </is>
      </c>
      <c r="G685" t="n">
        <v>3.1</v>
      </c>
      <c r="H685" t="n">
        <v>0</v>
      </c>
      <c r="I685" t="n">
        <v>0</v>
      </c>
      <c r="J685" t="n">
        <v>0</v>
      </c>
      <c r="K685" t="n">
        <v>0</v>
      </c>
      <c r="L685" t="n">
        <v>0</v>
      </c>
      <c r="M685" t="n">
        <v>0</v>
      </c>
      <c r="N685" t="n">
        <v>0</v>
      </c>
      <c r="O685" t="n">
        <v>0</v>
      </c>
      <c r="P685" t="n">
        <v>0</v>
      </c>
      <c r="Q685" t="n">
        <v>0</v>
      </c>
      <c r="R685" s="2" t="inlineStr"/>
    </row>
    <row r="686" ht="15" customHeight="1">
      <c r="A686" t="inlineStr">
        <is>
          <t>A 31771-2025</t>
        </is>
      </c>
      <c r="B686" s="1" t="n">
        <v>45834.50910879629</v>
      </c>
      <c r="C686" s="1" t="n">
        <v>46017</v>
      </c>
      <c r="D686" t="inlineStr">
        <is>
          <t>VÄSTMANLANDS LÄN</t>
        </is>
      </c>
      <c r="E686" t="inlineStr">
        <is>
          <t>SALA</t>
        </is>
      </c>
      <c r="G686" t="n">
        <v>5.1</v>
      </c>
      <c r="H686" t="n">
        <v>0</v>
      </c>
      <c r="I686" t="n">
        <v>0</v>
      </c>
      <c r="J686" t="n">
        <v>0</v>
      </c>
      <c r="K686" t="n">
        <v>0</v>
      </c>
      <c r="L686" t="n">
        <v>0</v>
      </c>
      <c r="M686" t="n">
        <v>0</v>
      </c>
      <c r="N686" t="n">
        <v>0</v>
      </c>
      <c r="O686" t="n">
        <v>0</v>
      </c>
      <c r="P686" t="n">
        <v>0</v>
      </c>
      <c r="Q686" t="n">
        <v>0</v>
      </c>
      <c r="R686" s="2" t="inlineStr"/>
    </row>
    <row r="687" ht="15" customHeight="1">
      <c r="A687" t="inlineStr">
        <is>
          <t>A 31554-2025</t>
        </is>
      </c>
      <c r="B687" s="1" t="n">
        <v>45833</v>
      </c>
      <c r="C687" s="1" t="n">
        <v>46017</v>
      </c>
      <c r="D687" t="inlineStr">
        <is>
          <t>VÄSTMANLANDS LÄN</t>
        </is>
      </c>
      <c r="E687" t="inlineStr">
        <is>
          <t>SALA</t>
        </is>
      </c>
      <c r="G687" t="n">
        <v>1.5</v>
      </c>
      <c r="H687" t="n">
        <v>0</v>
      </c>
      <c r="I687" t="n">
        <v>0</v>
      </c>
      <c r="J687" t="n">
        <v>0</v>
      </c>
      <c r="K687" t="n">
        <v>0</v>
      </c>
      <c r="L687" t="n">
        <v>0</v>
      </c>
      <c r="M687" t="n">
        <v>0</v>
      </c>
      <c r="N687" t="n">
        <v>0</v>
      </c>
      <c r="O687" t="n">
        <v>0</v>
      </c>
      <c r="P687" t="n">
        <v>0</v>
      </c>
      <c r="Q687" t="n">
        <v>0</v>
      </c>
      <c r="R687" s="2" t="inlineStr"/>
    </row>
    <row r="688" ht="15" customHeight="1">
      <c r="A688" t="inlineStr">
        <is>
          <t>A 31762-2025</t>
        </is>
      </c>
      <c r="B688" s="1" t="n">
        <v>45834.49288194445</v>
      </c>
      <c r="C688" s="1" t="n">
        <v>46017</v>
      </c>
      <c r="D688" t="inlineStr">
        <is>
          <t>VÄSTMANLANDS LÄN</t>
        </is>
      </c>
      <c r="E688" t="inlineStr">
        <is>
          <t>SALA</t>
        </is>
      </c>
      <c r="G688" t="n">
        <v>5.9</v>
      </c>
      <c r="H688" t="n">
        <v>0</v>
      </c>
      <c r="I688" t="n">
        <v>0</v>
      </c>
      <c r="J688" t="n">
        <v>0</v>
      </c>
      <c r="K688" t="n">
        <v>0</v>
      </c>
      <c r="L688" t="n">
        <v>0</v>
      </c>
      <c r="M688" t="n">
        <v>0</v>
      </c>
      <c r="N688" t="n">
        <v>0</v>
      </c>
      <c r="O688" t="n">
        <v>0</v>
      </c>
      <c r="P688" t="n">
        <v>0</v>
      </c>
      <c r="Q688" t="n">
        <v>0</v>
      </c>
      <c r="R688" s="2" t="inlineStr"/>
    </row>
    <row r="689" ht="15" customHeight="1">
      <c r="A689" t="inlineStr">
        <is>
          <t>A 31608-2025</t>
        </is>
      </c>
      <c r="B689" s="1" t="n">
        <v>45833</v>
      </c>
      <c r="C689" s="1" t="n">
        <v>46017</v>
      </c>
      <c r="D689" t="inlineStr">
        <is>
          <t>VÄSTMANLANDS LÄN</t>
        </is>
      </c>
      <c r="E689" t="inlineStr">
        <is>
          <t>SALA</t>
        </is>
      </c>
      <c r="G689" t="n">
        <v>6.1</v>
      </c>
      <c r="H689" t="n">
        <v>0</v>
      </c>
      <c r="I689" t="n">
        <v>0</v>
      </c>
      <c r="J689" t="n">
        <v>0</v>
      </c>
      <c r="K689" t="n">
        <v>0</v>
      </c>
      <c r="L689" t="n">
        <v>0</v>
      </c>
      <c r="M689" t="n">
        <v>0</v>
      </c>
      <c r="N689" t="n">
        <v>0</v>
      </c>
      <c r="O689" t="n">
        <v>0</v>
      </c>
      <c r="P689" t="n">
        <v>0</v>
      </c>
      <c r="Q689" t="n">
        <v>0</v>
      </c>
      <c r="R689" s="2" t="inlineStr"/>
    </row>
    <row r="690" ht="15" customHeight="1">
      <c r="A690" t="inlineStr">
        <is>
          <t>A 31610-2025</t>
        </is>
      </c>
      <c r="B690" s="1" t="n">
        <v>45833.78650462963</v>
      </c>
      <c r="C690" s="1" t="n">
        <v>46017</v>
      </c>
      <c r="D690" t="inlineStr">
        <is>
          <t>VÄSTMANLANDS LÄN</t>
        </is>
      </c>
      <c r="E690" t="inlineStr">
        <is>
          <t>SALA</t>
        </is>
      </c>
      <c r="G690" t="n">
        <v>8</v>
      </c>
      <c r="H690" t="n">
        <v>0</v>
      </c>
      <c r="I690" t="n">
        <v>0</v>
      </c>
      <c r="J690" t="n">
        <v>0</v>
      </c>
      <c r="K690" t="n">
        <v>0</v>
      </c>
      <c r="L690" t="n">
        <v>0</v>
      </c>
      <c r="M690" t="n">
        <v>0</v>
      </c>
      <c r="N690" t="n">
        <v>0</v>
      </c>
      <c r="O690" t="n">
        <v>0</v>
      </c>
      <c r="P690" t="n">
        <v>0</v>
      </c>
      <c r="Q690" t="n">
        <v>0</v>
      </c>
      <c r="R690" s="2" t="inlineStr"/>
    </row>
    <row r="691" ht="15" customHeight="1">
      <c r="A691" t="inlineStr">
        <is>
          <t>A 31296-2025</t>
        </is>
      </c>
      <c r="B691" s="1" t="n">
        <v>45833.36765046296</v>
      </c>
      <c r="C691" s="1" t="n">
        <v>46017</v>
      </c>
      <c r="D691" t="inlineStr">
        <is>
          <t>VÄSTMANLANDS LÄN</t>
        </is>
      </c>
      <c r="E691" t="inlineStr">
        <is>
          <t>SALA</t>
        </is>
      </c>
      <c r="G691" t="n">
        <v>3.7</v>
      </c>
      <c r="H691" t="n">
        <v>0</v>
      </c>
      <c r="I691" t="n">
        <v>0</v>
      </c>
      <c r="J691" t="n">
        <v>0</v>
      </c>
      <c r="K691" t="n">
        <v>0</v>
      </c>
      <c r="L691" t="n">
        <v>0</v>
      </c>
      <c r="M691" t="n">
        <v>0</v>
      </c>
      <c r="N691" t="n">
        <v>0</v>
      </c>
      <c r="O691" t="n">
        <v>0</v>
      </c>
      <c r="P691" t="n">
        <v>0</v>
      </c>
      <c r="Q691" t="n">
        <v>0</v>
      </c>
      <c r="R691" s="2" t="inlineStr"/>
    </row>
    <row r="692" ht="15" customHeight="1">
      <c r="A692" t="inlineStr">
        <is>
          <t>A 31573-2025</t>
        </is>
      </c>
      <c r="B692" s="1" t="n">
        <v>45833</v>
      </c>
      <c r="C692" s="1" t="n">
        <v>46017</v>
      </c>
      <c r="D692" t="inlineStr">
        <is>
          <t>VÄSTMANLANDS LÄN</t>
        </is>
      </c>
      <c r="E692" t="inlineStr">
        <is>
          <t>SALA</t>
        </is>
      </c>
      <c r="G692" t="n">
        <v>0.6</v>
      </c>
      <c r="H692" t="n">
        <v>0</v>
      </c>
      <c r="I692" t="n">
        <v>0</v>
      </c>
      <c r="J692" t="n">
        <v>0</v>
      </c>
      <c r="K692" t="n">
        <v>0</v>
      </c>
      <c r="L692" t="n">
        <v>0</v>
      </c>
      <c r="M692" t="n">
        <v>0</v>
      </c>
      <c r="N692" t="n">
        <v>0</v>
      </c>
      <c r="O692" t="n">
        <v>0</v>
      </c>
      <c r="P692" t="n">
        <v>0</v>
      </c>
      <c r="Q692" t="n">
        <v>0</v>
      </c>
      <c r="R692" s="2" t="inlineStr"/>
    </row>
    <row r="693" ht="15" customHeight="1">
      <c r="A693" t="inlineStr">
        <is>
          <t>A 32201-2025</t>
        </is>
      </c>
      <c r="B693" s="1" t="n">
        <v>45835</v>
      </c>
      <c r="C693" s="1" t="n">
        <v>46017</v>
      </c>
      <c r="D693" t="inlineStr">
        <is>
          <t>VÄSTMANLANDS LÄN</t>
        </is>
      </c>
      <c r="E693" t="inlineStr">
        <is>
          <t>SALA</t>
        </is>
      </c>
      <c r="F693" t="inlineStr">
        <is>
          <t>Bergvik skog öst AB</t>
        </is>
      </c>
      <c r="G693" t="n">
        <v>1.8</v>
      </c>
      <c r="H693" t="n">
        <v>0</v>
      </c>
      <c r="I693" t="n">
        <v>0</v>
      </c>
      <c r="J693" t="n">
        <v>0</v>
      </c>
      <c r="K693" t="n">
        <v>0</v>
      </c>
      <c r="L693" t="n">
        <v>0</v>
      </c>
      <c r="M693" t="n">
        <v>0</v>
      </c>
      <c r="N693" t="n">
        <v>0</v>
      </c>
      <c r="O693" t="n">
        <v>0</v>
      </c>
      <c r="P693" t="n">
        <v>0</v>
      </c>
      <c r="Q693" t="n">
        <v>0</v>
      </c>
      <c r="R693" s="2" t="inlineStr"/>
    </row>
    <row r="694" ht="15" customHeight="1">
      <c r="A694" t="inlineStr">
        <is>
          <t>A 32205-2025</t>
        </is>
      </c>
      <c r="B694" s="1" t="n">
        <v>45835</v>
      </c>
      <c r="C694" s="1" t="n">
        <v>46017</v>
      </c>
      <c r="D694" t="inlineStr">
        <is>
          <t>VÄSTMANLANDS LÄN</t>
        </is>
      </c>
      <c r="E694" t="inlineStr">
        <is>
          <t>SALA</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32210-2025</t>
        </is>
      </c>
      <c r="B695" s="1" t="n">
        <v>45835</v>
      </c>
      <c r="C695" s="1" t="n">
        <v>46017</v>
      </c>
      <c r="D695" t="inlineStr">
        <is>
          <t>VÄSTMANLANDS LÄN</t>
        </is>
      </c>
      <c r="E695" t="inlineStr">
        <is>
          <t>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32286-2025</t>
        </is>
      </c>
      <c r="B696" s="1" t="n">
        <v>45835</v>
      </c>
      <c r="C696" s="1" t="n">
        <v>46017</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32207-2025</t>
        </is>
      </c>
      <c r="B697" s="1" t="n">
        <v>45835</v>
      </c>
      <c r="C697" s="1" t="n">
        <v>46017</v>
      </c>
      <c r="D697" t="inlineStr">
        <is>
          <t>VÄSTMANLANDS LÄN</t>
        </is>
      </c>
      <c r="E697" t="inlineStr">
        <is>
          <t>SALA</t>
        </is>
      </c>
      <c r="F697" t="inlineStr">
        <is>
          <t>Bergvik skog öst AB</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32902-2025</t>
        </is>
      </c>
      <c r="B698" s="1" t="n">
        <v>45839</v>
      </c>
      <c r="C698" s="1" t="n">
        <v>46017</v>
      </c>
      <c r="D698" t="inlineStr">
        <is>
          <t>VÄSTMANLANDS LÄN</t>
        </is>
      </c>
      <c r="E698" t="inlineStr">
        <is>
          <t>SALA</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34069-2025</t>
        </is>
      </c>
      <c r="B699" s="1" t="n">
        <v>45845.43560185185</v>
      </c>
      <c r="C699" s="1" t="n">
        <v>46017</v>
      </c>
      <c r="D699" t="inlineStr">
        <is>
          <t>VÄSTMANLANDS LÄN</t>
        </is>
      </c>
      <c r="E699" t="inlineStr">
        <is>
          <t>SALA</t>
        </is>
      </c>
      <c r="G699" t="n">
        <v>0.5</v>
      </c>
      <c r="H699" t="n">
        <v>0</v>
      </c>
      <c r="I699" t="n">
        <v>0</v>
      </c>
      <c r="J699" t="n">
        <v>0</v>
      </c>
      <c r="K699" t="n">
        <v>0</v>
      </c>
      <c r="L699" t="n">
        <v>0</v>
      </c>
      <c r="M699" t="n">
        <v>0</v>
      </c>
      <c r="N699" t="n">
        <v>0</v>
      </c>
      <c r="O699" t="n">
        <v>0</v>
      </c>
      <c r="P699" t="n">
        <v>0</v>
      </c>
      <c r="Q699" t="n">
        <v>0</v>
      </c>
      <c r="R699" s="2" t="inlineStr"/>
      <c r="U699">
        <f>HYPERLINK("https://klasma.github.io/Logging_1981/knärot/A 34069-2025 karta knärot.png", "A 34069-2025")</f>
        <v/>
      </c>
      <c r="V699">
        <f>HYPERLINK("https://klasma.github.io/Logging_1981/klagomål/A 34069-2025 FSC-klagomål.docx", "A 34069-2025")</f>
        <v/>
      </c>
      <c r="W699">
        <f>HYPERLINK("https://klasma.github.io/Logging_1981/klagomålsmail/A 34069-2025 FSC-klagomål mail.docx", "A 34069-2025")</f>
        <v/>
      </c>
      <c r="X699">
        <f>HYPERLINK("https://klasma.github.io/Logging_1981/tillsyn/A 34069-2025 tillsynsbegäran.docx", "A 34069-2025")</f>
        <v/>
      </c>
      <c r="Y699">
        <f>HYPERLINK("https://klasma.github.io/Logging_1981/tillsynsmail/A 34069-2025 tillsynsbegäran mail.docx", "A 34069-2025")</f>
        <v/>
      </c>
    </row>
    <row r="700" ht="15" customHeight="1">
      <c r="A700" t="inlineStr">
        <is>
          <t>A 15744-2025</t>
        </is>
      </c>
      <c r="B700" s="1" t="n">
        <v>45748</v>
      </c>
      <c r="C700" s="1" t="n">
        <v>46017</v>
      </c>
      <c r="D700" t="inlineStr">
        <is>
          <t>VÄSTMANLANDS LÄN</t>
        </is>
      </c>
      <c r="E700" t="inlineStr">
        <is>
          <t>SALA</t>
        </is>
      </c>
      <c r="G700" t="n">
        <v>1.6</v>
      </c>
      <c r="H700" t="n">
        <v>0</v>
      </c>
      <c r="I700" t="n">
        <v>0</v>
      </c>
      <c r="J700" t="n">
        <v>0</v>
      </c>
      <c r="K700" t="n">
        <v>0</v>
      </c>
      <c r="L700" t="n">
        <v>0</v>
      </c>
      <c r="M700" t="n">
        <v>0</v>
      </c>
      <c r="N700" t="n">
        <v>0</v>
      </c>
      <c r="O700" t="n">
        <v>0</v>
      </c>
      <c r="P700" t="n">
        <v>0</v>
      </c>
      <c r="Q700" t="n">
        <v>0</v>
      </c>
      <c r="R700" s="2" t="inlineStr"/>
    </row>
    <row r="701" ht="15" customHeight="1">
      <c r="A701" t="inlineStr">
        <is>
          <t>A 35715-2025</t>
        </is>
      </c>
      <c r="B701" s="1" t="n">
        <v>45860.42148148148</v>
      </c>
      <c r="C701" s="1" t="n">
        <v>46017</v>
      </c>
      <c r="D701" t="inlineStr">
        <is>
          <t>VÄSTMANLANDS LÄN</t>
        </is>
      </c>
      <c r="E701" t="inlineStr">
        <is>
          <t>SALA</t>
        </is>
      </c>
      <c r="G701" t="n">
        <v>3.8</v>
      </c>
      <c r="H701" t="n">
        <v>0</v>
      </c>
      <c r="I701" t="n">
        <v>0</v>
      </c>
      <c r="J701" t="n">
        <v>0</v>
      </c>
      <c r="K701" t="n">
        <v>0</v>
      </c>
      <c r="L701" t="n">
        <v>0</v>
      </c>
      <c r="M701" t="n">
        <v>0</v>
      </c>
      <c r="N701" t="n">
        <v>0</v>
      </c>
      <c r="O701" t="n">
        <v>0</v>
      </c>
      <c r="P701" t="n">
        <v>0</v>
      </c>
      <c r="Q701" t="n">
        <v>0</v>
      </c>
      <c r="R701" s="2" t="inlineStr"/>
    </row>
    <row r="702" ht="15" customHeight="1">
      <c r="A702" t="inlineStr">
        <is>
          <t>A 35651-2025</t>
        </is>
      </c>
      <c r="B702" s="1" t="n">
        <v>45859.52435185185</v>
      </c>
      <c r="C702" s="1" t="n">
        <v>46017</v>
      </c>
      <c r="D702" t="inlineStr">
        <is>
          <t>VÄSTMANLANDS LÄN</t>
        </is>
      </c>
      <c r="E702" t="inlineStr">
        <is>
          <t>SALA</t>
        </is>
      </c>
      <c r="G702" t="n">
        <v>6.3</v>
      </c>
      <c r="H702" t="n">
        <v>0</v>
      </c>
      <c r="I702" t="n">
        <v>0</v>
      </c>
      <c r="J702" t="n">
        <v>0</v>
      </c>
      <c r="K702" t="n">
        <v>0</v>
      </c>
      <c r="L702" t="n">
        <v>0</v>
      </c>
      <c r="M702" t="n">
        <v>0</v>
      </c>
      <c r="N702" t="n">
        <v>0</v>
      </c>
      <c r="O702" t="n">
        <v>0</v>
      </c>
      <c r="P702" t="n">
        <v>0</v>
      </c>
      <c r="Q702" t="n">
        <v>0</v>
      </c>
      <c r="R702" s="2" t="inlineStr"/>
    </row>
    <row r="703" ht="15" customHeight="1">
      <c r="A703" t="inlineStr">
        <is>
          <t>A 35775-2025</t>
        </is>
      </c>
      <c r="B703" s="1" t="n">
        <v>45860</v>
      </c>
      <c r="C703" s="1" t="n">
        <v>46017</v>
      </c>
      <c r="D703" t="inlineStr">
        <is>
          <t>VÄSTMANLANDS LÄN</t>
        </is>
      </c>
      <c r="E703" t="inlineStr">
        <is>
          <t>SALA</t>
        </is>
      </c>
      <c r="G703" t="n">
        <v>2.6</v>
      </c>
      <c r="H703" t="n">
        <v>0</v>
      </c>
      <c r="I703" t="n">
        <v>0</v>
      </c>
      <c r="J703" t="n">
        <v>0</v>
      </c>
      <c r="K703" t="n">
        <v>0</v>
      </c>
      <c r="L703" t="n">
        <v>0</v>
      </c>
      <c r="M703" t="n">
        <v>0</v>
      </c>
      <c r="N703" t="n">
        <v>0</v>
      </c>
      <c r="O703" t="n">
        <v>0</v>
      </c>
      <c r="P703" t="n">
        <v>0</v>
      </c>
      <c r="Q703" t="n">
        <v>0</v>
      </c>
      <c r="R703" s="2" t="inlineStr"/>
    </row>
    <row r="704" ht="15" customHeight="1">
      <c r="A704" t="inlineStr">
        <is>
          <t>A 35774-2025</t>
        </is>
      </c>
      <c r="B704" s="1" t="n">
        <v>45860.68780092592</v>
      </c>
      <c r="C704" s="1" t="n">
        <v>46017</v>
      </c>
      <c r="D704" t="inlineStr">
        <is>
          <t>VÄSTMANLANDS LÄN</t>
        </is>
      </c>
      <c r="E704" t="inlineStr">
        <is>
          <t>SALA</t>
        </is>
      </c>
      <c r="G704" t="n">
        <v>6.5</v>
      </c>
      <c r="H704" t="n">
        <v>0</v>
      </c>
      <c r="I704" t="n">
        <v>0</v>
      </c>
      <c r="J704" t="n">
        <v>0</v>
      </c>
      <c r="K704" t="n">
        <v>0</v>
      </c>
      <c r="L704" t="n">
        <v>0</v>
      </c>
      <c r="M704" t="n">
        <v>0</v>
      </c>
      <c r="N704" t="n">
        <v>0</v>
      </c>
      <c r="O704" t="n">
        <v>0</v>
      </c>
      <c r="P704" t="n">
        <v>0</v>
      </c>
      <c r="Q704" t="n">
        <v>0</v>
      </c>
      <c r="R704" s="2" t="inlineStr"/>
    </row>
    <row r="705" ht="15" customHeight="1">
      <c r="A705" t="inlineStr">
        <is>
          <t>A 35776-2025</t>
        </is>
      </c>
      <c r="B705" s="1" t="n">
        <v>45860.69211805556</v>
      </c>
      <c r="C705" s="1" t="n">
        <v>46017</v>
      </c>
      <c r="D705" t="inlineStr">
        <is>
          <t>VÄSTMANLANDS LÄN</t>
        </is>
      </c>
      <c r="E705" t="inlineStr">
        <is>
          <t>SALA</t>
        </is>
      </c>
      <c r="G705" t="n">
        <v>14.2</v>
      </c>
      <c r="H705" t="n">
        <v>0</v>
      </c>
      <c r="I705" t="n">
        <v>0</v>
      </c>
      <c r="J705" t="n">
        <v>0</v>
      </c>
      <c r="K705" t="n">
        <v>0</v>
      </c>
      <c r="L705" t="n">
        <v>0</v>
      </c>
      <c r="M705" t="n">
        <v>0</v>
      </c>
      <c r="N705" t="n">
        <v>0</v>
      </c>
      <c r="O705" t="n">
        <v>0</v>
      </c>
      <c r="P705" t="n">
        <v>0</v>
      </c>
      <c r="Q705" t="n">
        <v>0</v>
      </c>
      <c r="R705" s="2" t="inlineStr"/>
    </row>
    <row r="706" ht="15" customHeight="1">
      <c r="A706" t="inlineStr">
        <is>
          <t>A 35779-2025</t>
        </is>
      </c>
      <c r="B706" s="1" t="n">
        <v>45860.69495370371</v>
      </c>
      <c r="C706" s="1" t="n">
        <v>46017</v>
      </c>
      <c r="D706" t="inlineStr">
        <is>
          <t>VÄSTMANLANDS LÄN</t>
        </is>
      </c>
      <c r="E706" t="inlineStr">
        <is>
          <t>SALA</t>
        </is>
      </c>
      <c r="G706" t="n">
        <v>2.4</v>
      </c>
      <c r="H706" t="n">
        <v>0</v>
      </c>
      <c r="I706" t="n">
        <v>0</v>
      </c>
      <c r="J706" t="n">
        <v>0</v>
      </c>
      <c r="K706" t="n">
        <v>0</v>
      </c>
      <c r="L706" t="n">
        <v>0</v>
      </c>
      <c r="M706" t="n">
        <v>0</v>
      </c>
      <c r="N706" t="n">
        <v>0</v>
      </c>
      <c r="O706" t="n">
        <v>0</v>
      </c>
      <c r="P706" t="n">
        <v>0</v>
      </c>
      <c r="Q706" t="n">
        <v>0</v>
      </c>
      <c r="R706" s="2" t="inlineStr"/>
    </row>
    <row r="707" ht="15" customHeight="1">
      <c r="A707" t="inlineStr">
        <is>
          <t>A 36049-2025</t>
        </is>
      </c>
      <c r="B707" s="1" t="n">
        <v>45866.37065972222</v>
      </c>
      <c r="C707" s="1" t="n">
        <v>46017</v>
      </c>
      <c r="D707" t="inlineStr">
        <is>
          <t>VÄSTMANLANDS LÄN</t>
        </is>
      </c>
      <c r="E707" t="inlineStr">
        <is>
          <t>SALA</t>
        </is>
      </c>
      <c r="F707" t="inlineStr">
        <is>
          <t>Kommuner</t>
        </is>
      </c>
      <c r="G707" t="n">
        <v>1.9</v>
      </c>
      <c r="H707" t="n">
        <v>0</v>
      </c>
      <c r="I707" t="n">
        <v>0</v>
      </c>
      <c r="J707" t="n">
        <v>0</v>
      </c>
      <c r="K707" t="n">
        <v>0</v>
      </c>
      <c r="L707" t="n">
        <v>0</v>
      </c>
      <c r="M707" t="n">
        <v>0</v>
      </c>
      <c r="N707" t="n">
        <v>0</v>
      </c>
      <c r="O707" t="n">
        <v>0</v>
      </c>
      <c r="P707" t="n">
        <v>0</v>
      </c>
      <c r="Q707" t="n">
        <v>0</v>
      </c>
      <c r="R707" s="2" t="inlineStr"/>
    </row>
    <row r="708" ht="15" customHeight="1">
      <c r="A708" t="inlineStr">
        <is>
          <t>A 36031-2025</t>
        </is>
      </c>
      <c r="B708" s="1" t="n">
        <v>45865.46111111111</v>
      </c>
      <c r="C708" s="1" t="n">
        <v>46017</v>
      </c>
      <c r="D708" t="inlineStr">
        <is>
          <t>VÄSTMANLANDS LÄN</t>
        </is>
      </c>
      <c r="E708" t="inlineStr">
        <is>
          <t>SALA</t>
        </is>
      </c>
      <c r="G708" t="n">
        <v>7.2</v>
      </c>
      <c r="H708" t="n">
        <v>0</v>
      </c>
      <c r="I708" t="n">
        <v>0</v>
      </c>
      <c r="J708" t="n">
        <v>0</v>
      </c>
      <c r="K708" t="n">
        <v>0</v>
      </c>
      <c r="L708" t="n">
        <v>0</v>
      </c>
      <c r="M708" t="n">
        <v>0</v>
      </c>
      <c r="N708" t="n">
        <v>0</v>
      </c>
      <c r="O708" t="n">
        <v>0</v>
      </c>
      <c r="P708" t="n">
        <v>0</v>
      </c>
      <c r="Q708" t="n">
        <v>0</v>
      </c>
      <c r="R708" s="2" t="inlineStr"/>
    </row>
    <row r="709" ht="15" customHeight="1">
      <c r="A709" t="inlineStr">
        <is>
          <t>A 36060-2025</t>
        </is>
      </c>
      <c r="B709" s="1" t="n">
        <v>45866.39469907407</v>
      </c>
      <c r="C709" s="1" t="n">
        <v>46017</v>
      </c>
      <c r="D709" t="inlineStr">
        <is>
          <t>VÄSTMANLANDS LÄN</t>
        </is>
      </c>
      <c r="E709" t="inlineStr">
        <is>
          <t>SALA</t>
        </is>
      </c>
      <c r="F709" t="inlineStr">
        <is>
          <t>Kommuner</t>
        </is>
      </c>
      <c r="G709" t="n">
        <v>4.3</v>
      </c>
      <c r="H709" t="n">
        <v>0</v>
      </c>
      <c r="I709" t="n">
        <v>0</v>
      </c>
      <c r="J709" t="n">
        <v>0</v>
      </c>
      <c r="K709" t="n">
        <v>0</v>
      </c>
      <c r="L709" t="n">
        <v>0</v>
      </c>
      <c r="M709" t="n">
        <v>0</v>
      </c>
      <c r="N709" t="n">
        <v>0</v>
      </c>
      <c r="O709" t="n">
        <v>0</v>
      </c>
      <c r="P709" t="n">
        <v>0</v>
      </c>
      <c r="Q709" t="n">
        <v>0</v>
      </c>
      <c r="R709" s="2" t="inlineStr"/>
    </row>
    <row r="710" ht="15" customHeight="1">
      <c r="A710" t="inlineStr">
        <is>
          <t>A 36032-2025</t>
        </is>
      </c>
      <c r="B710" s="1" t="n">
        <v>45865.48740740741</v>
      </c>
      <c r="C710" s="1" t="n">
        <v>46017</v>
      </c>
      <c r="D710" t="inlineStr">
        <is>
          <t>VÄSTMANLANDS LÄN</t>
        </is>
      </c>
      <c r="E710" t="inlineStr">
        <is>
          <t>SALA</t>
        </is>
      </c>
      <c r="G710" t="n">
        <v>0.7</v>
      </c>
      <c r="H710" t="n">
        <v>0</v>
      </c>
      <c r="I710" t="n">
        <v>0</v>
      </c>
      <c r="J710" t="n">
        <v>0</v>
      </c>
      <c r="K710" t="n">
        <v>0</v>
      </c>
      <c r="L710" t="n">
        <v>0</v>
      </c>
      <c r="M710" t="n">
        <v>0</v>
      </c>
      <c r="N710" t="n">
        <v>0</v>
      </c>
      <c r="O710" t="n">
        <v>0</v>
      </c>
      <c r="P710" t="n">
        <v>0</v>
      </c>
      <c r="Q710" t="n">
        <v>0</v>
      </c>
      <c r="R710" s="2" t="inlineStr"/>
    </row>
    <row r="711" ht="15" customHeight="1">
      <c r="A711" t="inlineStr">
        <is>
          <t>A 36043-2025</t>
        </is>
      </c>
      <c r="B711" s="1" t="n">
        <v>45866.35333333333</v>
      </c>
      <c r="C711" s="1" t="n">
        <v>46017</v>
      </c>
      <c r="D711" t="inlineStr">
        <is>
          <t>VÄSTMANLANDS LÄN</t>
        </is>
      </c>
      <c r="E711" t="inlineStr">
        <is>
          <t>SALA</t>
        </is>
      </c>
      <c r="F711" t="inlineStr">
        <is>
          <t>Kommuner</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36045-2025</t>
        </is>
      </c>
      <c r="B712" s="1" t="n">
        <v>45866.36200231482</v>
      </c>
      <c r="C712" s="1" t="n">
        <v>46017</v>
      </c>
      <c r="D712" t="inlineStr">
        <is>
          <t>VÄSTMANLANDS LÄN</t>
        </is>
      </c>
      <c r="E712" t="inlineStr">
        <is>
          <t>SALA</t>
        </is>
      </c>
      <c r="F712" t="inlineStr">
        <is>
          <t>Kommuner</t>
        </is>
      </c>
      <c r="G712" t="n">
        <v>1.7</v>
      </c>
      <c r="H712" t="n">
        <v>0</v>
      </c>
      <c r="I712" t="n">
        <v>0</v>
      </c>
      <c r="J712" t="n">
        <v>0</v>
      </c>
      <c r="K712" t="n">
        <v>0</v>
      </c>
      <c r="L712" t="n">
        <v>0</v>
      </c>
      <c r="M712" t="n">
        <v>0</v>
      </c>
      <c r="N712" t="n">
        <v>0</v>
      </c>
      <c r="O712" t="n">
        <v>0</v>
      </c>
      <c r="P712" t="n">
        <v>0</v>
      </c>
      <c r="Q712" t="n">
        <v>0</v>
      </c>
      <c r="R712" s="2" t="inlineStr"/>
    </row>
    <row r="713" ht="15" customHeight="1">
      <c r="A713" t="inlineStr">
        <is>
          <t>A 17985-2025</t>
        </is>
      </c>
      <c r="B713" s="1" t="n">
        <v>45761</v>
      </c>
      <c r="C713" s="1" t="n">
        <v>46017</v>
      </c>
      <c r="D713" t="inlineStr">
        <is>
          <t>VÄSTMANLANDS LÄN</t>
        </is>
      </c>
      <c r="E713" t="inlineStr">
        <is>
          <t>SALA</t>
        </is>
      </c>
      <c r="G713" t="n">
        <v>12.5</v>
      </c>
      <c r="H713" t="n">
        <v>0</v>
      </c>
      <c r="I713" t="n">
        <v>0</v>
      </c>
      <c r="J713" t="n">
        <v>0</v>
      </c>
      <c r="K713" t="n">
        <v>0</v>
      </c>
      <c r="L713" t="n">
        <v>0</v>
      </c>
      <c r="M713" t="n">
        <v>0</v>
      </c>
      <c r="N713" t="n">
        <v>0</v>
      </c>
      <c r="O713" t="n">
        <v>0</v>
      </c>
      <c r="P713" t="n">
        <v>0</v>
      </c>
      <c r="Q713" t="n">
        <v>0</v>
      </c>
      <c r="R713" s="2" t="inlineStr"/>
    </row>
    <row r="714" ht="15" customHeight="1">
      <c r="A714" t="inlineStr">
        <is>
          <t>A 31869-2025</t>
        </is>
      </c>
      <c r="B714" s="1" t="n">
        <v>45834.64555555556</v>
      </c>
      <c r="C714" s="1" t="n">
        <v>46017</v>
      </c>
      <c r="D714" t="inlineStr">
        <is>
          <t>VÄSTMANLANDS LÄN</t>
        </is>
      </c>
      <c r="E714" t="inlineStr">
        <is>
          <t>SALA</t>
        </is>
      </c>
      <c r="G714" t="n">
        <v>17.5</v>
      </c>
      <c r="H714" t="n">
        <v>0</v>
      </c>
      <c r="I714" t="n">
        <v>0</v>
      </c>
      <c r="J714" t="n">
        <v>0</v>
      </c>
      <c r="K714" t="n">
        <v>0</v>
      </c>
      <c r="L714" t="n">
        <v>0</v>
      </c>
      <c r="M714" t="n">
        <v>0</v>
      </c>
      <c r="N714" t="n">
        <v>0</v>
      </c>
      <c r="O714" t="n">
        <v>0</v>
      </c>
      <c r="P714" t="n">
        <v>0</v>
      </c>
      <c r="Q714" t="n">
        <v>0</v>
      </c>
      <c r="R714" s="2" t="inlineStr"/>
    </row>
    <row r="715" ht="15" customHeight="1">
      <c r="A715" t="inlineStr">
        <is>
          <t>A 31863-2025</t>
        </is>
      </c>
      <c r="B715" s="1" t="n">
        <v>45834.63303240741</v>
      </c>
      <c r="C715" s="1" t="n">
        <v>46017</v>
      </c>
      <c r="D715" t="inlineStr">
        <is>
          <t>VÄSTMANLANDS LÄN</t>
        </is>
      </c>
      <c r="E715" t="inlineStr">
        <is>
          <t>SALA</t>
        </is>
      </c>
      <c r="G715" t="n">
        <v>2.5</v>
      </c>
      <c r="H715" t="n">
        <v>0</v>
      </c>
      <c r="I715" t="n">
        <v>0</v>
      </c>
      <c r="J715" t="n">
        <v>0</v>
      </c>
      <c r="K715" t="n">
        <v>0</v>
      </c>
      <c r="L715" t="n">
        <v>0</v>
      </c>
      <c r="M715" t="n">
        <v>0</v>
      </c>
      <c r="N715" t="n">
        <v>0</v>
      </c>
      <c r="O715" t="n">
        <v>0</v>
      </c>
      <c r="P715" t="n">
        <v>0</v>
      </c>
      <c r="Q715" t="n">
        <v>0</v>
      </c>
      <c r="R715" s="2" t="inlineStr"/>
    </row>
    <row r="716" ht="15" customHeight="1">
      <c r="A716" t="inlineStr">
        <is>
          <t>A 17766-2025</t>
        </is>
      </c>
      <c r="B716" s="1" t="n">
        <v>45758</v>
      </c>
      <c r="C716" s="1" t="n">
        <v>46017</v>
      </c>
      <c r="D716" t="inlineStr">
        <is>
          <t>VÄSTMANLANDS LÄN</t>
        </is>
      </c>
      <c r="E716" t="inlineStr">
        <is>
          <t>SALA</t>
        </is>
      </c>
      <c r="G716" t="n">
        <v>16.5</v>
      </c>
      <c r="H716" t="n">
        <v>0</v>
      </c>
      <c r="I716" t="n">
        <v>0</v>
      </c>
      <c r="J716" t="n">
        <v>0</v>
      </c>
      <c r="K716" t="n">
        <v>0</v>
      </c>
      <c r="L716" t="n">
        <v>0</v>
      </c>
      <c r="M716" t="n">
        <v>0</v>
      </c>
      <c r="N716" t="n">
        <v>0</v>
      </c>
      <c r="O716" t="n">
        <v>0</v>
      </c>
      <c r="P716" t="n">
        <v>0</v>
      </c>
      <c r="Q716" t="n">
        <v>0</v>
      </c>
      <c r="R716" s="2" t="inlineStr"/>
    </row>
    <row r="717" ht="15" customHeight="1">
      <c r="A717" t="inlineStr">
        <is>
          <t>A 7664-2023</t>
        </is>
      </c>
      <c r="B717" s="1" t="n">
        <v>44972</v>
      </c>
      <c r="C717" s="1" t="n">
        <v>46017</v>
      </c>
      <c r="D717" t="inlineStr">
        <is>
          <t>VÄSTMANLANDS LÄN</t>
        </is>
      </c>
      <c r="E717" t="inlineStr">
        <is>
          <t>SALA</t>
        </is>
      </c>
      <c r="G717" t="n">
        <v>1.4</v>
      </c>
      <c r="H717" t="n">
        <v>0</v>
      </c>
      <c r="I717" t="n">
        <v>0</v>
      </c>
      <c r="J717" t="n">
        <v>0</v>
      </c>
      <c r="K717" t="n">
        <v>0</v>
      </c>
      <c r="L717" t="n">
        <v>0</v>
      </c>
      <c r="M717" t="n">
        <v>0</v>
      </c>
      <c r="N717" t="n">
        <v>0</v>
      </c>
      <c r="O717" t="n">
        <v>0</v>
      </c>
      <c r="P717" t="n">
        <v>0</v>
      </c>
      <c r="Q717" t="n">
        <v>0</v>
      </c>
      <c r="R717" s="2" t="inlineStr"/>
    </row>
    <row r="718" ht="15" customHeight="1">
      <c r="A718" t="inlineStr">
        <is>
          <t>A 3546-2025</t>
        </is>
      </c>
      <c r="B718" s="1" t="n">
        <v>45680</v>
      </c>
      <c r="C718" s="1" t="n">
        <v>46017</v>
      </c>
      <c r="D718" t="inlineStr">
        <is>
          <t>VÄSTMANLANDS LÄN</t>
        </is>
      </c>
      <c r="E718" t="inlineStr">
        <is>
          <t>SALA</t>
        </is>
      </c>
      <c r="G718" t="n">
        <v>0.4</v>
      </c>
      <c r="H718" t="n">
        <v>0</v>
      </c>
      <c r="I718" t="n">
        <v>0</v>
      </c>
      <c r="J718" t="n">
        <v>0</v>
      </c>
      <c r="K718" t="n">
        <v>0</v>
      </c>
      <c r="L718" t="n">
        <v>0</v>
      </c>
      <c r="M718" t="n">
        <v>0</v>
      </c>
      <c r="N718" t="n">
        <v>0</v>
      </c>
      <c r="O718" t="n">
        <v>0</v>
      </c>
      <c r="P718" t="n">
        <v>0</v>
      </c>
      <c r="Q718" t="n">
        <v>0</v>
      </c>
      <c r="R718" s="2" t="inlineStr"/>
    </row>
    <row r="719" ht="15" customHeight="1">
      <c r="A719" t="inlineStr">
        <is>
          <t>A 37017-2025</t>
        </is>
      </c>
      <c r="B719" s="1" t="n">
        <v>45874</v>
      </c>
      <c r="C719" s="1" t="n">
        <v>46017</v>
      </c>
      <c r="D719" t="inlineStr">
        <is>
          <t>VÄSTMANLANDS LÄN</t>
        </is>
      </c>
      <c r="E719" t="inlineStr">
        <is>
          <t>SALA</t>
        </is>
      </c>
      <c r="G719" t="n">
        <v>11.1</v>
      </c>
      <c r="H719" t="n">
        <v>0</v>
      </c>
      <c r="I719" t="n">
        <v>0</v>
      </c>
      <c r="J719" t="n">
        <v>0</v>
      </c>
      <c r="K719" t="n">
        <v>0</v>
      </c>
      <c r="L719" t="n">
        <v>0</v>
      </c>
      <c r="M719" t="n">
        <v>0</v>
      </c>
      <c r="N719" t="n">
        <v>0</v>
      </c>
      <c r="O719" t="n">
        <v>0</v>
      </c>
      <c r="P719" t="n">
        <v>0</v>
      </c>
      <c r="Q719" t="n">
        <v>0</v>
      </c>
      <c r="R719" s="2" t="inlineStr"/>
    </row>
    <row r="720" ht="15" customHeight="1">
      <c r="A720" t="inlineStr">
        <is>
          <t>A 37103-2025</t>
        </is>
      </c>
      <c r="B720" s="1" t="n">
        <v>45875.47743055555</v>
      </c>
      <c r="C720" s="1" t="n">
        <v>46017</v>
      </c>
      <c r="D720" t="inlineStr">
        <is>
          <t>VÄSTMANLANDS LÄN</t>
        </is>
      </c>
      <c r="E720" t="inlineStr">
        <is>
          <t>SALA</t>
        </is>
      </c>
      <c r="G720" t="n">
        <v>1.9</v>
      </c>
      <c r="H720" t="n">
        <v>0</v>
      </c>
      <c r="I720" t="n">
        <v>0</v>
      </c>
      <c r="J720" t="n">
        <v>0</v>
      </c>
      <c r="K720" t="n">
        <v>0</v>
      </c>
      <c r="L720" t="n">
        <v>0</v>
      </c>
      <c r="M720" t="n">
        <v>0</v>
      </c>
      <c r="N720" t="n">
        <v>0</v>
      </c>
      <c r="O720" t="n">
        <v>0</v>
      </c>
      <c r="P720" t="n">
        <v>0</v>
      </c>
      <c r="Q720" t="n">
        <v>0</v>
      </c>
      <c r="R720" s="2" t="inlineStr"/>
    </row>
    <row r="721" ht="15" customHeight="1">
      <c r="A721" t="inlineStr">
        <is>
          <t>A 37246-2025</t>
        </is>
      </c>
      <c r="B721" s="1" t="n">
        <v>45876.39435185185</v>
      </c>
      <c r="C721" s="1" t="n">
        <v>46017</v>
      </c>
      <c r="D721" t="inlineStr">
        <is>
          <t>VÄSTMANLANDS LÄN</t>
        </is>
      </c>
      <c r="E721" t="inlineStr">
        <is>
          <t>SALA</t>
        </is>
      </c>
      <c r="G721" t="n">
        <v>2.3</v>
      </c>
      <c r="H721" t="n">
        <v>0</v>
      </c>
      <c r="I721" t="n">
        <v>0</v>
      </c>
      <c r="J721" t="n">
        <v>0</v>
      </c>
      <c r="K721" t="n">
        <v>0</v>
      </c>
      <c r="L721" t="n">
        <v>0</v>
      </c>
      <c r="M721" t="n">
        <v>0</v>
      </c>
      <c r="N721" t="n">
        <v>0</v>
      </c>
      <c r="O721" t="n">
        <v>0</v>
      </c>
      <c r="P721" t="n">
        <v>0</v>
      </c>
      <c r="Q721" t="n">
        <v>0</v>
      </c>
      <c r="R721" s="2" t="inlineStr"/>
    </row>
    <row r="722" ht="15" customHeight="1">
      <c r="A722" t="inlineStr">
        <is>
          <t>A 17722-2025</t>
        </is>
      </c>
      <c r="B722" s="1" t="n">
        <v>45758</v>
      </c>
      <c r="C722" s="1" t="n">
        <v>46017</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37590-2025</t>
        </is>
      </c>
      <c r="B723" s="1" t="n">
        <v>45880.41138888889</v>
      </c>
      <c r="C723" s="1" t="n">
        <v>46017</v>
      </c>
      <c r="D723" t="inlineStr">
        <is>
          <t>VÄSTMANLANDS LÄN</t>
        </is>
      </c>
      <c r="E723" t="inlineStr">
        <is>
          <t>SALA</t>
        </is>
      </c>
      <c r="G723" t="n">
        <v>2.2</v>
      </c>
      <c r="H723" t="n">
        <v>0</v>
      </c>
      <c r="I723" t="n">
        <v>0</v>
      </c>
      <c r="J723" t="n">
        <v>0</v>
      </c>
      <c r="K723" t="n">
        <v>0</v>
      </c>
      <c r="L723" t="n">
        <v>0</v>
      </c>
      <c r="M723" t="n">
        <v>0</v>
      </c>
      <c r="N723" t="n">
        <v>0</v>
      </c>
      <c r="O723" t="n">
        <v>0</v>
      </c>
      <c r="P723" t="n">
        <v>0</v>
      </c>
      <c r="Q723" t="n">
        <v>0</v>
      </c>
      <c r="R723" s="2" t="inlineStr"/>
    </row>
    <row r="724" ht="15" customHeight="1">
      <c r="A724" t="inlineStr">
        <is>
          <t>A 37593-2025</t>
        </is>
      </c>
      <c r="B724" s="1" t="n">
        <v>45880.41325231481</v>
      </c>
      <c r="C724" s="1" t="n">
        <v>46017</v>
      </c>
      <c r="D724" t="inlineStr">
        <is>
          <t>VÄSTMANLANDS LÄN</t>
        </is>
      </c>
      <c r="E724" t="inlineStr">
        <is>
          <t>SALA</t>
        </is>
      </c>
      <c r="G724" t="n">
        <v>1.4</v>
      </c>
      <c r="H724" t="n">
        <v>0</v>
      </c>
      <c r="I724" t="n">
        <v>0</v>
      </c>
      <c r="J724" t="n">
        <v>0</v>
      </c>
      <c r="K724" t="n">
        <v>0</v>
      </c>
      <c r="L724" t="n">
        <v>0</v>
      </c>
      <c r="M724" t="n">
        <v>0</v>
      </c>
      <c r="N724" t="n">
        <v>0</v>
      </c>
      <c r="O724" t="n">
        <v>0</v>
      </c>
      <c r="P724" t="n">
        <v>0</v>
      </c>
      <c r="Q724" t="n">
        <v>0</v>
      </c>
      <c r="R724" s="2" t="inlineStr"/>
    </row>
    <row r="725" ht="15" customHeight="1">
      <c r="A725" t="inlineStr">
        <is>
          <t>A 43359-2024</t>
        </is>
      </c>
      <c r="B725" s="1" t="n">
        <v>45568.57724537037</v>
      </c>
      <c r="C725" s="1" t="n">
        <v>46017</v>
      </c>
      <c r="D725" t="inlineStr">
        <is>
          <t>VÄSTMANLANDS LÄN</t>
        </is>
      </c>
      <c r="E725" t="inlineStr">
        <is>
          <t>SALA</t>
        </is>
      </c>
      <c r="G725" t="n">
        <v>1.6</v>
      </c>
      <c r="H725" t="n">
        <v>0</v>
      </c>
      <c r="I725" t="n">
        <v>0</v>
      </c>
      <c r="J725" t="n">
        <v>0</v>
      </c>
      <c r="K725" t="n">
        <v>0</v>
      </c>
      <c r="L725" t="n">
        <v>0</v>
      </c>
      <c r="M725" t="n">
        <v>0</v>
      </c>
      <c r="N725" t="n">
        <v>0</v>
      </c>
      <c r="O725" t="n">
        <v>0</v>
      </c>
      <c r="P725" t="n">
        <v>0</v>
      </c>
      <c r="Q725" t="n">
        <v>0</v>
      </c>
      <c r="R725" s="2" t="inlineStr"/>
    </row>
    <row r="726">
      <c r="A726" t="inlineStr">
        <is>
          <t>A 29972-2025</t>
        </is>
      </c>
      <c r="B726" s="1" t="n">
        <v>45826</v>
      </c>
      <c r="C726" s="1" t="n">
        <v>46017</v>
      </c>
      <c r="D726" t="inlineStr">
        <is>
          <t>VÄSTMANLANDS LÄN</t>
        </is>
      </c>
      <c r="E726" t="inlineStr">
        <is>
          <t>SALA</t>
        </is>
      </c>
      <c r="G726" t="n">
        <v>2.7</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2025-12-26T09:32:30Z</dcterms:created>
  <dcterms:modified xmlns:dcterms="http://purl.org/dc/terms/" xmlns:xsi="http://www.w3.org/2001/XMLSchema-instance" xsi:type="dcterms:W3CDTF">2025-12-26T09:32:30Z</dcterms:modified>
</cp:coreProperties>
</file>