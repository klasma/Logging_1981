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45734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45734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45734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45734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45734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45734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45734</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45734</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45734</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45734</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45734</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45734</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45734</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45734</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45734</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45734</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45734</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45734</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45734</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45734</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45734</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45734</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34752-2023</t>
        </is>
      </c>
      <c r="B24" s="1" t="n">
        <v>45141</v>
      </c>
      <c r="C24" s="1" t="n">
        <v>45734</v>
      </c>
      <c r="D24" t="inlineStr">
        <is>
          <t>VÄSTMANLANDS LÄN</t>
        </is>
      </c>
      <c r="E24" t="inlineStr">
        <is>
          <t>SALA</t>
        </is>
      </c>
      <c r="G24" t="n">
        <v>4.9</v>
      </c>
      <c r="H24" t="n">
        <v>2</v>
      </c>
      <c r="I24" t="n">
        <v>1</v>
      </c>
      <c r="J24" t="n">
        <v>1</v>
      </c>
      <c r="K24" t="n">
        <v>2</v>
      </c>
      <c r="L24" t="n">
        <v>0</v>
      </c>
      <c r="M24" t="n">
        <v>0</v>
      </c>
      <c r="N24" t="n">
        <v>0</v>
      </c>
      <c r="O24" t="n">
        <v>3</v>
      </c>
      <c r="P24" t="n">
        <v>2</v>
      </c>
      <c r="Q24" t="n">
        <v>4</v>
      </c>
      <c r="R24" s="2" t="inlineStr">
        <is>
          <t>Knärot
Sprickporing
Spillkråka
Grönpyrola</t>
        </is>
      </c>
      <c r="S24">
        <f>HYPERLINK("https://klasma.github.io/Logging_1981/artfynd/A 34752-2023 artfynd.xlsx", "A 34752-2023")</f>
        <v/>
      </c>
      <c r="T24">
        <f>HYPERLINK("https://klasma.github.io/Logging_1981/kartor/A 34752-2023 karta.png", "A 34752-2023")</f>
        <v/>
      </c>
      <c r="U24">
        <f>HYPERLINK("https://klasma.github.io/Logging_1981/knärot/A 34752-2023 karta knärot.png", "A 34752-2023")</f>
        <v/>
      </c>
      <c r="V24">
        <f>HYPERLINK("https://klasma.github.io/Logging_1981/klagomål/A 34752-2023 FSC-klagomål.docx", "A 34752-2023")</f>
        <v/>
      </c>
      <c r="W24">
        <f>HYPERLINK("https://klasma.github.io/Logging_1981/klagomålsmail/A 34752-2023 FSC-klagomål mail.docx", "A 34752-2023")</f>
        <v/>
      </c>
      <c r="X24">
        <f>HYPERLINK("https://klasma.github.io/Logging_1981/tillsyn/A 34752-2023 tillsynsbegäran.docx", "A 34752-2023")</f>
        <v/>
      </c>
      <c r="Y24">
        <f>HYPERLINK("https://klasma.github.io/Logging_1981/tillsynsmail/A 34752-2023 tillsynsbegäran mail.docx", "A 34752-2023")</f>
        <v/>
      </c>
      <c r="Z24">
        <f>HYPERLINK("https://klasma.github.io/Logging_1981/fåglar/A 34752-2023 prioriterade fågelarter.docx", "A 34752-2023")</f>
        <v/>
      </c>
    </row>
    <row r="25" ht="15" customHeight="1">
      <c r="A25" t="inlineStr">
        <is>
          <t>A 56092-2023</t>
        </is>
      </c>
      <c r="B25" s="1" t="n">
        <v>45240</v>
      </c>
      <c r="C25" s="1" t="n">
        <v>45734</v>
      </c>
      <c r="D25" t="inlineStr">
        <is>
          <t>VÄSTMANLANDS LÄN</t>
        </is>
      </c>
      <c r="E25" t="inlineStr">
        <is>
          <t>SALA</t>
        </is>
      </c>
      <c r="G25" t="n">
        <v>11.6</v>
      </c>
      <c r="H25" t="n">
        <v>2</v>
      </c>
      <c r="I25" t="n">
        <v>1</v>
      </c>
      <c r="J25" t="n">
        <v>2</v>
      </c>
      <c r="K25" t="n">
        <v>1</v>
      </c>
      <c r="L25" t="n">
        <v>0</v>
      </c>
      <c r="M25" t="n">
        <v>0</v>
      </c>
      <c r="N25" t="n">
        <v>0</v>
      </c>
      <c r="O25" t="n">
        <v>3</v>
      </c>
      <c r="P25" t="n">
        <v>1</v>
      </c>
      <c r="Q25" t="n">
        <v>4</v>
      </c>
      <c r="R25" s="2" t="inlineStr">
        <is>
          <t>Knärot
Havsörn
Motaggsvamp
Vedticka</t>
        </is>
      </c>
      <c r="S25">
        <f>HYPERLINK("https://klasma.github.io/Logging_1981/artfynd/A 56092-2023 artfynd.xlsx", "A 56092-2023")</f>
        <v/>
      </c>
      <c r="T25">
        <f>HYPERLINK("https://klasma.github.io/Logging_1981/kartor/A 56092-2023 karta.png", "A 56092-2023")</f>
        <v/>
      </c>
      <c r="U25">
        <f>HYPERLINK("https://klasma.github.io/Logging_1981/knärot/A 56092-2023 karta knärot.png", "A 56092-2023")</f>
        <v/>
      </c>
      <c r="V25">
        <f>HYPERLINK("https://klasma.github.io/Logging_1981/klagomål/A 56092-2023 FSC-klagomål.docx", "A 56092-2023")</f>
        <v/>
      </c>
      <c r="W25">
        <f>HYPERLINK("https://klasma.github.io/Logging_1981/klagomålsmail/A 56092-2023 FSC-klagomål mail.docx", "A 56092-2023")</f>
        <v/>
      </c>
      <c r="X25">
        <f>HYPERLINK("https://klasma.github.io/Logging_1981/tillsyn/A 56092-2023 tillsynsbegäran.docx", "A 56092-2023")</f>
        <v/>
      </c>
      <c r="Y25">
        <f>HYPERLINK("https://klasma.github.io/Logging_1981/tillsynsmail/A 56092-2023 tillsynsbegäran mail.docx", "A 56092-2023")</f>
        <v/>
      </c>
      <c r="Z25">
        <f>HYPERLINK("https://klasma.github.io/Logging_1981/fåglar/A 56092-2023 prioriterade fågelarter.docx", "A 56092-2023")</f>
        <v/>
      </c>
    </row>
    <row r="26" ht="15" customHeight="1">
      <c r="A26" t="inlineStr">
        <is>
          <t>A 41202-2024</t>
        </is>
      </c>
      <c r="B26" s="1" t="n">
        <v>45559</v>
      </c>
      <c r="C26" s="1" t="n">
        <v>45734</v>
      </c>
      <c r="D26" t="inlineStr">
        <is>
          <t>VÄSTMANLANDS LÄN</t>
        </is>
      </c>
      <c r="E26" t="inlineStr">
        <is>
          <t>SALA</t>
        </is>
      </c>
      <c r="G26" t="n">
        <v>9.300000000000001</v>
      </c>
      <c r="H26" t="n">
        <v>2</v>
      </c>
      <c r="I26" t="n">
        <v>0</v>
      </c>
      <c r="J26" t="n">
        <v>2</v>
      </c>
      <c r="K26" t="n">
        <v>1</v>
      </c>
      <c r="L26" t="n">
        <v>0</v>
      </c>
      <c r="M26" t="n">
        <v>0</v>
      </c>
      <c r="N26" t="n">
        <v>0</v>
      </c>
      <c r="O26" t="n">
        <v>3</v>
      </c>
      <c r="P26" t="n">
        <v>1</v>
      </c>
      <c r="Q26" t="n">
        <v>4</v>
      </c>
      <c r="R26" s="2" t="inlineStr">
        <is>
          <t>Knärot
Brunklöver
Violettgrå tagellav
Revlummer</t>
        </is>
      </c>
      <c r="S26">
        <f>HYPERLINK("https://klasma.github.io/Logging_1981/artfynd/A 41202-2024 artfynd.xlsx", "A 41202-2024")</f>
        <v/>
      </c>
      <c r="T26">
        <f>HYPERLINK("https://klasma.github.io/Logging_1981/kartor/A 41202-2024 karta.png", "A 41202-2024")</f>
        <v/>
      </c>
      <c r="U26">
        <f>HYPERLINK("https://klasma.github.io/Logging_1981/knärot/A 41202-2024 karta knärot.png", "A 41202-2024")</f>
        <v/>
      </c>
      <c r="V26">
        <f>HYPERLINK("https://klasma.github.io/Logging_1981/klagomål/A 41202-2024 FSC-klagomål.docx", "A 41202-2024")</f>
        <v/>
      </c>
      <c r="W26">
        <f>HYPERLINK("https://klasma.github.io/Logging_1981/klagomålsmail/A 41202-2024 FSC-klagomål mail.docx", "A 41202-2024")</f>
        <v/>
      </c>
      <c r="X26">
        <f>HYPERLINK("https://klasma.github.io/Logging_1981/tillsyn/A 41202-2024 tillsynsbegäran.docx", "A 41202-2024")</f>
        <v/>
      </c>
      <c r="Y26">
        <f>HYPERLINK("https://klasma.github.io/Logging_1981/tillsynsmail/A 41202-2024 tillsynsbegäran mail.docx", "A 41202-2024")</f>
        <v/>
      </c>
    </row>
    <row r="27" ht="15" customHeight="1">
      <c r="A27" t="inlineStr">
        <is>
          <t>A 53009-2024</t>
        </is>
      </c>
      <c r="B27" s="1" t="n">
        <v>45610</v>
      </c>
      <c r="C27" s="1" t="n">
        <v>45734</v>
      </c>
      <c r="D27" t="inlineStr">
        <is>
          <t>VÄSTMANLANDS LÄN</t>
        </is>
      </c>
      <c r="E27" t="inlineStr">
        <is>
          <t>SALA</t>
        </is>
      </c>
      <c r="G27" t="n">
        <v>2</v>
      </c>
      <c r="H27" t="n">
        <v>2</v>
      </c>
      <c r="I27" t="n">
        <v>1</v>
      </c>
      <c r="J27" t="n">
        <v>1</v>
      </c>
      <c r="K27" t="n">
        <v>1</v>
      </c>
      <c r="L27" t="n">
        <v>0</v>
      </c>
      <c r="M27" t="n">
        <v>0</v>
      </c>
      <c r="N27" t="n">
        <v>0</v>
      </c>
      <c r="O27" t="n">
        <v>2</v>
      </c>
      <c r="P27" t="n">
        <v>1</v>
      </c>
      <c r="Q27" t="n">
        <v>4</v>
      </c>
      <c r="R27" s="2" t="inlineStr">
        <is>
          <t>Knärot
Dvärgbägarlav
Flagellkvastmossa
Fläcknycklar</t>
        </is>
      </c>
      <c r="S27">
        <f>HYPERLINK("https://klasma.github.io/Logging_1981/artfynd/A 53009-2024 artfynd.xlsx", "A 53009-2024")</f>
        <v/>
      </c>
      <c r="T27">
        <f>HYPERLINK("https://klasma.github.io/Logging_1981/kartor/A 53009-2024 karta.png", "A 53009-2024")</f>
        <v/>
      </c>
      <c r="U27">
        <f>HYPERLINK("https://klasma.github.io/Logging_1981/knärot/A 53009-2024 karta knärot.png", "A 53009-2024")</f>
        <v/>
      </c>
      <c r="V27">
        <f>HYPERLINK("https://klasma.github.io/Logging_1981/klagomål/A 53009-2024 FSC-klagomål.docx", "A 53009-2024")</f>
        <v/>
      </c>
      <c r="W27">
        <f>HYPERLINK("https://klasma.github.io/Logging_1981/klagomålsmail/A 53009-2024 FSC-klagomål mail.docx", "A 53009-2024")</f>
        <v/>
      </c>
      <c r="X27">
        <f>HYPERLINK("https://klasma.github.io/Logging_1981/tillsyn/A 53009-2024 tillsynsbegäran.docx", "A 53009-2024")</f>
        <v/>
      </c>
      <c r="Y27">
        <f>HYPERLINK("https://klasma.github.io/Logging_1981/tillsynsmail/A 53009-2024 tillsynsbegäran mail.docx", "A 53009-2024")</f>
        <v/>
      </c>
    </row>
    <row r="28" ht="15" customHeight="1">
      <c r="A28" t="inlineStr">
        <is>
          <t>A 10344-2025</t>
        </is>
      </c>
      <c r="B28" s="1" t="n">
        <v>45720</v>
      </c>
      <c r="C28" s="1" t="n">
        <v>45734</v>
      </c>
      <c r="D28" t="inlineStr">
        <is>
          <t>VÄSTMANLANDS LÄN</t>
        </is>
      </c>
      <c r="E28" t="inlineStr">
        <is>
          <t>SALA</t>
        </is>
      </c>
      <c r="G28" t="n">
        <v>4.2</v>
      </c>
      <c r="H28" t="n">
        <v>2</v>
      </c>
      <c r="I28" t="n">
        <v>1</v>
      </c>
      <c r="J28" t="n">
        <v>1</v>
      </c>
      <c r="K28" t="n">
        <v>2</v>
      </c>
      <c r="L28" t="n">
        <v>0</v>
      </c>
      <c r="M28" t="n">
        <v>0</v>
      </c>
      <c r="N28" t="n">
        <v>0</v>
      </c>
      <c r="O28" t="n">
        <v>3</v>
      </c>
      <c r="P28" t="n">
        <v>2</v>
      </c>
      <c r="Q28" t="n">
        <v>4</v>
      </c>
      <c r="R28" s="2" t="inlineStr">
        <is>
          <t>Knärot
Sprickporing
Spillkråka
Grönpyrola</t>
        </is>
      </c>
      <c r="S28">
        <f>HYPERLINK("https://klasma.github.io/Logging_1981/artfynd/A 10344-2025 artfynd.xlsx", "A 10344-2025")</f>
        <v/>
      </c>
      <c r="T28">
        <f>HYPERLINK("https://klasma.github.io/Logging_1981/kartor/A 10344-2025 karta.png", "A 10344-2025")</f>
        <v/>
      </c>
      <c r="U28">
        <f>HYPERLINK("https://klasma.github.io/Logging_1981/knärot/A 10344-2025 karta knärot.png", "A 10344-2025")</f>
        <v/>
      </c>
      <c r="V28">
        <f>HYPERLINK("https://klasma.github.io/Logging_1981/klagomål/A 10344-2025 FSC-klagomål.docx", "A 10344-2025")</f>
        <v/>
      </c>
      <c r="W28">
        <f>HYPERLINK("https://klasma.github.io/Logging_1981/klagomålsmail/A 10344-2025 FSC-klagomål mail.docx", "A 10344-2025")</f>
        <v/>
      </c>
      <c r="X28">
        <f>HYPERLINK("https://klasma.github.io/Logging_1981/tillsyn/A 10344-2025 tillsynsbegäran.docx", "A 10344-2025")</f>
        <v/>
      </c>
      <c r="Y28">
        <f>HYPERLINK("https://klasma.github.io/Logging_1981/tillsynsmail/A 10344-2025 tillsynsbegäran mail.docx", "A 10344-2025")</f>
        <v/>
      </c>
      <c r="Z28">
        <f>HYPERLINK("https://klasma.github.io/Logging_1981/fåglar/A 10344-2025 prioriterade fågelarter.docx", "A 10344-2025")</f>
        <v/>
      </c>
    </row>
    <row r="29" ht="15" customHeight="1">
      <c r="A29" t="inlineStr">
        <is>
          <t>A 66088-2019</t>
        </is>
      </c>
      <c r="B29" s="1" t="n">
        <v>43807</v>
      </c>
      <c r="C29" s="1" t="n">
        <v>45734</v>
      </c>
      <c r="D29" t="inlineStr">
        <is>
          <t>VÄSTMANLANDS LÄN</t>
        </is>
      </c>
      <c r="E29" t="inlineStr">
        <is>
          <t>SALA</t>
        </is>
      </c>
      <c r="G29" t="n">
        <v>6.4</v>
      </c>
      <c r="H29" t="n">
        <v>0</v>
      </c>
      <c r="I29" t="n">
        <v>1</v>
      </c>
      <c r="J29" t="n">
        <v>2</v>
      </c>
      <c r="K29" t="n">
        <v>0</v>
      </c>
      <c r="L29" t="n">
        <v>0</v>
      </c>
      <c r="M29" t="n">
        <v>0</v>
      </c>
      <c r="N29" t="n">
        <v>0</v>
      </c>
      <c r="O29" t="n">
        <v>2</v>
      </c>
      <c r="P29" t="n">
        <v>0</v>
      </c>
      <c r="Q29" t="n">
        <v>3</v>
      </c>
      <c r="R29" s="2" t="inlineStr">
        <is>
          <t>Ullticka
Vedtrappmossa
Flagellkvastmossa</t>
        </is>
      </c>
      <c r="S29">
        <f>HYPERLINK("https://klasma.github.io/Logging_1981/artfynd/A 66088-2019 artfynd.xlsx", "A 66088-2019")</f>
        <v/>
      </c>
      <c r="T29">
        <f>HYPERLINK("https://klasma.github.io/Logging_1981/kartor/A 66088-2019 karta.png", "A 66088-2019")</f>
        <v/>
      </c>
      <c r="V29">
        <f>HYPERLINK("https://klasma.github.io/Logging_1981/klagomål/A 66088-2019 FSC-klagomål.docx", "A 66088-2019")</f>
        <v/>
      </c>
      <c r="W29">
        <f>HYPERLINK("https://klasma.github.io/Logging_1981/klagomålsmail/A 66088-2019 FSC-klagomål mail.docx", "A 66088-2019")</f>
        <v/>
      </c>
      <c r="X29">
        <f>HYPERLINK("https://klasma.github.io/Logging_1981/tillsyn/A 66088-2019 tillsynsbegäran.docx", "A 66088-2019")</f>
        <v/>
      </c>
      <c r="Y29">
        <f>HYPERLINK("https://klasma.github.io/Logging_1981/tillsynsmail/A 66088-2019 tillsynsbegäran mail.docx", "A 66088-2019")</f>
        <v/>
      </c>
    </row>
    <row r="30" ht="15" customHeight="1">
      <c r="A30" t="inlineStr">
        <is>
          <t>A 17919-2020</t>
        </is>
      </c>
      <c r="B30" s="1" t="n">
        <v>43924</v>
      </c>
      <c r="C30" s="1" t="n">
        <v>45734</v>
      </c>
      <c r="D30" t="inlineStr">
        <is>
          <t>VÄSTMANLANDS LÄN</t>
        </is>
      </c>
      <c r="E30" t="inlineStr">
        <is>
          <t>SALA</t>
        </is>
      </c>
      <c r="G30" t="n">
        <v>2.6</v>
      </c>
      <c r="H30" t="n">
        <v>3</v>
      </c>
      <c r="I30" t="n">
        <v>0</v>
      </c>
      <c r="J30" t="n">
        <v>2</v>
      </c>
      <c r="K30" t="n">
        <v>0</v>
      </c>
      <c r="L30" t="n">
        <v>0</v>
      </c>
      <c r="M30" t="n">
        <v>0</v>
      </c>
      <c r="N30" t="n">
        <v>0</v>
      </c>
      <c r="O30" t="n">
        <v>2</v>
      </c>
      <c r="P30" t="n">
        <v>0</v>
      </c>
      <c r="Q30" t="n">
        <v>3</v>
      </c>
      <c r="R30" s="2" t="inlineStr">
        <is>
          <t>Spillkråka
Svartvit flugsnappare
Gröngöling</t>
        </is>
      </c>
      <c r="S30">
        <f>HYPERLINK("https://klasma.github.io/Logging_1981/artfynd/A 17919-2020 artfynd.xlsx", "A 17919-2020")</f>
        <v/>
      </c>
      <c r="T30">
        <f>HYPERLINK("https://klasma.github.io/Logging_1981/kartor/A 17919-2020 karta.png", "A 17919-2020")</f>
        <v/>
      </c>
      <c r="V30">
        <f>HYPERLINK("https://klasma.github.io/Logging_1981/klagomål/A 17919-2020 FSC-klagomål.docx", "A 17919-2020")</f>
        <v/>
      </c>
      <c r="W30">
        <f>HYPERLINK("https://klasma.github.io/Logging_1981/klagomålsmail/A 17919-2020 FSC-klagomål mail.docx", "A 17919-2020")</f>
        <v/>
      </c>
      <c r="X30">
        <f>HYPERLINK("https://klasma.github.io/Logging_1981/tillsyn/A 17919-2020 tillsynsbegäran.docx", "A 17919-2020")</f>
        <v/>
      </c>
      <c r="Y30">
        <f>HYPERLINK("https://klasma.github.io/Logging_1981/tillsynsmail/A 17919-2020 tillsynsbegäran mail.docx", "A 17919-2020")</f>
        <v/>
      </c>
      <c r="Z30">
        <f>HYPERLINK("https://klasma.github.io/Logging_1981/fåglar/A 17919-2020 prioriterade fågelarter.docx", "A 17919-2020")</f>
        <v/>
      </c>
    </row>
    <row r="31" ht="15" customHeight="1">
      <c r="A31" t="inlineStr">
        <is>
          <t>A 26571-2021</t>
        </is>
      </c>
      <c r="B31" s="1" t="n">
        <v>44348</v>
      </c>
      <c r="C31" s="1" t="n">
        <v>45734</v>
      </c>
      <c r="D31" t="inlineStr">
        <is>
          <t>VÄSTMANLANDS LÄN</t>
        </is>
      </c>
      <c r="E31" t="inlineStr">
        <is>
          <t>SALA</t>
        </is>
      </c>
      <c r="G31" t="n">
        <v>2.1</v>
      </c>
      <c r="H31" t="n">
        <v>0</v>
      </c>
      <c r="I31" t="n">
        <v>1</v>
      </c>
      <c r="J31" t="n">
        <v>2</v>
      </c>
      <c r="K31" t="n">
        <v>0</v>
      </c>
      <c r="L31" t="n">
        <v>0</v>
      </c>
      <c r="M31" t="n">
        <v>0</v>
      </c>
      <c r="N31" t="n">
        <v>0</v>
      </c>
      <c r="O31" t="n">
        <v>2</v>
      </c>
      <c r="P31" t="n">
        <v>0</v>
      </c>
      <c r="Q31" t="n">
        <v>3</v>
      </c>
      <c r="R31" s="2" t="inlineStr">
        <is>
          <t>Skrovlig taggsvamp
Ullticka
Flagellkvastmossa</t>
        </is>
      </c>
      <c r="S31">
        <f>HYPERLINK("https://klasma.github.io/Logging_1981/artfynd/A 26571-2021 artfynd.xlsx", "A 26571-2021")</f>
        <v/>
      </c>
      <c r="T31">
        <f>HYPERLINK("https://klasma.github.io/Logging_1981/kartor/A 26571-2021 karta.png", "A 26571-2021")</f>
        <v/>
      </c>
      <c r="V31">
        <f>HYPERLINK("https://klasma.github.io/Logging_1981/klagomål/A 26571-2021 FSC-klagomål.docx", "A 26571-2021")</f>
        <v/>
      </c>
      <c r="W31">
        <f>HYPERLINK("https://klasma.github.io/Logging_1981/klagomålsmail/A 26571-2021 FSC-klagomål mail.docx", "A 26571-2021")</f>
        <v/>
      </c>
      <c r="X31">
        <f>HYPERLINK("https://klasma.github.io/Logging_1981/tillsyn/A 26571-2021 tillsynsbegäran.docx", "A 26571-2021")</f>
        <v/>
      </c>
      <c r="Y31">
        <f>HYPERLINK("https://klasma.github.io/Logging_1981/tillsynsmail/A 26571-2021 tillsynsbegäran mail.docx", "A 26571-2021")</f>
        <v/>
      </c>
    </row>
    <row r="32" ht="15" customHeight="1">
      <c r="A32" t="inlineStr">
        <is>
          <t>A 62768-2021</t>
        </is>
      </c>
      <c r="B32" s="1" t="n">
        <v>44504</v>
      </c>
      <c r="C32" s="1" t="n">
        <v>45734</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15991-2022</t>
        </is>
      </c>
      <c r="B33" s="1" t="n">
        <v>44664</v>
      </c>
      <c r="C33" s="1" t="n">
        <v>45734</v>
      </c>
      <c r="D33" t="inlineStr">
        <is>
          <t>VÄSTMANLANDS LÄN</t>
        </is>
      </c>
      <c r="E33" t="inlineStr">
        <is>
          <t>SALA</t>
        </is>
      </c>
      <c r="G33" t="n">
        <v>4.5</v>
      </c>
      <c r="H33" t="n">
        <v>2</v>
      </c>
      <c r="I33" t="n">
        <v>1</v>
      </c>
      <c r="J33" t="n">
        <v>0</v>
      </c>
      <c r="K33" t="n">
        <v>1</v>
      </c>
      <c r="L33" t="n">
        <v>0</v>
      </c>
      <c r="M33" t="n">
        <v>0</v>
      </c>
      <c r="N33" t="n">
        <v>0</v>
      </c>
      <c r="O33" t="n">
        <v>1</v>
      </c>
      <c r="P33" t="n">
        <v>1</v>
      </c>
      <c r="Q33" t="n">
        <v>3</v>
      </c>
      <c r="R33" s="2" t="inlineStr">
        <is>
          <t>Knärot
Blåmossa
Revlummer</t>
        </is>
      </c>
      <c r="S33">
        <f>HYPERLINK("https://klasma.github.io/Logging_1981/artfynd/A 15991-2022 artfynd.xlsx", "A 15991-2022")</f>
        <v/>
      </c>
      <c r="T33">
        <f>HYPERLINK("https://klasma.github.io/Logging_1981/kartor/A 15991-2022 karta.png", "A 15991-2022")</f>
        <v/>
      </c>
      <c r="U33">
        <f>HYPERLINK("https://klasma.github.io/Logging_1981/knärot/A 15991-2022 karta knärot.png", "A 15991-2022")</f>
        <v/>
      </c>
      <c r="V33">
        <f>HYPERLINK("https://klasma.github.io/Logging_1981/klagomål/A 15991-2022 FSC-klagomål.docx", "A 15991-2022")</f>
        <v/>
      </c>
      <c r="W33">
        <f>HYPERLINK("https://klasma.github.io/Logging_1981/klagomålsmail/A 15991-2022 FSC-klagomål mail.docx", "A 15991-2022")</f>
        <v/>
      </c>
      <c r="X33">
        <f>HYPERLINK("https://klasma.github.io/Logging_1981/tillsyn/A 15991-2022 tillsynsbegäran.docx", "A 15991-2022")</f>
        <v/>
      </c>
      <c r="Y33">
        <f>HYPERLINK("https://klasma.github.io/Logging_1981/tillsynsmail/A 15991-2022 tillsynsbegäran mail.docx", "A 15991-2022")</f>
        <v/>
      </c>
    </row>
    <row r="34" ht="15" customHeight="1">
      <c r="A34" t="inlineStr">
        <is>
          <t>A 27499-2023</t>
        </is>
      </c>
      <c r="B34" s="1" t="n">
        <v>45097</v>
      </c>
      <c r="C34" s="1" t="n">
        <v>45734</v>
      </c>
      <c r="D34" t="inlineStr">
        <is>
          <t>VÄSTMANLANDS LÄN</t>
        </is>
      </c>
      <c r="E34" t="inlineStr">
        <is>
          <t>SALA</t>
        </is>
      </c>
      <c r="G34" t="n">
        <v>9.5</v>
      </c>
      <c r="H34" t="n">
        <v>1</v>
      </c>
      <c r="I34" t="n">
        <v>1</v>
      </c>
      <c r="J34" t="n">
        <v>2</v>
      </c>
      <c r="K34" t="n">
        <v>0</v>
      </c>
      <c r="L34" t="n">
        <v>0</v>
      </c>
      <c r="M34" t="n">
        <v>0</v>
      </c>
      <c r="N34" t="n">
        <v>0</v>
      </c>
      <c r="O34" t="n">
        <v>2</v>
      </c>
      <c r="P34" t="n">
        <v>0</v>
      </c>
      <c r="Q34" t="n">
        <v>3</v>
      </c>
      <c r="R34" s="2" t="inlineStr">
        <is>
          <t>Motaggsvamp
Rödvingetrast
Dropptaggsvamp</t>
        </is>
      </c>
      <c r="S34">
        <f>HYPERLINK("https://klasma.github.io/Logging_1981/artfynd/A 27499-2023 artfynd.xlsx", "A 27499-2023")</f>
        <v/>
      </c>
      <c r="T34">
        <f>HYPERLINK("https://klasma.github.io/Logging_1981/kartor/A 27499-2023 karta.png", "A 27499-2023")</f>
        <v/>
      </c>
      <c r="V34">
        <f>HYPERLINK("https://klasma.github.io/Logging_1981/klagomål/A 27499-2023 FSC-klagomål.docx", "A 27499-2023")</f>
        <v/>
      </c>
      <c r="W34">
        <f>HYPERLINK("https://klasma.github.io/Logging_1981/klagomålsmail/A 27499-2023 FSC-klagomål mail.docx", "A 27499-2023")</f>
        <v/>
      </c>
      <c r="X34">
        <f>HYPERLINK("https://klasma.github.io/Logging_1981/tillsyn/A 27499-2023 tillsynsbegäran.docx", "A 27499-2023")</f>
        <v/>
      </c>
      <c r="Y34">
        <f>HYPERLINK("https://klasma.github.io/Logging_1981/tillsynsmail/A 27499-2023 tillsynsbegäran mail.docx", "A 27499-2023")</f>
        <v/>
      </c>
      <c r="Z34">
        <f>HYPERLINK("https://klasma.github.io/Logging_1981/fåglar/A 27499-2023 prioriterade fågelarter.docx", "A 27499-2023")</f>
        <v/>
      </c>
    </row>
    <row r="35" ht="15" customHeight="1">
      <c r="A35" t="inlineStr">
        <is>
          <t>A 3567-2024</t>
        </is>
      </c>
      <c r="B35" s="1" t="n">
        <v>45320</v>
      </c>
      <c r="C35" s="1" t="n">
        <v>45734</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45734</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45734</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45734</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45734</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45734</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45734</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45734</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45734</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45734</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45734</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45734</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45734</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45734</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45734</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45734</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45734</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45734</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45734</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45734</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45734</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45734</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45734</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45734</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45734</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45734</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45734</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47716-2019</t>
        </is>
      </c>
      <c r="B62" s="1" t="n">
        <v>43724</v>
      </c>
      <c r="C62" s="1" t="n">
        <v>45734</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45734</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45734</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45734</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45734</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45734</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45734</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45734</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45734</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45734</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45734</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45734</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45734</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45734</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45734</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45734</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45734</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45734</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45734</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45734</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45734</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45734</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45734</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45734</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45734</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45734</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45734</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45734</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45734</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45734</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45734</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45734</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45734</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45734</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45734</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45734</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45734</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45734</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45734</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45734</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45734</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45734</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45734</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45734</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45734</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45734</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45734</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45734</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45734</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45734</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45734</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45734</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45734</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45734</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45734</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45734</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45734</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45734</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45734</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45734</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45734</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45734</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45734</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45734</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45734</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45734</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45734</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45734</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45734</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45734</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45734</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45734</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45734</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45734</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45734</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45734</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45734</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45734</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45734</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45734</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45734</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45734</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45734</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45734</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45734</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45734</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45734</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45734</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45734</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45734</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45734</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45734</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45734</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45734</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45734</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45734</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45734</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45734</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45734</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45734</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45734</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45734</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45734</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45734</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45734</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45734</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45734</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45734</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45734</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45734</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45734</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45734</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45734</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45734</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45734</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45734</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45734</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45734</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45734</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45734</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45734</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45734</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45734</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45734</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45734</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45734</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45734</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45734</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45734</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45734</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45734</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45734</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45734</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45734</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45734</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45734</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45734</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45734</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45734</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45734</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45734</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45734</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45734</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45734</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45734</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45734</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45734</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45734</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45734</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45734</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45734</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45734</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45734</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45734</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45734</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45734</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45734</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45734</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45734</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45734</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45734</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45734</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45734</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45734</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45734</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45734</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45734</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45734</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45734</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45734</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45734</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45734</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45734</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45734</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45734</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45734</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45734</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45734</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45734</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45734</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45734</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45734</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45734</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45734</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45734</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45734</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45734</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45734</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45734</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45734</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45734</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45734</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45734</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45734</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45734</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45734</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45734</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45734</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45734</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45734</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45734</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45734</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45734</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45734</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45734</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45734</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45734</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45734</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45734</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45734</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45734</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45734</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45734</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45734</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45734</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45734</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45734</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45734</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45734</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45734</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45734</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45734</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45734</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45734</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45734</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45734</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45734</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45734</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45734</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45734</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45734</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45734</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45734</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45734</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45734</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45734</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45734</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45734</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45734</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45734</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45734</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45734</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45734</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45734</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45734</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45734</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45734</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45734</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45734</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45734</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45734</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45734</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45734</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45734</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45734</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45734</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45734</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45734</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45734</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45734</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45734</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45734</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45734</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45734</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45734</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45734</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45734</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45734</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45734</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45734</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45734</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45734</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45734</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45734</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45734</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45734</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45734</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45734</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45734</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45734</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45734</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45734</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45734</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45734</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45734</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45734</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45734</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45734</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45734</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45734</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45734</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45734</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45734</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45734</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45734</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45734</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45734</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45734</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45734</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45734</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45734</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45734</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45734</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45734</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45734</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45734</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45734</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45734</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45734</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45734</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45734</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45734</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45734</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45734</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45734</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45734</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45734</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45734</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45734</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45734</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45734</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45734</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45734</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45734</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45734</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45734</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45734</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45734</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45734</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45734</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45734</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45734</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45734</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45734</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45734</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45734</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45734</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45734</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45734</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45734</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45734</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45734</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45734</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45734</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45734</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45734</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45734</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45734</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45734</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45734</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45734</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45734</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45734</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45734</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45734</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45734</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45734</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45734</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45734</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45734</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45734</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45734</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45734</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45734</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45734</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45734</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45734</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45734</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45734</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45734</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45734</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45734</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45734</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45734</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45734</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45734</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45734</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45734</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45734</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45734</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45734</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45734</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45734</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45734</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45734</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45734</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45734</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45734</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45734</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45734</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45734</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45734</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45734</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45734</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45734</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45734</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45734</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45734</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45734</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45734</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45734</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45734</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45734</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45734</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45734</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45734</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45734</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45734</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45734</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45734</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45734</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45734</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45734</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45734</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45734</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45734</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45734</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45734</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45734</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45734</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45734</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45734</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45734</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45734</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45734</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45734</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45734</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45734</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45734</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45734</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45734</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45734</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45734</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45734</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45734</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45734</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45734</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45734</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45734</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45734</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45734</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45734</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45734</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45734</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45734</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45734</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45734</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45734</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45734</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45734</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45734</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45734</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45734</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45734</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45734</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45734</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45734</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45734</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45734</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45734</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45734</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45734</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45734</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45734</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45734</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45734</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45734</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45734</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45734</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45734</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45734</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45734</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45734</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45734</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45734</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45734</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45734</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45734</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45734</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45734</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45734</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45734</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45734</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45734</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45734</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45734</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45734</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45734</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45734</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45734</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45734</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45734</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45734</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45734</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45734</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45734</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45734</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45734</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45734</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45734</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45734</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45734</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45734</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45734</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45734</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45734</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45734</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45734</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45734</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45734</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45734</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45734</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45734</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45734</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45734</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45734</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45734</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45734</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45734</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45734</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45734</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45734</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45734</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45734</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45734</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45734</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45734</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45734</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45734</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45734</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45734</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45734</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45734</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45734</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45734</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45734</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45734</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45734</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45734</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45734</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45734</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45734</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45734</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45734</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45734</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45734</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45734</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45734</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45734</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45734</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45734</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45734</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45734</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45734</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45734</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45734</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45734</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45734</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45734</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45734</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45734</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45734</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45734</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45734</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45734</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45734</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45734</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45734</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45734</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45734</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45734</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45734</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45734</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45734</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45734</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45734</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45734</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45734</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45734</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45734</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45734</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45734</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45734</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45734</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45734</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45734</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45734</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45734</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45734</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45734</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45734</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45734</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45734</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45734</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45734</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45734</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45734</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45734</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45734</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45734</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45734</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45734</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45734</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45734</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45734</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45734</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45734</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45734</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45734</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45734</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45734</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45734</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45734</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45734</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45734</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45734</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45734</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45734</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45734</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45734</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45734</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45734</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45734</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45734</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45734</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45734</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45734</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45734</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45734</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45734</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45734</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45734</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45734</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45734</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45734</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45734</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45734</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45734</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45734</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45734</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45734</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45734</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45734</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45734</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45734</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45734</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45734</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45734</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45734</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45734</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45734</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45734</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45734</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45734</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45734</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45734</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45734</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45734</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45734</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45734</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45734</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45734</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45734</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45734</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45734</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45734</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45734</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45734</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45734</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45734</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45734</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45734</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45734</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45734</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45734</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45734</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45734</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45734</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45734</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45734</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45734</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45734</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45734</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45734</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45734</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45734</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45734</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45734</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45734</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45734</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45734</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45734</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45734</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45734</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45734</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45734</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45734</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45734</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45734</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45734</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45734</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45734</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45734</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45734</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45734</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45734</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45734</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45734</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45734</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45734</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45734</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45734</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45734</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45734</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45734</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45734</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45734</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45734</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45734</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45734</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45734</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45734</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45734</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45734</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45734</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45734</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45734</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45734</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45734</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45734</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45734</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45734</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45734</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45734</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45734</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45734</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45734</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45734</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45734</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45734</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45734</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45734</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45734</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45734</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45734</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45734</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45734</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45734</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45734</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45734</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45734</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45734</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45734</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45734</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45734</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45734</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45734</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45734</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45734</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45734</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45734</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45734</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45734</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45734</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45734</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45734</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45734</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45734</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45734</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45734</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45734</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45734</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45734</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45734</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45734</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45734</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45734</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45734</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45734</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45734</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45734</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45734</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45734</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45734</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45734</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45734</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45734</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45734</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45734</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45734</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45734</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45734</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45734</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45734</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45734</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45734</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45734</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45734</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45734</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45734</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45734</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45734</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45734</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45734</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45734</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45734</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45734</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45734</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45734</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45734</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45734</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45734</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45734</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45734</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45734</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45734</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45734</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45734</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45734</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45734</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45734</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45734</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45734</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45734</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45734</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45734</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45734</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45734</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45734</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45734</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45734</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45734</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45734</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45734</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45734</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45734</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45734</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45734</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45734</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45734</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45734</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45734</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45734</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45734</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45734</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45734</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45734</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45734</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45734</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45734</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45734</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45734</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45734</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45734</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45734</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45734</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45734</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45734</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45734</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45734</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45734</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45734</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45734</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45734</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45734</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45734</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45734</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45734</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45734</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45734</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45734</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45734</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45734</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45734</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45734</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45734</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45734</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45734</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45734</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45734</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45734</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45734</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45734</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45734</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45734</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45734</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45734</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45734</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45734</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45734</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45734</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45734</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45734</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45734</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45734</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45734</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45734</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45734</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45734</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45734</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45734</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45734</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45734</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45734</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45734</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45734</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45734</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45734</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45734</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45734</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45734</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45734</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45734</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45734</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45734</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45734</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45734</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45734</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45734</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45734</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45734</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45734</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45734</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45734</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45734</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45734</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45734</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45734</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45734</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45734</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45734</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45734</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45734</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45734</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45734</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45734</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45734</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45734</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45734</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45734</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45734</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45734</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45734</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45734</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45734</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45734</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45734</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45734</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45734</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45734</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45734</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45734</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45734</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45734</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45734</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45734</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45734</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45734</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45734</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45734</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45734</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45734</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45734</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45734</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45734</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45734</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45734</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45734</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45734</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45734</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45734</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45734</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45734</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45734</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45734</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45734</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45734</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45734</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45734</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45734</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45734</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45734</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45734</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45734</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45734</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45734</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45734</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45734</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45734</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45734</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45734</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45734</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45734</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45734</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45734</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45734</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45734</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45734</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45734</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45734</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45734</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45734</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45734</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45734</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45734</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45734</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45734</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45734</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45734</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45734</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45734</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45734</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45734</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45734</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45734</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45734</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45734</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45734</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45734</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45734</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45734</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45734</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45734</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45734</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45734</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45734</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45734</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45734</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45734</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45734</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45734</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45734</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45734</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45734</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45734</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45734</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45734</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45734</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45734</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45734</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45734</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45734</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45734</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45734</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45734</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45734</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45734</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45734</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45734</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45734</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45734</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45734</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45734</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45734</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45734</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45734</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45734</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45734</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45734</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45734</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45734</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45734</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45734</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45734</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45734</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45734</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45734</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45734</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45734</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45734</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45734</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45734</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45734</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45734</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45734</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45734</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45734</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45734</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45734</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45734</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45734</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45734</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45734</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45734</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45734</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45734</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45734</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45734</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45734</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45734</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45734</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45734</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45734</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45734</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45734</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45734</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45734</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45734</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45734</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45734</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45734</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45734</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45734</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45734</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45734</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45734</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45734</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45734</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45734</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45734</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45734</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45734</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45734</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45734</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45734</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45734</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45734</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45734</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45734</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45734</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45734</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45734</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45734</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45734</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45734</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45734</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45734</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45734</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45734</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45734</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10250-2025</t>
        </is>
      </c>
      <c r="B1192" s="1" t="n">
        <v>45720</v>
      </c>
      <c r="C1192" s="1" t="n">
        <v>45734</v>
      </c>
      <c r="D1192" t="inlineStr">
        <is>
          <t>VÄSTMANLANDS LÄN</t>
        </is>
      </c>
      <c r="E1192" t="inlineStr">
        <is>
          <t>SALA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45734</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45734</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45734</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45734</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45734</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45734</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45734</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45734</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12293-2025</t>
        </is>
      </c>
      <c r="B1201" s="1" t="n">
        <v>45729</v>
      </c>
      <c r="C1201" s="1" t="n">
        <v>45734</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12918-2025</t>
        </is>
      </c>
      <c r="B1202" s="1" t="n">
        <v>45733</v>
      </c>
      <c r="C1202" s="1" t="n">
        <v>45734</v>
      </c>
      <c r="D1202" t="inlineStr">
        <is>
          <t>VÄSTMANLANDS LÄN</t>
        </is>
      </c>
      <c r="E1202" t="inlineStr">
        <is>
          <t>SALA</t>
        </is>
      </c>
      <c r="G1202" t="n">
        <v>2.4</v>
      </c>
      <c r="H1202" t="n">
        <v>0</v>
      </c>
      <c r="I1202" t="n">
        <v>0</v>
      </c>
      <c r="J1202" t="n">
        <v>0</v>
      </c>
      <c r="K1202" t="n">
        <v>0</v>
      </c>
      <c r="L1202" t="n">
        <v>0</v>
      </c>
      <c r="M1202" t="n">
        <v>0</v>
      </c>
      <c r="N1202" t="n">
        <v>0</v>
      </c>
      <c r="O1202" t="n">
        <v>0</v>
      </c>
      <c r="P1202" t="n">
        <v>0</v>
      </c>
      <c r="Q1202" t="n">
        <v>0</v>
      </c>
      <c r="R1202" s="2" t="inlineStr"/>
    </row>
    <row r="1203">
      <c r="A1203" t="inlineStr">
        <is>
          <t>A 12756-2025</t>
        </is>
      </c>
      <c r="B1203" s="1" t="n">
        <v>45733</v>
      </c>
      <c r="C1203" s="1" t="n">
        <v>45734</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2025-03-18T15:25:13Z</dcterms:created>
  <dcterms:modified xmlns:dcterms="http://purl.org/dc/terms/" xmlns:xsi="http://www.w3.org/2001/XMLSchema-instance" xsi:type="dcterms:W3CDTF">2025-03-18T15:25:15Z</dcterms:modified>
</cp:coreProperties>
</file>