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46199</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46199</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46199</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46199</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46199</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46199</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46199</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53627-2025</t>
        </is>
      </c>
      <c r="B9" s="1" t="n">
        <v>45960</v>
      </c>
      <c r="C9" s="1" t="n">
        <v>46199</v>
      </c>
      <c r="D9" t="inlineStr">
        <is>
          <t>VÄSTMANLANDS LÄN</t>
        </is>
      </c>
      <c r="E9" t="inlineStr">
        <is>
          <t>SALA</t>
        </is>
      </c>
      <c r="G9" t="n">
        <v>10.5</v>
      </c>
      <c r="H9" t="n">
        <v>3</v>
      </c>
      <c r="I9" t="n">
        <v>2</v>
      </c>
      <c r="J9" t="n">
        <v>2</v>
      </c>
      <c r="K9" t="n">
        <v>1</v>
      </c>
      <c r="L9" t="n">
        <v>0</v>
      </c>
      <c r="M9" t="n">
        <v>0</v>
      </c>
      <c r="N9" t="n">
        <v>0</v>
      </c>
      <c r="O9" t="n">
        <v>3</v>
      </c>
      <c r="P9" t="n">
        <v>1</v>
      </c>
      <c r="Q9" t="n">
        <v>7</v>
      </c>
      <c r="R9" s="2" t="inlineStr">
        <is>
          <t>Knärot
Brunklöver
Ullticka
Grönpyrola
Vedticka
Mattlummer
Revlummer</t>
        </is>
      </c>
      <c r="S9">
        <f>HYPERLINK("https://klasma.github.io/Logging_1981/artfynd/A 53627-2025 artfynd.xlsx", "A 53627-2025")</f>
        <v/>
      </c>
      <c r="T9">
        <f>HYPERLINK("https://klasma.github.io/Logging_1981/kartor/A 53627-2025 karta.png", "A 53627-2025")</f>
        <v/>
      </c>
      <c r="U9">
        <f>HYPERLINK("https://klasma.github.io/Logging_1981/knärot/A 53627-2025 karta knärot.png", "A 53627-2025")</f>
        <v/>
      </c>
      <c r="V9">
        <f>HYPERLINK("https://klasma.github.io/Logging_1981/klagomål/A 53627-2025 FSC-klagomål.docx", "A 53627-2025")</f>
        <v/>
      </c>
      <c r="W9">
        <f>HYPERLINK("https://klasma.github.io/Logging_1981/klagomålsmail/A 53627-2025 FSC-klagomål mail.docx", "A 53627-2025")</f>
        <v/>
      </c>
      <c r="X9">
        <f>HYPERLINK("https://klasma.github.io/Logging_1981/tillsyn/A 53627-2025 tillsynsbegäran.docx", "A 53627-2025")</f>
        <v/>
      </c>
      <c r="Y9">
        <f>HYPERLINK("https://klasma.github.io/Logging_1981/tillsynsmail/A 53627-2025 tillsynsbegäran mail.docx", "A 53627-2025")</f>
        <v/>
      </c>
    </row>
    <row r="10" ht="15" customHeight="1">
      <c r="A10" t="inlineStr">
        <is>
          <t>A 47475-2024</t>
        </is>
      </c>
      <c r="B10" s="1" t="n">
        <v>45587</v>
      </c>
      <c r="C10" s="1" t="n">
        <v>46199</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40493-2024</t>
        </is>
      </c>
      <c r="B11" s="1" t="n">
        <v>45555</v>
      </c>
      <c r="C11" s="1" t="n">
        <v>46199</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9092-2025</t>
        </is>
      </c>
      <c r="B12" s="1" t="n">
        <v>45713</v>
      </c>
      <c r="C12" s="1" t="n">
        <v>46199</v>
      </c>
      <c r="D12" t="inlineStr">
        <is>
          <t>VÄSTMANLANDS LÄN</t>
        </is>
      </c>
      <c r="E12" t="inlineStr">
        <is>
          <t>SALA</t>
        </is>
      </c>
      <c r="G12" t="n">
        <v>11</v>
      </c>
      <c r="H12" t="n">
        <v>0</v>
      </c>
      <c r="I12" t="n">
        <v>1</v>
      </c>
      <c r="J12" t="n">
        <v>3</v>
      </c>
      <c r="K12" t="n">
        <v>2</v>
      </c>
      <c r="L12" t="n">
        <v>1</v>
      </c>
      <c r="M12" t="n">
        <v>0</v>
      </c>
      <c r="N12" t="n">
        <v>0</v>
      </c>
      <c r="O12" t="n">
        <v>6</v>
      </c>
      <c r="P12" t="n">
        <v>3</v>
      </c>
      <c r="Q12" t="n">
        <v>7</v>
      </c>
      <c r="R12" s="2" t="inlineStr">
        <is>
          <t>Ask
Grangråticka
Gyllenspindling
Dofttaggsvamp
Fjällig taggsvamp s.str.
Orange taggsvamp
Anisspindling</t>
        </is>
      </c>
      <c r="S12">
        <f>HYPERLINK("https://klasma.github.io/Logging_1981/artfynd/A 9092-2025 artfynd.xlsx", "A 9092-2025")</f>
        <v/>
      </c>
      <c r="T12">
        <f>HYPERLINK("https://klasma.github.io/Logging_1981/kartor/A 9092-2025 karta.png", "A 9092-2025")</f>
        <v/>
      </c>
      <c r="V12">
        <f>HYPERLINK("https://klasma.github.io/Logging_1981/klagomål/A 9092-2025 FSC-klagomål.docx", "A 9092-2025")</f>
        <v/>
      </c>
      <c r="W12">
        <f>HYPERLINK("https://klasma.github.io/Logging_1981/klagomålsmail/A 9092-2025 FSC-klagomål mail.docx", "A 9092-2025")</f>
        <v/>
      </c>
      <c r="X12">
        <f>HYPERLINK("https://klasma.github.io/Logging_1981/tillsyn/A 9092-2025 tillsynsbegäran.docx", "A 9092-2025")</f>
        <v/>
      </c>
      <c r="Y12">
        <f>HYPERLINK("https://klasma.github.io/Logging_1981/tillsynsmail/A 9092-2025 tillsynsbegäran mail.docx", "A 9092-2025")</f>
        <v/>
      </c>
    </row>
    <row r="13" ht="15" customHeight="1">
      <c r="A13" t="inlineStr">
        <is>
          <t>A 45441-2024</t>
        </is>
      </c>
      <c r="B13" s="1" t="n">
        <v>45576</v>
      </c>
      <c r="C13" s="1" t="n">
        <v>46199</v>
      </c>
      <c r="D13" t="inlineStr">
        <is>
          <t>VÄSTMANLANDS LÄN</t>
        </is>
      </c>
      <c r="E13" t="inlineStr">
        <is>
          <t>SALA</t>
        </is>
      </c>
      <c r="G13" t="n">
        <v>3.4</v>
      </c>
      <c r="H13" t="n">
        <v>0</v>
      </c>
      <c r="I13" t="n">
        <v>2</v>
      </c>
      <c r="J13" t="n">
        <v>3</v>
      </c>
      <c r="K13" t="n">
        <v>1</v>
      </c>
      <c r="L13" t="n">
        <v>0</v>
      </c>
      <c r="M13" t="n">
        <v>0</v>
      </c>
      <c r="N13" t="n">
        <v>0</v>
      </c>
      <c r="O13" t="n">
        <v>4</v>
      </c>
      <c r="P13" t="n">
        <v>1</v>
      </c>
      <c r="Q13" t="n">
        <v>6</v>
      </c>
      <c r="R13" s="2" t="inlineStr">
        <is>
          <t>Garnlav
Kötticka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27488-2023</t>
        </is>
      </c>
      <c r="B14" s="1" t="n">
        <v>45097</v>
      </c>
      <c r="C14" s="1" t="n">
        <v>46199</v>
      </c>
      <c r="D14" t="inlineStr">
        <is>
          <t>VÄSTMANLANDS LÄN</t>
        </is>
      </c>
      <c r="E14" t="inlineStr">
        <is>
          <t>SALA</t>
        </is>
      </c>
      <c r="G14" t="n">
        <v>9.300000000000001</v>
      </c>
      <c r="H14" t="n">
        <v>2</v>
      </c>
      <c r="I14" t="n">
        <v>2</v>
      </c>
      <c r="J14" t="n">
        <v>3</v>
      </c>
      <c r="K14" t="n">
        <v>0</v>
      </c>
      <c r="L14" t="n">
        <v>0</v>
      </c>
      <c r="M14" t="n">
        <v>0</v>
      </c>
      <c r="N14" t="n">
        <v>0</v>
      </c>
      <c r="O14" t="n">
        <v>3</v>
      </c>
      <c r="P14" t="n">
        <v>0</v>
      </c>
      <c r="Q14" t="n">
        <v>6</v>
      </c>
      <c r="R14" s="2" t="inlineStr">
        <is>
          <t>Dropptaggsvamp
Motaggsvamp
Tallfingersvamp
Blomkålssvamp
Plattlummer
Revlummer</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73598-2021</t>
        </is>
      </c>
      <c r="B15" s="1" t="n">
        <v>44552</v>
      </c>
      <c r="C15" s="1" t="n">
        <v>46199</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46199</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34065-2025</t>
        </is>
      </c>
      <c r="B17" s="1" t="n">
        <v>45845</v>
      </c>
      <c r="C17" s="1" t="n">
        <v>46199</v>
      </c>
      <c r="D17" t="inlineStr">
        <is>
          <t>VÄSTMANLANDS LÄN</t>
        </is>
      </c>
      <c r="E17" t="inlineStr">
        <is>
          <t>SALA</t>
        </is>
      </c>
      <c r="G17" t="n">
        <v>3</v>
      </c>
      <c r="H17" t="n">
        <v>0</v>
      </c>
      <c r="I17" t="n">
        <v>3</v>
      </c>
      <c r="J17" t="n">
        <v>2</v>
      </c>
      <c r="K17" t="n">
        <v>0</v>
      </c>
      <c r="L17" t="n">
        <v>0</v>
      </c>
      <c r="M17" t="n">
        <v>0</v>
      </c>
      <c r="N17" t="n">
        <v>0</v>
      </c>
      <c r="O17" t="n">
        <v>2</v>
      </c>
      <c r="P17" t="n">
        <v>0</v>
      </c>
      <c r="Q17" t="n">
        <v>5</v>
      </c>
      <c r="R17" s="2" t="inlineStr">
        <is>
          <t>Kötticka
Skorpgelélav
Grönpyrola
Skinnlav
Vedticka</t>
        </is>
      </c>
      <c r="S17">
        <f>HYPERLINK("https://klasma.github.io/Logging_1981/artfynd/A 34065-2025 artfynd.xlsx", "A 34065-2025")</f>
        <v/>
      </c>
      <c r="T17">
        <f>HYPERLINK("https://klasma.github.io/Logging_1981/kartor/A 34065-2025 karta.png", "A 34065-2025")</f>
        <v/>
      </c>
      <c r="V17">
        <f>HYPERLINK("https://klasma.github.io/Logging_1981/klagomål/A 34065-2025 FSC-klagomål.docx", "A 34065-2025")</f>
        <v/>
      </c>
      <c r="W17">
        <f>HYPERLINK("https://klasma.github.io/Logging_1981/klagomålsmail/A 34065-2025 FSC-klagomål mail.docx", "A 34065-2025")</f>
        <v/>
      </c>
      <c r="X17">
        <f>HYPERLINK("https://klasma.github.io/Logging_1981/tillsyn/A 34065-2025 tillsynsbegäran.docx", "A 34065-2025")</f>
        <v/>
      </c>
      <c r="Y17">
        <f>HYPERLINK("https://klasma.github.io/Logging_1981/tillsynsmail/A 34065-2025 tillsynsbegäran mail.docx", "A 34065-2025")</f>
        <v/>
      </c>
    </row>
    <row r="18" ht="15" customHeight="1">
      <c r="A18" t="inlineStr">
        <is>
          <t>A 10344-2025</t>
        </is>
      </c>
      <c r="B18" s="1" t="n">
        <v>45720</v>
      </c>
      <c r="C18" s="1" t="n">
        <v>46199</v>
      </c>
      <c r="D18" t="inlineStr">
        <is>
          <t>VÄSTMANLANDS LÄN</t>
        </is>
      </c>
      <c r="E18" t="inlineStr">
        <is>
          <t>SALA</t>
        </is>
      </c>
      <c r="G18" t="n">
        <v>4.2</v>
      </c>
      <c r="H18" t="n">
        <v>2</v>
      </c>
      <c r="I18" t="n">
        <v>1</v>
      </c>
      <c r="J18" t="n">
        <v>1</v>
      </c>
      <c r="K18" t="n">
        <v>2</v>
      </c>
      <c r="L18" t="n">
        <v>0</v>
      </c>
      <c r="M18" t="n">
        <v>0</v>
      </c>
      <c r="N18" t="n">
        <v>0</v>
      </c>
      <c r="O18" t="n">
        <v>3</v>
      </c>
      <c r="P18" t="n">
        <v>2</v>
      </c>
      <c r="Q18" t="n">
        <v>5</v>
      </c>
      <c r="R18" s="2" t="inlineStr">
        <is>
          <t>Knärot
Sprickporing
Svinrot
Grönpyrola
Spillkråka</t>
        </is>
      </c>
      <c r="S18">
        <f>HYPERLINK("https://klasma.github.io/Logging_1981/artfynd/A 10344-2025 artfynd.xlsx", "A 10344-2025")</f>
        <v/>
      </c>
      <c r="T18">
        <f>HYPERLINK("https://klasma.github.io/Logging_1981/kartor/A 10344-2025 karta.png", "A 10344-2025")</f>
        <v/>
      </c>
      <c r="U18">
        <f>HYPERLINK("https://klasma.github.io/Logging_1981/knärot/A 10344-2025 karta knärot.png", "A 10344-2025")</f>
        <v/>
      </c>
      <c r="V18">
        <f>HYPERLINK("https://klasma.github.io/Logging_1981/klagomål/A 10344-2025 FSC-klagomål.docx", "A 10344-2025")</f>
        <v/>
      </c>
      <c r="W18">
        <f>HYPERLINK("https://klasma.github.io/Logging_1981/klagomålsmail/A 10344-2025 FSC-klagomål mail.docx", "A 10344-2025")</f>
        <v/>
      </c>
      <c r="X18">
        <f>HYPERLINK("https://klasma.github.io/Logging_1981/tillsyn/A 10344-2025 tillsynsbegäran.docx", "A 10344-2025")</f>
        <v/>
      </c>
      <c r="Y18">
        <f>HYPERLINK("https://klasma.github.io/Logging_1981/tillsynsmail/A 10344-2025 tillsynsbegäran mail.docx", "A 10344-2025")</f>
        <v/>
      </c>
      <c r="Z18">
        <f>HYPERLINK("https://klasma.github.io/Logging_1981/fåglar/A 10344-2025 prioriterade fågelarter.docx", "A 10344-2025")</f>
        <v/>
      </c>
    </row>
    <row r="19" ht="15" customHeight="1">
      <c r="A19" t="inlineStr">
        <is>
          <t>A 7643-2026</t>
        </is>
      </c>
      <c r="B19" s="1" t="n">
        <v>46062</v>
      </c>
      <c r="C19" s="1" t="n">
        <v>46199</v>
      </c>
      <c r="D19" t="inlineStr">
        <is>
          <t>VÄSTMANLANDS LÄN</t>
        </is>
      </c>
      <c r="E19" t="inlineStr">
        <is>
          <t>SALA</t>
        </is>
      </c>
      <c r="G19" t="n">
        <v>7.7</v>
      </c>
      <c r="H19" t="n">
        <v>0</v>
      </c>
      <c r="I19" t="n">
        <v>3</v>
      </c>
      <c r="J19" t="n">
        <v>2</v>
      </c>
      <c r="K19" t="n">
        <v>0</v>
      </c>
      <c r="L19" t="n">
        <v>0</v>
      </c>
      <c r="M19" t="n">
        <v>0</v>
      </c>
      <c r="N19" t="n">
        <v>0</v>
      </c>
      <c r="O19" t="n">
        <v>2</v>
      </c>
      <c r="P19" t="n">
        <v>0</v>
      </c>
      <c r="Q19" t="n">
        <v>5</v>
      </c>
      <c r="R19" s="2" t="inlineStr">
        <is>
          <t>Kandelabersvamp
Veckticka
Barkticka
Rävticka
Skinnlav</t>
        </is>
      </c>
      <c r="S19">
        <f>HYPERLINK("https://klasma.github.io/Logging_1981/artfynd/A 7643-2026 artfynd.xlsx", "A 7643-2026")</f>
        <v/>
      </c>
      <c r="T19">
        <f>HYPERLINK("https://klasma.github.io/Logging_1981/kartor/A 7643-2026 karta.png", "A 7643-2026")</f>
        <v/>
      </c>
      <c r="V19">
        <f>HYPERLINK("https://klasma.github.io/Logging_1981/klagomål/A 7643-2026 FSC-klagomål.docx", "A 7643-2026")</f>
        <v/>
      </c>
      <c r="W19">
        <f>HYPERLINK("https://klasma.github.io/Logging_1981/klagomålsmail/A 7643-2026 FSC-klagomål mail.docx", "A 7643-2026")</f>
        <v/>
      </c>
      <c r="X19">
        <f>HYPERLINK("https://klasma.github.io/Logging_1981/tillsyn/A 7643-2026 tillsynsbegäran.docx", "A 7643-2026")</f>
        <v/>
      </c>
      <c r="Y19">
        <f>HYPERLINK("https://klasma.github.io/Logging_1981/tillsynsmail/A 7643-2026 tillsynsbegäran mail.docx", "A 7643-2026")</f>
        <v/>
      </c>
    </row>
    <row r="20" ht="15" customHeight="1">
      <c r="A20" t="inlineStr">
        <is>
          <t>A 1182-2022</t>
        </is>
      </c>
      <c r="B20" s="1" t="n">
        <v>44572</v>
      </c>
      <c r="C20" s="1" t="n">
        <v>46199</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46199</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34752-2023</t>
        </is>
      </c>
      <c r="B22" s="1" t="n">
        <v>45141</v>
      </c>
      <c r="C22" s="1" t="n">
        <v>46199</v>
      </c>
      <c r="D22" t="inlineStr">
        <is>
          <t>VÄSTMANLANDS LÄN</t>
        </is>
      </c>
      <c r="E22" t="inlineStr">
        <is>
          <t>SALA</t>
        </is>
      </c>
      <c r="G22" t="n">
        <v>4.9</v>
      </c>
      <c r="H22" t="n">
        <v>2</v>
      </c>
      <c r="I22" t="n">
        <v>1</v>
      </c>
      <c r="J22" t="n">
        <v>1</v>
      </c>
      <c r="K22" t="n">
        <v>2</v>
      </c>
      <c r="L22" t="n">
        <v>0</v>
      </c>
      <c r="M22" t="n">
        <v>0</v>
      </c>
      <c r="N22" t="n">
        <v>0</v>
      </c>
      <c r="O22" t="n">
        <v>3</v>
      </c>
      <c r="P22" t="n">
        <v>2</v>
      </c>
      <c r="Q22" t="n">
        <v>5</v>
      </c>
      <c r="R22" s="2" t="inlineStr">
        <is>
          <t>Knärot
Sprickporing
Svinrot
Grönpyrola
Spillkråka</t>
        </is>
      </c>
      <c r="S22">
        <f>HYPERLINK("https://klasma.github.io/Logging_1981/artfynd/A 34752-2023 artfynd.xlsx", "A 34752-2023")</f>
        <v/>
      </c>
      <c r="T22">
        <f>HYPERLINK("https://klasma.github.io/Logging_1981/kartor/A 34752-2023 karta.png", "A 34752-2023")</f>
        <v/>
      </c>
      <c r="U22">
        <f>HYPERLINK("https://klasma.github.io/Logging_1981/knärot/A 34752-2023 karta knärot.png", "A 34752-2023")</f>
        <v/>
      </c>
      <c r="V22">
        <f>HYPERLINK("https://klasma.github.io/Logging_1981/klagomål/A 34752-2023 FSC-klagomål.docx", "A 34752-2023")</f>
        <v/>
      </c>
      <c r="W22">
        <f>HYPERLINK("https://klasma.github.io/Logging_1981/klagomålsmail/A 34752-2023 FSC-klagomål mail.docx", "A 34752-2023")</f>
        <v/>
      </c>
      <c r="X22">
        <f>HYPERLINK("https://klasma.github.io/Logging_1981/tillsyn/A 34752-2023 tillsynsbegäran.docx", "A 34752-2023")</f>
        <v/>
      </c>
      <c r="Y22">
        <f>HYPERLINK("https://klasma.github.io/Logging_1981/tillsynsmail/A 34752-2023 tillsynsbegäran mail.docx", "A 34752-2023")</f>
        <v/>
      </c>
      <c r="Z22">
        <f>HYPERLINK("https://klasma.github.io/Logging_1981/fåglar/A 34752-2023 prioriterade fågelarter.docx", "A 34752-2023")</f>
        <v/>
      </c>
    </row>
    <row r="23" ht="15" customHeight="1">
      <c r="A23" t="inlineStr">
        <is>
          <t>A 50128-2025</t>
        </is>
      </c>
      <c r="B23" s="1" t="n">
        <v>45943</v>
      </c>
      <c r="C23" s="1" t="n">
        <v>46199</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14485-2026</t>
        </is>
      </c>
      <c r="B24" s="1" t="n">
        <v>46100</v>
      </c>
      <c r="C24" s="1" t="n">
        <v>46199</v>
      </c>
      <c r="D24" t="inlineStr">
        <is>
          <t>VÄSTMANLANDS LÄN</t>
        </is>
      </c>
      <c r="E24" t="inlineStr">
        <is>
          <t>SALA</t>
        </is>
      </c>
      <c r="F24" t="inlineStr">
        <is>
          <t>Sveaskog</t>
        </is>
      </c>
      <c r="G24" t="n">
        <v>13.6</v>
      </c>
      <c r="H24" t="n">
        <v>2</v>
      </c>
      <c r="I24" t="n">
        <v>0</v>
      </c>
      <c r="J24" t="n">
        <v>3</v>
      </c>
      <c r="K24" t="n">
        <v>0</v>
      </c>
      <c r="L24" t="n">
        <v>0</v>
      </c>
      <c r="M24" t="n">
        <v>0</v>
      </c>
      <c r="N24" t="n">
        <v>0</v>
      </c>
      <c r="O24" t="n">
        <v>3</v>
      </c>
      <c r="P24" t="n">
        <v>0</v>
      </c>
      <c r="Q24" t="n">
        <v>4</v>
      </c>
      <c r="R24" s="2" t="inlineStr">
        <is>
          <t>Dvärgbägarlav
Motaggsvamp
Talltita
Tjäder</t>
        </is>
      </c>
      <c r="S24">
        <f>HYPERLINK("https://klasma.github.io/Logging_1981/artfynd/A 14485-2026 artfynd.xlsx", "A 14485-2026")</f>
        <v/>
      </c>
      <c r="T24">
        <f>HYPERLINK("https://klasma.github.io/Logging_1981/kartor/A 14485-2026 karta.png", "A 14485-2026")</f>
        <v/>
      </c>
      <c r="V24">
        <f>HYPERLINK("https://klasma.github.io/Logging_1981/klagomål/A 14485-2026 FSC-klagomål.docx", "A 14485-2026")</f>
        <v/>
      </c>
      <c r="W24">
        <f>HYPERLINK("https://klasma.github.io/Logging_1981/klagomålsmail/A 14485-2026 FSC-klagomål mail.docx", "A 14485-2026")</f>
        <v/>
      </c>
      <c r="X24">
        <f>HYPERLINK("https://klasma.github.io/Logging_1981/tillsyn/A 14485-2026 tillsynsbegäran.docx", "A 14485-2026")</f>
        <v/>
      </c>
      <c r="Y24">
        <f>HYPERLINK("https://klasma.github.io/Logging_1981/tillsynsmail/A 14485-2026 tillsynsbegäran mail.docx", "A 14485-2026")</f>
        <v/>
      </c>
      <c r="Z24">
        <f>HYPERLINK("https://klasma.github.io/Logging_1981/fåglar/A 14485-2026 prioriterade fågelarter.docx", "A 14485-2026")</f>
        <v/>
      </c>
    </row>
    <row r="25" ht="15" customHeight="1">
      <c r="A25" t="inlineStr">
        <is>
          <t>A 37166-2024</t>
        </is>
      </c>
      <c r="B25" s="1" t="n">
        <v>45539</v>
      </c>
      <c r="C25" s="1" t="n">
        <v>46199</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21044-2026</t>
        </is>
      </c>
      <c r="B26" s="1" t="n">
        <v>46146</v>
      </c>
      <c r="C26" s="1" t="n">
        <v>46199</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3567-2024</t>
        </is>
      </c>
      <c r="B27" s="1" t="n">
        <v>45320</v>
      </c>
      <c r="C27" s="1" t="n">
        <v>46199</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63584-2025</t>
        </is>
      </c>
      <c r="B28" s="1" t="n">
        <v>46013</v>
      </c>
      <c r="C28" s="1" t="n">
        <v>46199</v>
      </c>
      <c r="D28" t="inlineStr">
        <is>
          <t>VÄSTMANLANDS LÄN</t>
        </is>
      </c>
      <c r="E28" t="inlineStr">
        <is>
          <t>SALA</t>
        </is>
      </c>
      <c r="G28" t="n">
        <v>7.3</v>
      </c>
      <c r="H28" t="n">
        <v>1</v>
      </c>
      <c r="I28" t="n">
        <v>0</v>
      </c>
      <c r="J28" t="n">
        <v>2</v>
      </c>
      <c r="K28" t="n">
        <v>1</v>
      </c>
      <c r="L28" t="n">
        <v>0</v>
      </c>
      <c r="M28" t="n">
        <v>0</v>
      </c>
      <c r="N28" t="n">
        <v>0</v>
      </c>
      <c r="O28" t="n">
        <v>3</v>
      </c>
      <c r="P28" t="n">
        <v>1</v>
      </c>
      <c r="Q28" t="n">
        <v>3</v>
      </c>
      <c r="R28" s="2" t="inlineStr">
        <is>
          <t>Knärot
Ullticka
Vedtrappmossa</t>
        </is>
      </c>
      <c r="S28">
        <f>HYPERLINK("https://klasma.github.io/Logging_1981/artfynd/A 63584-2025 artfynd.xlsx", "A 63584-2025")</f>
        <v/>
      </c>
      <c r="T28">
        <f>HYPERLINK("https://klasma.github.io/Logging_1981/kartor/A 63584-2025 karta.png", "A 63584-2025")</f>
        <v/>
      </c>
      <c r="U28">
        <f>HYPERLINK("https://klasma.github.io/Logging_1981/knärot/A 63584-2025 karta knärot.png", "A 63584-2025")</f>
        <v/>
      </c>
      <c r="V28">
        <f>HYPERLINK("https://klasma.github.io/Logging_1981/klagomål/A 63584-2025 FSC-klagomål.docx", "A 63584-2025")</f>
        <v/>
      </c>
      <c r="W28">
        <f>HYPERLINK("https://klasma.github.io/Logging_1981/klagomålsmail/A 63584-2025 FSC-klagomål mail.docx", "A 63584-2025")</f>
        <v/>
      </c>
      <c r="X28">
        <f>HYPERLINK("https://klasma.github.io/Logging_1981/tillsyn/A 63584-2025 tillsynsbegäran.docx", "A 63584-2025")</f>
        <v/>
      </c>
      <c r="Y28">
        <f>HYPERLINK("https://klasma.github.io/Logging_1981/tillsynsmail/A 63584-2025 tillsynsbegäran mail.docx", "A 63584-2025")</f>
        <v/>
      </c>
    </row>
    <row r="29" ht="15" customHeight="1">
      <c r="A29" t="inlineStr">
        <is>
          <t>A 12444-2024</t>
        </is>
      </c>
      <c r="B29" s="1" t="n">
        <v>45379</v>
      </c>
      <c r="C29" s="1" t="n">
        <v>46199</v>
      </c>
      <c r="D29" t="inlineStr">
        <is>
          <t>VÄSTMANLANDS LÄN</t>
        </is>
      </c>
      <c r="E29" t="inlineStr">
        <is>
          <t>SALA</t>
        </is>
      </c>
      <c r="G29" t="n">
        <v>5.5</v>
      </c>
      <c r="H29" t="n">
        <v>1</v>
      </c>
      <c r="I29" t="n">
        <v>1</v>
      </c>
      <c r="J29" t="n">
        <v>1</v>
      </c>
      <c r="K29" t="n">
        <v>1</v>
      </c>
      <c r="L29" t="n">
        <v>0</v>
      </c>
      <c r="M29" t="n">
        <v>0</v>
      </c>
      <c r="N29" t="n">
        <v>0</v>
      </c>
      <c r="O29" t="n">
        <v>2</v>
      </c>
      <c r="P29" t="n">
        <v>1</v>
      </c>
      <c r="Q29" t="n">
        <v>3</v>
      </c>
      <c r="R29" s="2" t="inlineStr">
        <is>
          <t>Knärot
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22350-2024</t>
        </is>
      </c>
      <c r="B30" s="1" t="n">
        <v>45446</v>
      </c>
      <c r="C30" s="1" t="n">
        <v>46199</v>
      </c>
      <c r="D30" t="inlineStr">
        <is>
          <t>VÄSTMANLANDS LÄN</t>
        </is>
      </c>
      <c r="E30" t="inlineStr">
        <is>
          <t>SALA</t>
        </is>
      </c>
      <c r="G30" t="n">
        <v>1.2</v>
      </c>
      <c r="H30" t="n">
        <v>1</v>
      </c>
      <c r="I30" t="n">
        <v>1</v>
      </c>
      <c r="J30" t="n">
        <v>0</v>
      </c>
      <c r="K30" t="n">
        <v>1</v>
      </c>
      <c r="L30" t="n">
        <v>0</v>
      </c>
      <c r="M30" t="n">
        <v>0</v>
      </c>
      <c r="N30" t="n">
        <v>0</v>
      </c>
      <c r="O30" t="n">
        <v>1</v>
      </c>
      <c r="P30" t="n">
        <v>1</v>
      </c>
      <c r="Q30" t="n">
        <v>3</v>
      </c>
      <c r="R30" s="2" t="inlineStr">
        <is>
          <t>Laxporing
Rödgul trumpetsvamp
Blåsippa</t>
        </is>
      </c>
      <c r="S30">
        <f>HYPERLINK("https://klasma.github.io/Logging_1981/artfynd/A 22350-2024 artfynd.xlsx", "A 22350-2024")</f>
        <v/>
      </c>
      <c r="T30">
        <f>HYPERLINK("https://klasma.github.io/Logging_1981/kartor/A 22350-2024 karta.png", "A 22350-2024")</f>
        <v/>
      </c>
      <c r="V30">
        <f>HYPERLINK("https://klasma.github.io/Logging_1981/klagomål/A 22350-2024 FSC-klagomål.docx", "A 22350-2024")</f>
        <v/>
      </c>
      <c r="W30">
        <f>HYPERLINK("https://klasma.github.io/Logging_1981/klagomålsmail/A 22350-2024 FSC-klagomål mail.docx", "A 22350-2024")</f>
        <v/>
      </c>
      <c r="X30">
        <f>HYPERLINK("https://klasma.github.io/Logging_1981/tillsyn/A 22350-2024 tillsynsbegäran.docx", "A 22350-2024")</f>
        <v/>
      </c>
      <c r="Y30">
        <f>HYPERLINK("https://klasma.github.io/Logging_1981/tillsynsmail/A 22350-2024 tillsynsbegäran mail.docx", "A 22350-2024")</f>
        <v/>
      </c>
    </row>
    <row r="31" ht="15" customHeight="1">
      <c r="A31" t="inlineStr">
        <is>
          <t>A 15630-2026</t>
        </is>
      </c>
      <c r="B31" s="1" t="n">
        <v>46106</v>
      </c>
      <c r="C31" s="1" t="n">
        <v>46199</v>
      </c>
      <c r="D31" t="inlineStr">
        <is>
          <t>VÄSTMANLANDS LÄN</t>
        </is>
      </c>
      <c r="E31" t="inlineStr">
        <is>
          <t>SALA</t>
        </is>
      </c>
      <c r="G31" t="n">
        <v>1.1</v>
      </c>
      <c r="H31" t="n">
        <v>0</v>
      </c>
      <c r="I31" t="n">
        <v>1</v>
      </c>
      <c r="J31" t="n">
        <v>1</v>
      </c>
      <c r="K31" t="n">
        <v>0</v>
      </c>
      <c r="L31" t="n">
        <v>0</v>
      </c>
      <c r="M31" t="n">
        <v>0</v>
      </c>
      <c r="N31" t="n">
        <v>0</v>
      </c>
      <c r="O31" t="n">
        <v>1</v>
      </c>
      <c r="P31" t="n">
        <v>0</v>
      </c>
      <c r="Q31" t="n">
        <v>3</v>
      </c>
      <c r="R31" s="2" t="inlineStr">
        <is>
          <t>Kortskaftad ärgspik
Thomsons trägnagare
Krushättemossa</t>
        </is>
      </c>
      <c r="S31">
        <f>HYPERLINK("https://klasma.github.io/Logging_1981/artfynd/A 15630-2026 artfynd.xlsx", "A 15630-2026")</f>
        <v/>
      </c>
      <c r="T31">
        <f>HYPERLINK("https://klasma.github.io/Logging_1981/kartor/A 15630-2026 karta.png", "A 15630-2026")</f>
        <v/>
      </c>
      <c r="V31">
        <f>HYPERLINK("https://klasma.github.io/Logging_1981/klagomål/A 15630-2026 FSC-klagomål.docx", "A 15630-2026")</f>
        <v/>
      </c>
      <c r="W31">
        <f>HYPERLINK("https://klasma.github.io/Logging_1981/klagomålsmail/A 15630-2026 FSC-klagomål mail.docx", "A 15630-2026")</f>
        <v/>
      </c>
      <c r="X31">
        <f>HYPERLINK("https://klasma.github.io/Logging_1981/tillsyn/A 15630-2026 tillsynsbegäran.docx", "A 15630-2026")</f>
        <v/>
      </c>
      <c r="Y31">
        <f>HYPERLINK("https://klasma.github.io/Logging_1981/tillsynsmail/A 15630-2026 tillsynsbegäran mail.docx", "A 15630-2026")</f>
        <v/>
      </c>
    </row>
    <row r="32" ht="15" customHeight="1">
      <c r="A32" t="inlineStr">
        <is>
          <t>A 18896-2026</t>
        </is>
      </c>
      <c r="B32" s="1" t="n">
        <v>46129</v>
      </c>
      <c r="C32" s="1" t="n">
        <v>46199</v>
      </c>
      <c r="D32" t="inlineStr">
        <is>
          <t>VÄSTMANLANDS LÄN</t>
        </is>
      </c>
      <c r="E32" t="inlineStr">
        <is>
          <t>SALA</t>
        </is>
      </c>
      <c r="F32" t="inlineStr">
        <is>
          <t>Kommuner</t>
        </is>
      </c>
      <c r="G32" t="n">
        <v>1.1</v>
      </c>
      <c r="H32" t="n">
        <v>0</v>
      </c>
      <c r="I32" t="n">
        <v>2</v>
      </c>
      <c r="J32" t="n">
        <v>1</v>
      </c>
      <c r="K32" t="n">
        <v>0</v>
      </c>
      <c r="L32" t="n">
        <v>0</v>
      </c>
      <c r="M32" t="n">
        <v>0</v>
      </c>
      <c r="N32" t="n">
        <v>0</v>
      </c>
      <c r="O32" t="n">
        <v>1</v>
      </c>
      <c r="P32" t="n">
        <v>0</v>
      </c>
      <c r="Q32" t="n">
        <v>3</v>
      </c>
      <c r="R32" s="2" t="inlineStr">
        <is>
          <t>Ullticka
Bronshjon
Dvärgtufs</t>
        </is>
      </c>
      <c r="S32">
        <f>HYPERLINK("https://klasma.github.io/Logging_1981/artfynd/A 18896-2026 artfynd.xlsx", "A 18896-2026")</f>
        <v/>
      </c>
      <c r="T32">
        <f>HYPERLINK("https://klasma.github.io/Logging_1981/kartor/A 18896-2026 karta.png", "A 18896-2026")</f>
        <v/>
      </c>
      <c r="V32">
        <f>HYPERLINK("https://klasma.github.io/Logging_1981/klagomål/A 18896-2026 FSC-klagomål.docx", "A 18896-2026")</f>
        <v/>
      </c>
      <c r="W32">
        <f>HYPERLINK("https://klasma.github.io/Logging_1981/klagomålsmail/A 18896-2026 FSC-klagomål mail.docx", "A 18896-2026")</f>
        <v/>
      </c>
      <c r="X32">
        <f>HYPERLINK("https://klasma.github.io/Logging_1981/tillsyn/A 18896-2026 tillsynsbegäran.docx", "A 18896-2026")</f>
        <v/>
      </c>
      <c r="Y32">
        <f>HYPERLINK("https://klasma.github.io/Logging_1981/tillsynsmail/A 18896-2026 tillsynsbegäran mail.docx", "A 18896-2026")</f>
        <v/>
      </c>
    </row>
    <row r="33" ht="15" customHeight="1">
      <c r="A33" t="inlineStr">
        <is>
          <t>A 62768-2021</t>
        </is>
      </c>
      <c r="B33" s="1" t="n">
        <v>44504</v>
      </c>
      <c r="C33" s="1" t="n">
        <v>46199</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3930-2026</t>
        </is>
      </c>
      <c r="B34" s="1" t="n">
        <v>46043</v>
      </c>
      <c r="C34" s="1" t="n">
        <v>46199</v>
      </c>
      <c r="D34" t="inlineStr">
        <is>
          <t>VÄSTMANLANDS LÄN</t>
        </is>
      </c>
      <c r="E34" t="inlineStr">
        <is>
          <t>SALA</t>
        </is>
      </c>
      <c r="G34" t="n">
        <v>17.4</v>
      </c>
      <c r="H34" t="n">
        <v>1</v>
      </c>
      <c r="I34" t="n">
        <v>0</v>
      </c>
      <c r="J34" t="n">
        <v>1</v>
      </c>
      <c r="K34" t="n">
        <v>2</v>
      </c>
      <c r="L34" t="n">
        <v>0</v>
      </c>
      <c r="M34" t="n">
        <v>0</v>
      </c>
      <c r="N34" t="n">
        <v>0</v>
      </c>
      <c r="O34" t="n">
        <v>3</v>
      </c>
      <c r="P34" t="n">
        <v>2</v>
      </c>
      <c r="Q34" t="n">
        <v>3</v>
      </c>
      <c r="R34" s="2" t="inlineStr">
        <is>
          <t>Gränsticka
Knärot
Ullticka</t>
        </is>
      </c>
      <c r="S34">
        <f>HYPERLINK("https://klasma.github.io/Logging_1981/artfynd/A 3930-2026 artfynd.xlsx", "A 3930-2026")</f>
        <v/>
      </c>
      <c r="T34">
        <f>HYPERLINK("https://klasma.github.io/Logging_1981/kartor/A 3930-2026 karta.png", "A 3930-2026")</f>
        <v/>
      </c>
      <c r="U34">
        <f>HYPERLINK("https://klasma.github.io/Logging_1981/knärot/A 3930-2026 karta knärot.png", "A 3930-2026")</f>
        <v/>
      </c>
      <c r="V34">
        <f>HYPERLINK("https://klasma.github.io/Logging_1981/klagomål/A 3930-2026 FSC-klagomål.docx", "A 3930-2026")</f>
        <v/>
      </c>
      <c r="W34">
        <f>HYPERLINK("https://klasma.github.io/Logging_1981/klagomålsmail/A 3930-2026 FSC-klagomål mail.docx", "A 3930-2026")</f>
        <v/>
      </c>
      <c r="X34">
        <f>HYPERLINK("https://klasma.github.io/Logging_1981/tillsyn/A 3930-2026 tillsynsbegäran.docx", "A 3930-2026")</f>
        <v/>
      </c>
      <c r="Y34">
        <f>HYPERLINK("https://klasma.github.io/Logging_1981/tillsynsmail/A 3930-2026 tillsynsbegäran mail.docx", "A 3930-2026")</f>
        <v/>
      </c>
    </row>
    <row r="35" ht="15" customHeight="1">
      <c r="A35" t="inlineStr">
        <is>
          <t>A 4264-2024</t>
        </is>
      </c>
      <c r="B35" s="1" t="n">
        <v>45324</v>
      </c>
      <c r="C35" s="1" t="n">
        <v>46199</v>
      </c>
      <c r="D35" t="inlineStr">
        <is>
          <t>VÄSTMANLANDS LÄN</t>
        </is>
      </c>
      <c r="E35" t="inlineStr">
        <is>
          <t>SALA</t>
        </is>
      </c>
      <c r="G35" t="n">
        <v>2.5</v>
      </c>
      <c r="H35" t="n">
        <v>0</v>
      </c>
      <c r="I35" t="n">
        <v>1</v>
      </c>
      <c r="J35" t="n">
        <v>2</v>
      </c>
      <c r="K35" t="n">
        <v>0</v>
      </c>
      <c r="L35" t="n">
        <v>0</v>
      </c>
      <c r="M35" t="n">
        <v>0</v>
      </c>
      <c r="N35" t="n">
        <v>0</v>
      </c>
      <c r="O35" t="n">
        <v>2</v>
      </c>
      <c r="P35" t="n">
        <v>0</v>
      </c>
      <c r="Q35" t="n">
        <v>3</v>
      </c>
      <c r="R35" s="2" t="inlineStr">
        <is>
          <t>Brunpudrad nållav
Vedtrappmossa
Dvärghäxört</t>
        </is>
      </c>
      <c r="S35">
        <f>HYPERLINK("https://klasma.github.io/Logging_1981/artfynd/A 4264-2024 artfynd.xlsx", "A 4264-2024")</f>
        <v/>
      </c>
      <c r="T35">
        <f>HYPERLINK("https://klasma.github.io/Logging_1981/kartor/A 4264-2024 karta.png", "A 4264-2024")</f>
        <v/>
      </c>
      <c r="V35">
        <f>HYPERLINK("https://klasma.github.io/Logging_1981/klagomål/A 4264-2024 FSC-klagomål.docx", "A 4264-2024")</f>
        <v/>
      </c>
      <c r="W35">
        <f>HYPERLINK("https://klasma.github.io/Logging_1981/klagomålsmail/A 4264-2024 FSC-klagomål mail.docx", "A 4264-2024")</f>
        <v/>
      </c>
      <c r="X35">
        <f>HYPERLINK("https://klasma.github.io/Logging_1981/tillsyn/A 4264-2024 tillsynsbegäran.docx", "A 4264-2024")</f>
        <v/>
      </c>
      <c r="Y35">
        <f>HYPERLINK("https://klasma.github.io/Logging_1981/tillsynsmail/A 4264-2024 tillsynsbegäran mail.docx", "A 4264-2024")</f>
        <v/>
      </c>
    </row>
    <row r="36" ht="15" customHeight="1">
      <c r="A36" t="inlineStr">
        <is>
          <t>A 29727-2023</t>
        </is>
      </c>
      <c r="B36" s="1" t="n">
        <v>45107</v>
      </c>
      <c r="C36" s="1" t="n">
        <v>46199</v>
      </c>
      <c r="D36" t="inlineStr">
        <is>
          <t>VÄSTMANLANDS LÄN</t>
        </is>
      </c>
      <c r="E36" t="inlineStr">
        <is>
          <t>SALA</t>
        </is>
      </c>
      <c r="G36" t="n">
        <v>1.9</v>
      </c>
      <c r="H36" t="n">
        <v>0</v>
      </c>
      <c r="I36" t="n">
        <v>2</v>
      </c>
      <c r="J36" t="n">
        <v>1</v>
      </c>
      <c r="K36" t="n">
        <v>0</v>
      </c>
      <c r="L36" t="n">
        <v>0</v>
      </c>
      <c r="M36" t="n">
        <v>0</v>
      </c>
      <c r="N36" t="n">
        <v>0</v>
      </c>
      <c r="O36" t="n">
        <v>1</v>
      </c>
      <c r="P36" t="n">
        <v>0</v>
      </c>
      <c r="Q36" t="n">
        <v>3</v>
      </c>
      <c r="R36" s="2" t="inlineStr">
        <is>
          <t>Vedtrappmossa
Stubbspretmossa
Vedticka</t>
        </is>
      </c>
      <c r="S36">
        <f>HYPERLINK("https://klasma.github.io/Logging_1981/artfynd/A 29727-2023 artfynd.xlsx", "A 29727-2023")</f>
        <v/>
      </c>
      <c r="T36">
        <f>HYPERLINK("https://klasma.github.io/Logging_1981/kartor/A 29727-2023 karta.png", "A 29727-2023")</f>
        <v/>
      </c>
      <c r="V36">
        <f>HYPERLINK("https://klasma.github.io/Logging_1981/klagomål/A 29727-2023 FSC-klagomål.docx", "A 29727-2023")</f>
        <v/>
      </c>
      <c r="W36">
        <f>HYPERLINK("https://klasma.github.io/Logging_1981/klagomålsmail/A 29727-2023 FSC-klagomål mail.docx", "A 29727-2023")</f>
        <v/>
      </c>
      <c r="X36">
        <f>HYPERLINK("https://klasma.github.io/Logging_1981/tillsyn/A 29727-2023 tillsynsbegäran.docx", "A 29727-2023")</f>
        <v/>
      </c>
      <c r="Y36">
        <f>HYPERLINK("https://klasma.github.io/Logging_1981/tillsynsmail/A 29727-2023 tillsynsbegäran mail.docx", "A 29727-2023")</f>
        <v/>
      </c>
    </row>
    <row r="37" ht="15" customHeight="1">
      <c r="A37" t="inlineStr">
        <is>
          <t>A 52909-2022</t>
        </is>
      </c>
      <c r="B37" s="1" t="n">
        <v>44875</v>
      </c>
      <c r="C37" s="1" t="n">
        <v>46199</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46199</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11846-2024</t>
        </is>
      </c>
      <c r="B39" s="1" t="n">
        <v>45376</v>
      </c>
      <c r="C39" s="1" t="n">
        <v>46199</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38574-2025</t>
        </is>
      </c>
      <c r="B40" s="1" t="n">
        <v>45884</v>
      </c>
      <c r="C40" s="1" t="n">
        <v>46199</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56704-2022</t>
        </is>
      </c>
      <c r="B41" s="1" t="n">
        <v>44893</v>
      </c>
      <c r="C41" s="1" t="n">
        <v>46199</v>
      </c>
      <c r="D41" t="inlineStr">
        <is>
          <t>VÄSTMANLANDS LÄN</t>
        </is>
      </c>
      <c r="E41" t="inlineStr">
        <is>
          <t>SALA</t>
        </is>
      </c>
      <c r="G41" t="n">
        <v>3.2</v>
      </c>
      <c r="H41" t="n">
        <v>2</v>
      </c>
      <c r="I41" t="n">
        <v>0</v>
      </c>
      <c r="J41" t="n">
        <v>0</v>
      </c>
      <c r="K41" t="n">
        <v>1</v>
      </c>
      <c r="L41" t="n">
        <v>0</v>
      </c>
      <c r="M41" t="n">
        <v>0</v>
      </c>
      <c r="N41" t="n">
        <v>0</v>
      </c>
      <c r="O41" t="n">
        <v>1</v>
      </c>
      <c r="P41" t="n">
        <v>1</v>
      </c>
      <c r="Q41" t="n">
        <v>2</v>
      </c>
      <c r="R41" s="2" t="inlineStr">
        <is>
          <t>Knärot
Fläcknycklar</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24872-2025</t>
        </is>
      </c>
      <c r="B42" s="1" t="n">
        <v>45799</v>
      </c>
      <c r="C42" s="1" t="n">
        <v>46199</v>
      </c>
      <c r="D42" t="inlineStr">
        <is>
          <t>VÄSTMANLANDS LÄN</t>
        </is>
      </c>
      <c r="E42" t="inlineStr">
        <is>
          <t>SALA</t>
        </is>
      </c>
      <c r="G42" t="n">
        <v>13.9</v>
      </c>
      <c r="H42" t="n">
        <v>1</v>
      </c>
      <c r="I42" t="n">
        <v>0</v>
      </c>
      <c r="J42" t="n">
        <v>1</v>
      </c>
      <c r="K42" t="n">
        <v>1</v>
      </c>
      <c r="L42" t="n">
        <v>0</v>
      </c>
      <c r="M42" t="n">
        <v>0</v>
      </c>
      <c r="N42" t="n">
        <v>0</v>
      </c>
      <c r="O42" t="n">
        <v>2</v>
      </c>
      <c r="P42" t="n">
        <v>1</v>
      </c>
      <c r="Q42" t="n">
        <v>2</v>
      </c>
      <c r="R42" s="2" t="inlineStr">
        <is>
          <t>Knärot
Motaggsvamp</t>
        </is>
      </c>
      <c r="S42">
        <f>HYPERLINK("https://klasma.github.io/Logging_1981/artfynd/A 24872-2025 artfynd.xlsx", "A 24872-2025")</f>
        <v/>
      </c>
      <c r="T42">
        <f>HYPERLINK("https://klasma.github.io/Logging_1981/kartor/A 24872-2025 karta.png", "A 24872-2025")</f>
        <v/>
      </c>
      <c r="U42">
        <f>HYPERLINK("https://klasma.github.io/Logging_1981/knärot/A 24872-2025 karta knärot.png", "A 24872-2025")</f>
        <v/>
      </c>
      <c r="V42">
        <f>HYPERLINK("https://klasma.github.io/Logging_1981/klagomål/A 24872-2025 FSC-klagomål.docx", "A 24872-2025")</f>
        <v/>
      </c>
      <c r="W42">
        <f>HYPERLINK("https://klasma.github.io/Logging_1981/klagomålsmail/A 24872-2025 FSC-klagomål mail.docx", "A 24872-2025")</f>
        <v/>
      </c>
      <c r="X42">
        <f>HYPERLINK("https://klasma.github.io/Logging_1981/tillsyn/A 24872-2025 tillsynsbegäran.docx", "A 24872-2025")</f>
        <v/>
      </c>
      <c r="Y42">
        <f>HYPERLINK("https://klasma.github.io/Logging_1981/tillsynsmail/A 24872-2025 tillsynsbegäran mail.docx", "A 24872-2025")</f>
        <v/>
      </c>
    </row>
    <row r="43" ht="15" customHeight="1">
      <c r="A43" t="inlineStr">
        <is>
          <t>A 59826-2025</t>
        </is>
      </c>
      <c r="B43" s="1" t="n">
        <v>45992</v>
      </c>
      <c r="C43" s="1" t="n">
        <v>46199</v>
      </c>
      <c r="D43" t="inlineStr">
        <is>
          <t>VÄSTMANLANDS LÄN</t>
        </is>
      </c>
      <c r="E43" t="inlineStr">
        <is>
          <t>SALA</t>
        </is>
      </c>
      <c r="G43" t="n">
        <v>2.7</v>
      </c>
      <c r="H43" t="n">
        <v>0</v>
      </c>
      <c r="I43" t="n">
        <v>1</v>
      </c>
      <c r="J43" t="n">
        <v>1</v>
      </c>
      <c r="K43" t="n">
        <v>0</v>
      </c>
      <c r="L43" t="n">
        <v>0</v>
      </c>
      <c r="M43" t="n">
        <v>0</v>
      </c>
      <c r="N43" t="n">
        <v>0</v>
      </c>
      <c r="O43" t="n">
        <v>1</v>
      </c>
      <c r="P43" t="n">
        <v>0</v>
      </c>
      <c r="Q43" t="n">
        <v>2</v>
      </c>
      <c r="R43" s="2" t="inlineStr">
        <is>
          <t>Motaggsvamp
Gullgröppa</t>
        </is>
      </c>
      <c r="S43">
        <f>HYPERLINK("https://klasma.github.io/Logging_1981/artfynd/A 59826-2025 artfynd.xlsx", "A 59826-2025")</f>
        <v/>
      </c>
      <c r="T43">
        <f>HYPERLINK("https://klasma.github.io/Logging_1981/kartor/A 59826-2025 karta.png", "A 59826-2025")</f>
        <v/>
      </c>
      <c r="V43">
        <f>HYPERLINK("https://klasma.github.io/Logging_1981/klagomål/A 59826-2025 FSC-klagomål.docx", "A 59826-2025")</f>
        <v/>
      </c>
      <c r="W43">
        <f>HYPERLINK("https://klasma.github.io/Logging_1981/klagomålsmail/A 59826-2025 FSC-klagomål mail.docx", "A 59826-2025")</f>
        <v/>
      </c>
      <c r="X43">
        <f>HYPERLINK("https://klasma.github.io/Logging_1981/tillsyn/A 59826-2025 tillsynsbegäran.docx", "A 59826-2025")</f>
        <v/>
      </c>
      <c r="Y43">
        <f>HYPERLINK("https://klasma.github.io/Logging_1981/tillsynsmail/A 59826-2025 tillsynsbegäran mail.docx", "A 59826-2025")</f>
        <v/>
      </c>
    </row>
    <row r="44" ht="15" customHeight="1">
      <c r="A44" t="inlineStr">
        <is>
          <t>A 48705-2025</t>
        </is>
      </c>
      <c r="B44" s="1" t="n">
        <v>45936</v>
      </c>
      <c r="C44" s="1" t="n">
        <v>46199</v>
      </c>
      <c r="D44" t="inlineStr">
        <is>
          <t>VÄSTMANLANDS LÄN</t>
        </is>
      </c>
      <c r="E44" t="inlineStr">
        <is>
          <t>SALA</t>
        </is>
      </c>
      <c r="G44" t="n">
        <v>4.4</v>
      </c>
      <c r="H44" t="n">
        <v>2</v>
      </c>
      <c r="I44" t="n">
        <v>1</v>
      </c>
      <c r="J44" t="n">
        <v>0</v>
      </c>
      <c r="K44" t="n">
        <v>0</v>
      </c>
      <c r="L44" t="n">
        <v>0</v>
      </c>
      <c r="M44" t="n">
        <v>0</v>
      </c>
      <c r="N44" t="n">
        <v>0</v>
      </c>
      <c r="O44" t="n">
        <v>0</v>
      </c>
      <c r="P44" t="n">
        <v>0</v>
      </c>
      <c r="Q44" t="n">
        <v>2</v>
      </c>
      <c r="R44" s="2" t="inlineStr">
        <is>
          <t>Plattlummer
Revlummer</t>
        </is>
      </c>
      <c r="S44">
        <f>HYPERLINK("https://klasma.github.io/Logging_1981/artfynd/A 48705-2025 artfynd.xlsx", "A 48705-2025")</f>
        <v/>
      </c>
      <c r="T44">
        <f>HYPERLINK("https://klasma.github.io/Logging_1981/kartor/A 48705-2025 karta.png", "A 48705-2025")</f>
        <v/>
      </c>
      <c r="V44">
        <f>HYPERLINK("https://klasma.github.io/Logging_1981/klagomål/A 48705-2025 FSC-klagomål.docx", "A 48705-2025")</f>
        <v/>
      </c>
      <c r="W44">
        <f>HYPERLINK("https://klasma.github.io/Logging_1981/klagomålsmail/A 48705-2025 FSC-klagomål mail.docx", "A 48705-2025")</f>
        <v/>
      </c>
      <c r="X44">
        <f>HYPERLINK("https://klasma.github.io/Logging_1981/tillsyn/A 48705-2025 tillsynsbegäran.docx", "A 48705-2025")</f>
        <v/>
      </c>
      <c r="Y44">
        <f>HYPERLINK("https://klasma.github.io/Logging_1981/tillsynsmail/A 48705-2025 tillsynsbegäran mail.docx", "A 48705-2025")</f>
        <v/>
      </c>
    </row>
    <row r="45" ht="15" customHeight="1">
      <c r="A45" t="inlineStr">
        <is>
          <t>A 53048-2025</t>
        </is>
      </c>
      <c r="B45" s="1" t="n">
        <v>45958</v>
      </c>
      <c r="C45" s="1" t="n">
        <v>46199</v>
      </c>
      <c r="D45" t="inlineStr">
        <is>
          <t>VÄSTMANLANDS LÄN</t>
        </is>
      </c>
      <c r="E45" t="inlineStr">
        <is>
          <t>SALA</t>
        </is>
      </c>
      <c r="F45" t="inlineStr">
        <is>
          <t>Sveaskog</t>
        </is>
      </c>
      <c r="G45" t="n">
        <v>7.5</v>
      </c>
      <c r="H45" t="n">
        <v>1</v>
      </c>
      <c r="I45" t="n">
        <v>1</v>
      </c>
      <c r="J45" t="n">
        <v>1</v>
      </c>
      <c r="K45" t="n">
        <v>0</v>
      </c>
      <c r="L45" t="n">
        <v>0</v>
      </c>
      <c r="M45" t="n">
        <v>0</v>
      </c>
      <c r="N45" t="n">
        <v>0</v>
      </c>
      <c r="O45" t="n">
        <v>1</v>
      </c>
      <c r="P45" t="n">
        <v>0</v>
      </c>
      <c r="Q45" t="n">
        <v>2</v>
      </c>
      <c r="R45" s="2" t="inlineStr">
        <is>
          <t>Motaggsvamp
Plattlummer</t>
        </is>
      </c>
      <c r="S45">
        <f>HYPERLINK("https://klasma.github.io/Logging_1981/artfynd/A 53048-2025 artfynd.xlsx", "A 53048-2025")</f>
        <v/>
      </c>
      <c r="T45">
        <f>HYPERLINK("https://klasma.github.io/Logging_1981/kartor/A 53048-2025 karta.png", "A 53048-2025")</f>
        <v/>
      </c>
      <c r="V45">
        <f>HYPERLINK("https://klasma.github.io/Logging_1981/klagomål/A 53048-2025 FSC-klagomål.docx", "A 53048-2025")</f>
        <v/>
      </c>
      <c r="W45">
        <f>HYPERLINK("https://klasma.github.io/Logging_1981/klagomålsmail/A 53048-2025 FSC-klagomål mail.docx", "A 53048-2025")</f>
        <v/>
      </c>
      <c r="X45">
        <f>HYPERLINK("https://klasma.github.io/Logging_1981/tillsyn/A 53048-2025 tillsynsbegäran.docx", "A 53048-2025")</f>
        <v/>
      </c>
      <c r="Y45">
        <f>HYPERLINK("https://klasma.github.io/Logging_1981/tillsynsmail/A 53048-2025 tillsynsbegäran mail.docx", "A 53048-2025")</f>
        <v/>
      </c>
    </row>
    <row r="46" ht="15" customHeight="1">
      <c r="A46" t="inlineStr">
        <is>
          <t>A 43068-2024</t>
        </is>
      </c>
      <c r="B46" s="1" t="n">
        <v>45567</v>
      </c>
      <c r="C46" s="1" t="n">
        <v>46199</v>
      </c>
      <c r="D46" t="inlineStr">
        <is>
          <t>VÄSTMANLANDS LÄN</t>
        </is>
      </c>
      <c r="E46" t="inlineStr">
        <is>
          <t>SALA</t>
        </is>
      </c>
      <c r="G46" t="n">
        <v>1.1</v>
      </c>
      <c r="H46" t="n">
        <v>0</v>
      </c>
      <c r="I46" t="n">
        <v>1</v>
      </c>
      <c r="J46" t="n">
        <v>1</v>
      </c>
      <c r="K46" t="n">
        <v>0</v>
      </c>
      <c r="L46" t="n">
        <v>0</v>
      </c>
      <c r="M46" t="n">
        <v>0</v>
      </c>
      <c r="N46" t="n">
        <v>0</v>
      </c>
      <c r="O46" t="n">
        <v>1</v>
      </c>
      <c r="P46" t="n">
        <v>0</v>
      </c>
      <c r="Q46" t="n">
        <v>2</v>
      </c>
      <c r="R46" s="2" t="inlineStr">
        <is>
          <t>Skorpgelélav
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13029-2023</t>
        </is>
      </c>
      <c r="B47" s="1" t="n">
        <v>45001</v>
      </c>
      <c r="C47" s="1" t="n">
        <v>46199</v>
      </c>
      <c r="D47" t="inlineStr">
        <is>
          <t>VÄSTMANLANDS LÄN</t>
        </is>
      </c>
      <c r="E47" t="inlineStr">
        <is>
          <t>SALA</t>
        </is>
      </c>
      <c r="G47" t="n">
        <v>2</v>
      </c>
      <c r="H47" t="n">
        <v>0</v>
      </c>
      <c r="I47" t="n">
        <v>0</v>
      </c>
      <c r="J47" t="n">
        <v>2</v>
      </c>
      <c r="K47" t="n">
        <v>0</v>
      </c>
      <c r="L47" t="n">
        <v>0</v>
      </c>
      <c r="M47" t="n">
        <v>0</v>
      </c>
      <c r="N47" t="n">
        <v>0</v>
      </c>
      <c r="O47" t="n">
        <v>2</v>
      </c>
      <c r="P47" t="n">
        <v>0</v>
      </c>
      <c r="Q47" t="n">
        <v>2</v>
      </c>
      <c r="R47" s="2" t="inlineStr">
        <is>
          <t>Krusfrö
Linmåra/småsnärjmåra</t>
        </is>
      </c>
      <c r="S47">
        <f>HYPERLINK("https://klasma.github.io/Logging_1981/artfynd/A 13029-2023 artfynd.xlsx", "A 13029-2023")</f>
        <v/>
      </c>
      <c r="T47">
        <f>HYPERLINK("https://klasma.github.io/Logging_1981/kartor/A 13029-2023 karta.png", "A 13029-2023")</f>
        <v/>
      </c>
      <c r="V47">
        <f>HYPERLINK("https://klasma.github.io/Logging_1981/klagomål/A 13029-2023 FSC-klagomål.docx", "A 13029-2023")</f>
        <v/>
      </c>
      <c r="W47">
        <f>HYPERLINK("https://klasma.github.io/Logging_1981/klagomålsmail/A 13029-2023 FSC-klagomål mail.docx", "A 13029-2023")</f>
        <v/>
      </c>
      <c r="X47">
        <f>HYPERLINK("https://klasma.github.io/Logging_1981/tillsyn/A 13029-2023 tillsynsbegäran.docx", "A 13029-2023")</f>
        <v/>
      </c>
      <c r="Y47">
        <f>HYPERLINK("https://klasma.github.io/Logging_1981/tillsynsmail/A 13029-2023 tillsynsbegäran mail.docx", "A 13029-2023")</f>
        <v/>
      </c>
    </row>
    <row r="48" ht="15" customHeight="1">
      <c r="A48" t="inlineStr">
        <is>
          <t>A 34494-2023</t>
        </is>
      </c>
      <c r="B48" s="1" t="n">
        <v>45133</v>
      </c>
      <c r="C48" s="1" t="n">
        <v>46199</v>
      </c>
      <c r="D48" t="inlineStr">
        <is>
          <t>VÄSTMANLANDS LÄN</t>
        </is>
      </c>
      <c r="E48" t="inlineStr">
        <is>
          <t>SALA</t>
        </is>
      </c>
      <c r="G48" t="n">
        <v>0.8</v>
      </c>
      <c r="H48" t="n">
        <v>0</v>
      </c>
      <c r="I48" t="n">
        <v>2</v>
      </c>
      <c r="J48" t="n">
        <v>0</v>
      </c>
      <c r="K48" t="n">
        <v>0</v>
      </c>
      <c r="L48" t="n">
        <v>0</v>
      </c>
      <c r="M48" t="n">
        <v>0</v>
      </c>
      <c r="N48" t="n">
        <v>0</v>
      </c>
      <c r="O48" t="n">
        <v>0</v>
      </c>
      <c r="P48" t="n">
        <v>0</v>
      </c>
      <c r="Q48" t="n">
        <v>2</v>
      </c>
      <c r="R48" s="2" t="inlineStr">
        <is>
          <t>Bronshjon
Thomsons trägnagare</t>
        </is>
      </c>
      <c r="S48">
        <f>HYPERLINK("https://klasma.github.io/Logging_1981/artfynd/A 34494-2023 artfynd.xlsx", "A 34494-2023")</f>
        <v/>
      </c>
      <c r="T48">
        <f>HYPERLINK("https://klasma.github.io/Logging_1981/kartor/A 34494-2023 karta.png", "A 34494-2023")</f>
        <v/>
      </c>
      <c r="V48">
        <f>HYPERLINK("https://klasma.github.io/Logging_1981/klagomål/A 34494-2023 FSC-klagomål.docx", "A 34494-2023")</f>
        <v/>
      </c>
      <c r="W48">
        <f>HYPERLINK("https://klasma.github.io/Logging_1981/klagomålsmail/A 34494-2023 FSC-klagomål mail.docx", "A 34494-2023")</f>
        <v/>
      </c>
      <c r="X48">
        <f>HYPERLINK("https://klasma.github.io/Logging_1981/tillsyn/A 34494-2023 tillsynsbegäran.docx", "A 34494-2023")</f>
        <v/>
      </c>
      <c r="Y48">
        <f>HYPERLINK("https://klasma.github.io/Logging_1981/tillsynsmail/A 34494-2023 tillsynsbegäran mail.docx", "A 34494-2023")</f>
        <v/>
      </c>
    </row>
    <row r="49" ht="15" customHeight="1">
      <c r="A49" t="inlineStr">
        <is>
          <t>A 41570-2021</t>
        </is>
      </c>
      <c r="B49" s="1" t="n">
        <v>44425</v>
      </c>
      <c r="C49" s="1" t="n">
        <v>46199</v>
      </c>
      <c r="D49" t="inlineStr">
        <is>
          <t>VÄSTMANLANDS LÄN</t>
        </is>
      </c>
      <c r="E49" t="inlineStr">
        <is>
          <t>SALA</t>
        </is>
      </c>
      <c r="G49" t="n">
        <v>1.4</v>
      </c>
      <c r="H49" t="n">
        <v>0</v>
      </c>
      <c r="I49" t="n">
        <v>1</v>
      </c>
      <c r="J49" t="n">
        <v>1</v>
      </c>
      <c r="K49" t="n">
        <v>0</v>
      </c>
      <c r="L49" t="n">
        <v>0</v>
      </c>
      <c r="M49" t="n">
        <v>0</v>
      </c>
      <c r="N49" t="n">
        <v>0</v>
      </c>
      <c r="O49" t="n">
        <v>1</v>
      </c>
      <c r="P49" t="n">
        <v>0</v>
      </c>
      <c r="Q49" t="n">
        <v>2</v>
      </c>
      <c r="R49" s="2" t="inlineStr">
        <is>
          <t>Vedtrappmossa
Dvärghäxört</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1500-2022</t>
        </is>
      </c>
      <c r="B50" s="1" t="n">
        <v>44573</v>
      </c>
      <c r="C50" s="1" t="n">
        <v>46199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15102-2025</t>
        </is>
      </c>
      <c r="B51" s="1" t="n">
        <v>45744</v>
      </c>
      <c r="C51" s="1" t="n">
        <v>46199</v>
      </c>
      <c r="D51" t="inlineStr">
        <is>
          <t>VÄSTMANLANDS LÄN</t>
        </is>
      </c>
      <c r="E51" t="inlineStr">
        <is>
          <t>SALA</t>
        </is>
      </c>
      <c r="F51" t="inlineStr">
        <is>
          <t>Sveaskog</t>
        </is>
      </c>
      <c r="G51" t="n">
        <v>4.2</v>
      </c>
      <c r="H51" t="n">
        <v>2</v>
      </c>
      <c r="I51" t="n">
        <v>0</v>
      </c>
      <c r="J51" t="n">
        <v>0</v>
      </c>
      <c r="K51" t="n">
        <v>0</v>
      </c>
      <c r="L51" t="n">
        <v>0</v>
      </c>
      <c r="M51" t="n">
        <v>0</v>
      </c>
      <c r="N51" t="n">
        <v>0</v>
      </c>
      <c r="O51" t="n">
        <v>0</v>
      </c>
      <c r="P51" t="n">
        <v>0</v>
      </c>
      <c r="Q51" t="n">
        <v>2</v>
      </c>
      <c r="R51" s="2" t="inlineStr">
        <is>
          <t>Spillkråka
Grönsiska</t>
        </is>
      </c>
      <c r="S51">
        <f>HYPERLINK("https://klasma.github.io/Logging_1981/artfynd/A 15102-2025 artfynd.xlsx", "A 15102-2025")</f>
        <v/>
      </c>
      <c r="T51">
        <f>HYPERLINK("https://klasma.github.io/Logging_1981/kartor/A 15102-2025 karta.png", "A 15102-2025")</f>
        <v/>
      </c>
      <c r="V51">
        <f>HYPERLINK("https://klasma.github.io/Logging_1981/klagomål/A 15102-2025 FSC-klagomål.docx", "A 15102-2025")</f>
        <v/>
      </c>
      <c r="W51">
        <f>HYPERLINK("https://klasma.github.io/Logging_1981/klagomålsmail/A 15102-2025 FSC-klagomål mail.docx", "A 15102-2025")</f>
        <v/>
      </c>
      <c r="X51">
        <f>HYPERLINK("https://klasma.github.io/Logging_1981/tillsyn/A 15102-2025 tillsynsbegäran.docx", "A 15102-2025")</f>
        <v/>
      </c>
      <c r="Y51">
        <f>HYPERLINK("https://klasma.github.io/Logging_1981/tillsynsmail/A 15102-2025 tillsynsbegäran mail.docx", "A 15102-2025")</f>
        <v/>
      </c>
      <c r="Z51">
        <f>HYPERLINK("https://klasma.github.io/Logging_1981/fåglar/A 15102-2025 prioriterade fågelarter.docx", "A 15102-2025")</f>
        <v/>
      </c>
    </row>
    <row r="52" ht="15" customHeight="1">
      <c r="A52" t="inlineStr">
        <is>
          <t>A 37624-2024</t>
        </is>
      </c>
      <c r="B52" s="1" t="n">
        <v>45541</v>
      </c>
      <c r="C52" s="1" t="n">
        <v>46199</v>
      </c>
      <c r="D52" t="inlineStr">
        <is>
          <t>VÄSTMANLANDS LÄN</t>
        </is>
      </c>
      <c r="E52" t="inlineStr">
        <is>
          <t>SALA</t>
        </is>
      </c>
      <c r="G52" t="n">
        <v>0.7</v>
      </c>
      <c r="H52" t="n">
        <v>0</v>
      </c>
      <c r="I52" t="n">
        <v>2</v>
      </c>
      <c r="J52" t="n">
        <v>0</v>
      </c>
      <c r="K52" t="n">
        <v>0</v>
      </c>
      <c r="L52" t="n">
        <v>0</v>
      </c>
      <c r="M52" t="n">
        <v>0</v>
      </c>
      <c r="N52" t="n">
        <v>0</v>
      </c>
      <c r="O52" t="n">
        <v>0</v>
      </c>
      <c r="P52" t="n">
        <v>0</v>
      </c>
      <c r="Q52" t="n">
        <v>2</v>
      </c>
      <c r="R52" s="2" t="inlineStr">
        <is>
          <t>Barkticka
Vedticka</t>
        </is>
      </c>
      <c r="S52">
        <f>HYPERLINK("https://klasma.github.io/Logging_1981/artfynd/A 37624-2024 artfynd.xlsx", "A 37624-2024")</f>
        <v/>
      </c>
      <c r="T52">
        <f>HYPERLINK("https://klasma.github.io/Logging_1981/kartor/A 37624-2024 karta.png", "A 37624-2024")</f>
        <v/>
      </c>
      <c r="V52">
        <f>HYPERLINK("https://klasma.github.io/Logging_1981/klagomål/A 37624-2024 FSC-klagomål.docx", "A 37624-2024")</f>
        <v/>
      </c>
      <c r="W52">
        <f>HYPERLINK("https://klasma.github.io/Logging_1981/klagomålsmail/A 37624-2024 FSC-klagomål mail.docx", "A 37624-2024")</f>
        <v/>
      </c>
      <c r="X52">
        <f>HYPERLINK("https://klasma.github.io/Logging_1981/tillsyn/A 37624-2024 tillsynsbegäran.docx", "A 37624-2024")</f>
        <v/>
      </c>
      <c r="Y52">
        <f>HYPERLINK("https://klasma.github.io/Logging_1981/tillsynsmail/A 37624-2024 tillsynsbegäran mail.docx", "A 37624-2024")</f>
        <v/>
      </c>
    </row>
    <row r="53" ht="15" customHeight="1">
      <c r="A53" t="inlineStr">
        <is>
          <t>A 6351-2023</t>
        </is>
      </c>
      <c r="B53" s="1" t="n">
        <v>44965</v>
      </c>
      <c r="C53" s="1" t="n">
        <v>46199</v>
      </c>
      <c r="D53" t="inlineStr">
        <is>
          <t>VÄSTMANLANDS LÄN</t>
        </is>
      </c>
      <c r="E53" t="inlineStr">
        <is>
          <t>SALA</t>
        </is>
      </c>
      <c r="F53" t="inlineStr">
        <is>
          <t>Kommuner</t>
        </is>
      </c>
      <c r="G53" t="n">
        <v>8.800000000000001</v>
      </c>
      <c r="H53" t="n">
        <v>2</v>
      </c>
      <c r="I53" t="n">
        <v>0</v>
      </c>
      <c r="J53" t="n">
        <v>0</v>
      </c>
      <c r="K53" t="n">
        <v>0</v>
      </c>
      <c r="L53" t="n">
        <v>0</v>
      </c>
      <c r="M53" t="n">
        <v>0</v>
      </c>
      <c r="N53" t="n">
        <v>0</v>
      </c>
      <c r="O53" t="n">
        <v>0</v>
      </c>
      <c r="P53" t="n">
        <v>0</v>
      </c>
      <c r="Q53" t="n">
        <v>2</v>
      </c>
      <c r="R53" s="2" t="inlineStr">
        <is>
          <t>Havsörn
Skogsödla</t>
        </is>
      </c>
      <c r="S53">
        <f>HYPERLINK("https://klasma.github.io/Logging_1981/artfynd/A 6351-2023 artfynd.xlsx", "A 6351-2023")</f>
        <v/>
      </c>
      <c r="T53">
        <f>HYPERLINK("https://klasma.github.io/Logging_1981/kartor/A 6351-2023 karta.png", "A 6351-2023")</f>
        <v/>
      </c>
      <c r="V53">
        <f>HYPERLINK("https://klasma.github.io/Logging_1981/klagomål/A 6351-2023 FSC-klagomål.docx", "A 6351-2023")</f>
        <v/>
      </c>
      <c r="W53">
        <f>HYPERLINK("https://klasma.github.io/Logging_1981/klagomålsmail/A 6351-2023 FSC-klagomål mail.docx", "A 6351-2023")</f>
        <v/>
      </c>
      <c r="X53">
        <f>HYPERLINK("https://klasma.github.io/Logging_1981/tillsyn/A 6351-2023 tillsynsbegäran.docx", "A 6351-2023")</f>
        <v/>
      </c>
      <c r="Y53">
        <f>HYPERLINK("https://klasma.github.io/Logging_1981/tillsynsmail/A 6351-2023 tillsynsbegäran mail.docx", "A 6351-2023")</f>
        <v/>
      </c>
      <c r="Z53">
        <f>HYPERLINK("https://klasma.github.io/Logging_1981/fåglar/A 6351-2023 prioriterade fågelarter.docx", "A 6351-2023")</f>
        <v/>
      </c>
    </row>
    <row r="54" ht="15" customHeight="1">
      <c r="A54" t="inlineStr">
        <is>
          <t>A 18431-2023</t>
        </is>
      </c>
      <c r="B54" s="1" t="n">
        <v>45042</v>
      </c>
      <c r="C54" s="1" t="n">
        <v>46199</v>
      </c>
      <c r="D54" t="inlineStr">
        <is>
          <t>VÄSTMANLANDS LÄN</t>
        </is>
      </c>
      <c r="E54" t="inlineStr">
        <is>
          <t>SALA</t>
        </is>
      </c>
      <c r="G54" t="n">
        <v>1.9</v>
      </c>
      <c r="H54" t="n">
        <v>0</v>
      </c>
      <c r="I54" t="n">
        <v>1</v>
      </c>
      <c r="J54" t="n">
        <v>1</v>
      </c>
      <c r="K54" t="n">
        <v>0</v>
      </c>
      <c r="L54" t="n">
        <v>0</v>
      </c>
      <c r="M54" t="n">
        <v>0</v>
      </c>
      <c r="N54" t="n">
        <v>0</v>
      </c>
      <c r="O54" t="n">
        <v>1</v>
      </c>
      <c r="P54" t="n">
        <v>0</v>
      </c>
      <c r="Q54" t="n">
        <v>2</v>
      </c>
      <c r="R54" s="2" t="inlineStr">
        <is>
          <t>Scharlakansvaxing
Blodvaxing</t>
        </is>
      </c>
      <c r="S54">
        <f>HYPERLINK("https://klasma.github.io/Logging_1981/artfynd/A 18431-2023 artfynd.xlsx", "A 18431-2023")</f>
        <v/>
      </c>
      <c r="T54">
        <f>HYPERLINK("https://klasma.github.io/Logging_1981/kartor/A 18431-2023 karta.png", "A 18431-2023")</f>
        <v/>
      </c>
      <c r="V54">
        <f>HYPERLINK("https://klasma.github.io/Logging_1981/klagomål/A 18431-2023 FSC-klagomål.docx", "A 18431-2023")</f>
        <v/>
      </c>
      <c r="W54">
        <f>HYPERLINK("https://klasma.github.io/Logging_1981/klagomålsmail/A 18431-2023 FSC-klagomål mail.docx", "A 18431-2023")</f>
        <v/>
      </c>
      <c r="X54">
        <f>HYPERLINK("https://klasma.github.io/Logging_1981/tillsyn/A 18431-2023 tillsynsbegäran.docx", "A 18431-2023")</f>
        <v/>
      </c>
      <c r="Y54">
        <f>HYPERLINK("https://klasma.github.io/Logging_1981/tillsynsmail/A 18431-2023 tillsynsbegäran mail.docx", "A 18431-2023")</f>
        <v/>
      </c>
    </row>
    <row r="55" ht="15" customHeight="1">
      <c r="A55" t="inlineStr">
        <is>
          <t>A 53432-2022</t>
        </is>
      </c>
      <c r="B55" s="1" t="n">
        <v>44879</v>
      </c>
      <c r="C55" s="1" t="n">
        <v>46199</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46199</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46199</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46199</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46199</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46199</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46199</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38255-2025</t>
        </is>
      </c>
      <c r="B62" s="1" t="n">
        <v>45883</v>
      </c>
      <c r="C62" s="1" t="n">
        <v>46199</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24910-2025</t>
        </is>
      </c>
      <c r="B63" s="1" t="n">
        <v>45799</v>
      </c>
      <c r="C63" s="1" t="n">
        <v>46199</v>
      </c>
      <c r="D63" t="inlineStr">
        <is>
          <t>VÄSTMANLANDS LÄN</t>
        </is>
      </c>
      <c r="E63" t="inlineStr">
        <is>
          <t>SALA</t>
        </is>
      </c>
      <c r="G63" t="n">
        <v>3.5</v>
      </c>
      <c r="H63" t="n">
        <v>0</v>
      </c>
      <c r="I63" t="n">
        <v>0</v>
      </c>
      <c r="J63" t="n">
        <v>1</v>
      </c>
      <c r="K63" t="n">
        <v>0</v>
      </c>
      <c r="L63" t="n">
        <v>0</v>
      </c>
      <c r="M63" t="n">
        <v>0</v>
      </c>
      <c r="N63" t="n">
        <v>0</v>
      </c>
      <c r="O63" t="n">
        <v>1</v>
      </c>
      <c r="P63" t="n">
        <v>0</v>
      </c>
      <c r="Q63" t="n">
        <v>1</v>
      </c>
      <c r="R63" s="2" t="inlineStr">
        <is>
          <t>Motaggsvamp</t>
        </is>
      </c>
      <c r="S63">
        <f>HYPERLINK("https://klasma.github.io/Logging_1981/artfynd/A 24910-2025 artfynd.xlsx", "A 24910-2025")</f>
        <v/>
      </c>
      <c r="T63">
        <f>HYPERLINK("https://klasma.github.io/Logging_1981/kartor/A 24910-2025 karta.png", "A 24910-2025")</f>
        <v/>
      </c>
      <c r="V63">
        <f>HYPERLINK("https://klasma.github.io/Logging_1981/klagomål/A 24910-2025 FSC-klagomål.docx", "A 24910-2025")</f>
        <v/>
      </c>
      <c r="W63">
        <f>HYPERLINK("https://klasma.github.io/Logging_1981/klagomålsmail/A 24910-2025 FSC-klagomål mail.docx", "A 24910-2025")</f>
        <v/>
      </c>
      <c r="X63">
        <f>HYPERLINK("https://klasma.github.io/Logging_1981/tillsyn/A 24910-2025 tillsynsbegäran.docx", "A 24910-2025")</f>
        <v/>
      </c>
      <c r="Y63">
        <f>HYPERLINK("https://klasma.github.io/Logging_1981/tillsynsmail/A 24910-2025 tillsynsbegäran mail.docx", "A 24910-2025")</f>
        <v/>
      </c>
    </row>
    <row r="64" ht="15" customHeight="1">
      <c r="A64" t="inlineStr">
        <is>
          <t>A 10909-2024</t>
        </is>
      </c>
      <c r="B64" s="1" t="n">
        <v>45370</v>
      </c>
      <c r="C64" s="1" t="n">
        <v>46199</v>
      </c>
      <c r="D64" t="inlineStr">
        <is>
          <t>VÄSTMANLANDS LÄN</t>
        </is>
      </c>
      <c r="E64" t="inlineStr">
        <is>
          <t>SALA</t>
        </is>
      </c>
      <c r="G64" t="n">
        <v>3.3</v>
      </c>
      <c r="H64" t="n">
        <v>1</v>
      </c>
      <c r="I64" t="n">
        <v>0</v>
      </c>
      <c r="J64" t="n">
        <v>0</v>
      </c>
      <c r="K64" t="n">
        <v>0</v>
      </c>
      <c r="L64" t="n">
        <v>1</v>
      </c>
      <c r="M64" t="n">
        <v>0</v>
      </c>
      <c r="N64" t="n">
        <v>0</v>
      </c>
      <c r="O64" t="n">
        <v>1</v>
      </c>
      <c r="P64" t="n">
        <v>1</v>
      </c>
      <c r="Q64" t="n">
        <v>1</v>
      </c>
      <c r="R64" s="2" t="inlineStr">
        <is>
          <t>Mosippa</t>
        </is>
      </c>
      <c r="S64">
        <f>HYPERLINK("https://klasma.github.io/Logging_1981/artfynd/A 10909-2024 artfynd.xlsx", "A 10909-2024")</f>
        <v/>
      </c>
      <c r="T64">
        <f>HYPERLINK("https://klasma.github.io/Logging_1981/kartor/A 10909-2024 karta.png", "A 10909-2024")</f>
        <v/>
      </c>
      <c r="V64">
        <f>HYPERLINK("https://klasma.github.io/Logging_1981/klagomål/A 10909-2024 FSC-klagomål.docx", "A 10909-2024")</f>
        <v/>
      </c>
      <c r="W64">
        <f>HYPERLINK("https://klasma.github.io/Logging_1981/klagomålsmail/A 10909-2024 FSC-klagomål mail.docx", "A 10909-2024")</f>
        <v/>
      </c>
      <c r="X64">
        <f>HYPERLINK("https://klasma.github.io/Logging_1981/tillsyn/A 10909-2024 tillsynsbegäran.docx", "A 10909-2024")</f>
        <v/>
      </c>
      <c r="Y64">
        <f>HYPERLINK("https://klasma.github.io/Logging_1981/tillsynsmail/A 10909-2024 tillsynsbegäran mail.docx", "A 10909-2024")</f>
        <v/>
      </c>
    </row>
    <row r="65" ht="15" customHeight="1">
      <c r="A65" t="inlineStr">
        <is>
          <t>A 43175-2023</t>
        </is>
      </c>
      <c r="B65" s="1" t="n">
        <v>45183</v>
      </c>
      <c r="C65" s="1" t="n">
        <v>46199</v>
      </c>
      <c r="D65" t="inlineStr">
        <is>
          <t>VÄSTMANLANDS LÄN</t>
        </is>
      </c>
      <c r="E65" t="inlineStr">
        <is>
          <t>SALA</t>
        </is>
      </c>
      <c r="G65" t="n">
        <v>5.6</v>
      </c>
      <c r="H65" t="n">
        <v>0</v>
      </c>
      <c r="I65" t="n">
        <v>1</v>
      </c>
      <c r="J65" t="n">
        <v>0</v>
      </c>
      <c r="K65" t="n">
        <v>0</v>
      </c>
      <c r="L65" t="n">
        <v>0</v>
      </c>
      <c r="M65" t="n">
        <v>0</v>
      </c>
      <c r="N65" t="n">
        <v>0</v>
      </c>
      <c r="O65" t="n">
        <v>0</v>
      </c>
      <c r="P65" t="n">
        <v>0</v>
      </c>
      <c r="Q65" t="n">
        <v>1</v>
      </c>
      <c r="R65" s="2" t="inlineStr">
        <is>
          <t>Grönpyrola</t>
        </is>
      </c>
      <c r="S65">
        <f>HYPERLINK("https://klasma.github.io/Logging_1981/artfynd/A 43175-2023 artfynd.xlsx", "A 43175-2023")</f>
        <v/>
      </c>
      <c r="T65">
        <f>HYPERLINK("https://klasma.github.io/Logging_1981/kartor/A 43175-2023 karta.png", "A 43175-2023")</f>
        <v/>
      </c>
      <c r="V65">
        <f>HYPERLINK("https://klasma.github.io/Logging_1981/klagomål/A 43175-2023 FSC-klagomål.docx", "A 43175-2023")</f>
        <v/>
      </c>
      <c r="W65">
        <f>HYPERLINK("https://klasma.github.io/Logging_1981/klagomålsmail/A 43175-2023 FSC-klagomål mail.docx", "A 43175-2023")</f>
        <v/>
      </c>
      <c r="X65">
        <f>HYPERLINK("https://klasma.github.io/Logging_1981/tillsyn/A 43175-2023 tillsynsbegäran.docx", "A 43175-2023")</f>
        <v/>
      </c>
      <c r="Y65">
        <f>HYPERLINK("https://klasma.github.io/Logging_1981/tillsynsmail/A 43175-2023 tillsynsbegäran mail.docx", "A 43175-2023")</f>
        <v/>
      </c>
    </row>
    <row r="66" ht="15" customHeight="1">
      <c r="A66" t="inlineStr">
        <is>
          <t>A 1196-2023</t>
        </is>
      </c>
      <c r="B66" s="1" t="n">
        <v>44935</v>
      </c>
      <c r="C66" s="1" t="n">
        <v>46199</v>
      </c>
      <c r="D66" t="inlineStr">
        <is>
          <t>VÄSTMANLANDS LÄN</t>
        </is>
      </c>
      <c r="E66" t="inlineStr">
        <is>
          <t>SALA</t>
        </is>
      </c>
      <c r="G66" t="n">
        <v>4.1</v>
      </c>
      <c r="H66" t="n">
        <v>0</v>
      </c>
      <c r="I66" t="n">
        <v>1</v>
      </c>
      <c r="J66" t="n">
        <v>0</v>
      </c>
      <c r="K66" t="n">
        <v>0</v>
      </c>
      <c r="L66" t="n">
        <v>0</v>
      </c>
      <c r="M66" t="n">
        <v>0</v>
      </c>
      <c r="N66" t="n">
        <v>0</v>
      </c>
      <c r="O66" t="n">
        <v>0</v>
      </c>
      <c r="P66" t="n">
        <v>0</v>
      </c>
      <c r="Q66" t="n">
        <v>1</v>
      </c>
      <c r="R66" s="2" t="inlineStr">
        <is>
          <t>Guldlockmossa</t>
        </is>
      </c>
      <c r="S66">
        <f>HYPERLINK("https://klasma.github.io/Logging_1981/artfynd/A 1196-2023 artfynd.xlsx", "A 1196-2023")</f>
        <v/>
      </c>
      <c r="T66">
        <f>HYPERLINK("https://klasma.github.io/Logging_1981/kartor/A 1196-2023 karta.png", "A 1196-2023")</f>
        <v/>
      </c>
      <c r="V66">
        <f>HYPERLINK("https://klasma.github.io/Logging_1981/klagomål/A 1196-2023 FSC-klagomål.docx", "A 1196-2023")</f>
        <v/>
      </c>
      <c r="W66">
        <f>HYPERLINK("https://klasma.github.io/Logging_1981/klagomålsmail/A 1196-2023 FSC-klagomål mail.docx", "A 1196-2023")</f>
        <v/>
      </c>
      <c r="X66">
        <f>HYPERLINK("https://klasma.github.io/Logging_1981/tillsyn/A 1196-2023 tillsynsbegäran.docx", "A 1196-2023")</f>
        <v/>
      </c>
      <c r="Y66">
        <f>HYPERLINK("https://klasma.github.io/Logging_1981/tillsynsmail/A 1196-2023 tillsynsbegäran mail.docx", "A 1196-2023")</f>
        <v/>
      </c>
    </row>
    <row r="67" ht="15" customHeight="1">
      <c r="A67" t="inlineStr">
        <is>
          <t>A 43176-2023</t>
        </is>
      </c>
      <c r="B67" s="1" t="n">
        <v>45183</v>
      </c>
      <c r="C67" s="1" t="n">
        <v>46199</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Mattlummer</t>
        </is>
      </c>
      <c r="S67">
        <f>HYPERLINK("https://klasma.github.io/Logging_1981/artfynd/A 43176-2023 artfynd.xlsx", "A 43176-2023")</f>
        <v/>
      </c>
      <c r="T67">
        <f>HYPERLINK("https://klasma.github.io/Logging_1981/kartor/A 43176-2023 karta.png", "A 43176-2023")</f>
        <v/>
      </c>
      <c r="V67">
        <f>HYPERLINK("https://klasma.github.io/Logging_1981/klagomål/A 43176-2023 FSC-klagomål.docx", "A 43176-2023")</f>
        <v/>
      </c>
      <c r="W67">
        <f>HYPERLINK("https://klasma.github.io/Logging_1981/klagomålsmail/A 43176-2023 FSC-klagomål mail.docx", "A 43176-2023")</f>
        <v/>
      </c>
      <c r="X67">
        <f>HYPERLINK("https://klasma.github.io/Logging_1981/tillsyn/A 43176-2023 tillsynsbegäran.docx", "A 43176-2023")</f>
        <v/>
      </c>
      <c r="Y67">
        <f>HYPERLINK("https://klasma.github.io/Logging_1981/tillsynsmail/A 43176-2023 tillsynsbegäran mail.docx", "A 43176-2023")</f>
        <v/>
      </c>
    </row>
    <row r="68" ht="15" customHeight="1">
      <c r="A68" t="inlineStr">
        <is>
          <t>A 50268-2025</t>
        </is>
      </c>
      <c r="B68" s="1" t="n">
        <v>45944</v>
      </c>
      <c r="C68" s="1" t="n">
        <v>46199</v>
      </c>
      <c r="D68" t="inlineStr">
        <is>
          <t>VÄSTMANLANDS LÄN</t>
        </is>
      </c>
      <c r="E68" t="inlineStr">
        <is>
          <t>SALA</t>
        </is>
      </c>
      <c r="G68" t="n">
        <v>0.7</v>
      </c>
      <c r="H68" t="n">
        <v>1</v>
      </c>
      <c r="I68" t="n">
        <v>0</v>
      </c>
      <c r="J68" t="n">
        <v>0</v>
      </c>
      <c r="K68" t="n">
        <v>0</v>
      </c>
      <c r="L68" t="n">
        <v>0</v>
      </c>
      <c r="M68" t="n">
        <v>0</v>
      </c>
      <c r="N68" t="n">
        <v>0</v>
      </c>
      <c r="O68" t="n">
        <v>0</v>
      </c>
      <c r="P68" t="n">
        <v>0</v>
      </c>
      <c r="Q68" t="n">
        <v>1</v>
      </c>
      <c r="R68" s="2" t="inlineStr">
        <is>
          <t>Fläcknycklar</t>
        </is>
      </c>
      <c r="S68">
        <f>HYPERLINK("https://klasma.github.io/Logging_1981/artfynd/A 50268-2025 artfynd.xlsx", "A 50268-2025")</f>
        <v/>
      </c>
      <c r="T68">
        <f>HYPERLINK("https://klasma.github.io/Logging_1981/kartor/A 50268-2025 karta.png", "A 50268-2025")</f>
        <v/>
      </c>
      <c r="V68">
        <f>HYPERLINK("https://klasma.github.io/Logging_1981/klagomål/A 50268-2025 FSC-klagomål.docx", "A 50268-2025")</f>
        <v/>
      </c>
      <c r="W68">
        <f>HYPERLINK("https://klasma.github.io/Logging_1981/klagomålsmail/A 50268-2025 FSC-klagomål mail.docx", "A 50268-2025")</f>
        <v/>
      </c>
      <c r="X68">
        <f>HYPERLINK("https://klasma.github.io/Logging_1981/tillsyn/A 50268-2025 tillsynsbegäran.docx", "A 50268-2025")</f>
        <v/>
      </c>
      <c r="Y68">
        <f>HYPERLINK("https://klasma.github.io/Logging_1981/tillsynsmail/A 50268-2025 tillsynsbegäran mail.docx", "A 50268-2025")</f>
        <v/>
      </c>
    </row>
    <row r="69" ht="15" customHeight="1">
      <c r="A69" t="inlineStr">
        <is>
          <t>A 50249-2025</t>
        </is>
      </c>
      <c r="B69" s="1" t="n">
        <v>45944</v>
      </c>
      <c r="C69" s="1" t="n">
        <v>46199</v>
      </c>
      <c r="D69" t="inlineStr">
        <is>
          <t>VÄSTMANLANDS LÄN</t>
        </is>
      </c>
      <c r="E69" t="inlineStr">
        <is>
          <t>SALA</t>
        </is>
      </c>
      <c r="G69" t="n">
        <v>2.3</v>
      </c>
      <c r="H69" t="n">
        <v>1</v>
      </c>
      <c r="I69" t="n">
        <v>0</v>
      </c>
      <c r="J69" t="n">
        <v>0</v>
      </c>
      <c r="K69" t="n">
        <v>0</v>
      </c>
      <c r="L69" t="n">
        <v>0</v>
      </c>
      <c r="M69" t="n">
        <v>0</v>
      </c>
      <c r="N69" t="n">
        <v>0</v>
      </c>
      <c r="O69" t="n">
        <v>0</v>
      </c>
      <c r="P69" t="n">
        <v>0</v>
      </c>
      <c r="Q69" t="n">
        <v>1</v>
      </c>
      <c r="R69" s="2" t="inlineStr">
        <is>
          <t>Revlummer</t>
        </is>
      </c>
      <c r="S69">
        <f>HYPERLINK("https://klasma.github.io/Logging_1981/artfynd/A 50249-2025 artfynd.xlsx", "A 50249-2025")</f>
        <v/>
      </c>
      <c r="T69">
        <f>HYPERLINK("https://klasma.github.io/Logging_1981/kartor/A 50249-2025 karta.png", "A 50249-2025")</f>
        <v/>
      </c>
      <c r="V69">
        <f>HYPERLINK("https://klasma.github.io/Logging_1981/klagomål/A 50249-2025 FSC-klagomål.docx", "A 50249-2025")</f>
        <v/>
      </c>
      <c r="W69">
        <f>HYPERLINK("https://klasma.github.io/Logging_1981/klagomålsmail/A 50249-2025 FSC-klagomål mail.docx", "A 50249-2025")</f>
        <v/>
      </c>
      <c r="X69">
        <f>HYPERLINK("https://klasma.github.io/Logging_1981/tillsyn/A 50249-2025 tillsynsbegäran.docx", "A 50249-2025")</f>
        <v/>
      </c>
      <c r="Y69">
        <f>HYPERLINK("https://klasma.github.io/Logging_1981/tillsynsmail/A 50249-2025 tillsynsbegäran mail.docx", "A 50249-2025")</f>
        <v/>
      </c>
    </row>
    <row r="70" ht="15" customHeight="1">
      <c r="A70" t="inlineStr">
        <is>
          <t>A 53052-2025</t>
        </is>
      </c>
      <c r="B70" s="1" t="n">
        <v>45958</v>
      </c>
      <c r="C70" s="1" t="n">
        <v>46199</v>
      </c>
      <c r="D70" t="inlineStr">
        <is>
          <t>VÄSTMANLANDS LÄN</t>
        </is>
      </c>
      <c r="E70" t="inlineStr">
        <is>
          <t>SALA</t>
        </is>
      </c>
      <c r="F70" t="inlineStr">
        <is>
          <t>Sveaskog</t>
        </is>
      </c>
      <c r="G70" t="n">
        <v>1.1</v>
      </c>
      <c r="H70" t="n">
        <v>0</v>
      </c>
      <c r="I70" t="n">
        <v>0</v>
      </c>
      <c r="J70" t="n">
        <v>1</v>
      </c>
      <c r="K70" t="n">
        <v>0</v>
      </c>
      <c r="L70" t="n">
        <v>0</v>
      </c>
      <c r="M70" t="n">
        <v>0</v>
      </c>
      <c r="N70" t="n">
        <v>0</v>
      </c>
      <c r="O70" t="n">
        <v>1</v>
      </c>
      <c r="P70" t="n">
        <v>0</v>
      </c>
      <c r="Q70" t="n">
        <v>1</v>
      </c>
      <c r="R70" s="2" t="inlineStr">
        <is>
          <t>Motaggsvamp</t>
        </is>
      </c>
      <c r="S70">
        <f>HYPERLINK("https://klasma.github.io/Logging_1981/artfynd/A 53052-2025 artfynd.xlsx", "A 53052-2025")</f>
        <v/>
      </c>
      <c r="T70">
        <f>HYPERLINK("https://klasma.github.io/Logging_1981/kartor/A 53052-2025 karta.png", "A 53052-2025")</f>
        <v/>
      </c>
      <c r="V70">
        <f>HYPERLINK("https://klasma.github.io/Logging_1981/klagomål/A 53052-2025 FSC-klagomål.docx", "A 53052-2025")</f>
        <v/>
      </c>
      <c r="W70">
        <f>HYPERLINK("https://klasma.github.io/Logging_1981/klagomålsmail/A 53052-2025 FSC-klagomål mail.docx", "A 53052-2025")</f>
        <v/>
      </c>
      <c r="X70">
        <f>HYPERLINK("https://klasma.github.io/Logging_1981/tillsyn/A 53052-2025 tillsynsbegäran.docx", "A 53052-2025")</f>
        <v/>
      </c>
      <c r="Y70">
        <f>HYPERLINK("https://klasma.github.io/Logging_1981/tillsynsmail/A 53052-2025 tillsynsbegäran mail.docx", "A 53052-2025")</f>
        <v/>
      </c>
    </row>
    <row r="71" ht="15" customHeight="1">
      <c r="A71" t="inlineStr">
        <is>
          <t>A 37593-2025</t>
        </is>
      </c>
      <c r="B71" s="1" t="n">
        <v>45880</v>
      </c>
      <c r="C71" s="1" t="n">
        <v>46199</v>
      </c>
      <c r="D71" t="inlineStr">
        <is>
          <t>VÄSTMANLANDS LÄN</t>
        </is>
      </c>
      <c r="E71" t="inlineStr">
        <is>
          <t>SALA</t>
        </is>
      </c>
      <c r="G71" t="n">
        <v>1.4</v>
      </c>
      <c r="H71" t="n">
        <v>1</v>
      </c>
      <c r="I71" t="n">
        <v>0</v>
      </c>
      <c r="J71" t="n">
        <v>0</v>
      </c>
      <c r="K71" t="n">
        <v>0</v>
      </c>
      <c r="L71" t="n">
        <v>0</v>
      </c>
      <c r="M71" t="n">
        <v>0</v>
      </c>
      <c r="N71" t="n">
        <v>0</v>
      </c>
      <c r="O71" t="n">
        <v>0</v>
      </c>
      <c r="P71" t="n">
        <v>0</v>
      </c>
      <c r="Q71" t="n">
        <v>1</v>
      </c>
      <c r="R71" s="2" t="inlineStr">
        <is>
          <t>Fläcknycklar</t>
        </is>
      </c>
      <c r="S71">
        <f>HYPERLINK("https://klasma.github.io/Logging_1981/artfynd/A 37593-2025 artfynd.xlsx", "A 37593-2025")</f>
        <v/>
      </c>
      <c r="T71">
        <f>HYPERLINK("https://klasma.github.io/Logging_1981/kartor/A 37593-2025 karta.png", "A 37593-2025")</f>
        <v/>
      </c>
      <c r="V71">
        <f>HYPERLINK("https://klasma.github.io/Logging_1981/klagomål/A 37593-2025 FSC-klagomål.docx", "A 37593-2025")</f>
        <v/>
      </c>
      <c r="W71">
        <f>HYPERLINK("https://klasma.github.io/Logging_1981/klagomålsmail/A 37593-2025 FSC-klagomål mail.docx", "A 37593-2025")</f>
        <v/>
      </c>
      <c r="X71">
        <f>HYPERLINK("https://klasma.github.io/Logging_1981/tillsyn/A 37593-2025 tillsynsbegäran.docx", "A 37593-2025")</f>
        <v/>
      </c>
      <c r="Y71">
        <f>HYPERLINK("https://klasma.github.io/Logging_1981/tillsynsmail/A 37593-2025 tillsynsbegäran mail.docx", "A 37593-2025")</f>
        <v/>
      </c>
    </row>
    <row r="72" ht="15" customHeight="1">
      <c r="A72" t="inlineStr">
        <is>
          <t>A 7672-2026</t>
        </is>
      </c>
      <c r="B72" s="1" t="n">
        <v>46062</v>
      </c>
      <c r="C72" s="1" t="n">
        <v>46199</v>
      </c>
      <c r="D72" t="inlineStr">
        <is>
          <t>VÄSTMANLANDS LÄN</t>
        </is>
      </c>
      <c r="E72" t="inlineStr">
        <is>
          <t>SALA</t>
        </is>
      </c>
      <c r="G72" t="n">
        <v>2.9</v>
      </c>
      <c r="H72" t="n">
        <v>1</v>
      </c>
      <c r="I72" t="n">
        <v>0</v>
      </c>
      <c r="J72" t="n">
        <v>0</v>
      </c>
      <c r="K72" t="n">
        <v>0</v>
      </c>
      <c r="L72" t="n">
        <v>0</v>
      </c>
      <c r="M72" t="n">
        <v>0</v>
      </c>
      <c r="N72" t="n">
        <v>0</v>
      </c>
      <c r="O72" t="n">
        <v>0</v>
      </c>
      <c r="P72" t="n">
        <v>0</v>
      </c>
      <c r="Q72" t="n">
        <v>1</v>
      </c>
      <c r="R72" s="2" t="inlineStr">
        <is>
          <t>Nattviol</t>
        </is>
      </c>
      <c r="S72">
        <f>HYPERLINK("https://klasma.github.io/Logging_1981/artfynd/A 7672-2026 artfynd.xlsx", "A 7672-2026")</f>
        <v/>
      </c>
      <c r="T72">
        <f>HYPERLINK("https://klasma.github.io/Logging_1981/kartor/A 7672-2026 karta.png", "A 7672-2026")</f>
        <v/>
      </c>
      <c r="V72">
        <f>HYPERLINK("https://klasma.github.io/Logging_1981/klagomål/A 7672-2026 FSC-klagomål.docx", "A 7672-2026")</f>
        <v/>
      </c>
      <c r="W72">
        <f>HYPERLINK("https://klasma.github.io/Logging_1981/klagomålsmail/A 7672-2026 FSC-klagomål mail.docx", "A 7672-2026")</f>
        <v/>
      </c>
      <c r="X72">
        <f>HYPERLINK("https://klasma.github.io/Logging_1981/tillsyn/A 7672-2026 tillsynsbegäran.docx", "A 7672-2026")</f>
        <v/>
      </c>
      <c r="Y72">
        <f>HYPERLINK("https://klasma.github.io/Logging_1981/tillsynsmail/A 7672-2026 tillsynsbegäran mail.docx", "A 7672-2026")</f>
        <v/>
      </c>
    </row>
    <row r="73" ht="15" customHeight="1">
      <c r="A73" t="inlineStr">
        <is>
          <t>A 7661-2026</t>
        </is>
      </c>
      <c r="B73" s="1" t="n">
        <v>46062</v>
      </c>
      <c r="C73" s="1" t="n">
        <v>46199</v>
      </c>
      <c r="D73" t="inlineStr">
        <is>
          <t>VÄSTMANLANDS LÄN</t>
        </is>
      </c>
      <c r="E73" t="inlineStr">
        <is>
          <t>SALA</t>
        </is>
      </c>
      <c r="G73" t="n">
        <v>1.3</v>
      </c>
      <c r="H73" t="n">
        <v>0</v>
      </c>
      <c r="I73" t="n">
        <v>0</v>
      </c>
      <c r="J73" t="n">
        <v>1</v>
      </c>
      <c r="K73" t="n">
        <v>0</v>
      </c>
      <c r="L73" t="n">
        <v>0</v>
      </c>
      <c r="M73" t="n">
        <v>0</v>
      </c>
      <c r="N73" t="n">
        <v>0</v>
      </c>
      <c r="O73" t="n">
        <v>1</v>
      </c>
      <c r="P73" t="n">
        <v>0</v>
      </c>
      <c r="Q73" t="n">
        <v>1</v>
      </c>
      <c r="R73" s="2" t="inlineStr">
        <is>
          <t>Vedtrappmossa</t>
        </is>
      </c>
      <c r="S73">
        <f>HYPERLINK("https://klasma.github.io/Logging_1981/artfynd/A 7661-2026 artfynd.xlsx", "A 7661-2026")</f>
        <v/>
      </c>
      <c r="T73">
        <f>HYPERLINK("https://klasma.github.io/Logging_1981/kartor/A 7661-2026 karta.png", "A 7661-2026")</f>
        <v/>
      </c>
      <c r="V73">
        <f>HYPERLINK("https://klasma.github.io/Logging_1981/klagomål/A 7661-2026 FSC-klagomål.docx", "A 7661-2026")</f>
        <v/>
      </c>
      <c r="W73">
        <f>HYPERLINK("https://klasma.github.io/Logging_1981/klagomålsmail/A 7661-2026 FSC-klagomål mail.docx", "A 7661-2026")</f>
        <v/>
      </c>
      <c r="X73">
        <f>HYPERLINK("https://klasma.github.io/Logging_1981/tillsyn/A 7661-2026 tillsynsbegäran.docx", "A 7661-2026")</f>
        <v/>
      </c>
      <c r="Y73">
        <f>HYPERLINK("https://klasma.github.io/Logging_1981/tillsynsmail/A 7661-2026 tillsynsbegäran mail.docx", "A 7661-2026")</f>
        <v/>
      </c>
    </row>
    <row r="74" ht="15" customHeight="1">
      <c r="A74" t="inlineStr">
        <is>
          <t>A 3810-2023</t>
        </is>
      </c>
      <c r="B74" s="1" t="n">
        <v>44951</v>
      </c>
      <c r="C74" s="1" t="n">
        <v>46199</v>
      </c>
      <c r="D74" t="inlineStr">
        <is>
          <t>VÄSTMANLANDS LÄN</t>
        </is>
      </c>
      <c r="E74" t="inlineStr">
        <is>
          <t>SALA</t>
        </is>
      </c>
      <c r="G74" t="n">
        <v>4.2</v>
      </c>
      <c r="H74" t="n">
        <v>0</v>
      </c>
      <c r="I74" t="n">
        <v>0</v>
      </c>
      <c r="J74" t="n">
        <v>0</v>
      </c>
      <c r="K74" t="n">
        <v>0</v>
      </c>
      <c r="L74" t="n">
        <v>0</v>
      </c>
      <c r="M74" t="n">
        <v>0</v>
      </c>
      <c r="N74" t="n">
        <v>0</v>
      </c>
      <c r="O74" t="n">
        <v>0</v>
      </c>
      <c r="P74" t="n">
        <v>0</v>
      </c>
      <c r="Q74" t="n">
        <v>1</v>
      </c>
      <c r="R74" s="2" t="inlineStr">
        <is>
          <t>Kärrviol</t>
        </is>
      </c>
      <c r="S74">
        <f>HYPERLINK("https://klasma.github.io/Logging_1981/artfynd/A 3810-2023 artfynd.xlsx", "A 3810-2023")</f>
        <v/>
      </c>
      <c r="T74">
        <f>HYPERLINK("https://klasma.github.io/Logging_1981/kartor/A 3810-2023 karta.png", "A 3810-2023")</f>
        <v/>
      </c>
      <c r="V74">
        <f>HYPERLINK("https://klasma.github.io/Logging_1981/klagomål/A 3810-2023 FSC-klagomål.docx", "A 3810-2023")</f>
        <v/>
      </c>
      <c r="W74">
        <f>HYPERLINK("https://klasma.github.io/Logging_1981/klagomålsmail/A 3810-2023 FSC-klagomål mail.docx", "A 3810-2023")</f>
        <v/>
      </c>
      <c r="X74">
        <f>HYPERLINK("https://klasma.github.io/Logging_1981/tillsyn/A 3810-2023 tillsynsbegäran.docx", "A 3810-2023")</f>
        <v/>
      </c>
      <c r="Y74">
        <f>HYPERLINK("https://klasma.github.io/Logging_1981/tillsynsmail/A 3810-2023 tillsynsbegäran mail.docx", "A 3810-2023")</f>
        <v/>
      </c>
    </row>
    <row r="75" ht="15" customHeight="1">
      <c r="A75" t="inlineStr">
        <is>
          <t>A 16693-2023</t>
        </is>
      </c>
      <c r="B75" s="1" t="n">
        <v>45028</v>
      </c>
      <c r="C75" s="1" t="n">
        <v>46199</v>
      </c>
      <c r="D75" t="inlineStr">
        <is>
          <t>VÄSTMANLANDS LÄN</t>
        </is>
      </c>
      <c r="E75" t="inlineStr">
        <is>
          <t>SALA</t>
        </is>
      </c>
      <c r="G75" t="n">
        <v>1.5</v>
      </c>
      <c r="H75" t="n">
        <v>0</v>
      </c>
      <c r="I75" t="n">
        <v>1</v>
      </c>
      <c r="J75" t="n">
        <v>0</v>
      </c>
      <c r="K75" t="n">
        <v>0</v>
      </c>
      <c r="L75" t="n">
        <v>0</v>
      </c>
      <c r="M75" t="n">
        <v>0</v>
      </c>
      <c r="N75" t="n">
        <v>0</v>
      </c>
      <c r="O75" t="n">
        <v>0</v>
      </c>
      <c r="P75" t="n">
        <v>0</v>
      </c>
      <c r="Q75" t="n">
        <v>1</v>
      </c>
      <c r="R75" s="2" t="inlineStr">
        <is>
          <t>Skinnlav</t>
        </is>
      </c>
      <c r="S75">
        <f>HYPERLINK("https://klasma.github.io/Logging_1981/artfynd/A 16693-2023 artfynd.xlsx", "A 16693-2023")</f>
        <v/>
      </c>
      <c r="T75">
        <f>HYPERLINK("https://klasma.github.io/Logging_1981/kartor/A 16693-2023 karta.png", "A 16693-2023")</f>
        <v/>
      </c>
      <c r="V75">
        <f>HYPERLINK("https://klasma.github.io/Logging_1981/klagomål/A 16693-2023 FSC-klagomål.docx", "A 16693-2023")</f>
        <v/>
      </c>
      <c r="W75">
        <f>HYPERLINK("https://klasma.github.io/Logging_1981/klagomålsmail/A 16693-2023 FSC-klagomål mail.docx", "A 16693-2023")</f>
        <v/>
      </c>
      <c r="X75">
        <f>HYPERLINK("https://klasma.github.io/Logging_1981/tillsyn/A 16693-2023 tillsynsbegäran.docx", "A 16693-2023")</f>
        <v/>
      </c>
      <c r="Y75">
        <f>HYPERLINK("https://klasma.github.io/Logging_1981/tillsynsmail/A 16693-2023 tillsynsbegäran mail.docx", "A 16693-2023")</f>
        <v/>
      </c>
    </row>
    <row r="76" ht="15" customHeight="1">
      <c r="A76" t="inlineStr">
        <is>
          <t>A 14481-2026</t>
        </is>
      </c>
      <c r="B76" s="1" t="n">
        <v>46100</v>
      </c>
      <c r="C76" s="1" t="n">
        <v>46199</v>
      </c>
      <c r="D76" t="inlineStr">
        <is>
          <t>VÄSTMANLANDS LÄN</t>
        </is>
      </c>
      <c r="E76" t="inlineStr">
        <is>
          <t>SALA</t>
        </is>
      </c>
      <c r="F76" t="inlineStr">
        <is>
          <t>Sveaskog</t>
        </is>
      </c>
      <c r="G76" t="n">
        <v>0.9</v>
      </c>
      <c r="H76" t="n">
        <v>1</v>
      </c>
      <c r="I76" t="n">
        <v>0</v>
      </c>
      <c r="J76" t="n">
        <v>0</v>
      </c>
      <c r="K76" t="n">
        <v>0</v>
      </c>
      <c r="L76" t="n">
        <v>0</v>
      </c>
      <c r="M76" t="n">
        <v>0</v>
      </c>
      <c r="N76" t="n">
        <v>0</v>
      </c>
      <c r="O76" t="n">
        <v>0</v>
      </c>
      <c r="P76" t="n">
        <v>0</v>
      </c>
      <c r="Q76" t="n">
        <v>1</v>
      </c>
      <c r="R76" s="2" t="inlineStr">
        <is>
          <t>Tjäder</t>
        </is>
      </c>
      <c r="S76">
        <f>HYPERLINK("https://klasma.github.io/Logging_1981/artfynd/A 14481-2026 artfynd.xlsx", "A 14481-2026")</f>
        <v/>
      </c>
      <c r="T76">
        <f>HYPERLINK("https://klasma.github.io/Logging_1981/kartor/A 14481-2026 karta.png", "A 14481-2026")</f>
        <v/>
      </c>
      <c r="V76">
        <f>HYPERLINK("https://klasma.github.io/Logging_1981/klagomål/A 14481-2026 FSC-klagomål.docx", "A 14481-2026")</f>
        <v/>
      </c>
      <c r="W76">
        <f>HYPERLINK("https://klasma.github.io/Logging_1981/klagomålsmail/A 14481-2026 FSC-klagomål mail.docx", "A 14481-2026")</f>
        <v/>
      </c>
      <c r="X76">
        <f>HYPERLINK("https://klasma.github.io/Logging_1981/tillsyn/A 14481-2026 tillsynsbegäran.docx", "A 14481-2026")</f>
        <v/>
      </c>
      <c r="Y76">
        <f>HYPERLINK("https://klasma.github.io/Logging_1981/tillsynsmail/A 14481-2026 tillsynsbegäran mail.docx", "A 14481-2026")</f>
        <v/>
      </c>
      <c r="Z76">
        <f>HYPERLINK("https://klasma.github.io/Logging_1981/fåglar/A 14481-2026 prioriterade fågelarter.docx", "A 14481-2026")</f>
        <v/>
      </c>
    </row>
    <row r="77" ht="15" customHeight="1">
      <c r="A77" t="inlineStr">
        <is>
          <t>A 14488-2026</t>
        </is>
      </c>
      <c r="B77" s="1" t="n">
        <v>46100</v>
      </c>
      <c r="C77" s="1" t="n">
        <v>46199</v>
      </c>
      <c r="D77" t="inlineStr">
        <is>
          <t>VÄSTMANLANDS LÄN</t>
        </is>
      </c>
      <c r="E77" t="inlineStr">
        <is>
          <t>SALA</t>
        </is>
      </c>
      <c r="F77" t="inlineStr">
        <is>
          <t>Sveaskog</t>
        </is>
      </c>
      <c r="G77" t="n">
        <v>1.5</v>
      </c>
      <c r="H77" t="n">
        <v>1</v>
      </c>
      <c r="I77" t="n">
        <v>0</v>
      </c>
      <c r="J77" t="n">
        <v>0</v>
      </c>
      <c r="K77" t="n">
        <v>0</v>
      </c>
      <c r="L77" t="n">
        <v>0</v>
      </c>
      <c r="M77" t="n">
        <v>0</v>
      </c>
      <c r="N77" t="n">
        <v>0</v>
      </c>
      <c r="O77" t="n">
        <v>0</v>
      </c>
      <c r="P77" t="n">
        <v>0</v>
      </c>
      <c r="Q77" t="n">
        <v>1</v>
      </c>
      <c r="R77" s="2" t="inlineStr">
        <is>
          <t>Mattlummer</t>
        </is>
      </c>
      <c r="S77">
        <f>HYPERLINK("https://klasma.github.io/Logging_1981/artfynd/A 14488-2026 artfynd.xlsx", "A 14488-2026")</f>
        <v/>
      </c>
      <c r="T77">
        <f>HYPERLINK("https://klasma.github.io/Logging_1981/kartor/A 14488-2026 karta.png", "A 14488-2026")</f>
        <v/>
      </c>
      <c r="V77">
        <f>HYPERLINK("https://klasma.github.io/Logging_1981/klagomål/A 14488-2026 FSC-klagomål.docx", "A 14488-2026")</f>
        <v/>
      </c>
      <c r="W77">
        <f>HYPERLINK("https://klasma.github.io/Logging_1981/klagomålsmail/A 14488-2026 FSC-klagomål mail.docx", "A 14488-2026")</f>
        <v/>
      </c>
      <c r="X77">
        <f>HYPERLINK("https://klasma.github.io/Logging_1981/tillsyn/A 14488-2026 tillsynsbegäran.docx", "A 14488-2026")</f>
        <v/>
      </c>
      <c r="Y77">
        <f>HYPERLINK("https://klasma.github.io/Logging_1981/tillsynsmail/A 14488-2026 tillsynsbegäran mail.docx", "A 14488-2026")</f>
        <v/>
      </c>
    </row>
    <row r="78" ht="15" customHeight="1">
      <c r="A78" t="inlineStr">
        <is>
          <t>A 14487-2026</t>
        </is>
      </c>
      <c r="B78" s="1" t="n">
        <v>46100</v>
      </c>
      <c r="C78" s="1" t="n">
        <v>46199</v>
      </c>
      <c r="D78" t="inlineStr">
        <is>
          <t>VÄSTMANLANDS LÄN</t>
        </is>
      </c>
      <c r="E78" t="inlineStr">
        <is>
          <t>SALA</t>
        </is>
      </c>
      <c r="F78" t="inlineStr">
        <is>
          <t>Sveaskog</t>
        </is>
      </c>
      <c r="G78" t="n">
        <v>6.7</v>
      </c>
      <c r="H78" t="n">
        <v>0</v>
      </c>
      <c r="I78" t="n">
        <v>0</v>
      </c>
      <c r="J78" t="n">
        <v>1</v>
      </c>
      <c r="K78" t="n">
        <v>0</v>
      </c>
      <c r="L78" t="n">
        <v>0</v>
      </c>
      <c r="M78" t="n">
        <v>0</v>
      </c>
      <c r="N78" t="n">
        <v>0</v>
      </c>
      <c r="O78" t="n">
        <v>1</v>
      </c>
      <c r="P78" t="n">
        <v>0</v>
      </c>
      <c r="Q78" t="n">
        <v>1</v>
      </c>
      <c r="R78" s="2" t="inlineStr">
        <is>
          <t>Motaggsvamp</t>
        </is>
      </c>
      <c r="S78">
        <f>HYPERLINK("https://klasma.github.io/Logging_1981/artfynd/A 14487-2026 artfynd.xlsx", "A 14487-2026")</f>
        <v/>
      </c>
      <c r="T78">
        <f>HYPERLINK("https://klasma.github.io/Logging_1981/kartor/A 14487-2026 karta.png", "A 14487-2026")</f>
        <v/>
      </c>
      <c r="V78">
        <f>HYPERLINK("https://klasma.github.io/Logging_1981/klagomål/A 14487-2026 FSC-klagomål.docx", "A 14487-2026")</f>
        <v/>
      </c>
      <c r="W78">
        <f>HYPERLINK("https://klasma.github.io/Logging_1981/klagomålsmail/A 14487-2026 FSC-klagomål mail.docx", "A 14487-2026")</f>
        <v/>
      </c>
      <c r="X78">
        <f>HYPERLINK("https://klasma.github.io/Logging_1981/tillsyn/A 14487-2026 tillsynsbegäran.docx", "A 14487-2026")</f>
        <v/>
      </c>
      <c r="Y78">
        <f>HYPERLINK("https://klasma.github.io/Logging_1981/tillsynsmail/A 14487-2026 tillsynsbegäran mail.docx", "A 14487-2026")</f>
        <v/>
      </c>
    </row>
    <row r="79" ht="15" customHeight="1">
      <c r="A79" t="inlineStr">
        <is>
          <t>A 23224-2023</t>
        </is>
      </c>
      <c r="B79" s="1" t="n">
        <v>45075</v>
      </c>
      <c r="C79" s="1" t="n">
        <v>46199</v>
      </c>
      <c r="D79" t="inlineStr">
        <is>
          <t>VÄSTMANLANDS LÄN</t>
        </is>
      </c>
      <c r="E79" t="inlineStr">
        <is>
          <t>SALA</t>
        </is>
      </c>
      <c r="G79" t="n">
        <v>0.8</v>
      </c>
      <c r="H79" t="n">
        <v>1</v>
      </c>
      <c r="I79" t="n">
        <v>0</v>
      </c>
      <c r="J79" t="n">
        <v>0</v>
      </c>
      <c r="K79" t="n">
        <v>0</v>
      </c>
      <c r="L79" t="n">
        <v>0</v>
      </c>
      <c r="M79" t="n">
        <v>0</v>
      </c>
      <c r="N79" t="n">
        <v>0</v>
      </c>
      <c r="O79" t="n">
        <v>0</v>
      </c>
      <c r="P79" t="n">
        <v>0</v>
      </c>
      <c r="Q79" t="n">
        <v>1</v>
      </c>
      <c r="R79" s="2" t="inlineStr">
        <is>
          <t>Mindre vattensalamander</t>
        </is>
      </c>
      <c r="S79">
        <f>HYPERLINK("https://klasma.github.io/Logging_1981/artfynd/A 23224-2023 artfynd.xlsx", "A 23224-2023")</f>
        <v/>
      </c>
      <c r="T79">
        <f>HYPERLINK("https://klasma.github.io/Logging_1981/kartor/A 23224-2023 karta.png", "A 23224-2023")</f>
        <v/>
      </c>
      <c r="V79">
        <f>HYPERLINK("https://klasma.github.io/Logging_1981/klagomål/A 23224-2023 FSC-klagomål.docx", "A 23224-2023")</f>
        <v/>
      </c>
      <c r="W79">
        <f>HYPERLINK("https://klasma.github.io/Logging_1981/klagomålsmail/A 23224-2023 FSC-klagomål mail.docx", "A 23224-2023")</f>
        <v/>
      </c>
      <c r="X79">
        <f>HYPERLINK("https://klasma.github.io/Logging_1981/tillsyn/A 23224-2023 tillsynsbegäran.docx", "A 23224-2023")</f>
        <v/>
      </c>
      <c r="Y79">
        <f>HYPERLINK("https://klasma.github.io/Logging_1981/tillsynsmail/A 23224-2023 tillsynsbegäran mail.docx", "A 23224-2023")</f>
        <v/>
      </c>
    </row>
    <row r="80" ht="15" customHeight="1">
      <c r="A80" t="inlineStr">
        <is>
          <t>A 14775-2023</t>
        </is>
      </c>
      <c r="B80" s="1" t="n">
        <v>45014</v>
      </c>
      <c r="C80" s="1" t="n">
        <v>46199</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17120-2023</t>
        </is>
      </c>
      <c r="B81" s="1" t="n">
        <v>45034</v>
      </c>
      <c r="C81" s="1" t="n">
        <v>46199</v>
      </c>
      <c r="D81" t="inlineStr">
        <is>
          <t>VÄSTMANLANDS LÄN</t>
        </is>
      </c>
      <c r="E81" t="inlineStr">
        <is>
          <t>SALA</t>
        </is>
      </c>
      <c r="G81" t="n">
        <v>0.1</v>
      </c>
      <c r="H81" t="n">
        <v>0</v>
      </c>
      <c r="I81" t="n">
        <v>0</v>
      </c>
      <c r="J81" t="n">
        <v>1</v>
      </c>
      <c r="K81" t="n">
        <v>0</v>
      </c>
      <c r="L81" t="n">
        <v>0</v>
      </c>
      <c r="M81" t="n">
        <v>0</v>
      </c>
      <c r="N81" t="n">
        <v>0</v>
      </c>
      <c r="O81" t="n">
        <v>1</v>
      </c>
      <c r="P81" t="n">
        <v>0</v>
      </c>
      <c r="Q81" t="n">
        <v>1</v>
      </c>
      <c r="R81" s="2" t="inlineStr">
        <is>
          <t>Backtimjan</t>
        </is>
      </c>
      <c r="S81">
        <f>HYPERLINK("https://klasma.github.io/Logging_1981/artfynd/A 17120-2023 artfynd.xlsx", "A 17120-2023")</f>
        <v/>
      </c>
      <c r="T81">
        <f>HYPERLINK("https://klasma.github.io/Logging_1981/kartor/A 17120-2023 karta.png", "A 17120-2023")</f>
        <v/>
      </c>
      <c r="V81">
        <f>HYPERLINK("https://klasma.github.io/Logging_1981/klagomål/A 17120-2023 FSC-klagomål.docx", "A 17120-2023")</f>
        <v/>
      </c>
      <c r="W81">
        <f>HYPERLINK("https://klasma.github.io/Logging_1981/klagomålsmail/A 17120-2023 FSC-klagomål mail.docx", "A 17120-2023")</f>
        <v/>
      </c>
      <c r="X81">
        <f>HYPERLINK("https://klasma.github.io/Logging_1981/tillsyn/A 17120-2023 tillsynsbegäran.docx", "A 17120-2023")</f>
        <v/>
      </c>
      <c r="Y81">
        <f>HYPERLINK("https://klasma.github.io/Logging_1981/tillsynsmail/A 17120-2023 tillsynsbegäran mail.docx", "A 17120-2023")</f>
        <v/>
      </c>
    </row>
    <row r="82" ht="15" customHeight="1">
      <c r="A82" t="inlineStr">
        <is>
          <t>A 28661-2024</t>
        </is>
      </c>
      <c r="B82" s="1" t="n">
        <v>45478</v>
      </c>
      <c r="C82" s="1" t="n">
        <v>46199</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29985-2022</t>
        </is>
      </c>
      <c r="B83" s="1" t="n">
        <v>44756</v>
      </c>
      <c r="C83" s="1" t="n">
        <v>46199</v>
      </c>
      <c r="D83" t="inlineStr">
        <is>
          <t>VÄSTMANLANDS LÄN</t>
        </is>
      </c>
      <c r="E83" t="inlineStr">
        <is>
          <t>SALA</t>
        </is>
      </c>
      <c r="F83" t="inlineStr">
        <is>
          <t>Kommuner</t>
        </is>
      </c>
      <c r="G83" t="n">
        <v>1</v>
      </c>
      <c r="H83" t="n">
        <v>1</v>
      </c>
      <c r="I83" t="n">
        <v>1</v>
      </c>
      <c r="J83" t="n">
        <v>0</v>
      </c>
      <c r="K83" t="n">
        <v>0</v>
      </c>
      <c r="L83" t="n">
        <v>0</v>
      </c>
      <c r="M83" t="n">
        <v>0</v>
      </c>
      <c r="N83" t="n">
        <v>0</v>
      </c>
      <c r="O83" t="n">
        <v>0</v>
      </c>
      <c r="P83" t="n">
        <v>0</v>
      </c>
      <c r="Q83" t="n">
        <v>1</v>
      </c>
      <c r="R83" s="2" t="inlineStr">
        <is>
          <t>Skogsknipprot</t>
        </is>
      </c>
      <c r="S83">
        <f>HYPERLINK("https://klasma.github.io/Logging_1981/artfynd/A 29985-2022 artfynd.xlsx", "A 29985-2022")</f>
        <v/>
      </c>
      <c r="T83">
        <f>HYPERLINK("https://klasma.github.io/Logging_1981/kartor/A 29985-2022 karta.png", "A 29985-2022")</f>
        <v/>
      </c>
      <c r="V83">
        <f>HYPERLINK("https://klasma.github.io/Logging_1981/klagomål/A 29985-2022 FSC-klagomål.docx", "A 29985-2022")</f>
        <v/>
      </c>
      <c r="W83">
        <f>HYPERLINK("https://klasma.github.io/Logging_1981/klagomålsmail/A 29985-2022 FSC-klagomål mail.docx", "A 29985-2022")</f>
        <v/>
      </c>
      <c r="X83">
        <f>HYPERLINK("https://klasma.github.io/Logging_1981/tillsyn/A 29985-2022 tillsynsbegäran.docx", "A 29985-2022")</f>
        <v/>
      </c>
      <c r="Y83">
        <f>HYPERLINK("https://klasma.github.io/Logging_1981/tillsynsmail/A 29985-2022 tillsynsbegäran mail.docx", "A 29985-2022")</f>
        <v/>
      </c>
    </row>
    <row r="84" ht="15" customHeight="1">
      <c r="A84" t="inlineStr">
        <is>
          <t>A 28328-2026</t>
        </is>
      </c>
      <c r="B84" s="1" t="n">
        <v>46196</v>
      </c>
      <c r="C84" s="1" t="n">
        <v>46199</v>
      </c>
      <c r="D84" t="inlineStr">
        <is>
          <t>VÄSTMANLANDS LÄN</t>
        </is>
      </c>
      <c r="E84" t="inlineStr">
        <is>
          <t>SALA</t>
        </is>
      </c>
      <c r="F84" t="inlineStr">
        <is>
          <t>Kommuner</t>
        </is>
      </c>
      <c r="G84" t="n">
        <v>5.2</v>
      </c>
      <c r="H84" t="n">
        <v>0</v>
      </c>
      <c r="I84" t="n">
        <v>1</v>
      </c>
      <c r="J84" t="n">
        <v>0</v>
      </c>
      <c r="K84" t="n">
        <v>0</v>
      </c>
      <c r="L84" t="n">
        <v>0</v>
      </c>
      <c r="M84" t="n">
        <v>0</v>
      </c>
      <c r="N84" t="n">
        <v>0</v>
      </c>
      <c r="O84" t="n">
        <v>0</v>
      </c>
      <c r="P84" t="n">
        <v>0</v>
      </c>
      <c r="Q84" t="n">
        <v>1</v>
      </c>
      <c r="R84" s="2" t="inlineStr">
        <is>
          <t>Guldlockmossa</t>
        </is>
      </c>
      <c r="S84">
        <f>HYPERLINK("https://klasma.github.io/Logging_1981/artfynd/A 28328-2026 artfynd.xlsx", "A 28328-2026")</f>
        <v/>
      </c>
      <c r="T84">
        <f>HYPERLINK("https://klasma.github.io/Logging_1981/kartor/A 28328-2026 karta.png", "A 28328-2026")</f>
        <v/>
      </c>
      <c r="V84">
        <f>HYPERLINK("https://klasma.github.io/Logging_1981/klagomål/A 28328-2026 FSC-klagomål.docx", "A 28328-2026")</f>
        <v/>
      </c>
      <c r="W84">
        <f>HYPERLINK("https://klasma.github.io/Logging_1981/klagomålsmail/A 28328-2026 FSC-klagomål mail.docx", "A 28328-2026")</f>
        <v/>
      </c>
      <c r="X84">
        <f>HYPERLINK("https://klasma.github.io/Logging_1981/tillsyn/A 28328-2026 tillsynsbegäran.docx", "A 28328-2026")</f>
        <v/>
      </c>
      <c r="Y84">
        <f>HYPERLINK("https://klasma.github.io/Logging_1981/tillsynsmail/A 28328-2026 tillsynsbegäran mail.docx", "A 28328-2026")</f>
        <v/>
      </c>
    </row>
    <row r="85" ht="15" customHeight="1">
      <c r="A85" t="inlineStr">
        <is>
          <t>A 3332-2024</t>
        </is>
      </c>
      <c r="B85" s="1" t="n">
        <v>45317</v>
      </c>
      <c r="C85" s="1" t="n">
        <v>46199</v>
      </c>
      <c r="D85" t="inlineStr">
        <is>
          <t>VÄSTMANLANDS LÄN</t>
        </is>
      </c>
      <c r="E85" t="inlineStr">
        <is>
          <t>SALA</t>
        </is>
      </c>
      <c r="G85" t="n">
        <v>2</v>
      </c>
      <c r="H85" t="n">
        <v>0</v>
      </c>
      <c r="I85" t="n">
        <v>0</v>
      </c>
      <c r="J85" t="n">
        <v>1</v>
      </c>
      <c r="K85" t="n">
        <v>0</v>
      </c>
      <c r="L85" t="n">
        <v>0</v>
      </c>
      <c r="M85" t="n">
        <v>0</v>
      </c>
      <c r="N85" t="n">
        <v>0</v>
      </c>
      <c r="O85" t="n">
        <v>1</v>
      </c>
      <c r="P85" t="n">
        <v>0</v>
      </c>
      <c r="Q85" t="n">
        <v>1</v>
      </c>
      <c r="R85" s="2" t="inlineStr">
        <is>
          <t>Rödlånke</t>
        </is>
      </c>
      <c r="S85">
        <f>HYPERLINK("https://klasma.github.io/Logging_1981/artfynd/A 3332-2024 artfynd.xlsx", "A 3332-2024")</f>
        <v/>
      </c>
      <c r="T85">
        <f>HYPERLINK("https://klasma.github.io/Logging_1981/kartor/A 3332-2024 karta.png", "A 3332-2024")</f>
        <v/>
      </c>
      <c r="V85">
        <f>HYPERLINK("https://klasma.github.io/Logging_1981/klagomål/A 3332-2024 FSC-klagomål.docx", "A 3332-2024")</f>
        <v/>
      </c>
      <c r="W85">
        <f>HYPERLINK("https://klasma.github.io/Logging_1981/klagomålsmail/A 3332-2024 FSC-klagomål mail.docx", "A 3332-2024")</f>
        <v/>
      </c>
      <c r="X85">
        <f>HYPERLINK("https://klasma.github.io/Logging_1981/tillsyn/A 3332-2024 tillsynsbegäran.docx", "A 3332-2024")</f>
        <v/>
      </c>
      <c r="Y85">
        <f>HYPERLINK("https://klasma.github.io/Logging_1981/tillsynsmail/A 3332-2024 tillsynsbegäran mail.docx", "A 3332-2024")</f>
        <v/>
      </c>
    </row>
    <row r="86" ht="15" customHeight="1">
      <c r="A86" t="inlineStr">
        <is>
          <t>A 41270-2024</t>
        </is>
      </c>
      <c r="B86" s="1" t="n">
        <v>45559</v>
      </c>
      <c r="C86" s="1" t="n">
        <v>46199</v>
      </c>
      <c r="D86" t="inlineStr">
        <is>
          <t>VÄSTMANLANDS LÄN</t>
        </is>
      </c>
      <c r="E86" t="inlineStr">
        <is>
          <t>SALA</t>
        </is>
      </c>
      <c r="G86" t="n">
        <v>15.2</v>
      </c>
      <c r="H86" t="n">
        <v>1</v>
      </c>
      <c r="I86" t="n">
        <v>0</v>
      </c>
      <c r="J86" t="n">
        <v>0</v>
      </c>
      <c r="K86" t="n">
        <v>0</v>
      </c>
      <c r="L86" t="n">
        <v>0</v>
      </c>
      <c r="M86" t="n">
        <v>0</v>
      </c>
      <c r="N86" t="n">
        <v>0</v>
      </c>
      <c r="O86" t="n">
        <v>0</v>
      </c>
      <c r="P86" t="n">
        <v>0</v>
      </c>
      <c r="Q86" t="n">
        <v>1</v>
      </c>
      <c r="R86" s="2" t="inlineStr">
        <is>
          <t>Havsörn</t>
        </is>
      </c>
      <c r="S86">
        <f>HYPERLINK("https://klasma.github.io/Logging_1981/artfynd/A 41270-2024 artfynd.xlsx", "A 41270-2024")</f>
        <v/>
      </c>
      <c r="T86">
        <f>HYPERLINK("https://klasma.github.io/Logging_1981/kartor/A 41270-2024 karta.png", "A 41270-2024")</f>
        <v/>
      </c>
      <c r="V86">
        <f>HYPERLINK("https://klasma.github.io/Logging_1981/klagomål/A 41270-2024 FSC-klagomål.docx", "A 41270-2024")</f>
        <v/>
      </c>
      <c r="W86">
        <f>HYPERLINK("https://klasma.github.io/Logging_1981/klagomålsmail/A 41270-2024 FSC-klagomål mail.docx", "A 41270-2024")</f>
        <v/>
      </c>
      <c r="X86">
        <f>HYPERLINK("https://klasma.github.io/Logging_1981/tillsyn/A 41270-2024 tillsynsbegäran.docx", "A 41270-2024")</f>
        <v/>
      </c>
      <c r="Y86">
        <f>HYPERLINK("https://klasma.github.io/Logging_1981/tillsynsmail/A 41270-2024 tillsynsbegäran mail.docx", "A 41270-2024")</f>
        <v/>
      </c>
      <c r="Z86">
        <f>HYPERLINK("https://klasma.github.io/Logging_1981/fåglar/A 41270-2024 prioriterade fågelarter.docx", "A 41270-2024")</f>
        <v/>
      </c>
    </row>
    <row r="87" ht="15" customHeight="1">
      <c r="A87" t="inlineStr">
        <is>
          <t>A 26369-2026</t>
        </is>
      </c>
      <c r="B87" s="1" t="n">
        <v>46182</v>
      </c>
      <c r="C87" s="1" t="n">
        <v>46199</v>
      </c>
      <c r="D87" t="inlineStr">
        <is>
          <t>VÄSTMANLANDS LÄN</t>
        </is>
      </c>
      <c r="E87" t="inlineStr">
        <is>
          <t>SALA</t>
        </is>
      </c>
      <c r="G87" t="n">
        <v>5.7</v>
      </c>
      <c r="H87" t="n">
        <v>1</v>
      </c>
      <c r="I87" t="n">
        <v>0</v>
      </c>
      <c r="J87" t="n">
        <v>0</v>
      </c>
      <c r="K87" t="n">
        <v>0</v>
      </c>
      <c r="L87" t="n">
        <v>0</v>
      </c>
      <c r="M87" t="n">
        <v>0</v>
      </c>
      <c r="N87" t="n">
        <v>0</v>
      </c>
      <c r="O87" t="n">
        <v>0</v>
      </c>
      <c r="P87" t="n">
        <v>0</v>
      </c>
      <c r="Q87" t="n">
        <v>1</v>
      </c>
      <c r="R87" s="2" t="inlineStr">
        <is>
          <t>Fläcknycklar</t>
        </is>
      </c>
      <c r="S87">
        <f>HYPERLINK("https://klasma.github.io/Logging_1981/artfynd/A 26369-2026 artfynd.xlsx", "A 26369-2026")</f>
        <v/>
      </c>
      <c r="T87">
        <f>HYPERLINK("https://klasma.github.io/Logging_1981/kartor/A 26369-2026 karta.png", "A 26369-2026")</f>
        <v/>
      </c>
      <c r="V87">
        <f>HYPERLINK("https://klasma.github.io/Logging_1981/klagomål/A 26369-2026 FSC-klagomål.docx", "A 26369-2026")</f>
        <v/>
      </c>
      <c r="W87">
        <f>HYPERLINK("https://klasma.github.io/Logging_1981/klagomålsmail/A 26369-2026 FSC-klagomål mail.docx", "A 26369-2026")</f>
        <v/>
      </c>
      <c r="X87">
        <f>HYPERLINK("https://klasma.github.io/Logging_1981/tillsyn/A 26369-2026 tillsynsbegäran.docx", "A 26369-2026")</f>
        <v/>
      </c>
      <c r="Y87">
        <f>HYPERLINK("https://klasma.github.io/Logging_1981/tillsynsmail/A 26369-2026 tillsynsbegäran mail.docx", "A 26369-2026")</f>
        <v/>
      </c>
    </row>
    <row r="88" ht="15" customHeight="1">
      <c r="A88" t="inlineStr">
        <is>
          <t>A 12246-2023</t>
        </is>
      </c>
      <c r="B88" s="1" t="n">
        <v>44995</v>
      </c>
      <c r="C88" s="1" t="n">
        <v>46199</v>
      </c>
      <c r="D88" t="inlineStr">
        <is>
          <t>VÄSTMANLANDS LÄN</t>
        </is>
      </c>
      <c r="E88" t="inlineStr">
        <is>
          <t>SALA</t>
        </is>
      </c>
      <c r="G88" t="n">
        <v>2.4</v>
      </c>
      <c r="H88" t="n">
        <v>1</v>
      </c>
      <c r="I88" t="n">
        <v>0</v>
      </c>
      <c r="J88" t="n">
        <v>0</v>
      </c>
      <c r="K88" t="n">
        <v>0</v>
      </c>
      <c r="L88" t="n">
        <v>0</v>
      </c>
      <c r="M88" t="n">
        <v>0</v>
      </c>
      <c r="N88" t="n">
        <v>0</v>
      </c>
      <c r="O88" t="n">
        <v>0</v>
      </c>
      <c r="P88" t="n">
        <v>0</v>
      </c>
      <c r="Q88" t="n">
        <v>1</v>
      </c>
      <c r="R88" s="2" t="inlineStr">
        <is>
          <t>Trana</t>
        </is>
      </c>
      <c r="S88">
        <f>HYPERLINK("https://klasma.github.io/Logging_1981/artfynd/A 12246-2023 artfynd.xlsx", "A 12246-2023")</f>
        <v/>
      </c>
      <c r="T88">
        <f>HYPERLINK("https://klasma.github.io/Logging_1981/kartor/A 12246-2023 karta.png", "A 12246-2023")</f>
        <v/>
      </c>
      <c r="V88">
        <f>HYPERLINK("https://klasma.github.io/Logging_1981/klagomål/A 12246-2023 FSC-klagomål.docx", "A 12246-2023")</f>
        <v/>
      </c>
      <c r="W88">
        <f>HYPERLINK("https://klasma.github.io/Logging_1981/klagomålsmail/A 12246-2023 FSC-klagomål mail.docx", "A 12246-2023")</f>
        <v/>
      </c>
      <c r="X88">
        <f>HYPERLINK("https://klasma.github.io/Logging_1981/tillsyn/A 12246-2023 tillsynsbegäran.docx", "A 12246-2023")</f>
        <v/>
      </c>
      <c r="Y88">
        <f>HYPERLINK("https://klasma.github.io/Logging_1981/tillsynsmail/A 12246-2023 tillsynsbegäran mail.docx", "A 12246-2023")</f>
        <v/>
      </c>
      <c r="Z88">
        <f>HYPERLINK("https://klasma.github.io/Logging_1981/fåglar/A 12246-2023 prioriterade fågelarter.docx", "A 12246-2023")</f>
        <v/>
      </c>
    </row>
    <row r="89" ht="15" customHeight="1">
      <c r="A89" t="inlineStr">
        <is>
          <t>A 25748-2022</t>
        </is>
      </c>
      <c r="B89" s="1" t="n">
        <v>44732</v>
      </c>
      <c r="C89" s="1" t="n">
        <v>46199</v>
      </c>
      <c r="D89" t="inlineStr">
        <is>
          <t>VÄSTMANLANDS LÄN</t>
        </is>
      </c>
      <c r="E89" t="inlineStr">
        <is>
          <t>SALA</t>
        </is>
      </c>
      <c r="G89" t="n">
        <v>7.7</v>
      </c>
      <c r="H89" t="n">
        <v>1</v>
      </c>
      <c r="I89" t="n">
        <v>0</v>
      </c>
      <c r="J89" t="n">
        <v>0</v>
      </c>
      <c r="K89" t="n">
        <v>0</v>
      </c>
      <c r="L89" t="n">
        <v>0</v>
      </c>
      <c r="M89" t="n">
        <v>0</v>
      </c>
      <c r="N89" t="n">
        <v>0</v>
      </c>
      <c r="O89" t="n">
        <v>0</v>
      </c>
      <c r="P89" t="n">
        <v>0</v>
      </c>
      <c r="Q89" t="n">
        <v>1</v>
      </c>
      <c r="R89" s="2" t="inlineStr">
        <is>
          <t>Kungsfågel</t>
        </is>
      </c>
      <c r="S89">
        <f>HYPERLINK("https://klasma.github.io/Logging_1981/artfynd/A 25748-2022 artfynd.xlsx", "A 25748-2022")</f>
        <v/>
      </c>
      <c r="T89">
        <f>HYPERLINK("https://klasma.github.io/Logging_1981/kartor/A 25748-2022 karta.png", "A 25748-2022")</f>
        <v/>
      </c>
      <c r="V89">
        <f>HYPERLINK("https://klasma.github.io/Logging_1981/klagomål/A 25748-2022 FSC-klagomål.docx", "A 25748-2022")</f>
        <v/>
      </c>
      <c r="W89">
        <f>HYPERLINK("https://klasma.github.io/Logging_1981/klagomålsmail/A 25748-2022 FSC-klagomål mail.docx", "A 25748-2022")</f>
        <v/>
      </c>
      <c r="X89">
        <f>HYPERLINK("https://klasma.github.io/Logging_1981/tillsyn/A 25748-2022 tillsynsbegäran.docx", "A 25748-2022")</f>
        <v/>
      </c>
      <c r="Y89">
        <f>HYPERLINK("https://klasma.github.io/Logging_1981/tillsynsmail/A 25748-2022 tillsynsbegäran mail.docx", "A 25748-2022")</f>
        <v/>
      </c>
    </row>
    <row r="90" ht="15" customHeight="1">
      <c r="A90" t="inlineStr">
        <is>
          <t>A 31859-2023</t>
        </is>
      </c>
      <c r="B90" s="1" t="n">
        <v>45118</v>
      </c>
      <c r="C90" s="1" t="n">
        <v>46199</v>
      </c>
      <c r="D90" t="inlineStr">
        <is>
          <t>VÄSTMANLANDS LÄN</t>
        </is>
      </c>
      <c r="E90" t="inlineStr">
        <is>
          <t>SALA</t>
        </is>
      </c>
      <c r="G90" t="n">
        <v>0.5</v>
      </c>
      <c r="H90" t="n">
        <v>1</v>
      </c>
      <c r="I90" t="n">
        <v>0</v>
      </c>
      <c r="J90" t="n">
        <v>0</v>
      </c>
      <c r="K90" t="n">
        <v>1</v>
      </c>
      <c r="L90" t="n">
        <v>0</v>
      </c>
      <c r="M90" t="n">
        <v>0</v>
      </c>
      <c r="N90" t="n">
        <v>0</v>
      </c>
      <c r="O90" t="n">
        <v>1</v>
      </c>
      <c r="P90" t="n">
        <v>1</v>
      </c>
      <c r="Q90" t="n">
        <v>1</v>
      </c>
      <c r="R90" s="2" t="inlineStr">
        <is>
          <t>Knärot</t>
        </is>
      </c>
      <c r="S90">
        <f>HYPERLINK("https://klasma.github.io/Logging_1981/artfynd/A 31859-2023 artfynd.xlsx", "A 31859-2023")</f>
        <v/>
      </c>
      <c r="T90">
        <f>HYPERLINK("https://klasma.github.io/Logging_1981/kartor/A 31859-2023 karta.png", "A 31859-2023")</f>
        <v/>
      </c>
      <c r="U90">
        <f>HYPERLINK("https://klasma.github.io/Logging_1981/knärot/A 31859-2023 karta knärot.png", "A 31859-2023")</f>
        <v/>
      </c>
      <c r="V90">
        <f>HYPERLINK("https://klasma.github.io/Logging_1981/klagomål/A 31859-2023 FSC-klagomål.docx", "A 31859-2023")</f>
        <v/>
      </c>
      <c r="W90">
        <f>HYPERLINK("https://klasma.github.io/Logging_1981/klagomålsmail/A 31859-2023 FSC-klagomål mail.docx", "A 31859-2023")</f>
        <v/>
      </c>
      <c r="X90">
        <f>HYPERLINK("https://klasma.github.io/Logging_1981/tillsyn/A 31859-2023 tillsynsbegäran.docx", "A 31859-2023")</f>
        <v/>
      </c>
      <c r="Y90">
        <f>HYPERLINK("https://klasma.github.io/Logging_1981/tillsynsmail/A 31859-2023 tillsynsbegäran mail.docx", "A 31859-2023")</f>
        <v/>
      </c>
    </row>
    <row r="91" ht="15" customHeight="1">
      <c r="A91" t="inlineStr">
        <is>
          <t>A 55550-2023</t>
        </is>
      </c>
      <c r="B91" s="1" t="n">
        <v>45232</v>
      </c>
      <c r="C91" s="1" t="n">
        <v>46199</v>
      </c>
      <c r="D91" t="inlineStr">
        <is>
          <t>VÄSTMANLANDS LÄN</t>
        </is>
      </c>
      <c r="E91" t="inlineStr">
        <is>
          <t>SALA</t>
        </is>
      </c>
      <c r="G91" t="n">
        <v>9.9</v>
      </c>
      <c r="H91" t="n">
        <v>1</v>
      </c>
      <c r="I91" t="n">
        <v>0</v>
      </c>
      <c r="J91" t="n">
        <v>0</v>
      </c>
      <c r="K91" t="n">
        <v>1</v>
      </c>
      <c r="L91" t="n">
        <v>0</v>
      </c>
      <c r="M91" t="n">
        <v>0</v>
      </c>
      <c r="N91" t="n">
        <v>0</v>
      </c>
      <c r="O91" t="n">
        <v>1</v>
      </c>
      <c r="P91" t="n">
        <v>1</v>
      </c>
      <c r="Q91" t="n">
        <v>1</v>
      </c>
      <c r="R91" s="2" t="inlineStr">
        <is>
          <t>Knärot</t>
        </is>
      </c>
      <c r="S91">
        <f>HYPERLINK("https://klasma.github.io/Logging_1981/artfynd/A 55550-2023 artfynd.xlsx", "A 55550-2023")</f>
        <v/>
      </c>
      <c r="T91">
        <f>HYPERLINK("https://klasma.github.io/Logging_1981/kartor/A 55550-2023 karta.png", "A 55550-2023")</f>
        <v/>
      </c>
      <c r="U91">
        <f>HYPERLINK("https://klasma.github.io/Logging_1981/knärot/A 55550-2023 karta knärot.png", "A 55550-2023")</f>
        <v/>
      </c>
      <c r="V91">
        <f>HYPERLINK("https://klasma.github.io/Logging_1981/klagomål/A 55550-2023 FSC-klagomål.docx", "A 55550-2023")</f>
        <v/>
      </c>
      <c r="W91">
        <f>HYPERLINK("https://klasma.github.io/Logging_1981/klagomålsmail/A 55550-2023 FSC-klagomål mail.docx", "A 55550-2023")</f>
        <v/>
      </c>
      <c r="X91">
        <f>HYPERLINK("https://klasma.github.io/Logging_1981/tillsyn/A 55550-2023 tillsynsbegäran.docx", "A 55550-2023")</f>
        <v/>
      </c>
      <c r="Y91">
        <f>HYPERLINK("https://klasma.github.io/Logging_1981/tillsynsmail/A 55550-2023 tillsynsbegäran mail.docx", "A 55550-2023")</f>
        <v/>
      </c>
    </row>
    <row r="92" ht="15" customHeight="1">
      <c r="A92" t="inlineStr">
        <is>
          <t>A 73124-2021</t>
        </is>
      </c>
      <c r="B92" s="1" t="n">
        <v>44550</v>
      </c>
      <c r="C92" s="1" t="n">
        <v>46199</v>
      </c>
      <c r="D92" t="inlineStr">
        <is>
          <t>VÄSTMANLANDS LÄN</t>
        </is>
      </c>
      <c r="E92" t="inlineStr">
        <is>
          <t>SALA</t>
        </is>
      </c>
      <c r="G92" t="n">
        <v>2.8</v>
      </c>
      <c r="H92" t="n">
        <v>0</v>
      </c>
      <c r="I92" t="n">
        <v>0</v>
      </c>
      <c r="J92" t="n">
        <v>0</v>
      </c>
      <c r="K92" t="n">
        <v>0</v>
      </c>
      <c r="L92" t="n">
        <v>0</v>
      </c>
      <c r="M92" t="n">
        <v>0</v>
      </c>
      <c r="N92" t="n">
        <v>0</v>
      </c>
      <c r="O92" t="n">
        <v>0</v>
      </c>
      <c r="P92" t="n">
        <v>0</v>
      </c>
      <c r="Q92" t="n">
        <v>0</v>
      </c>
      <c r="R92" s="2" t="inlineStr"/>
    </row>
    <row r="93" ht="15" customHeight="1">
      <c r="A93" t="inlineStr">
        <is>
          <t>A 66561-2021</t>
        </is>
      </c>
      <c r="B93" s="1" t="n">
        <v>44519</v>
      </c>
      <c r="C93" s="1" t="n">
        <v>46199</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34110-2022</t>
        </is>
      </c>
      <c r="B94" s="1" t="n">
        <v>44791</v>
      </c>
      <c r="C94" s="1" t="n">
        <v>46199</v>
      </c>
      <c r="D94" t="inlineStr">
        <is>
          <t>VÄSTMANLANDS LÄN</t>
        </is>
      </c>
      <c r="E94" t="inlineStr">
        <is>
          <t>SALA</t>
        </is>
      </c>
      <c r="G94" t="n">
        <v>0.2</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46199</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28999-2022</t>
        </is>
      </c>
      <c r="B96" s="1" t="n">
        <v>44749</v>
      </c>
      <c r="C96" s="1" t="n">
        <v>46199</v>
      </c>
      <c r="D96" t="inlineStr">
        <is>
          <t>VÄSTMANLANDS LÄN</t>
        </is>
      </c>
      <c r="E96" t="inlineStr">
        <is>
          <t>SALA</t>
        </is>
      </c>
      <c r="G96" t="n">
        <v>5.7</v>
      </c>
      <c r="H96" t="n">
        <v>0</v>
      </c>
      <c r="I96" t="n">
        <v>0</v>
      </c>
      <c r="J96" t="n">
        <v>0</v>
      </c>
      <c r="K96" t="n">
        <v>0</v>
      </c>
      <c r="L96" t="n">
        <v>0</v>
      </c>
      <c r="M96" t="n">
        <v>0</v>
      </c>
      <c r="N96" t="n">
        <v>0</v>
      </c>
      <c r="O96" t="n">
        <v>0</v>
      </c>
      <c r="P96" t="n">
        <v>0</v>
      </c>
      <c r="Q96" t="n">
        <v>0</v>
      </c>
      <c r="R96" s="2" t="inlineStr"/>
    </row>
    <row r="97" ht="15" customHeight="1">
      <c r="A97" t="inlineStr">
        <is>
          <t>A 33762-2021</t>
        </is>
      </c>
      <c r="B97" s="1" t="n">
        <v>44378</v>
      </c>
      <c r="C97" s="1" t="n">
        <v>46199</v>
      </c>
      <c r="D97" t="inlineStr">
        <is>
          <t>VÄSTMANLANDS LÄN</t>
        </is>
      </c>
      <c r="E97" t="inlineStr">
        <is>
          <t>SALA</t>
        </is>
      </c>
      <c r="G97" t="n">
        <v>3.4</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46199</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46199</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46199</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3050-2022</t>
        </is>
      </c>
      <c r="B101" s="1" t="n">
        <v>44582</v>
      </c>
      <c r="C101" s="1" t="n">
        <v>46199</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74277-2021</t>
        </is>
      </c>
      <c r="B102" s="1" t="n">
        <v>44558</v>
      </c>
      <c r="C102" s="1" t="n">
        <v>46199</v>
      </c>
      <c r="D102" t="inlineStr">
        <is>
          <t>VÄSTMANLANDS LÄN</t>
        </is>
      </c>
      <c r="E102" t="inlineStr">
        <is>
          <t>SALA</t>
        </is>
      </c>
      <c r="F102" t="inlineStr">
        <is>
          <t>Kommuner</t>
        </is>
      </c>
      <c r="G102" t="n">
        <v>24.4</v>
      </c>
      <c r="H102" t="n">
        <v>0</v>
      </c>
      <c r="I102" t="n">
        <v>0</v>
      </c>
      <c r="J102" t="n">
        <v>0</v>
      </c>
      <c r="K102" t="n">
        <v>0</v>
      </c>
      <c r="L102" t="n">
        <v>0</v>
      </c>
      <c r="M102" t="n">
        <v>0</v>
      </c>
      <c r="N102" t="n">
        <v>0</v>
      </c>
      <c r="O102" t="n">
        <v>0</v>
      </c>
      <c r="P102" t="n">
        <v>0</v>
      </c>
      <c r="Q102" t="n">
        <v>0</v>
      </c>
      <c r="R102" s="2" t="inlineStr"/>
    </row>
    <row r="103" ht="15" customHeight="1">
      <c r="A103" t="inlineStr">
        <is>
          <t>A 62850-2021</t>
        </is>
      </c>
      <c r="B103" s="1" t="n">
        <v>44504</v>
      </c>
      <c r="C103" s="1" t="n">
        <v>46199</v>
      </c>
      <c r="D103" t="inlineStr">
        <is>
          <t>VÄSTMANLANDS LÄN</t>
        </is>
      </c>
      <c r="E103" t="inlineStr">
        <is>
          <t>SALA</t>
        </is>
      </c>
      <c r="G103" t="n">
        <v>5.2</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46199</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73668-2021</t>
        </is>
      </c>
      <c r="B105" s="1" t="n">
        <v>44552</v>
      </c>
      <c r="C105" s="1" t="n">
        <v>46199</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46199</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49086-2022</t>
        </is>
      </c>
      <c r="B107" s="1" t="n">
        <v>44860</v>
      </c>
      <c r="C107" s="1" t="n">
        <v>46199</v>
      </c>
      <c r="D107" t="inlineStr">
        <is>
          <t>VÄSTMANLANDS LÄN</t>
        </is>
      </c>
      <c r="E107" t="inlineStr">
        <is>
          <t>SALA</t>
        </is>
      </c>
      <c r="G107" t="n">
        <v>0.9</v>
      </c>
      <c r="H107" t="n">
        <v>0</v>
      </c>
      <c r="I107" t="n">
        <v>0</v>
      </c>
      <c r="J107" t="n">
        <v>0</v>
      </c>
      <c r="K107" t="n">
        <v>0</v>
      </c>
      <c r="L107" t="n">
        <v>0</v>
      </c>
      <c r="M107" t="n">
        <v>0</v>
      </c>
      <c r="N107" t="n">
        <v>0</v>
      </c>
      <c r="O107" t="n">
        <v>0</v>
      </c>
      <c r="P107" t="n">
        <v>0</v>
      </c>
      <c r="Q107" t="n">
        <v>0</v>
      </c>
      <c r="R107" s="2" t="inlineStr"/>
    </row>
    <row r="108" ht="15" customHeight="1">
      <c r="A108" t="inlineStr">
        <is>
          <t>A 43103-2022</t>
        </is>
      </c>
      <c r="B108" s="1" t="n">
        <v>44833</v>
      </c>
      <c r="C108" s="1" t="n">
        <v>46199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46199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73687-2021</t>
        </is>
      </c>
      <c r="B110" s="1" t="n">
        <v>44552</v>
      </c>
      <c r="C110" s="1" t="n">
        <v>46199</v>
      </c>
      <c r="D110" t="inlineStr">
        <is>
          <t>VÄSTMANLANDS LÄN</t>
        </is>
      </c>
      <c r="E110" t="inlineStr">
        <is>
          <t>SALA</t>
        </is>
      </c>
      <c r="G110" t="n">
        <v>5.6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46199</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46199</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46199</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939-2022</t>
        </is>
      </c>
      <c r="B114" s="1" t="n">
        <v>44571</v>
      </c>
      <c r="C114" s="1" t="n">
        <v>46199</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29228-2022</t>
        </is>
      </c>
      <c r="B115" s="1" t="n">
        <v>44750</v>
      </c>
      <c r="C115" s="1" t="n">
        <v>46199</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6667-2022</t>
        </is>
      </c>
      <c r="B116" s="1" t="n">
        <v>44602</v>
      </c>
      <c r="C116" s="1" t="n">
        <v>46199</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46199</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42976-2021</t>
        </is>
      </c>
      <c r="B118" s="1" t="n">
        <v>44431</v>
      </c>
      <c r="C118" s="1" t="n">
        <v>46199</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46199</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51377-2022</t>
        </is>
      </c>
      <c r="B120" s="1" t="n">
        <v>44866</v>
      </c>
      <c r="C120" s="1" t="n">
        <v>46199</v>
      </c>
      <c r="D120" t="inlineStr">
        <is>
          <t>VÄSTMANLANDS LÄN</t>
        </is>
      </c>
      <c r="E120" t="inlineStr">
        <is>
          <t>SALA</t>
        </is>
      </c>
      <c r="G120" t="n">
        <v>6.3</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46199</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44318-2022</t>
        </is>
      </c>
      <c r="B122" s="1" t="n">
        <v>44839</v>
      </c>
      <c r="C122" s="1" t="n">
        <v>46199</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1043-2022</t>
        </is>
      </c>
      <c r="B123" s="1" t="n">
        <v>44571</v>
      </c>
      <c r="C123" s="1" t="n">
        <v>46199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15850-2022</t>
        </is>
      </c>
      <c r="B124" s="1" t="n">
        <v>44664</v>
      </c>
      <c r="C124" s="1" t="n">
        <v>46199</v>
      </c>
      <c r="D124" t="inlineStr">
        <is>
          <t>VÄSTMANLANDS LÄN</t>
        </is>
      </c>
      <c r="E124" t="inlineStr">
        <is>
          <t>SALA</t>
        </is>
      </c>
      <c r="G124" t="n">
        <v>1</v>
      </c>
      <c r="H124" t="n">
        <v>0</v>
      </c>
      <c r="I124" t="n">
        <v>0</v>
      </c>
      <c r="J124" t="n">
        <v>0</v>
      </c>
      <c r="K124" t="n">
        <v>0</v>
      </c>
      <c r="L124" t="n">
        <v>0</v>
      </c>
      <c r="M124" t="n">
        <v>0</v>
      </c>
      <c r="N124" t="n">
        <v>0</v>
      </c>
      <c r="O124" t="n">
        <v>0</v>
      </c>
      <c r="P124" t="n">
        <v>0</v>
      </c>
      <c r="Q124" t="n">
        <v>0</v>
      </c>
      <c r="R124" s="2" t="inlineStr"/>
    </row>
    <row r="125" ht="15" customHeight="1">
      <c r="A125" t="inlineStr">
        <is>
          <t>A 35921-2021</t>
        </is>
      </c>
      <c r="B125" s="1" t="n">
        <v>44388</v>
      </c>
      <c r="C125" s="1" t="n">
        <v>46199</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37856-2021</t>
        </is>
      </c>
      <c r="B126" s="1" t="n">
        <v>44403</v>
      </c>
      <c r="C126" s="1" t="n">
        <v>46199</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37872-2021</t>
        </is>
      </c>
      <c r="B127" s="1" t="n">
        <v>44403</v>
      </c>
      <c r="C127" s="1" t="n">
        <v>46199</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65835-2021</t>
        </is>
      </c>
      <c r="B128" s="1" t="n">
        <v>44517</v>
      </c>
      <c r="C128" s="1" t="n">
        <v>46199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46199</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46199</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46199</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46199</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22811-2022</t>
        </is>
      </c>
      <c r="B134" s="1" t="n">
        <v>44715</v>
      </c>
      <c r="C134" s="1" t="n">
        <v>46199</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65213-2021</t>
        </is>
      </c>
      <c r="B135" s="1" t="n">
        <v>44515</v>
      </c>
      <c r="C135" s="1" t="n">
        <v>46199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66508-2021</t>
        </is>
      </c>
      <c r="B136" s="1" t="n">
        <v>44519</v>
      </c>
      <c r="C136" s="1" t="n">
        <v>46199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v>
      </c>
      <c r="C137" s="1" t="n">
        <v>46199</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65860-2021</t>
        </is>
      </c>
      <c r="B138" s="1" t="n">
        <v>44517</v>
      </c>
      <c r="C138" s="1" t="n">
        <v>46199</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65818-2021</t>
        </is>
      </c>
      <c r="B139" s="1" t="n">
        <v>44517</v>
      </c>
      <c r="C139" s="1" t="n">
        <v>46199</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9050-2022</t>
        </is>
      </c>
      <c r="B140" s="1" t="n">
        <v>44615</v>
      </c>
      <c r="C140" s="1" t="n">
        <v>46199</v>
      </c>
      <c r="D140" t="inlineStr">
        <is>
          <t>VÄSTMANLANDS LÄN</t>
        </is>
      </c>
      <c r="E140" t="inlineStr">
        <is>
          <t>SALA</t>
        </is>
      </c>
      <c r="G140" t="n">
        <v>3.1</v>
      </c>
      <c r="H140" t="n">
        <v>0</v>
      </c>
      <c r="I140" t="n">
        <v>0</v>
      </c>
      <c r="J140" t="n">
        <v>0</v>
      </c>
      <c r="K140" t="n">
        <v>0</v>
      </c>
      <c r="L140" t="n">
        <v>0</v>
      </c>
      <c r="M140" t="n">
        <v>0</v>
      </c>
      <c r="N140" t="n">
        <v>0</v>
      </c>
      <c r="O140" t="n">
        <v>0</v>
      </c>
      <c r="P140" t="n">
        <v>0</v>
      </c>
      <c r="Q140" t="n">
        <v>0</v>
      </c>
      <c r="R140" s="2" t="inlineStr"/>
    </row>
    <row r="141" ht="15" customHeight="1">
      <c r="A141" t="inlineStr">
        <is>
          <t>A 49254-2022</t>
        </is>
      </c>
      <c r="B141" s="1" t="n">
        <v>44861</v>
      </c>
      <c r="C141" s="1" t="n">
        <v>46199</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46199</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24882-2022</t>
        </is>
      </c>
      <c r="B143" s="1" t="n">
        <v>44728</v>
      </c>
      <c r="C143" s="1" t="n">
        <v>46199</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v>
      </c>
      <c r="C144" s="1" t="n">
        <v>46199</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46199</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46199</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46199</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v>
      </c>
      <c r="C148" s="1" t="n">
        <v>46199</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46199</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46199</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46199</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46199</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46199</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46199</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v>
      </c>
      <c r="C155" s="1" t="n">
        <v>46199</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46199</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46199</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46199</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46199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46199</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v>
      </c>
      <c r="C161" s="1" t="n">
        <v>46199</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46199</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46199</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46199</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46199</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46199</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46199</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v>
      </c>
      <c r="C168" s="1" t="n">
        <v>46199</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46199</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46199</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46199</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v>
      </c>
      <c r="C172" s="1" t="n">
        <v>46199</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v>
      </c>
      <c r="C173" s="1" t="n">
        <v>46199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46199</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27486-2022</t>
        </is>
      </c>
      <c r="B175" s="1" t="n">
        <v>44742</v>
      </c>
      <c r="C175" s="1" t="n">
        <v>46199</v>
      </c>
      <c r="D175" t="inlineStr">
        <is>
          <t>VÄSTMANLANDS LÄN</t>
        </is>
      </c>
      <c r="E175" t="inlineStr">
        <is>
          <t>SALA</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27261-2024</t>
        </is>
      </c>
      <c r="B176" s="1" t="n">
        <v>45471</v>
      </c>
      <c r="C176" s="1" t="n">
        <v>46199</v>
      </c>
      <c r="D176" t="inlineStr">
        <is>
          <t>VÄSTMANLANDS LÄN</t>
        </is>
      </c>
      <c r="E176" t="inlineStr">
        <is>
          <t>SALA</t>
        </is>
      </c>
      <c r="G176" t="n">
        <v>6.1</v>
      </c>
      <c r="H176" t="n">
        <v>0</v>
      </c>
      <c r="I176" t="n">
        <v>0</v>
      </c>
      <c r="J176" t="n">
        <v>0</v>
      </c>
      <c r="K176" t="n">
        <v>0</v>
      </c>
      <c r="L176" t="n">
        <v>0</v>
      </c>
      <c r="M176" t="n">
        <v>0</v>
      </c>
      <c r="N176" t="n">
        <v>0</v>
      </c>
      <c r="O176" t="n">
        <v>0</v>
      </c>
      <c r="P176" t="n">
        <v>0</v>
      </c>
      <c r="Q176" t="n">
        <v>0</v>
      </c>
      <c r="R176" s="2" t="inlineStr"/>
    </row>
    <row r="177" ht="15" customHeight="1">
      <c r="A177" t="inlineStr">
        <is>
          <t>A 54959-2024</t>
        </is>
      </c>
      <c r="B177" s="1" t="n">
        <v>45619</v>
      </c>
      <c r="C177" s="1" t="n">
        <v>46199</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6134-2024</t>
        </is>
      </c>
      <c r="B178" s="1" t="n">
        <v>45337</v>
      </c>
      <c r="C178" s="1" t="n">
        <v>46199</v>
      </c>
      <c r="D178" t="inlineStr">
        <is>
          <t>VÄSTMANLANDS LÄN</t>
        </is>
      </c>
      <c r="E178" t="inlineStr">
        <is>
          <t>SALA</t>
        </is>
      </c>
      <c r="G178" t="n">
        <v>1.8</v>
      </c>
      <c r="H178" t="n">
        <v>0</v>
      </c>
      <c r="I178" t="n">
        <v>0</v>
      </c>
      <c r="J178" t="n">
        <v>0</v>
      </c>
      <c r="K178" t="n">
        <v>0</v>
      </c>
      <c r="L178" t="n">
        <v>0</v>
      </c>
      <c r="M178" t="n">
        <v>0</v>
      </c>
      <c r="N178" t="n">
        <v>0</v>
      </c>
      <c r="O178" t="n">
        <v>0</v>
      </c>
      <c r="P178" t="n">
        <v>0</v>
      </c>
      <c r="Q178" t="n">
        <v>0</v>
      </c>
      <c r="R178" s="2" t="inlineStr"/>
    </row>
    <row r="179" ht="15" customHeight="1">
      <c r="A179" t="inlineStr">
        <is>
          <t>A 25860-2024</t>
        </is>
      </c>
      <c r="B179" s="1" t="n">
        <v>45467</v>
      </c>
      <c r="C179" s="1" t="n">
        <v>46199</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40597-2022</t>
        </is>
      </c>
      <c r="B180" s="1" t="n">
        <v>44823</v>
      </c>
      <c r="C180" s="1" t="n">
        <v>46199</v>
      </c>
      <c r="D180" t="inlineStr">
        <is>
          <t>VÄSTMANLANDS LÄN</t>
        </is>
      </c>
      <c r="E180" t="inlineStr">
        <is>
          <t>SALA</t>
        </is>
      </c>
      <c r="G180" t="n">
        <v>3.5</v>
      </c>
      <c r="H180" t="n">
        <v>0</v>
      </c>
      <c r="I180" t="n">
        <v>0</v>
      </c>
      <c r="J180" t="n">
        <v>0</v>
      </c>
      <c r="K180" t="n">
        <v>0</v>
      </c>
      <c r="L180" t="n">
        <v>0</v>
      </c>
      <c r="M180" t="n">
        <v>0</v>
      </c>
      <c r="N180" t="n">
        <v>0</v>
      </c>
      <c r="O180" t="n">
        <v>0</v>
      </c>
      <c r="P180" t="n">
        <v>0</v>
      </c>
      <c r="Q180" t="n">
        <v>0</v>
      </c>
      <c r="R180" s="2" t="inlineStr"/>
    </row>
    <row r="181" ht="15" customHeight="1">
      <c r="A181" t="inlineStr">
        <is>
          <t>A 16160-2024</t>
        </is>
      </c>
      <c r="B181" s="1" t="n">
        <v>45406</v>
      </c>
      <c r="C181" s="1" t="n">
        <v>46199</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19803-2024</t>
        </is>
      </c>
      <c r="B182" s="1" t="n">
        <v>45432</v>
      </c>
      <c r="C182" s="1" t="n">
        <v>46199</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40871-2021</t>
        </is>
      </c>
      <c r="B183" s="1" t="n">
        <v>44421</v>
      </c>
      <c r="C183" s="1" t="n">
        <v>46199</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57014-2025</t>
        </is>
      </c>
      <c r="B184" s="1" t="n">
        <v>45978</v>
      </c>
      <c r="C184" s="1" t="n">
        <v>46199</v>
      </c>
      <c r="D184" t="inlineStr">
        <is>
          <t>VÄSTMANLANDS LÄN</t>
        </is>
      </c>
      <c r="E184" t="inlineStr">
        <is>
          <t>SALA</t>
        </is>
      </c>
      <c r="G184" t="n">
        <v>2.2</v>
      </c>
      <c r="H184" t="n">
        <v>0</v>
      </c>
      <c r="I184" t="n">
        <v>0</v>
      </c>
      <c r="J184" t="n">
        <v>0</v>
      </c>
      <c r="K184" t="n">
        <v>0</v>
      </c>
      <c r="L184" t="n">
        <v>0</v>
      </c>
      <c r="M184" t="n">
        <v>0</v>
      </c>
      <c r="N184" t="n">
        <v>0</v>
      </c>
      <c r="O184" t="n">
        <v>0</v>
      </c>
      <c r="P184" t="n">
        <v>0</v>
      </c>
      <c r="Q184" t="n">
        <v>0</v>
      </c>
      <c r="R184" s="2" t="inlineStr"/>
    </row>
    <row r="185" ht="15" customHeight="1">
      <c r="A185" t="inlineStr">
        <is>
          <t>A 56593-2025</t>
        </is>
      </c>
      <c r="B185" s="1" t="n">
        <v>45975</v>
      </c>
      <c r="C185" s="1" t="n">
        <v>46199</v>
      </c>
      <c r="D185" t="inlineStr">
        <is>
          <t>VÄSTMANLANDS LÄN</t>
        </is>
      </c>
      <c r="E185" t="inlineStr">
        <is>
          <t>SALA</t>
        </is>
      </c>
      <c r="F185" t="inlineStr">
        <is>
          <t>Kyrkan</t>
        </is>
      </c>
      <c r="G185" t="n">
        <v>0.1</v>
      </c>
      <c r="H185" t="n">
        <v>0</v>
      </c>
      <c r="I185" t="n">
        <v>0</v>
      </c>
      <c r="J185" t="n">
        <v>0</v>
      </c>
      <c r="K185" t="n">
        <v>0</v>
      </c>
      <c r="L185" t="n">
        <v>0</v>
      </c>
      <c r="M185" t="n">
        <v>0</v>
      </c>
      <c r="N185" t="n">
        <v>0</v>
      </c>
      <c r="O185" t="n">
        <v>0</v>
      </c>
      <c r="P185" t="n">
        <v>0</v>
      </c>
      <c r="Q185" t="n">
        <v>0</v>
      </c>
      <c r="R185" s="2" t="inlineStr"/>
    </row>
    <row r="186" ht="15" customHeight="1">
      <c r="A186" t="inlineStr">
        <is>
          <t>A 22353-2025</t>
        </is>
      </c>
      <c r="B186" s="1" t="n">
        <v>45786</v>
      </c>
      <c r="C186" s="1" t="n">
        <v>46199</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64724-2023</t>
        </is>
      </c>
      <c r="B187" s="1" t="n">
        <v>45281</v>
      </c>
      <c r="C187" s="1" t="n">
        <v>46199</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56645-2025</t>
        </is>
      </c>
      <c r="B188" s="1" t="n">
        <v>45975</v>
      </c>
      <c r="C188" s="1" t="n">
        <v>46199</v>
      </c>
      <c r="D188" t="inlineStr">
        <is>
          <t>VÄSTMANLANDS LÄN</t>
        </is>
      </c>
      <c r="E188" t="inlineStr">
        <is>
          <t>SALA</t>
        </is>
      </c>
      <c r="F188" t="inlineStr">
        <is>
          <t>Bergvik skog öst AB</t>
        </is>
      </c>
      <c r="G188" t="n">
        <v>5.3</v>
      </c>
      <c r="H188" t="n">
        <v>0</v>
      </c>
      <c r="I188" t="n">
        <v>0</v>
      </c>
      <c r="J188" t="n">
        <v>0</v>
      </c>
      <c r="K188" t="n">
        <v>0</v>
      </c>
      <c r="L188" t="n">
        <v>0</v>
      </c>
      <c r="M188" t="n">
        <v>0</v>
      </c>
      <c r="N188" t="n">
        <v>0</v>
      </c>
      <c r="O188" t="n">
        <v>0</v>
      </c>
      <c r="P188" t="n">
        <v>0</v>
      </c>
      <c r="Q188" t="n">
        <v>0</v>
      </c>
      <c r="R188" s="2" t="inlineStr"/>
    </row>
    <row r="189" ht="15" customHeight="1">
      <c r="A189" t="inlineStr">
        <is>
          <t>A 22370-2025</t>
        </is>
      </c>
      <c r="B189" s="1" t="n">
        <v>45786</v>
      </c>
      <c r="C189" s="1" t="n">
        <v>46199</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22383-2025</t>
        </is>
      </c>
      <c r="B190" s="1" t="n">
        <v>45786</v>
      </c>
      <c r="C190" s="1" t="n">
        <v>46199</v>
      </c>
      <c r="D190" t="inlineStr">
        <is>
          <t>VÄSTMANLANDS LÄN</t>
        </is>
      </c>
      <c r="E190" t="inlineStr">
        <is>
          <t>SALA</t>
        </is>
      </c>
      <c r="G190" t="n">
        <v>2.2</v>
      </c>
      <c r="H190" t="n">
        <v>0</v>
      </c>
      <c r="I190" t="n">
        <v>0</v>
      </c>
      <c r="J190" t="n">
        <v>0</v>
      </c>
      <c r="K190" t="n">
        <v>0</v>
      </c>
      <c r="L190" t="n">
        <v>0</v>
      </c>
      <c r="M190" t="n">
        <v>0</v>
      </c>
      <c r="N190" t="n">
        <v>0</v>
      </c>
      <c r="O190" t="n">
        <v>0</v>
      </c>
      <c r="P190" t="n">
        <v>0</v>
      </c>
      <c r="Q190" t="n">
        <v>0</v>
      </c>
      <c r="R190" s="2" t="inlineStr"/>
    </row>
    <row r="191" ht="15" customHeight="1">
      <c r="A191" t="inlineStr">
        <is>
          <t>A 73673-2021</t>
        </is>
      </c>
      <c r="B191" s="1" t="n">
        <v>44552</v>
      </c>
      <c r="C191" s="1" t="n">
        <v>46199</v>
      </c>
      <c r="D191" t="inlineStr">
        <is>
          <t>VÄSTMANLANDS LÄN</t>
        </is>
      </c>
      <c r="E191" t="inlineStr">
        <is>
          <t>SALA</t>
        </is>
      </c>
      <c r="G191" t="n">
        <v>11.4</v>
      </c>
      <c r="H191" t="n">
        <v>0</v>
      </c>
      <c r="I191" t="n">
        <v>0</v>
      </c>
      <c r="J191" t="n">
        <v>0</v>
      </c>
      <c r="K191" t="n">
        <v>0</v>
      </c>
      <c r="L191" t="n">
        <v>0</v>
      </c>
      <c r="M191" t="n">
        <v>0</v>
      </c>
      <c r="N191" t="n">
        <v>0</v>
      </c>
      <c r="O191" t="n">
        <v>0</v>
      </c>
      <c r="P191" t="n">
        <v>0</v>
      </c>
      <c r="Q191" t="n">
        <v>0</v>
      </c>
      <c r="R191" s="2" t="inlineStr"/>
    </row>
    <row r="192" ht="15" customHeight="1">
      <c r="A192" t="inlineStr">
        <is>
          <t>A 24864-2024</t>
        </is>
      </c>
      <c r="B192" s="1" t="n">
        <v>45461</v>
      </c>
      <c r="C192" s="1" t="n">
        <v>46199</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46199</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63933-2023</t>
        </is>
      </c>
      <c r="B194" s="1" t="n">
        <v>45278</v>
      </c>
      <c r="C194" s="1" t="n">
        <v>46199</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7176-2023</t>
        </is>
      </c>
      <c r="B195" s="1" t="n">
        <v>44970</v>
      </c>
      <c r="C195" s="1" t="n">
        <v>46199</v>
      </c>
      <c r="D195" t="inlineStr">
        <is>
          <t>VÄSTMANLANDS LÄN</t>
        </is>
      </c>
      <c r="E195" t="inlineStr">
        <is>
          <t>SALA</t>
        </is>
      </c>
      <c r="G195" t="n">
        <v>1.5</v>
      </c>
      <c r="H195" t="n">
        <v>0</v>
      </c>
      <c r="I195" t="n">
        <v>0</v>
      </c>
      <c r="J195" t="n">
        <v>0</v>
      </c>
      <c r="K195" t="n">
        <v>0</v>
      </c>
      <c r="L195" t="n">
        <v>0</v>
      </c>
      <c r="M195" t="n">
        <v>0</v>
      </c>
      <c r="N195" t="n">
        <v>0</v>
      </c>
      <c r="O195" t="n">
        <v>0</v>
      </c>
      <c r="P195" t="n">
        <v>0</v>
      </c>
      <c r="Q195" t="n">
        <v>0</v>
      </c>
      <c r="R195" s="2" t="inlineStr"/>
    </row>
    <row r="196" ht="15" customHeight="1">
      <c r="A196" t="inlineStr">
        <is>
          <t>A 37190-2024</t>
        </is>
      </c>
      <c r="B196" s="1" t="n">
        <v>45539</v>
      </c>
      <c r="C196" s="1" t="n">
        <v>46199</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39439-2021</t>
        </is>
      </c>
      <c r="B197" s="1" t="n">
        <v>44414</v>
      </c>
      <c r="C197" s="1" t="n">
        <v>46199</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31405-2024</t>
        </is>
      </c>
      <c r="B198" s="1" t="n">
        <v>45505</v>
      </c>
      <c r="C198" s="1" t="n">
        <v>46199</v>
      </c>
      <c r="D198" t="inlineStr">
        <is>
          <t>VÄSTMANLANDS LÄN</t>
        </is>
      </c>
      <c r="E198" t="inlineStr">
        <is>
          <t>SALA</t>
        </is>
      </c>
      <c r="G198" t="n">
        <v>5.2</v>
      </c>
      <c r="H198" t="n">
        <v>0</v>
      </c>
      <c r="I198" t="n">
        <v>0</v>
      </c>
      <c r="J198" t="n">
        <v>0</v>
      </c>
      <c r="K198" t="n">
        <v>0</v>
      </c>
      <c r="L198" t="n">
        <v>0</v>
      </c>
      <c r="M198" t="n">
        <v>0</v>
      </c>
      <c r="N198" t="n">
        <v>0</v>
      </c>
      <c r="O198" t="n">
        <v>0</v>
      </c>
      <c r="P198" t="n">
        <v>0</v>
      </c>
      <c r="Q198" t="n">
        <v>0</v>
      </c>
      <c r="R198" s="2" t="inlineStr"/>
    </row>
    <row r="199" ht="15" customHeight="1">
      <c r="A199" t="inlineStr">
        <is>
          <t>A 43600-2024</t>
        </is>
      </c>
      <c r="B199" s="1" t="n">
        <v>45569</v>
      </c>
      <c r="C199" s="1" t="n">
        <v>46199</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13130-2025</t>
        </is>
      </c>
      <c r="B200" s="1" t="n">
        <v>45734</v>
      </c>
      <c r="C200" s="1" t="n">
        <v>46199</v>
      </c>
      <c r="D200" t="inlineStr">
        <is>
          <t>VÄSTMANLANDS LÄN</t>
        </is>
      </c>
      <c r="E200" t="inlineStr">
        <is>
          <t>SALA</t>
        </is>
      </c>
      <c r="G200" t="n">
        <v>1.5</v>
      </c>
      <c r="H200" t="n">
        <v>0</v>
      </c>
      <c r="I200" t="n">
        <v>0</v>
      </c>
      <c r="J200" t="n">
        <v>0</v>
      </c>
      <c r="K200" t="n">
        <v>0</v>
      </c>
      <c r="L200" t="n">
        <v>0</v>
      </c>
      <c r="M200" t="n">
        <v>0</v>
      </c>
      <c r="N200" t="n">
        <v>0</v>
      </c>
      <c r="O200" t="n">
        <v>0</v>
      </c>
      <c r="P200" t="n">
        <v>0</v>
      </c>
      <c r="Q200" t="n">
        <v>0</v>
      </c>
      <c r="R200" s="2" t="inlineStr"/>
    </row>
    <row r="201" ht="15" customHeight="1">
      <c r="A201" t="inlineStr">
        <is>
          <t>A 57412-2025</t>
        </is>
      </c>
      <c r="B201" s="1" t="n">
        <v>45980</v>
      </c>
      <c r="C201" s="1" t="n">
        <v>46199</v>
      </c>
      <c r="D201" t="inlineStr">
        <is>
          <t>VÄSTMANLANDS LÄN</t>
        </is>
      </c>
      <c r="E201" t="inlineStr">
        <is>
          <t>SALA</t>
        </is>
      </c>
      <c r="F201" t="inlineStr">
        <is>
          <t>Bergvik skog öst AB</t>
        </is>
      </c>
      <c r="G201" t="n">
        <v>4.5</v>
      </c>
      <c r="H201" t="n">
        <v>0</v>
      </c>
      <c r="I201" t="n">
        <v>0</v>
      </c>
      <c r="J201" t="n">
        <v>0</v>
      </c>
      <c r="K201" t="n">
        <v>0</v>
      </c>
      <c r="L201" t="n">
        <v>0</v>
      </c>
      <c r="M201" t="n">
        <v>0</v>
      </c>
      <c r="N201" t="n">
        <v>0</v>
      </c>
      <c r="O201" t="n">
        <v>0</v>
      </c>
      <c r="P201" t="n">
        <v>0</v>
      </c>
      <c r="Q201" t="n">
        <v>0</v>
      </c>
      <c r="R201" s="2" t="inlineStr"/>
    </row>
    <row r="202" ht="15" customHeight="1">
      <c r="A202" t="inlineStr">
        <is>
          <t>A 11389-2024</t>
        </is>
      </c>
      <c r="B202" s="1" t="n">
        <v>45372</v>
      </c>
      <c r="C202" s="1" t="n">
        <v>46199</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56706-2022</t>
        </is>
      </c>
      <c r="B203" s="1" t="n">
        <v>44893</v>
      </c>
      <c r="C203" s="1" t="n">
        <v>46199</v>
      </c>
      <c r="D203" t="inlineStr">
        <is>
          <t>VÄSTMANLANDS LÄN</t>
        </is>
      </c>
      <c r="E203" t="inlineStr">
        <is>
          <t>SALA</t>
        </is>
      </c>
      <c r="G203" t="n">
        <v>4.5</v>
      </c>
      <c r="H203" t="n">
        <v>0</v>
      </c>
      <c r="I203" t="n">
        <v>0</v>
      </c>
      <c r="J203" t="n">
        <v>0</v>
      </c>
      <c r="K203" t="n">
        <v>0</v>
      </c>
      <c r="L203" t="n">
        <v>0</v>
      </c>
      <c r="M203" t="n">
        <v>0</v>
      </c>
      <c r="N203" t="n">
        <v>0</v>
      </c>
      <c r="O203" t="n">
        <v>0</v>
      </c>
      <c r="P203" t="n">
        <v>0</v>
      </c>
      <c r="Q203" t="n">
        <v>0</v>
      </c>
      <c r="R203" s="2" t="inlineStr"/>
    </row>
    <row r="204" ht="15" customHeight="1">
      <c r="A204" t="inlineStr">
        <is>
          <t>A 56707-2022</t>
        </is>
      </c>
      <c r="B204" s="1" t="n">
        <v>44893</v>
      </c>
      <c r="C204" s="1" t="n">
        <v>46199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30971-2022</t>
        </is>
      </c>
      <c r="B205" s="1" t="n">
        <v>44768</v>
      </c>
      <c r="C205" s="1" t="n">
        <v>46199</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57414-2025</t>
        </is>
      </c>
      <c r="B206" s="1" t="n">
        <v>45980</v>
      </c>
      <c r="C206" s="1" t="n">
        <v>46199</v>
      </c>
      <c r="D206" t="inlineStr">
        <is>
          <t>VÄSTMANLANDS LÄN</t>
        </is>
      </c>
      <c r="E206" t="inlineStr">
        <is>
          <t>SALA</t>
        </is>
      </c>
      <c r="F206" t="inlineStr">
        <is>
          <t>Bergvik skog öst AB</t>
        </is>
      </c>
      <c r="G206" t="n">
        <v>2</v>
      </c>
      <c r="H206" t="n">
        <v>0</v>
      </c>
      <c r="I206" t="n">
        <v>0</v>
      </c>
      <c r="J206" t="n">
        <v>0</v>
      </c>
      <c r="K206" t="n">
        <v>0</v>
      </c>
      <c r="L206" t="n">
        <v>0</v>
      </c>
      <c r="M206" t="n">
        <v>0</v>
      </c>
      <c r="N206" t="n">
        <v>0</v>
      </c>
      <c r="O206" t="n">
        <v>0</v>
      </c>
      <c r="P206" t="n">
        <v>0</v>
      </c>
      <c r="Q206" t="n">
        <v>0</v>
      </c>
      <c r="R206" s="2" t="inlineStr"/>
    </row>
    <row r="207" ht="15" customHeight="1">
      <c r="A207" t="inlineStr">
        <is>
          <t>A 57415-2025</t>
        </is>
      </c>
      <c r="B207" s="1" t="n">
        <v>45980</v>
      </c>
      <c r="C207" s="1" t="n">
        <v>46199</v>
      </c>
      <c r="D207" t="inlineStr">
        <is>
          <t>VÄSTMANLANDS LÄN</t>
        </is>
      </c>
      <c r="E207" t="inlineStr">
        <is>
          <t>SALA</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22126-2025</t>
        </is>
      </c>
      <c r="B208" s="1" t="n">
        <v>45785</v>
      </c>
      <c r="C208" s="1" t="n">
        <v>46199</v>
      </c>
      <c r="D208" t="inlineStr">
        <is>
          <t>VÄSTMANLANDS LÄN</t>
        </is>
      </c>
      <c r="E208" t="inlineStr">
        <is>
          <t>SALA</t>
        </is>
      </c>
      <c r="G208" t="n">
        <v>10.6</v>
      </c>
      <c r="H208" t="n">
        <v>0</v>
      </c>
      <c r="I208" t="n">
        <v>0</v>
      </c>
      <c r="J208" t="n">
        <v>0</v>
      </c>
      <c r="K208" t="n">
        <v>0</v>
      </c>
      <c r="L208" t="n">
        <v>0</v>
      </c>
      <c r="M208" t="n">
        <v>0</v>
      </c>
      <c r="N208" t="n">
        <v>0</v>
      </c>
      <c r="O208" t="n">
        <v>0</v>
      </c>
      <c r="P208" t="n">
        <v>0</v>
      </c>
      <c r="Q208" t="n">
        <v>0</v>
      </c>
      <c r="R208" s="2" t="inlineStr"/>
    </row>
    <row r="209" ht="15" customHeight="1">
      <c r="A209" t="inlineStr">
        <is>
          <t>A 23810-2025</t>
        </is>
      </c>
      <c r="B209" s="1" t="n">
        <v>45793</v>
      </c>
      <c r="C209" s="1" t="n">
        <v>46199</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24944-2023</t>
        </is>
      </c>
      <c r="B210" s="1" t="n">
        <v>45085</v>
      </c>
      <c r="C210" s="1" t="n">
        <v>46199</v>
      </c>
      <c r="D210" t="inlineStr">
        <is>
          <t>VÄSTMANLANDS LÄN</t>
        </is>
      </c>
      <c r="E210" t="inlineStr">
        <is>
          <t>SALA</t>
        </is>
      </c>
      <c r="G210" t="n">
        <v>3.8</v>
      </c>
      <c r="H210" t="n">
        <v>0</v>
      </c>
      <c r="I210" t="n">
        <v>0</v>
      </c>
      <c r="J210" t="n">
        <v>0</v>
      </c>
      <c r="K210" t="n">
        <v>0</v>
      </c>
      <c r="L210" t="n">
        <v>0</v>
      </c>
      <c r="M210" t="n">
        <v>0</v>
      </c>
      <c r="N210" t="n">
        <v>0</v>
      </c>
      <c r="O210" t="n">
        <v>0</v>
      </c>
      <c r="P210" t="n">
        <v>0</v>
      </c>
      <c r="Q210" t="n">
        <v>0</v>
      </c>
      <c r="R210" s="2" t="inlineStr"/>
    </row>
    <row r="211" ht="15" customHeight="1">
      <c r="A211" t="inlineStr">
        <is>
          <t>A 2900-2023</t>
        </is>
      </c>
      <c r="B211" s="1" t="n">
        <v>44943</v>
      </c>
      <c r="C211" s="1" t="n">
        <v>46199</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23804-2025</t>
        </is>
      </c>
      <c r="B212" s="1" t="n">
        <v>45793</v>
      </c>
      <c r="C212" s="1" t="n">
        <v>46199</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11210-2025</t>
        </is>
      </c>
      <c r="B213" s="1" t="n">
        <v>45726</v>
      </c>
      <c r="C213" s="1" t="n">
        <v>46199</v>
      </c>
      <c r="D213" t="inlineStr">
        <is>
          <t>VÄSTMANLANDS LÄN</t>
        </is>
      </c>
      <c r="E213" t="inlineStr">
        <is>
          <t>SALA</t>
        </is>
      </c>
      <c r="G213" t="n">
        <v>4.1</v>
      </c>
      <c r="H213" t="n">
        <v>0</v>
      </c>
      <c r="I213" t="n">
        <v>0</v>
      </c>
      <c r="J213" t="n">
        <v>0</v>
      </c>
      <c r="K213" t="n">
        <v>0</v>
      </c>
      <c r="L213" t="n">
        <v>0</v>
      </c>
      <c r="M213" t="n">
        <v>0</v>
      </c>
      <c r="N213" t="n">
        <v>0</v>
      </c>
      <c r="O213" t="n">
        <v>0</v>
      </c>
      <c r="P213" t="n">
        <v>0</v>
      </c>
      <c r="Q213" t="n">
        <v>0</v>
      </c>
      <c r="R213" s="2" t="inlineStr"/>
    </row>
    <row r="214" ht="15" customHeight="1">
      <c r="A214" t="inlineStr">
        <is>
          <t>A 19297-2025</t>
        </is>
      </c>
      <c r="B214" s="1" t="n">
        <v>45769</v>
      </c>
      <c r="C214" s="1" t="n">
        <v>46199</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60730-2023</t>
        </is>
      </c>
      <c r="B215" s="1" t="n">
        <v>45260</v>
      </c>
      <c r="C215" s="1" t="n">
        <v>46199</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60731-2023</t>
        </is>
      </c>
      <c r="B216" s="1" t="n">
        <v>45260</v>
      </c>
      <c r="C216" s="1" t="n">
        <v>46199</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v>
      </c>
      <c r="C217" s="1" t="n">
        <v>46199</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55065-2024</t>
        </is>
      </c>
      <c r="B218" s="1" t="n">
        <v>45618</v>
      </c>
      <c r="C218" s="1" t="n">
        <v>46199</v>
      </c>
      <c r="D218" t="inlineStr">
        <is>
          <t>VÄSTMANLANDS LÄN</t>
        </is>
      </c>
      <c r="E218" t="inlineStr">
        <is>
          <t>SALA</t>
        </is>
      </c>
      <c r="G218" t="n">
        <v>3.5</v>
      </c>
      <c r="H218" t="n">
        <v>0</v>
      </c>
      <c r="I218" t="n">
        <v>0</v>
      </c>
      <c r="J218" t="n">
        <v>0</v>
      </c>
      <c r="K218" t="n">
        <v>0</v>
      </c>
      <c r="L218" t="n">
        <v>0</v>
      </c>
      <c r="M218" t="n">
        <v>0</v>
      </c>
      <c r="N218" t="n">
        <v>0</v>
      </c>
      <c r="O218" t="n">
        <v>0</v>
      </c>
      <c r="P218" t="n">
        <v>0</v>
      </c>
      <c r="Q218" t="n">
        <v>0</v>
      </c>
      <c r="R218" s="2" t="inlineStr"/>
    </row>
    <row r="219" ht="15" customHeight="1">
      <c r="A219" t="inlineStr">
        <is>
          <t>A 52498-2022</t>
        </is>
      </c>
      <c r="B219" s="1" t="n">
        <v>44874</v>
      </c>
      <c r="C219" s="1" t="n">
        <v>46199</v>
      </c>
      <c r="D219" t="inlineStr">
        <is>
          <t>VÄSTMANLANDS LÄN</t>
        </is>
      </c>
      <c r="E219" t="inlineStr">
        <is>
          <t>SALA</t>
        </is>
      </c>
      <c r="G219" t="n">
        <v>2.1</v>
      </c>
      <c r="H219" t="n">
        <v>0</v>
      </c>
      <c r="I219" t="n">
        <v>0</v>
      </c>
      <c r="J219" t="n">
        <v>0</v>
      </c>
      <c r="K219" t="n">
        <v>0</v>
      </c>
      <c r="L219" t="n">
        <v>0</v>
      </c>
      <c r="M219" t="n">
        <v>0</v>
      </c>
      <c r="N219" t="n">
        <v>0</v>
      </c>
      <c r="O219" t="n">
        <v>0</v>
      </c>
      <c r="P219" t="n">
        <v>0</v>
      </c>
      <c r="Q219" t="n">
        <v>0</v>
      </c>
      <c r="R219" s="2" t="inlineStr"/>
    </row>
    <row r="220" ht="15" customHeight="1">
      <c r="A220" t="inlineStr">
        <is>
          <t>A 35976-2024</t>
        </is>
      </c>
      <c r="B220" s="1" t="n">
        <v>45533</v>
      </c>
      <c r="C220" s="1" t="n">
        <v>46199</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58357-2025</t>
        </is>
      </c>
      <c r="B221" s="1" t="n">
        <v>45985</v>
      </c>
      <c r="C221" s="1" t="n">
        <v>46199</v>
      </c>
      <c r="D221" t="inlineStr">
        <is>
          <t>VÄSTMANLANDS LÄN</t>
        </is>
      </c>
      <c r="E221" t="inlineStr">
        <is>
          <t>SALA</t>
        </is>
      </c>
      <c r="G221" t="n">
        <v>3</v>
      </c>
      <c r="H221" t="n">
        <v>0</v>
      </c>
      <c r="I221" t="n">
        <v>0</v>
      </c>
      <c r="J221" t="n">
        <v>0</v>
      </c>
      <c r="K221" t="n">
        <v>0</v>
      </c>
      <c r="L221" t="n">
        <v>0</v>
      </c>
      <c r="M221" t="n">
        <v>0</v>
      </c>
      <c r="N221" t="n">
        <v>0</v>
      </c>
      <c r="O221" t="n">
        <v>0</v>
      </c>
      <c r="P221" t="n">
        <v>0</v>
      </c>
      <c r="Q221" t="n">
        <v>0</v>
      </c>
      <c r="R221" s="2" t="inlineStr"/>
    </row>
    <row r="222" ht="15" customHeight="1">
      <c r="A222" t="inlineStr">
        <is>
          <t>A 40556-2025</t>
        </is>
      </c>
      <c r="B222" s="1" t="n">
        <v>45896</v>
      </c>
      <c r="C222" s="1" t="n">
        <v>46199</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40559-2025</t>
        </is>
      </c>
      <c r="B223" s="1" t="n">
        <v>45896</v>
      </c>
      <c r="C223" s="1" t="n">
        <v>46199</v>
      </c>
      <c r="D223" t="inlineStr">
        <is>
          <t>VÄSTMANLANDS LÄN</t>
        </is>
      </c>
      <c r="E223" t="inlineStr">
        <is>
          <t>SALA</t>
        </is>
      </c>
      <c r="G223" t="n">
        <v>0.9</v>
      </c>
      <c r="H223" t="n">
        <v>0</v>
      </c>
      <c r="I223" t="n">
        <v>0</v>
      </c>
      <c r="J223" t="n">
        <v>0</v>
      </c>
      <c r="K223" t="n">
        <v>0</v>
      </c>
      <c r="L223" t="n">
        <v>0</v>
      </c>
      <c r="M223" t="n">
        <v>0</v>
      </c>
      <c r="N223" t="n">
        <v>0</v>
      </c>
      <c r="O223" t="n">
        <v>0</v>
      </c>
      <c r="P223" t="n">
        <v>0</v>
      </c>
      <c r="Q223" t="n">
        <v>0</v>
      </c>
      <c r="R223" s="2" t="inlineStr"/>
    </row>
    <row r="224" ht="15" customHeight="1">
      <c r="A224" t="inlineStr">
        <is>
          <t>A 55760-2025</t>
        </is>
      </c>
      <c r="B224" s="1" t="n">
        <v>45972</v>
      </c>
      <c r="C224" s="1" t="n">
        <v>46199</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58365-2025</t>
        </is>
      </c>
      <c r="B225" s="1" t="n">
        <v>45985</v>
      </c>
      <c r="C225" s="1" t="n">
        <v>46199</v>
      </c>
      <c r="D225" t="inlineStr">
        <is>
          <t>VÄSTMANLANDS LÄN</t>
        </is>
      </c>
      <c r="E225" t="inlineStr">
        <is>
          <t>SALA</t>
        </is>
      </c>
      <c r="G225" t="n">
        <v>3.9</v>
      </c>
      <c r="H225" t="n">
        <v>0</v>
      </c>
      <c r="I225" t="n">
        <v>0</v>
      </c>
      <c r="J225" t="n">
        <v>0</v>
      </c>
      <c r="K225" t="n">
        <v>0</v>
      </c>
      <c r="L225" t="n">
        <v>0</v>
      </c>
      <c r="M225" t="n">
        <v>0</v>
      </c>
      <c r="N225" t="n">
        <v>0</v>
      </c>
      <c r="O225" t="n">
        <v>0</v>
      </c>
      <c r="P225" t="n">
        <v>0</v>
      </c>
      <c r="Q225" t="n">
        <v>0</v>
      </c>
      <c r="R225" s="2" t="inlineStr"/>
    </row>
    <row r="226" ht="15" customHeight="1">
      <c r="A226" t="inlineStr">
        <is>
          <t>A 58359-2025</t>
        </is>
      </c>
      <c r="B226" s="1" t="n">
        <v>45985</v>
      </c>
      <c r="C226" s="1" t="n">
        <v>46199</v>
      </c>
      <c r="D226" t="inlineStr">
        <is>
          <t>VÄSTMANLANDS LÄN</t>
        </is>
      </c>
      <c r="E226" t="inlineStr">
        <is>
          <t>SALA</t>
        </is>
      </c>
      <c r="G226" t="n">
        <v>3.7</v>
      </c>
      <c r="H226" t="n">
        <v>0</v>
      </c>
      <c r="I226" t="n">
        <v>0</v>
      </c>
      <c r="J226" t="n">
        <v>0</v>
      </c>
      <c r="K226" t="n">
        <v>0</v>
      </c>
      <c r="L226" t="n">
        <v>0</v>
      </c>
      <c r="M226" t="n">
        <v>0</v>
      </c>
      <c r="N226" t="n">
        <v>0</v>
      </c>
      <c r="O226" t="n">
        <v>0</v>
      </c>
      <c r="P226" t="n">
        <v>0</v>
      </c>
      <c r="Q226" t="n">
        <v>0</v>
      </c>
      <c r="R226" s="2" t="inlineStr"/>
    </row>
    <row r="227" ht="15" customHeight="1">
      <c r="A227" t="inlineStr">
        <is>
          <t>A 58364-2025</t>
        </is>
      </c>
      <c r="B227" s="1" t="n">
        <v>45985</v>
      </c>
      <c r="C227" s="1" t="n">
        <v>46199</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24907-2025</t>
        </is>
      </c>
      <c r="B228" s="1" t="n">
        <v>45799</v>
      </c>
      <c r="C228" s="1" t="n">
        <v>46199</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71471-2021</t>
        </is>
      </c>
      <c r="B229" s="1" t="n">
        <v>44540</v>
      </c>
      <c r="C229" s="1" t="n">
        <v>46199</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8775-2024</t>
        </is>
      </c>
      <c r="B230" s="1" t="n">
        <v>45356</v>
      </c>
      <c r="C230" s="1" t="n">
        <v>46199</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39011-2023</t>
        </is>
      </c>
      <c r="B231" s="1" t="n">
        <v>45162</v>
      </c>
      <c r="C231" s="1" t="n">
        <v>46199</v>
      </c>
      <c r="D231" t="inlineStr">
        <is>
          <t>VÄSTMANLANDS LÄN</t>
        </is>
      </c>
      <c r="E231" t="inlineStr">
        <is>
          <t>SALA</t>
        </is>
      </c>
      <c r="G231" t="n">
        <v>1.6</v>
      </c>
      <c r="H231" t="n">
        <v>0</v>
      </c>
      <c r="I231" t="n">
        <v>0</v>
      </c>
      <c r="J231" t="n">
        <v>0</v>
      </c>
      <c r="K231" t="n">
        <v>0</v>
      </c>
      <c r="L231" t="n">
        <v>0</v>
      </c>
      <c r="M231" t="n">
        <v>0</v>
      </c>
      <c r="N231" t="n">
        <v>0</v>
      </c>
      <c r="O231" t="n">
        <v>0</v>
      </c>
      <c r="P231" t="n">
        <v>0</v>
      </c>
      <c r="Q231" t="n">
        <v>0</v>
      </c>
      <c r="R231" s="2" t="inlineStr"/>
    </row>
    <row r="232" ht="15" customHeight="1">
      <c r="A232" t="inlineStr">
        <is>
          <t>A 56547-2022</t>
        </is>
      </c>
      <c r="B232" s="1" t="n">
        <v>44893</v>
      </c>
      <c r="C232" s="1" t="n">
        <v>46199</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21968-2024</t>
        </is>
      </c>
      <c r="B233" s="1" t="n">
        <v>45443</v>
      </c>
      <c r="C233" s="1" t="n">
        <v>46199</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56916-2022</t>
        </is>
      </c>
      <c r="B234" s="1" t="n">
        <v>44888</v>
      </c>
      <c r="C234" s="1" t="n">
        <v>46199</v>
      </c>
      <c r="D234" t="inlineStr">
        <is>
          <t>VÄSTMANLANDS LÄN</t>
        </is>
      </c>
      <c r="E234" t="inlineStr">
        <is>
          <t>SALA</t>
        </is>
      </c>
      <c r="G234" t="n">
        <v>1.7</v>
      </c>
      <c r="H234" t="n">
        <v>0</v>
      </c>
      <c r="I234" t="n">
        <v>0</v>
      </c>
      <c r="J234" t="n">
        <v>0</v>
      </c>
      <c r="K234" t="n">
        <v>0</v>
      </c>
      <c r="L234" t="n">
        <v>0</v>
      </c>
      <c r="M234" t="n">
        <v>0</v>
      </c>
      <c r="N234" t="n">
        <v>0</v>
      </c>
      <c r="O234" t="n">
        <v>0</v>
      </c>
      <c r="P234" t="n">
        <v>0</v>
      </c>
      <c r="Q234" t="n">
        <v>0</v>
      </c>
      <c r="R234" s="2" t="inlineStr"/>
    </row>
    <row r="235" ht="15" customHeight="1">
      <c r="A235" t="inlineStr">
        <is>
          <t>A 42421-2025</t>
        </is>
      </c>
      <c r="B235" s="1" t="n">
        <v>45905</v>
      </c>
      <c r="C235" s="1" t="n">
        <v>46199</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43028-2025</t>
        </is>
      </c>
      <c r="B236" s="1" t="n">
        <v>45909</v>
      </c>
      <c r="C236" s="1" t="n">
        <v>46199</v>
      </c>
      <c r="D236" t="inlineStr">
        <is>
          <t>VÄSTMANLANDS LÄN</t>
        </is>
      </c>
      <c r="E236" t="inlineStr">
        <is>
          <t>SALA</t>
        </is>
      </c>
      <c r="G236" t="n">
        <v>3.8</v>
      </c>
      <c r="H236" t="n">
        <v>0</v>
      </c>
      <c r="I236" t="n">
        <v>0</v>
      </c>
      <c r="J236" t="n">
        <v>0</v>
      </c>
      <c r="K236" t="n">
        <v>0</v>
      </c>
      <c r="L236" t="n">
        <v>0</v>
      </c>
      <c r="M236" t="n">
        <v>0</v>
      </c>
      <c r="N236" t="n">
        <v>0</v>
      </c>
      <c r="O236" t="n">
        <v>0</v>
      </c>
      <c r="P236" t="n">
        <v>0</v>
      </c>
      <c r="Q236" t="n">
        <v>0</v>
      </c>
      <c r="R236" s="2" t="inlineStr"/>
    </row>
    <row r="237" ht="15" customHeight="1">
      <c r="A237" t="inlineStr">
        <is>
          <t>A 43031-2025</t>
        </is>
      </c>
      <c r="B237" s="1" t="n">
        <v>45909</v>
      </c>
      <c r="C237" s="1" t="n">
        <v>46199</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37263-2025</t>
        </is>
      </c>
      <c r="B238" s="1" t="n">
        <v>45876</v>
      </c>
      <c r="C238" s="1" t="n">
        <v>46199</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40554-2025</t>
        </is>
      </c>
      <c r="B239" s="1" t="n">
        <v>45896</v>
      </c>
      <c r="C239" s="1" t="n">
        <v>46199</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43130-2025</t>
        </is>
      </c>
      <c r="B240" s="1" t="n">
        <v>45909</v>
      </c>
      <c r="C240" s="1" t="n">
        <v>46199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43128-2025</t>
        </is>
      </c>
      <c r="B241" s="1" t="n">
        <v>45909</v>
      </c>
      <c r="C241" s="1" t="n">
        <v>46199</v>
      </c>
      <c r="D241" t="inlineStr">
        <is>
          <t>VÄSTMANLANDS LÄN</t>
        </is>
      </c>
      <c r="E241" t="inlineStr">
        <is>
          <t>SALA</t>
        </is>
      </c>
      <c r="G241" t="n">
        <v>0.7</v>
      </c>
      <c r="H241" t="n">
        <v>0</v>
      </c>
      <c r="I241" t="n">
        <v>0</v>
      </c>
      <c r="J241" t="n">
        <v>0</v>
      </c>
      <c r="K241" t="n">
        <v>0</v>
      </c>
      <c r="L241" t="n">
        <v>0</v>
      </c>
      <c r="M241" t="n">
        <v>0</v>
      </c>
      <c r="N241" t="n">
        <v>0</v>
      </c>
      <c r="O241" t="n">
        <v>0</v>
      </c>
      <c r="P241" t="n">
        <v>0</v>
      </c>
      <c r="Q241" t="n">
        <v>0</v>
      </c>
      <c r="R241" s="2" t="inlineStr"/>
    </row>
    <row r="242" ht="15" customHeight="1">
      <c r="A242" t="inlineStr">
        <is>
          <t>A 56535-2022</t>
        </is>
      </c>
      <c r="B242" s="1" t="n">
        <v>44893</v>
      </c>
      <c r="C242" s="1" t="n">
        <v>46199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47909-2022</t>
        </is>
      </c>
      <c r="B243" s="1" t="n">
        <v>44855</v>
      </c>
      <c r="C243" s="1" t="n">
        <v>46199</v>
      </c>
      <c r="D243" t="inlineStr">
        <is>
          <t>VÄSTMANLANDS LÄN</t>
        </is>
      </c>
      <c r="E243" t="inlineStr">
        <is>
          <t>SALA</t>
        </is>
      </c>
      <c r="F243" t="inlineStr">
        <is>
          <t>Bergvik skog öst AB</t>
        </is>
      </c>
      <c r="G243" t="n">
        <v>2</v>
      </c>
      <c r="H243" t="n">
        <v>0</v>
      </c>
      <c r="I243" t="n">
        <v>0</v>
      </c>
      <c r="J243" t="n">
        <v>0</v>
      </c>
      <c r="K243" t="n">
        <v>0</v>
      </c>
      <c r="L243" t="n">
        <v>0</v>
      </c>
      <c r="M243" t="n">
        <v>0</v>
      </c>
      <c r="N243" t="n">
        <v>0</v>
      </c>
      <c r="O243" t="n">
        <v>0</v>
      </c>
      <c r="P243" t="n">
        <v>0</v>
      </c>
      <c r="Q243" t="n">
        <v>0</v>
      </c>
      <c r="R243" s="2" t="inlineStr"/>
    </row>
    <row r="244" ht="15" customHeight="1">
      <c r="A244" t="inlineStr">
        <is>
          <t>A 52630-2022</t>
        </is>
      </c>
      <c r="B244" s="1" t="n">
        <v>44874</v>
      </c>
      <c r="C244" s="1" t="n">
        <v>46199</v>
      </c>
      <c r="D244" t="inlineStr">
        <is>
          <t>VÄSTMANLANDS LÄN</t>
        </is>
      </c>
      <c r="E244" t="inlineStr">
        <is>
          <t>SALA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44486-2025</t>
        </is>
      </c>
      <c r="B245" s="1" t="n">
        <v>45916</v>
      </c>
      <c r="C245" s="1" t="n">
        <v>46199</v>
      </c>
      <c r="D245" t="inlineStr">
        <is>
          <t>VÄSTMANLANDS LÄN</t>
        </is>
      </c>
      <c r="E245" t="inlineStr">
        <is>
          <t>SALA</t>
        </is>
      </c>
      <c r="G245" t="n">
        <v>1.7</v>
      </c>
      <c r="H245" t="n">
        <v>0</v>
      </c>
      <c r="I245" t="n">
        <v>0</v>
      </c>
      <c r="J245" t="n">
        <v>0</v>
      </c>
      <c r="K245" t="n">
        <v>0</v>
      </c>
      <c r="L245" t="n">
        <v>0</v>
      </c>
      <c r="M245" t="n">
        <v>0</v>
      </c>
      <c r="N245" t="n">
        <v>0</v>
      </c>
      <c r="O245" t="n">
        <v>0</v>
      </c>
      <c r="P245" t="n">
        <v>0</v>
      </c>
      <c r="Q245" t="n">
        <v>0</v>
      </c>
      <c r="R245" s="2" t="inlineStr"/>
    </row>
    <row r="246" ht="15" customHeight="1">
      <c r="A246" t="inlineStr">
        <is>
          <t>A 44524-2025</t>
        </is>
      </c>
      <c r="B246" s="1" t="n">
        <v>45916</v>
      </c>
      <c r="C246" s="1" t="n">
        <v>46199</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28284-2025</t>
        </is>
      </c>
      <c r="B247" s="1" t="n">
        <v>45818</v>
      </c>
      <c r="C247" s="1" t="n">
        <v>46199</v>
      </c>
      <c r="D247" t="inlineStr">
        <is>
          <t>VÄSTMANLANDS LÄN</t>
        </is>
      </c>
      <c r="E247" t="inlineStr">
        <is>
          <t>SALA</t>
        </is>
      </c>
      <c r="G247" t="n">
        <v>2.4</v>
      </c>
      <c r="H247" t="n">
        <v>0</v>
      </c>
      <c r="I247" t="n">
        <v>0</v>
      </c>
      <c r="J247" t="n">
        <v>0</v>
      </c>
      <c r="K247" t="n">
        <v>0</v>
      </c>
      <c r="L247" t="n">
        <v>0</v>
      </c>
      <c r="M247" t="n">
        <v>0</v>
      </c>
      <c r="N247" t="n">
        <v>0</v>
      </c>
      <c r="O247" t="n">
        <v>0</v>
      </c>
      <c r="P247" t="n">
        <v>0</v>
      </c>
      <c r="Q247" t="n">
        <v>0</v>
      </c>
      <c r="R247" s="2" t="inlineStr"/>
    </row>
    <row r="248" ht="15" customHeight="1">
      <c r="A248" t="inlineStr">
        <is>
          <t>A 16404-2022</t>
        </is>
      </c>
      <c r="B248" s="1" t="n">
        <v>44671</v>
      </c>
      <c r="C248" s="1" t="n">
        <v>46199</v>
      </c>
      <c r="D248" t="inlineStr">
        <is>
          <t>VÄSTMANLANDS LÄN</t>
        </is>
      </c>
      <c r="E248" t="inlineStr">
        <is>
          <t>SALA</t>
        </is>
      </c>
      <c r="G248" t="n">
        <v>0.8</v>
      </c>
      <c r="H248" t="n">
        <v>0</v>
      </c>
      <c r="I248" t="n">
        <v>0</v>
      </c>
      <c r="J248" t="n">
        <v>0</v>
      </c>
      <c r="K248" t="n">
        <v>0</v>
      </c>
      <c r="L248" t="n">
        <v>0</v>
      </c>
      <c r="M248" t="n">
        <v>0</v>
      </c>
      <c r="N248" t="n">
        <v>0</v>
      </c>
      <c r="O248" t="n">
        <v>0</v>
      </c>
      <c r="P248" t="n">
        <v>0</v>
      </c>
      <c r="Q248" t="n">
        <v>0</v>
      </c>
      <c r="R248" s="2" t="inlineStr"/>
    </row>
    <row r="249" ht="15" customHeight="1">
      <c r="A249" t="inlineStr">
        <is>
          <t>A 6097-2022</t>
        </is>
      </c>
      <c r="B249" s="1" t="n">
        <v>44599</v>
      </c>
      <c r="C249" s="1" t="n">
        <v>46199</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45371-2025</t>
        </is>
      </c>
      <c r="B250" s="1" t="n">
        <v>45922</v>
      </c>
      <c r="C250" s="1" t="n">
        <v>46199</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10559-2024</t>
        </is>
      </c>
      <c r="B251" s="1" t="n">
        <v>45366</v>
      </c>
      <c r="C251" s="1" t="n">
        <v>46199</v>
      </c>
      <c r="D251" t="inlineStr">
        <is>
          <t>VÄSTMANLANDS LÄN</t>
        </is>
      </c>
      <c r="E251" t="inlineStr">
        <is>
          <t>SALA</t>
        </is>
      </c>
      <c r="G251" t="n">
        <v>0.3</v>
      </c>
      <c r="H251" t="n">
        <v>0</v>
      </c>
      <c r="I251" t="n">
        <v>0</v>
      </c>
      <c r="J251" t="n">
        <v>0</v>
      </c>
      <c r="K251" t="n">
        <v>0</v>
      </c>
      <c r="L251" t="n">
        <v>0</v>
      </c>
      <c r="M251" t="n">
        <v>0</v>
      </c>
      <c r="N251" t="n">
        <v>0</v>
      </c>
      <c r="O251" t="n">
        <v>0</v>
      </c>
      <c r="P251" t="n">
        <v>0</v>
      </c>
      <c r="Q251" t="n">
        <v>0</v>
      </c>
      <c r="R251" s="2" t="inlineStr"/>
    </row>
    <row r="252" ht="15" customHeight="1">
      <c r="A252" t="inlineStr">
        <is>
          <t>A 29085-2025</t>
        </is>
      </c>
      <c r="B252" s="1" t="n">
        <v>45821</v>
      </c>
      <c r="C252" s="1" t="n">
        <v>46199</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60545-2024</t>
        </is>
      </c>
      <c r="B253" s="1" t="n">
        <v>45643</v>
      </c>
      <c r="C253" s="1" t="n">
        <v>46199</v>
      </c>
      <c r="D253" t="inlineStr">
        <is>
          <t>VÄSTMANLANDS LÄN</t>
        </is>
      </c>
      <c r="E253" t="inlineStr">
        <is>
          <t>SALA</t>
        </is>
      </c>
      <c r="G253" t="n">
        <v>3.3</v>
      </c>
      <c r="H253" t="n">
        <v>0</v>
      </c>
      <c r="I253" t="n">
        <v>0</v>
      </c>
      <c r="J253" t="n">
        <v>0</v>
      </c>
      <c r="K253" t="n">
        <v>0</v>
      </c>
      <c r="L253" t="n">
        <v>0</v>
      </c>
      <c r="M253" t="n">
        <v>0</v>
      </c>
      <c r="N253" t="n">
        <v>0</v>
      </c>
      <c r="O253" t="n">
        <v>0</v>
      </c>
      <c r="P253" t="n">
        <v>0</v>
      </c>
      <c r="Q253" t="n">
        <v>0</v>
      </c>
      <c r="R253" s="2" t="inlineStr"/>
    </row>
    <row r="254" ht="15" customHeight="1">
      <c r="A254" t="inlineStr">
        <is>
          <t>A 60547-2024</t>
        </is>
      </c>
      <c r="B254" s="1" t="n">
        <v>45643</v>
      </c>
      <c r="C254" s="1" t="n">
        <v>46199</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60541-2024</t>
        </is>
      </c>
      <c r="B255" s="1" t="n">
        <v>45643</v>
      </c>
      <c r="C255" s="1" t="n">
        <v>46199</v>
      </c>
      <c r="D255" t="inlineStr">
        <is>
          <t>VÄSTMANLANDS LÄN</t>
        </is>
      </c>
      <c r="E255" t="inlineStr">
        <is>
          <t>SALA</t>
        </is>
      </c>
      <c r="G255" t="n">
        <v>10.6</v>
      </c>
      <c r="H255" t="n">
        <v>0</v>
      </c>
      <c r="I255" t="n">
        <v>0</v>
      </c>
      <c r="J255" t="n">
        <v>0</v>
      </c>
      <c r="K255" t="n">
        <v>0</v>
      </c>
      <c r="L255" t="n">
        <v>0</v>
      </c>
      <c r="M255" t="n">
        <v>0</v>
      </c>
      <c r="N255" t="n">
        <v>0</v>
      </c>
      <c r="O255" t="n">
        <v>0</v>
      </c>
      <c r="P255" t="n">
        <v>0</v>
      </c>
      <c r="Q255" t="n">
        <v>0</v>
      </c>
      <c r="R255" s="2" t="inlineStr"/>
    </row>
    <row r="256" ht="15" customHeight="1">
      <c r="A256" t="inlineStr">
        <is>
          <t>A 29826-2025</t>
        </is>
      </c>
      <c r="B256" s="1" t="n">
        <v>45825</v>
      </c>
      <c r="C256" s="1" t="n">
        <v>46199</v>
      </c>
      <c r="D256" t="inlineStr">
        <is>
          <t>VÄSTMANLANDS LÄN</t>
        </is>
      </c>
      <c r="E256" t="inlineStr">
        <is>
          <t>SALA</t>
        </is>
      </c>
      <c r="G256" t="n">
        <v>1.9</v>
      </c>
      <c r="H256" t="n">
        <v>0</v>
      </c>
      <c r="I256" t="n">
        <v>0</v>
      </c>
      <c r="J256" t="n">
        <v>0</v>
      </c>
      <c r="K256" t="n">
        <v>0</v>
      </c>
      <c r="L256" t="n">
        <v>0</v>
      </c>
      <c r="M256" t="n">
        <v>0</v>
      </c>
      <c r="N256" t="n">
        <v>0</v>
      </c>
      <c r="O256" t="n">
        <v>0</v>
      </c>
      <c r="P256" t="n">
        <v>0</v>
      </c>
      <c r="Q256" t="n">
        <v>0</v>
      </c>
      <c r="R256" s="2" t="inlineStr"/>
    </row>
    <row r="257" ht="15" customHeight="1">
      <c r="A257" t="inlineStr">
        <is>
          <t>A 15965-2024</t>
        </is>
      </c>
      <c r="B257" s="1" t="n">
        <v>45405</v>
      </c>
      <c r="C257" s="1" t="n">
        <v>46199</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60017-2025</t>
        </is>
      </c>
      <c r="B258" s="1" t="n">
        <v>45993</v>
      </c>
      <c r="C258" s="1" t="n">
        <v>46199</v>
      </c>
      <c r="D258" t="inlineStr">
        <is>
          <t>VÄSTMANLANDS LÄN</t>
        </is>
      </c>
      <c r="E258" t="inlineStr">
        <is>
          <t>SALA</t>
        </is>
      </c>
      <c r="G258" t="n">
        <v>4.4</v>
      </c>
      <c r="H258" t="n">
        <v>0</v>
      </c>
      <c r="I258" t="n">
        <v>0</v>
      </c>
      <c r="J258" t="n">
        <v>0</v>
      </c>
      <c r="K258" t="n">
        <v>0</v>
      </c>
      <c r="L258" t="n">
        <v>0</v>
      </c>
      <c r="M258" t="n">
        <v>0</v>
      </c>
      <c r="N258" t="n">
        <v>0</v>
      </c>
      <c r="O258" t="n">
        <v>0</v>
      </c>
      <c r="P258" t="n">
        <v>0</v>
      </c>
      <c r="Q258" t="n">
        <v>0</v>
      </c>
      <c r="R258" s="2" t="inlineStr"/>
    </row>
    <row r="259" ht="15" customHeight="1">
      <c r="A259" t="inlineStr">
        <is>
          <t>A 60259-2025</t>
        </is>
      </c>
      <c r="B259" s="1" t="n">
        <v>45994</v>
      </c>
      <c r="C259" s="1" t="n">
        <v>46199</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60246-2025</t>
        </is>
      </c>
      <c r="B260" s="1" t="n">
        <v>45994</v>
      </c>
      <c r="C260" s="1" t="n">
        <v>46199</v>
      </c>
      <c r="D260" t="inlineStr">
        <is>
          <t>VÄSTMANLANDS LÄN</t>
        </is>
      </c>
      <c r="E260" t="inlineStr">
        <is>
          <t>SALA</t>
        </is>
      </c>
      <c r="G260" t="n">
        <v>0.7</v>
      </c>
      <c r="H260" t="n">
        <v>0</v>
      </c>
      <c r="I260" t="n">
        <v>0</v>
      </c>
      <c r="J260" t="n">
        <v>0</v>
      </c>
      <c r="K260" t="n">
        <v>0</v>
      </c>
      <c r="L260" t="n">
        <v>0</v>
      </c>
      <c r="M260" t="n">
        <v>0</v>
      </c>
      <c r="N260" t="n">
        <v>0</v>
      </c>
      <c r="O260" t="n">
        <v>0</v>
      </c>
      <c r="P260" t="n">
        <v>0</v>
      </c>
      <c r="Q260" t="n">
        <v>0</v>
      </c>
      <c r="R260" s="2" t="inlineStr"/>
    </row>
    <row r="261" ht="15" customHeight="1">
      <c r="A261" t="inlineStr">
        <is>
          <t>A 60254-2025</t>
        </is>
      </c>
      <c r="B261" s="1" t="n">
        <v>45994</v>
      </c>
      <c r="C261" s="1" t="n">
        <v>46199</v>
      </c>
      <c r="D261" t="inlineStr">
        <is>
          <t>VÄSTMANLANDS LÄN</t>
        </is>
      </c>
      <c r="E261" t="inlineStr">
        <is>
          <t>SALA</t>
        </is>
      </c>
      <c r="G261" t="n">
        <v>1.7</v>
      </c>
      <c r="H261" t="n">
        <v>0</v>
      </c>
      <c r="I261" t="n">
        <v>0</v>
      </c>
      <c r="J261" t="n">
        <v>0</v>
      </c>
      <c r="K261" t="n">
        <v>0</v>
      </c>
      <c r="L261" t="n">
        <v>0</v>
      </c>
      <c r="M261" t="n">
        <v>0</v>
      </c>
      <c r="N261" t="n">
        <v>0</v>
      </c>
      <c r="O261" t="n">
        <v>0</v>
      </c>
      <c r="P261" t="n">
        <v>0</v>
      </c>
      <c r="Q261" t="n">
        <v>0</v>
      </c>
      <c r="R261" s="2" t="inlineStr"/>
    </row>
    <row r="262" ht="15" customHeight="1">
      <c r="A262" t="inlineStr">
        <is>
          <t>A 59926-2025</t>
        </is>
      </c>
      <c r="B262" s="1" t="n">
        <v>45993</v>
      </c>
      <c r="C262" s="1" t="n">
        <v>46199</v>
      </c>
      <c r="D262" t="inlineStr">
        <is>
          <t>VÄSTMANLANDS LÄN</t>
        </is>
      </c>
      <c r="E262" t="inlineStr">
        <is>
          <t>SALA</t>
        </is>
      </c>
      <c r="G262" t="n">
        <v>7.1</v>
      </c>
      <c r="H262" t="n">
        <v>0</v>
      </c>
      <c r="I262" t="n">
        <v>0</v>
      </c>
      <c r="J262" t="n">
        <v>0</v>
      </c>
      <c r="K262" t="n">
        <v>0</v>
      </c>
      <c r="L262" t="n">
        <v>0</v>
      </c>
      <c r="M262" t="n">
        <v>0</v>
      </c>
      <c r="N262" t="n">
        <v>0</v>
      </c>
      <c r="O262" t="n">
        <v>0</v>
      </c>
      <c r="P262" t="n">
        <v>0</v>
      </c>
      <c r="Q262" t="n">
        <v>0</v>
      </c>
      <c r="R262" s="2" t="inlineStr"/>
    </row>
    <row r="263" ht="15" customHeight="1">
      <c r="A263" t="inlineStr">
        <is>
          <t>A 46661-2025</t>
        </is>
      </c>
      <c r="B263" s="1" t="n">
        <v>45926</v>
      </c>
      <c r="C263" s="1" t="n">
        <v>46199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62651-2022</t>
        </is>
      </c>
      <c r="B264" s="1" t="n">
        <v>44917</v>
      </c>
      <c r="C264" s="1" t="n">
        <v>46199</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54836-2024</t>
        </is>
      </c>
      <c r="B265" s="1" t="n">
        <v>45618</v>
      </c>
      <c r="C265" s="1" t="n">
        <v>46199</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13987-2023</t>
        </is>
      </c>
      <c r="B266" s="1" t="n">
        <v>45007</v>
      </c>
      <c r="C266" s="1" t="n">
        <v>46199</v>
      </c>
      <c r="D266" t="inlineStr">
        <is>
          <t>VÄSTMANLANDS LÄN</t>
        </is>
      </c>
      <c r="E266" t="inlineStr">
        <is>
          <t>SALA</t>
        </is>
      </c>
      <c r="G266" t="n">
        <v>3.2</v>
      </c>
      <c r="H266" t="n">
        <v>0</v>
      </c>
      <c r="I266" t="n">
        <v>0</v>
      </c>
      <c r="J266" t="n">
        <v>0</v>
      </c>
      <c r="K266" t="n">
        <v>0</v>
      </c>
      <c r="L266" t="n">
        <v>0</v>
      </c>
      <c r="M266" t="n">
        <v>0</v>
      </c>
      <c r="N266" t="n">
        <v>0</v>
      </c>
      <c r="O266" t="n">
        <v>0</v>
      </c>
      <c r="P266" t="n">
        <v>0</v>
      </c>
      <c r="Q266" t="n">
        <v>0</v>
      </c>
      <c r="R266" s="2" t="inlineStr"/>
    </row>
    <row r="267" ht="15" customHeight="1">
      <c r="A267" t="inlineStr">
        <is>
          <t>A 13990-2023</t>
        </is>
      </c>
      <c r="B267" s="1" t="n">
        <v>45007</v>
      </c>
      <c r="C267" s="1" t="n">
        <v>46199</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51464-2024</t>
        </is>
      </c>
      <c r="B268" s="1" t="n">
        <v>45604</v>
      </c>
      <c r="C268" s="1" t="n">
        <v>46199</v>
      </c>
      <c r="D268" t="inlineStr">
        <is>
          <t>VÄSTMANLANDS LÄN</t>
        </is>
      </c>
      <c r="E268" t="inlineStr">
        <is>
          <t>SALA</t>
        </is>
      </c>
      <c r="G268" t="n">
        <v>3.9</v>
      </c>
      <c r="H268" t="n">
        <v>0</v>
      </c>
      <c r="I268" t="n">
        <v>0</v>
      </c>
      <c r="J268" t="n">
        <v>0</v>
      </c>
      <c r="K268" t="n">
        <v>0</v>
      </c>
      <c r="L268" t="n">
        <v>0</v>
      </c>
      <c r="M268" t="n">
        <v>0</v>
      </c>
      <c r="N268" t="n">
        <v>0</v>
      </c>
      <c r="O268" t="n">
        <v>0</v>
      </c>
      <c r="P268" t="n">
        <v>0</v>
      </c>
      <c r="Q268" t="n">
        <v>0</v>
      </c>
      <c r="R268" s="2" t="inlineStr"/>
    </row>
    <row r="269" ht="15" customHeight="1">
      <c r="A269" t="inlineStr">
        <is>
          <t>A 1128-2025</t>
        </is>
      </c>
      <c r="B269" s="1" t="n">
        <v>45666</v>
      </c>
      <c r="C269" s="1" t="n">
        <v>46199</v>
      </c>
      <c r="D269" t="inlineStr">
        <is>
          <t>VÄSTMANLANDS LÄN</t>
        </is>
      </c>
      <c r="E269" t="inlineStr">
        <is>
          <t>SALA</t>
        </is>
      </c>
      <c r="G269" t="n">
        <v>2.5</v>
      </c>
      <c r="H269" t="n">
        <v>0</v>
      </c>
      <c r="I269" t="n">
        <v>0</v>
      </c>
      <c r="J269" t="n">
        <v>0</v>
      </c>
      <c r="K269" t="n">
        <v>0</v>
      </c>
      <c r="L269" t="n">
        <v>0</v>
      </c>
      <c r="M269" t="n">
        <v>0</v>
      </c>
      <c r="N269" t="n">
        <v>0</v>
      </c>
      <c r="O269" t="n">
        <v>0</v>
      </c>
      <c r="P269" t="n">
        <v>0</v>
      </c>
      <c r="Q269" t="n">
        <v>0</v>
      </c>
      <c r="R269" s="2" t="inlineStr"/>
    </row>
    <row r="270" ht="15" customHeight="1">
      <c r="A270" t="inlineStr">
        <is>
          <t>A 46915-2025</t>
        </is>
      </c>
      <c r="B270" s="1" t="n">
        <v>45929</v>
      </c>
      <c r="C270" s="1" t="n">
        <v>46199</v>
      </c>
      <c r="D270" t="inlineStr">
        <is>
          <t>VÄSTMANLANDS LÄN</t>
        </is>
      </c>
      <c r="E270" t="inlineStr">
        <is>
          <t>SALA</t>
        </is>
      </c>
      <c r="G270" t="n">
        <v>1.5</v>
      </c>
      <c r="H270" t="n">
        <v>0</v>
      </c>
      <c r="I270" t="n">
        <v>0</v>
      </c>
      <c r="J270" t="n">
        <v>0</v>
      </c>
      <c r="K270" t="n">
        <v>0</v>
      </c>
      <c r="L270" t="n">
        <v>0</v>
      </c>
      <c r="M270" t="n">
        <v>0</v>
      </c>
      <c r="N270" t="n">
        <v>0</v>
      </c>
      <c r="O270" t="n">
        <v>0</v>
      </c>
      <c r="P270" t="n">
        <v>0</v>
      </c>
      <c r="Q270" t="n">
        <v>0</v>
      </c>
      <c r="R270" s="2" t="inlineStr"/>
    </row>
    <row r="271" ht="15" customHeight="1">
      <c r="A271" t="inlineStr">
        <is>
          <t>A 73835-2021</t>
        </is>
      </c>
      <c r="B271" s="1" t="n">
        <v>44552</v>
      </c>
      <c r="C271" s="1" t="n">
        <v>46199</v>
      </c>
      <c r="D271" t="inlineStr">
        <is>
          <t>VÄSTMANLANDS LÄN</t>
        </is>
      </c>
      <c r="E271" t="inlineStr">
        <is>
          <t>SALA</t>
        </is>
      </c>
      <c r="G271" t="n">
        <v>2</v>
      </c>
      <c r="H271" t="n">
        <v>0</v>
      </c>
      <c r="I271" t="n">
        <v>0</v>
      </c>
      <c r="J271" t="n">
        <v>0</v>
      </c>
      <c r="K271" t="n">
        <v>0</v>
      </c>
      <c r="L271" t="n">
        <v>0</v>
      </c>
      <c r="M271" t="n">
        <v>0</v>
      </c>
      <c r="N271" t="n">
        <v>0</v>
      </c>
      <c r="O271" t="n">
        <v>0</v>
      </c>
      <c r="P271" t="n">
        <v>0</v>
      </c>
      <c r="Q271" t="n">
        <v>0</v>
      </c>
      <c r="R271" s="2" t="inlineStr"/>
    </row>
    <row r="272" ht="15" customHeight="1">
      <c r="A272" t="inlineStr">
        <is>
          <t>A 60379-2022</t>
        </is>
      </c>
      <c r="B272" s="1" t="n">
        <v>44910</v>
      </c>
      <c r="C272" s="1" t="n">
        <v>46199</v>
      </c>
      <c r="D272" t="inlineStr">
        <is>
          <t>VÄSTMANLANDS LÄN</t>
        </is>
      </c>
      <c r="E272" t="inlineStr">
        <is>
          <t>SALA</t>
        </is>
      </c>
      <c r="F272" t="inlineStr">
        <is>
          <t>Kyrkan</t>
        </is>
      </c>
      <c r="G272" t="n">
        <v>2.5</v>
      </c>
      <c r="H272" t="n">
        <v>0</v>
      </c>
      <c r="I272" t="n">
        <v>0</v>
      </c>
      <c r="J272" t="n">
        <v>0</v>
      </c>
      <c r="K272" t="n">
        <v>0</v>
      </c>
      <c r="L272" t="n">
        <v>0</v>
      </c>
      <c r="M272" t="n">
        <v>0</v>
      </c>
      <c r="N272" t="n">
        <v>0</v>
      </c>
      <c r="O272" t="n">
        <v>0</v>
      </c>
      <c r="P272" t="n">
        <v>0</v>
      </c>
      <c r="Q272" t="n">
        <v>0</v>
      </c>
      <c r="R272" s="2" t="inlineStr"/>
    </row>
    <row r="273" ht="15" customHeight="1">
      <c r="A273" t="inlineStr">
        <is>
          <t>A 1638-2023</t>
        </is>
      </c>
      <c r="B273" s="1" t="n">
        <v>44937</v>
      </c>
      <c r="C273" s="1" t="n">
        <v>46199</v>
      </c>
      <c r="D273" t="inlineStr">
        <is>
          <t>VÄSTMANLANDS LÄN</t>
        </is>
      </c>
      <c r="E273" t="inlineStr">
        <is>
          <t>SALA</t>
        </is>
      </c>
      <c r="G273" t="n">
        <v>3.1</v>
      </c>
      <c r="H273" t="n">
        <v>0</v>
      </c>
      <c r="I273" t="n">
        <v>0</v>
      </c>
      <c r="J273" t="n">
        <v>0</v>
      </c>
      <c r="K273" t="n">
        <v>0</v>
      </c>
      <c r="L273" t="n">
        <v>0</v>
      </c>
      <c r="M273" t="n">
        <v>0</v>
      </c>
      <c r="N273" t="n">
        <v>0</v>
      </c>
      <c r="O273" t="n">
        <v>0</v>
      </c>
      <c r="P273" t="n">
        <v>0</v>
      </c>
      <c r="Q273" t="n">
        <v>0</v>
      </c>
      <c r="R273" s="2" t="inlineStr"/>
    </row>
    <row r="274" ht="15" customHeight="1">
      <c r="A274" t="inlineStr">
        <is>
          <t>A 47577-2025</t>
        </is>
      </c>
      <c r="B274" s="1" t="n">
        <v>45931</v>
      </c>
      <c r="C274" s="1" t="n">
        <v>46199</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7953-2024</t>
        </is>
      </c>
      <c r="B275" s="1" t="n">
        <v>45350</v>
      </c>
      <c r="C275" s="1" t="n">
        <v>46199</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48710-2025</t>
        </is>
      </c>
      <c r="B276" s="1" t="n">
        <v>45936</v>
      </c>
      <c r="C276" s="1" t="n">
        <v>46199</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5477-2024</t>
        </is>
      </c>
      <c r="B277" s="1" t="n">
        <v>45333</v>
      </c>
      <c r="C277" s="1" t="n">
        <v>46199</v>
      </c>
      <c r="D277" t="inlineStr">
        <is>
          <t>VÄSTMANLANDS LÄN</t>
        </is>
      </c>
      <c r="E277" t="inlineStr">
        <is>
          <t>SALA</t>
        </is>
      </c>
      <c r="G277" t="n">
        <v>2.3</v>
      </c>
      <c r="H277" t="n">
        <v>0</v>
      </c>
      <c r="I277" t="n">
        <v>0</v>
      </c>
      <c r="J277" t="n">
        <v>0</v>
      </c>
      <c r="K277" t="n">
        <v>0</v>
      </c>
      <c r="L277" t="n">
        <v>0</v>
      </c>
      <c r="M277" t="n">
        <v>0</v>
      </c>
      <c r="N277" t="n">
        <v>0</v>
      </c>
      <c r="O277" t="n">
        <v>0</v>
      </c>
      <c r="P277" t="n">
        <v>0</v>
      </c>
      <c r="Q277" t="n">
        <v>0</v>
      </c>
      <c r="R277" s="2" t="inlineStr"/>
    </row>
    <row r="278" ht="15" customHeight="1">
      <c r="A278" t="inlineStr">
        <is>
          <t>A 26507-2023</t>
        </is>
      </c>
      <c r="B278" s="1" t="n">
        <v>45092</v>
      </c>
      <c r="C278" s="1" t="n">
        <v>46199</v>
      </c>
      <c r="D278" t="inlineStr">
        <is>
          <t>VÄSTMANLANDS LÄN</t>
        </is>
      </c>
      <c r="E278" t="inlineStr">
        <is>
          <t>SALA</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32286-2025</t>
        </is>
      </c>
      <c r="B279" s="1" t="n">
        <v>45835</v>
      </c>
      <c r="C279" s="1" t="n">
        <v>46199</v>
      </c>
      <c r="D279" t="inlineStr">
        <is>
          <t>VÄSTMANLANDS LÄN</t>
        </is>
      </c>
      <c r="E279" t="inlineStr">
        <is>
          <t>SALA</t>
        </is>
      </c>
      <c r="G279" t="n">
        <v>6.4</v>
      </c>
      <c r="H279" t="n">
        <v>0</v>
      </c>
      <c r="I279" t="n">
        <v>0</v>
      </c>
      <c r="J279" t="n">
        <v>0</v>
      </c>
      <c r="K279" t="n">
        <v>0</v>
      </c>
      <c r="L279" t="n">
        <v>0</v>
      </c>
      <c r="M279" t="n">
        <v>0</v>
      </c>
      <c r="N279" t="n">
        <v>0</v>
      </c>
      <c r="O279" t="n">
        <v>0</v>
      </c>
      <c r="P279" t="n">
        <v>0</v>
      </c>
      <c r="Q279" t="n">
        <v>0</v>
      </c>
      <c r="R279" s="2" t="inlineStr"/>
    </row>
    <row r="280" ht="15" customHeight="1">
      <c r="A280" t="inlineStr">
        <is>
          <t>A 63055-2025</t>
        </is>
      </c>
      <c r="B280" s="1" t="n">
        <v>46009</v>
      </c>
      <c r="C280" s="1" t="n">
        <v>46199</v>
      </c>
      <c r="D280" t="inlineStr">
        <is>
          <t>VÄSTMANLANDS LÄN</t>
        </is>
      </c>
      <c r="E280" t="inlineStr">
        <is>
          <t>SALA</t>
        </is>
      </c>
      <c r="G280" t="n">
        <v>0.4</v>
      </c>
      <c r="H280" t="n">
        <v>0</v>
      </c>
      <c r="I280" t="n">
        <v>0</v>
      </c>
      <c r="J280" t="n">
        <v>0</v>
      </c>
      <c r="K280" t="n">
        <v>0</v>
      </c>
      <c r="L280" t="n">
        <v>0</v>
      </c>
      <c r="M280" t="n">
        <v>0</v>
      </c>
      <c r="N280" t="n">
        <v>0</v>
      </c>
      <c r="O280" t="n">
        <v>0</v>
      </c>
      <c r="P280" t="n">
        <v>0</v>
      </c>
      <c r="Q280" t="n">
        <v>0</v>
      </c>
      <c r="R280" s="2" t="inlineStr"/>
    </row>
    <row r="281" ht="15" customHeight="1">
      <c r="A281" t="inlineStr">
        <is>
          <t>A 63046-2025</t>
        </is>
      </c>
      <c r="B281" s="1" t="n">
        <v>46009</v>
      </c>
      <c r="C281" s="1" t="n">
        <v>46199</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49640-2025</t>
        </is>
      </c>
      <c r="B282" s="1" t="n">
        <v>45939</v>
      </c>
      <c r="C282" s="1" t="n">
        <v>46199</v>
      </c>
      <c r="D282" t="inlineStr">
        <is>
          <t>VÄSTMANLANDS LÄN</t>
        </is>
      </c>
      <c r="E282" t="inlineStr">
        <is>
          <t>SALA</t>
        </is>
      </c>
      <c r="F282" t="inlineStr">
        <is>
          <t>Kommuner</t>
        </is>
      </c>
      <c r="G282" t="n">
        <v>18.8</v>
      </c>
      <c r="H282" t="n">
        <v>0</v>
      </c>
      <c r="I282" t="n">
        <v>0</v>
      </c>
      <c r="J282" t="n">
        <v>0</v>
      </c>
      <c r="K282" t="n">
        <v>0</v>
      </c>
      <c r="L282" t="n">
        <v>0</v>
      </c>
      <c r="M282" t="n">
        <v>0</v>
      </c>
      <c r="N282" t="n">
        <v>0</v>
      </c>
      <c r="O282" t="n">
        <v>0</v>
      </c>
      <c r="P282" t="n">
        <v>0</v>
      </c>
      <c r="Q282" t="n">
        <v>0</v>
      </c>
      <c r="R282" s="2" t="inlineStr"/>
    </row>
    <row r="283" ht="15" customHeight="1">
      <c r="A283" t="inlineStr">
        <is>
          <t>A 34814-2021</t>
        </is>
      </c>
      <c r="B283" s="1" t="n">
        <v>44383</v>
      </c>
      <c r="C283" s="1" t="n">
        <v>46199</v>
      </c>
      <c r="D283" t="inlineStr">
        <is>
          <t>VÄSTMANLANDS LÄN</t>
        </is>
      </c>
      <c r="E283" t="inlineStr">
        <is>
          <t>SALA</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54118-2023</t>
        </is>
      </c>
      <c r="B284" s="1" t="n">
        <v>45232</v>
      </c>
      <c r="C284" s="1" t="n">
        <v>46199</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34069-2025</t>
        </is>
      </c>
      <c r="B285" s="1" t="n">
        <v>45845</v>
      </c>
      <c r="C285" s="1" t="n">
        <v>46199</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c r="U285">
        <f>HYPERLINK("https://klasma.github.io/Logging_1981/knärot/A 34069-2025 karta knärot.png", "A 34069-2025")</f>
        <v/>
      </c>
      <c r="V285">
        <f>HYPERLINK("https://klasma.github.io/Logging_1981/klagomål/A 34069-2025 FSC-klagomål.docx", "A 34069-2025")</f>
        <v/>
      </c>
      <c r="W285">
        <f>HYPERLINK("https://klasma.github.io/Logging_1981/klagomålsmail/A 34069-2025 FSC-klagomål mail.docx", "A 34069-2025")</f>
        <v/>
      </c>
      <c r="X285">
        <f>HYPERLINK("https://klasma.github.io/Logging_1981/tillsyn/A 34069-2025 tillsynsbegäran.docx", "A 34069-2025")</f>
        <v/>
      </c>
      <c r="Y285">
        <f>HYPERLINK("https://klasma.github.io/Logging_1981/tillsynsmail/A 34069-2025 tillsynsbegäran mail.docx", "A 34069-2025")</f>
        <v/>
      </c>
    </row>
    <row r="286" ht="15" customHeight="1">
      <c r="A286" t="inlineStr">
        <is>
          <t>A 50119-2025</t>
        </is>
      </c>
      <c r="B286" s="1" t="n">
        <v>45943</v>
      </c>
      <c r="C286" s="1" t="n">
        <v>46199</v>
      </c>
      <c r="D286" t="inlineStr">
        <is>
          <t>VÄSTMANLANDS LÄN</t>
        </is>
      </c>
      <c r="E286" t="inlineStr">
        <is>
          <t>SALA</t>
        </is>
      </c>
      <c r="G286" t="n">
        <v>3.3</v>
      </c>
      <c r="H286" t="n">
        <v>0</v>
      </c>
      <c r="I286" t="n">
        <v>0</v>
      </c>
      <c r="J286" t="n">
        <v>0</v>
      </c>
      <c r="K286" t="n">
        <v>0</v>
      </c>
      <c r="L286" t="n">
        <v>0</v>
      </c>
      <c r="M286" t="n">
        <v>0</v>
      </c>
      <c r="N286" t="n">
        <v>0</v>
      </c>
      <c r="O286" t="n">
        <v>0</v>
      </c>
      <c r="P286" t="n">
        <v>0</v>
      </c>
      <c r="Q286" t="n">
        <v>0</v>
      </c>
      <c r="R286" s="2" t="inlineStr"/>
    </row>
    <row r="287" ht="15" customHeight="1">
      <c r="A287" t="inlineStr">
        <is>
          <t>A 50059-2025</t>
        </is>
      </c>
      <c r="B287" s="1" t="n">
        <v>45943</v>
      </c>
      <c r="C287" s="1" t="n">
        <v>46199</v>
      </c>
      <c r="D287" t="inlineStr">
        <is>
          <t>VÄSTMANLANDS LÄN</t>
        </is>
      </c>
      <c r="E287" t="inlineStr">
        <is>
          <t>SALA</t>
        </is>
      </c>
      <c r="G287" t="n">
        <v>4.4</v>
      </c>
      <c r="H287" t="n">
        <v>0</v>
      </c>
      <c r="I287" t="n">
        <v>0</v>
      </c>
      <c r="J287" t="n">
        <v>0</v>
      </c>
      <c r="K287" t="n">
        <v>0</v>
      </c>
      <c r="L287" t="n">
        <v>0</v>
      </c>
      <c r="M287" t="n">
        <v>0</v>
      </c>
      <c r="N287" t="n">
        <v>0</v>
      </c>
      <c r="O287" t="n">
        <v>0</v>
      </c>
      <c r="P287" t="n">
        <v>0</v>
      </c>
      <c r="Q287" t="n">
        <v>0</v>
      </c>
      <c r="R287" s="2" t="inlineStr"/>
    </row>
    <row r="288" ht="15" customHeight="1">
      <c r="A288" t="inlineStr">
        <is>
          <t>A 63749-2025</t>
        </is>
      </c>
      <c r="B288" s="1" t="n">
        <v>46017</v>
      </c>
      <c r="C288" s="1" t="n">
        <v>46199</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63748-2025</t>
        </is>
      </c>
      <c r="B289" s="1" t="n">
        <v>46017</v>
      </c>
      <c r="C289" s="1" t="n">
        <v>46199</v>
      </c>
      <c r="D289" t="inlineStr">
        <is>
          <t>VÄSTMANLANDS LÄN</t>
        </is>
      </c>
      <c r="E289" t="inlineStr">
        <is>
          <t>SALA</t>
        </is>
      </c>
      <c r="G289" t="n">
        <v>1.6</v>
      </c>
      <c r="H289" t="n">
        <v>0</v>
      </c>
      <c r="I289" t="n">
        <v>0</v>
      </c>
      <c r="J289" t="n">
        <v>0</v>
      </c>
      <c r="K289" t="n">
        <v>0</v>
      </c>
      <c r="L289" t="n">
        <v>0</v>
      </c>
      <c r="M289" t="n">
        <v>0</v>
      </c>
      <c r="N289" t="n">
        <v>0</v>
      </c>
      <c r="O289" t="n">
        <v>0</v>
      </c>
      <c r="P289" t="n">
        <v>0</v>
      </c>
      <c r="Q289" t="n">
        <v>0</v>
      </c>
      <c r="R289" s="2" t="inlineStr"/>
    </row>
    <row r="290" ht="15" customHeight="1">
      <c r="A290" t="inlineStr">
        <is>
          <t>A 36393-2023</t>
        </is>
      </c>
      <c r="B290" s="1" t="n">
        <v>45152</v>
      </c>
      <c r="C290" s="1" t="n">
        <v>46199</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45790-2023</t>
        </is>
      </c>
      <c r="B291" s="1" t="n">
        <v>45195</v>
      </c>
      <c r="C291" s="1" t="n">
        <v>46199</v>
      </c>
      <c r="D291" t="inlineStr">
        <is>
          <t>VÄSTMANLANDS LÄN</t>
        </is>
      </c>
      <c r="E291" t="inlineStr">
        <is>
          <t>SALA</t>
        </is>
      </c>
      <c r="G291" t="n">
        <v>5.7</v>
      </c>
      <c r="H291" t="n">
        <v>0</v>
      </c>
      <c r="I291" t="n">
        <v>0</v>
      </c>
      <c r="J291" t="n">
        <v>0</v>
      </c>
      <c r="K291" t="n">
        <v>0</v>
      </c>
      <c r="L291" t="n">
        <v>0</v>
      </c>
      <c r="M291" t="n">
        <v>0</v>
      </c>
      <c r="N291" t="n">
        <v>0</v>
      </c>
      <c r="O291" t="n">
        <v>0</v>
      </c>
      <c r="P291" t="n">
        <v>0</v>
      </c>
      <c r="Q291" t="n">
        <v>0</v>
      </c>
      <c r="R291" s="2" t="inlineStr"/>
    </row>
    <row r="292" ht="15" customHeight="1">
      <c r="A292" t="inlineStr">
        <is>
          <t>A 40214-2023</t>
        </is>
      </c>
      <c r="B292" s="1" t="n">
        <v>45169</v>
      </c>
      <c r="C292" s="1" t="n">
        <v>46199</v>
      </c>
      <c r="D292" t="inlineStr">
        <is>
          <t>VÄSTMANLANDS LÄN</t>
        </is>
      </c>
      <c r="E292" t="inlineStr">
        <is>
          <t>SALA</t>
        </is>
      </c>
      <c r="G292" t="n">
        <v>5.5</v>
      </c>
      <c r="H292" t="n">
        <v>0</v>
      </c>
      <c r="I292" t="n">
        <v>0</v>
      </c>
      <c r="J292" t="n">
        <v>0</v>
      </c>
      <c r="K292" t="n">
        <v>0</v>
      </c>
      <c r="L292" t="n">
        <v>0</v>
      </c>
      <c r="M292" t="n">
        <v>0</v>
      </c>
      <c r="N292" t="n">
        <v>0</v>
      </c>
      <c r="O292" t="n">
        <v>0</v>
      </c>
      <c r="P292" t="n">
        <v>0</v>
      </c>
      <c r="Q292" t="n">
        <v>0</v>
      </c>
      <c r="R292" s="2" t="inlineStr"/>
    </row>
    <row r="293" ht="15" customHeight="1">
      <c r="A293" t="inlineStr">
        <is>
          <t>A 35016-2024</t>
        </is>
      </c>
      <c r="B293" s="1" t="n">
        <v>45527</v>
      </c>
      <c r="C293" s="1" t="n">
        <v>46199</v>
      </c>
      <c r="D293" t="inlineStr">
        <is>
          <t>VÄSTMANLANDS LÄN</t>
        </is>
      </c>
      <c r="E293" t="inlineStr">
        <is>
          <t>SALA</t>
        </is>
      </c>
      <c r="G293" t="n">
        <v>0.4</v>
      </c>
      <c r="H293" t="n">
        <v>0</v>
      </c>
      <c r="I293" t="n">
        <v>0</v>
      </c>
      <c r="J293" t="n">
        <v>0</v>
      </c>
      <c r="K293" t="n">
        <v>0</v>
      </c>
      <c r="L293" t="n">
        <v>0</v>
      </c>
      <c r="M293" t="n">
        <v>0</v>
      </c>
      <c r="N293" t="n">
        <v>0</v>
      </c>
      <c r="O293" t="n">
        <v>0</v>
      </c>
      <c r="P293" t="n">
        <v>0</v>
      </c>
      <c r="Q293" t="n">
        <v>0</v>
      </c>
      <c r="R293" s="2" t="inlineStr"/>
    </row>
    <row r="294" ht="15" customHeight="1">
      <c r="A294" t="inlineStr">
        <is>
          <t>A 51626-2025</t>
        </is>
      </c>
      <c r="B294" s="1" t="n">
        <v>45951</v>
      </c>
      <c r="C294" s="1" t="n">
        <v>46199</v>
      </c>
      <c r="D294" t="inlineStr">
        <is>
          <t>VÄSTMANLANDS LÄN</t>
        </is>
      </c>
      <c r="E294" t="inlineStr">
        <is>
          <t>SALA</t>
        </is>
      </c>
      <c r="G294" t="n">
        <v>2.6</v>
      </c>
      <c r="H294" t="n">
        <v>0</v>
      </c>
      <c r="I294" t="n">
        <v>0</v>
      </c>
      <c r="J294" t="n">
        <v>0</v>
      </c>
      <c r="K294" t="n">
        <v>0</v>
      </c>
      <c r="L294" t="n">
        <v>0</v>
      </c>
      <c r="M294" t="n">
        <v>0</v>
      </c>
      <c r="N294" t="n">
        <v>0</v>
      </c>
      <c r="O294" t="n">
        <v>0</v>
      </c>
      <c r="P294" t="n">
        <v>0</v>
      </c>
      <c r="Q294" t="n">
        <v>0</v>
      </c>
      <c r="R294" s="2" t="inlineStr"/>
    </row>
    <row r="295" ht="15" customHeight="1">
      <c r="A295" t="inlineStr">
        <is>
          <t>A 5728-2022</t>
        </is>
      </c>
      <c r="B295" s="1" t="n">
        <v>44596</v>
      </c>
      <c r="C295" s="1" t="n">
        <v>46199</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910-2026</t>
        </is>
      </c>
      <c r="B296" s="1" t="n">
        <v>46030</v>
      </c>
      <c r="C296" s="1" t="n">
        <v>46199</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51764-2025</t>
        </is>
      </c>
      <c r="B297" s="1" t="n">
        <v>45951</v>
      </c>
      <c r="C297" s="1" t="n">
        <v>46199</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19751-2022</t>
        </is>
      </c>
      <c r="B298" s="1" t="n">
        <v>44694</v>
      </c>
      <c r="C298" s="1" t="n">
        <v>46199</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914-2026</t>
        </is>
      </c>
      <c r="B299" s="1" t="n">
        <v>46030</v>
      </c>
      <c r="C299" s="1" t="n">
        <v>46199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948-2026</t>
        </is>
      </c>
      <c r="B300" s="1" t="n">
        <v>46030</v>
      </c>
      <c r="C300" s="1" t="n">
        <v>46199</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36049-2025</t>
        </is>
      </c>
      <c r="B301" s="1" t="n">
        <v>45866</v>
      </c>
      <c r="C301" s="1" t="n">
        <v>46199</v>
      </c>
      <c r="D301" t="inlineStr">
        <is>
          <t>VÄSTMANLANDS LÄN</t>
        </is>
      </c>
      <c r="E301" t="inlineStr">
        <is>
          <t>SALA</t>
        </is>
      </c>
      <c r="F301" t="inlineStr">
        <is>
          <t>Kommuner</t>
        </is>
      </c>
      <c r="G301" t="n">
        <v>1.9</v>
      </c>
      <c r="H301" t="n">
        <v>0</v>
      </c>
      <c r="I301" t="n">
        <v>0</v>
      </c>
      <c r="J301" t="n">
        <v>0</v>
      </c>
      <c r="K301" t="n">
        <v>0</v>
      </c>
      <c r="L301" t="n">
        <v>0</v>
      </c>
      <c r="M301" t="n">
        <v>0</v>
      </c>
      <c r="N301" t="n">
        <v>0</v>
      </c>
      <c r="O301" t="n">
        <v>0</v>
      </c>
      <c r="P301" t="n">
        <v>0</v>
      </c>
      <c r="Q301" t="n">
        <v>0</v>
      </c>
      <c r="R301" s="2" t="inlineStr"/>
    </row>
    <row r="302" ht="15" customHeight="1">
      <c r="A302" t="inlineStr">
        <is>
          <t>A 36045-2025</t>
        </is>
      </c>
      <c r="B302" s="1" t="n">
        <v>45866</v>
      </c>
      <c r="C302" s="1" t="n">
        <v>46199</v>
      </c>
      <c r="D302" t="inlineStr">
        <is>
          <t>VÄSTMANLANDS LÄN</t>
        </is>
      </c>
      <c r="E302" t="inlineStr">
        <is>
          <t>SALA</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53744-2025</t>
        </is>
      </c>
      <c r="B303" s="1" t="n">
        <v>45960</v>
      </c>
      <c r="C303" s="1" t="n">
        <v>46199</v>
      </c>
      <c r="D303" t="inlineStr">
        <is>
          <t>VÄSTMANLANDS LÄN</t>
        </is>
      </c>
      <c r="E303" t="inlineStr">
        <is>
          <t>SALA</t>
        </is>
      </c>
      <c r="G303" t="n">
        <v>2</v>
      </c>
      <c r="H303" t="n">
        <v>0</v>
      </c>
      <c r="I303" t="n">
        <v>0</v>
      </c>
      <c r="J303" t="n">
        <v>0</v>
      </c>
      <c r="K303" t="n">
        <v>0</v>
      </c>
      <c r="L303" t="n">
        <v>0</v>
      </c>
      <c r="M303" t="n">
        <v>0</v>
      </c>
      <c r="N303" t="n">
        <v>0</v>
      </c>
      <c r="O303" t="n">
        <v>0</v>
      </c>
      <c r="P303" t="n">
        <v>0</v>
      </c>
      <c r="Q303" t="n">
        <v>0</v>
      </c>
      <c r="R303" s="2" t="inlineStr"/>
    </row>
    <row r="304" ht="15" customHeight="1">
      <c r="A304" t="inlineStr">
        <is>
          <t>A 53725-2025</t>
        </is>
      </c>
      <c r="B304" s="1" t="n">
        <v>45960</v>
      </c>
      <c r="C304" s="1" t="n">
        <v>46199</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1705-2026</t>
        </is>
      </c>
      <c r="B305" s="1" t="n">
        <v>46034</v>
      </c>
      <c r="C305" s="1" t="n">
        <v>46199</v>
      </c>
      <c r="D305" t="inlineStr">
        <is>
          <t>VÄSTMANLANDS LÄN</t>
        </is>
      </c>
      <c r="E305" t="inlineStr">
        <is>
          <t>SALA</t>
        </is>
      </c>
      <c r="G305" t="n">
        <v>0.4</v>
      </c>
      <c r="H305" t="n">
        <v>0</v>
      </c>
      <c r="I305" t="n">
        <v>0</v>
      </c>
      <c r="J305" t="n">
        <v>0</v>
      </c>
      <c r="K305" t="n">
        <v>0</v>
      </c>
      <c r="L305" t="n">
        <v>0</v>
      </c>
      <c r="M305" t="n">
        <v>0</v>
      </c>
      <c r="N305" t="n">
        <v>0</v>
      </c>
      <c r="O305" t="n">
        <v>0</v>
      </c>
      <c r="P305" t="n">
        <v>0</v>
      </c>
      <c r="Q305" t="n">
        <v>0</v>
      </c>
      <c r="R305" s="2" t="inlineStr"/>
    </row>
    <row r="306" ht="15" customHeight="1">
      <c r="A306" t="inlineStr">
        <is>
          <t>A 31869-2025</t>
        </is>
      </c>
      <c r="B306" s="1" t="n">
        <v>45834</v>
      </c>
      <c r="C306" s="1" t="n">
        <v>46199</v>
      </c>
      <c r="D306" t="inlineStr">
        <is>
          <t>VÄSTMANLANDS LÄN</t>
        </is>
      </c>
      <c r="E306" t="inlineStr">
        <is>
          <t>SALA</t>
        </is>
      </c>
      <c r="G306" t="n">
        <v>17.5</v>
      </c>
      <c r="H306" t="n">
        <v>0</v>
      </c>
      <c r="I306" t="n">
        <v>0</v>
      </c>
      <c r="J306" t="n">
        <v>0</v>
      </c>
      <c r="K306" t="n">
        <v>0</v>
      </c>
      <c r="L306" t="n">
        <v>0</v>
      </c>
      <c r="M306" t="n">
        <v>0</v>
      </c>
      <c r="N306" t="n">
        <v>0</v>
      </c>
      <c r="O306" t="n">
        <v>0</v>
      </c>
      <c r="P306" t="n">
        <v>0</v>
      </c>
      <c r="Q306" t="n">
        <v>0</v>
      </c>
      <c r="R306" s="2" t="inlineStr"/>
    </row>
    <row r="307" ht="15" customHeight="1">
      <c r="A307" t="inlineStr">
        <is>
          <t>A 31863-2025</t>
        </is>
      </c>
      <c r="B307" s="1" t="n">
        <v>45834</v>
      </c>
      <c r="C307" s="1" t="n">
        <v>46199</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7664-2023</t>
        </is>
      </c>
      <c r="B308" s="1" t="n">
        <v>44972</v>
      </c>
      <c r="C308" s="1" t="n">
        <v>46199</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3546-2025</t>
        </is>
      </c>
      <c r="B309" s="1" t="n">
        <v>45680</v>
      </c>
      <c r="C309" s="1" t="n">
        <v>46199</v>
      </c>
      <c r="D309" t="inlineStr">
        <is>
          <t>VÄSTMANLANDS LÄN</t>
        </is>
      </c>
      <c r="E309" t="inlineStr">
        <is>
          <t>SALA</t>
        </is>
      </c>
      <c r="G309" t="n">
        <v>0.4</v>
      </c>
      <c r="H309" t="n">
        <v>0</v>
      </c>
      <c r="I309" t="n">
        <v>0</v>
      </c>
      <c r="J309" t="n">
        <v>0</v>
      </c>
      <c r="K309" t="n">
        <v>0</v>
      </c>
      <c r="L309" t="n">
        <v>0</v>
      </c>
      <c r="M309" t="n">
        <v>0</v>
      </c>
      <c r="N309" t="n">
        <v>0</v>
      </c>
      <c r="O309" t="n">
        <v>0</v>
      </c>
      <c r="P309" t="n">
        <v>0</v>
      </c>
      <c r="Q309" t="n">
        <v>0</v>
      </c>
      <c r="R309" s="2" t="inlineStr"/>
    </row>
    <row r="310" ht="15" customHeight="1">
      <c r="A310" t="inlineStr">
        <is>
          <t>A 53724-2025</t>
        </is>
      </c>
      <c r="B310" s="1" t="n">
        <v>45960</v>
      </c>
      <c r="C310" s="1" t="n">
        <v>46199</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6312-2025</t>
        </is>
      </c>
      <c r="B311" s="1" t="n">
        <v>45698</v>
      </c>
      <c r="C311" s="1" t="n">
        <v>46199</v>
      </c>
      <c r="D311" t="inlineStr">
        <is>
          <t>VÄSTMANLANDS LÄN</t>
        </is>
      </c>
      <c r="E311" t="inlineStr">
        <is>
          <t>SALA</t>
        </is>
      </c>
      <c r="G311" t="n">
        <v>1.2</v>
      </c>
      <c r="H311" t="n">
        <v>0</v>
      </c>
      <c r="I311" t="n">
        <v>0</v>
      </c>
      <c r="J311" t="n">
        <v>0</v>
      </c>
      <c r="K311" t="n">
        <v>0</v>
      </c>
      <c r="L311" t="n">
        <v>0</v>
      </c>
      <c r="M311" t="n">
        <v>0</v>
      </c>
      <c r="N311" t="n">
        <v>0</v>
      </c>
      <c r="O311" t="n">
        <v>0</v>
      </c>
      <c r="P311" t="n">
        <v>0</v>
      </c>
      <c r="Q311" t="n">
        <v>0</v>
      </c>
      <c r="R311" s="2" t="inlineStr"/>
    </row>
    <row r="312" ht="15" customHeight="1">
      <c r="A312" t="inlineStr">
        <is>
          <t>A 55035-2023</t>
        </is>
      </c>
      <c r="B312" s="1" t="n">
        <v>45229</v>
      </c>
      <c r="C312" s="1" t="n">
        <v>46199</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37017-2025</t>
        </is>
      </c>
      <c r="B313" s="1" t="n">
        <v>45874</v>
      </c>
      <c r="C313" s="1" t="n">
        <v>46199</v>
      </c>
      <c r="D313" t="inlineStr">
        <is>
          <t>VÄSTMANLANDS LÄN</t>
        </is>
      </c>
      <c r="E313" t="inlineStr">
        <is>
          <t>SALA</t>
        </is>
      </c>
      <c r="G313" t="n">
        <v>11.1</v>
      </c>
      <c r="H313" t="n">
        <v>0</v>
      </c>
      <c r="I313" t="n">
        <v>0</v>
      </c>
      <c r="J313" t="n">
        <v>0</v>
      </c>
      <c r="K313" t="n">
        <v>0</v>
      </c>
      <c r="L313" t="n">
        <v>0</v>
      </c>
      <c r="M313" t="n">
        <v>0</v>
      </c>
      <c r="N313" t="n">
        <v>0</v>
      </c>
      <c r="O313" t="n">
        <v>0</v>
      </c>
      <c r="P313" t="n">
        <v>0</v>
      </c>
      <c r="Q313" t="n">
        <v>0</v>
      </c>
      <c r="R313" s="2" t="inlineStr"/>
    </row>
    <row r="314" ht="15" customHeight="1">
      <c r="A314" t="inlineStr">
        <is>
          <t>A 52500-2024</t>
        </is>
      </c>
      <c r="B314" s="1" t="n">
        <v>45609</v>
      </c>
      <c r="C314" s="1" t="n">
        <v>46199</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37246-2025</t>
        </is>
      </c>
      <c r="B315" s="1" t="n">
        <v>45876</v>
      </c>
      <c r="C315" s="1" t="n">
        <v>46199</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4664-2026</t>
        </is>
      </c>
      <c r="B316" s="1" t="n">
        <v>46048</v>
      </c>
      <c r="C316" s="1" t="n">
        <v>46199</v>
      </c>
      <c r="D316" t="inlineStr">
        <is>
          <t>VÄSTMANLANDS LÄN</t>
        </is>
      </c>
      <c r="E316" t="inlineStr">
        <is>
          <t>SALA</t>
        </is>
      </c>
      <c r="G316" t="n">
        <v>0.9</v>
      </c>
      <c r="H316" t="n">
        <v>0</v>
      </c>
      <c r="I316" t="n">
        <v>0</v>
      </c>
      <c r="J316" t="n">
        <v>0</v>
      </c>
      <c r="K316" t="n">
        <v>0</v>
      </c>
      <c r="L316" t="n">
        <v>0</v>
      </c>
      <c r="M316" t="n">
        <v>0</v>
      </c>
      <c r="N316" t="n">
        <v>0</v>
      </c>
      <c r="O316" t="n">
        <v>0</v>
      </c>
      <c r="P316" t="n">
        <v>0</v>
      </c>
      <c r="Q316" t="n">
        <v>0</v>
      </c>
      <c r="R316" s="2" t="inlineStr"/>
    </row>
    <row r="317" ht="15" customHeight="1">
      <c r="A317" t="inlineStr">
        <is>
          <t>A 37590-2025</t>
        </is>
      </c>
      <c r="B317" s="1" t="n">
        <v>45880</v>
      </c>
      <c r="C317" s="1" t="n">
        <v>46199</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43359-2024</t>
        </is>
      </c>
      <c r="B318" s="1" t="n">
        <v>45568</v>
      </c>
      <c r="C318" s="1" t="n">
        <v>46199</v>
      </c>
      <c r="D318" t="inlineStr">
        <is>
          <t>VÄSTMANLANDS LÄN</t>
        </is>
      </c>
      <c r="E318" t="inlineStr">
        <is>
          <t>SALA</t>
        </is>
      </c>
      <c r="G318" t="n">
        <v>1.6</v>
      </c>
      <c r="H318" t="n">
        <v>0</v>
      </c>
      <c r="I318" t="n">
        <v>0</v>
      </c>
      <c r="J318" t="n">
        <v>0</v>
      </c>
      <c r="K318" t="n">
        <v>0</v>
      </c>
      <c r="L318" t="n">
        <v>0</v>
      </c>
      <c r="M318" t="n">
        <v>0</v>
      </c>
      <c r="N318" t="n">
        <v>0</v>
      </c>
      <c r="O318" t="n">
        <v>0</v>
      </c>
      <c r="P318" t="n">
        <v>0</v>
      </c>
      <c r="Q318" t="n">
        <v>0</v>
      </c>
      <c r="R318" s="2" t="inlineStr"/>
    </row>
    <row r="319" ht="15" customHeight="1">
      <c r="A319" t="inlineStr">
        <is>
          <t>A 19033-2025</t>
        </is>
      </c>
      <c r="B319" s="1" t="n">
        <v>45764</v>
      </c>
      <c r="C319" s="1" t="n">
        <v>46199</v>
      </c>
      <c r="D319" t="inlineStr">
        <is>
          <t>VÄSTMANLANDS LÄN</t>
        </is>
      </c>
      <c r="E319" t="inlineStr">
        <is>
          <t>SALA</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4624-2026</t>
        </is>
      </c>
      <c r="B320" s="1" t="n">
        <v>46048</v>
      </c>
      <c r="C320" s="1" t="n">
        <v>46199</v>
      </c>
      <c r="D320" t="inlineStr">
        <is>
          <t>VÄSTMANLANDS LÄN</t>
        </is>
      </c>
      <c r="E320" t="inlineStr">
        <is>
          <t>SALA</t>
        </is>
      </c>
      <c r="G320" t="n">
        <v>12.3</v>
      </c>
      <c r="H320" t="n">
        <v>0</v>
      </c>
      <c r="I320" t="n">
        <v>0</v>
      </c>
      <c r="J320" t="n">
        <v>0</v>
      </c>
      <c r="K320" t="n">
        <v>0</v>
      </c>
      <c r="L320" t="n">
        <v>0</v>
      </c>
      <c r="M320" t="n">
        <v>0</v>
      </c>
      <c r="N320" t="n">
        <v>0</v>
      </c>
      <c r="O320" t="n">
        <v>0</v>
      </c>
      <c r="P320" t="n">
        <v>0</v>
      </c>
      <c r="Q320" t="n">
        <v>0</v>
      </c>
      <c r="R320" s="2" t="inlineStr"/>
    </row>
    <row r="321" ht="15" customHeight="1">
      <c r="A321" t="inlineStr">
        <is>
          <t>A 4214-2026</t>
        </is>
      </c>
      <c r="B321" s="1" t="n">
        <v>46044</v>
      </c>
      <c r="C321" s="1" t="n">
        <v>46199</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4683-2026</t>
        </is>
      </c>
      <c r="B322" s="1" t="n">
        <v>46048</v>
      </c>
      <c r="C322" s="1" t="n">
        <v>46199</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16328-2025</t>
        </is>
      </c>
      <c r="B323" s="1" t="n">
        <v>45751</v>
      </c>
      <c r="C323" s="1" t="n">
        <v>46199</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5418-2026</t>
        </is>
      </c>
      <c r="B324" s="1" t="n">
        <v>46050</v>
      </c>
      <c r="C324" s="1" t="n">
        <v>46199</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5219-2026</t>
        </is>
      </c>
      <c r="B325" s="1" t="n">
        <v>46049</v>
      </c>
      <c r="C325" s="1" t="n">
        <v>46199</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5894-2026</t>
        </is>
      </c>
      <c r="B326" s="1" t="n">
        <v>46052</v>
      </c>
      <c r="C326" s="1" t="n">
        <v>46199</v>
      </c>
      <c r="D326" t="inlineStr">
        <is>
          <t>VÄSTMANLANDS LÄN</t>
        </is>
      </c>
      <c r="E326" t="inlineStr">
        <is>
          <t>SALA</t>
        </is>
      </c>
      <c r="G326" t="n">
        <v>0.9</v>
      </c>
      <c r="H326" t="n">
        <v>0</v>
      </c>
      <c r="I326" t="n">
        <v>0</v>
      </c>
      <c r="J326" t="n">
        <v>0</v>
      </c>
      <c r="K326" t="n">
        <v>0</v>
      </c>
      <c r="L326" t="n">
        <v>0</v>
      </c>
      <c r="M326" t="n">
        <v>0</v>
      </c>
      <c r="N326" t="n">
        <v>0</v>
      </c>
      <c r="O326" t="n">
        <v>0</v>
      </c>
      <c r="P326" t="n">
        <v>0</v>
      </c>
      <c r="Q326" t="n">
        <v>0</v>
      </c>
      <c r="R326" s="2" t="inlineStr"/>
    </row>
    <row r="327" ht="15" customHeight="1">
      <c r="A327" t="inlineStr">
        <is>
          <t>A 31609-2024</t>
        </is>
      </c>
      <c r="B327" s="1" t="n">
        <v>45506</v>
      </c>
      <c r="C327" s="1" t="n">
        <v>46199</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56614-2025</t>
        </is>
      </c>
      <c r="B328" s="1" t="n">
        <v>45975</v>
      </c>
      <c r="C328" s="1" t="n">
        <v>46199</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56611-2025</t>
        </is>
      </c>
      <c r="B329" s="1" t="n">
        <v>45975</v>
      </c>
      <c r="C329" s="1" t="n">
        <v>46199</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7327-2026</t>
        </is>
      </c>
      <c r="B330" s="1" t="n">
        <v>46058</v>
      </c>
      <c r="C330" s="1" t="n">
        <v>46199</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7332-2026</t>
        </is>
      </c>
      <c r="B331" s="1" t="n">
        <v>46058</v>
      </c>
      <c r="C331" s="1" t="n">
        <v>46199</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7324-2026</t>
        </is>
      </c>
      <c r="B332" s="1" t="n">
        <v>46058</v>
      </c>
      <c r="C332" s="1" t="n">
        <v>46199</v>
      </c>
      <c r="D332" t="inlineStr">
        <is>
          <t>VÄSTMANLANDS LÄN</t>
        </is>
      </c>
      <c r="E332" t="inlineStr">
        <is>
          <t>SALA</t>
        </is>
      </c>
      <c r="G332" t="n">
        <v>0.9</v>
      </c>
      <c r="H332" t="n">
        <v>0</v>
      </c>
      <c r="I332" t="n">
        <v>0</v>
      </c>
      <c r="J332" t="n">
        <v>0</v>
      </c>
      <c r="K332" t="n">
        <v>0</v>
      </c>
      <c r="L332" t="n">
        <v>0</v>
      </c>
      <c r="M332" t="n">
        <v>0</v>
      </c>
      <c r="N332" t="n">
        <v>0</v>
      </c>
      <c r="O332" t="n">
        <v>0</v>
      </c>
      <c r="P332" t="n">
        <v>0</v>
      </c>
      <c r="Q332" t="n">
        <v>0</v>
      </c>
      <c r="R332" s="2" t="inlineStr"/>
    </row>
    <row r="333" ht="15" customHeight="1">
      <c r="A333" t="inlineStr">
        <is>
          <t>A 7329-2026</t>
        </is>
      </c>
      <c r="B333" s="1" t="n">
        <v>46058</v>
      </c>
      <c r="C333" s="1" t="n">
        <v>46199</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7654-2026</t>
        </is>
      </c>
      <c r="B334" s="1" t="n">
        <v>46062</v>
      </c>
      <c r="C334" s="1" t="n">
        <v>46199</v>
      </c>
      <c r="D334" t="inlineStr">
        <is>
          <t>VÄSTMANLANDS LÄN</t>
        </is>
      </c>
      <c r="E334" t="inlineStr">
        <is>
          <t>SALA</t>
        </is>
      </c>
      <c r="G334" t="n">
        <v>4.5</v>
      </c>
      <c r="H334" t="n">
        <v>0</v>
      </c>
      <c r="I334" t="n">
        <v>0</v>
      </c>
      <c r="J334" t="n">
        <v>0</v>
      </c>
      <c r="K334" t="n">
        <v>0</v>
      </c>
      <c r="L334" t="n">
        <v>0</v>
      </c>
      <c r="M334" t="n">
        <v>0</v>
      </c>
      <c r="N334" t="n">
        <v>0</v>
      </c>
      <c r="O334" t="n">
        <v>0</v>
      </c>
      <c r="P334" t="n">
        <v>0</v>
      </c>
      <c r="Q334" t="n">
        <v>0</v>
      </c>
      <c r="R334" s="2" t="inlineStr"/>
    </row>
    <row r="335" ht="15" customHeight="1">
      <c r="A335" t="inlineStr">
        <is>
          <t>A 7597-2026</t>
        </is>
      </c>
      <c r="B335" s="1" t="n">
        <v>46061</v>
      </c>
      <c r="C335" s="1" t="n">
        <v>46199</v>
      </c>
      <c r="D335" t="inlineStr">
        <is>
          <t>VÄSTMANLANDS LÄN</t>
        </is>
      </c>
      <c r="E335" t="inlineStr">
        <is>
          <t>SALA</t>
        </is>
      </c>
      <c r="G335" t="n">
        <v>0.6</v>
      </c>
      <c r="H335" t="n">
        <v>0</v>
      </c>
      <c r="I335" t="n">
        <v>0</v>
      </c>
      <c r="J335" t="n">
        <v>0</v>
      </c>
      <c r="K335" t="n">
        <v>0</v>
      </c>
      <c r="L335" t="n">
        <v>0</v>
      </c>
      <c r="M335" t="n">
        <v>0</v>
      </c>
      <c r="N335" t="n">
        <v>0</v>
      </c>
      <c r="O335" t="n">
        <v>0</v>
      </c>
      <c r="P335" t="n">
        <v>0</v>
      </c>
      <c r="Q335" t="n">
        <v>0</v>
      </c>
      <c r="R335" s="2" t="inlineStr"/>
    </row>
    <row r="336" ht="15" customHeight="1">
      <c r="A336" t="inlineStr">
        <is>
          <t>A 7611-2026</t>
        </is>
      </c>
      <c r="B336" s="1" t="n">
        <v>46062</v>
      </c>
      <c r="C336" s="1" t="n">
        <v>46199</v>
      </c>
      <c r="D336" t="inlineStr">
        <is>
          <t>VÄSTMANLANDS LÄN</t>
        </is>
      </c>
      <c r="E336" t="inlineStr">
        <is>
          <t>SALA</t>
        </is>
      </c>
      <c r="G336" t="n">
        <v>1.9</v>
      </c>
      <c r="H336" t="n">
        <v>0</v>
      </c>
      <c r="I336" t="n">
        <v>0</v>
      </c>
      <c r="J336" t="n">
        <v>0</v>
      </c>
      <c r="K336" t="n">
        <v>0</v>
      </c>
      <c r="L336" t="n">
        <v>0</v>
      </c>
      <c r="M336" t="n">
        <v>0</v>
      </c>
      <c r="N336" t="n">
        <v>0</v>
      </c>
      <c r="O336" t="n">
        <v>0</v>
      </c>
      <c r="P336" t="n">
        <v>0</v>
      </c>
      <c r="Q336" t="n">
        <v>0</v>
      </c>
      <c r="R336" s="2" t="inlineStr"/>
    </row>
    <row r="337" ht="15" customHeight="1">
      <c r="A337" t="inlineStr">
        <is>
          <t>A 7676-2026</t>
        </is>
      </c>
      <c r="B337" s="1" t="n">
        <v>46062</v>
      </c>
      <c r="C337" s="1" t="n">
        <v>46199</v>
      </c>
      <c r="D337" t="inlineStr">
        <is>
          <t>VÄSTMANLANDS LÄN</t>
        </is>
      </c>
      <c r="E337" t="inlineStr">
        <is>
          <t>SALA</t>
        </is>
      </c>
      <c r="G337" t="n">
        <v>2.1</v>
      </c>
      <c r="H337" t="n">
        <v>0</v>
      </c>
      <c r="I337" t="n">
        <v>0</v>
      </c>
      <c r="J337" t="n">
        <v>0</v>
      </c>
      <c r="K337" t="n">
        <v>0</v>
      </c>
      <c r="L337" t="n">
        <v>0</v>
      </c>
      <c r="M337" t="n">
        <v>0</v>
      </c>
      <c r="N337" t="n">
        <v>0</v>
      </c>
      <c r="O337" t="n">
        <v>0</v>
      </c>
      <c r="P337" t="n">
        <v>0</v>
      </c>
      <c r="Q337" t="n">
        <v>0</v>
      </c>
      <c r="R337" s="2" t="inlineStr"/>
    </row>
    <row r="338" ht="15" customHeight="1">
      <c r="A338" t="inlineStr">
        <is>
          <t>A 7680-2026</t>
        </is>
      </c>
      <c r="B338" s="1" t="n">
        <v>46062</v>
      </c>
      <c r="C338" s="1" t="n">
        <v>46199</v>
      </c>
      <c r="D338" t="inlineStr">
        <is>
          <t>VÄSTMANLANDS LÄN</t>
        </is>
      </c>
      <c r="E338" t="inlineStr">
        <is>
          <t>SALA</t>
        </is>
      </c>
      <c r="G338" t="n">
        <v>2.7</v>
      </c>
      <c r="H338" t="n">
        <v>0</v>
      </c>
      <c r="I338" t="n">
        <v>0</v>
      </c>
      <c r="J338" t="n">
        <v>0</v>
      </c>
      <c r="K338" t="n">
        <v>0</v>
      </c>
      <c r="L338" t="n">
        <v>0</v>
      </c>
      <c r="M338" t="n">
        <v>0</v>
      </c>
      <c r="N338" t="n">
        <v>0</v>
      </c>
      <c r="O338" t="n">
        <v>0</v>
      </c>
      <c r="P338" t="n">
        <v>0</v>
      </c>
      <c r="Q338" t="n">
        <v>0</v>
      </c>
      <c r="R338" s="2" t="inlineStr"/>
    </row>
    <row r="339" ht="15" customHeight="1">
      <c r="A339" t="inlineStr">
        <is>
          <t>A 7584-2026</t>
        </is>
      </c>
      <c r="B339" s="1" t="n">
        <v>46061</v>
      </c>
      <c r="C339" s="1" t="n">
        <v>46199</v>
      </c>
      <c r="D339" t="inlineStr">
        <is>
          <t>VÄSTMANLANDS LÄN</t>
        </is>
      </c>
      <c r="E339" t="inlineStr">
        <is>
          <t>SALA</t>
        </is>
      </c>
      <c r="G339" t="n">
        <v>16.7</v>
      </c>
      <c r="H339" t="n">
        <v>0</v>
      </c>
      <c r="I339" t="n">
        <v>0</v>
      </c>
      <c r="J339" t="n">
        <v>0</v>
      </c>
      <c r="K339" t="n">
        <v>0</v>
      </c>
      <c r="L339" t="n">
        <v>0</v>
      </c>
      <c r="M339" t="n">
        <v>0</v>
      </c>
      <c r="N339" t="n">
        <v>0</v>
      </c>
      <c r="O339" t="n">
        <v>0</v>
      </c>
      <c r="P339" t="n">
        <v>0</v>
      </c>
      <c r="Q339" t="n">
        <v>0</v>
      </c>
      <c r="R339" s="2" t="inlineStr"/>
    </row>
    <row r="340" ht="15" customHeight="1">
      <c r="A340" t="inlineStr">
        <is>
          <t>A 7590-2026</t>
        </is>
      </c>
      <c r="B340" s="1" t="n">
        <v>46061</v>
      </c>
      <c r="C340" s="1" t="n">
        <v>46199</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7596-2026</t>
        </is>
      </c>
      <c r="B341" s="1" t="n">
        <v>46061</v>
      </c>
      <c r="C341" s="1" t="n">
        <v>46199</v>
      </c>
      <c r="D341" t="inlineStr">
        <is>
          <t>VÄSTMANLANDS LÄN</t>
        </is>
      </c>
      <c r="E341" t="inlineStr">
        <is>
          <t>SALA</t>
        </is>
      </c>
      <c r="G341" t="n">
        <v>3.1</v>
      </c>
      <c r="H341" t="n">
        <v>0</v>
      </c>
      <c r="I341" t="n">
        <v>0</v>
      </c>
      <c r="J341" t="n">
        <v>0</v>
      </c>
      <c r="K341" t="n">
        <v>0</v>
      </c>
      <c r="L341" t="n">
        <v>0</v>
      </c>
      <c r="M341" t="n">
        <v>0</v>
      </c>
      <c r="N341" t="n">
        <v>0</v>
      </c>
      <c r="O341" t="n">
        <v>0</v>
      </c>
      <c r="P341" t="n">
        <v>0</v>
      </c>
      <c r="Q341" t="n">
        <v>0</v>
      </c>
      <c r="R341" s="2" t="inlineStr"/>
    </row>
    <row r="342" ht="15" customHeight="1">
      <c r="A342" t="inlineStr">
        <is>
          <t>A 7588-2026</t>
        </is>
      </c>
      <c r="B342" s="1" t="n">
        <v>46061</v>
      </c>
      <c r="C342" s="1" t="n">
        <v>46199</v>
      </c>
      <c r="D342" t="inlineStr">
        <is>
          <t>VÄSTMANLANDS LÄN</t>
        </is>
      </c>
      <c r="E342" t="inlineStr">
        <is>
          <t>SALA</t>
        </is>
      </c>
      <c r="G342" t="n">
        <v>2.8</v>
      </c>
      <c r="H342" t="n">
        <v>0</v>
      </c>
      <c r="I342" t="n">
        <v>0</v>
      </c>
      <c r="J342" t="n">
        <v>0</v>
      </c>
      <c r="K342" t="n">
        <v>0</v>
      </c>
      <c r="L342" t="n">
        <v>0</v>
      </c>
      <c r="M342" t="n">
        <v>0</v>
      </c>
      <c r="N342" t="n">
        <v>0</v>
      </c>
      <c r="O342" t="n">
        <v>0</v>
      </c>
      <c r="P342" t="n">
        <v>0</v>
      </c>
      <c r="Q342" t="n">
        <v>0</v>
      </c>
      <c r="R342" s="2" t="inlineStr"/>
    </row>
    <row r="343" ht="15" customHeight="1">
      <c r="A343" t="inlineStr">
        <is>
          <t>A 7595-2026</t>
        </is>
      </c>
      <c r="B343" s="1" t="n">
        <v>46061</v>
      </c>
      <c r="C343" s="1" t="n">
        <v>46199</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7593-2026</t>
        </is>
      </c>
      <c r="B344" s="1" t="n">
        <v>46061</v>
      </c>
      <c r="C344" s="1" t="n">
        <v>46199</v>
      </c>
      <c r="D344" t="inlineStr">
        <is>
          <t>VÄSTMANLANDS LÄN</t>
        </is>
      </c>
      <c r="E344" t="inlineStr">
        <is>
          <t>SALA</t>
        </is>
      </c>
      <c r="G344" t="n">
        <v>7.5</v>
      </c>
      <c r="H344" t="n">
        <v>0</v>
      </c>
      <c r="I344" t="n">
        <v>0</v>
      </c>
      <c r="J344" t="n">
        <v>0</v>
      </c>
      <c r="K344" t="n">
        <v>0</v>
      </c>
      <c r="L344" t="n">
        <v>0</v>
      </c>
      <c r="M344" t="n">
        <v>0</v>
      </c>
      <c r="N344" t="n">
        <v>0</v>
      </c>
      <c r="O344" t="n">
        <v>0</v>
      </c>
      <c r="P344" t="n">
        <v>0</v>
      </c>
      <c r="Q344" t="n">
        <v>0</v>
      </c>
      <c r="R344" s="2" t="inlineStr"/>
    </row>
    <row r="345" ht="15" customHeight="1">
      <c r="A345" t="inlineStr">
        <is>
          <t>A 35410-2022</t>
        </is>
      </c>
      <c r="B345" s="1" t="n">
        <v>44798</v>
      </c>
      <c r="C345" s="1" t="n">
        <v>46199</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21159-2022</t>
        </is>
      </c>
      <c r="B346" s="1" t="n">
        <v>44704</v>
      </c>
      <c r="C346" s="1" t="n">
        <v>46199</v>
      </c>
      <c r="D346" t="inlineStr">
        <is>
          <t>VÄSTMANLANDS LÄN</t>
        </is>
      </c>
      <c r="E346" t="inlineStr">
        <is>
          <t>SALA</t>
        </is>
      </c>
      <c r="G346" t="n">
        <v>1.4</v>
      </c>
      <c r="H346" t="n">
        <v>0</v>
      </c>
      <c r="I346" t="n">
        <v>0</v>
      </c>
      <c r="J346" t="n">
        <v>0</v>
      </c>
      <c r="K346" t="n">
        <v>0</v>
      </c>
      <c r="L346" t="n">
        <v>0</v>
      </c>
      <c r="M346" t="n">
        <v>0</v>
      </c>
      <c r="N346" t="n">
        <v>0</v>
      </c>
      <c r="O346" t="n">
        <v>0</v>
      </c>
      <c r="P346" t="n">
        <v>0</v>
      </c>
      <c r="Q346" t="n">
        <v>0</v>
      </c>
      <c r="R346" s="2" t="inlineStr"/>
    </row>
    <row r="347" ht="15" customHeight="1">
      <c r="A347" t="inlineStr">
        <is>
          <t>A 41292-2021</t>
        </is>
      </c>
      <c r="B347" s="1" t="n">
        <v>44424</v>
      </c>
      <c r="C347" s="1" t="n">
        <v>46199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33273-2023</t>
        </is>
      </c>
      <c r="B348" s="1" t="n">
        <v>45127</v>
      </c>
      <c r="C348" s="1" t="n">
        <v>46199</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10245-2026</t>
        </is>
      </c>
      <c r="B349" s="1" t="n">
        <v>46076</v>
      </c>
      <c r="C349" s="1" t="n">
        <v>46199</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10252-2026</t>
        </is>
      </c>
      <c r="B350" s="1" t="n">
        <v>46076</v>
      </c>
      <c r="C350" s="1" t="n">
        <v>46199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52827-2024</t>
        </is>
      </c>
      <c r="B351" s="1" t="n">
        <v>45610</v>
      </c>
      <c r="C351" s="1" t="n">
        <v>46199</v>
      </c>
      <c r="D351" t="inlineStr">
        <is>
          <t>VÄSTMANLANDS LÄN</t>
        </is>
      </c>
      <c r="E351" t="inlineStr">
        <is>
          <t>SALA</t>
        </is>
      </c>
      <c r="G351" t="n">
        <v>0.2</v>
      </c>
      <c r="H351" t="n">
        <v>0</v>
      </c>
      <c r="I351" t="n">
        <v>0</v>
      </c>
      <c r="J351" t="n">
        <v>0</v>
      </c>
      <c r="K351" t="n">
        <v>0</v>
      </c>
      <c r="L351" t="n">
        <v>0</v>
      </c>
      <c r="M351" t="n">
        <v>0</v>
      </c>
      <c r="N351" t="n">
        <v>0</v>
      </c>
      <c r="O351" t="n">
        <v>0</v>
      </c>
      <c r="P351" t="n">
        <v>0</v>
      </c>
      <c r="Q351" t="n">
        <v>0</v>
      </c>
      <c r="R351" s="2" t="inlineStr"/>
    </row>
    <row r="352" ht="15" customHeight="1">
      <c r="A352" t="inlineStr">
        <is>
          <t>A 11244-2024</t>
        </is>
      </c>
      <c r="B352" s="1" t="n">
        <v>45371</v>
      </c>
      <c r="C352" s="1" t="n">
        <v>46199</v>
      </c>
      <c r="D352" t="inlineStr">
        <is>
          <t>VÄSTMANLANDS LÄN</t>
        </is>
      </c>
      <c r="E352" t="inlineStr">
        <is>
          <t>SALA</t>
        </is>
      </c>
      <c r="G352" t="n">
        <v>1.2</v>
      </c>
      <c r="H352" t="n">
        <v>0</v>
      </c>
      <c r="I352" t="n">
        <v>0</v>
      </c>
      <c r="J352" t="n">
        <v>0</v>
      </c>
      <c r="K352" t="n">
        <v>0</v>
      </c>
      <c r="L352" t="n">
        <v>0</v>
      </c>
      <c r="M352" t="n">
        <v>0</v>
      </c>
      <c r="N352" t="n">
        <v>0</v>
      </c>
      <c r="O352" t="n">
        <v>0</v>
      </c>
      <c r="P352" t="n">
        <v>0</v>
      </c>
      <c r="Q352" t="n">
        <v>0</v>
      </c>
      <c r="R352" s="2" t="inlineStr"/>
    </row>
    <row r="353" ht="15" customHeight="1">
      <c r="A353" t="inlineStr">
        <is>
          <t>A 62654-2022</t>
        </is>
      </c>
      <c r="B353" s="1" t="n">
        <v>44917</v>
      </c>
      <c r="C353" s="1" t="n">
        <v>46199</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10239-2026</t>
        </is>
      </c>
      <c r="B354" s="1" t="n">
        <v>46076</v>
      </c>
      <c r="C354" s="1" t="n">
        <v>46199</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6135-2023</t>
        </is>
      </c>
      <c r="B355" s="1" t="n">
        <v>44964</v>
      </c>
      <c r="C355" s="1" t="n">
        <v>46199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53864-2022</t>
        </is>
      </c>
      <c r="B356" s="1" t="n">
        <v>44880</v>
      </c>
      <c r="C356" s="1" t="n">
        <v>46199</v>
      </c>
      <c r="D356" t="inlineStr">
        <is>
          <t>VÄSTMANLANDS LÄN</t>
        </is>
      </c>
      <c r="E356" t="inlineStr">
        <is>
          <t>SALA</t>
        </is>
      </c>
      <c r="G356" t="n">
        <v>5.9</v>
      </c>
      <c r="H356" t="n">
        <v>0</v>
      </c>
      <c r="I356" t="n">
        <v>0</v>
      </c>
      <c r="J356" t="n">
        <v>0</v>
      </c>
      <c r="K356" t="n">
        <v>0</v>
      </c>
      <c r="L356" t="n">
        <v>0</v>
      </c>
      <c r="M356" t="n">
        <v>0</v>
      </c>
      <c r="N356" t="n">
        <v>0</v>
      </c>
      <c r="O356" t="n">
        <v>0</v>
      </c>
      <c r="P356" t="n">
        <v>0</v>
      </c>
      <c r="Q356" t="n">
        <v>0</v>
      </c>
      <c r="R356" s="2" t="inlineStr"/>
    </row>
    <row r="357" ht="15" customHeight="1">
      <c r="A357" t="inlineStr">
        <is>
          <t>A 27255-2023</t>
        </is>
      </c>
      <c r="B357" s="1" t="n">
        <v>45096</v>
      </c>
      <c r="C357" s="1" t="n">
        <v>46199</v>
      </c>
      <c r="D357" t="inlineStr">
        <is>
          <t>VÄSTMANLANDS LÄN</t>
        </is>
      </c>
      <c r="E357" t="inlineStr">
        <is>
          <t>SALA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52503-2024</t>
        </is>
      </c>
      <c r="B358" s="1" t="n">
        <v>45609</v>
      </c>
      <c r="C358" s="1" t="n">
        <v>46199</v>
      </c>
      <c r="D358" t="inlineStr">
        <is>
          <t>VÄSTMANLANDS LÄN</t>
        </is>
      </c>
      <c r="E358" t="inlineStr">
        <is>
          <t>SALA</t>
        </is>
      </c>
      <c r="G358" t="n">
        <v>0.8</v>
      </c>
      <c r="H358" t="n">
        <v>0</v>
      </c>
      <c r="I358" t="n">
        <v>0</v>
      </c>
      <c r="J358" t="n">
        <v>0</v>
      </c>
      <c r="K358" t="n">
        <v>0</v>
      </c>
      <c r="L358" t="n">
        <v>0</v>
      </c>
      <c r="M358" t="n">
        <v>0</v>
      </c>
      <c r="N358" t="n">
        <v>0</v>
      </c>
      <c r="O358" t="n">
        <v>0</v>
      </c>
      <c r="P358" t="n">
        <v>0</v>
      </c>
      <c r="Q358" t="n">
        <v>0</v>
      </c>
      <c r="R358" s="2" t="inlineStr"/>
    </row>
    <row r="359" ht="15" customHeight="1">
      <c r="A359" t="inlineStr">
        <is>
          <t>A 2521-2025</t>
        </is>
      </c>
      <c r="B359" s="1" t="n">
        <v>45674</v>
      </c>
      <c r="C359" s="1" t="n">
        <v>46199</v>
      </c>
      <c r="D359" t="inlineStr">
        <is>
          <t>VÄSTMANLANDS LÄN</t>
        </is>
      </c>
      <c r="E359" t="inlineStr">
        <is>
          <t>SALA</t>
        </is>
      </c>
      <c r="G359" t="n">
        <v>3.5</v>
      </c>
      <c r="H359" t="n">
        <v>0</v>
      </c>
      <c r="I359" t="n">
        <v>0</v>
      </c>
      <c r="J359" t="n">
        <v>0</v>
      </c>
      <c r="K359" t="n">
        <v>0</v>
      </c>
      <c r="L359" t="n">
        <v>0</v>
      </c>
      <c r="M359" t="n">
        <v>0</v>
      </c>
      <c r="N359" t="n">
        <v>0</v>
      </c>
      <c r="O359" t="n">
        <v>0</v>
      </c>
      <c r="P359" t="n">
        <v>0</v>
      </c>
      <c r="Q359" t="n">
        <v>0</v>
      </c>
      <c r="R359" s="2" t="inlineStr"/>
    </row>
    <row r="360" ht="15" customHeight="1">
      <c r="A360" t="inlineStr">
        <is>
          <t>A 12144-2026</t>
        </is>
      </c>
      <c r="B360" s="1" t="n">
        <v>46086</v>
      </c>
      <c r="C360" s="1" t="n">
        <v>46199</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31000-2022</t>
        </is>
      </c>
      <c r="B361" s="1" t="n">
        <v>44768</v>
      </c>
      <c r="C361" s="1" t="n">
        <v>46199</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12497-2026</t>
        </is>
      </c>
      <c r="B362" s="1" t="n">
        <v>46090</v>
      </c>
      <c r="C362" s="1" t="n">
        <v>46199</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13032-2026</t>
        </is>
      </c>
      <c r="B363" s="1" t="n">
        <v>46092</v>
      </c>
      <c r="C363" s="1" t="n">
        <v>46199</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23182-2022</t>
        </is>
      </c>
      <c r="B364" s="1" t="n">
        <v>44719</v>
      </c>
      <c r="C364" s="1" t="n">
        <v>46199</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13639-2026</t>
        </is>
      </c>
      <c r="B365" s="1" t="n">
        <v>46097</v>
      </c>
      <c r="C365" s="1" t="n">
        <v>46199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57371-2022</t>
        </is>
      </c>
      <c r="B366" s="1" t="n">
        <v>44896</v>
      </c>
      <c r="C366" s="1" t="n">
        <v>46199</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13996-2026</t>
        </is>
      </c>
      <c r="B367" s="1" t="n">
        <v>46098</v>
      </c>
      <c r="C367" s="1" t="n">
        <v>46199</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14000-2026</t>
        </is>
      </c>
      <c r="B368" s="1" t="n">
        <v>46098</v>
      </c>
      <c r="C368" s="1" t="n">
        <v>46199</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47086-2022</t>
        </is>
      </c>
      <c r="B369" s="1" t="n">
        <v>44852</v>
      </c>
      <c r="C369" s="1" t="n">
        <v>46199</v>
      </c>
      <c r="D369" t="inlineStr">
        <is>
          <t>VÄSTMANLANDS LÄN</t>
        </is>
      </c>
      <c r="E369" t="inlineStr">
        <is>
          <t>SALA</t>
        </is>
      </c>
      <c r="G369" t="n">
        <v>12.5</v>
      </c>
      <c r="H369" t="n">
        <v>0</v>
      </c>
      <c r="I369" t="n">
        <v>0</v>
      </c>
      <c r="J369" t="n">
        <v>0</v>
      </c>
      <c r="K369" t="n">
        <v>0</v>
      </c>
      <c r="L369" t="n">
        <v>0</v>
      </c>
      <c r="M369" t="n">
        <v>0</v>
      </c>
      <c r="N369" t="n">
        <v>0</v>
      </c>
      <c r="O369" t="n">
        <v>0</v>
      </c>
      <c r="P369" t="n">
        <v>0</v>
      </c>
      <c r="Q369" t="n">
        <v>0</v>
      </c>
      <c r="R369" s="2" t="inlineStr"/>
    </row>
    <row r="370" ht="15" customHeight="1">
      <c r="A370" t="inlineStr">
        <is>
          <t>A 14482-2026</t>
        </is>
      </c>
      <c r="B370" s="1" t="n">
        <v>46100</v>
      </c>
      <c r="C370" s="1" t="n">
        <v>46199</v>
      </c>
      <c r="D370" t="inlineStr">
        <is>
          <t>VÄSTMANLANDS LÄN</t>
        </is>
      </c>
      <c r="E370" t="inlineStr">
        <is>
          <t>SALA</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14484-2026</t>
        </is>
      </c>
      <c r="B371" s="1" t="n">
        <v>46100</v>
      </c>
      <c r="C371" s="1" t="n">
        <v>46199</v>
      </c>
      <c r="D371" t="inlineStr">
        <is>
          <t>VÄSTMANLANDS LÄN</t>
        </is>
      </c>
      <c r="E371" t="inlineStr">
        <is>
          <t>SALA</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14490-2026</t>
        </is>
      </c>
      <c r="B372" s="1" t="n">
        <v>46100</v>
      </c>
      <c r="C372" s="1" t="n">
        <v>46199</v>
      </c>
      <c r="D372" t="inlineStr">
        <is>
          <t>VÄSTMANLANDS LÄN</t>
        </is>
      </c>
      <c r="E372" t="inlineStr">
        <is>
          <t>SALA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66908-2021</t>
        </is>
      </c>
      <c r="B373" s="1" t="n">
        <v>44522</v>
      </c>
      <c r="C373" s="1" t="n">
        <v>46199</v>
      </c>
      <c r="D373" t="inlineStr">
        <is>
          <t>VÄSTMANLANDS LÄN</t>
        </is>
      </c>
      <c r="E373" t="inlineStr">
        <is>
          <t>SALA</t>
        </is>
      </c>
      <c r="G373" t="n">
        <v>2.6</v>
      </c>
      <c r="H373" t="n">
        <v>0</v>
      </c>
      <c r="I373" t="n">
        <v>0</v>
      </c>
      <c r="J373" t="n">
        <v>0</v>
      </c>
      <c r="K373" t="n">
        <v>0</v>
      </c>
      <c r="L373" t="n">
        <v>0</v>
      </c>
      <c r="M373" t="n">
        <v>0</v>
      </c>
      <c r="N373" t="n">
        <v>0</v>
      </c>
      <c r="O373" t="n">
        <v>0</v>
      </c>
      <c r="P373" t="n">
        <v>0</v>
      </c>
      <c r="Q373" t="n">
        <v>0</v>
      </c>
      <c r="R373" s="2" t="inlineStr"/>
    </row>
    <row r="374" ht="15" customHeight="1">
      <c r="A374" t="inlineStr">
        <is>
          <t>A 43509-2021</t>
        </is>
      </c>
      <c r="B374" s="1" t="n">
        <v>44433</v>
      </c>
      <c r="C374" s="1" t="n">
        <v>46199</v>
      </c>
      <c r="D374" t="inlineStr">
        <is>
          <t>VÄSTMANLANDS LÄN</t>
        </is>
      </c>
      <c r="E374" t="inlineStr">
        <is>
          <t>SALA</t>
        </is>
      </c>
      <c r="G374" t="n">
        <v>0.8</v>
      </c>
      <c r="H374" t="n">
        <v>0</v>
      </c>
      <c r="I374" t="n">
        <v>0</v>
      </c>
      <c r="J374" t="n">
        <v>0</v>
      </c>
      <c r="K374" t="n">
        <v>0</v>
      </c>
      <c r="L374" t="n">
        <v>0</v>
      </c>
      <c r="M374" t="n">
        <v>0</v>
      </c>
      <c r="N374" t="n">
        <v>0</v>
      </c>
      <c r="O374" t="n">
        <v>0</v>
      </c>
      <c r="P374" t="n">
        <v>0</v>
      </c>
      <c r="Q374" t="n">
        <v>0</v>
      </c>
      <c r="R374" s="2" t="inlineStr"/>
    </row>
    <row r="375" ht="15" customHeight="1">
      <c r="A375" t="inlineStr">
        <is>
          <t>A 16354-2026</t>
        </is>
      </c>
      <c r="B375" s="1" t="n">
        <v>46111</v>
      </c>
      <c r="C375" s="1" t="n">
        <v>46199</v>
      </c>
      <c r="D375" t="inlineStr">
        <is>
          <t>VÄSTMANLANDS LÄN</t>
        </is>
      </c>
      <c r="E375" t="inlineStr">
        <is>
          <t>SALA</t>
        </is>
      </c>
      <c r="G375" t="n">
        <v>5.2</v>
      </c>
      <c r="H375" t="n">
        <v>0</v>
      </c>
      <c r="I375" t="n">
        <v>0</v>
      </c>
      <c r="J375" t="n">
        <v>0</v>
      </c>
      <c r="K375" t="n">
        <v>0</v>
      </c>
      <c r="L375" t="n">
        <v>0</v>
      </c>
      <c r="M375" t="n">
        <v>0</v>
      </c>
      <c r="N375" t="n">
        <v>0</v>
      </c>
      <c r="O375" t="n">
        <v>0</v>
      </c>
      <c r="P375" t="n">
        <v>0</v>
      </c>
      <c r="Q375" t="n">
        <v>0</v>
      </c>
      <c r="R375" s="2" t="inlineStr"/>
    </row>
    <row r="376" ht="15" customHeight="1">
      <c r="A376" t="inlineStr">
        <is>
          <t>A 16367-2026</t>
        </is>
      </c>
      <c r="B376" s="1" t="n">
        <v>46111</v>
      </c>
      <c r="C376" s="1" t="n">
        <v>46199</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16369-2026</t>
        </is>
      </c>
      <c r="B377" s="1" t="n">
        <v>46111</v>
      </c>
      <c r="C377" s="1" t="n">
        <v>46199</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16364-2026</t>
        </is>
      </c>
      <c r="B378" s="1" t="n">
        <v>46111</v>
      </c>
      <c r="C378" s="1" t="n">
        <v>46199</v>
      </c>
      <c r="D378" t="inlineStr">
        <is>
          <t>VÄSTMANLANDS LÄN</t>
        </is>
      </c>
      <c r="E378" t="inlineStr">
        <is>
          <t>SALA</t>
        </is>
      </c>
      <c r="G378" t="n">
        <v>4.7</v>
      </c>
      <c r="H378" t="n">
        <v>0</v>
      </c>
      <c r="I378" t="n">
        <v>0</v>
      </c>
      <c r="J378" t="n">
        <v>0</v>
      </c>
      <c r="K378" t="n">
        <v>0</v>
      </c>
      <c r="L378" t="n">
        <v>0</v>
      </c>
      <c r="M378" t="n">
        <v>0</v>
      </c>
      <c r="N378" t="n">
        <v>0</v>
      </c>
      <c r="O378" t="n">
        <v>0</v>
      </c>
      <c r="P378" t="n">
        <v>0</v>
      </c>
      <c r="Q378" t="n">
        <v>0</v>
      </c>
      <c r="R378" s="2" t="inlineStr"/>
    </row>
    <row r="379" ht="15" customHeight="1">
      <c r="A379" t="inlineStr">
        <is>
          <t>A 25897-2024</t>
        </is>
      </c>
      <c r="B379" s="1" t="n">
        <v>45467</v>
      </c>
      <c r="C379" s="1" t="n">
        <v>46199</v>
      </c>
      <c r="D379" t="inlineStr">
        <is>
          <t>VÄSTMANLANDS LÄN</t>
        </is>
      </c>
      <c r="E379" t="inlineStr">
        <is>
          <t>SALA</t>
        </is>
      </c>
      <c r="G379" t="n">
        <v>9.9</v>
      </c>
      <c r="H379" t="n">
        <v>0</v>
      </c>
      <c r="I379" t="n">
        <v>0</v>
      </c>
      <c r="J379" t="n">
        <v>0</v>
      </c>
      <c r="K379" t="n">
        <v>0</v>
      </c>
      <c r="L379" t="n">
        <v>0</v>
      </c>
      <c r="M379" t="n">
        <v>0</v>
      </c>
      <c r="N379" t="n">
        <v>0</v>
      </c>
      <c r="O379" t="n">
        <v>0</v>
      </c>
      <c r="P379" t="n">
        <v>0</v>
      </c>
      <c r="Q379" t="n">
        <v>0</v>
      </c>
      <c r="R379" s="2" t="inlineStr"/>
    </row>
    <row r="380" ht="15" customHeight="1">
      <c r="A380" t="inlineStr">
        <is>
          <t>A 23222-2023</t>
        </is>
      </c>
      <c r="B380" s="1" t="n">
        <v>45075</v>
      </c>
      <c r="C380" s="1" t="n">
        <v>46199</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50479-2022</t>
        </is>
      </c>
      <c r="B381" s="1" t="n">
        <v>44861</v>
      </c>
      <c r="C381" s="1" t="n">
        <v>46199</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16598-2026</t>
        </is>
      </c>
      <c r="B382" s="1" t="n">
        <v>46112</v>
      </c>
      <c r="C382" s="1" t="n">
        <v>46199</v>
      </c>
      <c r="D382" t="inlineStr">
        <is>
          <t>VÄSTMANLANDS LÄN</t>
        </is>
      </c>
      <c r="E382" t="inlineStr">
        <is>
          <t>SALA</t>
        </is>
      </c>
      <c r="G382" t="n">
        <v>1.5</v>
      </c>
      <c r="H382" t="n">
        <v>0</v>
      </c>
      <c r="I382" t="n">
        <v>0</v>
      </c>
      <c r="J382" t="n">
        <v>0</v>
      </c>
      <c r="K382" t="n">
        <v>0</v>
      </c>
      <c r="L382" t="n">
        <v>0</v>
      </c>
      <c r="M382" t="n">
        <v>0</v>
      </c>
      <c r="N382" t="n">
        <v>0</v>
      </c>
      <c r="O382" t="n">
        <v>0</v>
      </c>
      <c r="P382" t="n">
        <v>0</v>
      </c>
      <c r="Q382" t="n">
        <v>0</v>
      </c>
      <c r="R382" s="2" t="inlineStr"/>
    </row>
    <row r="383" ht="15" customHeight="1">
      <c r="A383" t="inlineStr">
        <is>
          <t>A 14920-2025</t>
        </is>
      </c>
      <c r="B383" s="1" t="n">
        <v>45743</v>
      </c>
      <c r="C383" s="1" t="n">
        <v>46199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13855-2023</t>
        </is>
      </c>
      <c r="B384" s="1" t="n">
        <v>45007</v>
      </c>
      <c r="C384" s="1" t="n">
        <v>46199</v>
      </c>
      <c r="D384" t="inlineStr">
        <is>
          <t>VÄSTMANLANDS LÄN</t>
        </is>
      </c>
      <c r="E384" t="inlineStr">
        <is>
          <t>SALA</t>
        </is>
      </c>
      <c r="G384" t="n">
        <v>2.9</v>
      </c>
      <c r="H384" t="n">
        <v>0</v>
      </c>
      <c r="I384" t="n">
        <v>0</v>
      </c>
      <c r="J384" t="n">
        <v>0</v>
      </c>
      <c r="K384" t="n">
        <v>0</v>
      </c>
      <c r="L384" t="n">
        <v>0</v>
      </c>
      <c r="M384" t="n">
        <v>0</v>
      </c>
      <c r="N384" t="n">
        <v>0</v>
      </c>
      <c r="O384" t="n">
        <v>0</v>
      </c>
      <c r="P384" t="n">
        <v>0</v>
      </c>
      <c r="Q384" t="n">
        <v>0</v>
      </c>
      <c r="R384" s="2" t="inlineStr"/>
    </row>
    <row r="385" ht="15" customHeight="1">
      <c r="A385" t="inlineStr">
        <is>
          <t>A 22869-2026</t>
        </is>
      </c>
      <c r="B385" s="1" t="n">
        <v>46160</v>
      </c>
      <c r="C385" s="1" t="n">
        <v>46199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18877-2023</t>
        </is>
      </c>
      <c r="B386" s="1" t="n">
        <v>45044</v>
      </c>
      <c r="C386" s="1" t="n">
        <v>46199</v>
      </c>
      <c r="D386" t="inlineStr">
        <is>
          <t>VÄSTMANLANDS LÄN</t>
        </is>
      </c>
      <c r="E386" t="inlineStr">
        <is>
          <t>SALA</t>
        </is>
      </c>
      <c r="F386" t="inlineStr">
        <is>
          <t>Kommuner</t>
        </is>
      </c>
      <c r="G386" t="n">
        <v>4.4</v>
      </c>
      <c r="H386" t="n">
        <v>0</v>
      </c>
      <c r="I386" t="n">
        <v>0</v>
      </c>
      <c r="J386" t="n">
        <v>0</v>
      </c>
      <c r="K386" t="n">
        <v>0</v>
      </c>
      <c r="L386" t="n">
        <v>0</v>
      </c>
      <c r="M386" t="n">
        <v>0</v>
      </c>
      <c r="N386" t="n">
        <v>0</v>
      </c>
      <c r="O386" t="n">
        <v>0</v>
      </c>
      <c r="P386" t="n">
        <v>0</v>
      </c>
      <c r="Q386" t="n">
        <v>0</v>
      </c>
      <c r="R386" s="2" t="inlineStr"/>
    </row>
    <row r="387" ht="15" customHeight="1">
      <c r="A387" t="inlineStr">
        <is>
          <t>A 55556-2023</t>
        </is>
      </c>
      <c r="B387" s="1" t="n">
        <v>45232</v>
      </c>
      <c r="C387" s="1" t="n">
        <v>46199</v>
      </c>
      <c r="D387" t="inlineStr">
        <is>
          <t>VÄSTMANLANDS LÄN</t>
        </is>
      </c>
      <c r="E387" t="inlineStr">
        <is>
          <t>SALA</t>
        </is>
      </c>
      <c r="G387" t="n">
        <v>1.3</v>
      </c>
      <c r="H387" t="n">
        <v>0</v>
      </c>
      <c r="I387" t="n">
        <v>0</v>
      </c>
      <c r="J387" t="n">
        <v>0</v>
      </c>
      <c r="K387" t="n">
        <v>0</v>
      </c>
      <c r="L387" t="n">
        <v>0</v>
      </c>
      <c r="M387" t="n">
        <v>0</v>
      </c>
      <c r="N387" t="n">
        <v>0</v>
      </c>
      <c r="O387" t="n">
        <v>0</v>
      </c>
      <c r="P387" t="n">
        <v>0</v>
      </c>
      <c r="Q387" t="n">
        <v>0</v>
      </c>
      <c r="R387" s="2" t="inlineStr"/>
    </row>
    <row r="388" ht="15" customHeight="1">
      <c r="A388" t="inlineStr">
        <is>
          <t>A 13752-2025</t>
        </is>
      </c>
      <c r="B388" s="1" t="n">
        <v>45737</v>
      </c>
      <c r="C388" s="1" t="n">
        <v>46199</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19398-2025</t>
        </is>
      </c>
      <c r="B389" s="1" t="n">
        <v>45769</v>
      </c>
      <c r="C389" s="1" t="n">
        <v>46199</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22921-2023</t>
        </is>
      </c>
      <c r="B390" s="1" t="n">
        <v>45070</v>
      </c>
      <c r="C390" s="1" t="n">
        <v>46199</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23578-2026</t>
        </is>
      </c>
      <c r="B391" s="1" t="n">
        <v>46163</v>
      </c>
      <c r="C391" s="1" t="n">
        <v>46199</v>
      </c>
      <c r="D391" t="inlineStr">
        <is>
          <t>VÄSTMANLANDS LÄN</t>
        </is>
      </c>
      <c r="E391" t="inlineStr">
        <is>
          <t>SALA</t>
        </is>
      </c>
      <c r="G391" t="n">
        <v>1.9</v>
      </c>
      <c r="H391" t="n">
        <v>0</v>
      </c>
      <c r="I391" t="n">
        <v>0</v>
      </c>
      <c r="J391" t="n">
        <v>0</v>
      </c>
      <c r="K391" t="n">
        <v>0</v>
      </c>
      <c r="L391" t="n">
        <v>0</v>
      </c>
      <c r="M391" t="n">
        <v>0</v>
      </c>
      <c r="N391" t="n">
        <v>0</v>
      </c>
      <c r="O391" t="n">
        <v>0</v>
      </c>
      <c r="P391" t="n">
        <v>0</v>
      </c>
      <c r="Q391" t="n">
        <v>0</v>
      </c>
      <c r="R391" s="2" t="inlineStr"/>
    </row>
    <row r="392" ht="15" customHeight="1">
      <c r="A392" t="inlineStr">
        <is>
          <t>A 24248-2023</t>
        </is>
      </c>
      <c r="B392" s="1" t="n">
        <v>45079</v>
      </c>
      <c r="C392" s="1" t="n">
        <v>46199</v>
      </c>
      <c r="D392" t="inlineStr">
        <is>
          <t>VÄSTMANLANDS LÄN</t>
        </is>
      </c>
      <c r="E392" t="inlineStr">
        <is>
          <t>SALA</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38195-2021</t>
        </is>
      </c>
      <c r="B393" s="1" t="n">
        <v>44405</v>
      </c>
      <c r="C393" s="1" t="n">
        <v>46199</v>
      </c>
      <c r="D393" t="inlineStr">
        <is>
          <t>VÄSTMANLANDS LÄN</t>
        </is>
      </c>
      <c r="E393" t="inlineStr">
        <is>
          <t>SALA</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27228-2023</t>
        </is>
      </c>
      <c r="B394" s="1" t="n">
        <v>45096</v>
      </c>
      <c r="C394" s="1" t="n">
        <v>46199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53838-2022</t>
        </is>
      </c>
      <c r="B395" s="1" t="n">
        <v>44880</v>
      </c>
      <c r="C395" s="1" t="n">
        <v>46199</v>
      </c>
      <c r="D395" t="inlineStr">
        <is>
          <t>VÄSTMANLANDS LÄN</t>
        </is>
      </c>
      <c r="E395" t="inlineStr">
        <is>
          <t>SALA</t>
        </is>
      </c>
      <c r="G395" t="n">
        <v>3.9</v>
      </c>
      <c r="H395" t="n">
        <v>0</v>
      </c>
      <c r="I395" t="n">
        <v>0</v>
      </c>
      <c r="J395" t="n">
        <v>0</v>
      </c>
      <c r="K395" t="n">
        <v>0</v>
      </c>
      <c r="L395" t="n">
        <v>0</v>
      </c>
      <c r="M395" t="n">
        <v>0</v>
      </c>
      <c r="N395" t="n">
        <v>0</v>
      </c>
      <c r="O395" t="n">
        <v>0</v>
      </c>
      <c r="P395" t="n">
        <v>0</v>
      </c>
      <c r="Q395" t="n">
        <v>0</v>
      </c>
      <c r="R395" s="2" t="inlineStr"/>
    </row>
    <row r="396" ht="15" customHeight="1">
      <c r="A396" t="inlineStr">
        <is>
          <t>A 25260-2023</t>
        </is>
      </c>
      <c r="B396" s="1" t="n">
        <v>45086</v>
      </c>
      <c r="C396" s="1" t="n">
        <v>46199</v>
      </c>
      <c r="D396" t="inlineStr">
        <is>
          <t>VÄSTMANLANDS LÄN</t>
        </is>
      </c>
      <c r="E396" t="inlineStr">
        <is>
          <t>SALA</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60249-2023</t>
        </is>
      </c>
      <c r="B397" s="1" t="n">
        <v>45258</v>
      </c>
      <c r="C397" s="1" t="n">
        <v>46199</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14271-2025</t>
        </is>
      </c>
      <c r="B398" s="1" t="n">
        <v>45740</v>
      </c>
      <c r="C398" s="1" t="n">
        <v>46199</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69232-2021</t>
        </is>
      </c>
      <c r="B399" s="1" t="n">
        <v>44531</v>
      </c>
      <c r="C399" s="1" t="n">
        <v>46199</v>
      </c>
      <c r="D399" t="inlineStr">
        <is>
          <t>VÄSTMANLANDS LÄN</t>
        </is>
      </c>
      <c r="E399" t="inlineStr">
        <is>
          <t>SALA</t>
        </is>
      </c>
      <c r="G399" t="n">
        <v>2.3</v>
      </c>
      <c r="H399" t="n">
        <v>0</v>
      </c>
      <c r="I399" t="n">
        <v>0</v>
      </c>
      <c r="J399" t="n">
        <v>0</v>
      </c>
      <c r="K399" t="n">
        <v>0</v>
      </c>
      <c r="L399" t="n">
        <v>0</v>
      </c>
      <c r="M399" t="n">
        <v>0</v>
      </c>
      <c r="N399" t="n">
        <v>0</v>
      </c>
      <c r="O399" t="n">
        <v>0</v>
      </c>
      <c r="P399" t="n">
        <v>0</v>
      </c>
      <c r="Q399" t="n">
        <v>0</v>
      </c>
      <c r="R399" s="2" t="inlineStr"/>
    </row>
    <row r="400" ht="15" customHeight="1">
      <c r="A400" t="inlineStr">
        <is>
          <t>A 24292-2026</t>
        </is>
      </c>
      <c r="B400" s="1" t="n">
        <v>46169</v>
      </c>
      <c r="C400" s="1" t="n">
        <v>46199</v>
      </c>
      <c r="D400" t="inlineStr">
        <is>
          <t>VÄSTMANLANDS LÄN</t>
        </is>
      </c>
      <c r="E400" t="inlineStr">
        <is>
          <t>SALA</t>
        </is>
      </c>
      <c r="G400" t="n">
        <v>1.6</v>
      </c>
      <c r="H400" t="n">
        <v>0</v>
      </c>
      <c r="I400" t="n">
        <v>0</v>
      </c>
      <c r="J400" t="n">
        <v>0</v>
      </c>
      <c r="K400" t="n">
        <v>0</v>
      </c>
      <c r="L400" t="n">
        <v>0</v>
      </c>
      <c r="M400" t="n">
        <v>0</v>
      </c>
      <c r="N400" t="n">
        <v>0</v>
      </c>
      <c r="O400" t="n">
        <v>0</v>
      </c>
      <c r="P400" t="n">
        <v>0</v>
      </c>
      <c r="Q400" t="n">
        <v>0</v>
      </c>
      <c r="R400" s="2" t="inlineStr"/>
    </row>
    <row r="401" ht="15" customHeight="1">
      <c r="A401" t="inlineStr">
        <is>
          <t>A 18592-2026</t>
        </is>
      </c>
      <c r="B401" s="1" t="n">
        <v>46127</v>
      </c>
      <c r="C401" s="1" t="n">
        <v>46199</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28328-2023</t>
        </is>
      </c>
      <c r="B402" s="1" t="n">
        <v>45099</v>
      </c>
      <c r="C402" s="1" t="n">
        <v>46199</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18382-2026</t>
        </is>
      </c>
      <c r="B403" s="1" t="n">
        <v>46126</v>
      </c>
      <c r="C403" s="1" t="n">
        <v>46199</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49661-2024</t>
        </is>
      </c>
      <c r="B404" s="1" t="n">
        <v>45596</v>
      </c>
      <c r="C404" s="1" t="n">
        <v>46199</v>
      </c>
      <c r="D404" t="inlineStr">
        <is>
          <t>VÄSTMANLANDS LÄN</t>
        </is>
      </c>
      <c r="E404" t="inlineStr">
        <is>
          <t>SALA</t>
        </is>
      </c>
      <c r="G404" t="n">
        <v>6.7</v>
      </c>
      <c r="H404" t="n">
        <v>0</v>
      </c>
      <c r="I404" t="n">
        <v>0</v>
      </c>
      <c r="J404" t="n">
        <v>0</v>
      </c>
      <c r="K404" t="n">
        <v>0</v>
      </c>
      <c r="L404" t="n">
        <v>0</v>
      </c>
      <c r="M404" t="n">
        <v>0</v>
      </c>
      <c r="N404" t="n">
        <v>0</v>
      </c>
      <c r="O404" t="n">
        <v>0</v>
      </c>
      <c r="P404" t="n">
        <v>0</v>
      </c>
      <c r="Q404" t="n">
        <v>0</v>
      </c>
      <c r="R404" s="2" t="inlineStr"/>
    </row>
    <row r="405" ht="15" customHeight="1">
      <c r="A405" t="inlineStr">
        <is>
          <t>A 24846-2026</t>
        </is>
      </c>
      <c r="B405" s="1" t="n">
        <v>46174</v>
      </c>
      <c r="C405" s="1" t="n">
        <v>46199</v>
      </c>
      <c r="D405" t="inlineStr">
        <is>
          <t>VÄSTMANLANDS LÄN</t>
        </is>
      </c>
      <c r="E405" t="inlineStr">
        <is>
          <t>SALA</t>
        </is>
      </c>
      <c r="G405" t="n">
        <v>1.6</v>
      </c>
      <c r="H405" t="n">
        <v>0</v>
      </c>
      <c r="I405" t="n">
        <v>0</v>
      </c>
      <c r="J405" t="n">
        <v>0</v>
      </c>
      <c r="K405" t="n">
        <v>0</v>
      </c>
      <c r="L405" t="n">
        <v>0</v>
      </c>
      <c r="M405" t="n">
        <v>0</v>
      </c>
      <c r="N405" t="n">
        <v>0</v>
      </c>
      <c r="O405" t="n">
        <v>0</v>
      </c>
      <c r="P405" t="n">
        <v>0</v>
      </c>
      <c r="Q405" t="n">
        <v>0</v>
      </c>
      <c r="R405" s="2" t="inlineStr"/>
    </row>
    <row r="406" ht="15" customHeight="1">
      <c r="A406" t="inlineStr">
        <is>
          <t>A 54347-2024</t>
        </is>
      </c>
      <c r="B406" s="1" t="n">
        <v>45617</v>
      </c>
      <c r="C406" s="1" t="n">
        <v>46199</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13022-2023</t>
        </is>
      </c>
      <c r="B407" s="1" t="n">
        <v>45002</v>
      </c>
      <c r="C407" s="1" t="n">
        <v>46199</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35003-2024</t>
        </is>
      </c>
      <c r="B408" s="1" t="n">
        <v>45527</v>
      </c>
      <c r="C408" s="1" t="n">
        <v>46199</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66307-2021</t>
        </is>
      </c>
      <c r="B409" s="1" t="n">
        <v>44518</v>
      </c>
      <c r="C409" s="1" t="n">
        <v>46199</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6030-2024</t>
        </is>
      </c>
      <c r="B410" s="1" t="n">
        <v>45336</v>
      </c>
      <c r="C410" s="1" t="n">
        <v>46199</v>
      </c>
      <c r="D410" t="inlineStr">
        <is>
          <t>VÄSTMANLANDS LÄN</t>
        </is>
      </c>
      <c r="E410" t="inlineStr">
        <is>
          <t>SALA</t>
        </is>
      </c>
      <c r="G410" t="n">
        <v>3.9</v>
      </c>
      <c r="H410" t="n">
        <v>0</v>
      </c>
      <c r="I410" t="n">
        <v>0</v>
      </c>
      <c r="J410" t="n">
        <v>0</v>
      </c>
      <c r="K410" t="n">
        <v>0</v>
      </c>
      <c r="L410" t="n">
        <v>0</v>
      </c>
      <c r="M410" t="n">
        <v>0</v>
      </c>
      <c r="N410" t="n">
        <v>0</v>
      </c>
      <c r="O410" t="n">
        <v>0</v>
      </c>
      <c r="P410" t="n">
        <v>0</v>
      </c>
      <c r="Q410" t="n">
        <v>0</v>
      </c>
      <c r="R410" s="2" t="inlineStr"/>
    </row>
    <row r="411" ht="15" customHeight="1">
      <c r="A411" t="inlineStr">
        <is>
          <t>A 26761-2023</t>
        </is>
      </c>
      <c r="B411" s="1" t="n">
        <v>45093</v>
      </c>
      <c r="C411" s="1" t="n">
        <v>46199</v>
      </c>
      <c r="D411" t="inlineStr">
        <is>
          <t>VÄSTMANLANDS LÄN</t>
        </is>
      </c>
      <c r="E411" t="inlineStr">
        <is>
          <t>SALA</t>
        </is>
      </c>
      <c r="G411" t="n">
        <v>4.3</v>
      </c>
      <c r="H411" t="n">
        <v>0</v>
      </c>
      <c r="I411" t="n">
        <v>0</v>
      </c>
      <c r="J411" t="n">
        <v>0</v>
      </c>
      <c r="K411" t="n">
        <v>0</v>
      </c>
      <c r="L411" t="n">
        <v>0</v>
      </c>
      <c r="M411" t="n">
        <v>0</v>
      </c>
      <c r="N411" t="n">
        <v>0</v>
      </c>
      <c r="O411" t="n">
        <v>0</v>
      </c>
      <c r="P411" t="n">
        <v>0</v>
      </c>
      <c r="Q411" t="n">
        <v>0</v>
      </c>
      <c r="R411" s="2" t="inlineStr"/>
    </row>
    <row r="412" ht="15" customHeight="1">
      <c r="A412" t="inlineStr">
        <is>
          <t>A 61892-2021</t>
        </is>
      </c>
      <c r="B412" s="1" t="n">
        <v>44502</v>
      </c>
      <c r="C412" s="1" t="n">
        <v>46199</v>
      </c>
      <c r="D412" t="inlineStr">
        <is>
          <t>VÄSTMANLANDS LÄN</t>
        </is>
      </c>
      <c r="E412" t="inlineStr">
        <is>
          <t>SALA</t>
        </is>
      </c>
      <c r="G412" t="n">
        <v>1.4</v>
      </c>
      <c r="H412" t="n">
        <v>0</v>
      </c>
      <c r="I412" t="n">
        <v>0</v>
      </c>
      <c r="J412" t="n">
        <v>0</v>
      </c>
      <c r="K412" t="n">
        <v>0</v>
      </c>
      <c r="L412" t="n">
        <v>0</v>
      </c>
      <c r="M412" t="n">
        <v>0</v>
      </c>
      <c r="N412" t="n">
        <v>0</v>
      </c>
      <c r="O412" t="n">
        <v>0</v>
      </c>
      <c r="P412" t="n">
        <v>0</v>
      </c>
      <c r="Q412" t="n">
        <v>0</v>
      </c>
      <c r="R412" s="2" t="inlineStr"/>
    </row>
    <row r="413" ht="15" customHeight="1">
      <c r="A413" t="inlineStr">
        <is>
          <t>A 7772-2023</t>
        </is>
      </c>
      <c r="B413" s="1" t="n">
        <v>44973</v>
      </c>
      <c r="C413" s="1" t="n">
        <v>46199</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19044-2026</t>
        </is>
      </c>
      <c r="B414" s="1" t="n">
        <v>46132</v>
      </c>
      <c r="C414" s="1" t="n">
        <v>46199</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25228-2026</t>
        </is>
      </c>
      <c r="B415" s="1" t="n">
        <v>46171</v>
      </c>
      <c r="C415" s="1" t="n">
        <v>46199</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42416-2022</t>
        </is>
      </c>
      <c r="B416" s="1" t="n">
        <v>44831</v>
      </c>
      <c r="C416" s="1" t="n">
        <v>46199</v>
      </c>
      <c r="D416" t="inlineStr">
        <is>
          <t>VÄSTMANLANDS LÄN</t>
        </is>
      </c>
      <c r="E416" t="inlineStr">
        <is>
          <t>SALA</t>
        </is>
      </c>
      <c r="G416" t="n">
        <v>2.2</v>
      </c>
      <c r="H416" t="n">
        <v>0</v>
      </c>
      <c r="I416" t="n">
        <v>0</v>
      </c>
      <c r="J416" t="n">
        <v>0</v>
      </c>
      <c r="K416" t="n">
        <v>0</v>
      </c>
      <c r="L416" t="n">
        <v>0</v>
      </c>
      <c r="M416" t="n">
        <v>0</v>
      </c>
      <c r="N416" t="n">
        <v>0</v>
      </c>
      <c r="O416" t="n">
        <v>0</v>
      </c>
      <c r="P416" t="n">
        <v>0</v>
      </c>
      <c r="Q416" t="n">
        <v>0</v>
      </c>
      <c r="R416" s="2" t="inlineStr"/>
    </row>
    <row r="417" ht="15" customHeight="1">
      <c r="A417" t="inlineStr">
        <is>
          <t>A 19381-2025</t>
        </is>
      </c>
      <c r="B417" s="1" t="n">
        <v>45769</v>
      </c>
      <c r="C417" s="1" t="n">
        <v>46199</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48688-2024</t>
        </is>
      </c>
      <c r="B418" s="1" t="n">
        <v>45593</v>
      </c>
      <c r="C418" s="1" t="n">
        <v>46199</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25227-2026</t>
        </is>
      </c>
      <c r="B419" s="1" t="n">
        <v>46171</v>
      </c>
      <c r="C419" s="1" t="n">
        <v>46199</v>
      </c>
      <c r="D419" t="inlineStr">
        <is>
          <t>VÄSTMANLANDS LÄN</t>
        </is>
      </c>
      <c r="E419" t="inlineStr">
        <is>
          <t>SALA</t>
        </is>
      </c>
      <c r="G419" t="n">
        <v>2.9</v>
      </c>
      <c r="H419" t="n">
        <v>0</v>
      </c>
      <c r="I419" t="n">
        <v>0</v>
      </c>
      <c r="J419" t="n">
        <v>0</v>
      </c>
      <c r="K419" t="n">
        <v>0</v>
      </c>
      <c r="L419" t="n">
        <v>0</v>
      </c>
      <c r="M419" t="n">
        <v>0</v>
      </c>
      <c r="N419" t="n">
        <v>0</v>
      </c>
      <c r="O419" t="n">
        <v>0</v>
      </c>
      <c r="P419" t="n">
        <v>0</v>
      </c>
      <c r="Q419" t="n">
        <v>0</v>
      </c>
      <c r="R419" s="2" t="inlineStr"/>
    </row>
    <row r="420" ht="15" customHeight="1">
      <c r="A420" t="inlineStr">
        <is>
          <t>A 19376-2026</t>
        </is>
      </c>
      <c r="B420" s="1" t="n">
        <v>46133</v>
      </c>
      <c r="C420" s="1" t="n">
        <v>46199</v>
      </c>
      <c r="D420" t="inlineStr">
        <is>
          <t>VÄSTMANLANDS LÄN</t>
        </is>
      </c>
      <c r="E420" t="inlineStr">
        <is>
          <t>SALA</t>
        </is>
      </c>
      <c r="G420" t="n">
        <v>3.8</v>
      </c>
      <c r="H420" t="n">
        <v>0</v>
      </c>
      <c r="I420" t="n">
        <v>0</v>
      </c>
      <c r="J420" t="n">
        <v>0</v>
      </c>
      <c r="K420" t="n">
        <v>0</v>
      </c>
      <c r="L420" t="n">
        <v>0</v>
      </c>
      <c r="M420" t="n">
        <v>0</v>
      </c>
      <c r="N420" t="n">
        <v>0</v>
      </c>
      <c r="O420" t="n">
        <v>0</v>
      </c>
      <c r="P420" t="n">
        <v>0</v>
      </c>
      <c r="Q420" t="n">
        <v>0</v>
      </c>
      <c r="R420" s="2" t="inlineStr"/>
    </row>
    <row r="421" ht="15" customHeight="1">
      <c r="A421" t="inlineStr">
        <is>
          <t>A 45187-2024</t>
        </is>
      </c>
      <c r="B421" s="1" t="n">
        <v>45575</v>
      </c>
      <c r="C421" s="1" t="n">
        <v>46199</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15968-2024</t>
        </is>
      </c>
      <c r="B422" s="1" t="n">
        <v>45405</v>
      </c>
      <c r="C422" s="1" t="n">
        <v>46199</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3733-2023</t>
        </is>
      </c>
      <c r="B423" s="1" t="n">
        <v>44951</v>
      </c>
      <c r="C423" s="1" t="n">
        <v>46199</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44544-2024</t>
        </is>
      </c>
      <c r="B424" s="1" t="n">
        <v>45574</v>
      </c>
      <c r="C424" s="1" t="n">
        <v>46199</v>
      </c>
      <c r="D424" t="inlineStr">
        <is>
          <t>VÄSTMANLANDS LÄN</t>
        </is>
      </c>
      <c r="E424" t="inlineStr">
        <is>
          <t>SALA</t>
        </is>
      </c>
      <c r="G424" t="n">
        <v>3.3</v>
      </c>
      <c r="H424" t="n">
        <v>0</v>
      </c>
      <c r="I424" t="n">
        <v>0</v>
      </c>
      <c r="J424" t="n">
        <v>0</v>
      </c>
      <c r="K424" t="n">
        <v>0</v>
      </c>
      <c r="L424" t="n">
        <v>0</v>
      </c>
      <c r="M424" t="n">
        <v>0</v>
      </c>
      <c r="N424" t="n">
        <v>0</v>
      </c>
      <c r="O424" t="n">
        <v>0</v>
      </c>
      <c r="P424" t="n">
        <v>0</v>
      </c>
      <c r="Q424" t="n">
        <v>0</v>
      </c>
      <c r="R424" s="2" t="inlineStr"/>
    </row>
    <row r="425" ht="15" customHeight="1">
      <c r="A425" t="inlineStr">
        <is>
          <t>A 64729-2023</t>
        </is>
      </c>
      <c r="B425" s="1" t="n">
        <v>45281</v>
      </c>
      <c r="C425" s="1" t="n">
        <v>46199</v>
      </c>
      <c r="D425" t="inlineStr">
        <is>
          <t>VÄSTMANLANDS LÄN</t>
        </is>
      </c>
      <c r="E425" t="inlineStr">
        <is>
          <t>SALA</t>
        </is>
      </c>
      <c r="G425" t="n">
        <v>1.8</v>
      </c>
      <c r="H425" t="n">
        <v>0</v>
      </c>
      <c r="I425" t="n">
        <v>0</v>
      </c>
      <c r="J425" t="n">
        <v>0</v>
      </c>
      <c r="K425" t="n">
        <v>0</v>
      </c>
      <c r="L425" t="n">
        <v>0</v>
      </c>
      <c r="M425" t="n">
        <v>0</v>
      </c>
      <c r="N425" t="n">
        <v>0</v>
      </c>
      <c r="O425" t="n">
        <v>0</v>
      </c>
      <c r="P425" t="n">
        <v>0</v>
      </c>
      <c r="Q425" t="n">
        <v>0</v>
      </c>
      <c r="R425" s="2" t="inlineStr"/>
    </row>
    <row r="426" ht="15" customHeight="1">
      <c r="A426" t="inlineStr">
        <is>
          <t>A 68864-2021</t>
        </is>
      </c>
      <c r="B426" s="1" t="n">
        <v>44530</v>
      </c>
      <c r="C426" s="1" t="n">
        <v>46199</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64925-2023</t>
        </is>
      </c>
      <c r="B427" s="1" t="n">
        <v>45282</v>
      </c>
      <c r="C427" s="1" t="n">
        <v>46199</v>
      </c>
      <c r="D427" t="inlineStr">
        <is>
          <t>VÄSTMANLANDS LÄN</t>
        </is>
      </c>
      <c r="E427" t="inlineStr">
        <is>
          <t>SALA</t>
        </is>
      </c>
      <c r="G427" t="n">
        <v>2.5</v>
      </c>
      <c r="H427" t="n">
        <v>0</v>
      </c>
      <c r="I427" t="n">
        <v>0</v>
      </c>
      <c r="J427" t="n">
        <v>0</v>
      </c>
      <c r="K427" t="n">
        <v>0</v>
      </c>
      <c r="L427" t="n">
        <v>0</v>
      </c>
      <c r="M427" t="n">
        <v>0</v>
      </c>
      <c r="N427" t="n">
        <v>0</v>
      </c>
      <c r="O427" t="n">
        <v>0</v>
      </c>
      <c r="P427" t="n">
        <v>0</v>
      </c>
      <c r="Q427" t="n">
        <v>0</v>
      </c>
      <c r="R427" s="2" t="inlineStr"/>
    </row>
    <row r="428" ht="15" customHeight="1">
      <c r="A428" t="inlineStr">
        <is>
          <t>A 6132-2025</t>
        </is>
      </c>
      <c r="B428" s="1" t="n">
        <v>45698</v>
      </c>
      <c r="C428" s="1" t="n">
        <v>46199</v>
      </c>
      <c r="D428" t="inlineStr">
        <is>
          <t>VÄSTMANLANDS LÄN</t>
        </is>
      </c>
      <c r="E428" t="inlineStr">
        <is>
          <t>SALA</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54603-2024</t>
        </is>
      </c>
      <c r="B429" s="1" t="n">
        <v>45617</v>
      </c>
      <c r="C429" s="1" t="n">
        <v>46199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39597-2022</t>
        </is>
      </c>
      <c r="B430" s="1" t="n">
        <v>44818</v>
      </c>
      <c r="C430" s="1" t="n">
        <v>46199</v>
      </c>
      <c r="D430" t="inlineStr">
        <is>
          <t>VÄSTMANLANDS LÄN</t>
        </is>
      </c>
      <c r="E430" t="inlineStr">
        <is>
          <t>SALA</t>
        </is>
      </c>
      <c r="G430" t="n">
        <v>2.3</v>
      </c>
      <c r="H430" t="n">
        <v>0</v>
      </c>
      <c r="I430" t="n">
        <v>0</v>
      </c>
      <c r="J430" t="n">
        <v>0</v>
      </c>
      <c r="K430" t="n">
        <v>0</v>
      </c>
      <c r="L430" t="n">
        <v>0</v>
      </c>
      <c r="M430" t="n">
        <v>0</v>
      </c>
      <c r="N430" t="n">
        <v>0</v>
      </c>
      <c r="O430" t="n">
        <v>0</v>
      </c>
      <c r="P430" t="n">
        <v>0</v>
      </c>
      <c r="Q430" t="n">
        <v>0</v>
      </c>
      <c r="R430" s="2" t="inlineStr"/>
    </row>
    <row r="431" ht="15" customHeight="1">
      <c r="A431" t="inlineStr">
        <is>
          <t>A 40157-2021</t>
        </is>
      </c>
      <c r="B431" s="1" t="n">
        <v>44418</v>
      </c>
      <c r="C431" s="1" t="n">
        <v>46199</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18762-2024</t>
        </is>
      </c>
      <c r="B432" s="1" t="n">
        <v>45426</v>
      </c>
      <c r="C432" s="1" t="n">
        <v>46199</v>
      </c>
      <c r="D432" t="inlineStr">
        <is>
          <t>VÄSTMANLANDS LÄN</t>
        </is>
      </c>
      <c r="E432" t="inlineStr">
        <is>
          <t>SALA</t>
        </is>
      </c>
      <c r="G432" t="n">
        <v>6.2</v>
      </c>
      <c r="H432" t="n">
        <v>0</v>
      </c>
      <c r="I432" t="n">
        <v>0</v>
      </c>
      <c r="J432" t="n">
        <v>0</v>
      </c>
      <c r="K432" t="n">
        <v>0</v>
      </c>
      <c r="L432" t="n">
        <v>0</v>
      </c>
      <c r="M432" t="n">
        <v>0</v>
      </c>
      <c r="N432" t="n">
        <v>0</v>
      </c>
      <c r="O432" t="n">
        <v>0</v>
      </c>
      <c r="P432" t="n">
        <v>0</v>
      </c>
      <c r="Q432" t="n">
        <v>0</v>
      </c>
      <c r="R432" s="2" t="inlineStr"/>
    </row>
    <row r="433" ht="15" customHeight="1">
      <c r="A433" t="inlineStr">
        <is>
          <t>A 42938-2023</t>
        </is>
      </c>
      <c r="B433" s="1" t="n">
        <v>45179</v>
      </c>
      <c r="C433" s="1" t="n">
        <v>46199</v>
      </c>
      <c r="D433" t="inlineStr">
        <is>
          <t>VÄSTMANLANDS LÄN</t>
        </is>
      </c>
      <c r="E433" t="inlineStr">
        <is>
          <t>SALA</t>
        </is>
      </c>
      <c r="G433" t="n">
        <v>10.9</v>
      </c>
      <c r="H433" t="n">
        <v>0</v>
      </c>
      <c r="I433" t="n">
        <v>0</v>
      </c>
      <c r="J433" t="n">
        <v>0</v>
      </c>
      <c r="K433" t="n">
        <v>0</v>
      </c>
      <c r="L433" t="n">
        <v>0</v>
      </c>
      <c r="M433" t="n">
        <v>0</v>
      </c>
      <c r="N433" t="n">
        <v>0</v>
      </c>
      <c r="O433" t="n">
        <v>0</v>
      </c>
      <c r="P433" t="n">
        <v>0</v>
      </c>
      <c r="Q433" t="n">
        <v>0</v>
      </c>
      <c r="R433" s="2" t="inlineStr"/>
    </row>
    <row r="434" ht="15" customHeight="1">
      <c r="A434" t="inlineStr">
        <is>
          <t>A 42984-2023</t>
        </is>
      </c>
      <c r="B434" s="1" t="n">
        <v>45179</v>
      </c>
      <c r="C434" s="1" t="n">
        <v>46199</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15972-2024</t>
        </is>
      </c>
      <c r="B435" s="1" t="n">
        <v>45405</v>
      </c>
      <c r="C435" s="1" t="n">
        <v>46199</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39714-2023</t>
        </is>
      </c>
      <c r="B436" s="1" t="n">
        <v>45167</v>
      </c>
      <c r="C436" s="1" t="n">
        <v>46199</v>
      </c>
      <c r="D436" t="inlineStr">
        <is>
          <t>VÄSTMANLANDS LÄN</t>
        </is>
      </c>
      <c r="E436" t="inlineStr">
        <is>
          <t>SALA</t>
        </is>
      </c>
      <c r="G436" t="n">
        <v>1.3</v>
      </c>
      <c r="H436" t="n">
        <v>0</v>
      </c>
      <c r="I436" t="n">
        <v>0</v>
      </c>
      <c r="J436" t="n">
        <v>0</v>
      </c>
      <c r="K436" t="n">
        <v>0</v>
      </c>
      <c r="L436" t="n">
        <v>0</v>
      </c>
      <c r="M436" t="n">
        <v>0</v>
      </c>
      <c r="N436" t="n">
        <v>0</v>
      </c>
      <c r="O436" t="n">
        <v>0</v>
      </c>
      <c r="P436" t="n">
        <v>0</v>
      </c>
      <c r="Q436" t="n">
        <v>0</v>
      </c>
      <c r="R436" s="2" t="inlineStr"/>
    </row>
    <row r="437" ht="15" customHeight="1">
      <c r="A437" t="inlineStr">
        <is>
          <t>A 39597-2022</t>
        </is>
      </c>
      <c r="B437" s="1" t="n">
        <v>44818</v>
      </c>
      <c r="C437" s="1" t="n">
        <v>46199</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33527-2023</t>
        </is>
      </c>
      <c r="B438" s="1" t="n">
        <v>45131</v>
      </c>
      <c r="C438" s="1" t="n">
        <v>46199</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10913-2025</t>
        </is>
      </c>
      <c r="B439" s="1" t="n">
        <v>45722</v>
      </c>
      <c r="C439" s="1" t="n">
        <v>46199</v>
      </c>
      <c r="D439" t="inlineStr">
        <is>
          <t>VÄSTMANLANDS LÄN</t>
        </is>
      </c>
      <c r="E439" t="inlineStr">
        <is>
          <t>SALA</t>
        </is>
      </c>
      <c r="G439" t="n">
        <v>7.6</v>
      </c>
      <c r="H439" t="n">
        <v>0</v>
      </c>
      <c r="I439" t="n">
        <v>0</v>
      </c>
      <c r="J439" t="n">
        <v>0</v>
      </c>
      <c r="K439" t="n">
        <v>0</v>
      </c>
      <c r="L439" t="n">
        <v>0</v>
      </c>
      <c r="M439" t="n">
        <v>0</v>
      </c>
      <c r="N439" t="n">
        <v>0</v>
      </c>
      <c r="O439" t="n">
        <v>0</v>
      </c>
      <c r="P439" t="n">
        <v>0</v>
      </c>
      <c r="Q439" t="n">
        <v>0</v>
      </c>
      <c r="R439" s="2" t="inlineStr"/>
    </row>
    <row r="440" ht="15" customHeight="1">
      <c r="A440" t="inlineStr">
        <is>
          <t>A 58107-2021</t>
        </is>
      </c>
      <c r="B440" s="1" t="n">
        <v>44487</v>
      </c>
      <c r="C440" s="1" t="n">
        <v>46199</v>
      </c>
      <c r="D440" t="inlineStr">
        <is>
          <t>VÄSTMANLANDS LÄN</t>
        </is>
      </c>
      <c r="E440" t="inlineStr">
        <is>
          <t>SALA</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2927-2024</t>
        </is>
      </c>
      <c r="B441" s="1" t="n">
        <v>45315</v>
      </c>
      <c r="C441" s="1" t="n">
        <v>46199</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37183-2024</t>
        </is>
      </c>
      <c r="B442" s="1" t="n">
        <v>45539</v>
      </c>
      <c r="C442" s="1" t="n">
        <v>46199</v>
      </c>
      <c r="D442" t="inlineStr">
        <is>
          <t>VÄSTMANLANDS LÄN</t>
        </is>
      </c>
      <c r="E442" t="inlineStr">
        <is>
          <t>SALA</t>
        </is>
      </c>
      <c r="G442" t="n">
        <v>1.2</v>
      </c>
      <c r="H442" t="n">
        <v>0</v>
      </c>
      <c r="I442" t="n">
        <v>0</v>
      </c>
      <c r="J442" t="n">
        <v>0</v>
      </c>
      <c r="K442" t="n">
        <v>0</v>
      </c>
      <c r="L442" t="n">
        <v>0</v>
      </c>
      <c r="M442" t="n">
        <v>0</v>
      </c>
      <c r="N442" t="n">
        <v>0</v>
      </c>
      <c r="O442" t="n">
        <v>0</v>
      </c>
      <c r="P442" t="n">
        <v>0</v>
      </c>
      <c r="Q442" t="n">
        <v>0</v>
      </c>
      <c r="R442" s="2" t="inlineStr"/>
    </row>
    <row r="443" ht="15" customHeight="1">
      <c r="A443" t="inlineStr">
        <is>
          <t>A 30866-2025</t>
        </is>
      </c>
      <c r="B443" s="1" t="n">
        <v>45832</v>
      </c>
      <c r="C443" s="1" t="n">
        <v>46199</v>
      </c>
      <c r="D443" t="inlineStr">
        <is>
          <t>VÄSTMANLANDS LÄN</t>
        </is>
      </c>
      <c r="E443" t="inlineStr">
        <is>
          <t>SALA</t>
        </is>
      </c>
      <c r="G443" t="n">
        <v>14.3</v>
      </c>
      <c r="H443" t="n">
        <v>0</v>
      </c>
      <c r="I443" t="n">
        <v>0</v>
      </c>
      <c r="J443" t="n">
        <v>0</v>
      </c>
      <c r="K443" t="n">
        <v>0</v>
      </c>
      <c r="L443" t="n">
        <v>0</v>
      </c>
      <c r="M443" t="n">
        <v>0</v>
      </c>
      <c r="N443" t="n">
        <v>0</v>
      </c>
      <c r="O443" t="n">
        <v>0</v>
      </c>
      <c r="P443" t="n">
        <v>0</v>
      </c>
      <c r="Q443" t="n">
        <v>0</v>
      </c>
      <c r="R443" s="2" t="inlineStr"/>
    </row>
    <row r="444" ht="15" customHeight="1">
      <c r="A444" t="inlineStr">
        <is>
          <t>A 54199-2024</t>
        </is>
      </c>
      <c r="B444" s="1" t="n">
        <v>45616</v>
      </c>
      <c r="C444" s="1" t="n">
        <v>46199</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60548-2024</t>
        </is>
      </c>
      <c r="B445" s="1" t="n">
        <v>45643</v>
      </c>
      <c r="C445" s="1" t="n">
        <v>46199</v>
      </c>
      <c r="D445" t="inlineStr">
        <is>
          <t>VÄSTMANLANDS LÄN</t>
        </is>
      </c>
      <c r="E445" t="inlineStr">
        <is>
          <t>SALA</t>
        </is>
      </c>
      <c r="G445" t="n">
        <v>1.6</v>
      </c>
      <c r="H445" t="n">
        <v>0</v>
      </c>
      <c r="I445" t="n">
        <v>0</v>
      </c>
      <c r="J445" t="n">
        <v>0</v>
      </c>
      <c r="K445" t="n">
        <v>0</v>
      </c>
      <c r="L445" t="n">
        <v>0</v>
      </c>
      <c r="M445" t="n">
        <v>0</v>
      </c>
      <c r="N445" t="n">
        <v>0</v>
      </c>
      <c r="O445" t="n">
        <v>0</v>
      </c>
      <c r="P445" t="n">
        <v>0</v>
      </c>
      <c r="Q445" t="n">
        <v>0</v>
      </c>
      <c r="R445" s="2" t="inlineStr"/>
    </row>
    <row r="446" ht="15" customHeight="1">
      <c r="A446" t="inlineStr">
        <is>
          <t>A 57895-2024</t>
        </is>
      </c>
      <c r="B446" s="1" t="n">
        <v>45631</v>
      </c>
      <c r="C446" s="1" t="n">
        <v>46199</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31597-2024</t>
        </is>
      </c>
      <c r="B447" s="1" t="n">
        <v>45506</v>
      </c>
      <c r="C447" s="1" t="n">
        <v>46199</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17458-2024</t>
        </is>
      </c>
      <c r="B448" s="1" t="n">
        <v>45415</v>
      </c>
      <c r="C448" s="1" t="n">
        <v>46199</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2529-2022</t>
        </is>
      </c>
      <c r="B449" s="1" t="n">
        <v>44579</v>
      </c>
      <c r="C449" s="1" t="n">
        <v>46199</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56540-2024</t>
        </is>
      </c>
      <c r="B450" s="1" t="n">
        <v>45625</v>
      </c>
      <c r="C450" s="1" t="n">
        <v>46199</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31599-2024</t>
        </is>
      </c>
      <c r="B451" s="1" t="n">
        <v>45506</v>
      </c>
      <c r="C451" s="1" t="n">
        <v>46199</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31601-2024</t>
        </is>
      </c>
      <c r="B452" s="1" t="n">
        <v>45506</v>
      </c>
      <c r="C452" s="1" t="n">
        <v>46199</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31608-2024</t>
        </is>
      </c>
      <c r="B453" s="1" t="n">
        <v>45506</v>
      </c>
      <c r="C453" s="1" t="n">
        <v>46199</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31612-2024</t>
        </is>
      </c>
      <c r="B454" s="1" t="n">
        <v>45506</v>
      </c>
      <c r="C454" s="1" t="n">
        <v>46199</v>
      </c>
      <c r="D454" t="inlineStr">
        <is>
          <t>VÄSTMANLANDS LÄN</t>
        </is>
      </c>
      <c r="E454" t="inlineStr">
        <is>
          <t>SALA</t>
        </is>
      </c>
      <c r="G454" t="n">
        <v>3.2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46199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64693-2023</t>
        </is>
      </c>
      <c r="B456" s="1" t="n">
        <v>45281</v>
      </c>
      <c r="C456" s="1" t="n">
        <v>46199</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64695-2023</t>
        </is>
      </c>
      <c r="B457" s="1" t="n">
        <v>45281</v>
      </c>
      <c r="C457" s="1" t="n">
        <v>46199</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38636-2024</t>
        </is>
      </c>
      <c r="B458" s="1" t="n">
        <v>45546</v>
      </c>
      <c r="C458" s="1" t="n">
        <v>46199</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19304-2025</t>
        </is>
      </c>
      <c r="B459" s="1" t="n">
        <v>45769</v>
      </c>
      <c r="C459" s="1" t="n">
        <v>46199</v>
      </c>
      <c r="D459" t="inlineStr">
        <is>
          <t>VÄSTMANLANDS LÄN</t>
        </is>
      </c>
      <c r="E459" t="inlineStr">
        <is>
          <t>SALA</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37103-2025</t>
        </is>
      </c>
      <c r="B460" s="1" t="n">
        <v>45875</v>
      </c>
      <c r="C460" s="1" t="n">
        <v>46199</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43122-2025</t>
        </is>
      </c>
      <c r="B461" s="1" t="n">
        <v>45909</v>
      </c>
      <c r="C461" s="1" t="n">
        <v>46199</v>
      </c>
      <c r="D461" t="inlineStr">
        <is>
          <t>VÄSTMANLANDS LÄN</t>
        </is>
      </c>
      <c r="E461" t="inlineStr">
        <is>
          <t>SALA</t>
        </is>
      </c>
      <c r="G461" t="n">
        <v>3.2</v>
      </c>
      <c r="H461" t="n">
        <v>0</v>
      </c>
      <c r="I461" t="n">
        <v>0</v>
      </c>
      <c r="J461" t="n">
        <v>0</v>
      </c>
      <c r="K461" t="n">
        <v>0</v>
      </c>
      <c r="L461" t="n">
        <v>0</v>
      </c>
      <c r="M461" t="n">
        <v>0</v>
      </c>
      <c r="N461" t="n">
        <v>0</v>
      </c>
      <c r="O461" t="n">
        <v>0</v>
      </c>
      <c r="P461" t="n">
        <v>0</v>
      </c>
      <c r="Q461" t="n">
        <v>0</v>
      </c>
      <c r="R461" s="2" t="inlineStr"/>
    </row>
    <row r="462" ht="15" customHeight="1">
      <c r="A462" t="inlineStr">
        <is>
          <t>A 43129-2025</t>
        </is>
      </c>
      <c r="B462" s="1" t="n">
        <v>45909</v>
      </c>
      <c r="C462" s="1" t="n">
        <v>46199</v>
      </c>
      <c r="D462" t="inlineStr">
        <is>
          <t>VÄSTMANLANDS LÄN</t>
        </is>
      </c>
      <c r="E462" t="inlineStr">
        <is>
          <t>SALA</t>
        </is>
      </c>
      <c r="G462" t="n">
        <v>2.4</v>
      </c>
      <c r="H462" t="n">
        <v>0</v>
      </c>
      <c r="I462" t="n">
        <v>0</v>
      </c>
      <c r="J462" t="n">
        <v>0</v>
      </c>
      <c r="K462" t="n">
        <v>0</v>
      </c>
      <c r="L462" t="n">
        <v>0</v>
      </c>
      <c r="M462" t="n">
        <v>0</v>
      </c>
      <c r="N462" t="n">
        <v>0</v>
      </c>
      <c r="O462" t="n">
        <v>0</v>
      </c>
      <c r="P462" t="n">
        <v>0</v>
      </c>
      <c r="Q462" t="n">
        <v>0</v>
      </c>
      <c r="R462" s="2" t="inlineStr"/>
    </row>
    <row r="463" ht="15" customHeight="1">
      <c r="A463" t="inlineStr">
        <is>
          <t>A 29542-2023</t>
        </is>
      </c>
      <c r="B463" s="1" t="n">
        <v>45098</v>
      </c>
      <c r="C463" s="1" t="n">
        <v>46199</v>
      </c>
      <c r="D463" t="inlineStr">
        <is>
          <t>VÄSTMANLANDS LÄN</t>
        </is>
      </c>
      <c r="E463" t="inlineStr">
        <is>
          <t>SALA</t>
        </is>
      </c>
      <c r="G463" t="n">
        <v>4.8</v>
      </c>
      <c r="H463" t="n">
        <v>0</v>
      </c>
      <c r="I463" t="n">
        <v>0</v>
      </c>
      <c r="J463" t="n">
        <v>0</v>
      </c>
      <c r="K463" t="n">
        <v>0</v>
      </c>
      <c r="L463" t="n">
        <v>0</v>
      </c>
      <c r="M463" t="n">
        <v>0</v>
      </c>
      <c r="N463" t="n">
        <v>0</v>
      </c>
      <c r="O463" t="n">
        <v>0</v>
      </c>
      <c r="P463" t="n">
        <v>0</v>
      </c>
      <c r="Q463" t="n">
        <v>0</v>
      </c>
      <c r="R463" s="2" t="inlineStr"/>
    </row>
    <row r="464" ht="15" customHeight="1">
      <c r="A464" t="inlineStr">
        <is>
          <t>A 27038-2023</t>
        </is>
      </c>
      <c r="B464" s="1" t="n">
        <v>45095</v>
      </c>
      <c r="C464" s="1" t="n">
        <v>46199</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57404-2024</t>
        </is>
      </c>
      <c r="B465" s="1" t="n">
        <v>45629</v>
      </c>
      <c r="C465" s="1" t="n">
        <v>46199</v>
      </c>
      <c r="D465" t="inlineStr">
        <is>
          <t>VÄSTMANLANDS LÄN</t>
        </is>
      </c>
      <c r="E465" t="inlineStr">
        <is>
          <t>SALA</t>
        </is>
      </c>
      <c r="G465" t="n">
        <v>0.3</v>
      </c>
      <c r="H465" t="n">
        <v>0</v>
      </c>
      <c r="I465" t="n">
        <v>0</v>
      </c>
      <c r="J465" t="n">
        <v>0</v>
      </c>
      <c r="K465" t="n">
        <v>0</v>
      </c>
      <c r="L465" t="n">
        <v>0</v>
      </c>
      <c r="M465" t="n">
        <v>0</v>
      </c>
      <c r="N465" t="n">
        <v>0</v>
      </c>
      <c r="O465" t="n">
        <v>0</v>
      </c>
      <c r="P465" t="n">
        <v>0</v>
      </c>
      <c r="Q465" t="n">
        <v>0</v>
      </c>
      <c r="R465" s="2" t="inlineStr"/>
    </row>
    <row r="466" ht="15" customHeight="1">
      <c r="A466" t="inlineStr">
        <is>
          <t>A 21777-2022</t>
        </is>
      </c>
      <c r="B466" s="1" t="n">
        <v>44708</v>
      </c>
      <c r="C466" s="1" t="n">
        <v>46199</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26419-2026</t>
        </is>
      </c>
      <c r="B467" s="1" t="n">
        <v>46183</v>
      </c>
      <c r="C467" s="1" t="n">
        <v>46199</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33732-2023</t>
        </is>
      </c>
      <c r="B468" s="1" t="n">
        <v>45133</v>
      </c>
      <c r="C468" s="1" t="n">
        <v>46199</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26414-2026</t>
        </is>
      </c>
      <c r="B469" s="1" t="n">
        <v>46183</v>
      </c>
      <c r="C469" s="1" t="n">
        <v>46199</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44857-2023</t>
        </is>
      </c>
      <c r="B470" s="1" t="n">
        <v>45190</v>
      </c>
      <c r="C470" s="1" t="n">
        <v>46199</v>
      </c>
      <c r="D470" t="inlineStr">
        <is>
          <t>VÄSTMANLANDS LÄN</t>
        </is>
      </c>
      <c r="E470" t="inlineStr">
        <is>
          <t>SALA</t>
        </is>
      </c>
      <c r="G470" t="n">
        <v>1</v>
      </c>
      <c r="H470" t="n">
        <v>0</v>
      </c>
      <c r="I470" t="n">
        <v>0</v>
      </c>
      <c r="J470" t="n">
        <v>0</v>
      </c>
      <c r="K470" t="n">
        <v>0</v>
      </c>
      <c r="L470" t="n">
        <v>0</v>
      </c>
      <c r="M470" t="n">
        <v>0</v>
      </c>
      <c r="N470" t="n">
        <v>0</v>
      </c>
      <c r="O470" t="n">
        <v>0</v>
      </c>
      <c r="P470" t="n">
        <v>0</v>
      </c>
      <c r="Q470" t="n">
        <v>0</v>
      </c>
      <c r="R470" s="2" t="inlineStr"/>
    </row>
    <row r="471" ht="15" customHeight="1">
      <c r="A471" t="inlineStr">
        <is>
          <t>A 46352-2023</t>
        </is>
      </c>
      <c r="B471" s="1" t="n">
        <v>45192</v>
      </c>
      <c r="C471" s="1" t="n">
        <v>46199</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22397-2022</t>
        </is>
      </c>
      <c r="B472" s="1" t="n">
        <v>44713</v>
      </c>
      <c r="C472" s="1" t="n">
        <v>46199</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27424-2023</t>
        </is>
      </c>
      <c r="B473" s="1" t="n">
        <v>45097</v>
      </c>
      <c r="C473" s="1" t="n">
        <v>46199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7469-2025</t>
        </is>
      </c>
      <c r="B474" s="1" t="n">
        <v>45705</v>
      </c>
      <c r="C474" s="1" t="n">
        <v>46199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43188-2023</t>
        </is>
      </c>
      <c r="B475" s="1" t="n">
        <v>45183</v>
      </c>
      <c r="C475" s="1" t="n">
        <v>46199</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43205-2023</t>
        </is>
      </c>
      <c r="B476" s="1" t="n">
        <v>45183</v>
      </c>
      <c r="C476" s="1" t="n">
        <v>46199</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28278-2025</t>
        </is>
      </c>
      <c r="B477" s="1" t="n">
        <v>45818</v>
      </c>
      <c r="C477" s="1" t="n">
        <v>46199</v>
      </c>
      <c r="D477" t="inlineStr">
        <is>
          <t>VÄSTMANLANDS LÄN</t>
        </is>
      </c>
      <c r="E477" t="inlineStr">
        <is>
          <t>SALA</t>
        </is>
      </c>
      <c r="G477" t="n">
        <v>7.6</v>
      </c>
      <c r="H477" t="n">
        <v>0</v>
      </c>
      <c r="I477" t="n">
        <v>0</v>
      </c>
      <c r="J477" t="n">
        <v>0</v>
      </c>
      <c r="K477" t="n">
        <v>0</v>
      </c>
      <c r="L477" t="n">
        <v>0</v>
      </c>
      <c r="M477" t="n">
        <v>0</v>
      </c>
      <c r="N477" t="n">
        <v>0</v>
      </c>
      <c r="O477" t="n">
        <v>0</v>
      </c>
      <c r="P477" t="n">
        <v>0</v>
      </c>
      <c r="Q477" t="n">
        <v>0</v>
      </c>
      <c r="R477" s="2" t="inlineStr"/>
    </row>
    <row r="478" ht="15" customHeight="1">
      <c r="A478" t="inlineStr">
        <is>
          <t>A 28827-2022</t>
        </is>
      </c>
      <c r="B478" s="1" t="n">
        <v>44749</v>
      </c>
      <c r="C478" s="1" t="n">
        <v>46199</v>
      </c>
      <c r="D478" t="inlineStr">
        <is>
          <t>VÄSTMANLANDS LÄN</t>
        </is>
      </c>
      <c r="E478" t="inlineStr">
        <is>
          <t>SALA</t>
        </is>
      </c>
      <c r="F478" t="inlineStr">
        <is>
          <t>Kommuner</t>
        </is>
      </c>
      <c r="G478" t="n">
        <v>11.9</v>
      </c>
      <c r="H478" t="n">
        <v>0</v>
      </c>
      <c r="I478" t="n">
        <v>0</v>
      </c>
      <c r="J478" t="n">
        <v>0</v>
      </c>
      <c r="K478" t="n">
        <v>0</v>
      </c>
      <c r="L478" t="n">
        <v>0</v>
      </c>
      <c r="M478" t="n">
        <v>0</v>
      </c>
      <c r="N478" t="n">
        <v>0</v>
      </c>
      <c r="O478" t="n">
        <v>0</v>
      </c>
      <c r="P478" t="n">
        <v>0</v>
      </c>
      <c r="Q478" t="n">
        <v>0</v>
      </c>
      <c r="R478" s="2" t="inlineStr"/>
    </row>
    <row r="479" ht="15" customHeight="1">
      <c r="A479" t="inlineStr">
        <is>
          <t>A 20838-2026</t>
        </is>
      </c>
      <c r="B479" s="1" t="n">
        <v>46142</v>
      </c>
      <c r="C479" s="1" t="n">
        <v>46199</v>
      </c>
      <c r="D479" t="inlineStr">
        <is>
          <t>VÄSTMANLANDS LÄN</t>
        </is>
      </c>
      <c r="E479" t="inlineStr">
        <is>
          <t>SALA</t>
        </is>
      </c>
      <c r="G479" t="n">
        <v>1.7</v>
      </c>
      <c r="H479" t="n">
        <v>0</v>
      </c>
      <c r="I479" t="n">
        <v>0</v>
      </c>
      <c r="J479" t="n">
        <v>0</v>
      </c>
      <c r="K479" t="n">
        <v>0</v>
      </c>
      <c r="L479" t="n">
        <v>0</v>
      </c>
      <c r="M479" t="n">
        <v>0</v>
      </c>
      <c r="N479" t="n">
        <v>0</v>
      </c>
      <c r="O479" t="n">
        <v>0</v>
      </c>
      <c r="P479" t="n">
        <v>0</v>
      </c>
      <c r="Q479" t="n">
        <v>0</v>
      </c>
      <c r="R479" s="2" t="inlineStr"/>
    </row>
    <row r="480" ht="15" customHeight="1">
      <c r="A480" t="inlineStr">
        <is>
          <t>A 59297-2023</t>
        </is>
      </c>
      <c r="B480" s="1" t="n">
        <v>45253</v>
      </c>
      <c r="C480" s="1" t="n">
        <v>46199</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28863-2022</t>
        </is>
      </c>
      <c r="B481" s="1" t="n">
        <v>44749</v>
      </c>
      <c r="C481" s="1" t="n">
        <v>46199</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25541-2024</t>
        </is>
      </c>
      <c r="B482" s="1" t="n">
        <v>45463</v>
      </c>
      <c r="C482" s="1" t="n">
        <v>46199</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29213-2022</t>
        </is>
      </c>
      <c r="B483" s="1" t="n">
        <v>44750</v>
      </c>
      <c r="C483" s="1" t="n">
        <v>46199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1555-2024</t>
        </is>
      </c>
      <c r="B484" s="1" t="n">
        <v>45306</v>
      </c>
      <c r="C484" s="1" t="n">
        <v>46199</v>
      </c>
      <c r="D484" t="inlineStr">
        <is>
          <t>VÄSTMANLANDS LÄN</t>
        </is>
      </c>
      <c r="E484" t="inlineStr">
        <is>
          <t>SALA</t>
        </is>
      </c>
      <c r="G484" t="n">
        <v>1.3</v>
      </c>
      <c r="H484" t="n">
        <v>0</v>
      </c>
      <c r="I484" t="n">
        <v>0</v>
      </c>
      <c r="J484" t="n">
        <v>0</v>
      </c>
      <c r="K484" t="n">
        <v>0</v>
      </c>
      <c r="L484" t="n">
        <v>0</v>
      </c>
      <c r="M484" t="n">
        <v>0</v>
      </c>
      <c r="N484" t="n">
        <v>0</v>
      </c>
      <c r="O484" t="n">
        <v>0</v>
      </c>
      <c r="P484" t="n">
        <v>0</v>
      </c>
      <c r="Q484" t="n">
        <v>0</v>
      </c>
      <c r="R484" s="2" t="inlineStr"/>
    </row>
    <row r="485" ht="15" customHeight="1">
      <c r="A485" t="inlineStr">
        <is>
          <t>A 13188-2025</t>
        </is>
      </c>
      <c r="B485" s="1" t="n">
        <v>45735</v>
      </c>
      <c r="C485" s="1" t="n">
        <v>46199</v>
      </c>
      <c r="D485" t="inlineStr">
        <is>
          <t>VÄSTMANLANDS LÄN</t>
        </is>
      </c>
      <c r="E485" t="inlineStr">
        <is>
          <t>SALA</t>
        </is>
      </c>
      <c r="F485" t="inlineStr">
        <is>
          <t>Naturvårdsverket</t>
        </is>
      </c>
      <c r="G485" t="n">
        <v>18.4</v>
      </c>
      <c r="H485" t="n">
        <v>0</v>
      </c>
      <c r="I485" t="n">
        <v>0</v>
      </c>
      <c r="J485" t="n">
        <v>0</v>
      </c>
      <c r="K485" t="n">
        <v>0</v>
      </c>
      <c r="L485" t="n">
        <v>0</v>
      </c>
      <c r="M485" t="n">
        <v>0</v>
      </c>
      <c r="N485" t="n">
        <v>0</v>
      </c>
      <c r="O485" t="n">
        <v>0</v>
      </c>
      <c r="P485" t="n">
        <v>0</v>
      </c>
      <c r="Q485" t="n">
        <v>0</v>
      </c>
      <c r="R485" s="2" t="inlineStr"/>
    </row>
    <row r="486" ht="15" customHeight="1">
      <c r="A486" t="inlineStr">
        <is>
          <t>A 7197-2025</t>
        </is>
      </c>
      <c r="B486" s="1" t="n">
        <v>45702</v>
      </c>
      <c r="C486" s="1" t="n">
        <v>46199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21435-2026</t>
        </is>
      </c>
      <c r="B487" s="1" t="n">
        <v>46148</v>
      </c>
      <c r="C487" s="1" t="n">
        <v>46199</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2928-2024</t>
        </is>
      </c>
      <c r="B488" s="1" t="n">
        <v>45315</v>
      </c>
      <c r="C488" s="1" t="n">
        <v>46199</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27431-2026</t>
        </is>
      </c>
      <c r="B489" s="1" t="n">
        <v>46189</v>
      </c>
      <c r="C489" s="1" t="n">
        <v>46199</v>
      </c>
      <c r="D489" t="inlineStr">
        <is>
          <t>VÄSTMANLANDS LÄN</t>
        </is>
      </c>
      <c r="E489" t="inlineStr">
        <is>
          <t>SALA</t>
        </is>
      </c>
      <c r="G489" t="n">
        <v>1.4</v>
      </c>
      <c r="H489" t="n">
        <v>0</v>
      </c>
      <c r="I489" t="n">
        <v>0</v>
      </c>
      <c r="J489" t="n">
        <v>0</v>
      </c>
      <c r="K489" t="n">
        <v>0</v>
      </c>
      <c r="L489" t="n">
        <v>0</v>
      </c>
      <c r="M489" t="n">
        <v>0</v>
      </c>
      <c r="N489" t="n">
        <v>0</v>
      </c>
      <c r="O489" t="n">
        <v>0</v>
      </c>
      <c r="P489" t="n">
        <v>0</v>
      </c>
      <c r="Q489" t="n">
        <v>0</v>
      </c>
      <c r="R489" s="2" t="inlineStr"/>
    </row>
    <row r="490" ht="15" customHeight="1">
      <c r="A490" t="inlineStr">
        <is>
          <t>A 14024-2025</t>
        </is>
      </c>
      <c r="B490" s="1" t="n">
        <v>45740</v>
      </c>
      <c r="C490" s="1" t="n">
        <v>46199</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3551-2024</t>
        </is>
      </c>
      <c r="B491" s="1" t="n">
        <v>45320</v>
      </c>
      <c r="C491" s="1" t="n">
        <v>46199</v>
      </c>
      <c r="D491" t="inlineStr">
        <is>
          <t>VÄSTMANLANDS LÄN</t>
        </is>
      </c>
      <c r="E491" t="inlineStr">
        <is>
          <t>SALA</t>
        </is>
      </c>
      <c r="F491" t="inlineStr">
        <is>
          <t>Kommuner</t>
        </is>
      </c>
      <c r="G491" t="n">
        <v>6</v>
      </c>
      <c r="H491" t="n">
        <v>0</v>
      </c>
      <c r="I491" t="n">
        <v>0</v>
      </c>
      <c r="J491" t="n">
        <v>0</v>
      </c>
      <c r="K491" t="n">
        <v>0</v>
      </c>
      <c r="L491" t="n">
        <v>0</v>
      </c>
      <c r="M491" t="n">
        <v>0</v>
      </c>
      <c r="N491" t="n">
        <v>0</v>
      </c>
      <c r="O491" t="n">
        <v>0</v>
      </c>
      <c r="P491" t="n">
        <v>0</v>
      </c>
      <c r="Q491" t="n">
        <v>0</v>
      </c>
      <c r="R491" s="2" t="inlineStr"/>
    </row>
    <row r="492" ht="15" customHeight="1">
      <c r="A492" t="inlineStr">
        <is>
          <t>A 62635-2022</t>
        </is>
      </c>
      <c r="B492" s="1" t="n">
        <v>44917</v>
      </c>
      <c r="C492" s="1" t="n">
        <v>46199</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56057-2023</t>
        </is>
      </c>
      <c r="B493" s="1" t="n">
        <v>45233</v>
      </c>
      <c r="C493" s="1" t="n">
        <v>46199</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55024-2023</t>
        </is>
      </c>
      <c r="B494" s="1" t="n">
        <v>45229</v>
      </c>
      <c r="C494" s="1" t="n">
        <v>46199</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55032-2023</t>
        </is>
      </c>
      <c r="B495" s="1" t="n">
        <v>45229</v>
      </c>
      <c r="C495" s="1" t="n">
        <v>46199</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29248-2022</t>
        </is>
      </c>
      <c r="B496" s="1" t="n">
        <v>44750</v>
      </c>
      <c r="C496" s="1" t="n">
        <v>46199</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59175-2022</t>
        </is>
      </c>
      <c r="B497" s="1" t="n">
        <v>44904</v>
      </c>
      <c r="C497" s="1" t="n">
        <v>46199</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39451-2022</t>
        </is>
      </c>
      <c r="B498" s="1" t="n">
        <v>44818</v>
      </c>
      <c r="C498" s="1" t="n">
        <v>46199</v>
      </c>
      <c r="D498" t="inlineStr">
        <is>
          <t>VÄSTMANLANDS LÄN</t>
        </is>
      </c>
      <c r="E498" t="inlineStr">
        <is>
          <t>SALA</t>
        </is>
      </c>
      <c r="G498" t="n">
        <v>9.4</v>
      </c>
      <c r="H498" t="n">
        <v>0</v>
      </c>
      <c r="I498" t="n">
        <v>0</v>
      </c>
      <c r="J498" t="n">
        <v>0</v>
      </c>
      <c r="K498" t="n">
        <v>0</v>
      </c>
      <c r="L498" t="n">
        <v>0</v>
      </c>
      <c r="M498" t="n">
        <v>0</v>
      </c>
      <c r="N498" t="n">
        <v>0</v>
      </c>
      <c r="O498" t="n">
        <v>0</v>
      </c>
      <c r="P498" t="n">
        <v>0</v>
      </c>
      <c r="Q498" t="n">
        <v>0</v>
      </c>
      <c r="R498" s="2" t="inlineStr"/>
    </row>
    <row r="499" ht="15" customHeight="1">
      <c r="A499" t="inlineStr">
        <is>
          <t>A 28303-2026</t>
        </is>
      </c>
      <c r="B499" s="1" t="n">
        <v>46196</v>
      </c>
      <c r="C499" s="1" t="n">
        <v>46199</v>
      </c>
      <c r="D499" t="inlineStr">
        <is>
          <t>VÄSTMANLANDS LÄN</t>
        </is>
      </c>
      <c r="E499" t="inlineStr">
        <is>
          <t>SALA</t>
        </is>
      </c>
      <c r="F499" t="inlineStr">
        <is>
          <t>Kommuner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11631-2023</t>
        </is>
      </c>
      <c r="B500" s="1" t="n">
        <v>44994</v>
      </c>
      <c r="C500" s="1" t="n">
        <v>46199</v>
      </c>
      <c r="D500" t="inlineStr">
        <is>
          <t>VÄSTMANLANDS LÄN</t>
        </is>
      </c>
      <c r="E500" t="inlineStr">
        <is>
          <t>SALA</t>
        </is>
      </c>
      <c r="F500" t="inlineStr">
        <is>
          <t>Kommuner</t>
        </is>
      </c>
      <c r="G500" t="n">
        <v>1.9</v>
      </c>
      <c r="H500" t="n">
        <v>0</v>
      </c>
      <c r="I500" t="n">
        <v>0</v>
      </c>
      <c r="J500" t="n">
        <v>0</v>
      </c>
      <c r="K500" t="n">
        <v>0</v>
      </c>
      <c r="L500" t="n">
        <v>0</v>
      </c>
      <c r="M500" t="n">
        <v>0</v>
      </c>
      <c r="N500" t="n">
        <v>0</v>
      </c>
      <c r="O500" t="n">
        <v>0</v>
      </c>
      <c r="P500" t="n">
        <v>0</v>
      </c>
      <c r="Q500" t="n">
        <v>0</v>
      </c>
      <c r="R500" s="2" t="inlineStr"/>
    </row>
    <row r="501" ht="15" customHeight="1">
      <c r="A501" t="inlineStr">
        <is>
          <t>A 62648-2022</t>
        </is>
      </c>
      <c r="B501" s="1" t="n">
        <v>44917</v>
      </c>
      <c r="C501" s="1" t="n">
        <v>46199</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1934-2023</t>
        </is>
      </c>
      <c r="B502" s="1" t="n">
        <v>44939</v>
      </c>
      <c r="C502" s="1" t="n">
        <v>46199</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11927-2025</t>
        </is>
      </c>
      <c r="B503" s="1" t="n">
        <v>45728</v>
      </c>
      <c r="C503" s="1" t="n">
        <v>46199</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60823-2024</t>
        </is>
      </c>
      <c r="B504" s="1" t="n">
        <v>45644</v>
      </c>
      <c r="C504" s="1" t="n">
        <v>46199</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96-2024</t>
        </is>
      </c>
      <c r="B505" s="1" t="n">
        <v>45293</v>
      </c>
      <c r="C505" s="1" t="n">
        <v>46199</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23374-2023</t>
        </is>
      </c>
      <c r="B506" s="1" t="n">
        <v>45076</v>
      </c>
      <c r="C506" s="1" t="n">
        <v>46199</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61874-2021</t>
        </is>
      </c>
      <c r="B507" s="1" t="n">
        <v>44502</v>
      </c>
      <c r="C507" s="1" t="n">
        <v>46199</v>
      </c>
      <c r="D507" t="inlineStr">
        <is>
          <t>VÄSTMANLANDS LÄN</t>
        </is>
      </c>
      <c r="E507" t="inlineStr">
        <is>
          <t>SALA</t>
        </is>
      </c>
      <c r="F507" t="inlineStr">
        <is>
          <t>Kyrkan</t>
        </is>
      </c>
      <c r="G507" t="n">
        <v>1.3</v>
      </c>
      <c r="H507" t="n">
        <v>0</v>
      </c>
      <c r="I507" t="n">
        <v>0</v>
      </c>
      <c r="J507" t="n">
        <v>0</v>
      </c>
      <c r="K507" t="n">
        <v>0</v>
      </c>
      <c r="L507" t="n">
        <v>0</v>
      </c>
      <c r="M507" t="n">
        <v>0</v>
      </c>
      <c r="N507" t="n">
        <v>0</v>
      </c>
      <c r="O507" t="n">
        <v>0</v>
      </c>
      <c r="P507" t="n">
        <v>0</v>
      </c>
      <c r="Q507" t="n">
        <v>0</v>
      </c>
      <c r="R507" s="2" t="inlineStr"/>
    </row>
    <row r="508" ht="15" customHeight="1">
      <c r="A508" t="inlineStr">
        <is>
          <t>A 9856-2022</t>
        </is>
      </c>
      <c r="B508" s="1" t="n">
        <v>44620</v>
      </c>
      <c r="C508" s="1" t="n">
        <v>46199</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16159-2024</t>
        </is>
      </c>
      <c r="B509" s="1" t="n">
        <v>45406</v>
      </c>
      <c r="C509" s="1" t="n">
        <v>46199</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50241-2023</t>
        </is>
      </c>
      <c r="B510" s="1" t="n">
        <v>45216</v>
      </c>
      <c r="C510" s="1" t="n">
        <v>46199</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35637-2022</t>
        </is>
      </c>
      <c r="B511" s="1" t="n">
        <v>44799</v>
      </c>
      <c r="C511" s="1" t="n">
        <v>46199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57883-2024</t>
        </is>
      </c>
      <c r="B512" s="1" t="n">
        <v>45630</v>
      </c>
      <c r="C512" s="1" t="n">
        <v>46199</v>
      </c>
      <c r="D512" t="inlineStr">
        <is>
          <t>VÄSTMANLANDS LÄN</t>
        </is>
      </c>
      <c r="E512" t="inlineStr">
        <is>
          <t>SALA</t>
        </is>
      </c>
      <c r="G512" t="n">
        <v>5.4</v>
      </c>
      <c r="H512" t="n">
        <v>0</v>
      </c>
      <c r="I512" t="n">
        <v>0</v>
      </c>
      <c r="J512" t="n">
        <v>0</v>
      </c>
      <c r="K512" t="n">
        <v>0</v>
      </c>
      <c r="L512" t="n">
        <v>0</v>
      </c>
      <c r="M512" t="n">
        <v>0</v>
      </c>
      <c r="N512" t="n">
        <v>0</v>
      </c>
      <c r="O512" t="n">
        <v>0</v>
      </c>
      <c r="P512" t="n">
        <v>0</v>
      </c>
      <c r="Q512" t="n">
        <v>0</v>
      </c>
      <c r="R512" s="2" t="inlineStr"/>
    </row>
    <row r="513" ht="15" customHeight="1">
      <c r="A513" t="inlineStr">
        <is>
          <t>A 50876-2023</t>
        </is>
      </c>
      <c r="B513" s="1" t="n">
        <v>45211</v>
      </c>
      <c r="C513" s="1" t="n">
        <v>46199</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40398-2021</t>
        </is>
      </c>
      <c r="B514" s="1" t="n">
        <v>44419</v>
      </c>
      <c r="C514" s="1" t="n">
        <v>46199</v>
      </c>
      <c r="D514" t="inlineStr">
        <is>
          <t>VÄSTMANLANDS LÄN</t>
        </is>
      </c>
      <c r="E514" t="inlineStr">
        <is>
          <t>SALA</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27262-2024</t>
        </is>
      </c>
      <c r="B515" s="1" t="n">
        <v>45471</v>
      </c>
      <c r="C515" s="1" t="n">
        <v>46199</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23119-2022</t>
        </is>
      </c>
      <c r="B516" s="1" t="n">
        <v>44719</v>
      </c>
      <c r="C516" s="1" t="n">
        <v>46199</v>
      </c>
      <c r="D516" t="inlineStr">
        <is>
          <t>VÄSTMANLANDS LÄN</t>
        </is>
      </c>
      <c r="E516" t="inlineStr">
        <is>
          <t>SALA</t>
        </is>
      </c>
      <c r="G516" t="n">
        <v>7</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46199</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v>
      </c>
      <c r="C518" s="1" t="n">
        <v>46199</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73673-2021</t>
        </is>
      </c>
      <c r="B519" s="1" t="n">
        <v>44552</v>
      </c>
      <c r="C519" s="1" t="n">
        <v>46199</v>
      </c>
      <c r="D519" t="inlineStr">
        <is>
          <t>VÄSTMANLANDS LÄN</t>
        </is>
      </c>
      <c r="E519" t="inlineStr">
        <is>
          <t>SALA</t>
        </is>
      </c>
      <c r="G519" t="n">
        <v>11.4</v>
      </c>
      <c r="H519" t="n">
        <v>0</v>
      </c>
      <c r="I519" t="n">
        <v>0</v>
      </c>
      <c r="J519" t="n">
        <v>0</v>
      </c>
      <c r="K519" t="n">
        <v>0</v>
      </c>
      <c r="L519" t="n">
        <v>0</v>
      </c>
      <c r="M519" t="n">
        <v>0</v>
      </c>
      <c r="N519" t="n">
        <v>0</v>
      </c>
      <c r="O519" t="n">
        <v>0</v>
      </c>
      <c r="P519" t="n">
        <v>0</v>
      </c>
      <c r="Q519" t="n">
        <v>0</v>
      </c>
      <c r="R519" s="2" t="inlineStr"/>
    </row>
    <row r="520" ht="15" customHeight="1">
      <c r="A520" t="inlineStr">
        <is>
          <t>A 4853-2023</t>
        </is>
      </c>
      <c r="B520" s="1" t="n">
        <v>44957</v>
      </c>
      <c r="C520" s="1" t="n">
        <v>46199</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1993-2022</t>
        </is>
      </c>
      <c r="B521" s="1" t="n">
        <v>44575</v>
      </c>
      <c r="C521" s="1" t="n">
        <v>46199</v>
      </c>
      <c r="D521" t="inlineStr">
        <is>
          <t>VÄSTMANLANDS LÄN</t>
        </is>
      </c>
      <c r="E521" t="inlineStr">
        <is>
          <t>SALA</t>
        </is>
      </c>
      <c r="G521" t="n">
        <v>1.6</v>
      </c>
      <c r="H521" t="n">
        <v>0</v>
      </c>
      <c r="I521" t="n">
        <v>0</v>
      </c>
      <c r="J521" t="n">
        <v>0</v>
      </c>
      <c r="K521" t="n">
        <v>0</v>
      </c>
      <c r="L521" t="n">
        <v>0</v>
      </c>
      <c r="M521" t="n">
        <v>0</v>
      </c>
      <c r="N521" t="n">
        <v>0</v>
      </c>
      <c r="O521" t="n">
        <v>0</v>
      </c>
      <c r="P521" t="n">
        <v>0</v>
      </c>
      <c r="Q521" t="n">
        <v>0</v>
      </c>
      <c r="R521" s="2" t="inlineStr"/>
    </row>
    <row r="522" ht="15" customHeight="1">
      <c r="A522" t="inlineStr">
        <is>
          <t>A 42447-2022</t>
        </is>
      </c>
      <c r="B522" s="1" t="n">
        <v>44831</v>
      </c>
      <c r="C522" s="1" t="n">
        <v>46199</v>
      </c>
      <c r="D522" t="inlineStr">
        <is>
          <t>VÄSTMANLANDS LÄN</t>
        </is>
      </c>
      <c r="E522" t="inlineStr">
        <is>
          <t>SALA</t>
        </is>
      </c>
      <c r="G522" t="n">
        <v>1.1</v>
      </c>
      <c r="H522" t="n">
        <v>0</v>
      </c>
      <c r="I522" t="n">
        <v>0</v>
      </c>
      <c r="J522" t="n">
        <v>0</v>
      </c>
      <c r="K522" t="n">
        <v>0</v>
      </c>
      <c r="L522" t="n">
        <v>0</v>
      </c>
      <c r="M522" t="n">
        <v>0</v>
      </c>
      <c r="N522" t="n">
        <v>0</v>
      </c>
      <c r="O522" t="n">
        <v>0</v>
      </c>
      <c r="P522" t="n">
        <v>0</v>
      </c>
      <c r="Q522" t="n">
        <v>0</v>
      </c>
      <c r="R522" s="2" t="inlineStr"/>
    </row>
    <row r="523" ht="15" customHeight="1">
      <c r="A523" t="inlineStr">
        <is>
          <t>A 11183-2023</t>
        </is>
      </c>
      <c r="B523" s="1" t="n">
        <v>44992</v>
      </c>
      <c r="C523" s="1" t="n">
        <v>46199</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11190-2023</t>
        </is>
      </c>
      <c r="B524" s="1" t="n">
        <v>44992</v>
      </c>
      <c r="C524" s="1" t="n">
        <v>46199</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48710-2024</t>
        </is>
      </c>
      <c r="B525" s="1" t="n">
        <v>45593</v>
      </c>
      <c r="C525" s="1" t="n">
        <v>46199</v>
      </c>
      <c r="D525" t="inlineStr">
        <is>
          <t>VÄSTMANLANDS LÄN</t>
        </is>
      </c>
      <c r="E525" t="inlineStr">
        <is>
          <t>SALA</t>
        </is>
      </c>
      <c r="G525" t="n">
        <v>6.5</v>
      </c>
      <c r="H525" t="n">
        <v>0</v>
      </c>
      <c r="I525" t="n">
        <v>0</v>
      </c>
      <c r="J525" t="n">
        <v>0</v>
      </c>
      <c r="K525" t="n">
        <v>0</v>
      </c>
      <c r="L525" t="n">
        <v>0</v>
      </c>
      <c r="M525" t="n">
        <v>0</v>
      </c>
      <c r="N525" t="n">
        <v>0</v>
      </c>
      <c r="O525" t="n">
        <v>0</v>
      </c>
      <c r="P525" t="n">
        <v>0</v>
      </c>
      <c r="Q525" t="n">
        <v>0</v>
      </c>
      <c r="R525" s="2" t="inlineStr"/>
    </row>
    <row r="526" ht="15" customHeight="1">
      <c r="A526" t="inlineStr">
        <is>
          <t>A 48571-2024</t>
        </is>
      </c>
      <c r="B526" s="1" t="n">
        <v>45591</v>
      </c>
      <c r="C526" s="1" t="n">
        <v>46199</v>
      </c>
      <c r="D526" t="inlineStr">
        <is>
          <t>VÄSTMANLANDS LÄN</t>
        </is>
      </c>
      <c r="E526" t="inlineStr">
        <is>
          <t>SALA</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43362-2023</t>
        </is>
      </c>
      <c r="B527" s="1" t="n">
        <v>45183</v>
      </c>
      <c r="C527" s="1" t="n">
        <v>46199</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18461-2024</t>
        </is>
      </c>
      <c r="B528" s="1" t="n">
        <v>45425</v>
      </c>
      <c r="C528" s="1" t="n">
        <v>46199</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29230-2022</t>
        </is>
      </c>
      <c r="B529" s="1" t="n">
        <v>44750</v>
      </c>
      <c r="C529" s="1" t="n">
        <v>46199</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9335-2022</t>
        </is>
      </c>
      <c r="B530" s="1" t="n">
        <v>44616</v>
      </c>
      <c r="C530" s="1" t="n">
        <v>46199</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19065-2022</t>
        </is>
      </c>
      <c r="B531" s="1" t="n">
        <v>44691</v>
      </c>
      <c r="C531" s="1" t="n">
        <v>46199</v>
      </c>
      <c r="D531" t="inlineStr">
        <is>
          <t>VÄSTMANLANDS LÄN</t>
        </is>
      </c>
      <c r="E531" t="inlineStr">
        <is>
          <t>SALA</t>
        </is>
      </c>
      <c r="G531" t="n">
        <v>3.4</v>
      </c>
      <c r="H531" t="n">
        <v>0</v>
      </c>
      <c r="I531" t="n">
        <v>0</v>
      </c>
      <c r="J531" t="n">
        <v>0</v>
      </c>
      <c r="K531" t="n">
        <v>0</v>
      </c>
      <c r="L531" t="n">
        <v>0</v>
      </c>
      <c r="M531" t="n">
        <v>0</v>
      </c>
      <c r="N531" t="n">
        <v>0</v>
      </c>
      <c r="O531" t="n">
        <v>0</v>
      </c>
      <c r="P531" t="n">
        <v>0</v>
      </c>
      <c r="Q531" t="n">
        <v>0</v>
      </c>
      <c r="R531" s="2" t="inlineStr"/>
    </row>
    <row r="532" ht="15" customHeight="1">
      <c r="A532" t="inlineStr">
        <is>
          <t>A 22961-2023</t>
        </is>
      </c>
      <c r="B532" s="1" t="n">
        <v>45072</v>
      </c>
      <c r="C532" s="1" t="n">
        <v>46199</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22963-2023</t>
        </is>
      </c>
      <c r="B533" s="1" t="n">
        <v>45072</v>
      </c>
      <c r="C533" s="1" t="n">
        <v>46199</v>
      </c>
      <c r="D533" t="inlineStr">
        <is>
          <t>VÄSTMANLANDS LÄN</t>
        </is>
      </c>
      <c r="E533" t="inlineStr">
        <is>
          <t>SALA</t>
        </is>
      </c>
      <c r="G533" t="n">
        <v>1.2</v>
      </c>
      <c r="H533" t="n">
        <v>0</v>
      </c>
      <c r="I533" t="n">
        <v>0</v>
      </c>
      <c r="J533" t="n">
        <v>0</v>
      </c>
      <c r="K533" t="n">
        <v>0</v>
      </c>
      <c r="L533" t="n">
        <v>0</v>
      </c>
      <c r="M533" t="n">
        <v>0</v>
      </c>
      <c r="N533" t="n">
        <v>0</v>
      </c>
      <c r="O533" t="n">
        <v>0</v>
      </c>
      <c r="P533" t="n">
        <v>0</v>
      </c>
      <c r="Q533" t="n">
        <v>0</v>
      </c>
      <c r="R533" s="2" t="inlineStr"/>
    </row>
    <row r="534" ht="15" customHeight="1">
      <c r="A534" t="inlineStr">
        <is>
          <t>A 10585-2022</t>
        </is>
      </c>
      <c r="B534" s="1" t="n">
        <v>44624</v>
      </c>
      <c r="C534" s="1" t="n">
        <v>46199</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69236-2021</t>
        </is>
      </c>
      <c r="B535" s="1" t="n">
        <v>44531</v>
      </c>
      <c r="C535" s="1" t="n">
        <v>46199</v>
      </c>
      <c r="D535" t="inlineStr">
        <is>
          <t>VÄSTMANLANDS LÄN</t>
        </is>
      </c>
      <c r="E535" t="inlineStr">
        <is>
          <t>SALA</t>
        </is>
      </c>
      <c r="G535" t="n">
        <v>2.8</v>
      </c>
      <c r="H535" t="n">
        <v>0</v>
      </c>
      <c r="I535" t="n">
        <v>0</v>
      </c>
      <c r="J535" t="n">
        <v>0</v>
      </c>
      <c r="K535" t="n">
        <v>0</v>
      </c>
      <c r="L535" t="n">
        <v>0</v>
      </c>
      <c r="M535" t="n">
        <v>0</v>
      </c>
      <c r="N535" t="n">
        <v>0</v>
      </c>
      <c r="O535" t="n">
        <v>0</v>
      </c>
      <c r="P535" t="n">
        <v>0</v>
      </c>
      <c r="Q535" t="n">
        <v>0</v>
      </c>
      <c r="R535" s="2" t="inlineStr"/>
    </row>
    <row r="536" ht="15" customHeight="1">
      <c r="A536" t="inlineStr">
        <is>
          <t>A 48117-2024</t>
        </is>
      </c>
      <c r="B536" s="1" t="n">
        <v>45589</v>
      </c>
      <c r="C536" s="1" t="n">
        <v>46199</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12225-2023</t>
        </is>
      </c>
      <c r="B537" s="1" t="n">
        <v>44995</v>
      </c>
      <c r="C537" s="1" t="n">
        <v>46199</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12252-2023</t>
        </is>
      </c>
      <c r="B538" s="1" t="n">
        <v>44995</v>
      </c>
      <c r="C538" s="1" t="n">
        <v>46199</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6116-2023</t>
        </is>
      </c>
      <c r="B539" s="1" t="n">
        <v>44964</v>
      </c>
      <c r="C539" s="1" t="n">
        <v>46199</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18100-2023</t>
        </is>
      </c>
      <c r="B540" s="1" t="n">
        <v>45040</v>
      </c>
      <c r="C540" s="1" t="n">
        <v>46199</v>
      </c>
      <c r="D540" t="inlineStr">
        <is>
          <t>VÄSTMANLANDS LÄN</t>
        </is>
      </c>
      <c r="E540" t="inlineStr">
        <is>
          <t>SALA</t>
        </is>
      </c>
      <c r="G540" t="n">
        <v>1.8</v>
      </c>
      <c r="H540" t="n">
        <v>0</v>
      </c>
      <c r="I540" t="n">
        <v>0</v>
      </c>
      <c r="J540" t="n">
        <v>0</v>
      </c>
      <c r="K540" t="n">
        <v>0</v>
      </c>
      <c r="L540" t="n">
        <v>0</v>
      </c>
      <c r="M540" t="n">
        <v>0</v>
      </c>
      <c r="N540" t="n">
        <v>0</v>
      </c>
      <c r="O540" t="n">
        <v>0</v>
      </c>
      <c r="P540" t="n">
        <v>0</v>
      </c>
      <c r="Q540" t="n">
        <v>0</v>
      </c>
      <c r="R540" s="2" t="inlineStr"/>
    </row>
    <row r="541" ht="15" customHeight="1">
      <c r="A541" t="inlineStr">
        <is>
          <t>A 13471-2025</t>
        </is>
      </c>
      <c r="B541" s="1" t="n">
        <v>45736</v>
      </c>
      <c r="C541" s="1" t="n">
        <v>46199</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26854-2024</t>
        </is>
      </c>
      <c r="B542" s="1" t="n">
        <v>45470</v>
      </c>
      <c r="C542" s="1" t="n">
        <v>46199</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37602-2024</t>
        </is>
      </c>
      <c r="B543" s="1" t="n">
        <v>45541</v>
      </c>
      <c r="C543" s="1" t="n">
        <v>46199</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1985-2022</t>
        </is>
      </c>
      <c r="B544" s="1" t="n">
        <v>44575</v>
      </c>
      <c r="C544" s="1" t="n">
        <v>46199</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21455-2023</t>
        </is>
      </c>
      <c r="B545" s="1" t="n">
        <v>45058</v>
      </c>
      <c r="C545" s="1" t="n">
        <v>46199</v>
      </c>
      <c r="D545" t="inlineStr">
        <is>
          <t>VÄSTMANLANDS LÄN</t>
        </is>
      </c>
      <c r="E545" t="inlineStr">
        <is>
          <t>SALA</t>
        </is>
      </c>
      <c r="G545" t="n">
        <v>6.4</v>
      </c>
      <c r="H545" t="n">
        <v>0</v>
      </c>
      <c r="I545" t="n">
        <v>0</v>
      </c>
      <c r="J545" t="n">
        <v>0</v>
      </c>
      <c r="K545" t="n">
        <v>0</v>
      </c>
      <c r="L545" t="n">
        <v>0</v>
      </c>
      <c r="M545" t="n">
        <v>0</v>
      </c>
      <c r="N545" t="n">
        <v>0</v>
      </c>
      <c r="O545" t="n">
        <v>0</v>
      </c>
      <c r="P545" t="n">
        <v>0</v>
      </c>
      <c r="Q545" t="n">
        <v>0</v>
      </c>
      <c r="R545" s="2" t="inlineStr"/>
    </row>
    <row r="546" ht="15" customHeight="1">
      <c r="A546" t="inlineStr">
        <is>
          <t>A 4797-2023</t>
        </is>
      </c>
      <c r="B546" s="1" t="n">
        <v>44957</v>
      </c>
      <c r="C546" s="1" t="n">
        <v>46199</v>
      </c>
      <c r="D546" t="inlineStr">
        <is>
          <t>VÄSTMANLANDS LÄN</t>
        </is>
      </c>
      <c r="E546" t="inlineStr">
        <is>
          <t>SALA</t>
        </is>
      </c>
      <c r="G546" t="n">
        <v>5.7</v>
      </c>
      <c r="H546" t="n">
        <v>0</v>
      </c>
      <c r="I546" t="n">
        <v>0</v>
      </c>
      <c r="J546" t="n">
        <v>0</v>
      </c>
      <c r="K546" t="n">
        <v>0</v>
      </c>
      <c r="L546" t="n">
        <v>0</v>
      </c>
      <c r="M546" t="n">
        <v>0</v>
      </c>
      <c r="N546" t="n">
        <v>0</v>
      </c>
      <c r="O546" t="n">
        <v>0</v>
      </c>
      <c r="P546" t="n">
        <v>0</v>
      </c>
      <c r="Q546" t="n">
        <v>0</v>
      </c>
      <c r="R546" s="2" t="inlineStr"/>
    </row>
    <row r="547" ht="15" customHeight="1">
      <c r="A547" t="inlineStr">
        <is>
          <t>A 4852-2023</t>
        </is>
      </c>
      <c r="B547" s="1" t="n">
        <v>44957</v>
      </c>
      <c r="C547" s="1" t="n">
        <v>46199</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36858-2023</t>
        </is>
      </c>
      <c r="B548" s="1" t="n">
        <v>45154</v>
      </c>
      <c r="C548" s="1" t="n">
        <v>46199</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58701-2021</t>
        </is>
      </c>
      <c r="B549" s="1" t="n">
        <v>44489</v>
      </c>
      <c r="C549" s="1" t="n">
        <v>46199</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10250-2025</t>
        </is>
      </c>
      <c r="B550" s="1" t="n">
        <v>45720</v>
      </c>
      <c r="C550" s="1" t="n">
        <v>46199</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23180-2022</t>
        </is>
      </c>
      <c r="B551" s="1" t="n">
        <v>44719</v>
      </c>
      <c r="C551" s="1" t="n">
        <v>46199</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21053-2022</t>
        </is>
      </c>
      <c r="B552" s="1" t="n">
        <v>44704</v>
      </c>
      <c r="C552" s="1" t="n">
        <v>46199</v>
      </c>
      <c r="D552" t="inlineStr">
        <is>
          <t>VÄSTMANLANDS LÄN</t>
        </is>
      </c>
      <c r="E552" t="inlineStr">
        <is>
          <t>SALA</t>
        </is>
      </c>
      <c r="G552" t="n">
        <v>2</v>
      </c>
      <c r="H552" t="n">
        <v>0</v>
      </c>
      <c r="I552" t="n">
        <v>0</v>
      </c>
      <c r="J552" t="n">
        <v>0</v>
      </c>
      <c r="K552" t="n">
        <v>0</v>
      </c>
      <c r="L552" t="n">
        <v>0</v>
      </c>
      <c r="M552" t="n">
        <v>0</v>
      </c>
      <c r="N552" t="n">
        <v>0</v>
      </c>
      <c r="O552" t="n">
        <v>0</v>
      </c>
      <c r="P552" t="n">
        <v>0</v>
      </c>
      <c r="Q552" t="n">
        <v>0</v>
      </c>
      <c r="R552" s="2" t="inlineStr"/>
    </row>
    <row r="553" ht="15" customHeight="1">
      <c r="A553" t="inlineStr">
        <is>
          <t>A 18340-2025</t>
        </is>
      </c>
      <c r="B553" s="1" t="n">
        <v>45762</v>
      </c>
      <c r="C553" s="1" t="n">
        <v>46199</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16638-2023</t>
        </is>
      </c>
      <c r="B554" s="1" t="n">
        <v>45027</v>
      </c>
      <c r="C554" s="1" t="n">
        <v>46199</v>
      </c>
      <c r="D554" t="inlineStr">
        <is>
          <t>VÄSTMANLANDS LÄN</t>
        </is>
      </c>
      <c r="E554" t="inlineStr">
        <is>
          <t>SALA</t>
        </is>
      </c>
      <c r="G554" t="n">
        <v>14.8</v>
      </c>
      <c r="H554" t="n">
        <v>0</v>
      </c>
      <c r="I554" t="n">
        <v>0</v>
      </c>
      <c r="J554" t="n">
        <v>0</v>
      </c>
      <c r="K554" t="n">
        <v>0</v>
      </c>
      <c r="L554" t="n">
        <v>0</v>
      </c>
      <c r="M554" t="n">
        <v>0</v>
      </c>
      <c r="N554" t="n">
        <v>0</v>
      </c>
      <c r="O554" t="n">
        <v>0</v>
      </c>
      <c r="P554" t="n">
        <v>0</v>
      </c>
      <c r="Q554" t="n">
        <v>0</v>
      </c>
      <c r="R554" s="2" t="inlineStr"/>
    </row>
    <row r="555" ht="15" customHeight="1">
      <c r="A555" t="inlineStr">
        <is>
          <t>A 17117-2023</t>
        </is>
      </c>
      <c r="B555" s="1" t="n">
        <v>45034</v>
      </c>
      <c r="C555" s="1" t="n">
        <v>46199</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59909-2024</t>
        </is>
      </c>
      <c r="B556" s="1" t="n">
        <v>45641</v>
      </c>
      <c r="C556" s="1" t="n">
        <v>46199</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33309-2022</t>
        </is>
      </c>
      <c r="B557" s="1" t="n">
        <v>44788</v>
      </c>
      <c r="C557" s="1" t="n">
        <v>46199</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7377-2023</t>
        </is>
      </c>
      <c r="B558" s="1" t="n">
        <v>44971</v>
      </c>
      <c r="C558" s="1" t="n">
        <v>46199</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27229-2022</t>
        </is>
      </c>
      <c r="B559" s="1" t="n">
        <v>44741</v>
      </c>
      <c r="C559" s="1" t="n">
        <v>46199</v>
      </c>
      <c r="D559" t="inlineStr">
        <is>
          <t>VÄSTMANLANDS LÄN</t>
        </is>
      </c>
      <c r="E559" t="inlineStr">
        <is>
          <t>SALA</t>
        </is>
      </c>
      <c r="F559" t="inlineStr">
        <is>
          <t>Kommuner</t>
        </is>
      </c>
      <c r="G559" t="n">
        <v>1.4</v>
      </c>
      <c r="H559" t="n">
        <v>0</v>
      </c>
      <c r="I559" t="n">
        <v>0</v>
      </c>
      <c r="J559" t="n">
        <v>0</v>
      </c>
      <c r="K559" t="n">
        <v>0</v>
      </c>
      <c r="L559" t="n">
        <v>0</v>
      </c>
      <c r="M559" t="n">
        <v>0</v>
      </c>
      <c r="N559" t="n">
        <v>0</v>
      </c>
      <c r="O559" t="n">
        <v>0</v>
      </c>
      <c r="P559" t="n">
        <v>0</v>
      </c>
      <c r="Q559" t="n">
        <v>0</v>
      </c>
      <c r="R559" s="2" t="inlineStr"/>
    </row>
    <row r="560" ht="15" customHeight="1">
      <c r="A560" t="inlineStr">
        <is>
          <t>A 34867-2023</t>
        </is>
      </c>
      <c r="B560" s="1" t="n">
        <v>45142</v>
      </c>
      <c r="C560" s="1" t="n">
        <v>46199</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13128-2023</t>
        </is>
      </c>
      <c r="B561" s="1" t="n">
        <v>45002</v>
      </c>
      <c r="C561" s="1" t="n">
        <v>46199</v>
      </c>
      <c r="D561" t="inlineStr">
        <is>
          <t>VÄSTMANLANDS LÄN</t>
        </is>
      </c>
      <c r="E561" t="inlineStr">
        <is>
          <t>SALA</t>
        </is>
      </c>
      <c r="G561" t="n">
        <v>7.9</v>
      </c>
      <c r="H561" t="n">
        <v>0</v>
      </c>
      <c r="I561" t="n">
        <v>0</v>
      </c>
      <c r="J561" t="n">
        <v>0</v>
      </c>
      <c r="K561" t="n">
        <v>0</v>
      </c>
      <c r="L561" t="n">
        <v>0</v>
      </c>
      <c r="M561" t="n">
        <v>0</v>
      </c>
      <c r="N561" t="n">
        <v>0</v>
      </c>
      <c r="O561" t="n">
        <v>0</v>
      </c>
      <c r="P561" t="n">
        <v>0</v>
      </c>
      <c r="Q561" t="n">
        <v>0</v>
      </c>
      <c r="R561" s="2" t="inlineStr"/>
    </row>
    <row r="562" ht="15" customHeight="1">
      <c r="A562" t="inlineStr">
        <is>
          <t>A 37958-2024</t>
        </is>
      </c>
      <c r="B562" s="1" t="n">
        <v>45544</v>
      </c>
      <c r="C562" s="1" t="n">
        <v>46199</v>
      </c>
      <c r="D562" t="inlineStr">
        <is>
          <t>VÄSTMANLANDS LÄN</t>
        </is>
      </c>
      <c r="E562" t="inlineStr">
        <is>
          <t>SALA</t>
        </is>
      </c>
      <c r="G562" t="n">
        <v>5.6</v>
      </c>
      <c r="H562" t="n">
        <v>0</v>
      </c>
      <c r="I562" t="n">
        <v>0</v>
      </c>
      <c r="J562" t="n">
        <v>0</v>
      </c>
      <c r="K562" t="n">
        <v>0</v>
      </c>
      <c r="L562" t="n">
        <v>0</v>
      </c>
      <c r="M562" t="n">
        <v>0</v>
      </c>
      <c r="N562" t="n">
        <v>0</v>
      </c>
      <c r="O562" t="n">
        <v>0</v>
      </c>
      <c r="P562" t="n">
        <v>0</v>
      </c>
      <c r="Q562" t="n">
        <v>0</v>
      </c>
      <c r="R562" s="2" t="inlineStr"/>
    </row>
    <row r="563" ht="15" customHeight="1">
      <c r="A563" t="inlineStr">
        <is>
          <t>A 10255-2024</t>
        </is>
      </c>
      <c r="B563" s="1" t="n">
        <v>45365</v>
      </c>
      <c r="C563" s="1" t="n">
        <v>46199</v>
      </c>
      <c r="D563" t="inlineStr">
        <is>
          <t>VÄSTMANLANDS LÄN</t>
        </is>
      </c>
      <c r="E563" t="inlineStr">
        <is>
          <t>SALA</t>
        </is>
      </c>
      <c r="F563" t="inlineStr">
        <is>
          <t>Kommuner</t>
        </is>
      </c>
      <c r="G563" t="n">
        <v>0.8</v>
      </c>
      <c r="H563" t="n">
        <v>0</v>
      </c>
      <c r="I563" t="n">
        <v>0</v>
      </c>
      <c r="J563" t="n">
        <v>0</v>
      </c>
      <c r="K563" t="n">
        <v>0</v>
      </c>
      <c r="L563" t="n">
        <v>0</v>
      </c>
      <c r="M563" t="n">
        <v>0</v>
      </c>
      <c r="N563" t="n">
        <v>0</v>
      </c>
      <c r="O563" t="n">
        <v>0</v>
      </c>
      <c r="P563" t="n">
        <v>0</v>
      </c>
      <c r="Q563" t="n">
        <v>0</v>
      </c>
      <c r="R563" s="2" t="inlineStr"/>
    </row>
    <row r="564" ht="15" customHeight="1">
      <c r="A564" t="inlineStr">
        <is>
          <t>A 28696-2023</t>
        </is>
      </c>
      <c r="B564" s="1" t="n">
        <v>45103</v>
      </c>
      <c r="C564" s="1" t="n">
        <v>46199</v>
      </c>
      <c r="D564" t="inlineStr">
        <is>
          <t>VÄSTMANLANDS LÄN</t>
        </is>
      </c>
      <c r="E564" t="inlineStr">
        <is>
          <t>SALA</t>
        </is>
      </c>
      <c r="F564" t="inlineStr">
        <is>
          <t>Kommuner</t>
        </is>
      </c>
      <c r="G564" t="n">
        <v>5.9</v>
      </c>
      <c r="H564" t="n">
        <v>0</v>
      </c>
      <c r="I564" t="n">
        <v>0</v>
      </c>
      <c r="J564" t="n">
        <v>0</v>
      </c>
      <c r="K564" t="n">
        <v>0</v>
      </c>
      <c r="L564" t="n">
        <v>0</v>
      </c>
      <c r="M564" t="n">
        <v>0</v>
      </c>
      <c r="N564" t="n">
        <v>0</v>
      </c>
      <c r="O564" t="n">
        <v>0</v>
      </c>
      <c r="P564" t="n">
        <v>0</v>
      </c>
      <c r="Q564" t="n">
        <v>0</v>
      </c>
      <c r="R564" s="2" t="inlineStr"/>
    </row>
    <row r="565" ht="15" customHeight="1">
      <c r="A565" t="inlineStr">
        <is>
          <t>A 16543-2023</t>
        </is>
      </c>
      <c r="B565" s="1" t="n">
        <v>45029</v>
      </c>
      <c r="C565" s="1" t="n">
        <v>46199</v>
      </c>
      <c r="D565" t="inlineStr">
        <is>
          <t>VÄSTMANLANDS LÄN</t>
        </is>
      </c>
      <c r="E565" t="inlineStr">
        <is>
          <t>SALA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4663-2022</t>
        </is>
      </c>
      <c r="B566" s="1" t="n">
        <v>44592</v>
      </c>
      <c r="C566" s="1" t="n">
        <v>46199</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61681-2024</t>
        </is>
      </c>
      <c r="B567" s="1" t="n">
        <v>45647</v>
      </c>
      <c r="C567" s="1" t="n">
        <v>46199</v>
      </c>
      <c r="D567" t="inlineStr">
        <is>
          <t>VÄSTMANLANDS LÄN</t>
        </is>
      </c>
      <c r="E567" t="inlineStr">
        <is>
          <t>SALA</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20352-2022</t>
        </is>
      </c>
      <c r="B568" s="1" t="n">
        <v>44699</v>
      </c>
      <c r="C568" s="1" t="n">
        <v>46199</v>
      </c>
      <c r="D568" t="inlineStr">
        <is>
          <t>VÄSTMANLANDS LÄN</t>
        </is>
      </c>
      <c r="E568" t="inlineStr">
        <is>
          <t>SALA</t>
        </is>
      </c>
      <c r="G568" t="n">
        <v>1.3</v>
      </c>
      <c r="H568" t="n">
        <v>0</v>
      </c>
      <c r="I568" t="n">
        <v>0</v>
      </c>
      <c r="J568" t="n">
        <v>0</v>
      </c>
      <c r="K568" t="n">
        <v>0</v>
      </c>
      <c r="L568" t="n">
        <v>0</v>
      </c>
      <c r="M568" t="n">
        <v>0</v>
      </c>
      <c r="N568" t="n">
        <v>0</v>
      </c>
      <c r="O568" t="n">
        <v>0</v>
      </c>
      <c r="P568" t="n">
        <v>0</v>
      </c>
      <c r="Q568" t="n">
        <v>0</v>
      </c>
      <c r="R568" s="2" t="inlineStr"/>
    </row>
    <row r="569" ht="15" customHeight="1">
      <c r="A569" t="inlineStr">
        <is>
          <t>A 27657-2023</t>
        </is>
      </c>
      <c r="B569" s="1" t="n">
        <v>45097</v>
      </c>
      <c r="C569" s="1" t="n">
        <v>46199</v>
      </c>
      <c r="D569" t="inlineStr">
        <is>
          <t>VÄSTMANLANDS LÄN</t>
        </is>
      </c>
      <c r="E569" t="inlineStr">
        <is>
          <t>SALA</t>
        </is>
      </c>
      <c r="G569" t="n">
        <v>0.1</v>
      </c>
      <c r="H569" t="n">
        <v>0</v>
      </c>
      <c r="I569" t="n">
        <v>0</v>
      </c>
      <c r="J569" t="n">
        <v>0</v>
      </c>
      <c r="K569" t="n">
        <v>0</v>
      </c>
      <c r="L569" t="n">
        <v>0</v>
      </c>
      <c r="M569" t="n">
        <v>0</v>
      </c>
      <c r="N569" t="n">
        <v>0</v>
      </c>
      <c r="O569" t="n">
        <v>0</v>
      </c>
      <c r="P569" t="n">
        <v>0</v>
      </c>
      <c r="Q569" t="n">
        <v>0</v>
      </c>
      <c r="R569" s="2" t="inlineStr"/>
    </row>
    <row r="570" ht="15" customHeight="1">
      <c r="A570" t="inlineStr">
        <is>
          <t>A 2766-2024</t>
        </is>
      </c>
      <c r="B570" s="1" t="n">
        <v>45314</v>
      </c>
      <c r="C570" s="1" t="n">
        <v>46199</v>
      </c>
      <c r="D570" t="inlineStr">
        <is>
          <t>VÄSTMANLANDS LÄN</t>
        </is>
      </c>
      <c r="E570" t="inlineStr">
        <is>
          <t>SALA</t>
        </is>
      </c>
      <c r="G570" t="n">
        <v>2.8</v>
      </c>
      <c r="H570" t="n">
        <v>0</v>
      </c>
      <c r="I570" t="n">
        <v>0</v>
      </c>
      <c r="J570" t="n">
        <v>0</v>
      </c>
      <c r="K570" t="n">
        <v>0</v>
      </c>
      <c r="L570" t="n">
        <v>0</v>
      </c>
      <c r="M570" t="n">
        <v>0</v>
      </c>
      <c r="N570" t="n">
        <v>0</v>
      </c>
      <c r="O570" t="n">
        <v>0</v>
      </c>
      <c r="P570" t="n">
        <v>0</v>
      </c>
      <c r="Q570" t="n">
        <v>0</v>
      </c>
      <c r="R570" s="2" t="inlineStr"/>
    </row>
    <row r="571" ht="15" customHeight="1">
      <c r="A571" t="inlineStr">
        <is>
          <t>A 60550-2024</t>
        </is>
      </c>
      <c r="B571" s="1" t="n">
        <v>45643</v>
      </c>
      <c r="C571" s="1" t="n">
        <v>46199</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24175-2024</t>
        </is>
      </c>
      <c r="B572" s="1" t="n">
        <v>45456</v>
      </c>
      <c r="C572" s="1" t="n">
        <v>46199</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62449-2023</t>
        </is>
      </c>
      <c r="B573" s="1" t="n">
        <v>45268</v>
      </c>
      <c r="C573" s="1" t="n">
        <v>46199</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54910-2023</t>
        </is>
      </c>
      <c r="B574" s="1" t="n">
        <v>45229</v>
      </c>
      <c r="C574" s="1" t="n">
        <v>46199</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19222-2025</t>
        </is>
      </c>
      <c r="B575" s="1" t="n">
        <v>45769</v>
      </c>
      <c r="C575" s="1" t="n">
        <v>46199</v>
      </c>
      <c r="D575" t="inlineStr">
        <is>
          <t>VÄSTMANLANDS LÄN</t>
        </is>
      </c>
      <c r="E575" t="inlineStr">
        <is>
          <t>SALA</t>
        </is>
      </c>
      <c r="G575" t="n">
        <v>1.8</v>
      </c>
      <c r="H575" t="n">
        <v>0</v>
      </c>
      <c r="I575" t="n">
        <v>0</v>
      </c>
      <c r="J575" t="n">
        <v>0</v>
      </c>
      <c r="K575" t="n">
        <v>0</v>
      </c>
      <c r="L575" t="n">
        <v>0</v>
      </c>
      <c r="M575" t="n">
        <v>0</v>
      </c>
      <c r="N575" t="n">
        <v>0</v>
      </c>
      <c r="O575" t="n">
        <v>0</v>
      </c>
      <c r="P575" t="n">
        <v>0</v>
      </c>
      <c r="Q575" t="n">
        <v>0</v>
      </c>
      <c r="R575" s="2" t="inlineStr"/>
    </row>
    <row r="576" ht="15" customHeight="1">
      <c r="A576" t="inlineStr">
        <is>
          <t>A 19241-2025</t>
        </is>
      </c>
      <c r="B576" s="1" t="n">
        <v>45769</v>
      </c>
      <c r="C576" s="1" t="n">
        <v>46199</v>
      </c>
      <c r="D576" t="inlineStr">
        <is>
          <t>VÄSTMANLANDS LÄN</t>
        </is>
      </c>
      <c r="E576" t="inlineStr">
        <is>
          <t>SALA</t>
        </is>
      </c>
      <c r="G576" t="n">
        <v>3.6</v>
      </c>
      <c r="H576" t="n">
        <v>0</v>
      </c>
      <c r="I576" t="n">
        <v>0</v>
      </c>
      <c r="J576" t="n">
        <v>0</v>
      </c>
      <c r="K576" t="n">
        <v>0</v>
      </c>
      <c r="L576" t="n">
        <v>0</v>
      </c>
      <c r="M576" t="n">
        <v>0</v>
      </c>
      <c r="N576" t="n">
        <v>0</v>
      </c>
      <c r="O576" t="n">
        <v>0</v>
      </c>
      <c r="P576" t="n">
        <v>0</v>
      </c>
      <c r="Q576" t="n">
        <v>0</v>
      </c>
      <c r="R576" s="2" t="inlineStr"/>
    </row>
    <row r="577" ht="15" customHeight="1">
      <c r="A577" t="inlineStr">
        <is>
          <t>A 26692-2023</t>
        </is>
      </c>
      <c r="B577" s="1" t="n">
        <v>45093</v>
      </c>
      <c r="C577" s="1" t="n">
        <v>46199</v>
      </c>
      <c r="D577" t="inlineStr">
        <is>
          <t>VÄSTMANLANDS LÄN</t>
        </is>
      </c>
      <c r="E577" t="inlineStr">
        <is>
          <t>SALA</t>
        </is>
      </c>
      <c r="G577" t="n">
        <v>1.8</v>
      </c>
      <c r="H577" t="n">
        <v>0</v>
      </c>
      <c r="I577" t="n">
        <v>0</v>
      </c>
      <c r="J577" t="n">
        <v>0</v>
      </c>
      <c r="K577" t="n">
        <v>0</v>
      </c>
      <c r="L577" t="n">
        <v>0</v>
      </c>
      <c r="M577" t="n">
        <v>0</v>
      </c>
      <c r="N577" t="n">
        <v>0</v>
      </c>
      <c r="O577" t="n">
        <v>0</v>
      </c>
      <c r="P577" t="n">
        <v>0</v>
      </c>
      <c r="Q577" t="n">
        <v>0</v>
      </c>
      <c r="R577" s="2" t="inlineStr"/>
    </row>
    <row r="578" ht="15" customHeight="1">
      <c r="A578" t="inlineStr">
        <is>
          <t>A 2925-2024</t>
        </is>
      </c>
      <c r="B578" s="1" t="n">
        <v>45315</v>
      </c>
      <c r="C578" s="1" t="n">
        <v>46199</v>
      </c>
      <c r="D578" t="inlineStr">
        <is>
          <t>VÄSTMANLANDS LÄN</t>
        </is>
      </c>
      <c r="E578" t="inlineStr">
        <is>
          <t>SALA</t>
        </is>
      </c>
      <c r="G578" t="n">
        <v>1.3</v>
      </c>
      <c r="H578" t="n">
        <v>0</v>
      </c>
      <c r="I578" t="n">
        <v>0</v>
      </c>
      <c r="J578" t="n">
        <v>0</v>
      </c>
      <c r="K578" t="n">
        <v>0</v>
      </c>
      <c r="L578" t="n">
        <v>0</v>
      </c>
      <c r="M578" t="n">
        <v>0</v>
      </c>
      <c r="N578" t="n">
        <v>0</v>
      </c>
      <c r="O578" t="n">
        <v>0</v>
      </c>
      <c r="P578" t="n">
        <v>0</v>
      </c>
      <c r="Q578" t="n">
        <v>0</v>
      </c>
      <c r="R578" s="2" t="inlineStr"/>
    </row>
    <row r="579" ht="15" customHeight="1">
      <c r="A579" t="inlineStr">
        <is>
          <t>A 44746-2024</t>
        </is>
      </c>
      <c r="B579" s="1" t="n">
        <v>45574</v>
      </c>
      <c r="C579" s="1" t="n">
        <v>46199</v>
      </c>
      <c r="D579" t="inlineStr">
        <is>
          <t>VÄSTMANLANDS LÄN</t>
        </is>
      </c>
      <c r="E579" t="inlineStr">
        <is>
          <t>SALA</t>
        </is>
      </c>
      <c r="G579" t="n">
        <v>6.7</v>
      </c>
      <c r="H579" t="n">
        <v>0</v>
      </c>
      <c r="I579" t="n">
        <v>0</v>
      </c>
      <c r="J579" t="n">
        <v>0</v>
      </c>
      <c r="K579" t="n">
        <v>0</v>
      </c>
      <c r="L579" t="n">
        <v>0</v>
      </c>
      <c r="M579" t="n">
        <v>0</v>
      </c>
      <c r="N579" t="n">
        <v>0</v>
      </c>
      <c r="O579" t="n">
        <v>0</v>
      </c>
      <c r="P579" t="n">
        <v>0</v>
      </c>
      <c r="Q579" t="n">
        <v>0</v>
      </c>
      <c r="R579" s="2" t="inlineStr"/>
    </row>
    <row r="580" ht="15" customHeight="1">
      <c r="A580" t="inlineStr">
        <is>
          <t>A 44713-2023</t>
        </is>
      </c>
      <c r="B580" s="1" t="n">
        <v>45184</v>
      </c>
      <c r="C580" s="1" t="n">
        <v>46199</v>
      </c>
      <c r="D580" t="inlineStr">
        <is>
          <t>VÄSTMANLANDS LÄN</t>
        </is>
      </c>
      <c r="E580" t="inlineStr">
        <is>
          <t>SALA</t>
        </is>
      </c>
      <c r="F580" t="inlineStr">
        <is>
          <t>Kyrkan</t>
        </is>
      </c>
      <c r="G580" t="n">
        <v>7.6</v>
      </c>
      <c r="H580" t="n">
        <v>0</v>
      </c>
      <c r="I580" t="n">
        <v>0</v>
      </c>
      <c r="J580" t="n">
        <v>0</v>
      </c>
      <c r="K580" t="n">
        <v>0</v>
      </c>
      <c r="L580" t="n">
        <v>0</v>
      </c>
      <c r="M580" t="n">
        <v>0</v>
      </c>
      <c r="N580" t="n">
        <v>0</v>
      </c>
      <c r="O580" t="n">
        <v>0</v>
      </c>
      <c r="P580" t="n">
        <v>0</v>
      </c>
      <c r="Q580" t="n">
        <v>0</v>
      </c>
      <c r="R580" s="2" t="inlineStr"/>
    </row>
    <row r="581" ht="15" customHeight="1">
      <c r="A581" t="inlineStr">
        <is>
          <t>A 23431-2024</t>
        </is>
      </c>
      <c r="B581" s="1" t="n">
        <v>45453</v>
      </c>
      <c r="C581" s="1" t="n">
        <v>46199</v>
      </c>
      <c r="D581" t="inlineStr">
        <is>
          <t>VÄSTMANLANDS LÄN</t>
        </is>
      </c>
      <c r="E581" t="inlineStr">
        <is>
          <t>SALA</t>
        </is>
      </c>
      <c r="G581" t="n">
        <v>1.6</v>
      </c>
      <c r="H581" t="n">
        <v>0</v>
      </c>
      <c r="I581" t="n">
        <v>0</v>
      </c>
      <c r="J581" t="n">
        <v>0</v>
      </c>
      <c r="K581" t="n">
        <v>0</v>
      </c>
      <c r="L581" t="n">
        <v>0</v>
      </c>
      <c r="M581" t="n">
        <v>0</v>
      </c>
      <c r="N581" t="n">
        <v>0</v>
      </c>
      <c r="O581" t="n">
        <v>0</v>
      </c>
      <c r="P581" t="n">
        <v>0</v>
      </c>
      <c r="Q581" t="n">
        <v>0</v>
      </c>
      <c r="R581" s="2" t="inlineStr"/>
    </row>
    <row r="582" ht="15" customHeight="1">
      <c r="A582" t="inlineStr">
        <is>
          <t>A 21751-2025</t>
        </is>
      </c>
      <c r="B582" s="1" t="n">
        <v>45783</v>
      </c>
      <c r="C582" s="1" t="n">
        <v>46199</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21754-2025</t>
        </is>
      </c>
      <c r="B583" s="1" t="n">
        <v>45783</v>
      </c>
      <c r="C583" s="1" t="n">
        <v>46199</v>
      </c>
      <c r="D583" t="inlineStr">
        <is>
          <t>VÄSTMANLANDS LÄN</t>
        </is>
      </c>
      <c r="E583" t="inlineStr">
        <is>
          <t>SALA</t>
        </is>
      </c>
      <c r="G583" t="n">
        <v>8.699999999999999</v>
      </c>
      <c r="H583" t="n">
        <v>0</v>
      </c>
      <c r="I583" t="n">
        <v>0</v>
      </c>
      <c r="J583" t="n">
        <v>0</v>
      </c>
      <c r="K583" t="n">
        <v>0</v>
      </c>
      <c r="L583" t="n">
        <v>0</v>
      </c>
      <c r="M583" t="n">
        <v>0</v>
      </c>
      <c r="N583" t="n">
        <v>0</v>
      </c>
      <c r="O583" t="n">
        <v>0</v>
      </c>
      <c r="P583" t="n">
        <v>0</v>
      </c>
      <c r="Q583" t="n">
        <v>0</v>
      </c>
      <c r="R583" s="2" t="inlineStr"/>
    </row>
    <row r="584">
      <c r="A584" t="inlineStr">
        <is>
          <t>A 37587-2024</t>
        </is>
      </c>
      <c r="B584" s="1" t="n">
        <v>45541</v>
      </c>
      <c r="C584" s="1" t="n">
        <v>46199</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2026-06-26T00:51:21Z</dcterms:created>
  <dcterms:modified xmlns:dcterms="http://purl.org/dc/terms/" xmlns:xsi="http://www.w3.org/2001/XMLSchema-instance" xsi:type="dcterms:W3CDTF">2026-06-26T00:51:22Z</dcterms:modified>
</cp:coreProperties>
</file>