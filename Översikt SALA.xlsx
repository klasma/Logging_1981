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46202</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46202</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46202</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46202</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46202</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46202</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46202</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40493-2024</t>
        </is>
      </c>
      <c r="B9" s="1" t="n">
        <v>45555</v>
      </c>
      <c r="C9" s="1" t="n">
        <v>46202</v>
      </c>
      <c r="D9" t="inlineStr">
        <is>
          <t>VÄSTMANLANDS LÄN</t>
        </is>
      </c>
      <c r="E9" t="inlineStr">
        <is>
          <t>SALA</t>
        </is>
      </c>
      <c r="G9" t="n">
        <v>3.8</v>
      </c>
      <c r="H9" t="n">
        <v>1</v>
      </c>
      <c r="I9" t="n">
        <v>1</v>
      </c>
      <c r="J9" t="n">
        <v>5</v>
      </c>
      <c r="K9" t="n">
        <v>1</v>
      </c>
      <c r="L9" t="n">
        <v>0</v>
      </c>
      <c r="M9" t="n">
        <v>0</v>
      </c>
      <c r="N9" t="n">
        <v>0</v>
      </c>
      <c r="O9" t="n">
        <v>6</v>
      </c>
      <c r="P9" t="n">
        <v>1</v>
      </c>
      <c r="Q9" t="n">
        <v>7</v>
      </c>
      <c r="R9" s="2" t="inlineStr">
        <is>
          <t>Knärot
Dropptaggsvamp
Gransotdyna
Ullticka
Vedskivlav
Äggvaxskivling
Rostfläck</t>
        </is>
      </c>
      <c r="S9">
        <f>HYPERLINK("https://klasma.github.io/Logging_1981/artfynd/A 40493-2024 artfynd.xlsx", "A 40493-2024")</f>
        <v/>
      </c>
      <c r="T9">
        <f>HYPERLINK("https://klasma.github.io/Logging_1981/kartor/A 40493-2024 karta.png", "A 40493-2024")</f>
        <v/>
      </c>
      <c r="U9">
        <f>HYPERLINK("https://klasma.github.io/Logging_1981/knärot/A 40493-2024 karta knärot.png", "A 40493-2024")</f>
        <v/>
      </c>
      <c r="V9">
        <f>HYPERLINK("https://klasma.github.io/Logging_1981/klagomål/A 40493-2024 FSC-klagomål.docx", "A 40493-2024")</f>
        <v/>
      </c>
      <c r="W9">
        <f>HYPERLINK("https://klasma.github.io/Logging_1981/klagomålsmail/A 40493-2024 FSC-klagomål mail.docx", "A 40493-2024")</f>
        <v/>
      </c>
      <c r="X9">
        <f>HYPERLINK("https://klasma.github.io/Logging_1981/tillsyn/A 40493-2024 tillsynsbegäran.docx", "A 40493-2024")</f>
        <v/>
      </c>
      <c r="Y9">
        <f>HYPERLINK("https://klasma.github.io/Logging_1981/tillsynsmail/A 40493-2024 tillsynsbegäran mail.docx", "A 40493-2024")</f>
        <v/>
      </c>
    </row>
    <row r="10" ht="15" customHeight="1">
      <c r="A10" t="inlineStr">
        <is>
          <t>A 47475-2024</t>
        </is>
      </c>
      <c r="B10" s="1" t="n">
        <v>45587</v>
      </c>
      <c r="C10" s="1" t="n">
        <v>46202</v>
      </c>
      <c r="D10" t="inlineStr">
        <is>
          <t>VÄSTMANLANDS LÄN</t>
        </is>
      </c>
      <c r="E10" t="inlineStr">
        <is>
          <t>SALA</t>
        </is>
      </c>
      <c r="G10" t="n">
        <v>1.4</v>
      </c>
      <c r="H10" t="n">
        <v>3</v>
      </c>
      <c r="I10" t="n">
        <v>1</v>
      </c>
      <c r="J10" t="n">
        <v>2</v>
      </c>
      <c r="K10" t="n">
        <v>2</v>
      </c>
      <c r="L10" t="n">
        <v>0</v>
      </c>
      <c r="M10" t="n">
        <v>0</v>
      </c>
      <c r="N10" t="n">
        <v>0</v>
      </c>
      <c r="O10" t="n">
        <v>4</v>
      </c>
      <c r="P10" t="n">
        <v>2</v>
      </c>
      <c r="Q10" t="n">
        <v>7</v>
      </c>
      <c r="R10" s="2" t="inlineStr">
        <is>
          <t>Knärot
Luddig stiftdynlav
Rynkskinn
Ullticka
Svavelriska
Fläcknycklar
Revlummer</t>
        </is>
      </c>
      <c r="S10">
        <f>HYPERLINK("https://klasma.github.io/Logging_1981/artfynd/A 47475-2024 artfynd.xlsx", "A 47475-2024")</f>
        <v/>
      </c>
      <c r="T10">
        <f>HYPERLINK("https://klasma.github.io/Logging_1981/kartor/A 47475-2024 karta.png", "A 47475-2024")</f>
        <v/>
      </c>
      <c r="U10">
        <f>HYPERLINK("https://klasma.github.io/Logging_1981/knärot/A 47475-2024 karta knärot.png", "A 47475-2024")</f>
        <v/>
      </c>
      <c r="V10">
        <f>HYPERLINK("https://klasma.github.io/Logging_1981/klagomål/A 47475-2024 FSC-klagomål.docx", "A 47475-2024")</f>
        <v/>
      </c>
      <c r="W10">
        <f>HYPERLINK("https://klasma.github.io/Logging_1981/klagomålsmail/A 47475-2024 FSC-klagomål mail.docx", "A 47475-2024")</f>
        <v/>
      </c>
      <c r="X10">
        <f>HYPERLINK("https://klasma.github.io/Logging_1981/tillsyn/A 47475-2024 tillsynsbegäran.docx", "A 47475-2024")</f>
        <v/>
      </c>
      <c r="Y10">
        <f>HYPERLINK("https://klasma.github.io/Logging_1981/tillsynsmail/A 47475-2024 tillsynsbegäran mail.docx", "A 47475-2024")</f>
        <v/>
      </c>
    </row>
    <row r="11" ht="15" customHeight="1">
      <c r="A11" t="inlineStr">
        <is>
          <t>A 9092-2025</t>
        </is>
      </c>
      <c r="B11" s="1" t="n">
        <v>45713</v>
      </c>
      <c r="C11" s="1" t="n">
        <v>46202</v>
      </c>
      <c r="D11" t="inlineStr">
        <is>
          <t>VÄSTMANLANDS LÄN</t>
        </is>
      </c>
      <c r="E11" t="inlineStr">
        <is>
          <t>SALA</t>
        </is>
      </c>
      <c r="G11" t="n">
        <v>11</v>
      </c>
      <c r="H11" t="n">
        <v>0</v>
      </c>
      <c r="I11" t="n">
        <v>1</v>
      </c>
      <c r="J11" t="n">
        <v>3</v>
      </c>
      <c r="K11" t="n">
        <v>2</v>
      </c>
      <c r="L11" t="n">
        <v>1</v>
      </c>
      <c r="M11" t="n">
        <v>0</v>
      </c>
      <c r="N11" t="n">
        <v>0</v>
      </c>
      <c r="O11" t="n">
        <v>6</v>
      </c>
      <c r="P11" t="n">
        <v>3</v>
      </c>
      <c r="Q11" t="n">
        <v>7</v>
      </c>
      <c r="R11" s="2" t="inlineStr">
        <is>
          <t>Ask
Grangråticka
Gyllenspindling
Dofttaggsvamp
Fjällig taggsvamp s.str.
Orange taggsvamp
Anisspindling</t>
        </is>
      </c>
      <c r="S11">
        <f>HYPERLINK("https://klasma.github.io/Logging_1981/artfynd/A 9092-2025 artfynd.xlsx", "A 9092-2025")</f>
        <v/>
      </c>
      <c r="T11">
        <f>HYPERLINK("https://klasma.github.io/Logging_1981/kartor/A 9092-2025 karta.png", "A 9092-2025")</f>
        <v/>
      </c>
      <c r="V11">
        <f>HYPERLINK("https://klasma.github.io/Logging_1981/klagomål/A 9092-2025 FSC-klagomål.docx", "A 9092-2025")</f>
        <v/>
      </c>
      <c r="W11">
        <f>HYPERLINK("https://klasma.github.io/Logging_1981/klagomålsmail/A 9092-2025 FSC-klagomål mail.docx", "A 9092-2025")</f>
        <v/>
      </c>
      <c r="X11">
        <f>HYPERLINK("https://klasma.github.io/Logging_1981/tillsyn/A 9092-2025 tillsynsbegäran.docx", "A 9092-2025")</f>
        <v/>
      </c>
      <c r="Y11">
        <f>HYPERLINK("https://klasma.github.io/Logging_1981/tillsynsmail/A 9092-2025 tillsynsbegäran mail.docx", "A 9092-2025")</f>
        <v/>
      </c>
    </row>
    <row r="12" ht="15" customHeight="1">
      <c r="A12" t="inlineStr">
        <is>
          <t>A 53627-2025</t>
        </is>
      </c>
      <c r="B12" s="1" t="n">
        <v>45960</v>
      </c>
      <c r="C12" s="1" t="n">
        <v>46202</v>
      </c>
      <c r="D12" t="inlineStr">
        <is>
          <t>VÄSTMANLANDS LÄN</t>
        </is>
      </c>
      <c r="E12" t="inlineStr">
        <is>
          <t>SALA</t>
        </is>
      </c>
      <c r="G12" t="n">
        <v>10.5</v>
      </c>
      <c r="H12" t="n">
        <v>3</v>
      </c>
      <c r="I12" t="n">
        <v>2</v>
      </c>
      <c r="J12" t="n">
        <v>2</v>
      </c>
      <c r="K12" t="n">
        <v>1</v>
      </c>
      <c r="L12" t="n">
        <v>0</v>
      </c>
      <c r="M12" t="n">
        <v>0</v>
      </c>
      <c r="N12" t="n">
        <v>0</v>
      </c>
      <c r="O12" t="n">
        <v>3</v>
      </c>
      <c r="P12" t="n">
        <v>1</v>
      </c>
      <c r="Q12" t="n">
        <v>7</v>
      </c>
      <c r="R12" s="2" t="inlineStr">
        <is>
          <t>Knärot
Brunklöver
Ullticka
Grönpyrola
Vedticka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27488-2023</t>
        </is>
      </c>
      <c r="B13" s="1" t="n">
        <v>45097</v>
      </c>
      <c r="C13" s="1" t="n">
        <v>46202</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46202</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46202</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15099-2025</t>
        </is>
      </c>
      <c r="B16" s="1" t="n">
        <v>45744</v>
      </c>
      <c r="C16" s="1" t="n">
        <v>46202</v>
      </c>
      <c r="D16" t="inlineStr">
        <is>
          <t>VÄSTMANLANDS LÄN</t>
        </is>
      </c>
      <c r="E16" t="inlineStr">
        <is>
          <t>SALA</t>
        </is>
      </c>
      <c r="F16" t="inlineStr">
        <is>
          <t>Sveaskog</t>
        </is>
      </c>
      <c r="G16" t="n">
        <v>14.4</v>
      </c>
      <c r="H16" t="n">
        <v>3</v>
      </c>
      <c r="I16" t="n">
        <v>2</v>
      </c>
      <c r="J16" t="n">
        <v>0</v>
      </c>
      <c r="K16" t="n">
        <v>0</v>
      </c>
      <c r="L16" t="n">
        <v>0</v>
      </c>
      <c r="M16" t="n">
        <v>0</v>
      </c>
      <c r="N16" t="n">
        <v>0</v>
      </c>
      <c r="O16" t="n">
        <v>0</v>
      </c>
      <c r="P16" t="n">
        <v>0</v>
      </c>
      <c r="Q16" t="n">
        <v>5</v>
      </c>
      <c r="R16" s="2" t="inlineStr">
        <is>
          <t>Bronshjon
Vågbandad barkbock
Grönsiska
Orre
Revlummer</t>
        </is>
      </c>
      <c r="S16">
        <f>HYPERLINK("https://klasma.github.io/Logging_1981/artfynd/A 15099-2025 artfynd.xlsx", "A 15099-2025")</f>
        <v/>
      </c>
      <c r="T16">
        <f>HYPERLINK("https://klasma.github.io/Logging_1981/kartor/A 15099-2025 karta.png", "A 15099-2025")</f>
        <v/>
      </c>
      <c r="V16">
        <f>HYPERLINK("https://klasma.github.io/Logging_1981/klagomål/A 15099-2025 FSC-klagomål.docx", "A 15099-2025")</f>
        <v/>
      </c>
      <c r="W16">
        <f>HYPERLINK("https://klasma.github.io/Logging_1981/klagomålsmail/A 15099-2025 FSC-klagomål mail.docx", "A 15099-2025")</f>
        <v/>
      </c>
      <c r="X16">
        <f>HYPERLINK("https://klasma.github.io/Logging_1981/tillsyn/A 15099-2025 tillsynsbegäran.docx", "A 15099-2025")</f>
        <v/>
      </c>
      <c r="Y16">
        <f>HYPERLINK("https://klasma.github.io/Logging_1981/tillsynsmail/A 15099-2025 tillsynsbegäran mail.docx", "A 15099-2025")</f>
        <v/>
      </c>
      <c r="Z16">
        <f>HYPERLINK("https://klasma.github.io/Logging_1981/fåglar/A 15099-2025 prioriterade fågelarter.docx", "A 15099-2025")</f>
        <v/>
      </c>
    </row>
    <row r="17" ht="15" customHeight="1">
      <c r="A17" t="inlineStr">
        <is>
          <t>A 1182-2022</t>
        </is>
      </c>
      <c r="B17" s="1" t="n">
        <v>44572</v>
      </c>
      <c r="C17" s="1" t="n">
        <v>46202</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34065-2025</t>
        </is>
      </c>
      <c r="B18" s="1" t="n">
        <v>45845</v>
      </c>
      <c r="C18" s="1" t="n">
        <v>46202</v>
      </c>
      <c r="D18" t="inlineStr">
        <is>
          <t>VÄSTMANLANDS LÄN</t>
        </is>
      </c>
      <c r="E18" t="inlineStr">
        <is>
          <t>SALA</t>
        </is>
      </c>
      <c r="G18" t="n">
        <v>3</v>
      </c>
      <c r="H18" t="n">
        <v>0</v>
      </c>
      <c r="I18" t="n">
        <v>3</v>
      </c>
      <c r="J18" t="n">
        <v>2</v>
      </c>
      <c r="K18" t="n">
        <v>0</v>
      </c>
      <c r="L18" t="n">
        <v>0</v>
      </c>
      <c r="M18" t="n">
        <v>0</v>
      </c>
      <c r="N18" t="n">
        <v>0</v>
      </c>
      <c r="O18" t="n">
        <v>2</v>
      </c>
      <c r="P18" t="n">
        <v>0</v>
      </c>
      <c r="Q18" t="n">
        <v>5</v>
      </c>
      <c r="R18" s="2" t="inlineStr">
        <is>
          <t>Kötticka
Skorpgelélav
Grönpyrola
Skinnlav
Vedticka</t>
        </is>
      </c>
      <c r="S18">
        <f>HYPERLINK("https://klasma.github.io/Logging_1981/artfynd/A 34065-2025 artfynd.xlsx", "A 34065-2025")</f>
        <v/>
      </c>
      <c r="T18">
        <f>HYPERLINK("https://klasma.github.io/Logging_1981/kartor/A 34065-2025 karta.png", "A 34065-2025")</f>
        <v/>
      </c>
      <c r="V18">
        <f>HYPERLINK("https://klasma.github.io/Logging_1981/klagomål/A 34065-2025 FSC-klagomål.docx", "A 34065-2025")</f>
        <v/>
      </c>
      <c r="W18">
        <f>HYPERLINK("https://klasma.github.io/Logging_1981/klagomålsmail/A 34065-2025 FSC-klagomål mail.docx", "A 34065-2025")</f>
        <v/>
      </c>
      <c r="X18">
        <f>HYPERLINK("https://klasma.github.io/Logging_1981/tillsyn/A 34065-2025 tillsynsbegäran.docx", "A 34065-2025")</f>
        <v/>
      </c>
      <c r="Y18">
        <f>HYPERLINK("https://klasma.github.io/Logging_1981/tillsynsmail/A 34065-2025 tillsynsbegäran mail.docx", "A 34065-2025")</f>
        <v/>
      </c>
    </row>
    <row r="19" ht="15" customHeight="1">
      <c r="A19" t="inlineStr">
        <is>
          <t>A 3566-2024</t>
        </is>
      </c>
      <c r="B19" s="1" t="n">
        <v>45320</v>
      </c>
      <c r="C19" s="1" t="n">
        <v>46202</v>
      </c>
      <c r="D19" t="inlineStr">
        <is>
          <t>VÄSTMANLANDS LÄN</t>
        </is>
      </c>
      <c r="E19" t="inlineStr">
        <is>
          <t>SALA</t>
        </is>
      </c>
      <c r="F19" t="inlineStr">
        <is>
          <t>Kommuner</t>
        </is>
      </c>
      <c r="G19" t="n">
        <v>4.3</v>
      </c>
      <c r="H19" t="n">
        <v>3</v>
      </c>
      <c r="I19" t="n">
        <v>1</v>
      </c>
      <c r="J19" t="n">
        <v>1</v>
      </c>
      <c r="K19" t="n">
        <v>1</v>
      </c>
      <c r="L19" t="n">
        <v>0</v>
      </c>
      <c r="M19" t="n">
        <v>0</v>
      </c>
      <c r="N19" t="n">
        <v>0</v>
      </c>
      <c r="O19" t="n">
        <v>2</v>
      </c>
      <c r="P19" t="n">
        <v>1</v>
      </c>
      <c r="Q19" t="n">
        <v>5</v>
      </c>
      <c r="R19" s="2" t="inlineStr">
        <is>
          <t>Knärot
Vågticka
Vedticka
Mattlummer
Fläcknycklar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34752-2023</t>
        </is>
      </c>
      <c r="B20" s="1" t="n">
        <v>45141</v>
      </c>
      <c r="C20" s="1" t="n">
        <v>46202</v>
      </c>
      <c r="D20" t="inlineStr">
        <is>
          <t>VÄSTMANLANDS LÄN</t>
        </is>
      </c>
      <c r="E20" t="inlineStr">
        <is>
          <t>SALA</t>
        </is>
      </c>
      <c r="G20" t="n">
        <v>4.9</v>
      </c>
      <c r="H20" t="n">
        <v>2</v>
      </c>
      <c r="I20" t="n">
        <v>1</v>
      </c>
      <c r="J20" t="n">
        <v>1</v>
      </c>
      <c r="K20" t="n">
        <v>2</v>
      </c>
      <c r="L20" t="n">
        <v>0</v>
      </c>
      <c r="M20" t="n">
        <v>0</v>
      </c>
      <c r="N20" t="n">
        <v>0</v>
      </c>
      <c r="O20" t="n">
        <v>3</v>
      </c>
      <c r="P20" t="n">
        <v>2</v>
      </c>
      <c r="Q20" t="n">
        <v>5</v>
      </c>
      <c r="R20" s="2" t="inlineStr">
        <is>
          <t>Knärot
Sprickporing
Svinrot
Grönpyrola
Spillkråka</t>
        </is>
      </c>
      <c r="S20">
        <f>HYPERLINK("https://klasma.github.io/Logging_1981/artfynd/A 34752-2023 artfynd.xlsx", "A 34752-2023")</f>
        <v/>
      </c>
      <c r="T20">
        <f>HYPERLINK("https://klasma.github.io/Logging_1981/kartor/A 34752-2023 karta.png", "A 34752-2023")</f>
        <v/>
      </c>
      <c r="U20">
        <f>HYPERLINK("https://klasma.github.io/Logging_1981/knärot/A 34752-2023 karta knärot.png", "A 34752-2023")</f>
        <v/>
      </c>
      <c r="V20">
        <f>HYPERLINK("https://klasma.github.io/Logging_1981/klagomål/A 34752-2023 FSC-klagomål.docx", "A 34752-2023")</f>
        <v/>
      </c>
      <c r="W20">
        <f>HYPERLINK("https://klasma.github.io/Logging_1981/klagomålsmail/A 34752-2023 FSC-klagomål mail.docx", "A 34752-2023")</f>
        <v/>
      </c>
      <c r="X20">
        <f>HYPERLINK("https://klasma.github.io/Logging_1981/tillsyn/A 34752-2023 tillsynsbegäran.docx", "A 34752-2023")</f>
        <v/>
      </c>
      <c r="Y20">
        <f>HYPERLINK("https://klasma.github.io/Logging_1981/tillsynsmail/A 34752-2023 tillsynsbegäran mail.docx", "A 34752-2023")</f>
        <v/>
      </c>
      <c r="Z20">
        <f>HYPERLINK("https://klasma.github.io/Logging_1981/fåglar/A 34752-2023 prioriterade fågelarter.docx", "A 34752-2023")</f>
        <v/>
      </c>
    </row>
    <row r="21" ht="15" customHeight="1">
      <c r="A21" t="inlineStr">
        <is>
          <t>A 10344-2025</t>
        </is>
      </c>
      <c r="B21" s="1" t="n">
        <v>45720</v>
      </c>
      <c r="C21" s="1" t="n">
        <v>46202</v>
      </c>
      <c r="D21" t="inlineStr">
        <is>
          <t>VÄSTMANLANDS LÄN</t>
        </is>
      </c>
      <c r="E21" t="inlineStr">
        <is>
          <t>SALA</t>
        </is>
      </c>
      <c r="G21" t="n">
        <v>4.2</v>
      </c>
      <c r="H21" t="n">
        <v>2</v>
      </c>
      <c r="I21" t="n">
        <v>1</v>
      </c>
      <c r="J21" t="n">
        <v>1</v>
      </c>
      <c r="K21" t="n">
        <v>2</v>
      </c>
      <c r="L21" t="n">
        <v>0</v>
      </c>
      <c r="M21" t="n">
        <v>0</v>
      </c>
      <c r="N21" t="n">
        <v>0</v>
      </c>
      <c r="O21" t="n">
        <v>3</v>
      </c>
      <c r="P21" t="n">
        <v>2</v>
      </c>
      <c r="Q21" t="n">
        <v>5</v>
      </c>
      <c r="R21" s="2" t="inlineStr">
        <is>
          <t>Knärot
Sprickporing
Svinrot
Grönpyrola
Spillkråka</t>
        </is>
      </c>
      <c r="S21">
        <f>HYPERLINK("https://klasma.github.io/Logging_1981/artfynd/A 10344-2025 artfynd.xlsx", "A 10344-2025")</f>
        <v/>
      </c>
      <c r="T21">
        <f>HYPERLINK("https://klasma.github.io/Logging_1981/kartor/A 10344-2025 karta.png", "A 10344-2025")</f>
        <v/>
      </c>
      <c r="U21">
        <f>HYPERLINK("https://klasma.github.io/Logging_1981/knärot/A 10344-2025 karta knärot.png", "A 10344-2025")</f>
        <v/>
      </c>
      <c r="V21">
        <f>HYPERLINK("https://klasma.github.io/Logging_1981/klagomål/A 10344-2025 FSC-klagomål.docx", "A 10344-2025")</f>
        <v/>
      </c>
      <c r="W21">
        <f>HYPERLINK("https://klasma.github.io/Logging_1981/klagomålsmail/A 10344-2025 FSC-klagomål mail.docx", "A 10344-2025")</f>
        <v/>
      </c>
      <c r="X21">
        <f>HYPERLINK("https://klasma.github.io/Logging_1981/tillsyn/A 10344-2025 tillsynsbegäran.docx", "A 10344-2025")</f>
        <v/>
      </c>
      <c r="Y21">
        <f>HYPERLINK("https://klasma.github.io/Logging_1981/tillsynsmail/A 10344-2025 tillsynsbegäran mail.docx", "A 10344-2025")</f>
        <v/>
      </c>
      <c r="Z21">
        <f>HYPERLINK("https://klasma.github.io/Logging_1981/fåglar/A 10344-2025 prioriterade fågelarter.docx", "A 10344-2025")</f>
        <v/>
      </c>
    </row>
    <row r="22" ht="15" customHeight="1">
      <c r="A22" t="inlineStr">
        <is>
          <t>A 7643-2026</t>
        </is>
      </c>
      <c r="B22" s="1" t="n">
        <v>46062</v>
      </c>
      <c r="C22" s="1" t="n">
        <v>46202</v>
      </c>
      <c r="D22" t="inlineStr">
        <is>
          <t>VÄSTMANLANDS LÄN</t>
        </is>
      </c>
      <c r="E22" t="inlineStr">
        <is>
          <t>SALA</t>
        </is>
      </c>
      <c r="G22" t="n">
        <v>7.7</v>
      </c>
      <c r="H22" t="n">
        <v>0</v>
      </c>
      <c r="I22" t="n">
        <v>3</v>
      </c>
      <c r="J22" t="n">
        <v>2</v>
      </c>
      <c r="K22" t="n">
        <v>0</v>
      </c>
      <c r="L22" t="n">
        <v>0</v>
      </c>
      <c r="M22" t="n">
        <v>0</v>
      </c>
      <c r="N22" t="n">
        <v>0</v>
      </c>
      <c r="O22" t="n">
        <v>2</v>
      </c>
      <c r="P22" t="n">
        <v>0</v>
      </c>
      <c r="Q22" t="n">
        <v>5</v>
      </c>
      <c r="R22" s="2" t="inlineStr">
        <is>
          <t>Kandelabersvamp
Veckticka
Barkticka
Rävticka
Skinnlav</t>
        </is>
      </c>
      <c r="S22">
        <f>HYPERLINK("https://klasma.github.io/Logging_1981/artfynd/A 7643-2026 artfynd.xlsx", "A 7643-2026")</f>
        <v/>
      </c>
      <c r="T22">
        <f>HYPERLINK("https://klasma.github.io/Logging_1981/kartor/A 7643-2026 karta.png", "A 7643-2026")</f>
        <v/>
      </c>
      <c r="V22">
        <f>HYPERLINK("https://klasma.github.io/Logging_1981/klagomål/A 7643-2026 FSC-klagomål.docx", "A 7643-2026")</f>
        <v/>
      </c>
      <c r="W22">
        <f>HYPERLINK("https://klasma.github.io/Logging_1981/klagomålsmail/A 7643-2026 FSC-klagomål mail.docx", "A 7643-2026")</f>
        <v/>
      </c>
      <c r="X22">
        <f>HYPERLINK("https://klasma.github.io/Logging_1981/tillsyn/A 7643-2026 tillsynsbegäran.docx", "A 7643-2026")</f>
        <v/>
      </c>
      <c r="Y22">
        <f>HYPERLINK("https://klasma.github.io/Logging_1981/tillsynsmail/A 7643-2026 tillsynsbegäran mail.docx", "A 7643-2026")</f>
        <v/>
      </c>
    </row>
    <row r="23" ht="15" customHeight="1">
      <c r="A23" t="inlineStr">
        <is>
          <t>A 37166-2024</t>
        </is>
      </c>
      <c r="B23" s="1" t="n">
        <v>45539</v>
      </c>
      <c r="C23" s="1" t="n">
        <v>46202</v>
      </c>
      <c r="D23" t="inlineStr">
        <is>
          <t>VÄSTMANLANDS LÄN</t>
        </is>
      </c>
      <c r="E23" t="inlineStr">
        <is>
          <t>SALA</t>
        </is>
      </c>
      <c r="G23" t="n">
        <v>1.3</v>
      </c>
      <c r="H23" t="n">
        <v>1</v>
      </c>
      <c r="I23" t="n">
        <v>3</v>
      </c>
      <c r="J23" t="n">
        <v>0</v>
      </c>
      <c r="K23" t="n">
        <v>1</v>
      </c>
      <c r="L23" t="n">
        <v>0</v>
      </c>
      <c r="M23" t="n">
        <v>0</v>
      </c>
      <c r="N23" t="n">
        <v>0</v>
      </c>
      <c r="O23" t="n">
        <v>1</v>
      </c>
      <c r="P23" t="n">
        <v>1</v>
      </c>
      <c r="Q23" t="n">
        <v>4</v>
      </c>
      <c r="R23" s="2" t="inlineStr">
        <is>
          <t>Knärot
Bronshjon
Vedticka
Vågbandad barkbock</t>
        </is>
      </c>
      <c r="S23">
        <f>HYPERLINK("https://klasma.github.io/Logging_1981/artfynd/A 37166-2024 artfynd.xlsx", "A 37166-2024")</f>
        <v/>
      </c>
      <c r="T23">
        <f>HYPERLINK("https://klasma.github.io/Logging_1981/kartor/A 37166-2024 karta.png", "A 37166-2024")</f>
        <v/>
      </c>
      <c r="U23">
        <f>HYPERLINK("https://klasma.github.io/Logging_1981/knärot/A 37166-2024 karta knärot.png", "A 37166-2024")</f>
        <v/>
      </c>
      <c r="V23">
        <f>HYPERLINK("https://klasma.github.io/Logging_1981/klagomål/A 37166-2024 FSC-klagomål.docx", "A 37166-2024")</f>
        <v/>
      </c>
      <c r="W23">
        <f>HYPERLINK("https://klasma.github.io/Logging_1981/klagomålsmail/A 37166-2024 FSC-klagomål mail.docx", "A 37166-2024")</f>
        <v/>
      </c>
      <c r="X23">
        <f>HYPERLINK("https://klasma.github.io/Logging_1981/tillsyn/A 37166-2024 tillsynsbegäran.docx", "A 37166-2024")</f>
        <v/>
      </c>
      <c r="Y23">
        <f>HYPERLINK("https://klasma.github.io/Logging_1981/tillsynsmail/A 37166-2024 tillsynsbegäran mail.docx", "A 37166-2024")</f>
        <v/>
      </c>
    </row>
    <row r="24" ht="15" customHeight="1">
      <c r="A24" t="inlineStr">
        <is>
          <t>A 50128-2025</t>
        </is>
      </c>
      <c r="B24" s="1" t="n">
        <v>45943</v>
      </c>
      <c r="C24" s="1" t="n">
        <v>46202</v>
      </c>
      <c r="D24" t="inlineStr">
        <is>
          <t>VÄSTMANLANDS LÄN</t>
        </is>
      </c>
      <c r="E24" t="inlineStr">
        <is>
          <t>SALA</t>
        </is>
      </c>
      <c r="G24" t="n">
        <v>1</v>
      </c>
      <c r="H24" t="n">
        <v>4</v>
      </c>
      <c r="I24" t="n">
        <v>0</v>
      </c>
      <c r="J24" t="n">
        <v>2</v>
      </c>
      <c r="K24" t="n">
        <v>0</v>
      </c>
      <c r="L24" t="n">
        <v>0</v>
      </c>
      <c r="M24" t="n">
        <v>0</v>
      </c>
      <c r="N24" t="n">
        <v>0</v>
      </c>
      <c r="O24" t="n">
        <v>2</v>
      </c>
      <c r="P24" t="n">
        <v>0</v>
      </c>
      <c r="Q24" t="n">
        <v>4</v>
      </c>
      <c r="R24" s="2" t="inlineStr">
        <is>
          <t>Entita
Järnsparv
Spillkråka
Tofsmes</t>
        </is>
      </c>
      <c r="S24">
        <f>HYPERLINK("https://klasma.github.io/Logging_1981/artfynd/A 50128-2025 artfynd.xlsx", "A 50128-2025")</f>
        <v/>
      </c>
      <c r="T24">
        <f>HYPERLINK("https://klasma.github.io/Logging_1981/kartor/A 50128-2025 karta.png", "A 50128-2025")</f>
        <v/>
      </c>
      <c r="V24">
        <f>HYPERLINK("https://klasma.github.io/Logging_1981/klagomål/A 50128-2025 FSC-klagomål.docx", "A 50128-2025")</f>
        <v/>
      </c>
      <c r="W24">
        <f>HYPERLINK("https://klasma.github.io/Logging_1981/klagomålsmail/A 50128-2025 FSC-klagomål mail.docx", "A 50128-2025")</f>
        <v/>
      </c>
      <c r="X24">
        <f>HYPERLINK("https://klasma.github.io/Logging_1981/tillsyn/A 50128-2025 tillsynsbegäran.docx", "A 50128-2025")</f>
        <v/>
      </c>
      <c r="Y24">
        <f>HYPERLINK("https://klasma.github.io/Logging_1981/tillsynsmail/A 50128-2025 tillsynsbegäran mail.docx", "A 50128-2025")</f>
        <v/>
      </c>
      <c r="Z24">
        <f>HYPERLINK("https://klasma.github.io/Logging_1981/fåglar/A 50128-2025 prioriterade fågelarter.docx", "A 50128-2025")</f>
        <v/>
      </c>
    </row>
    <row r="25" ht="15" customHeight="1">
      <c r="A25" t="inlineStr">
        <is>
          <t>A 14485-2026</t>
        </is>
      </c>
      <c r="B25" s="1" t="n">
        <v>46100</v>
      </c>
      <c r="C25" s="1" t="n">
        <v>46202</v>
      </c>
      <c r="D25" t="inlineStr">
        <is>
          <t>VÄSTMANLANDS LÄN</t>
        </is>
      </c>
      <c r="E25" t="inlineStr">
        <is>
          <t>SALA</t>
        </is>
      </c>
      <c r="F25" t="inlineStr">
        <is>
          <t>Sveaskog</t>
        </is>
      </c>
      <c r="G25" t="n">
        <v>13.6</v>
      </c>
      <c r="H25" t="n">
        <v>2</v>
      </c>
      <c r="I25" t="n">
        <v>0</v>
      </c>
      <c r="J25" t="n">
        <v>3</v>
      </c>
      <c r="K25" t="n">
        <v>0</v>
      </c>
      <c r="L25" t="n">
        <v>0</v>
      </c>
      <c r="M25" t="n">
        <v>0</v>
      </c>
      <c r="N25" t="n">
        <v>0</v>
      </c>
      <c r="O25" t="n">
        <v>3</v>
      </c>
      <c r="P25" t="n">
        <v>0</v>
      </c>
      <c r="Q25" t="n">
        <v>4</v>
      </c>
      <c r="R25" s="2" t="inlineStr">
        <is>
          <t>Dvärgbägarlav
Motaggsvamp
Talltita
Tjäder</t>
        </is>
      </c>
      <c r="S25">
        <f>HYPERLINK("https://klasma.github.io/Logging_1981/artfynd/A 14485-2026 artfynd.xlsx", "A 14485-2026")</f>
        <v/>
      </c>
      <c r="T25">
        <f>HYPERLINK("https://klasma.github.io/Logging_1981/kartor/A 14485-2026 karta.png", "A 14485-2026")</f>
        <v/>
      </c>
      <c r="V25">
        <f>HYPERLINK("https://klasma.github.io/Logging_1981/klagomål/A 14485-2026 FSC-klagomål.docx", "A 14485-2026")</f>
        <v/>
      </c>
      <c r="W25">
        <f>HYPERLINK("https://klasma.github.io/Logging_1981/klagomålsmail/A 14485-2026 FSC-klagomål mail.docx", "A 14485-2026")</f>
        <v/>
      </c>
      <c r="X25">
        <f>HYPERLINK("https://klasma.github.io/Logging_1981/tillsyn/A 14485-2026 tillsynsbegäran.docx", "A 14485-2026")</f>
        <v/>
      </c>
      <c r="Y25">
        <f>HYPERLINK("https://klasma.github.io/Logging_1981/tillsynsmail/A 14485-2026 tillsynsbegäran mail.docx", "A 14485-2026")</f>
        <v/>
      </c>
      <c r="Z25">
        <f>HYPERLINK("https://klasma.github.io/Logging_1981/fåglar/A 14485-2026 prioriterade fågelarter.docx", "A 14485-2026")</f>
        <v/>
      </c>
    </row>
    <row r="26" ht="15" customHeight="1">
      <c r="A26" t="inlineStr">
        <is>
          <t>A 21044-2026</t>
        </is>
      </c>
      <c r="B26" s="1" t="n">
        <v>46146</v>
      </c>
      <c r="C26" s="1" t="n">
        <v>46202</v>
      </c>
      <c r="D26" t="inlineStr">
        <is>
          <t>VÄSTMANLANDS LÄN</t>
        </is>
      </c>
      <c r="E26" t="inlineStr">
        <is>
          <t>SALA</t>
        </is>
      </c>
      <c r="G26" t="n">
        <v>41.2</v>
      </c>
      <c r="H26" t="n">
        <v>1</v>
      </c>
      <c r="I26" t="n">
        <v>0</v>
      </c>
      <c r="J26" t="n">
        <v>2</v>
      </c>
      <c r="K26" t="n">
        <v>2</v>
      </c>
      <c r="L26" t="n">
        <v>0</v>
      </c>
      <c r="M26" t="n">
        <v>0</v>
      </c>
      <c r="N26" t="n">
        <v>0</v>
      </c>
      <c r="O26" t="n">
        <v>4</v>
      </c>
      <c r="P26" t="n">
        <v>2</v>
      </c>
      <c r="Q26" t="n">
        <v>4</v>
      </c>
      <c r="R26" s="2" t="inlineStr">
        <is>
          <t>Garnlav
Knärot
Motaggsvamp
Tallticka</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29727-2023</t>
        </is>
      </c>
      <c r="B27" s="1" t="n">
        <v>45107</v>
      </c>
      <c r="C27" s="1" t="n">
        <v>46202</v>
      </c>
      <c r="D27" t="inlineStr">
        <is>
          <t>VÄSTMANLANDS LÄN</t>
        </is>
      </c>
      <c r="E27" t="inlineStr">
        <is>
          <t>SALA</t>
        </is>
      </c>
      <c r="G27" t="n">
        <v>1.9</v>
      </c>
      <c r="H27" t="n">
        <v>0</v>
      </c>
      <c r="I27" t="n">
        <v>2</v>
      </c>
      <c r="J27" t="n">
        <v>1</v>
      </c>
      <c r="K27" t="n">
        <v>0</v>
      </c>
      <c r="L27" t="n">
        <v>0</v>
      </c>
      <c r="M27" t="n">
        <v>0</v>
      </c>
      <c r="N27" t="n">
        <v>0</v>
      </c>
      <c r="O27" t="n">
        <v>1</v>
      </c>
      <c r="P27" t="n">
        <v>0</v>
      </c>
      <c r="Q27" t="n">
        <v>3</v>
      </c>
      <c r="R27" s="2" t="inlineStr">
        <is>
          <t>Vedtrappmossa
Stubbspretmossa
Vedticka</t>
        </is>
      </c>
      <c r="S27">
        <f>HYPERLINK("https://klasma.github.io/Logging_1981/artfynd/A 29727-2023 artfynd.xlsx", "A 29727-2023")</f>
        <v/>
      </c>
      <c r="T27">
        <f>HYPERLINK("https://klasma.github.io/Logging_1981/kartor/A 29727-2023 karta.png", "A 29727-2023")</f>
        <v/>
      </c>
      <c r="V27">
        <f>HYPERLINK("https://klasma.github.io/Logging_1981/klagomål/A 29727-2023 FSC-klagomål.docx", "A 29727-2023")</f>
        <v/>
      </c>
      <c r="W27">
        <f>HYPERLINK("https://klasma.github.io/Logging_1981/klagomålsmail/A 29727-2023 FSC-klagomål mail.docx", "A 29727-2023")</f>
        <v/>
      </c>
      <c r="X27">
        <f>HYPERLINK("https://klasma.github.io/Logging_1981/tillsyn/A 29727-2023 tillsynsbegäran.docx", "A 29727-2023")</f>
        <v/>
      </c>
      <c r="Y27">
        <f>HYPERLINK("https://klasma.github.io/Logging_1981/tillsynsmail/A 29727-2023 tillsynsbegäran mail.docx", "A 29727-2023")</f>
        <v/>
      </c>
    </row>
    <row r="28" ht="15" customHeight="1">
      <c r="A28" t="inlineStr">
        <is>
          <t>A 22350-2024</t>
        </is>
      </c>
      <c r="B28" s="1" t="n">
        <v>45446</v>
      </c>
      <c r="C28" s="1" t="n">
        <v>46202</v>
      </c>
      <c r="D28" t="inlineStr">
        <is>
          <t>VÄSTMANLANDS LÄN</t>
        </is>
      </c>
      <c r="E28" t="inlineStr">
        <is>
          <t>SALA</t>
        </is>
      </c>
      <c r="G28" t="n">
        <v>1.2</v>
      </c>
      <c r="H28" t="n">
        <v>1</v>
      </c>
      <c r="I28" t="n">
        <v>1</v>
      </c>
      <c r="J28" t="n">
        <v>0</v>
      </c>
      <c r="K28" t="n">
        <v>1</v>
      </c>
      <c r="L28" t="n">
        <v>0</v>
      </c>
      <c r="M28" t="n">
        <v>0</v>
      </c>
      <c r="N28" t="n">
        <v>0</v>
      </c>
      <c r="O28" t="n">
        <v>1</v>
      </c>
      <c r="P28" t="n">
        <v>1</v>
      </c>
      <c r="Q28" t="n">
        <v>3</v>
      </c>
      <c r="R28" s="2" t="inlineStr">
        <is>
          <t>Laxporing
Rödgul trumpetsvamp
Blåsippa</t>
        </is>
      </c>
      <c r="S28">
        <f>HYPERLINK("https://klasma.github.io/Logging_1981/artfynd/A 22350-2024 artfynd.xlsx", "A 22350-2024")</f>
        <v/>
      </c>
      <c r="T28">
        <f>HYPERLINK("https://klasma.github.io/Logging_1981/kartor/A 22350-2024 karta.png", "A 22350-2024")</f>
        <v/>
      </c>
      <c r="V28">
        <f>HYPERLINK("https://klasma.github.io/Logging_1981/klagomål/A 22350-2024 FSC-klagomål.docx", "A 22350-2024")</f>
        <v/>
      </c>
      <c r="W28">
        <f>HYPERLINK("https://klasma.github.io/Logging_1981/klagomålsmail/A 22350-2024 FSC-klagomål mail.docx", "A 22350-2024")</f>
        <v/>
      </c>
      <c r="X28">
        <f>HYPERLINK("https://klasma.github.io/Logging_1981/tillsyn/A 22350-2024 tillsynsbegäran.docx", "A 22350-2024")</f>
        <v/>
      </c>
      <c r="Y28">
        <f>HYPERLINK("https://klasma.github.io/Logging_1981/tillsynsmail/A 22350-2024 tillsynsbegäran mail.docx", "A 22350-2024")</f>
        <v/>
      </c>
    </row>
    <row r="29" ht="15" customHeight="1">
      <c r="A29" t="inlineStr">
        <is>
          <t>A 3567-2024</t>
        </is>
      </c>
      <c r="B29" s="1" t="n">
        <v>45320</v>
      </c>
      <c r="C29" s="1" t="n">
        <v>46202</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62768-2021</t>
        </is>
      </c>
      <c r="B30" s="1" t="n">
        <v>44504</v>
      </c>
      <c r="C30" s="1" t="n">
        <v>46202</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4264-2024</t>
        </is>
      </c>
      <c r="B31" s="1" t="n">
        <v>45324</v>
      </c>
      <c r="C31" s="1" t="n">
        <v>46202</v>
      </c>
      <c r="D31" t="inlineStr">
        <is>
          <t>VÄSTMANLANDS LÄN</t>
        </is>
      </c>
      <c r="E31" t="inlineStr">
        <is>
          <t>SALA</t>
        </is>
      </c>
      <c r="G31" t="n">
        <v>2.5</v>
      </c>
      <c r="H31" t="n">
        <v>0</v>
      </c>
      <c r="I31" t="n">
        <v>1</v>
      </c>
      <c r="J31" t="n">
        <v>2</v>
      </c>
      <c r="K31" t="n">
        <v>0</v>
      </c>
      <c r="L31" t="n">
        <v>0</v>
      </c>
      <c r="M31" t="n">
        <v>0</v>
      </c>
      <c r="N31" t="n">
        <v>0</v>
      </c>
      <c r="O31" t="n">
        <v>2</v>
      </c>
      <c r="P31" t="n">
        <v>0</v>
      </c>
      <c r="Q31" t="n">
        <v>3</v>
      </c>
      <c r="R31" s="2" t="inlineStr">
        <is>
          <t>Brunpudrad nållav
Vedtrappmossa
Dvärghäxört</t>
        </is>
      </c>
      <c r="S31">
        <f>HYPERLINK("https://klasma.github.io/Logging_1981/artfynd/A 4264-2024 artfynd.xlsx", "A 4264-2024")</f>
        <v/>
      </c>
      <c r="T31">
        <f>HYPERLINK("https://klasma.github.io/Logging_1981/kartor/A 4264-2024 karta.png", "A 4264-2024")</f>
        <v/>
      </c>
      <c r="V31">
        <f>HYPERLINK("https://klasma.github.io/Logging_1981/klagomål/A 4264-2024 FSC-klagomål.docx", "A 4264-2024")</f>
        <v/>
      </c>
      <c r="W31">
        <f>HYPERLINK("https://klasma.github.io/Logging_1981/klagomålsmail/A 4264-2024 FSC-klagomål mail.docx", "A 4264-2024")</f>
        <v/>
      </c>
      <c r="X31">
        <f>HYPERLINK("https://klasma.github.io/Logging_1981/tillsyn/A 4264-2024 tillsynsbegäran.docx", "A 4264-2024")</f>
        <v/>
      </c>
      <c r="Y31">
        <f>HYPERLINK("https://klasma.github.io/Logging_1981/tillsynsmail/A 4264-2024 tillsynsbegäran mail.docx", "A 4264-2024")</f>
        <v/>
      </c>
    </row>
    <row r="32" ht="15" customHeight="1">
      <c r="A32" t="inlineStr">
        <is>
          <t>A 12444-2024</t>
        </is>
      </c>
      <c r="B32" s="1" t="n">
        <v>45379</v>
      </c>
      <c r="C32" s="1" t="n">
        <v>46202</v>
      </c>
      <c r="D32" t="inlineStr">
        <is>
          <t>VÄSTMANLANDS LÄN</t>
        </is>
      </c>
      <c r="E32" t="inlineStr">
        <is>
          <t>SALA</t>
        </is>
      </c>
      <c r="G32" t="n">
        <v>5.5</v>
      </c>
      <c r="H32" t="n">
        <v>1</v>
      </c>
      <c r="I32" t="n">
        <v>1</v>
      </c>
      <c r="J32" t="n">
        <v>1</v>
      </c>
      <c r="K32" t="n">
        <v>1</v>
      </c>
      <c r="L32" t="n">
        <v>0</v>
      </c>
      <c r="M32" t="n">
        <v>0</v>
      </c>
      <c r="N32" t="n">
        <v>0</v>
      </c>
      <c r="O32" t="n">
        <v>2</v>
      </c>
      <c r="P32" t="n">
        <v>1</v>
      </c>
      <c r="Q32" t="n">
        <v>3</v>
      </c>
      <c r="R32" s="2" t="inlineStr">
        <is>
          <t>Knärot
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63584-2025</t>
        </is>
      </c>
      <c r="B33" s="1" t="n">
        <v>46013</v>
      </c>
      <c r="C33" s="1" t="n">
        <v>46202</v>
      </c>
      <c r="D33" t="inlineStr">
        <is>
          <t>VÄSTMANLANDS LÄN</t>
        </is>
      </c>
      <c r="E33" t="inlineStr">
        <is>
          <t>SALA</t>
        </is>
      </c>
      <c r="G33" t="n">
        <v>7.3</v>
      </c>
      <c r="H33" t="n">
        <v>1</v>
      </c>
      <c r="I33" t="n">
        <v>0</v>
      </c>
      <c r="J33" t="n">
        <v>2</v>
      </c>
      <c r="K33" t="n">
        <v>1</v>
      </c>
      <c r="L33" t="n">
        <v>0</v>
      </c>
      <c r="M33" t="n">
        <v>0</v>
      </c>
      <c r="N33" t="n">
        <v>0</v>
      </c>
      <c r="O33" t="n">
        <v>3</v>
      </c>
      <c r="P33" t="n">
        <v>1</v>
      </c>
      <c r="Q33" t="n">
        <v>3</v>
      </c>
      <c r="R33" s="2" t="inlineStr">
        <is>
          <t>Knärot
Ullticka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15630-2026</t>
        </is>
      </c>
      <c r="B34" s="1" t="n">
        <v>46106</v>
      </c>
      <c r="C34" s="1" t="n">
        <v>46202</v>
      </c>
      <c r="D34" t="inlineStr">
        <is>
          <t>VÄSTMANLANDS LÄN</t>
        </is>
      </c>
      <c r="E34" t="inlineStr">
        <is>
          <t>SALA</t>
        </is>
      </c>
      <c r="G34" t="n">
        <v>1.1</v>
      </c>
      <c r="H34" t="n">
        <v>0</v>
      </c>
      <c r="I34" t="n">
        <v>1</v>
      </c>
      <c r="J34" t="n">
        <v>1</v>
      </c>
      <c r="K34" t="n">
        <v>0</v>
      </c>
      <c r="L34" t="n">
        <v>0</v>
      </c>
      <c r="M34" t="n">
        <v>0</v>
      </c>
      <c r="N34" t="n">
        <v>0</v>
      </c>
      <c r="O34" t="n">
        <v>1</v>
      </c>
      <c r="P34" t="n">
        <v>0</v>
      </c>
      <c r="Q34" t="n">
        <v>3</v>
      </c>
      <c r="R34" s="2" t="inlineStr">
        <is>
          <t>Kortskaftad ärgspik
Thomsons trägnagare
Krushättemossa</t>
        </is>
      </c>
      <c r="S34">
        <f>HYPERLINK("https://klasma.github.io/Logging_1981/artfynd/A 15630-2026 artfynd.xlsx", "A 15630-2026")</f>
        <v/>
      </c>
      <c r="T34">
        <f>HYPERLINK("https://klasma.github.io/Logging_1981/kartor/A 15630-2026 karta.png", "A 15630-2026")</f>
        <v/>
      </c>
      <c r="V34">
        <f>HYPERLINK("https://klasma.github.io/Logging_1981/klagomål/A 15630-2026 FSC-klagomål.docx", "A 15630-2026")</f>
        <v/>
      </c>
      <c r="W34">
        <f>HYPERLINK("https://klasma.github.io/Logging_1981/klagomålsmail/A 15630-2026 FSC-klagomål mail.docx", "A 15630-2026")</f>
        <v/>
      </c>
      <c r="X34">
        <f>HYPERLINK("https://klasma.github.io/Logging_1981/tillsyn/A 15630-2026 tillsynsbegäran.docx", "A 15630-2026")</f>
        <v/>
      </c>
      <c r="Y34">
        <f>HYPERLINK("https://klasma.github.io/Logging_1981/tillsynsmail/A 15630-2026 tillsynsbegäran mail.docx", "A 15630-2026")</f>
        <v/>
      </c>
    </row>
    <row r="35" ht="15" customHeight="1">
      <c r="A35" t="inlineStr">
        <is>
          <t>A 18896-2026</t>
        </is>
      </c>
      <c r="B35" s="1" t="n">
        <v>46129</v>
      </c>
      <c r="C35" s="1" t="n">
        <v>46202</v>
      </c>
      <c r="D35" t="inlineStr">
        <is>
          <t>VÄSTMANLANDS LÄN</t>
        </is>
      </c>
      <c r="E35" t="inlineStr">
        <is>
          <t>SALA</t>
        </is>
      </c>
      <c r="F35" t="inlineStr">
        <is>
          <t>Kommuner</t>
        </is>
      </c>
      <c r="G35" t="n">
        <v>1.1</v>
      </c>
      <c r="H35" t="n">
        <v>0</v>
      </c>
      <c r="I35" t="n">
        <v>2</v>
      </c>
      <c r="J35" t="n">
        <v>1</v>
      </c>
      <c r="K35" t="n">
        <v>0</v>
      </c>
      <c r="L35" t="n">
        <v>0</v>
      </c>
      <c r="M35" t="n">
        <v>0</v>
      </c>
      <c r="N35" t="n">
        <v>0</v>
      </c>
      <c r="O35" t="n">
        <v>1</v>
      </c>
      <c r="P35" t="n">
        <v>0</v>
      </c>
      <c r="Q35" t="n">
        <v>3</v>
      </c>
      <c r="R35" s="2" t="inlineStr">
        <is>
          <t>Ullticka
Bronshjon
Dvärgtufs</t>
        </is>
      </c>
      <c r="S35">
        <f>HYPERLINK("https://klasma.github.io/Logging_1981/artfynd/A 18896-2026 artfynd.xlsx", "A 18896-2026")</f>
        <v/>
      </c>
      <c r="T35">
        <f>HYPERLINK("https://klasma.github.io/Logging_1981/kartor/A 18896-2026 karta.png", "A 18896-2026")</f>
        <v/>
      </c>
      <c r="V35">
        <f>HYPERLINK("https://klasma.github.io/Logging_1981/klagomål/A 18896-2026 FSC-klagomål.docx", "A 18896-2026")</f>
        <v/>
      </c>
      <c r="W35">
        <f>HYPERLINK("https://klasma.github.io/Logging_1981/klagomålsmail/A 18896-2026 FSC-klagomål mail.docx", "A 18896-2026")</f>
        <v/>
      </c>
      <c r="X35">
        <f>HYPERLINK("https://klasma.github.io/Logging_1981/tillsyn/A 18896-2026 tillsynsbegäran.docx", "A 18896-2026")</f>
        <v/>
      </c>
      <c r="Y35">
        <f>HYPERLINK("https://klasma.github.io/Logging_1981/tillsynsmail/A 18896-2026 tillsynsbegäran mail.docx", "A 18896-2026")</f>
        <v/>
      </c>
    </row>
    <row r="36" ht="15" customHeight="1">
      <c r="A36" t="inlineStr">
        <is>
          <t>A 3930-2026</t>
        </is>
      </c>
      <c r="B36" s="1" t="n">
        <v>46043</v>
      </c>
      <c r="C36" s="1" t="n">
        <v>46202</v>
      </c>
      <c r="D36" t="inlineStr">
        <is>
          <t>VÄSTMANLANDS LÄN</t>
        </is>
      </c>
      <c r="E36" t="inlineStr">
        <is>
          <t>SALA</t>
        </is>
      </c>
      <c r="G36" t="n">
        <v>17.4</v>
      </c>
      <c r="H36" t="n">
        <v>1</v>
      </c>
      <c r="I36" t="n">
        <v>0</v>
      </c>
      <c r="J36" t="n">
        <v>1</v>
      </c>
      <c r="K36" t="n">
        <v>2</v>
      </c>
      <c r="L36" t="n">
        <v>0</v>
      </c>
      <c r="M36" t="n">
        <v>0</v>
      </c>
      <c r="N36" t="n">
        <v>0</v>
      </c>
      <c r="O36" t="n">
        <v>3</v>
      </c>
      <c r="P36" t="n">
        <v>2</v>
      </c>
      <c r="Q36" t="n">
        <v>3</v>
      </c>
      <c r="R36" s="2" t="inlineStr">
        <is>
          <t>Gränsticka
Knärot
Ullticka</t>
        </is>
      </c>
      <c r="S36">
        <f>HYPERLINK("https://klasma.github.io/Logging_1981/artfynd/A 3930-2026 artfynd.xlsx", "A 3930-2026")</f>
        <v/>
      </c>
      <c r="T36">
        <f>HYPERLINK("https://klasma.github.io/Logging_1981/kartor/A 3930-2026 karta.png", "A 3930-2026")</f>
        <v/>
      </c>
      <c r="U36">
        <f>HYPERLINK("https://klasma.github.io/Logging_1981/knärot/A 3930-2026 karta knärot.png", "A 3930-2026")</f>
        <v/>
      </c>
      <c r="V36">
        <f>HYPERLINK("https://klasma.github.io/Logging_1981/klagomål/A 3930-2026 FSC-klagomål.docx", "A 3930-2026")</f>
        <v/>
      </c>
      <c r="W36">
        <f>HYPERLINK("https://klasma.github.io/Logging_1981/klagomålsmail/A 3930-2026 FSC-klagomål mail.docx", "A 3930-2026")</f>
        <v/>
      </c>
      <c r="X36">
        <f>HYPERLINK("https://klasma.github.io/Logging_1981/tillsyn/A 3930-2026 tillsynsbegäran.docx", "A 3930-2026")</f>
        <v/>
      </c>
      <c r="Y36">
        <f>HYPERLINK("https://klasma.github.io/Logging_1981/tillsynsmail/A 3930-2026 tillsynsbegäran mail.docx", "A 3930-2026")</f>
        <v/>
      </c>
    </row>
    <row r="37" ht="15" customHeight="1">
      <c r="A37" t="inlineStr">
        <is>
          <t>A 52909-2022</t>
        </is>
      </c>
      <c r="B37" s="1" t="n">
        <v>44875</v>
      </c>
      <c r="C37" s="1" t="n">
        <v>46202</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46202</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1500-2022</t>
        </is>
      </c>
      <c r="B39" s="1" t="n">
        <v>44573</v>
      </c>
      <c r="C39" s="1" t="n">
        <v>46202</v>
      </c>
      <c r="D39" t="inlineStr">
        <is>
          <t>VÄSTMANLANDS LÄN</t>
        </is>
      </c>
      <c r="E39" t="inlineStr">
        <is>
          <t>SALA</t>
        </is>
      </c>
      <c r="G39" t="n">
        <v>5.8</v>
      </c>
      <c r="H39" t="n">
        <v>2</v>
      </c>
      <c r="I39" t="n">
        <v>0</v>
      </c>
      <c r="J39" t="n">
        <v>0</v>
      </c>
      <c r="K39" t="n">
        <v>1</v>
      </c>
      <c r="L39" t="n">
        <v>0</v>
      </c>
      <c r="M39" t="n">
        <v>0</v>
      </c>
      <c r="N39" t="n">
        <v>0</v>
      </c>
      <c r="O39" t="n">
        <v>1</v>
      </c>
      <c r="P39" t="n">
        <v>1</v>
      </c>
      <c r="Q39" t="n">
        <v>2</v>
      </c>
      <c r="R39" s="2" t="inlineStr">
        <is>
          <t>Knärot
Revlummer</t>
        </is>
      </c>
      <c r="S39">
        <f>HYPERLINK("https://klasma.github.io/Logging_1981/artfynd/A 1500-2022 artfynd.xlsx", "A 1500-2022")</f>
        <v/>
      </c>
      <c r="T39">
        <f>HYPERLINK("https://klasma.github.io/Logging_1981/kartor/A 1500-2022 karta.png", "A 1500-2022")</f>
        <v/>
      </c>
      <c r="U39">
        <f>HYPERLINK("https://klasma.github.io/Logging_1981/knärot/A 1500-2022 karta knärot.png", "A 1500-2022")</f>
        <v/>
      </c>
      <c r="V39">
        <f>HYPERLINK("https://klasma.github.io/Logging_1981/klagomål/A 1500-2022 FSC-klagomål.docx", "A 1500-2022")</f>
        <v/>
      </c>
      <c r="W39">
        <f>HYPERLINK("https://klasma.github.io/Logging_1981/klagomålsmail/A 1500-2022 FSC-klagomål mail.docx", "A 1500-2022")</f>
        <v/>
      </c>
      <c r="X39">
        <f>HYPERLINK("https://klasma.github.io/Logging_1981/tillsyn/A 1500-2022 tillsynsbegäran.docx", "A 1500-2022")</f>
        <v/>
      </c>
      <c r="Y39">
        <f>HYPERLINK("https://klasma.github.io/Logging_1981/tillsynsmail/A 1500-2022 tillsynsbegäran mail.docx", "A 1500-2022")</f>
        <v/>
      </c>
    </row>
    <row r="40" ht="15" customHeight="1">
      <c r="A40" t="inlineStr">
        <is>
          <t>A 11846-2024</t>
        </is>
      </c>
      <c r="B40" s="1" t="n">
        <v>45376</v>
      </c>
      <c r="C40" s="1" t="n">
        <v>46202</v>
      </c>
      <c r="D40" t="inlineStr">
        <is>
          <t>VÄSTMANLANDS LÄN</t>
        </is>
      </c>
      <c r="E40" t="inlineStr">
        <is>
          <t>SALA</t>
        </is>
      </c>
      <c r="G40" t="n">
        <v>8</v>
      </c>
      <c r="H40" t="n">
        <v>0</v>
      </c>
      <c r="I40" t="n">
        <v>2</v>
      </c>
      <c r="J40" t="n">
        <v>0</v>
      </c>
      <c r="K40" t="n">
        <v>0</v>
      </c>
      <c r="L40" t="n">
        <v>0</v>
      </c>
      <c r="M40" t="n">
        <v>0</v>
      </c>
      <c r="N40" t="n">
        <v>0</v>
      </c>
      <c r="O40" t="n">
        <v>0</v>
      </c>
      <c r="P40" t="n">
        <v>0</v>
      </c>
      <c r="Q40" t="n">
        <v>2</v>
      </c>
      <c r="R40" s="2" t="inlineStr">
        <is>
          <t>Bronshjon
Vågbandad barkbock</t>
        </is>
      </c>
      <c r="S40">
        <f>HYPERLINK("https://klasma.github.io/Logging_1981/artfynd/A 11846-2024 artfynd.xlsx", "A 11846-2024")</f>
        <v/>
      </c>
      <c r="T40">
        <f>HYPERLINK("https://klasma.github.io/Logging_1981/kartor/A 11846-2024 karta.png", "A 11846-2024")</f>
        <v/>
      </c>
      <c r="V40">
        <f>HYPERLINK("https://klasma.github.io/Logging_1981/klagomål/A 11846-2024 FSC-klagomål.docx", "A 11846-2024")</f>
        <v/>
      </c>
      <c r="W40">
        <f>HYPERLINK("https://klasma.github.io/Logging_1981/klagomålsmail/A 11846-2024 FSC-klagomål mail.docx", "A 11846-2024")</f>
        <v/>
      </c>
      <c r="X40">
        <f>HYPERLINK("https://klasma.github.io/Logging_1981/tillsyn/A 11846-2024 tillsynsbegäran.docx", "A 11846-2024")</f>
        <v/>
      </c>
      <c r="Y40">
        <f>HYPERLINK("https://klasma.github.io/Logging_1981/tillsynsmail/A 11846-2024 tillsynsbegäran mail.docx", "A 11846-2024")</f>
        <v/>
      </c>
    </row>
    <row r="41" ht="15" customHeight="1">
      <c r="A41" t="inlineStr">
        <is>
          <t>A 15102-2025</t>
        </is>
      </c>
      <c r="B41" s="1" t="n">
        <v>45744</v>
      </c>
      <c r="C41" s="1" t="n">
        <v>46202</v>
      </c>
      <c r="D41" t="inlineStr">
        <is>
          <t>VÄSTMANLANDS LÄN</t>
        </is>
      </c>
      <c r="E41" t="inlineStr">
        <is>
          <t>SALA</t>
        </is>
      </c>
      <c r="F41" t="inlineStr">
        <is>
          <t>Sveaskog</t>
        </is>
      </c>
      <c r="G41" t="n">
        <v>4.2</v>
      </c>
      <c r="H41" t="n">
        <v>2</v>
      </c>
      <c r="I41" t="n">
        <v>0</v>
      </c>
      <c r="J41" t="n">
        <v>0</v>
      </c>
      <c r="K41" t="n">
        <v>0</v>
      </c>
      <c r="L41" t="n">
        <v>0</v>
      </c>
      <c r="M41" t="n">
        <v>0</v>
      </c>
      <c r="N41" t="n">
        <v>0</v>
      </c>
      <c r="O41" t="n">
        <v>0</v>
      </c>
      <c r="P41" t="n">
        <v>0</v>
      </c>
      <c r="Q41" t="n">
        <v>2</v>
      </c>
      <c r="R41" s="2" t="inlineStr">
        <is>
          <t>Spillkråka
Grönsiska</t>
        </is>
      </c>
      <c r="S41">
        <f>HYPERLINK("https://klasma.github.io/Logging_1981/artfynd/A 15102-2025 artfynd.xlsx", "A 15102-2025")</f>
        <v/>
      </c>
      <c r="T41">
        <f>HYPERLINK("https://klasma.github.io/Logging_1981/kartor/A 15102-2025 karta.png", "A 15102-2025")</f>
        <v/>
      </c>
      <c r="V41">
        <f>HYPERLINK("https://klasma.github.io/Logging_1981/klagomål/A 15102-2025 FSC-klagomål.docx", "A 15102-2025")</f>
        <v/>
      </c>
      <c r="W41">
        <f>HYPERLINK("https://klasma.github.io/Logging_1981/klagomålsmail/A 15102-2025 FSC-klagomål mail.docx", "A 15102-2025")</f>
        <v/>
      </c>
      <c r="X41">
        <f>HYPERLINK("https://klasma.github.io/Logging_1981/tillsyn/A 15102-2025 tillsynsbegäran.docx", "A 15102-2025")</f>
        <v/>
      </c>
      <c r="Y41">
        <f>HYPERLINK("https://klasma.github.io/Logging_1981/tillsynsmail/A 15102-2025 tillsynsbegäran mail.docx", "A 15102-2025")</f>
        <v/>
      </c>
      <c r="Z41">
        <f>HYPERLINK("https://klasma.github.io/Logging_1981/fåglar/A 15102-2025 prioriterade fågelarter.docx", "A 15102-2025")</f>
        <v/>
      </c>
    </row>
    <row r="42" ht="15" customHeight="1">
      <c r="A42" t="inlineStr">
        <is>
          <t>A 41570-2021</t>
        </is>
      </c>
      <c r="B42" s="1" t="n">
        <v>44425</v>
      </c>
      <c r="C42" s="1" t="n">
        <v>46202</v>
      </c>
      <c r="D42" t="inlineStr">
        <is>
          <t>VÄSTMANLANDS LÄN</t>
        </is>
      </c>
      <c r="E42" t="inlineStr">
        <is>
          <t>SALA</t>
        </is>
      </c>
      <c r="G42" t="n">
        <v>1.4</v>
      </c>
      <c r="H42" t="n">
        <v>0</v>
      </c>
      <c r="I42" t="n">
        <v>1</v>
      </c>
      <c r="J42" t="n">
        <v>1</v>
      </c>
      <c r="K42" t="n">
        <v>0</v>
      </c>
      <c r="L42" t="n">
        <v>0</v>
      </c>
      <c r="M42" t="n">
        <v>0</v>
      </c>
      <c r="N42" t="n">
        <v>0</v>
      </c>
      <c r="O42" t="n">
        <v>1</v>
      </c>
      <c r="P42" t="n">
        <v>0</v>
      </c>
      <c r="Q42" t="n">
        <v>2</v>
      </c>
      <c r="R42" s="2" t="inlineStr">
        <is>
          <t>Vedtrappmossa
Dvärghäxört</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43068-2024</t>
        </is>
      </c>
      <c r="B43" s="1" t="n">
        <v>45567</v>
      </c>
      <c r="C43" s="1" t="n">
        <v>46202</v>
      </c>
      <c r="D43" t="inlineStr">
        <is>
          <t>VÄSTMANLANDS LÄN</t>
        </is>
      </c>
      <c r="E43" t="inlineStr">
        <is>
          <t>SALA</t>
        </is>
      </c>
      <c r="G43" t="n">
        <v>1.1</v>
      </c>
      <c r="H43" t="n">
        <v>0</v>
      </c>
      <c r="I43" t="n">
        <v>1</v>
      </c>
      <c r="J43" t="n">
        <v>1</v>
      </c>
      <c r="K43" t="n">
        <v>0</v>
      </c>
      <c r="L43" t="n">
        <v>0</v>
      </c>
      <c r="M43" t="n">
        <v>0</v>
      </c>
      <c r="N43" t="n">
        <v>0</v>
      </c>
      <c r="O43" t="n">
        <v>1</v>
      </c>
      <c r="P43" t="n">
        <v>0</v>
      </c>
      <c r="Q43" t="n">
        <v>2</v>
      </c>
      <c r="R43" s="2" t="inlineStr">
        <is>
          <t>Skorpgelélav
Vedticka</t>
        </is>
      </c>
      <c r="S43">
        <f>HYPERLINK("https://klasma.github.io/Logging_1981/artfynd/A 43068-2024 artfynd.xlsx", "A 43068-2024")</f>
        <v/>
      </c>
      <c r="T43">
        <f>HYPERLINK("https://klasma.github.io/Logging_1981/kartor/A 43068-2024 karta.png", "A 43068-2024")</f>
        <v/>
      </c>
      <c r="V43">
        <f>HYPERLINK("https://klasma.github.io/Logging_1981/klagomål/A 43068-2024 FSC-klagomål.docx", "A 43068-2024")</f>
        <v/>
      </c>
      <c r="W43">
        <f>HYPERLINK("https://klasma.github.io/Logging_1981/klagomålsmail/A 43068-2024 FSC-klagomål mail.docx", "A 43068-2024")</f>
        <v/>
      </c>
      <c r="X43">
        <f>HYPERLINK("https://klasma.github.io/Logging_1981/tillsyn/A 43068-2024 tillsynsbegäran.docx", "A 43068-2024")</f>
        <v/>
      </c>
      <c r="Y43">
        <f>HYPERLINK("https://klasma.github.io/Logging_1981/tillsynsmail/A 43068-2024 tillsynsbegäran mail.docx", "A 43068-2024")</f>
        <v/>
      </c>
    </row>
    <row r="44" ht="15" customHeight="1">
      <c r="A44" t="inlineStr">
        <is>
          <t>A 13029-2023</t>
        </is>
      </c>
      <c r="B44" s="1" t="n">
        <v>45001</v>
      </c>
      <c r="C44" s="1" t="n">
        <v>46202</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18431-2023</t>
        </is>
      </c>
      <c r="B45" s="1" t="n">
        <v>45042</v>
      </c>
      <c r="C45" s="1" t="n">
        <v>46202</v>
      </c>
      <c r="D45" t="inlineStr">
        <is>
          <t>VÄSTMANLANDS LÄN</t>
        </is>
      </c>
      <c r="E45" t="inlineStr">
        <is>
          <t>SALA</t>
        </is>
      </c>
      <c r="G45" t="n">
        <v>1.9</v>
      </c>
      <c r="H45" t="n">
        <v>0</v>
      </c>
      <c r="I45" t="n">
        <v>1</v>
      </c>
      <c r="J45" t="n">
        <v>1</v>
      </c>
      <c r="K45" t="n">
        <v>0</v>
      </c>
      <c r="L45" t="n">
        <v>0</v>
      </c>
      <c r="M45" t="n">
        <v>0</v>
      </c>
      <c r="N45" t="n">
        <v>0</v>
      </c>
      <c r="O45" t="n">
        <v>1</v>
      </c>
      <c r="P45" t="n">
        <v>0</v>
      </c>
      <c r="Q45" t="n">
        <v>2</v>
      </c>
      <c r="R45" s="2" t="inlineStr">
        <is>
          <t>Scharlakansvaxing
Blodvaxing</t>
        </is>
      </c>
      <c r="S45">
        <f>HYPERLINK("https://klasma.github.io/Logging_1981/artfynd/A 18431-2023 artfynd.xlsx", "A 18431-2023")</f>
        <v/>
      </c>
      <c r="T45">
        <f>HYPERLINK("https://klasma.github.io/Logging_1981/kartor/A 18431-2023 karta.png", "A 18431-2023")</f>
        <v/>
      </c>
      <c r="V45">
        <f>HYPERLINK("https://klasma.github.io/Logging_1981/klagomål/A 18431-2023 FSC-klagomål.docx", "A 18431-2023")</f>
        <v/>
      </c>
      <c r="W45">
        <f>HYPERLINK("https://klasma.github.io/Logging_1981/klagomålsmail/A 18431-2023 FSC-klagomål mail.docx", "A 18431-2023")</f>
        <v/>
      </c>
      <c r="X45">
        <f>HYPERLINK("https://klasma.github.io/Logging_1981/tillsyn/A 18431-2023 tillsynsbegäran.docx", "A 18431-2023")</f>
        <v/>
      </c>
      <c r="Y45">
        <f>HYPERLINK("https://klasma.github.io/Logging_1981/tillsynsmail/A 18431-2023 tillsynsbegäran mail.docx", "A 18431-2023")</f>
        <v/>
      </c>
    </row>
    <row r="46" ht="15" customHeight="1">
      <c r="A46" t="inlineStr">
        <is>
          <t>A 6351-2023</t>
        </is>
      </c>
      <c r="B46" s="1" t="n">
        <v>44965</v>
      </c>
      <c r="C46" s="1" t="n">
        <v>46202</v>
      </c>
      <c r="D46" t="inlineStr">
        <is>
          <t>VÄSTMANLANDS LÄN</t>
        </is>
      </c>
      <c r="E46" t="inlineStr">
        <is>
          <t>SALA</t>
        </is>
      </c>
      <c r="F46" t="inlineStr">
        <is>
          <t>Kommuner</t>
        </is>
      </c>
      <c r="G46" t="n">
        <v>8.800000000000001</v>
      </c>
      <c r="H46" t="n">
        <v>2</v>
      </c>
      <c r="I46" t="n">
        <v>0</v>
      </c>
      <c r="J46" t="n">
        <v>0</v>
      </c>
      <c r="K46" t="n">
        <v>0</v>
      </c>
      <c r="L46" t="n">
        <v>0</v>
      </c>
      <c r="M46" t="n">
        <v>0</v>
      </c>
      <c r="N46" t="n">
        <v>0</v>
      </c>
      <c r="O46" t="n">
        <v>0</v>
      </c>
      <c r="P46" t="n">
        <v>0</v>
      </c>
      <c r="Q46" t="n">
        <v>2</v>
      </c>
      <c r="R46" s="2" t="inlineStr">
        <is>
          <t>Havsörn
Skogsödla</t>
        </is>
      </c>
      <c r="S46">
        <f>HYPERLINK("https://klasma.github.io/Logging_1981/artfynd/A 6351-2023 artfynd.xlsx", "A 6351-2023")</f>
        <v/>
      </c>
      <c r="T46">
        <f>HYPERLINK("https://klasma.github.io/Logging_1981/kartor/A 6351-2023 karta.png", "A 6351-2023")</f>
        <v/>
      </c>
      <c r="V46">
        <f>HYPERLINK("https://klasma.github.io/Logging_1981/klagomål/A 6351-2023 FSC-klagomål.docx", "A 6351-2023")</f>
        <v/>
      </c>
      <c r="W46">
        <f>HYPERLINK("https://klasma.github.io/Logging_1981/klagomålsmail/A 6351-2023 FSC-klagomål mail.docx", "A 6351-2023")</f>
        <v/>
      </c>
      <c r="X46">
        <f>HYPERLINK("https://klasma.github.io/Logging_1981/tillsyn/A 6351-2023 tillsynsbegäran.docx", "A 6351-2023")</f>
        <v/>
      </c>
      <c r="Y46">
        <f>HYPERLINK("https://klasma.github.io/Logging_1981/tillsynsmail/A 6351-2023 tillsynsbegäran mail.docx", "A 6351-2023")</f>
        <v/>
      </c>
      <c r="Z46">
        <f>HYPERLINK("https://klasma.github.io/Logging_1981/fåglar/A 6351-2023 prioriterade fågelarter.docx", "A 6351-2023")</f>
        <v/>
      </c>
    </row>
    <row r="47" ht="15" customHeight="1">
      <c r="A47" t="inlineStr">
        <is>
          <t>A 37624-2024</t>
        </is>
      </c>
      <c r="B47" s="1" t="n">
        <v>45541</v>
      </c>
      <c r="C47" s="1" t="n">
        <v>46202</v>
      </c>
      <c r="D47" t="inlineStr">
        <is>
          <t>VÄSTMANLANDS LÄN</t>
        </is>
      </c>
      <c r="E47" t="inlineStr">
        <is>
          <t>SALA</t>
        </is>
      </c>
      <c r="G47" t="n">
        <v>0.7</v>
      </c>
      <c r="H47" t="n">
        <v>0</v>
      </c>
      <c r="I47" t="n">
        <v>2</v>
      </c>
      <c r="J47" t="n">
        <v>0</v>
      </c>
      <c r="K47" t="n">
        <v>0</v>
      </c>
      <c r="L47" t="n">
        <v>0</v>
      </c>
      <c r="M47" t="n">
        <v>0</v>
      </c>
      <c r="N47" t="n">
        <v>0</v>
      </c>
      <c r="O47" t="n">
        <v>0</v>
      </c>
      <c r="P47" t="n">
        <v>0</v>
      </c>
      <c r="Q47" t="n">
        <v>2</v>
      </c>
      <c r="R47" s="2" t="inlineStr">
        <is>
          <t>Barkticka
Vedticka</t>
        </is>
      </c>
      <c r="S47">
        <f>HYPERLINK("https://klasma.github.io/Logging_1981/artfynd/A 37624-2024 artfynd.xlsx", "A 37624-2024")</f>
        <v/>
      </c>
      <c r="T47">
        <f>HYPERLINK("https://klasma.github.io/Logging_1981/kartor/A 37624-2024 karta.png", "A 37624-2024")</f>
        <v/>
      </c>
      <c r="V47">
        <f>HYPERLINK("https://klasma.github.io/Logging_1981/klagomål/A 37624-2024 FSC-klagomål.docx", "A 37624-2024")</f>
        <v/>
      </c>
      <c r="W47">
        <f>HYPERLINK("https://klasma.github.io/Logging_1981/klagomålsmail/A 37624-2024 FSC-klagomål mail.docx", "A 37624-2024")</f>
        <v/>
      </c>
      <c r="X47">
        <f>HYPERLINK("https://klasma.github.io/Logging_1981/tillsyn/A 37624-2024 tillsynsbegäran.docx", "A 37624-2024")</f>
        <v/>
      </c>
      <c r="Y47">
        <f>HYPERLINK("https://klasma.github.io/Logging_1981/tillsynsmail/A 37624-2024 tillsynsbegäran mail.docx", "A 37624-2024")</f>
        <v/>
      </c>
    </row>
    <row r="48" ht="15" customHeight="1">
      <c r="A48" t="inlineStr">
        <is>
          <t>A 56704-2022</t>
        </is>
      </c>
      <c r="B48" s="1" t="n">
        <v>44893</v>
      </c>
      <c r="C48" s="1" t="n">
        <v>46202</v>
      </c>
      <c r="D48" t="inlineStr">
        <is>
          <t>VÄSTMANLANDS LÄN</t>
        </is>
      </c>
      <c r="E48" t="inlineStr">
        <is>
          <t>SALA</t>
        </is>
      </c>
      <c r="G48" t="n">
        <v>3.2</v>
      </c>
      <c r="H48" t="n">
        <v>2</v>
      </c>
      <c r="I48" t="n">
        <v>0</v>
      </c>
      <c r="J48" t="n">
        <v>0</v>
      </c>
      <c r="K48" t="n">
        <v>1</v>
      </c>
      <c r="L48" t="n">
        <v>0</v>
      </c>
      <c r="M48" t="n">
        <v>0</v>
      </c>
      <c r="N48" t="n">
        <v>0</v>
      </c>
      <c r="O48" t="n">
        <v>1</v>
      </c>
      <c r="P48" t="n">
        <v>1</v>
      </c>
      <c r="Q48" t="n">
        <v>2</v>
      </c>
      <c r="R48" s="2" t="inlineStr">
        <is>
          <t>Knärot
Fläcknycklar</t>
        </is>
      </c>
      <c r="S48">
        <f>HYPERLINK("https://klasma.github.io/Logging_1981/artfynd/A 56704-2022 artfynd.xlsx", "A 56704-2022")</f>
        <v/>
      </c>
      <c r="T48">
        <f>HYPERLINK("https://klasma.github.io/Logging_1981/kartor/A 56704-2022 karta.png", "A 56704-2022")</f>
        <v/>
      </c>
      <c r="U48">
        <f>HYPERLINK("https://klasma.github.io/Logging_1981/knärot/A 56704-2022 karta knärot.png", "A 56704-2022")</f>
        <v/>
      </c>
      <c r="V48">
        <f>HYPERLINK("https://klasma.github.io/Logging_1981/klagomål/A 56704-2022 FSC-klagomål.docx", "A 56704-2022")</f>
        <v/>
      </c>
      <c r="W48">
        <f>HYPERLINK("https://klasma.github.io/Logging_1981/klagomålsmail/A 56704-2022 FSC-klagomål mail.docx", "A 56704-2022")</f>
        <v/>
      </c>
      <c r="X48">
        <f>HYPERLINK("https://klasma.github.io/Logging_1981/tillsyn/A 56704-2022 tillsynsbegäran.docx", "A 56704-2022")</f>
        <v/>
      </c>
      <c r="Y48">
        <f>HYPERLINK("https://klasma.github.io/Logging_1981/tillsynsmail/A 56704-2022 tillsynsbegäran mail.docx", "A 56704-2022")</f>
        <v/>
      </c>
    </row>
    <row r="49" ht="15" customHeight="1">
      <c r="A49" t="inlineStr">
        <is>
          <t>A 34494-2023</t>
        </is>
      </c>
      <c r="B49" s="1" t="n">
        <v>45133</v>
      </c>
      <c r="C49" s="1" t="n">
        <v>46202</v>
      </c>
      <c r="D49" t="inlineStr">
        <is>
          <t>VÄSTMANLANDS LÄN</t>
        </is>
      </c>
      <c r="E49" t="inlineStr">
        <is>
          <t>SALA</t>
        </is>
      </c>
      <c r="G49" t="n">
        <v>0.8</v>
      </c>
      <c r="H49" t="n">
        <v>0</v>
      </c>
      <c r="I49" t="n">
        <v>2</v>
      </c>
      <c r="J49" t="n">
        <v>0</v>
      </c>
      <c r="K49" t="n">
        <v>0</v>
      </c>
      <c r="L49" t="n">
        <v>0</v>
      </c>
      <c r="M49" t="n">
        <v>0</v>
      </c>
      <c r="N49" t="n">
        <v>0</v>
      </c>
      <c r="O49" t="n">
        <v>0</v>
      </c>
      <c r="P49" t="n">
        <v>0</v>
      </c>
      <c r="Q49" t="n">
        <v>2</v>
      </c>
      <c r="R49" s="2" t="inlineStr">
        <is>
          <t>Bronshjon
Thomsons trägnagare</t>
        </is>
      </c>
      <c r="S49">
        <f>HYPERLINK("https://klasma.github.io/Logging_1981/artfynd/A 34494-2023 artfynd.xlsx", "A 34494-2023")</f>
        <v/>
      </c>
      <c r="T49">
        <f>HYPERLINK("https://klasma.github.io/Logging_1981/kartor/A 34494-2023 karta.png", "A 34494-2023")</f>
        <v/>
      </c>
      <c r="V49">
        <f>HYPERLINK("https://klasma.github.io/Logging_1981/klagomål/A 34494-2023 FSC-klagomål.docx", "A 34494-2023")</f>
        <v/>
      </c>
      <c r="W49">
        <f>HYPERLINK("https://klasma.github.io/Logging_1981/klagomålsmail/A 34494-2023 FSC-klagomål mail.docx", "A 34494-2023")</f>
        <v/>
      </c>
      <c r="X49">
        <f>HYPERLINK("https://klasma.github.io/Logging_1981/tillsyn/A 34494-2023 tillsynsbegäran.docx", "A 34494-2023")</f>
        <v/>
      </c>
      <c r="Y49">
        <f>HYPERLINK("https://klasma.github.io/Logging_1981/tillsynsmail/A 34494-2023 tillsynsbegäran mail.docx", "A 34494-2023")</f>
        <v/>
      </c>
    </row>
    <row r="50" ht="15" customHeight="1">
      <c r="A50" t="inlineStr">
        <is>
          <t>A 38574-2025</t>
        </is>
      </c>
      <c r="B50" s="1" t="n">
        <v>45884</v>
      </c>
      <c r="C50" s="1" t="n">
        <v>46202</v>
      </c>
      <c r="D50" t="inlineStr">
        <is>
          <t>VÄSTMANLANDS LÄN</t>
        </is>
      </c>
      <c r="E50" t="inlineStr">
        <is>
          <t>SALA</t>
        </is>
      </c>
      <c r="G50" t="n">
        <v>2.1</v>
      </c>
      <c r="H50" t="n">
        <v>0</v>
      </c>
      <c r="I50" t="n">
        <v>0</v>
      </c>
      <c r="J50" t="n">
        <v>1</v>
      </c>
      <c r="K50" t="n">
        <v>1</v>
      </c>
      <c r="L50" t="n">
        <v>0</v>
      </c>
      <c r="M50" t="n">
        <v>0</v>
      </c>
      <c r="N50" t="n">
        <v>0</v>
      </c>
      <c r="O50" t="n">
        <v>2</v>
      </c>
      <c r="P50" t="n">
        <v>1</v>
      </c>
      <c r="Q50" t="n">
        <v>2</v>
      </c>
      <c r="R50" s="2" t="inlineStr">
        <is>
          <t>Aspgelélav
Vedskivlav</t>
        </is>
      </c>
      <c r="S50">
        <f>HYPERLINK("https://klasma.github.io/Logging_1981/artfynd/A 38574-2025 artfynd.xlsx", "A 38574-2025")</f>
        <v/>
      </c>
      <c r="T50">
        <f>HYPERLINK("https://klasma.github.io/Logging_1981/kartor/A 38574-2025 karta.png", "A 38574-2025")</f>
        <v/>
      </c>
      <c r="V50">
        <f>HYPERLINK("https://klasma.github.io/Logging_1981/klagomål/A 38574-2025 FSC-klagomål.docx", "A 38574-2025")</f>
        <v/>
      </c>
      <c r="W50">
        <f>HYPERLINK("https://klasma.github.io/Logging_1981/klagomålsmail/A 38574-2025 FSC-klagomål mail.docx", "A 38574-2025")</f>
        <v/>
      </c>
      <c r="X50">
        <f>HYPERLINK("https://klasma.github.io/Logging_1981/tillsyn/A 38574-2025 tillsynsbegäran.docx", "A 38574-2025")</f>
        <v/>
      </c>
      <c r="Y50">
        <f>HYPERLINK("https://klasma.github.io/Logging_1981/tillsynsmail/A 38574-2025 tillsynsbegäran mail.docx", "A 38574-2025")</f>
        <v/>
      </c>
    </row>
    <row r="51" ht="15" customHeight="1">
      <c r="A51" t="inlineStr">
        <is>
          <t>A 48705-2025</t>
        </is>
      </c>
      <c r="B51" s="1" t="n">
        <v>45936</v>
      </c>
      <c r="C51" s="1" t="n">
        <v>46202</v>
      </c>
      <c r="D51" t="inlineStr">
        <is>
          <t>VÄSTMANLANDS LÄN</t>
        </is>
      </c>
      <c r="E51" t="inlineStr">
        <is>
          <t>SALA</t>
        </is>
      </c>
      <c r="G51" t="n">
        <v>4.4</v>
      </c>
      <c r="H51" t="n">
        <v>2</v>
      </c>
      <c r="I51" t="n">
        <v>1</v>
      </c>
      <c r="J51" t="n">
        <v>0</v>
      </c>
      <c r="K51" t="n">
        <v>0</v>
      </c>
      <c r="L51" t="n">
        <v>0</v>
      </c>
      <c r="M51" t="n">
        <v>0</v>
      </c>
      <c r="N51" t="n">
        <v>0</v>
      </c>
      <c r="O51" t="n">
        <v>0</v>
      </c>
      <c r="P51" t="n">
        <v>0</v>
      </c>
      <c r="Q51" t="n">
        <v>2</v>
      </c>
      <c r="R51" s="2" t="inlineStr">
        <is>
          <t>Plattlummer
Revlummer</t>
        </is>
      </c>
      <c r="S51">
        <f>HYPERLINK("https://klasma.github.io/Logging_1981/artfynd/A 48705-2025 artfynd.xlsx", "A 48705-2025")</f>
        <v/>
      </c>
      <c r="T51">
        <f>HYPERLINK("https://klasma.github.io/Logging_1981/kartor/A 48705-2025 karta.png", "A 48705-2025")</f>
        <v/>
      </c>
      <c r="V51">
        <f>HYPERLINK("https://klasma.github.io/Logging_1981/klagomål/A 48705-2025 FSC-klagomål.docx", "A 48705-2025")</f>
        <v/>
      </c>
      <c r="W51">
        <f>HYPERLINK("https://klasma.github.io/Logging_1981/klagomålsmail/A 48705-2025 FSC-klagomål mail.docx", "A 48705-2025")</f>
        <v/>
      </c>
      <c r="X51">
        <f>HYPERLINK("https://klasma.github.io/Logging_1981/tillsyn/A 48705-2025 tillsynsbegäran.docx", "A 48705-2025")</f>
        <v/>
      </c>
      <c r="Y51">
        <f>HYPERLINK("https://klasma.github.io/Logging_1981/tillsynsmail/A 48705-2025 tillsynsbegäran mail.docx", "A 48705-2025")</f>
        <v/>
      </c>
    </row>
    <row r="52" ht="15" customHeight="1">
      <c r="A52" t="inlineStr">
        <is>
          <t>A 53048-2025</t>
        </is>
      </c>
      <c r="B52" s="1" t="n">
        <v>45958</v>
      </c>
      <c r="C52" s="1" t="n">
        <v>46202</v>
      </c>
      <c r="D52" t="inlineStr">
        <is>
          <t>VÄSTMANLANDS LÄN</t>
        </is>
      </c>
      <c r="E52" t="inlineStr">
        <is>
          <t>SALA</t>
        </is>
      </c>
      <c r="F52" t="inlineStr">
        <is>
          <t>Sveaskog</t>
        </is>
      </c>
      <c r="G52" t="n">
        <v>7.5</v>
      </c>
      <c r="H52" t="n">
        <v>1</v>
      </c>
      <c r="I52" t="n">
        <v>1</v>
      </c>
      <c r="J52" t="n">
        <v>1</v>
      </c>
      <c r="K52" t="n">
        <v>0</v>
      </c>
      <c r="L52" t="n">
        <v>0</v>
      </c>
      <c r="M52" t="n">
        <v>0</v>
      </c>
      <c r="N52" t="n">
        <v>0</v>
      </c>
      <c r="O52" t="n">
        <v>1</v>
      </c>
      <c r="P52" t="n">
        <v>0</v>
      </c>
      <c r="Q52" t="n">
        <v>2</v>
      </c>
      <c r="R52" s="2" t="inlineStr">
        <is>
          <t>Motaggsvamp
Plattlummer</t>
        </is>
      </c>
      <c r="S52">
        <f>HYPERLINK("https://klasma.github.io/Logging_1981/artfynd/A 53048-2025 artfynd.xlsx", "A 53048-2025")</f>
        <v/>
      </c>
      <c r="T52">
        <f>HYPERLINK("https://klasma.github.io/Logging_1981/kartor/A 53048-2025 karta.png", "A 53048-2025")</f>
        <v/>
      </c>
      <c r="V52">
        <f>HYPERLINK("https://klasma.github.io/Logging_1981/klagomål/A 53048-2025 FSC-klagomål.docx", "A 53048-2025")</f>
        <v/>
      </c>
      <c r="W52">
        <f>HYPERLINK("https://klasma.github.io/Logging_1981/klagomålsmail/A 53048-2025 FSC-klagomål mail.docx", "A 53048-2025")</f>
        <v/>
      </c>
      <c r="X52">
        <f>HYPERLINK("https://klasma.github.io/Logging_1981/tillsyn/A 53048-2025 tillsynsbegäran.docx", "A 53048-2025")</f>
        <v/>
      </c>
      <c r="Y52">
        <f>HYPERLINK("https://klasma.github.io/Logging_1981/tillsynsmail/A 53048-2025 tillsynsbegäran mail.docx", "A 53048-2025")</f>
        <v/>
      </c>
    </row>
    <row r="53" ht="15" customHeight="1">
      <c r="A53" t="inlineStr">
        <is>
          <t>A 24872-2025</t>
        </is>
      </c>
      <c r="B53" s="1" t="n">
        <v>45799</v>
      </c>
      <c r="C53" s="1" t="n">
        <v>46202</v>
      </c>
      <c r="D53" t="inlineStr">
        <is>
          <t>VÄSTMANLANDS LÄN</t>
        </is>
      </c>
      <c r="E53" t="inlineStr">
        <is>
          <t>SALA</t>
        </is>
      </c>
      <c r="G53" t="n">
        <v>13.9</v>
      </c>
      <c r="H53" t="n">
        <v>1</v>
      </c>
      <c r="I53" t="n">
        <v>0</v>
      </c>
      <c r="J53" t="n">
        <v>1</v>
      </c>
      <c r="K53" t="n">
        <v>1</v>
      </c>
      <c r="L53" t="n">
        <v>0</v>
      </c>
      <c r="M53" t="n">
        <v>0</v>
      </c>
      <c r="N53" t="n">
        <v>0</v>
      </c>
      <c r="O53" t="n">
        <v>2</v>
      </c>
      <c r="P53" t="n">
        <v>1</v>
      </c>
      <c r="Q53" t="n">
        <v>2</v>
      </c>
      <c r="R53" s="2" t="inlineStr">
        <is>
          <t>Knärot
Motaggsvamp</t>
        </is>
      </c>
      <c r="S53">
        <f>HYPERLINK("https://klasma.github.io/Logging_1981/artfynd/A 24872-2025 artfynd.xlsx", "A 24872-2025")</f>
        <v/>
      </c>
      <c r="T53">
        <f>HYPERLINK("https://klasma.github.io/Logging_1981/kartor/A 24872-2025 karta.png", "A 24872-2025")</f>
        <v/>
      </c>
      <c r="U53">
        <f>HYPERLINK("https://klasma.github.io/Logging_1981/knärot/A 24872-2025 karta knärot.png", "A 24872-2025")</f>
        <v/>
      </c>
      <c r="V53">
        <f>HYPERLINK("https://klasma.github.io/Logging_1981/klagomål/A 24872-2025 FSC-klagomål.docx", "A 24872-2025")</f>
        <v/>
      </c>
      <c r="W53">
        <f>HYPERLINK("https://klasma.github.io/Logging_1981/klagomålsmail/A 24872-2025 FSC-klagomål mail.docx", "A 24872-2025")</f>
        <v/>
      </c>
      <c r="X53">
        <f>HYPERLINK("https://klasma.github.io/Logging_1981/tillsyn/A 24872-2025 tillsynsbegäran.docx", "A 24872-2025")</f>
        <v/>
      </c>
      <c r="Y53">
        <f>HYPERLINK("https://klasma.github.io/Logging_1981/tillsynsmail/A 24872-2025 tillsynsbegäran mail.docx", "A 24872-2025")</f>
        <v/>
      </c>
    </row>
    <row r="54" ht="15" customHeight="1">
      <c r="A54" t="inlineStr">
        <is>
          <t>A 59826-2025</t>
        </is>
      </c>
      <c r="B54" s="1" t="n">
        <v>45992</v>
      </c>
      <c r="C54" s="1" t="n">
        <v>46202</v>
      </c>
      <c r="D54" t="inlineStr">
        <is>
          <t>VÄSTMANLANDS LÄN</t>
        </is>
      </c>
      <c r="E54" t="inlineStr">
        <is>
          <t>SALA</t>
        </is>
      </c>
      <c r="G54" t="n">
        <v>2.7</v>
      </c>
      <c r="H54" t="n">
        <v>0</v>
      </c>
      <c r="I54" t="n">
        <v>1</v>
      </c>
      <c r="J54" t="n">
        <v>1</v>
      </c>
      <c r="K54" t="n">
        <v>0</v>
      </c>
      <c r="L54" t="n">
        <v>0</v>
      </c>
      <c r="M54" t="n">
        <v>0</v>
      </c>
      <c r="N54" t="n">
        <v>0</v>
      </c>
      <c r="O54" t="n">
        <v>1</v>
      </c>
      <c r="P54" t="n">
        <v>0</v>
      </c>
      <c r="Q54" t="n">
        <v>2</v>
      </c>
      <c r="R54" s="2" t="inlineStr">
        <is>
          <t>Motaggsvamp
Gullgröppa</t>
        </is>
      </c>
      <c r="S54">
        <f>HYPERLINK("https://klasma.github.io/Logging_1981/artfynd/A 59826-2025 artfynd.xlsx", "A 59826-2025")</f>
        <v/>
      </c>
      <c r="T54">
        <f>HYPERLINK("https://klasma.github.io/Logging_1981/kartor/A 59826-2025 karta.png", "A 59826-2025")</f>
        <v/>
      </c>
      <c r="V54">
        <f>HYPERLINK("https://klasma.github.io/Logging_1981/klagomål/A 59826-2025 FSC-klagomål.docx", "A 59826-2025")</f>
        <v/>
      </c>
      <c r="W54">
        <f>HYPERLINK("https://klasma.github.io/Logging_1981/klagomålsmail/A 59826-2025 FSC-klagomål mail.docx", "A 59826-2025")</f>
        <v/>
      </c>
      <c r="X54">
        <f>HYPERLINK("https://klasma.github.io/Logging_1981/tillsyn/A 59826-2025 tillsynsbegäran.docx", "A 59826-2025")</f>
        <v/>
      </c>
      <c r="Y54">
        <f>HYPERLINK("https://klasma.github.io/Logging_1981/tillsynsmail/A 59826-2025 tillsynsbegäran mail.docx", "A 59826-2025")</f>
        <v/>
      </c>
    </row>
    <row r="55" ht="15" customHeight="1">
      <c r="A55" t="inlineStr">
        <is>
          <t>A 29017-2026</t>
        </is>
      </c>
      <c r="B55" s="1" t="n">
        <v>46199</v>
      </c>
      <c r="C55" s="1" t="n">
        <v>46202</v>
      </c>
      <c r="D55" t="inlineStr">
        <is>
          <t>VÄSTMANLANDS LÄN</t>
        </is>
      </c>
      <c r="E55" t="inlineStr">
        <is>
          <t>SALA</t>
        </is>
      </c>
      <c r="G55" t="n">
        <v>3.2</v>
      </c>
      <c r="H55" t="n">
        <v>2</v>
      </c>
      <c r="I55" t="n">
        <v>0</v>
      </c>
      <c r="J55" t="n">
        <v>0</v>
      </c>
      <c r="K55" t="n">
        <v>0</v>
      </c>
      <c r="L55" t="n">
        <v>0</v>
      </c>
      <c r="M55" t="n">
        <v>0</v>
      </c>
      <c r="N55" t="n">
        <v>0</v>
      </c>
      <c r="O55" t="n">
        <v>0</v>
      </c>
      <c r="P55" t="n">
        <v>0</v>
      </c>
      <c r="Q55" t="n">
        <v>2</v>
      </c>
      <c r="R55" s="2" t="inlineStr">
        <is>
          <t>Gröngöling
Svartvit flugsnappare</t>
        </is>
      </c>
      <c r="S55">
        <f>HYPERLINK("https://klasma.github.io/Logging_1981/artfynd/A 29017-2026 artfynd.xlsx", "A 29017-2026")</f>
        <v/>
      </c>
      <c r="T55">
        <f>HYPERLINK("https://klasma.github.io/Logging_1981/kartor/A 29017-2026 karta.png", "A 29017-2026")</f>
        <v/>
      </c>
      <c r="V55">
        <f>HYPERLINK("https://klasma.github.io/Logging_1981/klagomål/A 29017-2026 FSC-klagomål.docx", "A 29017-2026")</f>
        <v/>
      </c>
      <c r="W55">
        <f>HYPERLINK("https://klasma.github.io/Logging_1981/klagomålsmail/A 29017-2026 FSC-klagomål mail.docx", "A 29017-2026")</f>
        <v/>
      </c>
      <c r="X55">
        <f>HYPERLINK("https://klasma.github.io/Logging_1981/tillsyn/A 29017-2026 tillsynsbegäran.docx", "A 29017-2026")</f>
        <v/>
      </c>
      <c r="Y55">
        <f>HYPERLINK("https://klasma.github.io/Logging_1981/tillsynsmail/A 29017-2026 tillsynsbegäran mail.docx", "A 29017-2026")</f>
        <v/>
      </c>
    </row>
    <row r="56" ht="15" customHeight="1">
      <c r="A56" t="inlineStr">
        <is>
          <t>A 53432-2022</t>
        </is>
      </c>
      <c r="B56" s="1" t="n">
        <v>44879</v>
      </c>
      <c r="C56" s="1" t="n">
        <v>46202</v>
      </c>
      <c r="D56" t="inlineStr">
        <is>
          <t>VÄSTMANLANDS LÄN</t>
        </is>
      </c>
      <c r="E56" t="inlineStr">
        <is>
          <t>SALA</t>
        </is>
      </c>
      <c r="G56" t="n">
        <v>1</v>
      </c>
      <c r="H56" t="n">
        <v>0</v>
      </c>
      <c r="I56" t="n">
        <v>1</v>
      </c>
      <c r="J56" t="n">
        <v>0</v>
      </c>
      <c r="K56" t="n">
        <v>0</v>
      </c>
      <c r="L56" t="n">
        <v>0</v>
      </c>
      <c r="M56" t="n">
        <v>0</v>
      </c>
      <c r="N56" t="n">
        <v>0</v>
      </c>
      <c r="O56" t="n">
        <v>0</v>
      </c>
      <c r="P56" t="n">
        <v>0</v>
      </c>
      <c r="Q56" t="n">
        <v>1</v>
      </c>
      <c r="R56" s="2" t="inlineStr">
        <is>
          <t>Hässleklocka</t>
        </is>
      </c>
      <c r="S56">
        <f>HYPERLINK("https://klasma.github.io/Logging_1981/artfynd/A 53432-2022 artfynd.xlsx", "A 53432-2022")</f>
        <v/>
      </c>
      <c r="T56">
        <f>HYPERLINK("https://klasma.github.io/Logging_1981/kartor/A 53432-2022 karta.png", "A 53432-2022")</f>
        <v/>
      </c>
      <c r="V56">
        <f>HYPERLINK("https://klasma.github.io/Logging_1981/klagomål/A 53432-2022 FSC-klagomål.docx", "A 53432-2022")</f>
        <v/>
      </c>
      <c r="W56">
        <f>HYPERLINK("https://klasma.github.io/Logging_1981/klagomålsmail/A 53432-2022 FSC-klagomål mail.docx", "A 53432-2022")</f>
        <v/>
      </c>
      <c r="X56">
        <f>HYPERLINK("https://klasma.github.io/Logging_1981/tillsyn/A 53432-2022 tillsynsbegäran.docx", "A 53432-2022")</f>
        <v/>
      </c>
      <c r="Y56">
        <f>HYPERLINK("https://klasma.github.io/Logging_1981/tillsynsmail/A 53432-2022 tillsynsbegäran mail.docx", "A 53432-2022")</f>
        <v/>
      </c>
    </row>
    <row r="57" ht="15" customHeight="1">
      <c r="A57" t="inlineStr">
        <is>
          <t>A 44970-2021</t>
        </is>
      </c>
      <c r="B57" s="1" t="n">
        <v>44438</v>
      </c>
      <c r="C57" s="1" t="n">
        <v>46202</v>
      </c>
      <c r="D57" t="inlineStr">
        <is>
          <t>VÄSTMANLANDS LÄN</t>
        </is>
      </c>
      <c r="E57" t="inlineStr">
        <is>
          <t>SALA</t>
        </is>
      </c>
      <c r="G57" t="n">
        <v>1.2</v>
      </c>
      <c r="H57" t="n">
        <v>1</v>
      </c>
      <c r="I57" t="n">
        <v>0</v>
      </c>
      <c r="J57" t="n">
        <v>0</v>
      </c>
      <c r="K57" t="n">
        <v>0</v>
      </c>
      <c r="L57" t="n">
        <v>0</v>
      </c>
      <c r="M57" t="n">
        <v>0</v>
      </c>
      <c r="N57" t="n">
        <v>0</v>
      </c>
      <c r="O57" t="n">
        <v>0</v>
      </c>
      <c r="P57" t="n">
        <v>0</v>
      </c>
      <c r="Q57" t="n">
        <v>1</v>
      </c>
      <c r="R57" s="2" t="inlineStr">
        <is>
          <t>Revlummer</t>
        </is>
      </c>
      <c r="S57">
        <f>HYPERLINK("https://klasma.github.io/Logging_1981/artfynd/A 44970-2021 artfynd.xlsx", "A 44970-2021")</f>
        <v/>
      </c>
      <c r="T57">
        <f>HYPERLINK("https://klasma.github.io/Logging_1981/kartor/A 44970-2021 karta.png", "A 44970-2021")</f>
        <v/>
      </c>
      <c r="V57">
        <f>HYPERLINK("https://klasma.github.io/Logging_1981/klagomål/A 44970-2021 FSC-klagomål.docx", "A 44970-2021")</f>
        <v/>
      </c>
      <c r="W57">
        <f>HYPERLINK("https://klasma.github.io/Logging_1981/klagomålsmail/A 44970-2021 FSC-klagomål mail.docx", "A 44970-2021")</f>
        <v/>
      </c>
      <c r="X57">
        <f>HYPERLINK("https://klasma.github.io/Logging_1981/tillsyn/A 44970-2021 tillsynsbegäran.docx", "A 44970-2021")</f>
        <v/>
      </c>
      <c r="Y57">
        <f>HYPERLINK("https://klasma.github.io/Logging_1981/tillsynsmail/A 44970-2021 tillsynsbegäran mail.docx", "A 44970-2021")</f>
        <v/>
      </c>
    </row>
    <row r="58" ht="15" customHeight="1">
      <c r="A58" t="inlineStr">
        <is>
          <t>A 47701-2021</t>
        </is>
      </c>
      <c r="B58" s="1" t="n">
        <v>44448</v>
      </c>
      <c r="C58" s="1" t="n">
        <v>46202</v>
      </c>
      <c r="D58" t="inlineStr">
        <is>
          <t>VÄSTMANLANDS LÄN</t>
        </is>
      </c>
      <c r="E58" t="inlineStr">
        <is>
          <t>SALA</t>
        </is>
      </c>
      <c r="G58" t="n">
        <v>2.3</v>
      </c>
      <c r="H58" t="n">
        <v>1</v>
      </c>
      <c r="I58" t="n">
        <v>0</v>
      </c>
      <c r="J58" t="n">
        <v>0</v>
      </c>
      <c r="K58" t="n">
        <v>0</v>
      </c>
      <c r="L58" t="n">
        <v>0</v>
      </c>
      <c r="M58" t="n">
        <v>0</v>
      </c>
      <c r="N58" t="n">
        <v>0</v>
      </c>
      <c r="O58" t="n">
        <v>0</v>
      </c>
      <c r="P58" t="n">
        <v>0</v>
      </c>
      <c r="Q58" t="n">
        <v>1</v>
      </c>
      <c r="R58" s="2" t="inlineStr">
        <is>
          <t>Spillkråka</t>
        </is>
      </c>
      <c r="S58">
        <f>HYPERLINK("https://klasma.github.io/Logging_1981/artfynd/A 47701-2021 artfynd.xlsx", "A 47701-2021")</f>
        <v/>
      </c>
      <c r="T58">
        <f>HYPERLINK("https://klasma.github.io/Logging_1981/kartor/A 47701-2021 karta.png", "A 47701-2021")</f>
        <v/>
      </c>
      <c r="V58">
        <f>HYPERLINK("https://klasma.github.io/Logging_1981/klagomål/A 47701-2021 FSC-klagomål.docx", "A 47701-2021")</f>
        <v/>
      </c>
      <c r="W58">
        <f>HYPERLINK("https://klasma.github.io/Logging_1981/klagomålsmail/A 47701-2021 FSC-klagomål mail.docx", "A 47701-2021")</f>
        <v/>
      </c>
      <c r="X58">
        <f>HYPERLINK("https://klasma.github.io/Logging_1981/tillsyn/A 47701-2021 tillsynsbegäran.docx", "A 47701-2021")</f>
        <v/>
      </c>
      <c r="Y58">
        <f>HYPERLINK("https://klasma.github.io/Logging_1981/tillsynsmail/A 47701-2021 tillsynsbegäran mail.docx", "A 47701-2021")</f>
        <v/>
      </c>
      <c r="Z58">
        <f>HYPERLINK("https://klasma.github.io/Logging_1981/fåglar/A 47701-2021 prioriterade fågelarter.docx", "A 47701-2021")</f>
        <v/>
      </c>
    </row>
    <row r="59" ht="15" customHeight="1">
      <c r="A59" t="inlineStr">
        <is>
          <t>A 8130-2022</t>
        </is>
      </c>
      <c r="B59" s="1" t="n">
        <v>44609</v>
      </c>
      <c r="C59" s="1" t="n">
        <v>46202</v>
      </c>
      <c r="D59" t="inlineStr">
        <is>
          <t>VÄSTMANLANDS LÄN</t>
        </is>
      </c>
      <c r="E59" t="inlineStr">
        <is>
          <t>SALA</t>
        </is>
      </c>
      <c r="G59" t="n">
        <v>3.5</v>
      </c>
      <c r="H59" t="n">
        <v>0</v>
      </c>
      <c r="I59" t="n">
        <v>0</v>
      </c>
      <c r="J59" t="n">
        <v>1</v>
      </c>
      <c r="K59" t="n">
        <v>0</v>
      </c>
      <c r="L59" t="n">
        <v>0</v>
      </c>
      <c r="M59" t="n">
        <v>0</v>
      </c>
      <c r="N59" t="n">
        <v>0</v>
      </c>
      <c r="O59" t="n">
        <v>1</v>
      </c>
      <c r="P59" t="n">
        <v>0</v>
      </c>
      <c r="Q59" t="n">
        <v>1</v>
      </c>
      <c r="R59" s="2" t="inlineStr">
        <is>
          <t>Ullticka</t>
        </is>
      </c>
      <c r="S59">
        <f>HYPERLINK("https://klasma.github.io/Logging_1981/artfynd/A 8130-2022 artfynd.xlsx", "A 8130-2022")</f>
        <v/>
      </c>
      <c r="T59">
        <f>HYPERLINK("https://klasma.github.io/Logging_1981/kartor/A 8130-2022 karta.png", "A 8130-2022")</f>
        <v/>
      </c>
      <c r="V59">
        <f>HYPERLINK("https://klasma.github.io/Logging_1981/klagomål/A 8130-2022 FSC-klagomål.docx", "A 8130-2022")</f>
        <v/>
      </c>
      <c r="W59">
        <f>HYPERLINK("https://klasma.github.io/Logging_1981/klagomålsmail/A 8130-2022 FSC-klagomål mail.docx", "A 8130-2022")</f>
        <v/>
      </c>
      <c r="X59">
        <f>HYPERLINK("https://klasma.github.io/Logging_1981/tillsyn/A 8130-2022 tillsynsbegäran.docx", "A 8130-2022")</f>
        <v/>
      </c>
      <c r="Y59">
        <f>HYPERLINK("https://klasma.github.io/Logging_1981/tillsynsmail/A 8130-2022 tillsynsbegäran mail.docx", "A 8130-2022")</f>
        <v/>
      </c>
    </row>
    <row r="60" ht="15" customHeight="1">
      <c r="A60" t="inlineStr">
        <is>
          <t>A 43705-2022</t>
        </is>
      </c>
      <c r="B60" s="1" t="n">
        <v>44837</v>
      </c>
      <c r="C60" s="1" t="n">
        <v>46202</v>
      </c>
      <c r="D60" t="inlineStr">
        <is>
          <t>VÄSTMANLANDS LÄN</t>
        </is>
      </c>
      <c r="E60" t="inlineStr">
        <is>
          <t>SALA</t>
        </is>
      </c>
      <c r="G60" t="n">
        <v>2.9</v>
      </c>
      <c r="H60" t="n">
        <v>1</v>
      </c>
      <c r="I60" t="n">
        <v>0</v>
      </c>
      <c r="J60" t="n">
        <v>0</v>
      </c>
      <c r="K60" t="n">
        <v>1</v>
      </c>
      <c r="L60" t="n">
        <v>0</v>
      </c>
      <c r="M60" t="n">
        <v>0</v>
      </c>
      <c r="N60" t="n">
        <v>0</v>
      </c>
      <c r="O60" t="n">
        <v>1</v>
      </c>
      <c r="P60" t="n">
        <v>1</v>
      </c>
      <c r="Q60" t="n">
        <v>1</v>
      </c>
      <c r="R60" s="2" t="inlineStr">
        <is>
          <t>Knärot</t>
        </is>
      </c>
      <c r="S60">
        <f>HYPERLINK("https://klasma.github.io/Logging_1981/artfynd/A 43705-2022 artfynd.xlsx", "A 43705-2022")</f>
        <v/>
      </c>
      <c r="T60">
        <f>HYPERLINK("https://klasma.github.io/Logging_1981/kartor/A 43705-2022 karta.png", "A 43705-2022")</f>
        <v/>
      </c>
      <c r="U60">
        <f>HYPERLINK("https://klasma.github.io/Logging_1981/knärot/A 43705-2022 karta knärot.png", "A 43705-2022")</f>
        <v/>
      </c>
      <c r="V60">
        <f>HYPERLINK("https://klasma.github.io/Logging_1981/klagomål/A 43705-2022 FSC-klagomål.docx", "A 43705-2022")</f>
        <v/>
      </c>
      <c r="W60">
        <f>HYPERLINK("https://klasma.github.io/Logging_1981/klagomålsmail/A 43705-2022 FSC-klagomål mail.docx", "A 43705-2022")</f>
        <v/>
      </c>
      <c r="X60">
        <f>HYPERLINK("https://klasma.github.io/Logging_1981/tillsyn/A 43705-2022 tillsynsbegäran.docx", "A 43705-2022")</f>
        <v/>
      </c>
      <c r="Y60">
        <f>HYPERLINK("https://klasma.github.io/Logging_1981/tillsynsmail/A 43705-2022 tillsynsbegäran mail.docx", "A 43705-2022")</f>
        <v/>
      </c>
    </row>
    <row r="61" ht="15" customHeight="1">
      <c r="A61" t="inlineStr">
        <is>
          <t>A 11370-2022</t>
        </is>
      </c>
      <c r="B61" s="1" t="n">
        <v>44630</v>
      </c>
      <c r="C61" s="1" t="n">
        <v>46202</v>
      </c>
      <c r="D61" t="inlineStr">
        <is>
          <t>VÄSTMANLANDS LÄN</t>
        </is>
      </c>
      <c r="E61" t="inlineStr">
        <is>
          <t>SALA</t>
        </is>
      </c>
      <c r="G61" t="n">
        <v>4.3</v>
      </c>
      <c r="H61" t="n">
        <v>0</v>
      </c>
      <c r="I61" t="n">
        <v>0</v>
      </c>
      <c r="J61" t="n">
        <v>0</v>
      </c>
      <c r="K61" t="n">
        <v>0</v>
      </c>
      <c r="L61" t="n">
        <v>1</v>
      </c>
      <c r="M61" t="n">
        <v>0</v>
      </c>
      <c r="N61" t="n">
        <v>0</v>
      </c>
      <c r="O61" t="n">
        <v>1</v>
      </c>
      <c r="P61" t="n">
        <v>1</v>
      </c>
      <c r="Q61" t="n">
        <v>1</v>
      </c>
      <c r="R61" s="2" t="inlineStr">
        <is>
          <t>Skogsalm</t>
        </is>
      </c>
      <c r="S61">
        <f>HYPERLINK("https://klasma.github.io/Logging_1981/artfynd/A 11370-2022 artfynd.xlsx", "A 11370-2022")</f>
        <v/>
      </c>
      <c r="T61">
        <f>HYPERLINK("https://klasma.github.io/Logging_1981/kartor/A 11370-2022 karta.png", "A 11370-2022")</f>
        <v/>
      </c>
      <c r="V61">
        <f>HYPERLINK("https://klasma.github.io/Logging_1981/klagomål/A 11370-2022 FSC-klagomål.docx", "A 11370-2022")</f>
        <v/>
      </c>
      <c r="W61">
        <f>HYPERLINK("https://klasma.github.io/Logging_1981/klagomålsmail/A 11370-2022 FSC-klagomål mail.docx", "A 11370-2022")</f>
        <v/>
      </c>
      <c r="X61">
        <f>HYPERLINK("https://klasma.github.io/Logging_1981/tillsyn/A 11370-2022 tillsynsbegäran.docx", "A 11370-2022")</f>
        <v/>
      </c>
      <c r="Y61">
        <f>HYPERLINK("https://klasma.github.io/Logging_1981/tillsynsmail/A 11370-2022 tillsynsbegäran mail.docx", "A 11370-2022")</f>
        <v/>
      </c>
    </row>
    <row r="62" ht="15" customHeight="1">
      <c r="A62" t="inlineStr">
        <is>
          <t>A 40113-2022</t>
        </is>
      </c>
      <c r="B62" s="1" t="n">
        <v>44819</v>
      </c>
      <c r="C62" s="1" t="n">
        <v>46202</v>
      </c>
      <c r="D62" t="inlineStr">
        <is>
          <t>VÄSTMANLANDS LÄN</t>
        </is>
      </c>
      <c r="E62" t="inlineStr">
        <is>
          <t>SALA</t>
        </is>
      </c>
      <c r="G62" t="n">
        <v>0.9</v>
      </c>
      <c r="H62" t="n">
        <v>1</v>
      </c>
      <c r="I62" t="n">
        <v>0</v>
      </c>
      <c r="J62" t="n">
        <v>0</v>
      </c>
      <c r="K62" t="n">
        <v>0</v>
      </c>
      <c r="L62" t="n">
        <v>0</v>
      </c>
      <c r="M62" t="n">
        <v>0</v>
      </c>
      <c r="N62" t="n">
        <v>0</v>
      </c>
      <c r="O62" t="n">
        <v>0</v>
      </c>
      <c r="P62" t="n">
        <v>0</v>
      </c>
      <c r="Q62" t="n">
        <v>1</v>
      </c>
      <c r="R62" s="2" t="inlineStr">
        <is>
          <t>Revlummer</t>
        </is>
      </c>
      <c r="S62">
        <f>HYPERLINK("https://klasma.github.io/Logging_1981/artfynd/A 40113-2022 artfynd.xlsx", "A 40113-2022")</f>
        <v/>
      </c>
      <c r="T62">
        <f>HYPERLINK("https://klasma.github.io/Logging_1981/kartor/A 40113-2022 karta.png", "A 40113-2022")</f>
        <v/>
      </c>
      <c r="V62">
        <f>HYPERLINK("https://klasma.github.io/Logging_1981/klagomål/A 40113-2022 FSC-klagomål.docx", "A 40113-2022")</f>
        <v/>
      </c>
      <c r="W62">
        <f>HYPERLINK("https://klasma.github.io/Logging_1981/klagomålsmail/A 40113-2022 FSC-klagomål mail.docx", "A 40113-2022")</f>
        <v/>
      </c>
      <c r="X62">
        <f>HYPERLINK("https://klasma.github.io/Logging_1981/tillsyn/A 40113-2022 tillsynsbegäran.docx", "A 40113-2022")</f>
        <v/>
      </c>
      <c r="Y62">
        <f>HYPERLINK("https://klasma.github.io/Logging_1981/tillsynsmail/A 40113-2022 tillsynsbegäran mail.docx", "A 40113-2022")</f>
        <v/>
      </c>
    </row>
    <row r="63" ht="15" customHeight="1">
      <c r="A63" t="inlineStr">
        <is>
          <t>A 3810-2023</t>
        </is>
      </c>
      <c r="B63" s="1" t="n">
        <v>44951</v>
      </c>
      <c r="C63" s="1" t="n">
        <v>46202</v>
      </c>
      <c r="D63" t="inlineStr">
        <is>
          <t>VÄSTMANLANDS LÄN</t>
        </is>
      </c>
      <c r="E63" t="inlineStr">
        <is>
          <t>SALA</t>
        </is>
      </c>
      <c r="G63" t="n">
        <v>4.2</v>
      </c>
      <c r="H63" t="n">
        <v>0</v>
      </c>
      <c r="I63" t="n">
        <v>0</v>
      </c>
      <c r="J63" t="n">
        <v>0</v>
      </c>
      <c r="K63" t="n">
        <v>0</v>
      </c>
      <c r="L63" t="n">
        <v>0</v>
      </c>
      <c r="M63" t="n">
        <v>0</v>
      </c>
      <c r="N63" t="n">
        <v>0</v>
      </c>
      <c r="O63" t="n">
        <v>0</v>
      </c>
      <c r="P63" t="n">
        <v>0</v>
      </c>
      <c r="Q63" t="n">
        <v>1</v>
      </c>
      <c r="R63" s="2" t="inlineStr">
        <is>
          <t>Kärrviol</t>
        </is>
      </c>
      <c r="S63">
        <f>HYPERLINK("https://klasma.github.io/Logging_1981/artfynd/A 3810-2023 artfynd.xlsx", "A 3810-2023")</f>
        <v/>
      </c>
      <c r="T63">
        <f>HYPERLINK("https://klasma.github.io/Logging_1981/kartor/A 3810-2023 karta.png", "A 3810-2023")</f>
        <v/>
      </c>
      <c r="V63">
        <f>HYPERLINK("https://klasma.github.io/Logging_1981/klagomål/A 3810-2023 FSC-klagomål.docx", "A 3810-2023")</f>
        <v/>
      </c>
      <c r="W63">
        <f>HYPERLINK("https://klasma.github.io/Logging_1981/klagomålsmail/A 3810-2023 FSC-klagomål mail.docx", "A 3810-2023")</f>
        <v/>
      </c>
      <c r="X63">
        <f>HYPERLINK("https://klasma.github.io/Logging_1981/tillsyn/A 3810-2023 tillsynsbegäran.docx", "A 3810-2023")</f>
        <v/>
      </c>
      <c r="Y63">
        <f>HYPERLINK("https://klasma.github.io/Logging_1981/tillsynsmail/A 3810-2023 tillsynsbegäran mail.docx", "A 3810-2023")</f>
        <v/>
      </c>
    </row>
    <row r="64" ht="15" customHeight="1">
      <c r="A64" t="inlineStr">
        <is>
          <t>A 14775-2023</t>
        </is>
      </c>
      <c r="B64" s="1" t="n">
        <v>45014</v>
      </c>
      <c r="C64" s="1" t="n">
        <v>46202</v>
      </c>
      <c r="D64" t="inlineStr">
        <is>
          <t>VÄSTMANLANDS LÄN</t>
        </is>
      </c>
      <c r="E64" t="inlineStr">
        <is>
          <t>SALA</t>
        </is>
      </c>
      <c r="G64" t="n">
        <v>1.3</v>
      </c>
      <c r="H64" t="n">
        <v>1</v>
      </c>
      <c r="I64" t="n">
        <v>0</v>
      </c>
      <c r="J64" t="n">
        <v>0</v>
      </c>
      <c r="K64" t="n">
        <v>1</v>
      </c>
      <c r="L64" t="n">
        <v>0</v>
      </c>
      <c r="M64" t="n">
        <v>0</v>
      </c>
      <c r="N64" t="n">
        <v>0</v>
      </c>
      <c r="O64" t="n">
        <v>1</v>
      </c>
      <c r="P64" t="n">
        <v>1</v>
      </c>
      <c r="Q64" t="n">
        <v>1</v>
      </c>
      <c r="R64" s="2" t="inlineStr">
        <is>
          <t>Knärot</t>
        </is>
      </c>
      <c r="S64">
        <f>HYPERLINK("https://klasma.github.io/Logging_1981/artfynd/A 14775-2023 artfynd.xlsx", "A 14775-2023")</f>
        <v/>
      </c>
      <c r="T64">
        <f>HYPERLINK("https://klasma.github.io/Logging_1981/kartor/A 14775-2023 karta.png", "A 14775-2023")</f>
        <v/>
      </c>
      <c r="U64">
        <f>HYPERLINK("https://klasma.github.io/Logging_1981/knärot/A 14775-2023 karta knärot.png", "A 14775-2023")</f>
        <v/>
      </c>
      <c r="V64">
        <f>HYPERLINK("https://klasma.github.io/Logging_1981/klagomål/A 14775-2023 FSC-klagomål.docx", "A 14775-2023")</f>
        <v/>
      </c>
      <c r="W64">
        <f>HYPERLINK("https://klasma.github.io/Logging_1981/klagomålsmail/A 14775-2023 FSC-klagomål mail.docx", "A 14775-2023")</f>
        <v/>
      </c>
      <c r="X64">
        <f>HYPERLINK("https://klasma.github.io/Logging_1981/tillsyn/A 14775-2023 tillsynsbegäran.docx", "A 14775-2023")</f>
        <v/>
      </c>
      <c r="Y64">
        <f>HYPERLINK("https://klasma.github.io/Logging_1981/tillsynsmail/A 14775-2023 tillsynsbegäran mail.docx", "A 14775-2023")</f>
        <v/>
      </c>
    </row>
    <row r="65" ht="15" customHeight="1">
      <c r="A65" t="inlineStr">
        <is>
          <t>A 12246-2023</t>
        </is>
      </c>
      <c r="B65" s="1" t="n">
        <v>44995</v>
      </c>
      <c r="C65" s="1" t="n">
        <v>46202</v>
      </c>
      <c r="D65" t="inlineStr">
        <is>
          <t>VÄSTMANLANDS LÄN</t>
        </is>
      </c>
      <c r="E65" t="inlineStr">
        <is>
          <t>SALA</t>
        </is>
      </c>
      <c r="G65" t="n">
        <v>2.4</v>
      </c>
      <c r="H65" t="n">
        <v>1</v>
      </c>
      <c r="I65" t="n">
        <v>0</v>
      </c>
      <c r="J65" t="n">
        <v>0</v>
      </c>
      <c r="K65" t="n">
        <v>0</v>
      </c>
      <c r="L65" t="n">
        <v>0</v>
      </c>
      <c r="M65" t="n">
        <v>0</v>
      </c>
      <c r="N65" t="n">
        <v>0</v>
      </c>
      <c r="O65" t="n">
        <v>0</v>
      </c>
      <c r="P65" t="n">
        <v>0</v>
      </c>
      <c r="Q65" t="n">
        <v>1</v>
      </c>
      <c r="R65" s="2" t="inlineStr">
        <is>
          <t>Trana</t>
        </is>
      </c>
      <c r="S65">
        <f>HYPERLINK("https://klasma.github.io/Logging_1981/artfynd/A 12246-2023 artfynd.xlsx", "A 12246-2023")</f>
        <v/>
      </c>
      <c r="T65">
        <f>HYPERLINK("https://klasma.github.io/Logging_1981/kartor/A 12246-2023 karta.png", "A 12246-2023")</f>
        <v/>
      </c>
      <c r="V65">
        <f>HYPERLINK("https://klasma.github.io/Logging_1981/klagomål/A 12246-2023 FSC-klagomål.docx", "A 12246-2023")</f>
        <v/>
      </c>
      <c r="W65">
        <f>HYPERLINK("https://klasma.github.io/Logging_1981/klagomålsmail/A 12246-2023 FSC-klagomål mail.docx", "A 12246-2023")</f>
        <v/>
      </c>
      <c r="X65">
        <f>HYPERLINK("https://klasma.github.io/Logging_1981/tillsyn/A 12246-2023 tillsynsbegäran.docx", "A 12246-2023")</f>
        <v/>
      </c>
      <c r="Y65">
        <f>HYPERLINK("https://klasma.github.io/Logging_1981/tillsynsmail/A 12246-2023 tillsynsbegäran mail.docx", "A 12246-2023")</f>
        <v/>
      </c>
      <c r="Z65">
        <f>HYPERLINK("https://klasma.github.io/Logging_1981/fåglar/A 12246-2023 prioriterade fågelarter.docx", "A 12246-2023")</f>
        <v/>
      </c>
    </row>
    <row r="66" ht="15" customHeight="1">
      <c r="A66" t="inlineStr">
        <is>
          <t>A 31859-2023</t>
        </is>
      </c>
      <c r="B66" s="1" t="n">
        <v>45118</v>
      </c>
      <c r="C66" s="1" t="n">
        <v>46202</v>
      </c>
      <c r="D66" t="inlineStr">
        <is>
          <t>VÄSTMANLANDS LÄN</t>
        </is>
      </c>
      <c r="E66" t="inlineStr">
        <is>
          <t>SALA</t>
        </is>
      </c>
      <c r="G66" t="n">
        <v>0.5</v>
      </c>
      <c r="H66" t="n">
        <v>1</v>
      </c>
      <c r="I66" t="n">
        <v>0</v>
      </c>
      <c r="J66" t="n">
        <v>0</v>
      </c>
      <c r="K66" t="n">
        <v>1</v>
      </c>
      <c r="L66" t="n">
        <v>0</v>
      </c>
      <c r="M66" t="n">
        <v>0</v>
      </c>
      <c r="N66" t="n">
        <v>0</v>
      </c>
      <c r="O66" t="n">
        <v>1</v>
      </c>
      <c r="P66" t="n">
        <v>1</v>
      </c>
      <c r="Q66" t="n">
        <v>1</v>
      </c>
      <c r="R66" s="2" t="inlineStr">
        <is>
          <t>Knärot</t>
        </is>
      </c>
      <c r="S66">
        <f>HYPERLINK("https://klasma.github.io/Logging_1981/artfynd/A 31859-2023 artfynd.xlsx", "A 31859-2023")</f>
        <v/>
      </c>
      <c r="T66">
        <f>HYPERLINK("https://klasma.github.io/Logging_1981/kartor/A 31859-2023 karta.png", "A 31859-2023")</f>
        <v/>
      </c>
      <c r="U66">
        <f>HYPERLINK("https://klasma.github.io/Logging_1981/knärot/A 31859-2023 karta knärot.png", "A 31859-2023")</f>
        <v/>
      </c>
      <c r="V66">
        <f>HYPERLINK("https://klasma.github.io/Logging_1981/klagomål/A 31859-2023 FSC-klagomål.docx", "A 31859-2023")</f>
        <v/>
      </c>
      <c r="W66">
        <f>HYPERLINK("https://klasma.github.io/Logging_1981/klagomålsmail/A 31859-2023 FSC-klagomål mail.docx", "A 31859-2023")</f>
        <v/>
      </c>
      <c r="X66">
        <f>HYPERLINK("https://klasma.github.io/Logging_1981/tillsyn/A 31859-2023 tillsynsbegäran.docx", "A 31859-2023")</f>
        <v/>
      </c>
      <c r="Y66">
        <f>HYPERLINK("https://klasma.github.io/Logging_1981/tillsynsmail/A 31859-2023 tillsynsbegäran mail.docx", "A 31859-2023")</f>
        <v/>
      </c>
    </row>
    <row r="67" ht="15" customHeight="1">
      <c r="A67" t="inlineStr">
        <is>
          <t>A 28661-2024</t>
        </is>
      </c>
      <c r="B67" s="1" t="n">
        <v>45478</v>
      </c>
      <c r="C67" s="1" t="n">
        <v>46202</v>
      </c>
      <c r="D67" t="inlineStr">
        <is>
          <t>VÄSTMANLANDS LÄN</t>
        </is>
      </c>
      <c r="E67" t="inlineStr">
        <is>
          <t>SALA</t>
        </is>
      </c>
      <c r="G67" t="n">
        <v>0.6</v>
      </c>
      <c r="H67" t="n">
        <v>0</v>
      </c>
      <c r="I67" t="n">
        <v>0</v>
      </c>
      <c r="J67" t="n">
        <v>1</v>
      </c>
      <c r="K67" t="n">
        <v>0</v>
      </c>
      <c r="L67" t="n">
        <v>0</v>
      </c>
      <c r="M67" t="n">
        <v>0</v>
      </c>
      <c r="N67" t="n">
        <v>0</v>
      </c>
      <c r="O67" t="n">
        <v>1</v>
      </c>
      <c r="P67" t="n">
        <v>0</v>
      </c>
      <c r="Q67" t="n">
        <v>1</v>
      </c>
      <c r="R67" s="2" t="inlineStr">
        <is>
          <t>Vedtrappmossa</t>
        </is>
      </c>
      <c r="S67">
        <f>HYPERLINK("https://klasma.github.io/Logging_1981/artfynd/A 28661-2024 artfynd.xlsx", "A 28661-2024")</f>
        <v/>
      </c>
      <c r="T67">
        <f>HYPERLINK("https://klasma.github.io/Logging_1981/kartor/A 28661-2024 karta.png", "A 28661-2024")</f>
        <v/>
      </c>
      <c r="V67">
        <f>HYPERLINK("https://klasma.github.io/Logging_1981/klagomål/A 28661-2024 FSC-klagomål.docx", "A 28661-2024")</f>
        <v/>
      </c>
      <c r="W67">
        <f>HYPERLINK("https://klasma.github.io/Logging_1981/klagomålsmail/A 28661-2024 FSC-klagomål mail.docx", "A 28661-2024")</f>
        <v/>
      </c>
      <c r="X67">
        <f>HYPERLINK("https://klasma.github.io/Logging_1981/tillsyn/A 28661-2024 tillsynsbegäran.docx", "A 28661-2024")</f>
        <v/>
      </c>
      <c r="Y67">
        <f>HYPERLINK("https://klasma.github.io/Logging_1981/tillsynsmail/A 28661-2024 tillsynsbegäran mail.docx", "A 28661-2024")</f>
        <v/>
      </c>
    </row>
    <row r="68" ht="15" customHeight="1">
      <c r="A68" t="inlineStr">
        <is>
          <t>A 43175-2023</t>
        </is>
      </c>
      <c r="B68" s="1" t="n">
        <v>45183</v>
      </c>
      <c r="C68" s="1" t="n">
        <v>46202</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25748-2022</t>
        </is>
      </c>
      <c r="B69" s="1" t="n">
        <v>44732</v>
      </c>
      <c r="C69" s="1" t="n">
        <v>46202</v>
      </c>
      <c r="D69" t="inlineStr">
        <is>
          <t>VÄSTMANLANDS LÄN</t>
        </is>
      </c>
      <c r="E69" t="inlineStr">
        <is>
          <t>SALA</t>
        </is>
      </c>
      <c r="G69" t="n">
        <v>7.7</v>
      </c>
      <c r="H69" t="n">
        <v>1</v>
      </c>
      <c r="I69" t="n">
        <v>0</v>
      </c>
      <c r="J69" t="n">
        <v>0</v>
      </c>
      <c r="K69" t="n">
        <v>0</v>
      </c>
      <c r="L69" t="n">
        <v>0</v>
      </c>
      <c r="M69" t="n">
        <v>0</v>
      </c>
      <c r="N69" t="n">
        <v>0</v>
      </c>
      <c r="O69" t="n">
        <v>0</v>
      </c>
      <c r="P69" t="n">
        <v>0</v>
      </c>
      <c r="Q69" t="n">
        <v>1</v>
      </c>
      <c r="R69" s="2" t="inlineStr">
        <is>
          <t>Kungsfågel</t>
        </is>
      </c>
      <c r="S69">
        <f>HYPERLINK("https://klasma.github.io/Logging_1981/artfynd/A 25748-2022 artfynd.xlsx", "A 25748-2022")</f>
        <v/>
      </c>
      <c r="T69">
        <f>HYPERLINK("https://klasma.github.io/Logging_1981/kartor/A 25748-2022 karta.png", "A 25748-2022")</f>
        <v/>
      </c>
      <c r="V69">
        <f>HYPERLINK("https://klasma.github.io/Logging_1981/klagomål/A 25748-2022 FSC-klagomål.docx", "A 25748-2022")</f>
        <v/>
      </c>
      <c r="W69">
        <f>HYPERLINK("https://klasma.github.io/Logging_1981/klagomålsmail/A 25748-2022 FSC-klagomål mail.docx", "A 25748-2022")</f>
        <v/>
      </c>
      <c r="X69">
        <f>HYPERLINK("https://klasma.github.io/Logging_1981/tillsyn/A 25748-2022 tillsynsbegäran.docx", "A 25748-2022")</f>
        <v/>
      </c>
      <c r="Y69">
        <f>HYPERLINK("https://klasma.github.io/Logging_1981/tillsynsmail/A 25748-2022 tillsynsbegäran mail.docx", "A 25748-2022")</f>
        <v/>
      </c>
    </row>
    <row r="70" ht="15" customHeight="1">
      <c r="A70" t="inlineStr">
        <is>
          <t>A 3332-2024</t>
        </is>
      </c>
      <c r="B70" s="1" t="n">
        <v>45317</v>
      </c>
      <c r="C70" s="1" t="n">
        <v>46202</v>
      </c>
      <c r="D70" t="inlineStr">
        <is>
          <t>VÄSTMANLANDS LÄN</t>
        </is>
      </c>
      <c r="E70" t="inlineStr">
        <is>
          <t>SALA</t>
        </is>
      </c>
      <c r="G70" t="n">
        <v>2</v>
      </c>
      <c r="H70" t="n">
        <v>0</v>
      </c>
      <c r="I70" t="n">
        <v>0</v>
      </c>
      <c r="J70" t="n">
        <v>1</v>
      </c>
      <c r="K70" t="n">
        <v>0</v>
      </c>
      <c r="L70" t="n">
        <v>0</v>
      </c>
      <c r="M70" t="n">
        <v>0</v>
      </c>
      <c r="N70" t="n">
        <v>0</v>
      </c>
      <c r="O70" t="n">
        <v>1</v>
      </c>
      <c r="P70" t="n">
        <v>0</v>
      </c>
      <c r="Q70" t="n">
        <v>1</v>
      </c>
      <c r="R70" s="2" t="inlineStr">
        <is>
          <t>Rödlånke</t>
        </is>
      </c>
      <c r="S70">
        <f>HYPERLINK("https://klasma.github.io/Logging_1981/artfynd/A 3332-2024 artfynd.xlsx", "A 3332-2024")</f>
        <v/>
      </c>
      <c r="T70">
        <f>HYPERLINK("https://klasma.github.io/Logging_1981/kartor/A 3332-2024 karta.png", "A 3332-2024")</f>
        <v/>
      </c>
      <c r="V70">
        <f>HYPERLINK("https://klasma.github.io/Logging_1981/klagomål/A 3332-2024 FSC-klagomål.docx", "A 3332-2024")</f>
        <v/>
      </c>
      <c r="W70">
        <f>HYPERLINK("https://klasma.github.io/Logging_1981/klagomålsmail/A 3332-2024 FSC-klagomål mail.docx", "A 3332-2024")</f>
        <v/>
      </c>
      <c r="X70">
        <f>HYPERLINK("https://klasma.github.io/Logging_1981/tillsyn/A 3332-2024 tillsynsbegäran.docx", "A 3332-2024")</f>
        <v/>
      </c>
      <c r="Y70">
        <f>HYPERLINK("https://klasma.github.io/Logging_1981/tillsynsmail/A 3332-2024 tillsynsbegäran mail.docx", "A 3332-2024")</f>
        <v/>
      </c>
    </row>
    <row r="71" ht="15" customHeight="1">
      <c r="A71" t="inlineStr">
        <is>
          <t>A 23224-2023</t>
        </is>
      </c>
      <c r="B71" s="1" t="n">
        <v>45075</v>
      </c>
      <c r="C71" s="1" t="n">
        <v>46202</v>
      </c>
      <c r="D71" t="inlineStr">
        <is>
          <t>VÄSTMANLANDS LÄN</t>
        </is>
      </c>
      <c r="E71" t="inlineStr">
        <is>
          <t>SALA</t>
        </is>
      </c>
      <c r="G71" t="n">
        <v>0.8</v>
      </c>
      <c r="H71" t="n">
        <v>1</v>
      </c>
      <c r="I71" t="n">
        <v>0</v>
      </c>
      <c r="J71" t="n">
        <v>0</v>
      </c>
      <c r="K71" t="n">
        <v>0</v>
      </c>
      <c r="L71" t="n">
        <v>0</v>
      </c>
      <c r="M71" t="n">
        <v>0</v>
      </c>
      <c r="N71" t="n">
        <v>0</v>
      </c>
      <c r="O71" t="n">
        <v>0</v>
      </c>
      <c r="P71" t="n">
        <v>0</v>
      </c>
      <c r="Q71" t="n">
        <v>1</v>
      </c>
      <c r="R71" s="2" t="inlineStr">
        <is>
          <t>Mindre vattensalamander</t>
        </is>
      </c>
      <c r="S71">
        <f>HYPERLINK("https://klasma.github.io/Logging_1981/artfynd/A 23224-2023 artfynd.xlsx", "A 23224-2023")</f>
        <v/>
      </c>
      <c r="T71">
        <f>HYPERLINK("https://klasma.github.io/Logging_1981/kartor/A 23224-2023 karta.png", "A 23224-2023")</f>
        <v/>
      </c>
      <c r="V71">
        <f>HYPERLINK("https://klasma.github.io/Logging_1981/klagomål/A 23224-2023 FSC-klagomål.docx", "A 23224-2023")</f>
        <v/>
      </c>
      <c r="W71">
        <f>HYPERLINK("https://klasma.github.io/Logging_1981/klagomålsmail/A 23224-2023 FSC-klagomål mail.docx", "A 23224-2023")</f>
        <v/>
      </c>
      <c r="X71">
        <f>HYPERLINK("https://klasma.github.io/Logging_1981/tillsyn/A 23224-2023 tillsynsbegäran.docx", "A 23224-2023")</f>
        <v/>
      </c>
      <c r="Y71">
        <f>HYPERLINK("https://klasma.github.io/Logging_1981/tillsynsmail/A 23224-2023 tillsynsbegäran mail.docx", "A 23224-2023")</f>
        <v/>
      </c>
    </row>
    <row r="72" ht="15" customHeight="1">
      <c r="A72" t="inlineStr">
        <is>
          <t>A 29985-2022</t>
        </is>
      </c>
      <c r="B72" s="1" t="n">
        <v>44756</v>
      </c>
      <c r="C72" s="1" t="n">
        <v>46202</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55550-2023</t>
        </is>
      </c>
      <c r="B73" s="1" t="n">
        <v>45232</v>
      </c>
      <c r="C73" s="1" t="n">
        <v>46202</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16693-2023</t>
        </is>
      </c>
      <c r="B74" s="1" t="n">
        <v>45028</v>
      </c>
      <c r="C74" s="1" t="n">
        <v>46202</v>
      </c>
      <c r="D74" t="inlineStr">
        <is>
          <t>VÄSTMANLANDS LÄN</t>
        </is>
      </c>
      <c r="E74" t="inlineStr">
        <is>
          <t>SALA</t>
        </is>
      </c>
      <c r="G74" t="n">
        <v>1.5</v>
      </c>
      <c r="H74" t="n">
        <v>0</v>
      </c>
      <c r="I74" t="n">
        <v>1</v>
      </c>
      <c r="J74" t="n">
        <v>0</v>
      </c>
      <c r="K74" t="n">
        <v>0</v>
      </c>
      <c r="L74" t="n">
        <v>0</v>
      </c>
      <c r="M74" t="n">
        <v>0</v>
      </c>
      <c r="N74" t="n">
        <v>0</v>
      </c>
      <c r="O74" t="n">
        <v>0</v>
      </c>
      <c r="P74" t="n">
        <v>0</v>
      </c>
      <c r="Q74" t="n">
        <v>1</v>
      </c>
      <c r="R74" s="2" t="inlineStr">
        <is>
          <t>Skinnlav</t>
        </is>
      </c>
      <c r="S74">
        <f>HYPERLINK("https://klasma.github.io/Logging_1981/artfynd/A 16693-2023 artfynd.xlsx", "A 16693-2023")</f>
        <v/>
      </c>
      <c r="T74">
        <f>HYPERLINK("https://klasma.github.io/Logging_1981/kartor/A 16693-2023 karta.png", "A 16693-2023")</f>
        <v/>
      </c>
      <c r="V74">
        <f>HYPERLINK("https://klasma.github.io/Logging_1981/klagomål/A 16693-2023 FSC-klagomål.docx", "A 16693-2023")</f>
        <v/>
      </c>
      <c r="W74">
        <f>HYPERLINK("https://klasma.github.io/Logging_1981/klagomålsmail/A 16693-2023 FSC-klagomål mail.docx", "A 16693-2023")</f>
        <v/>
      </c>
      <c r="X74">
        <f>HYPERLINK("https://klasma.github.io/Logging_1981/tillsyn/A 16693-2023 tillsynsbegäran.docx", "A 16693-2023")</f>
        <v/>
      </c>
      <c r="Y74">
        <f>HYPERLINK("https://klasma.github.io/Logging_1981/tillsynsmail/A 16693-2023 tillsynsbegäran mail.docx", "A 16693-2023")</f>
        <v/>
      </c>
    </row>
    <row r="75" ht="15" customHeight="1">
      <c r="A75" t="inlineStr">
        <is>
          <t>A 43176-2023</t>
        </is>
      </c>
      <c r="B75" s="1" t="n">
        <v>45183</v>
      </c>
      <c r="C75" s="1" t="n">
        <v>46202</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Mattlummer</t>
        </is>
      </c>
      <c r="S75">
        <f>HYPERLINK("https://klasma.github.io/Logging_1981/artfynd/A 43176-2023 artfynd.xlsx", "A 43176-2023")</f>
        <v/>
      </c>
      <c r="T75">
        <f>HYPERLINK("https://klasma.github.io/Logging_1981/kartor/A 43176-2023 karta.png", "A 43176-2023")</f>
        <v/>
      </c>
      <c r="V75">
        <f>HYPERLINK("https://klasma.github.io/Logging_1981/klagomål/A 43176-2023 FSC-klagomål.docx", "A 43176-2023")</f>
        <v/>
      </c>
      <c r="W75">
        <f>HYPERLINK("https://klasma.github.io/Logging_1981/klagomålsmail/A 43176-2023 FSC-klagomål mail.docx", "A 43176-2023")</f>
        <v/>
      </c>
      <c r="X75">
        <f>HYPERLINK("https://klasma.github.io/Logging_1981/tillsyn/A 43176-2023 tillsynsbegäran.docx", "A 43176-2023")</f>
        <v/>
      </c>
      <c r="Y75">
        <f>HYPERLINK("https://klasma.github.io/Logging_1981/tillsynsmail/A 43176-2023 tillsynsbegäran mail.docx", "A 43176-2023")</f>
        <v/>
      </c>
    </row>
    <row r="76" ht="15" customHeight="1">
      <c r="A76" t="inlineStr">
        <is>
          <t>A 17120-2023</t>
        </is>
      </c>
      <c r="B76" s="1" t="n">
        <v>45034</v>
      </c>
      <c r="C76" s="1" t="n">
        <v>46202</v>
      </c>
      <c r="D76" t="inlineStr">
        <is>
          <t>VÄSTMANLANDS LÄN</t>
        </is>
      </c>
      <c r="E76" t="inlineStr">
        <is>
          <t>SALA</t>
        </is>
      </c>
      <c r="G76" t="n">
        <v>0.1</v>
      </c>
      <c r="H76" t="n">
        <v>0</v>
      </c>
      <c r="I76" t="n">
        <v>0</v>
      </c>
      <c r="J76" t="n">
        <v>1</v>
      </c>
      <c r="K76" t="n">
        <v>0</v>
      </c>
      <c r="L76" t="n">
        <v>0</v>
      </c>
      <c r="M76" t="n">
        <v>0</v>
      </c>
      <c r="N76" t="n">
        <v>0</v>
      </c>
      <c r="O76" t="n">
        <v>1</v>
      </c>
      <c r="P76" t="n">
        <v>0</v>
      </c>
      <c r="Q76" t="n">
        <v>1</v>
      </c>
      <c r="R76" s="2" t="inlineStr">
        <is>
          <t>Backtimjan</t>
        </is>
      </c>
      <c r="S76">
        <f>HYPERLINK("https://klasma.github.io/Logging_1981/artfynd/A 17120-2023 artfynd.xlsx", "A 17120-2023")</f>
        <v/>
      </c>
      <c r="T76">
        <f>HYPERLINK("https://klasma.github.io/Logging_1981/kartor/A 17120-2023 karta.png", "A 17120-2023")</f>
        <v/>
      </c>
      <c r="V76">
        <f>HYPERLINK("https://klasma.github.io/Logging_1981/klagomål/A 17120-2023 FSC-klagomål.docx", "A 17120-2023")</f>
        <v/>
      </c>
      <c r="W76">
        <f>HYPERLINK("https://klasma.github.io/Logging_1981/klagomålsmail/A 17120-2023 FSC-klagomål mail.docx", "A 17120-2023")</f>
        <v/>
      </c>
      <c r="X76">
        <f>HYPERLINK("https://klasma.github.io/Logging_1981/tillsyn/A 17120-2023 tillsynsbegäran.docx", "A 17120-2023")</f>
        <v/>
      </c>
      <c r="Y76">
        <f>HYPERLINK("https://klasma.github.io/Logging_1981/tillsynsmail/A 17120-2023 tillsynsbegäran mail.docx", "A 17120-2023")</f>
        <v/>
      </c>
    </row>
    <row r="77" ht="15" customHeight="1">
      <c r="A77" t="inlineStr">
        <is>
          <t>A 1196-2023</t>
        </is>
      </c>
      <c r="B77" s="1" t="n">
        <v>44935</v>
      </c>
      <c r="C77" s="1" t="n">
        <v>46202</v>
      </c>
      <c r="D77" t="inlineStr">
        <is>
          <t>VÄSTMANLANDS LÄN</t>
        </is>
      </c>
      <c r="E77" t="inlineStr">
        <is>
          <t>SALA</t>
        </is>
      </c>
      <c r="G77" t="n">
        <v>4.1</v>
      </c>
      <c r="H77" t="n">
        <v>0</v>
      </c>
      <c r="I77" t="n">
        <v>1</v>
      </c>
      <c r="J77" t="n">
        <v>0</v>
      </c>
      <c r="K77" t="n">
        <v>0</v>
      </c>
      <c r="L77" t="n">
        <v>0</v>
      </c>
      <c r="M77" t="n">
        <v>0</v>
      </c>
      <c r="N77" t="n">
        <v>0</v>
      </c>
      <c r="O77" t="n">
        <v>0</v>
      </c>
      <c r="P77" t="n">
        <v>0</v>
      </c>
      <c r="Q77" t="n">
        <v>1</v>
      </c>
      <c r="R77" s="2" t="inlineStr">
        <is>
          <t>Guldlockmossa</t>
        </is>
      </c>
      <c r="S77">
        <f>HYPERLINK("https://klasma.github.io/Logging_1981/artfynd/A 1196-2023 artfynd.xlsx", "A 1196-2023")</f>
        <v/>
      </c>
      <c r="T77">
        <f>HYPERLINK("https://klasma.github.io/Logging_1981/kartor/A 1196-2023 karta.png", "A 1196-2023")</f>
        <v/>
      </c>
      <c r="V77">
        <f>HYPERLINK("https://klasma.github.io/Logging_1981/klagomål/A 1196-2023 FSC-klagomål.docx", "A 1196-2023")</f>
        <v/>
      </c>
      <c r="W77">
        <f>HYPERLINK("https://klasma.github.io/Logging_1981/klagomålsmail/A 1196-2023 FSC-klagomål mail.docx", "A 1196-2023")</f>
        <v/>
      </c>
      <c r="X77">
        <f>HYPERLINK("https://klasma.github.io/Logging_1981/tillsyn/A 1196-2023 tillsynsbegäran.docx", "A 1196-2023")</f>
        <v/>
      </c>
      <c r="Y77">
        <f>HYPERLINK("https://klasma.github.io/Logging_1981/tillsynsmail/A 1196-2023 tillsynsbegäran mail.docx", "A 1196-2023")</f>
        <v/>
      </c>
    </row>
    <row r="78" ht="15" customHeight="1">
      <c r="A78" t="inlineStr">
        <is>
          <t>A 37593-2025</t>
        </is>
      </c>
      <c r="B78" s="1" t="n">
        <v>45880</v>
      </c>
      <c r="C78" s="1" t="n">
        <v>46202</v>
      </c>
      <c r="D78" t="inlineStr">
        <is>
          <t>VÄSTMANLANDS LÄN</t>
        </is>
      </c>
      <c r="E78" t="inlineStr">
        <is>
          <t>SALA</t>
        </is>
      </c>
      <c r="G78" t="n">
        <v>1.4</v>
      </c>
      <c r="H78" t="n">
        <v>1</v>
      </c>
      <c r="I78" t="n">
        <v>0</v>
      </c>
      <c r="J78" t="n">
        <v>0</v>
      </c>
      <c r="K78" t="n">
        <v>0</v>
      </c>
      <c r="L78" t="n">
        <v>0</v>
      </c>
      <c r="M78" t="n">
        <v>0</v>
      </c>
      <c r="N78" t="n">
        <v>0</v>
      </c>
      <c r="O78" t="n">
        <v>0</v>
      </c>
      <c r="P78" t="n">
        <v>0</v>
      </c>
      <c r="Q78" t="n">
        <v>1</v>
      </c>
      <c r="R78" s="2" t="inlineStr">
        <is>
          <t>Fläcknycklar</t>
        </is>
      </c>
      <c r="S78">
        <f>HYPERLINK("https://klasma.github.io/Logging_1981/artfynd/A 37593-2025 artfynd.xlsx", "A 37593-2025")</f>
        <v/>
      </c>
      <c r="T78">
        <f>HYPERLINK("https://klasma.github.io/Logging_1981/kartor/A 37593-2025 karta.png", "A 37593-2025")</f>
        <v/>
      </c>
      <c r="V78">
        <f>HYPERLINK("https://klasma.github.io/Logging_1981/klagomål/A 37593-2025 FSC-klagomål.docx", "A 37593-2025")</f>
        <v/>
      </c>
      <c r="W78">
        <f>HYPERLINK("https://klasma.github.io/Logging_1981/klagomålsmail/A 37593-2025 FSC-klagomål mail.docx", "A 37593-2025")</f>
        <v/>
      </c>
      <c r="X78">
        <f>HYPERLINK("https://klasma.github.io/Logging_1981/tillsyn/A 37593-2025 tillsynsbegäran.docx", "A 37593-2025")</f>
        <v/>
      </c>
      <c r="Y78">
        <f>HYPERLINK("https://klasma.github.io/Logging_1981/tillsynsmail/A 37593-2025 tillsynsbegäran mail.docx", "A 37593-2025")</f>
        <v/>
      </c>
    </row>
    <row r="79" ht="15" customHeight="1">
      <c r="A79" t="inlineStr">
        <is>
          <t>A 38255-2025</t>
        </is>
      </c>
      <c r="B79" s="1" t="n">
        <v>45883</v>
      </c>
      <c r="C79" s="1" t="n">
        <v>46202</v>
      </c>
      <c r="D79" t="inlineStr">
        <is>
          <t>VÄSTMANLANDS LÄN</t>
        </is>
      </c>
      <c r="E79" t="inlineStr">
        <is>
          <t>SALA</t>
        </is>
      </c>
      <c r="G79" t="n">
        <v>0.9</v>
      </c>
      <c r="H79" t="n">
        <v>1</v>
      </c>
      <c r="I79" t="n">
        <v>0</v>
      </c>
      <c r="J79" t="n">
        <v>0</v>
      </c>
      <c r="K79" t="n">
        <v>1</v>
      </c>
      <c r="L79" t="n">
        <v>0</v>
      </c>
      <c r="M79" t="n">
        <v>0</v>
      </c>
      <c r="N79" t="n">
        <v>0</v>
      </c>
      <c r="O79" t="n">
        <v>1</v>
      </c>
      <c r="P79" t="n">
        <v>1</v>
      </c>
      <c r="Q79" t="n">
        <v>1</v>
      </c>
      <c r="R79" s="2" t="inlineStr">
        <is>
          <t>Knärot</t>
        </is>
      </c>
      <c r="S79">
        <f>HYPERLINK("https://klasma.github.io/Logging_1981/artfynd/A 38255-2025 artfynd.xlsx", "A 38255-2025")</f>
        <v/>
      </c>
      <c r="T79">
        <f>HYPERLINK("https://klasma.github.io/Logging_1981/kartor/A 38255-2025 karta.png", "A 38255-2025")</f>
        <v/>
      </c>
      <c r="U79">
        <f>HYPERLINK("https://klasma.github.io/Logging_1981/knärot/A 38255-2025 karta knärot.png", "A 38255-2025")</f>
        <v/>
      </c>
      <c r="V79">
        <f>HYPERLINK("https://klasma.github.io/Logging_1981/klagomål/A 38255-2025 FSC-klagomål.docx", "A 38255-2025")</f>
        <v/>
      </c>
      <c r="W79">
        <f>HYPERLINK("https://klasma.github.io/Logging_1981/klagomålsmail/A 38255-2025 FSC-klagomål mail.docx", "A 38255-2025")</f>
        <v/>
      </c>
      <c r="X79">
        <f>HYPERLINK("https://klasma.github.io/Logging_1981/tillsyn/A 38255-2025 tillsynsbegäran.docx", "A 38255-2025")</f>
        <v/>
      </c>
      <c r="Y79">
        <f>HYPERLINK("https://klasma.github.io/Logging_1981/tillsynsmail/A 38255-2025 tillsynsbegäran mail.docx", "A 38255-2025")</f>
        <v/>
      </c>
    </row>
    <row r="80" ht="15" customHeight="1">
      <c r="A80" t="inlineStr">
        <is>
          <t>A 50249-2025</t>
        </is>
      </c>
      <c r="B80" s="1" t="n">
        <v>45944</v>
      </c>
      <c r="C80" s="1" t="n">
        <v>46202</v>
      </c>
      <c r="D80" t="inlineStr">
        <is>
          <t>VÄSTMANLANDS LÄN</t>
        </is>
      </c>
      <c r="E80" t="inlineStr">
        <is>
          <t>SALA</t>
        </is>
      </c>
      <c r="G80" t="n">
        <v>2.3</v>
      </c>
      <c r="H80" t="n">
        <v>1</v>
      </c>
      <c r="I80" t="n">
        <v>0</v>
      </c>
      <c r="J80" t="n">
        <v>0</v>
      </c>
      <c r="K80" t="n">
        <v>0</v>
      </c>
      <c r="L80" t="n">
        <v>0</v>
      </c>
      <c r="M80" t="n">
        <v>0</v>
      </c>
      <c r="N80" t="n">
        <v>0</v>
      </c>
      <c r="O80" t="n">
        <v>0</v>
      </c>
      <c r="P80" t="n">
        <v>0</v>
      </c>
      <c r="Q80" t="n">
        <v>1</v>
      </c>
      <c r="R80" s="2" t="inlineStr">
        <is>
          <t>Revlummer</t>
        </is>
      </c>
      <c r="S80">
        <f>HYPERLINK("https://klasma.github.io/Logging_1981/artfynd/A 50249-2025 artfynd.xlsx", "A 50249-2025")</f>
        <v/>
      </c>
      <c r="T80">
        <f>HYPERLINK("https://klasma.github.io/Logging_1981/kartor/A 50249-2025 karta.png", "A 50249-2025")</f>
        <v/>
      </c>
      <c r="V80">
        <f>HYPERLINK("https://klasma.github.io/Logging_1981/klagomål/A 50249-2025 FSC-klagomål.docx", "A 50249-2025")</f>
        <v/>
      </c>
      <c r="W80">
        <f>HYPERLINK("https://klasma.github.io/Logging_1981/klagomålsmail/A 50249-2025 FSC-klagomål mail.docx", "A 50249-2025")</f>
        <v/>
      </c>
      <c r="X80">
        <f>HYPERLINK("https://klasma.github.io/Logging_1981/tillsyn/A 50249-2025 tillsynsbegäran.docx", "A 50249-2025")</f>
        <v/>
      </c>
      <c r="Y80">
        <f>HYPERLINK("https://klasma.github.io/Logging_1981/tillsynsmail/A 50249-2025 tillsynsbegäran mail.docx", "A 50249-2025")</f>
        <v/>
      </c>
    </row>
    <row r="81" ht="15" customHeight="1">
      <c r="A81" t="inlineStr">
        <is>
          <t>A 50268-2025</t>
        </is>
      </c>
      <c r="B81" s="1" t="n">
        <v>45944</v>
      </c>
      <c r="C81" s="1" t="n">
        <v>46202</v>
      </c>
      <c r="D81" t="inlineStr">
        <is>
          <t>VÄSTMANLANDS LÄN</t>
        </is>
      </c>
      <c r="E81" t="inlineStr">
        <is>
          <t>SALA</t>
        </is>
      </c>
      <c r="G81" t="n">
        <v>0.7</v>
      </c>
      <c r="H81" t="n">
        <v>1</v>
      </c>
      <c r="I81" t="n">
        <v>0</v>
      </c>
      <c r="J81" t="n">
        <v>0</v>
      </c>
      <c r="K81" t="n">
        <v>0</v>
      </c>
      <c r="L81" t="n">
        <v>0</v>
      </c>
      <c r="M81" t="n">
        <v>0</v>
      </c>
      <c r="N81" t="n">
        <v>0</v>
      </c>
      <c r="O81" t="n">
        <v>0</v>
      </c>
      <c r="P81" t="n">
        <v>0</v>
      </c>
      <c r="Q81" t="n">
        <v>1</v>
      </c>
      <c r="R81" s="2" t="inlineStr">
        <is>
          <t>Fläcknycklar</t>
        </is>
      </c>
      <c r="S81">
        <f>HYPERLINK("https://klasma.github.io/Logging_1981/artfynd/A 50268-2025 artfynd.xlsx", "A 50268-2025")</f>
        <v/>
      </c>
      <c r="T81">
        <f>HYPERLINK("https://klasma.github.io/Logging_1981/kartor/A 50268-2025 karta.png", "A 50268-2025")</f>
        <v/>
      </c>
      <c r="V81">
        <f>HYPERLINK("https://klasma.github.io/Logging_1981/klagomål/A 50268-2025 FSC-klagomål.docx", "A 50268-2025")</f>
        <v/>
      </c>
      <c r="W81">
        <f>HYPERLINK("https://klasma.github.io/Logging_1981/klagomålsmail/A 50268-2025 FSC-klagomål mail.docx", "A 50268-2025")</f>
        <v/>
      </c>
      <c r="X81">
        <f>HYPERLINK("https://klasma.github.io/Logging_1981/tillsyn/A 50268-2025 tillsynsbegäran.docx", "A 50268-2025")</f>
        <v/>
      </c>
      <c r="Y81">
        <f>HYPERLINK("https://klasma.github.io/Logging_1981/tillsynsmail/A 50268-2025 tillsynsbegäran mail.docx", "A 50268-2025")</f>
        <v/>
      </c>
    </row>
    <row r="82" ht="15" customHeight="1">
      <c r="A82" t="inlineStr">
        <is>
          <t>A 53052-2025</t>
        </is>
      </c>
      <c r="B82" s="1" t="n">
        <v>45958</v>
      </c>
      <c r="C82" s="1" t="n">
        <v>46202</v>
      </c>
      <c r="D82" t="inlineStr">
        <is>
          <t>VÄSTMANLANDS LÄN</t>
        </is>
      </c>
      <c r="E82" t="inlineStr">
        <is>
          <t>SALA</t>
        </is>
      </c>
      <c r="F82" t="inlineStr">
        <is>
          <t>Sveaskog</t>
        </is>
      </c>
      <c r="G82" t="n">
        <v>1.1</v>
      </c>
      <c r="H82" t="n">
        <v>0</v>
      </c>
      <c r="I82" t="n">
        <v>0</v>
      </c>
      <c r="J82" t="n">
        <v>1</v>
      </c>
      <c r="K82" t="n">
        <v>0</v>
      </c>
      <c r="L82" t="n">
        <v>0</v>
      </c>
      <c r="M82" t="n">
        <v>0</v>
      </c>
      <c r="N82" t="n">
        <v>0</v>
      </c>
      <c r="O82" t="n">
        <v>1</v>
      </c>
      <c r="P82" t="n">
        <v>0</v>
      </c>
      <c r="Q82" t="n">
        <v>1</v>
      </c>
      <c r="R82" s="2" t="inlineStr">
        <is>
          <t>Motaggsvamp</t>
        </is>
      </c>
      <c r="S82">
        <f>HYPERLINK("https://klasma.github.io/Logging_1981/artfynd/A 53052-2025 artfynd.xlsx", "A 53052-2025")</f>
        <v/>
      </c>
      <c r="T82">
        <f>HYPERLINK("https://klasma.github.io/Logging_1981/kartor/A 53052-2025 karta.png", "A 53052-2025")</f>
        <v/>
      </c>
      <c r="V82">
        <f>HYPERLINK("https://klasma.github.io/Logging_1981/klagomål/A 53052-2025 FSC-klagomål.docx", "A 53052-2025")</f>
        <v/>
      </c>
      <c r="W82">
        <f>HYPERLINK("https://klasma.github.io/Logging_1981/klagomålsmail/A 53052-2025 FSC-klagomål mail.docx", "A 53052-2025")</f>
        <v/>
      </c>
      <c r="X82">
        <f>HYPERLINK("https://klasma.github.io/Logging_1981/tillsyn/A 53052-2025 tillsynsbegäran.docx", "A 53052-2025")</f>
        <v/>
      </c>
      <c r="Y82">
        <f>HYPERLINK("https://klasma.github.io/Logging_1981/tillsynsmail/A 53052-2025 tillsynsbegäran mail.docx", "A 53052-2025")</f>
        <v/>
      </c>
    </row>
    <row r="83" ht="15" customHeight="1">
      <c r="A83" t="inlineStr">
        <is>
          <t>A 24910-2025</t>
        </is>
      </c>
      <c r="B83" s="1" t="n">
        <v>45799</v>
      </c>
      <c r="C83" s="1" t="n">
        <v>46202</v>
      </c>
      <c r="D83" t="inlineStr">
        <is>
          <t>VÄSTMANLANDS LÄN</t>
        </is>
      </c>
      <c r="E83" t="inlineStr">
        <is>
          <t>SALA</t>
        </is>
      </c>
      <c r="G83" t="n">
        <v>3.5</v>
      </c>
      <c r="H83" t="n">
        <v>0</v>
      </c>
      <c r="I83" t="n">
        <v>0</v>
      </c>
      <c r="J83" t="n">
        <v>1</v>
      </c>
      <c r="K83" t="n">
        <v>0</v>
      </c>
      <c r="L83" t="n">
        <v>0</v>
      </c>
      <c r="M83" t="n">
        <v>0</v>
      </c>
      <c r="N83" t="n">
        <v>0</v>
      </c>
      <c r="O83" t="n">
        <v>1</v>
      </c>
      <c r="P83" t="n">
        <v>0</v>
      </c>
      <c r="Q83" t="n">
        <v>1</v>
      </c>
      <c r="R83" s="2" t="inlineStr">
        <is>
          <t>Motaggsvamp</t>
        </is>
      </c>
      <c r="S83">
        <f>HYPERLINK("https://klasma.github.io/Logging_1981/artfynd/A 24910-2025 artfynd.xlsx", "A 24910-2025")</f>
        <v/>
      </c>
      <c r="T83">
        <f>HYPERLINK("https://klasma.github.io/Logging_1981/kartor/A 24910-2025 karta.png", "A 24910-2025")</f>
        <v/>
      </c>
      <c r="V83">
        <f>HYPERLINK("https://klasma.github.io/Logging_1981/klagomål/A 24910-2025 FSC-klagomål.docx", "A 24910-2025")</f>
        <v/>
      </c>
      <c r="W83">
        <f>HYPERLINK("https://klasma.github.io/Logging_1981/klagomålsmail/A 24910-2025 FSC-klagomål mail.docx", "A 24910-2025")</f>
        <v/>
      </c>
      <c r="X83">
        <f>HYPERLINK("https://klasma.github.io/Logging_1981/tillsyn/A 24910-2025 tillsynsbegäran.docx", "A 24910-2025")</f>
        <v/>
      </c>
      <c r="Y83">
        <f>HYPERLINK("https://klasma.github.io/Logging_1981/tillsynsmail/A 24910-2025 tillsynsbegäran mail.docx", "A 24910-2025")</f>
        <v/>
      </c>
    </row>
    <row r="84" ht="15" customHeight="1">
      <c r="A84" t="inlineStr">
        <is>
          <t>A 10909-2024</t>
        </is>
      </c>
      <c r="B84" s="1" t="n">
        <v>45370</v>
      </c>
      <c r="C84" s="1" t="n">
        <v>46202</v>
      </c>
      <c r="D84" t="inlineStr">
        <is>
          <t>VÄSTMANLANDS LÄN</t>
        </is>
      </c>
      <c r="E84" t="inlineStr">
        <is>
          <t>SALA</t>
        </is>
      </c>
      <c r="G84" t="n">
        <v>3.3</v>
      </c>
      <c r="H84" t="n">
        <v>1</v>
      </c>
      <c r="I84" t="n">
        <v>0</v>
      </c>
      <c r="J84" t="n">
        <v>0</v>
      </c>
      <c r="K84" t="n">
        <v>0</v>
      </c>
      <c r="L84" t="n">
        <v>1</v>
      </c>
      <c r="M84" t="n">
        <v>0</v>
      </c>
      <c r="N84" t="n">
        <v>0</v>
      </c>
      <c r="O84" t="n">
        <v>1</v>
      </c>
      <c r="P84" t="n">
        <v>1</v>
      </c>
      <c r="Q84" t="n">
        <v>1</v>
      </c>
      <c r="R84" s="2" t="inlineStr">
        <is>
          <t>Mosippa</t>
        </is>
      </c>
      <c r="S84">
        <f>HYPERLINK("https://klasma.github.io/Logging_1981/artfynd/A 10909-2024 artfynd.xlsx", "A 10909-2024")</f>
        <v/>
      </c>
      <c r="T84">
        <f>HYPERLINK("https://klasma.github.io/Logging_1981/kartor/A 10909-2024 karta.png", "A 10909-2024")</f>
        <v/>
      </c>
      <c r="V84">
        <f>HYPERLINK("https://klasma.github.io/Logging_1981/klagomål/A 10909-2024 FSC-klagomål.docx", "A 10909-2024")</f>
        <v/>
      </c>
      <c r="W84">
        <f>HYPERLINK("https://klasma.github.io/Logging_1981/klagomålsmail/A 10909-2024 FSC-klagomål mail.docx", "A 10909-2024")</f>
        <v/>
      </c>
      <c r="X84">
        <f>HYPERLINK("https://klasma.github.io/Logging_1981/tillsyn/A 10909-2024 tillsynsbegäran.docx", "A 10909-2024")</f>
        <v/>
      </c>
      <c r="Y84">
        <f>HYPERLINK("https://klasma.github.io/Logging_1981/tillsynsmail/A 10909-2024 tillsynsbegäran mail.docx", "A 10909-2024")</f>
        <v/>
      </c>
    </row>
    <row r="85" ht="15" customHeight="1">
      <c r="A85" t="inlineStr">
        <is>
          <t>A 7672-2026</t>
        </is>
      </c>
      <c r="B85" s="1" t="n">
        <v>46062</v>
      </c>
      <c r="C85" s="1" t="n">
        <v>46202</v>
      </c>
      <c r="D85" t="inlineStr">
        <is>
          <t>VÄSTMANLANDS LÄN</t>
        </is>
      </c>
      <c r="E85" t="inlineStr">
        <is>
          <t>SALA</t>
        </is>
      </c>
      <c r="G85" t="n">
        <v>2.9</v>
      </c>
      <c r="H85" t="n">
        <v>1</v>
      </c>
      <c r="I85" t="n">
        <v>0</v>
      </c>
      <c r="J85" t="n">
        <v>0</v>
      </c>
      <c r="K85" t="n">
        <v>0</v>
      </c>
      <c r="L85" t="n">
        <v>0</v>
      </c>
      <c r="M85" t="n">
        <v>0</v>
      </c>
      <c r="N85" t="n">
        <v>0</v>
      </c>
      <c r="O85" t="n">
        <v>0</v>
      </c>
      <c r="P85" t="n">
        <v>0</v>
      </c>
      <c r="Q85" t="n">
        <v>1</v>
      </c>
      <c r="R85" s="2" t="inlineStr">
        <is>
          <t>Nattviol</t>
        </is>
      </c>
      <c r="S85">
        <f>HYPERLINK("https://klasma.github.io/Logging_1981/artfynd/A 7672-2026 artfynd.xlsx", "A 7672-2026")</f>
        <v/>
      </c>
      <c r="T85">
        <f>HYPERLINK("https://klasma.github.io/Logging_1981/kartor/A 7672-2026 karta.png", "A 7672-2026")</f>
        <v/>
      </c>
      <c r="V85">
        <f>HYPERLINK("https://klasma.github.io/Logging_1981/klagomål/A 7672-2026 FSC-klagomål.docx", "A 7672-2026")</f>
        <v/>
      </c>
      <c r="W85">
        <f>HYPERLINK("https://klasma.github.io/Logging_1981/klagomålsmail/A 7672-2026 FSC-klagomål mail.docx", "A 7672-2026")</f>
        <v/>
      </c>
      <c r="X85">
        <f>HYPERLINK("https://klasma.github.io/Logging_1981/tillsyn/A 7672-2026 tillsynsbegäran.docx", "A 7672-2026")</f>
        <v/>
      </c>
      <c r="Y85">
        <f>HYPERLINK("https://klasma.github.io/Logging_1981/tillsynsmail/A 7672-2026 tillsynsbegäran mail.docx", "A 7672-2026")</f>
        <v/>
      </c>
    </row>
    <row r="86" ht="15" customHeight="1">
      <c r="A86" t="inlineStr">
        <is>
          <t>A 7661-2026</t>
        </is>
      </c>
      <c r="B86" s="1" t="n">
        <v>46062</v>
      </c>
      <c r="C86" s="1" t="n">
        <v>46202</v>
      </c>
      <c r="D86" t="inlineStr">
        <is>
          <t>VÄSTMANLANDS LÄN</t>
        </is>
      </c>
      <c r="E86" t="inlineStr">
        <is>
          <t>SALA</t>
        </is>
      </c>
      <c r="G86" t="n">
        <v>1.3</v>
      </c>
      <c r="H86" t="n">
        <v>0</v>
      </c>
      <c r="I86" t="n">
        <v>0</v>
      </c>
      <c r="J86" t="n">
        <v>1</v>
      </c>
      <c r="K86" t="n">
        <v>0</v>
      </c>
      <c r="L86" t="n">
        <v>0</v>
      </c>
      <c r="M86" t="n">
        <v>0</v>
      </c>
      <c r="N86" t="n">
        <v>0</v>
      </c>
      <c r="O86" t="n">
        <v>1</v>
      </c>
      <c r="P86" t="n">
        <v>0</v>
      </c>
      <c r="Q86" t="n">
        <v>1</v>
      </c>
      <c r="R86" s="2" t="inlineStr">
        <is>
          <t>Vedtrappmossa</t>
        </is>
      </c>
      <c r="S86">
        <f>HYPERLINK("https://klasma.github.io/Logging_1981/artfynd/A 7661-2026 artfynd.xlsx", "A 7661-2026")</f>
        <v/>
      </c>
      <c r="T86">
        <f>HYPERLINK("https://klasma.github.io/Logging_1981/kartor/A 7661-2026 karta.png", "A 7661-2026")</f>
        <v/>
      </c>
      <c r="V86">
        <f>HYPERLINK("https://klasma.github.io/Logging_1981/klagomål/A 7661-2026 FSC-klagomål.docx", "A 7661-2026")</f>
        <v/>
      </c>
      <c r="W86">
        <f>HYPERLINK("https://klasma.github.io/Logging_1981/klagomålsmail/A 7661-2026 FSC-klagomål mail.docx", "A 7661-2026")</f>
        <v/>
      </c>
      <c r="X86">
        <f>HYPERLINK("https://klasma.github.io/Logging_1981/tillsyn/A 7661-2026 tillsynsbegäran.docx", "A 7661-2026")</f>
        <v/>
      </c>
      <c r="Y86">
        <f>HYPERLINK("https://klasma.github.io/Logging_1981/tillsynsmail/A 7661-2026 tillsynsbegäran mail.docx", "A 7661-2026")</f>
        <v/>
      </c>
    </row>
    <row r="87" ht="15" customHeight="1">
      <c r="A87" t="inlineStr">
        <is>
          <t>A 14481-2026</t>
        </is>
      </c>
      <c r="B87" s="1" t="n">
        <v>46100</v>
      </c>
      <c r="C87" s="1" t="n">
        <v>46202</v>
      </c>
      <c r="D87" t="inlineStr">
        <is>
          <t>VÄSTMANLANDS LÄN</t>
        </is>
      </c>
      <c r="E87" t="inlineStr">
        <is>
          <t>SALA</t>
        </is>
      </c>
      <c r="F87" t="inlineStr">
        <is>
          <t>Sveaskog</t>
        </is>
      </c>
      <c r="G87" t="n">
        <v>0.9</v>
      </c>
      <c r="H87" t="n">
        <v>1</v>
      </c>
      <c r="I87" t="n">
        <v>0</v>
      </c>
      <c r="J87" t="n">
        <v>0</v>
      </c>
      <c r="K87" t="n">
        <v>0</v>
      </c>
      <c r="L87" t="n">
        <v>0</v>
      </c>
      <c r="M87" t="n">
        <v>0</v>
      </c>
      <c r="N87" t="n">
        <v>0</v>
      </c>
      <c r="O87" t="n">
        <v>0</v>
      </c>
      <c r="P87" t="n">
        <v>0</v>
      </c>
      <c r="Q87" t="n">
        <v>1</v>
      </c>
      <c r="R87" s="2" t="inlineStr">
        <is>
          <t>Tjäder</t>
        </is>
      </c>
      <c r="S87">
        <f>HYPERLINK("https://klasma.github.io/Logging_1981/artfynd/A 14481-2026 artfynd.xlsx", "A 14481-2026")</f>
        <v/>
      </c>
      <c r="T87">
        <f>HYPERLINK("https://klasma.github.io/Logging_1981/kartor/A 14481-2026 karta.png", "A 14481-2026")</f>
        <v/>
      </c>
      <c r="V87">
        <f>HYPERLINK("https://klasma.github.io/Logging_1981/klagomål/A 14481-2026 FSC-klagomål.docx", "A 14481-2026")</f>
        <v/>
      </c>
      <c r="W87">
        <f>HYPERLINK("https://klasma.github.io/Logging_1981/klagomålsmail/A 14481-2026 FSC-klagomål mail.docx", "A 14481-2026")</f>
        <v/>
      </c>
      <c r="X87">
        <f>HYPERLINK("https://klasma.github.io/Logging_1981/tillsyn/A 14481-2026 tillsynsbegäran.docx", "A 14481-2026")</f>
        <v/>
      </c>
      <c r="Y87">
        <f>HYPERLINK("https://klasma.github.io/Logging_1981/tillsynsmail/A 14481-2026 tillsynsbegäran mail.docx", "A 14481-2026")</f>
        <v/>
      </c>
      <c r="Z87">
        <f>HYPERLINK("https://klasma.github.io/Logging_1981/fåglar/A 14481-2026 prioriterade fågelarter.docx", "A 14481-2026")</f>
        <v/>
      </c>
    </row>
    <row r="88" ht="15" customHeight="1">
      <c r="A88" t="inlineStr">
        <is>
          <t>A 14488-2026</t>
        </is>
      </c>
      <c r="B88" s="1" t="n">
        <v>46100</v>
      </c>
      <c r="C88" s="1" t="n">
        <v>46202</v>
      </c>
      <c r="D88" t="inlineStr">
        <is>
          <t>VÄSTMANLANDS LÄN</t>
        </is>
      </c>
      <c r="E88" t="inlineStr">
        <is>
          <t>SALA</t>
        </is>
      </c>
      <c r="F88" t="inlineStr">
        <is>
          <t>Sveaskog</t>
        </is>
      </c>
      <c r="G88" t="n">
        <v>1.5</v>
      </c>
      <c r="H88" t="n">
        <v>1</v>
      </c>
      <c r="I88" t="n">
        <v>0</v>
      </c>
      <c r="J88" t="n">
        <v>0</v>
      </c>
      <c r="K88" t="n">
        <v>0</v>
      </c>
      <c r="L88" t="n">
        <v>0</v>
      </c>
      <c r="M88" t="n">
        <v>0</v>
      </c>
      <c r="N88" t="n">
        <v>0</v>
      </c>
      <c r="O88" t="n">
        <v>0</v>
      </c>
      <c r="P88" t="n">
        <v>0</v>
      </c>
      <c r="Q88" t="n">
        <v>1</v>
      </c>
      <c r="R88" s="2" t="inlineStr">
        <is>
          <t>Mattlummer</t>
        </is>
      </c>
      <c r="S88">
        <f>HYPERLINK("https://klasma.github.io/Logging_1981/artfynd/A 14488-2026 artfynd.xlsx", "A 14488-2026")</f>
        <v/>
      </c>
      <c r="T88">
        <f>HYPERLINK("https://klasma.github.io/Logging_1981/kartor/A 14488-2026 karta.png", "A 14488-2026")</f>
        <v/>
      </c>
      <c r="V88">
        <f>HYPERLINK("https://klasma.github.io/Logging_1981/klagomål/A 14488-2026 FSC-klagomål.docx", "A 14488-2026")</f>
        <v/>
      </c>
      <c r="W88">
        <f>HYPERLINK("https://klasma.github.io/Logging_1981/klagomålsmail/A 14488-2026 FSC-klagomål mail.docx", "A 14488-2026")</f>
        <v/>
      </c>
      <c r="X88">
        <f>HYPERLINK("https://klasma.github.io/Logging_1981/tillsyn/A 14488-2026 tillsynsbegäran.docx", "A 14488-2026")</f>
        <v/>
      </c>
      <c r="Y88">
        <f>HYPERLINK("https://klasma.github.io/Logging_1981/tillsynsmail/A 14488-2026 tillsynsbegäran mail.docx", "A 14488-2026")</f>
        <v/>
      </c>
    </row>
    <row r="89" ht="15" customHeight="1">
      <c r="A89" t="inlineStr">
        <is>
          <t>A 14487-2026</t>
        </is>
      </c>
      <c r="B89" s="1" t="n">
        <v>46100</v>
      </c>
      <c r="C89" s="1" t="n">
        <v>46202</v>
      </c>
      <c r="D89" t="inlineStr">
        <is>
          <t>VÄSTMANLANDS LÄN</t>
        </is>
      </c>
      <c r="E89" t="inlineStr">
        <is>
          <t>SALA</t>
        </is>
      </c>
      <c r="F89" t="inlineStr">
        <is>
          <t>Sveaskog</t>
        </is>
      </c>
      <c r="G89" t="n">
        <v>6.7</v>
      </c>
      <c r="H89" t="n">
        <v>0</v>
      </c>
      <c r="I89" t="n">
        <v>0</v>
      </c>
      <c r="J89" t="n">
        <v>1</v>
      </c>
      <c r="K89" t="n">
        <v>0</v>
      </c>
      <c r="L89" t="n">
        <v>0</v>
      </c>
      <c r="M89" t="n">
        <v>0</v>
      </c>
      <c r="N89" t="n">
        <v>0</v>
      </c>
      <c r="O89" t="n">
        <v>1</v>
      </c>
      <c r="P89" t="n">
        <v>0</v>
      </c>
      <c r="Q89" t="n">
        <v>1</v>
      </c>
      <c r="R89" s="2" t="inlineStr">
        <is>
          <t>Motaggsvamp</t>
        </is>
      </c>
      <c r="S89">
        <f>HYPERLINK("https://klasma.github.io/Logging_1981/artfynd/A 14487-2026 artfynd.xlsx", "A 14487-2026")</f>
        <v/>
      </c>
      <c r="T89">
        <f>HYPERLINK("https://klasma.github.io/Logging_1981/kartor/A 14487-2026 karta.png", "A 14487-2026")</f>
        <v/>
      </c>
      <c r="V89">
        <f>HYPERLINK("https://klasma.github.io/Logging_1981/klagomål/A 14487-2026 FSC-klagomål.docx", "A 14487-2026")</f>
        <v/>
      </c>
      <c r="W89">
        <f>HYPERLINK("https://klasma.github.io/Logging_1981/klagomålsmail/A 14487-2026 FSC-klagomål mail.docx", "A 14487-2026")</f>
        <v/>
      </c>
      <c r="X89">
        <f>HYPERLINK("https://klasma.github.io/Logging_1981/tillsyn/A 14487-2026 tillsynsbegäran.docx", "A 14487-2026")</f>
        <v/>
      </c>
      <c r="Y89">
        <f>HYPERLINK("https://klasma.github.io/Logging_1981/tillsynsmail/A 14487-2026 tillsynsbegäran mail.docx", "A 14487-2026")</f>
        <v/>
      </c>
    </row>
    <row r="90" ht="15" customHeight="1">
      <c r="A90" t="inlineStr">
        <is>
          <t>A 26369-2026</t>
        </is>
      </c>
      <c r="B90" s="1" t="n">
        <v>46182</v>
      </c>
      <c r="C90" s="1" t="n">
        <v>46202</v>
      </c>
      <c r="D90" t="inlineStr">
        <is>
          <t>VÄSTMANLANDS LÄN</t>
        </is>
      </c>
      <c r="E90" t="inlineStr">
        <is>
          <t>SALA</t>
        </is>
      </c>
      <c r="G90" t="n">
        <v>5.7</v>
      </c>
      <c r="H90" t="n">
        <v>1</v>
      </c>
      <c r="I90" t="n">
        <v>0</v>
      </c>
      <c r="J90" t="n">
        <v>0</v>
      </c>
      <c r="K90" t="n">
        <v>0</v>
      </c>
      <c r="L90" t="n">
        <v>0</v>
      </c>
      <c r="M90" t="n">
        <v>0</v>
      </c>
      <c r="N90" t="n">
        <v>0</v>
      </c>
      <c r="O90" t="n">
        <v>0</v>
      </c>
      <c r="P90" t="n">
        <v>0</v>
      </c>
      <c r="Q90" t="n">
        <v>1</v>
      </c>
      <c r="R90" s="2" t="inlineStr">
        <is>
          <t>Fläcknycklar</t>
        </is>
      </c>
      <c r="S90">
        <f>HYPERLINK("https://klasma.github.io/Logging_1981/artfynd/A 26369-2026 artfynd.xlsx", "A 26369-2026")</f>
        <v/>
      </c>
      <c r="T90">
        <f>HYPERLINK("https://klasma.github.io/Logging_1981/kartor/A 26369-2026 karta.png", "A 26369-2026")</f>
        <v/>
      </c>
      <c r="V90">
        <f>HYPERLINK("https://klasma.github.io/Logging_1981/klagomål/A 26369-2026 FSC-klagomål.docx", "A 26369-2026")</f>
        <v/>
      </c>
      <c r="W90">
        <f>HYPERLINK("https://klasma.github.io/Logging_1981/klagomålsmail/A 26369-2026 FSC-klagomål mail.docx", "A 26369-2026")</f>
        <v/>
      </c>
      <c r="X90">
        <f>HYPERLINK("https://klasma.github.io/Logging_1981/tillsyn/A 26369-2026 tillsynsbegäran.docx", "A 26369-2026")</f>
        <v/>
      </c>
      <c r="Y90">
        <f>HYPERLINK("https://klasma.github.io/Logging_1981/tillsynsmail/A 26369-2026 tillsynsbegäran mail.docx", "A 26369-2026")</f>
        <v/>
      </c>
    </row>
    <row r="91" ht="15" customHeight="1">
      <c r="A91" t="inlineStr">
        <is>
          <t>A 28328-2026</t>
        </is>
      </c>
      <c r="B91" s="1" t="n">
        <v>46196</v>
      </c>
      <c r="C91" s="1" t="n">
        <v>46202</v>
      </c>
      <c r="D91" t="inlineStr">
        <is>
          <t>VÄSTMANLANDS LÄN</t>
        </is>
      </c>
      <c r="E91" t="inlineStr">
        <is>
          <t>SALA</t>
        </is>
      </c>
      <c r="F91" t="inlineStr">
        <is>
          <t>Kommuner</t>
        </is>
      </c>
      <c r="G91" t="n">
        <v>5.2</v>
      </c>
      <c r="H91" t="n">
        <v>0</v>
      </c>
      <c r="I91" t="n">
        <v>1</v>
      </c>
      <c r="J91" t="n">
        <v>0</v>
      </c>
      <c r="K91" t="n">
        <v>0</v>
      </c>
      <c r="L91" t="n">
        <v>0</v>
      </c>
      <c r="M91" t="n">
        <v>0</v>
      </c>
      <c r="N91" t="n">
        <v>0</v>
      </c>
      <c r="O91" t="n">
        <v>0</v>
      </c>
      <c r="P91" t="n">
        <v>0</v>
      </c>
      <c r="Q91" t="n">
        <v>1</v>
      </c>
      <c r="R91" s="2" t="inlineStr">
        <is>
          <t>Guldlockmossa</t>
        </is>
      </c>
      <c r="S91">
        <f>HYPERLINK("https://klasma.github.io/Logging_1981/artfynd/A 28328-2026 artfynd.xlsx", "A 28328-2026")</f>
        <v/>
      </c>
      <c r="T91">
        <f>HYPERLINK("https://klasma.github.io/Logging_1981/kartor/A 28328-2026 karta.png", "A 28328-2026")</f>
        <v/>
      </c>
      <c r="V91">
        <f>HYPERLINK("https://klasma.github.io/Logging_1981/klagomål/A 28328-2026 FSC-klagomål.docx", "A 28328-2026")</f>
        <v/>
      </c>
      <c r="W91">
        <f>HYPERLINK("https://klasma.github.io/Logging_1981/klagomålsmail/A 28328-2026 FSC-klagomål mail.docx", "A 28328-2026")</f>
        <v/>
      </c>
      <c r="X91">
        <f>HYPERLINK("https://klasma.github.io/Logging_1981/tillsyn/A 28328-2026 tillsynsbegäran.docx", "A 28328-2026")</f>
        <v/>
      </c>
      <c r="Y91">
        <f>HYPERLINK("https://klasma.github.io/Logging_1981/tillsynsmail/A 28328-2026 tillsynsbegäran mail.docx", "A 28328-2026")</f>
        <v/>
      </c>
    </row>
    <row r="92" ht="15" customHeight="1">
      <c r="A92" t="inlineStr">
        <is>
          <t>A 41270-2024</t>
        </is>
      </c>
      <c r="B92" s="1" t="n">
        <v>45559</v>
      </c>
      <c r="C92" s="1" t="n">
        <v>46202</v>
      </c>
      <c r="D92" t="inlineStr">
        <is>
          <t>VÄSTMANLANDS LÄN</t>
        </is>
      </c>
      <c r="E92" t="inlineStr">
        <is>
          <t>SALA</t>
        </is>
      </c>
      <c r="G92" t="n">
        <v>15.2</v>
      </c>
      <c r="H92" t="n">
        <v>1</v>
      </c>
      <c r="I92" t="n">
        <v>0</v>
      </c>
      <c r="J92" t="n">
        <v>0</v>
      </c>
      <c r="K92" t="n">
        <v>0</v>
      </c>
      <c r="L92" t="n">
        <v>0</v>
      </c>
      <c r="M92" t="n">
        <v>0</v>
      </c>
      <c r="N92" t="n">
        <v>0</v>
      </c>
      <c r="O92" t="n">
        <v>0</v>
      </c>
      <c r="P92" t="n">
        <v>0</v>
      </c>
      <c r="Q92" t="n">
        <v>1</v>
      </c>
      <c r="R92" s="2" t="inlineStr">
        <is>
          <t>Havsörn</t>
        </is>
      </c>
      <c r="S92">
        <f>HYPERLINK("https://klasma.github.io/Logging_1981/artfynd/A 41270-2024 artfynd.xlsx", "A 41270-2024")</f>
        <v/>
      </c>
      <c r="T92">
        <f>HYPERLINK("https://klasma.github.io/Logging_1981/kartor/A 41270-2024 karta.png", "A 41270-2024")</f>
        <v/>
      </c>
      <c r="V92">
        <f>HYPERLINK("https://klasma.github.io/Logging_1981/klagomål/A 41270-2024 FSC-klagomål.docx", "A 41270-2024")</f>
        <v/>
      </c>
      <c r="W92">
        <f>HYPERLINK("https://klasma.github.io/Logging_1981/klagomålsmail/A 41270-2024 FSC-klagomål mail.docx", "A 41270-2024")</f>
        <v/>
      </c>
      <c r="X92">
        <f>HYPERLINK("https://klasma.github.io/Logging_1981/tillsyn/A 41270-2024 tillsynsbegäran.docx", "A 41270-2024")</f>
        <v/>
      </c>
      <c r="Y92">
        <f>HYPERLINK("https://klasma.github.io/Logging_1981/tillsynsmail/A 41270-2024 tillsynsbegäran mail.docx", "A 41270-2024")</f>
        <v/>
      </c>
      <c r="Z92">
        <f>HYPERLINK("https://klasma.github.io/Logging_1981/fåglar/A 41270-2024 prioriterade fågelarter.docx", "A 41270-2024")</f>
        <v/>
      </c>
    </row>
    <row r="93" ht="15" customHeight="1">
      <c r="A93" t="inlineStr">
        <is>
          <t>A 66561-2021</t>
        </is>
      </c>
      <c r="B93" s="1" t="n">
        <v>44519</v>
      </c>
      <c r="C93" s="1" t="n">
        <v>46202</v>
      </c>
      <c r="D93" t="inlineStr">
        <is>
          <t>VÄSTMANLANDS LÄN</t>
        </is>
      </c>
      <c r="E93" t="inlineStr">
        <is>
          <t>SALA</t>
        </is>
      </c>
      <c r="G93" t="n">
        <v>0.3</v>
      </c>
      <c r="H93" t="n">
        <v>0</v>
      </c>
      <c r="I93" t="n">
        <v>0</v>
      </c>
      <c r="J93" t="n">
        <v>0</v>
      </c>
      <c r="K93" t="n">
        <v>0</v>
      </c>
      <c r="L93" t="n">
        <v>0</v>
      </c>
      <c r="M93" t="n">
        <v>0</v>
      </c>
      <c r="N93" t="n">
        <v>0</v>
      </c>
      <c r="O93" t="n">
        <v>0</v>
      </c>
      <c r="P93" t="n">
        <v>0</v>
      </c>
      <c r="Q93" t="n">
        <v>0</v>
      </c>
      <c r="R93" s="2" t="inlineStr"/>
    </row>
    <row r="94" ht="15" customHeight="1">
      <c r="A94" t="inlineStr">
        <is>
          <t>A 73124-2021</t>
        </is>
      </c>
      <c r="B94" s="1" t="n">
        <v>44550</v>
      </c>
      <c r="C94" s="1" t="n">
        <v>46202</v>
      </c>
      <c r="D94" t="inlineStr">
        <is>
          <t>VÄSTMANLANDS LÄN</t>
        </is>
      </c>
      <c r="E94" t="inlineStr">
        <is>
          <t>SALA</t>
        </is>
      </c>
      <c r="G94" t="n">
        <v>2.8</v>
      </c>
      <c r="H94" t="n">
        <v>0</v>
      </c>
      <c r="I94" t="n">
        <v>0</v>
      </c>
      <c r="J94" t="n">
        <v>0</v>
      </c>
      <c r="K94" t="n">
        <v>0</v>
      </c>
      <c r="L94" t="n">
        <v>0</v>
      </c>
      <c r="M94" t="n">
        <v>0</v>
      </c>
      <c r="N94" t="n">
        <v>0</v>
      </c>
      <c r="O94" t="n">
        <v>0</v>
      </c>
      <c r="P94" t="n">
        <v>0</v>
      </c>
      <c r="Q94" t="n">
        <v>0</v>
      </c>
      <c r="R94" s="2" t="inlineStr"/>
    </row>
    <row r="95" ht="15" customHeight="1">
      <c r="A95" t="inlineStr">
        <is>
          <t>A 73788-2021</t>
        </is>
      </c>
      <c r="B95" s="1" t="n">
        <v>44552</v>
      </c>
      <c r="C95" s="1" t="n">
        <v>46202</v>
      </c>
      <c r="D95" t="inlineStr">
        <is>
          <t>VÄSTMANLANDS LÄN</t>
        </is>
      </c>
      <c r="E95" t="inlineStr">
        <is>
          <t>SALA</t>
        </is>
      </c>
      <c r="G95" t="n">
        <v>0.8</v>
      </c>
      <c r="H95" t="n">
        <v>0</v>
      </c>
      <c r="I95" t="n">
        <v>0</v>
      </c>
      <c r="J95" t="n">
        <v>0</v>
      </c>
      <c r="K95" t="n">
        <v>0</v>
      </c>
      <c r="L95" t="n">
        <v>0</v>
      </c>
      <c r="M95" t="n">
        <v>0</v>
      </c>
      <c r="N95" t="n">
        <v>0</v>
      </c>
      <c r="O95" t="n">
        <v>0</v>
      </c>
      <c r="P95" t="n">
        <v>0</v>
      </c>
      <c r="Q95" t="n">
        <v>0</v>
      </c>
      <c r="R95" s="2" t="inlineStr"/>
    </row>
    <row r="96" ht="15" customHeight="1">
      <c r="A96" t="inlineStr">
        <is>
          <t>A 34110-2022</t>
        </is>
      </c>
      <c r="B96" s="1" t="n">
        <v>44791</v>
      </c>
      <c r="C96" s="1" t="n">
        <v>46202</v>
      </c>
      <c r="D96" t="inlineStr">
        <is>
          <t>VÄSTMANLANDS LÄN</t>
        </is>
      </c>
      <c r="E96" t="inlineStr">
        <is>
          <t>SALA</t>
        </is>
      </c>
      <c r="G96" t="n">
        <v>0.2</v>
      </c>
      <c r="H96" t="n">
        <v>0</v>
      </c>
      <c r="I96" t="n">
        <v>0</v>
      </c>
      <c r="J96" t="n">
        <v>0</v>
      </c>
      <c r="K96" t="n">
        <v>0</v>
      </c>
      <c r="L96" t="n">
        <v>0</v>
      </c>
      <c r="M96" t="n">
        <v>0</v>
      </c>
      <c r="N96" t="n">
        <v>0</v>
      </c>
      <c r="O96" t="n">
        <v>0</v>
      </c>
      <c r="P96" t="n">
        <v>0</v>
      </c>
      <c r="Q96" t="n">
        <v>0</v>
      </c>
      <c r="R96" s="2" t="inlineStr"/>
    </row>
    <row r="97" ht="15" customHeight="1">
      <c r="A97" t="inlineStr">
        <is>
          <t>A 28999-2022</t>
        </is>
      </c>
      <c r="B97" s="1" t="n">
        <v>44749</v>
      </c>
      <c r="C97" s="1" t="n">
        <v>46202</v>
      </c>
      <c r="D97" t="inlineStr">
        <is>
          <t>VÄSTMANLANDS LÄN</t>
        </is>
      </c>
      <c r="E97" t="inlineStr">
        <is>
          <t>SALA</t>
        </is>
      </c>
      <c r="G97" t="n">
        <v>5.7</v>
      </c>
      <c r="H97" t="n">
        <v>0</v>
      </c>
      <c r="I97" t="n">
        <v>0</v>
      </c>
      <c r="J97" t="n">
        <v>0</v>
      </c>
      <c r="K97" t="n">
        <v>0</v>
      </c>
      <c r="L97" t="n">
        <v>0</v>
      </c>
      <c r="M97" t="n">
        <v>0</v>
      </c>
      <c r="N97" t="n">
        <v>0</v>
      </c>
      <c r="O97" t="n">
        <v>0</v>
      </c>
      <c r="P97" t="n">
        <v>0</v>
      </c>
      <c r="Q97" t="n">
        <v>0</v>
      </c>
      <c r="R97" s="2" t="inlineStr"/>
    </row>
    <row r="98" ht="15" customHeight="1">
      <c r="A98" t="inlineStr">
        <is>
          <t>A 47683-2021</t>
        </is>
      </c>
      <c r="B98" s="1" t="n">
        <v>44448</v>
      </c>
      <c r="C98" s="1" t="n">
        <v>46202</v>
      </c>
      <c r="D98" t="inlineStr">
        <is>
          <t>VÄSTMANLANDS LÄN</t>
        </is>
      </c>
      <c r="E98" t="inlineStr">
        <is>
          <t>SALA</t>
        </is>
      </c>
      <c r="G98" t="n">
        <v>0.7</v>
      </c>
      <c r="H98" t="n">
        <v>0</v>
      </c>
      <c r="I98" t="n">
        <v>0</v>
      </c>
      <c r="J98" t="n">
        <v>0</v>
      </c>
      <c r="K98" t="n">
        <v>0</v>
      </c>
      <c r="L98" t="n">
        <v>0</v>
      </c>
      <c r="M98" t="n">
        <v>0</v>
      </c>
      <c r="N98" t="n">
        <v>0</v>
      </c>
      <c r="O98" t="n">
        <v>0</v>
      </c>
      <c r="P98" t="n">
        <v>0</v>
      </c>
      <c r="Q98" t="n">
        <v>0</v>
      </c>
      <c r="R98" s="2" t="inlineStr"/>
    </row>
    <row r="99" ht="15" customHeight="1">
      <c r="A99" t="inlineStr">
        <is>
          <t>A 33762-2021</t>
        </is>
      </c>
      <c r="B99" s="1" t="n">
        <v>44378</v>
      </c>
      <c r="C99" s="1" t="n">
        <v>46202</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10083-2022</t>
        </is>
      </c>
      <c r="B100" s="1" t="n">
        <v>44621</v>
      </c>
      <c r="C100" s="1" t="n">
        <v>46202</v>
      </c>
      <c r="D100" t="inlineStr">
        <is>
          <t>VÄSTMANLANDS LÄN</t>
        </is>
      </c>
      <c r="E100" t="inlineStr">
        <is>
          <t>SALA</t>
        </is>
      </c>
      <c r="G100" t="n">
        <v>7.8</v>
      </c>
      <c r="H100" t="n">
        <v>0</v>
      </c>
      <c r="I100" t="n">
        <v>0</v>
      </c>
      <c r="J100" t="n">
        <v>0</v>
      </c>
      <c r="K100" t="n">
        <v>0</v>
      </c>
      <c r="L100" t="n">
        <v>0</v>
      </c>
      <c r="M100" t="n">
        <v>0</v>
      </c>
      <c r="N100" t="n">
        <v>0</v>
      </c>
      <c r="O100" t="n">
        <v>0</v>
      </c>
      <c r="P100" t="n">
        <v>0</v>
      </c>
      <c r="Q100" t="n">
        <v>0</v>
      </c>
      <c r="R100" s="2" t="inlineStr"/>
    </row>
    <row r="101" ht="15" customHeight="1">
      <c r="A101" t="inlineStr">
        <is>
          <t>A 73683-2021</t>
        </is>
      </c>
      <c r="B101" s="1" t="n">
        <v>44552</v>
      </c>
      <c r="C101" s="1" t="n">
        <v>46202</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3050-2022</t>
        </is>
      </c>
      <c r="B102" s="1" t="n">
        <v>44582</v>
      </c>
      <c r="C102" s="1" t="n">
        <v>46202</v>
      </c>
      <c r="D102" t="inlineStr">
        <is>
          <t>VÄSTMANLANDS LÄN</t>
        </is>
      </c>
      <c r="E102" t="inlineStr">
        <is>
          <t>SALA</t>
        </is>
      </c>
      <c r="G102" t="n">
        <v>0.5</v>
      </c>
      <c r="H102" t="n">
        <v>0</v>
      </c>
      <c r="I102" t="n">
        <v>0</v>
      </c>
      <c r="J102" t="n">
        <v>0</v>
      </c>
      <c r="K102" t="n">
        <v>0</v>
      </c>
      <c r="L102" t="n">
        <v>0</v>
      </c>
      <c r="M102" t="n">
        <v>0</v>
      </c>
      <c r="N102" t="n">
        <v>0</v>
      </c>
      <c r="O102" t="n">
        <v>0</v>
      </c>
      <c r="P102" t="n">
        <v>0</v>
      </c>
      <c r="Q102" t="n">
        <v>0</v>
      </c>
      <c r="R102" s="2" t="inlineStr"/>
    </row>
    <row r="103" ht="15" customHeight="1">
      <c r="A103" t="inlineStr">
        <is>
          <t>A 74277-2021</t>
        </is>
      </c>
      <c r="B103" s="1" t="n">
        <v>44558</v>
      </c>
      <c r="C103" s="1" t="n">
        <v>46202</v>
      </c>
      <c r="D103" t="inlineStr">
        <is>
          <t>VÄSTMANLANDS LÄN</t>
        </is>
      </c>
      <c r="E103" t="inlineStr">
        <is>
          <t>SALA</t>
        </is>
      </c>
      <c r="F103" t="inlineStr">
        <is>
          <t>Kommuner</t>
        </is>
      </c>
      <c r="G103" t="n">
        <v>24.4</v>
      </c>
      <c r="H103" t="n">
        <v>0</v>
      </c>
      <c r="I103" t="n">
        <v>0</v>
      </c>
      <c r="J103" t="n">
        <v>0</v>
      </c>
      <c r="K103" t="n">
        <v>0</v>
      </c>
      <c r="L103" t="n">
        <v>0</v>
      </c>
      <c r="M103" t="n">
        <v>0</v>
      </c>
      <c r="N103" t="n">
        <v>0</v>
      </c>
      <c r="O103" t="n">
        <v>0</v>
      </c>
      <c r="P103" t="n">
        <v>0</v>
      </c>
      <c r="Q103" t="n">
        <v>0</v>
      </c>
      <c r="R103" s="2" t="inlineStr"/>
    </row>
    <row r="104" ht="15" customHeight="1">
      <c r="A104" t="inlineStr">
        <is>
          <t>A 31387-2022</t>
        </is>
      </c>
      <c r="B104" s="1" t="n">
        <v>44774</v>
      </c>
      <c r="C104" s="1" t="n">
        <v>46202</v>
      </c>
      <c r="D104" t="inlineStr">
        <is>
          <t>VÄSTMANLANDS LÄN</t>
        </is>
      </c>
      <c r="E104" t="inlineStr">
        <is>
          <t>SALA</t>
        </is>
      </c>
      <c r="G104" t="n">
        <v>5.8</v>
      </c>
      <c r="H104" t="n">
        <v>0</v>
      </c>
      <c r="I104" t="n">
        <v>0</v>
      </c>
      <c r="J104" t="n">
        <v>0</v>
      </c>
      <c r="K104" t="n">
        <v>0</v>
      </c>
      <c r="L104" t="n">
        <v>0</v>
      </c>
      <c r="M104" t="n">
        <v>0</v>
      </c>
      <c r="N104" t="n">
        <v>0</v>
      </c>
      <c r="O104" t="n">
        <v>0</v>
      </c>
      <c r="P104" t="n">
        <v>0</v>
      </c>
      <c r="Q104" t="n">
        <v>0</v>
      </c>
      <c r="R104" s="2" t="inlineStr"/>
    </row>
    <row r="105" ht="15" customHeight="1">
      <c r="A105" t="inlineStr">
        <is>
          <t>A 62850-2021</t>
        </is>
      </c>
      <c r="B105" s="1" t="n">
        <v>44504</v>
      </c>
      <c r="C105" s="1" t="n">
        <v>46202</v>
      </c>
      <c r="D105" t="inlineStr">
        <is>
          <t>VÄSTMANLANDS LÄN</t>
        </is>
      </c>
      <c r="E105" t="inlineStr">
        <is>
          <t>SALA</t>
        </is>
      </c>
      <c r="G105" t="n">
        <v>5.2</v>
      </c>
      <c r="H105" t="n">
        <v>0</v>
      </c>
      <c r="I105" t="n">
        <v>0</v>
      </c>
      <c r="J105" t="n">
        <v>0</v>
      </c>
      <c r="K105" t="n">
        <v>0</v>
      </c>
      <c r="L105" t="n">
        <v>0</v>
      </c>
      <c r="M105" t="n">
        <v>0</v>
      </c>
      <c r="N105" t="n">
        <v>0</v>
      </c>
      <c r="O105" t="n">
        <v>0</v>
      </c>
      <c r="P105" t="n">
        <v>0</v>
      </c>
      <c r="Q105" t="n">
        <v>0</v>
      </c>
      <c r="R105" s="2" t="inlineStr"/>
    </row>
    <row r="106" ht="15" customHeight="1">
      <c r="A106" t="inlineStr">
        <is>
          <t>A 73668-2021</t>
        </is>
      </c>
      <c r="B106" s="1" t="n">
        <v>44552</v>
      </c>
      <c r="C106" s="1" t="n">
        <v>46202</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49086-2022</t>
        </is>
      </c>
      <c r="B107" s="1" t="n">
        <v>44860</v>
      </c>
      <c r="C107" s="1" t="n">
        <v>46202</v>
      </c>
      <c r="D107" t="inlineStr">
        <is>
          <t>VÄSTMANLANDS LÄN</t>
        </is>
      </c>
      <c r="E107" t="inlineStr">
        <is>
          <t>SALA</t>
        </is>
      </c>
      <c r="G107" t="n">
        <v>0.9</v>
      </c>
      <c r="H107" t="n">
        <v>0</v>
      </c>
      <c r="I107" t="n">
        <v>0</v>
      </c>
      <c r="J107" t="n">
        <v>0</v>
      </c>
      <c r="K107" t="n">
        <v>0</v>
      </c>
      <c r="L107" t="n">
        <v>0</v>
      </c>
      <c r="M107" t="n">
        <v>0</v>
      </c>
      <c r="N107" t="n">
        <v>0</v>
      </c>
      <c r="O107" t="n">
        <v>0</v>
      </c>
      <c r="P107" t="n">
        <v>0</v>
      </c>
      <c r="Q107" t="n">
        <v>0</v>
      </c>
      <c r="R107" s="2" t="inlineStr"/>
    </row>
    <row r="108" ht="15" customHeight="1">
      <c r="A108" t="inlineStr">
        <is>
          <t>A 17897-2022</t>
        </is>
      </c>
      <c r="B108" s="1" t="n">
        <v>44683</v>
      </c>
      <c r="C108" s="1" t="n">
        <v>46202</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4281-2022</t>
        </is>
      </c>
      <c r="B109" s="1" t="n">
        <v>44588</v>
      </c>
      <c r="C109" s="1" t="n">
        <v>46202</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43103-2022</t>
        </is>
      </c>
      <c r="B110" s="1" t="n">
        <v>44833</v>
      </c>
      <c r="C110" s="1" t="n">
        <v>46202</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55733-2022</t>
        </is>
      </c>
      <c r="B111" s="1" t="n">
        <v>44888</v>
      </c>
      <c r="C111" s="1" t="n">
        <v>46202</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19058-2022</t>
        </is>
      </c>
      <c r="B112" s="1" t="n">
        <v>44691</v>
      </c>
      <c r="C112" s="1" t="n">
        <v>46202</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73663-2021</t>
        </is>
      </c>
      <c r="B113" s="1" t="n">
        <v>44552</v>
      </c>
      <c r="C113" s="1" t="n">
        <v>46202</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29228-2022</t>
        </is>
      </c>
      <c r="B114" s="1" t="n">
        <v>44750</v>
      </c>
      <c r="C114" s="1" t="n">
        <v>46202</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6667-2022</t>
        </is>
      </c>
      <c r="B115" s="1" t="n">
        <v>44602</v>
      </c>
      <c r="C115" s="1" t="n">
        <v>46202</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939-2022</t>
        </is>
      </c>
      <c r="B116" s="1" t="n">
        <v>44571</v>
      </c>
      <c r="C116" s="1" t="n">
        <v>46202</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19760-2022</t>
        </is>
      </c>
      <c r="B117" s="1" t="n">
        <v>44694</v>
      </c>
      <c r="C117" s="1" t="n">
        <v>46202</v>
      </c>
      <c r="D117" t="inlineStr">
        <is>
          <t>VÄSTMANLANDS LÄN</t>
        </is>
      </c>
      <c r="E117" t="inlineStr">
        <is>
          <t>SALA</t>
        </is>
      </c>
      <c r="G117" t="n">
        <v>0.9</v>
      </c>
      <c r="H117" t="n">
        <v>0</v>
      </c>
      <c r="I117" t="n">
        <v>0</v>
      </c>
      <c r="J117" t="n">
        <v>0</v>
      </c>
      <c r="K117" t="n">
        <v>0</v>
      </c>
      <c r="L117" t="n">
        <v>0</v>
      </c>
      <c r="M117" t="n">
        <v>0</v>
      </c>
      <c r="N117" t="n">
        <v>0</v>
      </c>
      <c r="O117" t="n">
        <v>0</v>
      </c>
      <c r="P117" t="n">
        <v>0</v>
      </c>
      <c r="Q117" t="n">
        <v>0</v>
      </c>
      <c r="R117" s="2" t="inlineStr"/>
    </row>
    <row r="118" ht="15" customHeight="1">
      <c r="A118" t="inlineStr">
        <is>
          <t>A 73687-2021</t>
        </is>
      </c>
      <c r="B118" s="1" t="n">
        <v>44552</v>
      </c>
      <c r="C118" s="1" t="n">
        <v>46202</v>
      </c>
      <c r="D118" t="inlineStr">
        <is>
          <t>VÄSTMANLANDS LÄN</t>
        </is>
      </c>
      <c r="E118" t="inlineStr">
        <is>
          <t>SALA</t>
        </is>
      </c>
      <c r="G118" t="n">
        <v>5.6</v>
      </c>
      <c r="H118" t="n">
        <v>0</v>
      </c>
      <c r="I118" t="n">
        <v>0</v>
      </c>
      <c r="J118" t="n">
        <v>0</v>
      </c>
      <c r="K118" t="n">
        <v>0</v>
      </c>
      <c r="L118" t="n">
        <v>0</v>
      </c>
      <c r="M118" t="n">
        <v>0</v>
      </c>
      <c r="N118" t="n">
        <v>0</v>
      </c>
      <c r="O118" t="n">
        <v>0</v>
      </c>
      <c r="P118" t="n">
        <v>0</v>
      </c>
      <c r="Q118" t="n">
        <v>0</v>
      </c>
      <c r="R118" s="2" t="inlineStr"/>
    </row>
    <row r="119" ht="15" customHeight="1">
      <c r="A119" t="inlineStr">
        <is>
          <t>A 42976-2021</t>
        </is>
      </c>
      <c r="B119" s="1" t="n">
        <v>44431</v>
      </c>
      <c r="C119" s="1" t="n">
        <v>46202</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4237-2022</t>
        </is>
      </c>
      <c r="B120" s="1" t="n">
        <v>44588</v>
      </c>
      <c r="C120" s="1" t="n">
        <v>46202</v>
      </c>
      <c r="D120" t="inlineStr">
        <is>
          <t>VÄSTMANLANDS LÄN</t>
        </is>
      </c>
      <c r="E120" t="inlineStr">
        <is>
          <t>SALA</t>
        </is>
      </c>
      <c r="G120" t="n">
        <v>1.2</v>
      </c>
      <c r="H120" t="n">
        <v>0</v>
      </c>
      <c r="I120" t="n">
        <v>0</v>
      </c>
      <c r="J120" t="n">
        <v>0</v>
      </c>
      <c r="K120" t="n">
        <v>0</v>
      </c>
      <c r="L120" t="n">
        <v>0</v>
      </c>
      <c r="M120" t="n">
        <v>0</v>
      </c>
      <c r="N120" t="n">
        <v>0</v>
      </c>
      <c r="O120" t="n">
        <v>0</v>
      </c>
      <c r="P120" t="n">
        <v>0</v>
      </c>
      <c r="Q120" t="n">
        <v>0</v>
      </c>
      <c r="R120" s="2" t="inlineStr"/>
    </row>
    <row r="121" ht="15" customHeight="1">
      <c r="A121" t="inlineStr">
        <is>
          <t>A 51377-2022</t>
        </is>
      </c>
      <c r="B121" s="1" t="n">
        <v>44866</v>
      </c>
      <c r="C121" s="1" t="n">
        <v>46202</v>
      </c>
      <c r="D121" t="inlineStr">
        <is>
          <t>VÄSTMANLANDS LÄN</t>
        </is>
      </c>
      <c r="E121" t="inlineStr">
        <is>
          <t>SALA</t>
        </is>
      </c>
      <c r="G121" t="n">
        <v>6.3</v>
      </c>
      <c r="H121" t="n">
        <v>0</v>
      </c>
      <c r="I121" t="n">
        <v>0</v>
      </c>
      <c r="J121" t="n">
        <v>0</v>
      </c>
      <c r="K121" t="n">
        <v>0</v>
      </c>
      <c r="L121" t="n">
        <v>0</v>
      </c>
      <c r="M121" t="n">
        <v>0</v>
      </c>
      <c r="N121" t="n">
        <v>0</v>
      </c>
      <c r="O121" t="n">
        <v>0</v>
      </c>
      <c r="P121" t="n">
        <v>0</v>
      </c>
      <c r="Q121" t="n">
        <v>0</v>
      </c>
      <c r="R121" s="2" t="inlineStr"/>
    </row>
    <row r="122" ht="15" customHeight="1">
      <c r="A122" t="inlineStr">
        <is>
          <t>A 68355-2021</t>
        </is>
      </c>
      <c r="B122" s="1" t="n">
        <v>44528</v>
      </c>
      <c r="C122" s="1" t="n">
        <v>46202</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44318-2022</t>
        </is>
      </c>
      <c r="B123" s="1" t="n">
        <v>44839</v>
      </c>
      <c r="C123" s="1" t="n">
        <v>46202</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37856-2021</t>
        </is>
      </c>
      <c r="B124" s="1" t="n">
        <v>44403</v>
      </c>
      <c r="C124" s="1" t="n">
        <v>46202</v>
      </c>
      <c r="D124" t="inlineStr">
        <is>
          <t>VÄSTMANLANDS LÄN</t>
        </is>
      </c>
      <c r="E124" t="inlineStr">
        <is>
          <t>SALA</t>
        </is>
      </c>
      <c r="G124" t="n">
        <v>3.1</v>
      </c>
      <c r="H124" t="n">
        <v>0</v>
      </c>
      <c r="I124" t="n">
        <v>0</v>
      </c>
      <c r="J124" t="n">
        <v>0</v>
      </c>
      <c r="K124" t="n">
        <v>0</v>
      </c>
      <c r="L124" t="n">
        <v>0</v>
      </c>
      <c r="M124" t="n">
        <v>0</v>
      </c>
      <c r="N124" t="n">
        <v>0</v>
      </c>
      <c r="O124" t="n">
        <v>0</v>
      </c>
      <c r="P124" t="n">
        <v>0</v>
      </c>
      <c r="Q124" t="n">
        <v>0</v>
      </c>
      <c r="R124" s="2" t="inlineStr"/>
    </row>
    <row r="125" ht="15" customHeight="1">
      <c r="A125" t="inlineStr">
        <is>
          <t>A 37872-2021</t>
        </is>
      </c>
      <c r="B125" s="1" t="n">
        <v>44403</v>
      </c>
      <c r="C125" s="1" t="n">
        <v>46202</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46202</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v>
      </c>
      <c r="C127" s="1" t="n">
        <v>46202</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67962-2021</t>
        </is>
      </c>
      <c r="B128" s="1" t="n">
        <v>44525</v>
      </c>
      <c r="C128" s="1" t="n">
        <v>46202</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1043-2022</t>
        </is>
      </c>
      <c r="B129" s="1" t="n">
        <v>44571</v>
      </c>
      <c r="C129" s="1" t="n">
        <v>46202</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15850-2022</t>
        </is>
      </c>
      <c r="B130" s="1" t="n">
        <v>44664</v>
      </c>
      <c r="C130" s="1" t="n">
        <v>46202</v>
      </c>
      <c r="D130" t="inlineStr">
        <is>
          <t>VÄSTMANLANDS LÄN</t>
        </is>
      </c>
      <c r="E130" t="inlineStr">
        <is>
          <t>SALA</t>
        </is>
      </c>
      <c r="G130" t="n">
        <v>1</v>
      </c>
      <c r="H130" t="n">
        <v>0</v>
      </c>
      <c r="I130" t="n">
        <v>0</v>
      </c>
      <c r="J130" t="n">
        <v>0</v>
      </c>
      <c r="K130" t="n">
        <v>0</v>
      </c>
      <c r="L130" t="n">
        <v>0</v>
      </c>
      <c r="M130" t="n">
        <v>0</v>
      </c>
      <c r="N130" t="n">
        <v>0</v>
      </c>
      <c r="O130" t="n">
        <v>0</v>
      </c>
      <c r="P130" t="n">
        <v>0</v>
      </c>
      <c r="Q130" t="n">
        <v>0</v>
      </c>
      <c r="R130" s="2" t="inlineStr"/>
    </row>
    <row r="131" ht="15" customHeight="1">
      <c r="A131" t="inlineStr">
        <is>
          <t>A 61897-2021</t>
        </is>
      </c>
      <c r="B131" s="1" t="n">
        <v>44502</v>
      </c>
      <c r="C131" s="1" t="n">
        <v>46202</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44217-2022</t>
        </is>
      </c>
      <c r="B132" s="1" t="n">
        <v>44839</v>
      </c>
      <c r="C132" s="1" t="n">
        <v>46202</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24882-2022</t>
        </is>
      </c>
      <c r="B133" s="1" t="n">
        <v>44728</v>
      </c>
      <c r="C133" s="1" t="n">
        <v>46202</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51596-2022</t>
        </is>
      </c>
      <c r="B134" s="1" t="n">
        <v>44871</v>
      </c>
      <c r="C134" s="1" t="n">
        <v>46202</v>
      </c>
      <c r="D134" t="inlineStr">
        <is>
          <t>VÄSTMANLANDS LÄN</t>
        </is>
      </c>
      <c r="E134" t="inlineStr">
        <is>
          <t>SALA</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v>
      </c>
      <c r="C135" s="1" t="n">
        <v>46202</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35921-2021</t>
        </is>
      </c>
      <c r="B136" s="1" t="n">
        <v>44388</v>
      </c>
      <c r="C136" s="1" t="n">
        <v>46202</v>
      </c>
      <c r="D136" t="inlineStr">
        <is>
          <t>VÄSTMANLANDS LÄN</t>
        </is>
      </c>
      <c r="E136" t="inlineStr">
        <is>
          <t>SALA</t>
        </is>
      </c>
      <c r="G136" t="n">
        <v>1.1</v>
      </c>
      <c r="H136" t="n">
        <v>0</v>
      </c>
      <c r="I136" t="n">
        <v>0</v>
      </c>
      <c r="J136" t="n">
        <v>0</v>
      </c>
      <c r="K136" t="n">
        <v>0</v>
      </c>
      <c r="L136" t="n">
        <v>0</v>
      </c>
      <c r="M136" t="n">
        <v>0</v>
      </c>
      <c r="N136" t="n">
        <v>0</v>
      </c>
      <c r="O136" t="n">
        <v>0</v>
      </c>
      <c r="P136" t="n">
        <v>0</v>
      </c>
      <c r="Q136" t="n">
        <v>0</v>
      </c>
      <c r="R136" s="2" t="inlineStr"/>
    </row>
    <row r="137" ht="15" customHeight="1">
      <c r="A137" t="inlineStr">
        <is>
          <t>A 22811-2022</t>
        </is>
      </c>
      <c r="B137" s="1" t="n">
        <v>44715</v>
      </c>
      <c r="C137" s="1" t="n">
        <v>46202</v>
      </c>
      <c r="D137" t="inlineStr">
        <is>
          <t>VÄSTMANLANDS LÄN</t>
        </is>
      </c>
      <c r="E137" t="inlineStr">
        <is>
          <t>SALA</t>
        </is>
      </c>
      <c r="G137" t="n">
        <v>5</v>
      </c>
      <c r="H137" t="n">
        <v>0</v>
      </c>
      <c r="I137" t="n">
        <v>0</v>
      </c>
      <c r="J137" t="n">
        <v>0</v>
      </c>
      <c r="K137" t="n">
        <v>0</v>
      </c>
      <c r="L137" t="n">
        <v>0</v>
      </c>
      <c r="M137" t="n">
        <v>0</v>
      </c>
      <c r="N137" t="n">
        <v>0</v>
      </c>
      <c r="O137" t="n">
        <v>0</v>
      </c>
      <c r="P137" t="n">
        <v>0</v>
      </c>
      <c r="Q137" t="n">
        <v>0</v>
      </c>
      <c r="R137" s="2" t="inlineStr"/>
    </row>
    <row r="138" ht="15" customHeight="1">
      <c r="A138" t="inlineStr">
        <is>
          <t>A 65213-2021</t>
        </is>
      </c>
      <c r="B138" s="1" t="n">
        <v>44515</v>
      </c>
      <c r="C138" s="1" t="n">
        <v>46202</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23181-2022</t>
        </is>
      </c>
      <c r="B139" s="1" t="n">
        <v>44719</v>
      </c>
      <c r="C139" s="1" t="n">
        <v>46202</v>
      </c>
      <c r="D139" t="inlineStr">
        <is>
          <t>VÄSTMANLANDS LÄN</t>
        </is>
      </c>
      <c r="E139" t="inlineStr">
        <is>
          <t>SALA</t>
        </is>
      </c>
      <c r="G139" t="n">
        <v>0.8</v>
      </c>
      <c r="H139" t="n">
        <v>0</v>
      </c>
      <c r="I139" t="n">
        <v>0</v>
      </c>
      <c r="J139" t="n">
        <v>0</v>
      </c>
      <c r="K139" t="n">
        <v>0</v>
      </c>
      <c r="L139" t="n">
        <v>0</v>
      </c>
      <c r="M139" t="n">
        <v>0</v>
      </c>
      <c r="N139" t="n">
        <v>0</v>
      </c>
      <c r="O139" t="n">
        <v>0</v>
      </c>
      <c r="P139" t="n">
        <v>0</v>
      </c>
      <c r="Q139" t="n">
        <v>0</v>
      </c>
      <c r="R139" s="2" t="inlineStr"/>
    </row>
    <row r="140" ht="15" customHeight="1">
      <c r="A140" t="inlineStr">
        <is>
          <t>A 65860-2021</t>
        </is>
      </c>
      <c r="B140" s="1" t="n">
        <v>44517</v>
      </c>
      <c r="C140" s="1" t="n">
        <v>46202</v>
      </c>
      <c r="D140" t="inlineStr">
        <is>
          <t>VÄSTMANLANDS LÄN</t>
        </is>
      </c>
      <c r="E140" t="inlineStr">
        <is>
          <t>SALA</t>
        </is>
      </c>
      <c r="G140" t="n">
        <v>0.9</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v>
      </c>
      <c r="C141" s="1" t="n">
        <v>46202</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46202</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46202</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29235-2022</t>
        </is>
      </c>
      <c r="B144" s="1" t="n">
        <v>44750</v>
      </c>
      <c r="C144" s="1" t="n">
        <v>46202</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65818-2021</t>
        </is>
      </c>
      <c r="B145" s="1" t="n">
        <v>44517</v>
      </c>
      <c r="C145" s="1" t="n">
        <v>46202</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v>
      </c>
      <c r="C146" s="1" t="n">
        <v>46202</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v>
      </c>
      <c r="C147" s="1" t="n">
        <v>46202</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46202</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23847-2022</t>
        </is>
      </c>
      <c r="B149" s="1" t="n">
        <v>44722</v>
      </c>
      <c r="C149" s="1" t="n">
        <v>46202</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73606-2021</t>
        </is>
      </c>
      <c r="B150" s="1" t="n">
        <v>44552</v>
      </c>
      <c r="C150" s="1" t="n">
        <v>46202</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v>
      </c>
      <c r="C151" s="1" t="n">
        <v>46202</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46202</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9050-2022</t>
        </is>
      </c>
      <c r="B153" s="1" t="n">
        <v>44615</v>
      </c>
      <c r="C153" s="1" t="n">
        <v>46202</v>
      </c>
      <c r="D153" t="inlineStr">
        <is>
          <t>VÄSTMANLANDS LÄN</t>
        </is>
      </c>
      <c r="E153" t="inlineStr">
        <is>
          <t>SALA</t>
        </is>
      </c>
      <c r="G153" t="n">
        <v>3.1</v>
      </c>
      <c r="H153" t="n">
        <v>0</v>
      </c>
      <c r="I153" t="n">
        <v>0</v>
      </c>
      <c r="J153" t="n">
        <v>0</v>
      </c>
      <c r="K153" t="n">
        <v>0</v>
      </c>
      <c r="L153" t="n">
        <v>0</v>
      </c>
      <c r="M153" t="n">
        <v>0</v>
      </c>
      <c r="N153" t="n">
        <v>0</v>
      </c>
      <c r="O153" t="n">
        <v>0</v>
      </c>
      <c r="P153" t="n">
        <v>0</v>
      </c>
      <c r="Q153" t="n">
        <v>0</v>
      </c>
      <c r="R153" s="2" t="inlineStr"/>
    </row>
    <row r="154" ht="15" customHeight="1">
      <c r="A154" t="inlineStr">
        <is>
          <t>A 65856-2021</t>
        </is>
      </c>
      <c r="B154" s="1" t="n">
        <v>44517</v>
      </c>
      <c r="C154" s="1" t="n">
        <v>46202</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49254-2022</t>
        </is>
      </c>
      <c r="B155" s="1" t="n">
        <v>44861</v>
      </c>
      <c r="C155" s="1" t="n">
        <v>46202</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44224-2022</t>
        </is>
      </c>
      <c r="B156" s="1" t="n">
        <v>44839</v>
      </c>
      <c r="C156" s="1" t="n">
        <v>46202</v>
      </c>
      <c r="D156" t="inlineStr">
        <is>
          <t>VÄSTMANLANDS LÄN</t>
        </is>
      </c>
      <c r="E156" t="inlineStr">
        <is>
          <t>SALA</t>
        </is>
      </c>
      <c r="G156" t="n">
        <v>2.1</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46202</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72405-2021</t>
        </is>
      </c>
      <c r="B158" s="1" t="n">
        <v>44545</v>
      </c>
      <c r="C158" s="1" t="n">
        <v>46202</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25603-2022</t>
        </is>
      </c>
      <c r="B159" s="1" t="n">
        <v>44732</v>
      </c>
      <c r="C159" s="1" t="n">
        <v>46202</v>
      </c>
      <c r="D159" t="inlineStr">
        <is>
          <t>VÄSTMANLANDS LÄN</t>
        </is>
      </c>
      <c r="E159" t="inlineStr">
        <is>
          <t>SALA</t>
        </is>
      </c>
      <c r="G159" t="n">
        <v>2</v>
      </c>
      <c r="H159" t="n">
        <v>0</v>
      </c>
      <c r="I159" t="n">
        <v>0</v>
      </c>
      <c r="J159" t="n">
        <v>0</v>
      </c>
      <c r="K159" t="n">
        <v>0</v>
      </c>
      <c r="L159" t="n">
        <v>0</v>
      </c>
      <c r="M159" t="n">
        <v>0</v>
      </c>
      <c r="N159" t="n">
        <v>0</v>
      </c>
      <c r="O159" t="n">
        <v>0</v>
      </c>
      <c r="P159" t="n">
        <v>0</v>
      </c>
      <c r="Q159" t="n">
        <v>0</v>
      </c>
      <c r="R159" s="2" t="inlineStr"/>
    </row>
    <row r="160" ht="15" customHeight="1">
      <c r="A160" t="inlineStr">
        <is>
          <t>A 63290-2021</t>
        </is>
      </c>
      <c r="B160" s="1" t="n">
        <v>44505</v>
      </c>
      <c r="C160" s="1" t="n">
        <v>46202</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46202</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46202</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53628-2022</t>
        </is>
      </c>
      <c r="B163" s="1" t="n">
        <v>44879</v>
      </c>
      <c r="C163" s="1" t="n">
        <v>46202</v>
      </c>
      <c r="D163" t="inlineStr">
        <is>
          <t>VÄSTMANLANDS LÄN</t>
        </is>
      </c>
      <c r="E163" t="inlineStr">
        <is>
          <t>SALA</t>
        </is>
      </c>
      <c r="G163" t="n">
        <v>2.7</v>
      </c>
      <c r="H163" t="n">
        <v>0</v>
      </c>
      <c r="I163" t="n">
        <v>0</v>
      </c>
      <c r="J163" t="n">
        <v>0</v>
      </c>
      <c r="K163" t="n">
        <v>0</v>
      </c>
      <c r="L163" t="n">
        <v>0</v>
      </c>
      <c r="M163" t="n">
        <v>0</v>
      </c>
      <c r="N163" t="n">
        <v>0</v>
      </c>
      <c r="O163" t="n">
        <v>0</v>
      </c>
      <c r="P163" t="n">
        <v>0</v>
      </c>
      <c r="Q163" t="n">
        <v>0</v>
      </c>
      <c r="R163" s="2" t="inlineStr"/>
    </row>
    <row r="164" ht="15" customHeight="1">
      <c r="A164" t="inlineStr">
        <is>
          <t>A 41876-2022</t>
        </is>
      </c>
      <c r="B164" s="1" t="n">
        <v>44829</v>
      </c>
      <c r="C164" s="1" t="n">
        <v>46202</v>
      </c>
      <c r="D164" t="inlineStr">
        <is>
          <t>VÄSTMANLANDS LÄN</t>
        </is>
      </c>
      <c r="E164" t="inlineStr">
        <is>
          <t>SALA</t>
        </is>
      </c>
      <c r="G164" t="n">
        <v>3.6</v>
      </c>
      <c r="H164" t="n">
        <v>0</v>
      </c>
      <c r="I164" t="n">
        <v>0</v>
      </c>
      <c r="J164" t="n">
        <v>0</v>
      </c>
      <c r="K164" t="n">
        <v>0</v>
      </c>
      <c r="L164" t="n">
        <v>0</v>
      </c>
      <c r="M164" t="n">
        <v>0</v>
      </c>
      <c r="N164" t="n">
        <v>0</v>
      </c>
      <c r="O164" t="n">
        <v>0</v>
      </c>
      <c r="P164" t="n">
        <v>0</v>
      </c>
      <c r="Q164" t="n">
        <v>0</v>
      </c>
      <c r="R164" s="2" t="inlineStr"/>
    </row>
    <row r="165" ht="15" customHeight="1">
      <c r="A165" t="inlineStr">
        <is>
          <t>A 67958-2021</t>
        </is>
      </c>
      <c r="B165" s="1" t="n">
        <v>44525</v>
      </c>
      <c r="C165" s="1" t="n">
        <v>46202</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67965-2021</t>
        </is>
      </c>
      <c r="B166" s="1" t="n">
        <v>44525</v>
      </c>
      <c r="C166" s="1" t="n">
        <v>46202</v>
      </c>
      <c r="D166" t="inlineStr">
        <is>
          <t>VÄSTMANLANDS LÄN</t>
        </is>
      </c>
      <c r="E166" t="inlineStr">
        <is>
          <t>SALA</t>
        </is>
      </c>
      <c r="G166" t="n">
        <v>0.6</v>
      </c>
      <c r="H166" t="n">
        <v>0</v>
      </c>
      <c r="I166" t="n">
        <v>0</v>
      </c>
      <c r="J166" t="n">
        <v>0</v>
      </c>
      <c r="K166" t="n">
        <v>0</v>
      </c>
      <c r="L166" t="n">
        <v>0</v>
      </c>
      <c r="M166" t="n">
        <v>0</v>
      </c>
      <c r="N166" t="n">
        <v>0</v>
      </c>
      <c r="O166" t="n">
        <v>0</v>
      </c>
      <c r="P166" t="n">
        <v>0</v>
      </c>
      <c r="Q166" t="n">
        <v>0</v>
      </c>
      <c r="R166" s="2" t="inlineStr"/>
    </row>
    <row r="167" ht="15" customHeight="1">
      <c r="A167" t="inlineStr">
        <is>
          <t>A 53630-2022</t>
        </is>
      </c>
      <c r="B167" s="1" t="n">
        <v>44879</v>
      </c>
      <c r="C167" s="1" t="n">
        <v>46202</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46202</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45015-2022</t>
        </is>
      </c>
      <c r="B169" s="1" t="n">
        <v>44841</v>
      </c>
      <c r="C169" s="1" t="n">
        <v>46202</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46202</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46202</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64932-2021</t>
        </is>
      </c>
      <c r="B172" s="1" t="n">
        <v>44512</v>
      </c>
      <c r="C172" s="1" t="n">
        <v>46202</v>
      </c>
      <c r="D172" t="inlineStr">
        <is>
          <t>VÄSTMANLANDS LÄN</t>
        </is>
      </c>
      <c r="E172" t="inlineStr">
        <is>
          <t>SALA</t>
        </is>
      </c>
      <c r="G172" t="n">
        <v>0.8</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46202</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52827-2024</t>
        </is>
      </c>
      <c r="B174" s="1" t="n">
        <v>45610</v>
      </c>
      <c r="C174" s="1" t="n">
        <v>46202</v>
      </c>
      <c r="D174" t="inlineStr">
        <is>
          <t>VÄSTMANLANDS LÄN</t>
        </is>
      </c>
      <c r="E174" t="inlineStr">
        <is>
          <t>SALA</t>
        </is>
      </c>
      <c r="G174" t="n">
        <v>0.2</v>
      </c>
      <c r="H174" t="n">
        <v>0</v>
      </c>
      <c r="I174" t="n">
        <v>0</v>
      </c>
      <c r="J174" t="n">
        <v>0</v>
      </c>
      <c r="K174" t="n">
        <v>0</v>
      </c>
      <c r="L174" t="n">
        <v>0</v>
      </c>
      <c r="M174" t="n">
        <v>0</v>
      </c>
      <c r="N174" t="n">
        <v>0</v>
      </c>
      <c r="O174" t="n">
        <v>0</v>
      </c>
      <c r="P174" t="n">
        <v>0</v>
      </c>
      <c r="Q174" t="n">
        <v>0</v>
      </c>
      <c r="R174" s="2" t="inlineStr"/>
    </row>
    <row r="175" ht="15" customHeight="1">
      <c r="A175" t="inlineStr">
        <is>
          <t>A 58107-2021</t>
        </is>
      </c>
      <c r="B175" s="1" t="n">
        <v>44487</v>
      </c>
      <c r="C175" s="1" t="n">
        <v>46202</v>
      </c>
      <c r="D175" t="inlineStr">
        <is>
          <t>VÄSTMANLANDS LÄN</t>
        </is>
      </c>
      <c r="E175" t="inlineStr">
        <is>
          <t>SALA</t>
        </is>
      </c>
      <c r="F175" t="inlineStr">
        <is>
          <t>Sveaskog</t>
        </is>
      </c>
      <c r="G175" t="n">
        <v>2.8</v>
      </c>
      <c r="H175" t="n">
        <v>0</v>
      </c>
      <c r="I175" t="n">
        <v>0</v>
      </c>
      <c r="J175" t="n">
        <v>0</v>
      </c>
      <c r="K175" t="n">
        <v>0</v>
      </c>
      <c r="L175" t="n">
        <v>0</v>
      </c>
      <c r="M175" t="n">
        <v>0</v>
      </c>
      <c r="N175" t="n">
        <v>0</v>
      </c>
      <c r="O175" t="n">
        <v>0</v>
      </c>
      <c r="P175" t="n">
        <v>0</v>
      </c>
      <c r="Q175" t="n">
        <v>0</v>
      </c>
      <c r="R175" s="2" t="inlineStr"/>
    </row>
    <row r="176" ht="15" customHeight="1">
      <c r="A176" t="inlineStr">
        <is>
          <t>A 60545-2024</t>
        </is>
      </c>
      <c r="B176" s="1" t="n">
        <v>45643</v>
      </c>
      <c r="C176" s="1" t="n">
        <v>46202</v>
      </c>
      <c r="D176" t="inlineStr">
        <is>
          <t>VÄSTMANLANDS LÄN</t>
        </is>
      </c>
      <c r="E176" t="inlineStr">
        <is>
          <t>SALA</t>
        </is>
      </c>
      <c r="G176" t="n">
        <v>3.3</v>
      </c>
      <c r="H176" t="n">
        <v>0</v>
      </c>
      <c r="I176" t="n">
        <v>0</v>
      </c>
      <c r="J176" t="n">
        <v>0</v>
      </c>
      <c r="K176" t="n">
        <v>0</v>
      </c>
      <c r="L176" t="n">
        <v>0</v>
      </c>
      <c r="M176" t="n">
        <v>0</v>
      </c>
      <c r="N176" t="n">
        <v>0</v>
      </c>
      <c r="O176" t="n">
        <v>0</v>
      </c>
      <c r="P176" t="n">
        <v>0</v>
      </c>
      <c r="Q176" t="n">
        <v>0</v>
      </c>
      <c r="R176" s="2" t="inlineStr"/>
    </row>
    <row r="177" ht="15" customHeight="1">
      <c r="A177" t="inlineStr">
        <is>
          <t>A 60547-2024</t>
        </is>
      </c>
      <c r="B177" s="1" t="n">
        <v>45643</v>
      </c>
      <c r="C177" s="1" t="n">
        <v>46202</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16328-2025</t>
        </is>
      </c>
      <c r="B178" s="1" t="n">
        <v>45751</v>
      </c>
      <c r="C178" s="1" t="n">
        <v>46202</v>
      </c>
      <c r="D178" t="inlineStr">
        <is>
          <t>VÄSTMANLANDS LÄN</t>
        </is>
      </c>
      <c r="E178" t="inlineStr">
        <is>
          <t>SALA</t>
        </is>
      </c>
      <c r="G178" t="n">
        <v>2.9</v>
      </c>
      <c r="H178" t="n">
        <v>0</v>
      </c>
      <c r="I178" t="n">
        <v>0</v>
      </c>
      <c r="J178" t="n">
        <v>0</v>
      </c>
      <c r="K178" t="n">
        <v>0</v>
      </c>
      <c r="L178" t="n">
        <v>0</v>
      </c>
      <c r="M178" t="n">
        <v>0</v>
      </c>
      <c r="N178" t="n">
        <v>0</v>
      </c>
      <c r="O178" t="n">
        <v>0</v>
      </c>
      <c r="P178" t="n">
        <v>0</v>
      </c>
      <c r="Q178" t="n">
        <v>0</v>
      </c>
      <c r="R178" s="2" t="inlineStr"/>
    </row>
    <row r="179" ht="15" customHeight="1">
      <c r="A179" t="inlineStr">
        <is>
          <t>A 14024-2025</t>
        </is>
      </c>
      <c r="B179" s="1" t="n">
        <v>45740</v>
      </c>
      <c r="C179" s="1" t="n">
        <v>46202</v>
      </c>
      <c r="D179" t="inlineStr">
        <is>
          <t>VÄSTMANLANDS LÄN</t>
        </is>
      </c>
      <c r="E179" t="inlineStr">
        <is>
          <t>SALA</t>
        </is>
      </c>
      <c r="G179" t="n">
        <v>1.1</v>
      </c>
      <c r="H179" t="n">
        <v>0</v>
      </c>
      <c r="I179" t="n">
        <v>0</v>
      </c>
      <c r="J179" t="n">
        <v>0</v>
      </c>
      <c r="K179" t="n">
        <v>0</v>
      </c>
      <c r="L179" t="n">
        <v>0</v>
      </c>
      <c r="M179" t="n">
        <v>0</v>
      </c>
      <c r="N179" t="n">
        <v>0</v>
      </c>
      <c r="O179" t="n">
        <v>0</v>
      </c>
      <c r="P179" t="n">
        <v>0</v>
      </c>
      <c r="Q179" t="n">
        <v>0</v>
      </c>
      <c r="R179" s="2" t="inlineStr"/>
    </row>
    <row r="180" ht="15" customHeight="1">
      <c r="A180" t="inlineStr">
        <is>
          <t>A 26692-2023</t>
        </is>
      </c>
      <c r="B180" s="1" t="n">
        <v>45093</v>
      </c>
      <c r="C180" s="1" t="n">
        <v>46202</v>
      </c>
      <c r="D180" t="inlineStr">
        <is>
          <t>VÄSTMANLANDS LÄN</t>
        </is>
      </c>
      <c r="E180" t="inlineStr">
        <is>
          <t>SALA</t>
        </is>
      </c>
      <c r="G180" t="n">
        <v>1.8</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46202</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62449-2023</t>
        </is>
      </c>
      <c r="B182" s="1" t="n">
        <v>45268</v>
      </c>
      <c r="C182" s="1" t="n">
        <v>46202</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10168-2022</t>
        </is>
      </c>
      <c r="B183" s="1" t="n">
        <v>44622</v>
      </c>
      <c r="C183" s="1" t="n">
        <v>46202</v>
      </c>
      <c r="D183" t="inlineStr">
        <is>
          <t>VÄSTMANLANDS LÄN</t>
        </is>
      </c>
      <c r="E183" t="inlineStr">
        <is>
          <t>SALA</t>
        </is>
      </c>
      <c r="G183" t="n">
        <v>2.1</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46202</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1985-2022</t>
        </is>
      </c>
      <c r="B185" s="1" t="n">
        <v>44575</v>
      </c>
      <c r="C185" s="1" t="n">
        <v>46202</v>
      </c>
      <c r="D185" t="inlineStr">
        <is>
          <t>VÄSTMANLANDS LÄN</t>
        </is>
      </c>
      <c r="E185" t="inlineStr">
        <is>
          <t>SALA</t>
        </is>
      </c>
      <c r="G185" t="n">
        <v>1.4</v>
      </c>
      <c r="H185" t="n">
        <v>0</v>
      </c>
      <c r="I185" t="n">
        <v>0</v>
      </c>
      <c r="J185" t="n">
        <v>0</v>
      </c>
      <c r="K185" t="n">
        <v>0</v>
      </c>
      <c r="L185" t="n">
        <v>0</v>
      </c>
      <c r="M185" t="n">
        <v>0</v>
      </c>
      <c r="N185" t="n">
        <v>0</v>
      </c>
      <c r="O185" t="n">
        <v>0</v>
      </c>
      <c r="P185" t="n">
        <v>0</v>
      </c>
      <c r="Q185" t="n">
        <v>0</v>
      </c>
      <c r="R185" s="2" t="inlineStr"/>
    </row>
    <row r="186" ht="15" customHeight="1">
      <c r="A186" t="inlineStr">
        <is>
          <t>A 66908-2021</t>
        </is>
      </c>
      <c r="B186" s="1" t="n">
        <v>44522</v>
      </c>
      <c r="C186" s="1" t="n">
        <v>46202</v>
      </c>
      <c r="D186" t="inlineStr">
        <is>
          <t>VÄSTMANLANDS LÄN</t>
        </is>
      </c>
      <c r="E186" t="inlineStr">
        <is>
          <t>SALA</t>
        </is>
      </c>
      <c r="G186" t="n">
        <v>2.6</v>
      </c>
      <c r="H186" t="n">
        <v>0</v>
      </c>
      <c r="I186" t="n">
        <v>0</v>
      </c>
      <c r="J186" t="n">
        <v>0</v>
      </c>
      <c r="K186" t="n">
        <v>0</v>
      </c>
      <c r="L186" t="n">
        <v>0</v>
      </c>
      <c r="M186" t="n">
        <v>0</v>
      </c>
      <c r="N186" t="n">
        <v>0</v>
      </c>
      <c r="O186" t="n">
        <v>0</v>
      </c>
      <c r="P186" t="n">
        <v>0</v>
      </c>
      <c r="Q186" t="n">
        <v>0</v>
      </c>
      <c r="R186" s="2" t="inlineStr"/>
    </row>
    <row r="187" ht="15" customHeight="1">
      <c r="A187" t="inlineStr">
        <is>
          <t>A 73835-2021</t>
        </is>
      </c>
      <c r="B187" s="1" t="n">
        <v>44552</v>
      </c>
      <c r="C187" s="1" t="n">
        <v>46202</v>
      </c>
      <c r="D187" t="inlineStr">
        <is>
          <t>VÄSTMANLANDS LÄN</t>
        </is>
      </c>
      <c r="E187" t="inlineStr">
        <is>
          <t>SALA</t>
        </is>
      </c>
      <c r="G187" t="n">
        <v>2</v>
      </c>
      <c r="H187" t="n">
        <v>0</v>
      </c>
      <c r="I187" t="n">
        <v>0</v>
      </c>
      <c r="J187" t="n">
        <v>0</v>
      </c>
      <c r="K187" t="n">
        <v>0</v>
      </c>
      <c r="L187" t="n">
        <v>0</v>
      </c>
      <c r="M187" t="n">
        <v>0</v>
      </c>
      <c r="N187" t="n">
        <v>0</v>
      </c>
      <c r="O187" t="n">
        <v>0</v>
      </c>
      <c r="P187" t="n">
        <v>0</v>
      </c>
      <c r="Q187" t="n">
        <v>0</v>
      </c>
      <c r="R187" s="2" t="inlineStr"/>
    </row>
    <row r="188" ht="15" customHeight="1">
      <c r="A188" t="inlineStr">
        <is>
          <t>A 27261-2024</t>
        </is>
      </c>
      <c r="B188" s="1" t="n">
        <v>45471</v>
      </c>
      <c r="C188" s="1" t="n">
        <v>46202</v>
      </c>
      <c r="D188" t="inlineStr">
        <is>
          <t>VÄSTMANLANDS LÄN</t>
        </is>
      </c>
      <c r="E188" t="inlineStr">
        <is>
          <t>SALA</t>
        </is>
      </c>
      <c r="G188" t="n">
        <v>6.1</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46202</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12252-2023</t>
        </is>
      </c>
      <c r="B190" s="1" t="n">
        <v>44995</v>
      </c>
      <c r="C190" s="1" t="n">
        <v>46202</v>
      </c>
      <c r="D190" t="inlineStr">
        <is>
          <t>VÄSTMANLANDS LÄN</t>
        </is>
      </c>
      <c r="E190" t="inlineStr">
        <is>
          <t>SALA</t>
        </is>
      </c>
      <c r="G190" t="n">
        <v>2.6</v>
      </c>
      <c r="H190" t="n">
        <v>0</v>
      </c>
      <c r="I190" t="n">
        <v>0</v>
      </c>
      <c r="J190" t="n">
        <v>0</v>
      </c>
      <c r="K190" t="n">
        <v>0</v>
      </c>
      <c r="L190" t="n">
        <v>0</v>
      </c>
      <c r="M190" t="n">
        <v>0</v>
      </c>
      <c r="N190" t="n">
        <v>0</v>
      </c>
      <c r="O190" t="n">
        <v>0</v>
      </c>
      <c r="P190" t="n">
        <v>0</v>
      </c>
      <c r="Q190" t="n">
        <v>0</v>
      </c>
      <c r="R190" s="2" t="inlineStr"/>
    </row>
    <row r="191" ht="15" customHeight="1">
      <c r="A191" t="inlineStr">
        <is>
          <t>A 35976-2024</t>
        </is>
      </c>
      <c r="B191" s="1" t="n">
        <v>45533</v>
      </c>
      <c r="C191" s="1" t="n">
        <v>46202</v>
      </c>
      <c r="D191" t="inlineStr">
        <is>
          <t>VÄSTMANLANDS LÄN</t>
        </is>
      </c>
      <c r="E191" t="inlineStr">
        <is>
          <t>SALA</t>
        </is>
      </c>
      <c r="G191" t="n">
        <v>2.3</v>
      </c>
      <c r="H191" t="n">
        <v>0</v>
      </c>
      <c r="I191" t="n">
        <v>0</v>
      </c>
      <c r="J191" t="n">
        <v>0</v>
      </c>
      <c r="K191" t="n">
        <v>0</v>
      </c>
      <c r="L191" t="n">
        <v>0</v>
      </c>
      <c r="M191" t="n">
        <v>0</v>
      </c>
      <c r="N191" t="n">
        <v>0</v>
      </c>
      <c r="O191" t="n">
        <v>0</v>
      </c>
      <c r="P191" t="n">
        <v>0</v>
      </c>
      <c r="Q191" t="n">
        <v>0</v>
      </c>
      <c r="R191" s="2" t="inlineStr"/>
    </row>
    <row r="192" ht="15" customHeight="1">
      <c r="A192" t="inlineStr">
        <is>
          <t>A 13022-2023</t>
        </is>
      </c>
      <c r="B192" s="1" t="n">
        <v>45002</v>
      </c>
      <c r="C192" s="1" t="n">
        <v>46202</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v>
      </c>
      <c r="C193" s="1" t="n">
        <v>46202</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55556-2023</t>
        </is>
      </c>
      <c r="B194" s="1" t="n">
        <v>45232</v>
      </c>
      <c r="C194" s="1" t="n">
        <v>46202</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50479-2022</t>
        </is>
      </c>
      <c r="B195" s="1" t="n">
        <v>44861</v>
      </c>
      <c r="C195" s="1" t="n">
        <v>46202</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25260-2023</t>
        </is>
      </c>
      <c r="B196" s="1" t="n">
        <v>45086</v>
      </c>
      <c r="C196" s="1" t="n">
        <v>46202</v>
      </c>
      <c r="D196" t="inlineStr">
        <is>
          <t>VÄSTMANLANDS LÄN</t>
        </is>
      </c>
      <c r="E196" t="inlineStr">
        <is>
          <t>SALA</t>
        </is>
      </c>
      <c r="F196" t="inlineStr">
        <is>
          <t>Sveaskog</t>
        </is>
      </c>
      <c r="G196" t="n">
        <v>3.2</v>
      </c>
      <c r="H196" t="n">
        <v>0</v>
      </c>
      <c r="I196" t="n">
        <v>0</v>
      </c>
      <c r="J196" t="n">
        <v>0</v>
      </c>
      <c r="K196" t="n">
        <v>0</v>
      </c>
      <c r="L196" t="n">
        <v>0</v>
      </c>
      <c r="M196" t="n">
        <v>0</v>
      </c>
      <c r="N196" t="n">
        <v>0</v>
      </c>
      <c r="O196" t="n">
        <v>0</v>
      </c>
      <c r="P196" t="n">
        <v>0</v>
      </c>
      <c r="Q196" t="n">
        <v>0</v>
      </c>
      <c r="R196" s="2" t="inlineStr"/>
    </row>
    <row r="197" ht="15" customHeight="1">
      <c r="A197" t="inlineStr">
        <is>
          <t>A 57404-2024</t>
        </is>
      </c>
      <c r="B197" s="1" t="n">
        <v>45629</v>
      </c>
      <c r="C197" s="1" t="n">
        <v>46202</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42447-2022</t>
        </is>
      </c>
      <c r="B198" s="1" t="n">
        <v>44831</v>
      </c>
      <c r="C198" s="1" t="n">
        <v>46202</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45790-2023</t>
        </is>
      </c>
      <c r="B199" s="1" t="n">
        <v>45195</v>
      </c>
      <c r="C199" s="1" t="n">
        <v>46202</v>
      </c>
      <c r="D199" t="inlineStr">
        <is>
          <t>VÄSTMANLANDS LÄN</t>
        </is>
      </c>
      <c r="E199" t="inlineStr">
        <is>
          <t>SALA</t>
        </is>
      </c>
      <c r="G199" t="n">
        <v>5.7</v>
      </c>
      <c r="H199" t="n">
        <v>0</v>
      </c>
      <c r="I199" t="n">
        <v>0</v>
      </c>
      <c r="J199" t="n">
        <v>0</v>
      </c>
      <c r="K199" t="n">
        <v>0</v>
      </c>
      <c r="L199" t="n">
        <v>0</v>
      </c>
      <c r="M199" t="n">
        <v>0</v>
      </c>
      <c r="N199" t="n">
        <v>0</v>
      </c>
      <c r="O199" t="n">
        <v>0</v>
      </c>
      <c r="P199" t="n">
        <v>0</v>
      </c>
      <c r="Q199" t="n">
        <v>0</v>
      </c>
      <c r="R199" s="2" t="inlineStr"/>
    </row>
    <row r="200" ht="15" customHeight="1">
      <c r="A200" t="inlineStr">
        <is>
          <t>A 33732-2023</t>
        </is>
      </c>
      <c r="B200" s="1" t="n">
        <v>45133</v>
      </c>
      <c r="C200" s="1" t="n">
        <v>46202</v>
      </c>
      <c r="D200" t="inlineStr">
        <is>
          <t>VÄSTMANLANDS LÄN</t>
        </is>
      </c>
      <c r="E200" t="inlineStr">
        <is>
          <t>SALA</t>
        </is>
      </c>
      <c r="G200" t="n">
        <v>2</v>
      </c>
      <c r="H200" t="n">
        <v>0</v>
      </c>
      <c r="I200" t="n">
        <v>0</v>
      </c>
      <c r="J200" t="n">
        <v>0</v>
      </c>
      <c r="K200" t="n">
        <v>0</v>
      </c>
      <c r="L200" t="n">
        <v>0</v>
      </c>
      <c r="M200" t="n">
        <v>0</v>
      </c>
      <c r="N200" t="n">
        <v>0</v>
      </c>
      <c r="O200" t="n">
        <v>0</v>
      </c>
      <c r="P200" t="n">
        <v>0</v>
      </c>
      <c r="Q200" t="n">
        <v>0</v>
      </c>
      <c r="R200" s="2" t="inlineStr"/>
    </row>
    <row r="201" ht="15" customHeight="1">
      <c r="A201" t="inlineStr">
        <is>
          <t>A 13128-2023</t>
        </is>
      </c>
      <c r="B201" s="1" t="n">
        <v>45002</v>
      </c>
      <c r="C201" s="1" t="n">
        <v>46202</v>
      </c>
      <c r="D201" t="inlineStr">
        <is>
          <t>VÄSTMANLANDS LÄN</t>
        </is>
      </c>
      <c r="E201" t="inlineStr">
        <is>
          <t>SALA</t>
        </is>
      </c>
      <c r="G201" t="n">
        <v>7.9</v>
      </c>
      <c r="H201" t="n">
        <v>0</v>
      </c>
      <c r="I201" t="n">
        <v>0</v>
      </c>
      <c r="J201" t="n">
        <v>0</v>
      </c>
      <c r="K201" t="n">
        <v>0</v>
      </c>
      <c r="L201" t="n">
        <v>0</v>
      </c>
      <c r="M201" t="n">
        <v>0</v>
      </c>
      <c r="N201" t="n">
        <v>0</v>
      </c>
      <c r="O201" t="n">
        <v>0</v>
      </c>
      <c r="P201" t="n">
        <v>0</v>
      </c>
      <c r="Q201" t="n">
        <v>0</v>
      </c>
      <c r="R201" s="2" t="inlineStr"/>
    </row>
    <row r="202" ht="15" customHeight="1">
      <c r="A202" t="inlineStr">
        <is>
          <t>A 59909-2024</t>
        </is>
      </c>
      <c r="B202" s="1" t="n">
        <v>45641</v>
      </c>
      <c r="C202" s="1" t="n">
        <v>46202</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41292-2021</t>
        </is>
      </c>
      <c r="B203" s="1" t="n">
        <v>44424</v>
      </c>
      <c r="C203" s="1" t="n">
        <v>46202</v>
      </c>
      <c r="D203" t="inlineStr">
        <is>
          <t>VÄSTMANLANDS LÄN</t>
        </is>
      </c>
      <c r="E203" t="inlineStr">
        <is>
          <t>SALA</t>
        </is>
      </c>
      <c r="G203" t="n">
        <v>0.3</v>
      </c>
      <c r="H203" t="n">
        <v>0</v>
      </c>
      <c r="I203" t="n">
        <v>0</v>
      </c>
      <c r="J203" t="n">
        <v>0</v>
      </c>
      <c r="K203" t="n">
        <v>0</v>
      </c>
      <c r="L203" t="n">
        <v>0</v>
      </c>
      <c r="M203" t="n">
        <v>0</v>
      </c>
      <c r="N203" t="n">
        <v>0</v>
      </c>
      <c r="O203" t="n">
        <v>0</v>
      </c>
      <c r="P203" t="n">
        <v>0</v>
      </c>
      <c r="Q203" t="n">
        <v>0</v>
      </c>
      <c r="R203" s="2" t="inlineStr"/>
    </row>
    <row r="204" ht="15" customHeight="1">
      <c r="A204" t="inlineStr">
        <is>
          <t>A 51464-2024</t>
        </is>
      </c>
      <c r="B204" s="1" t="n">
        <v>45604</v>
      </c>
      <c r="C204" s="1" t="n">
        <v>46202</v>
      </c>
      <c r="D204" t="inlineStr">
        <is>
          <t>VÄSTMANLANDS LÄN</t>
        </is>
      </c>
      <c r="E204" t="inlineStr">
        <is>
          <t>SALA</t>
        </is>
      </c>
      <c r="G204" t="n">
        <v>3.9</v>
      </c>
      <c r="H204" t="n">
        <v>0</v>
      </c>
      <c r="I204" t="n">
        <v>0</v>
      </c>
      <c r="J204" t="n">
        <v>0</v>
      </c>
      <c r="K204" t="n">
        <v>0</v>
      </c>
      <c r="L204" t="n">
        <v>0</v>
      </c>
      <c r="M204" t="n">
        <v>0</v>
      </c>
      <c r="N204" t="n">
        <v>0</v>
      </c>
      <c r="O204" t="n">
        <v>0</v>
      </c>
      <c r="P204" t="n">
        <v>0</v>
      </c>
      <c r="Q204" t="n">
        <v>0</v>
      </c>
      <c r="R204" s="2" t="inlineStr"/>
    </row>
    <row r="205" ht="15" customHeight="1">
      <c r="A205" t="inlineStr">
        <is>
          <t>A 54603-2024</t>
        </is>
      </c>
      <c r="B205" s="1" t="n">
        <v>45617</v>
      </c>
      <c r="C205" s="1" t="n">
        <v>46202</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24864-2024</t>
        </is>
      </c>
      <c r="B206" s="1" t="n">
        <v>45461</v>
      </c>
      <c r="C206" s="1" t="n">
        <v>46202</v>
      </c>
      <c r="D206" t="inlineStr">
        <is>
          <t>VÄSTMANLANDS LÄN</t>
        </is>
      </c>
      <c r="E206" t="inlineStr">
        <is>
          <t>SALA</t>
        </is>
      </c>
      <c r="G206" t="n">
        <v>0.6</v>
      </c>
      <c r="H206" t="n">
        <v>0</v>
      </c>
      <c r="I206" t="n">
        <v>0</v>
      </c>
      <c r="J206" t="n">
        <v>0</v>
      </c>
      <c r="K206" t="n">
        <v>0</v>
      </c>
      <c r="L206" t="n">
        <v>0</v>
      </c>
      <c r="M206" t="n">
        <v>0</v>
      </c>
      <c r="N206" t="n">
        <v>0</v>
      </c>
      <c r="O206" t="n">
        <v>0</v>
      </c>
      <c r="P206" t="n">
        <v>0</v>
      </c>
      <c r="Q206" t="n">
        <v>0</v>
      </c>
      <c r="R206" s="2" t="inlineStr"/>
    </row>
    <row r="207" ht="15" customHeight="1">
      <c r="A207" t="inlineStr">
        <is>
          <t>A 69232-2021</t>
        </is>
      </c>
      <c r="B207" s="1" t="n">
        <v>44531</v>
      </c>
      <c r="C207" s="1" t="n">
        <v>46202</v>
      </c>
      <c r="D207" t="inlineStr">
        <is>
          <t>VÄSTMANLANDS LÄN</t>
        </is>
      </c>
      <c r="E207" t="inlineStr">
        <is>
          <t>SALA</t>
        </is>
      </c>
      <c r="G207" t="n">
        <v>2.3</v>
      </c>
      <c r="H207" t="n">
        <v>0</v>
      </c>
      <c r="I207" t="n">
        <v>0</v>
      </c>
      <c r="J207" t="n">
        <v>0</v>
      </c>
      <c r="K207" t="n">
        <v>0</v>
      </c>
      <c r="L207" t="n">
        <v>0</v>
      </c>
      <c r="M207" t="n">
        <v>0</v>
      </c>
      <c r="N207" t="n">
        <v>0</v>
      </c>
      <c r="O207" t="n">
        <v>0</v>
      </c>
      <c r="P207" t="n">
        <v>0</v>
      </c>
      <c r="Q207" t="n">
        <v>0</v>
      </c>
      <c r="R207" s="2" t="inlineStr"/>
    </row>
    <row r="208" ht="15" customHeight="1">
      <c r="A208" t="inlineStr">
        <is>
          <t>A 2928-2024</t>
        </is>
      </c>
      <c r="B208" s="1" t="n">
        <v>45315</v>
      </c>
      <c r="C208" s="1" t="n">
        <v>46202</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73673-2021</t>
        </is>
      </c>
      <c r="B209" s="1" t="n">
        <v>44552</v>
      </c>
      <c r="C209" s="1" t="n">
        <v>46202</v>
      </c>
      <c r="D209" t="inlineStr">
        <is>
          <t>VÄSTMANLANDS LÄN</t>
        </is>
      </c>
      <c r="E209" t="inlineStr">
        <is>
          <t>SALA</t>
        </is>
      </c>
      <c r="G209" t="n">
        <v>11.4</v>
      </c>
      <c r="H209" t="n">
        <v>0</v>
      </c>
      <c r="I209" t="n">
        <v>0</v>
      </c>
      <c r="J209" t="n">
        <v>0</v>
      </c>
      <c r="K209" t="n">
        <v>0</v>
      </c>
      <c r="L209" t="n">
        <v>0</v>
      </c>
      <c r="M209" t="n">
        <v>0</v>
      </c>
      <c r="N209" t="n">
        <v>0</v>
      </c>
      <c r="O209" t="n">
        <v>0</v>
      </c>
      <c r="P209" t="n">
        <v>0</v>
      </c>
      <c r="Q209" t="n">
        <v>0</v>
      </c>
      <c r="R209" s="2" t="inlineStr"/>
    </row>
    <row r="210" ht="15" customHeight="1">
      <c r="A210" t="inlineStr">
        <is>
          <t>A 19398-2025</t>
        </is>
      </c>
      <c r="B210" s="1" t="n">
        <v>45769</v>
      </c>
      <c r="C210" s="1" t="n">
        <v>46202</v>
      </c>
      <c r="D210" t="inlineStr">
        <is>
          <t>VÄSTMANLANDS LÄN</t>
        </is>
      </c>
      <c r="E210" t="inlineStr">
        <is>
          <t>SALA</t>
        </is>
      </c>
      <c r="G210" t="n">
        <v>0.4</v>
      </c>
      <c r="H210" t="n">
        <v>0</v>
      </c>
      <c r="I210" t="n">
        <v>0</v>
      </c>
      <c r="J210" t="n">
        <v>0</v>
      </c>
      <c r="K210" t="n">
        <v>0</v>
      </c>
      <c r="L210" t="n">
        <v>0</v>
      </c>
      <c r="M210" t="n">
        <v>0</v>
      </c>
      <c r="N210" t="n">
        <v>0</v>
      </c>
      <c r="O210" t="n">
        <v>0</v>
      </c>
      <c r="P210" t="n">
        <v>0</v>
      </c>
      <c r="Q210" t="n">
        <v>0</v>
      </c>
      <c r="R210" s="2" t="inlineStr"/>
    </row>
    <row r="211" ht="15" customHeight="1">
      <c r="A211" t="inlineStr">
        <is>
          <t>A 4797-2023</t>
        </is>
      </c>
      <c r="B211" s="1" t="n">
        <v>44957</v>
      </c>
      <c r="C211" s="1" t="n">
        <v>46202</v>
      </c>
      <c r="D211" t="inlineStr">
        <is>
          <t>VÄSTMANLANDS LÄN</t>
        </is>
      </c>
      <c r="E211" t="inlineStr">
        <is>
          <t>SALA</t>
        </is>
      </c>
      <c r="G211" t="n">
        <v>5.7</v>
      </c>
      <c r="H211" t="n">
        <v>0</v>
      </c>
      <c r="I211" t="n">
        <v>0</v>
      </c>
      <c r="J211" t="n">
        <v>0</v>
      </c>
      <c r="K211" t="n">
        <v>0</v>
      </c>
      <c r="L211" t="n">
        <v>0</v>
      </c>
      <c r="M211" t="n">
        <v>0</v>
      </c>
      <c r="N211" t="n">
        <v>0</v>
      </c>
      <c r="O211" t="n">
        <v>0</v>
      </c>
      <c r="P211" t="n">
        <v>0</v>
      </c>
      <c r="Q211" t="n">
        <v>0</v>
      </c>
      <c r="R211" s="2" t="inlineStr"/>
    </row>
    <row r="212" ht="15" customHeight="1">
      <c r="A212" t="inlineStr">
        <is>
          <t>A 1638-2023</t>
        </is>
      </c>
      <c r="B212" s="1" t="n">
        <v>44937</v>
      </c>
      <c r="C212" s="1" t="n">
        <v>46202</v>
      </c>
      <c r="D212" t="inlineStr">
        <is>
          <t>VÄSTMANLANDS LÄN</t>
        </is>
      </c>
      <c r="E212" t="inlineStr">
        <is>
          <t>SALA</t>
        </is>
      </c>
      <c r="G212" t="n">
        <v>3.1</v>
      </c>
      <c r="H212" t="n">
        <v>0</v>
      </c>
      <c r="I212" t="n">
        <v>0</v>
      </c>
      <c r="J212" t="n">
        <v>0</v>
      </c>
      <c r="K212" t="n">
        <v>0</v>
      </c>
      <c r="L212" t="n">
        <v>0</v>
      </c>
      <c r="M212" t="n">
        <v>0</v>
      </c>
      <c r="N212" t="n">
        <v>0</v>
      </c>
      <c r="O212" t="n">
        <v>0</v>
      </c>
      <c r="P212" t="n">
        <v>0</v>
      </c>
      <c r="Q212" t="n">
        <v>0</v>
      </c>
      <c r="R212" s="2" t="inlineStr"/>
    </row>
    <row r="213" ht="15" customHeight="1">
      <c r="A213" t="inlineStr">
        <is>
          <t>A 40871-2021</t>
        </is>
      </c>
      <c r="B213" s="1" t="n">
        <v>44421</v>
      </c>
      <c r="C213" s="1" t="n">
        <v>46202</v>
      </c>
      <c r="D213" t="inlineStr">
        <is>
          <t>VÄSTMANLANDS LÄN</t>
        </is>
      </c>
      <c r="E213" t="inlineStr">
        <is>
          <t>SALA</t>
        </is>
      </c>
      <c r="G213" t="n">
        <v>1.4</v>
      </c>
      <c r="H213" t="n">
        <v>0</v>
      </c>
      <c r="I213" t="n">
        <v>0</v>
      </c>
      <c r="J213" t="n">
        <v>0</v>
      </c>
      <c r="K213" t="n">
        <v>0</v>
      </c>
      <c r="L213" t="n">
        <v>0</v>
      </c>
      <c r="M213" t="n">
        <v>0</v>
      </c>
      <c r="N213" t="n">
        <v>0</v>
      </c>
      <c r="O213" t="n">
        <v>0</v>
      </c>
      <c r="P213" t="n">
        <v>0</v>
      </c>
      <c r="Q213" t="n">
        <v>0</v>
      </c>
      <c r="R213" s="2" t="inlineStr"/>
    </row>
    <row r="214" ht="15" customHeight="1">
      <c r="A214" t="inlineStr">
        <is>
          <t>A 15972-2024</t>
        </is>
      </c>
      <c r="B214" s="1" t="n">
        <v>45405</v>
      </c>
      <c r="C214" s="1" t="n">
        <v>46202</v>
      </c>
      <c r="D214" t="inlineStr">
        <is>
          <t>VÄSTMANLANDS LÄN</t>
        </is>
      </c>
      <c r="E214" t="inlineStr">
        <is>
          <t>SALA</t>
        </is>
      </c>
      <c r="G214" t="n">
        <v>1.8</v>
      </c>
      <c r="H214" t="n">
        <v>0</v>
      </c>
      <c r="I214" t="n">
        <v>0</v>
      </c>
      <c r="J214" t="n">
        <v>0</v>
      </c>
      <c r="K214" t="n">
        <v>0</v>
      </c>
      <c r="L214" t="n">
        <v>0</v>
      </c>
      <c r="M214" t="n">
        <v>0</v>
      </c>
      <c r="N214" t="n">
        <v>0</v>
      </c>
      <c r="O214" t="n">
        <v>0</v>
      </c>
      <c r="P214" t="n">
        <v>0</v>
      </c>
      <c r="Q214" t="n">
        <v>0</v>
      </c>
      <c r="R214" s="2" t="inlineStr"/>
    </row>
    <row r="215" ht="15" customHeight="1">
      <c r="A215" t="inlineStr">
        <is>
          <t>A 14271-2025</t>
        </is>
      </c>
      <c r="B215" s="1" t="n">
        <v>45740</v>
      </c>
      <c r="C215" s="1" t="n">
        <v>46202</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37958-2024</t>
        </is>
      </c>
      <c r="B216" s="1" t="n">
        <v>45544</v>
      </c>
      <c r="C216" s="1" t="n">
        <v>46202</v>
      </c>
      <c r="D216" t="inlineStr">
        <is>
          <t>VÄSTMANLANDS LÄN</t>
        </is>
      </c>
      <c r="E216" t="inlineStr">
        <is>
          <t>SALA</t>
        </is>
      </c>
      <c r="G216" t="n">
        <v>5.6</v>
      </c>
      <c r="H216" t="n">
        <v>0</v>
      </c>
      <c r="I216" t="n">
        <v>0</v>
      </c>
      <c r="J216" t="n">
        <v>0</v>
      </c>
      <c r="K216" t="n">
        <v>0</v>
      </c>
      <c r="L216" t="n">
        <v>0</v>
      </c>
      <c r="M216" t="n">
        <v>0</v>
      </c>
      <c r="N216" t="n">
        <v>0</v>
      </c>
      <c r="O216" t="n">
        <v>0</v>
      </c>
      <c r="P216" t="n">
        <v>0</v>
      </c>
      <c r="Q216" t="n">
        <v>0</v>
      </c>
      <c r="R216" s="2" t="inlineStr"/>
    </row>
    <row r="217" ht="15" customHeight="1">
      <c r="A217" t="inlineStr">
        <is>
          <t>A 1555-2024</t>
        </is>
      </c>
      <c r="B217" s="1" t="n">
        <v>45306</v>
      </c>
      <c r="C217" s="1" t="n">
        <v>46202</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28696-2023</t>
        </is>
      </c>
      <c r="B218" s="1" t="n">
        <v>45103</v>
      </c>
      <c r="C218" s="1" t="n">
        <v>46202</v>
      </c>
      <c r="D218" t="inlineStr">
        <is>
          <t>VÄSTMANLANDS LÄN</t>
        </is>
      </c>
      <c r="E218" t="inlineStr">
        <is>
          <t>SALA</t>
        </is>
      </c>
      <c r="F218" t="inlineStr">
        <is>
          <t>Kommuner</t>
        </is>
      </c>
      <c r="G218" t="n">
        <v>5.9</v>
      </c>
      <c r="H218" t="n">
        <v>0</v>
      </c>
      <c r="I218" t="n">
        <v>0</v>
      </c>
      <c r="J218" t="n">
        <v>0</v>
      </c>
      <c r="K218" t="n">
        <v>0</v>
      </c>
      <c r="L218" t="n">
        <v>0</v>
      </c>
      <c r="M218" t="n">
        <v>0</v>
      </c>
      <c r="N218" t="n">
        <v>0</v>
      </c>
      <c r="O218" t="n">
        <v>0</v>
      </c>
      <c r="P218" t="n">
        <v>0</v>
      </c>
      <c r="Q218" t="n">
        <v>0</v>
      </c>
      <c r="R218" s="2" t="inlineStr"/>
    </row>
    <row r="219" ht="15" customHeight="1">
      <c r="A219" t="inlineStr">
        <is>
          <t>A 54199-2024</t>
        </is>
      </c>
      <c r="B219" s="1" t="n">
        <v>45616</v>
      </c>
      <c r="C219" s="1" t="n">
        <v>46202</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1934-2023</t>
        </is>
      </c>
      <c r="B220" s="1" t="n">
        <v>44939</v>
      </c>
      <c r="C220" s="1" t="n">
        <v>46202</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6312-2025</t>
        </is>
      </c>
      <c r="B221" s="1" t="n">
        <v>45698</v>
      </c>
      <c r="C221" s="1" t="n">
        <v>46202</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50241-2023</t>
        </is>
      </c>
      <c r="B222" s="1" t="n">
        <v>45216</v>
      </c>
      <c r="C222" s="1" t="n">
        <v>46202</v>
      </c>
      <c r="D222" t="inlineStr">
        <is>
          <t>VÄSTMANLANDS LÄN</t>
        </is>
      </c>
      <c r="E222" t="inlineStr">
        <is>
          <t>SALA</t>
        </is>
      </c>
      <c r="G222" t="n">
        <v>1.9</v>
      </c>
      <c r="H222" t="n">
        <v>0</v>
      </c>
      <c r="I222" t="n">
        <v>0</v>
      </c>
      <c r="J222" t="n">
        <v>0</v>
      </c>
      <c r="K222" t="n">
        <v>0</v>
      </c>
      <c r="L222" t="n">
        <v>0</v>
      </c>
      <c r="M222" t="n">
        <v>0</v>
      </c>
      <c r="N222" t="n">
        <v>0</v>
      </c>
      <c r="O222" t="n">
        <v>0</v>
      </c>
      <c r="P222" t="n">
        <v>0</v>
      </c>
      <c r="Q222" t="n">
        <v>0</v>
      </c>
      <c r="R222" s="2" t="inlineStr"/>
    </row>
    <row r="223" ht="15" customHeight="1">
      <c r="A223" t="inlineStr">
        <is>
          <t>A 30971-2022</t>
        </is>
      </c>
      <c r="B223" s="1" t="n">
        <v>44768</v>
      </c>
      <c r="C223" s="1" t="n">
        <v>46202</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57000-2021</t>
        </is>
      </c>
      <c r="B224" s="1" t="n">
        <v>44482</v>
      </c>
      <c r="C224" s="1" t="n">
        <v>46202</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35637-2022</t>
        </is>
      </c>
      <c r="B225" s="1" t="n">
        <v>44799</v>
      </c>
      <c r="C225" s="1" t="n">
        <v>46202</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27038-2023</t>
        </is>
      </c>
      <c r="B226" s="1" t="n">
        <v>45095</v>
      </c>
      <c r="C226" s="1" t="n">
        <v>46202</v>
      </c>
      <c r="D226" t="inlineStr">
        <is>
          <t>VÄSTMANLANDS LÄN</t>
        </is>
      </c>
      <c r="E226" t="inlineStr">
        <is>
          <t>SALA</t>
        </is>
      </c>
      <c r="G226" t="n">
        <v>0.8</v>
      </c>
      <c r="H226" t="n">
        <v>0</v>
      </c>
      <c r="I226" t="n">
        <v>0</v>
      </c>
      <c r="J226" t="n">
        <v>0</v>
      </c>
      <c r="K226" t="n">
        <v>0</v>
      </c>
      <c r="L226" t="n">
        <v>0</v>
      </c>
      <c r="M226" t="n">
        <v>0</v>
      </c>
      <c r="N226" t="n">
        <v>0</v>
      </c>
      <c r="O226" t="n">
        <v>0</v>
      </c>
      <c r="P226" t="n">
        <v>0</v>
      </c>
      <c r="Q226" t="n">
        <v>0</v>
      </c>
      <c r="R226" s="2" t="inlineStr"/>
    </row>
    <row r="227" ht="15" customHeight="1">
      <c r="A227" t="inlineStr">
        <is>
          <t>A 31000-2022</t>
        </is>
      </c>
      <c r="B227" s="1" t="n">
        <v>44768</v>
      </c>
      <c r="C227" s="1" t="n">
        <v>46202</v>
      </c>
      <c r="D227" t="inlineStr">
        <is>
          <t>VÄSTMANLANDS LÄN</t>
        </is>
      </c>
      <c r="E227" t="inlineStr">
        <is>
          <t>SALA</t>
        </is>
      </c>
      <c r="G227" t="n">
        <v>5.7</v>
      </c>
      <c r="H227" t="n">
        <v>0</v>
      </c>
      <c r="I227" t="n">
        <v>0</v>
      </c>
      <c r="J227" t="n">
        <v>0</v>
      </c>
      <c r="K227" t="n">
        <v>0</v>
      </c>
      <c r="L227" t="n">
        <v>0</v>
      </c>
      <c r="M227" t="n">
        <v>0</v>
      </c>
      <c r="N227" t="n">
        <v>0</v>
      </c>
      <c r="O227" t="n">
        <v>0</v>
      </c>
      <c r="P227" t="n">
        <v>0</v>
      </c>
      <c r="Q227" t="n">
        <v>0</v>
      </c>
      <c r="R227" s="2" t="inlineStr"/>
    </row>
    <row r="228" ht="15" customHeight="1">
      <c r="A228" t="inlineStr">
        <is>
          <t>A 37183-2024</t>
        </is>
      </c>
      <c r="B228" s="1" t="n">
        <v>45539</v>
      </c>
      <c r="C228" s="1" t="n">
        <v>46202</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23182-2022</t>
        </is>
      </c>
      <c r="B229" s="1" t="n">
        <v>44719</v>
      </c>
      <c r="C229" s="1" t="n">
        <v>46202</v>
      </c>
      <c r="D229" t="inlineStr">
        <is>
          <t>VÄSTMANLANDS LÄN</t>
        </is>
      </c>
      <c r="E229" t="inlineStr">
        <is>
          <t>SALA</t>
        </is>
      </c>
      <c r="G229" t="n">
        <v>1.2</v>
      </c>
      <c r="H229" t="n">
        <v>0</v>
      </c>
      <c r="I229" t="n">
        <v>0</v>
      </c>
      <c r="J229" t="n">
        <v>0</v>
      </c>
      <c r="K229" t="n">
        <v>0</v>
      </c>
      <c r="L229" t="n">
        <v>0</v>
      </c>
      <c r="M229" t="n">
        <v>0</v>
      </c>
      <c r="N229" t="n">
        <v>0</v>
      </c>
      <c r="O229" t="n">
        <v>0</v>
      </c>
      <c r="P229" t="n">
        <v>0</v>
      </c>
      <c r="Q229" t="n">
        <v>0</v>
      </c>
      <c r="R229" s="2" t="inlineStr"/>
    </row>
    <row r="230" ht="15" customHeight="1">
      <c r="A230" t="inlineStr">
        <is>
          <t>A 44857-2023</t>
        </is>
      </c>
      <c r="B230" s="1" t="n">
        <v>45190</v>
      </c>
      <c r="C230" s="1" t="n">
        <v>46202</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27229-2022</t>
        </is>
      </c>
      <c r="B231" s="1" t="n">
        <v>44741</v>
      </c>
      <c r="C231" s="1" t="n">
        <v>46202</v>
      </c>
      <c r="D231" t="inlineStr">
        <is>
          <t>VÄSTMANLANDS LÄN</t>
        </is>
      </c>
      <c r="E231" t="inlineStr">
        <is>
          <t>SALA</t>
        </is>
      </c>
      <c r="F231" t="inlineStr">
        <is>
          <t>Kommuner</t>
        </is>
      </c>
      <c r="G231" t="n">
        <v>1.4</v>
      </c>
      <c r="H231" t="n">
        <v>0</v>
      </c>
      <c r="I231" t="n">
        <v>0</v>
      </c>
      <c r="J231" t="n">
        <v>0</v>
      </c>
      <c r="K231" t="n">
        <v>0</v>
      </c>
      <c r="L231" t="n">
        <v>0</v>
      </c>
      <c r="M231" t="n">
        <v>0</v>
      </c>
      <c r="N231" t="n">
        <v>0</v>
      </c>
      <c r="O231" t="n">
        <v>0</v>
      </c>
      <c r="P231" t="n">
        <v>0</v>
      </c>
      <c r="Q231" t="n">
        <v>0</v>
      </c>
      <c r="R231" s="2" t="inlineStr"/>
    </row>
    <row r="232" ht="15" customHeight="1">
      <c r="A232" t="inlineStr">
        <is>
          <t>A 62654-2022</t>
        </is>
      </c>
      <c r="B232" s="1" t="n">
        <v>44917</v>
      </c>
      <c r="C232" s="1" t="n">
        <v>46202</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7469-2025</t>
        </is>
      </c>
      <c r="B233" s="1" t="n">
        <v>45705</v>
      </c>
      <c r="C233" s="1" t="n">
        <v>46202</v>
      </c>
      <c r="D233" t="inlineStr">
        <is>
          <t>VÄSTMANLANDS LÄN</t>
        </is>
      </c>
      <c r="E233" t="inlineStr">
        <is>
          <t>SALA</t>
        </is>
      </c>
      <c r="G233" t="n">
        <v>2.1</v>
      </c>
      <c r="H233" t="n">
        <v>0</v>
      </c>
      <c r="I233" t="n">
        <v>0</v>
      </c>
      <c r="J233" t="n">
        <v>0</v>
      </c>
      <c r="K233" t="n">
        <v>0</v>
      </c>
      <c r="L233" t="n">
        <v>0</v>
      </c>
      <c r="M233" t="n">
        <v>0</v>
      </c>
      <c r="N233" t="n">
        <v>0</v>
      </c>
      <c r="O233" t="n">
        <v>0</v>
      </c>
      <c r="P233" t="n">
        <v>0</v>
      </c>
      <c r="Q233" t="n">
        <v>0</v>
      </c>
      <c r="R233" s="2" t="inlineStr"/>
    </row>
    <row r="234" ht="15" customHeight="1">
      <c r="A234" t="inlineStr">
        <is>
          <t>A 43188-2023</t>
        </is>
      </c>
      <c r="B234" s="1" t="n">
        <v>45183</v>
      </c>
      <c r="C234" s="1" t="n">
        <v>46202</v>
      </c>
      <c r="D234" t="inlineStr">
        <is>
          <t>VÄSTMANLANDS LÄN</t>
        </is>
      </c>
      <c r="E234" t="inlineStr">
        <is>
          <t>SALA</t>
        </is>
      </c>
      <c r="G234" t="n">
        <v>1.2</v>
      </c>
      <c r="H234" t="n">
        <v>0</v>
      </c>
      <c r="I234" t="n">
        <v>0</v>
      </c>
      <c r="J234" t="n">
        <v>0</v>
      </c>
      <c r="K234" t="n">
        <v>0</v>
      </c>
      <c r="L234" t="n">
        <v>0</v>
      </c>
      <c r="M234" t="n">
        <v>0</v>
      </c>
      <c r="N234" t="n">
        <v>0</v>
      </c>
      <c r="O234" t="n">
        <v>0</v>
      </c>
      <c r="P234" t="n">
        <v>0</v>
      </c>
      <c r="Q234" t="n">
        <v>0</v>
      </c>
      <c r="R234" s="2" t="inlineStr"/>
    </row>
    <row r="235" ht="15" customHeight="1">
      <c r="A235" t="inlineStr">
        <is>
          <t>A 43205-2023</t>
        </is>
      </c>
      <c r="B235" s="1" t="n">
        <v>45183</v>
      </c>
      <c r="C235" s="1" t="n">
        <v>46202</v>
      </c>
      <c r="D235" t="inlineStr">
        <is>
          <t>VÄSTMANLANDS LÄN</t>
        </is>
      </c>
      <c r="E235" t="inlineStr">
        <is>
          <t>SALA</t>
        </is>
      </c>
      <c r="G235" t="n">
        <v>2.1</v>
      </c>
      <c r="H235" t="n">
        <v>0</v>
      </c>
      <c r="I235" t="n">
        <v>0</v>
      </c>
      <c r="J235" t="n">
        <v>0</v>
      </c>
      <c r="K235" t="n">
        <v>0</v>
      </c>
      <c r="L235" t="n">
        <v>0</v>
      </c>
      <c r="M235" t="n">
        <v>0</v>
      </c>
      <c r="N235" t="n">
        <v>0</v>
      </c>
      <c r="O235" t="n">
        <v>0</v>
      </c>
      <c r="P235" t="n">
        <v>0</v>
      </c>
      <c r="Q235" t="n">
        <v>0</v>
      </c>
      <c r="R235" s="2" t="inlineStr"/>
    </row>
    <row r="236" ht="15" customHeight="1">
      <c r="A236" t="inlineStr">
        <is>
          <t>A 61892-2021</t>
        </is>
      </c>
      <c r="B236" s="1" t="n">
        <v>44502</v>
      </c>
      <c r="C236" s="1" t="n">
        <v>46202</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29248-2022</t>
        </is>
      </c>
      <c r="B237" s="1" t="n">
        <v>44750</v>
      </c>
      <c r="C237" s="1" t="n">
        <v>46202</v>
      </c>
      <c r="D237" t="inlineStr">
        <is>
          <t>VÄSTMANLANDS LÄN</t>
        </is>
      </c>
      <c r="E237" t="inlineStr">
        <is>
          <t>SALA</t>
        </is>
      </c>
      <c r="G237" t="n">
        <v>1.6</v>
      </c>
      <c r="H237" t="n">
        <v>0</v>
      </c>
      <c r="I237" t="n">
        <v>0</v>
      </c>
      <c r="J237" t="n">
        <v>0</v>
      </c>
      <c r="K237" t="n">
        <v>0</v>
      </c>
      <c r="L237" t="n">
        <v>0</v>
      </c>
      <c r="M237" t="n">
        <v>0</v>
      </c>
      <c r="N237" t="n">
        <v>0</v>
      </c>
      <c r="O237" t="n">
        <v>0</v>
      </c>
      <c r="P237" t="n">
        <v>0</v>
      </c>
      <c r="Q237" t="n">
        <v>0</v>
      </c>
      <c r="R237" s="2" t="inlineStr"/>
    </row>
    <row r="238" ht="15" customHeight="1">
      <c r="A238" t="inlineStr">
        <is>
          <t>A 29213-2022</t>
        </is>
      </c>
      <c r="B238" s="1" t="n">
        <v>44750</v>
      </c>
      <c r="C238" s="1" t="n">
        <v>46202</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59483-2022</t>
        </is>
      </c>
      <c r="B239" s="1" t="n">
        <v>44907</v>
      </c>
      <c r="C239" s="1" t="n">
        <v>46202</v>
      </c>
      <c r="D239" t="inlineStr">
        <is>
          <t>VÄSTMANLANDS LÄN</t>
        </is>
      </c>
      <c r="E239" t="inlineStr">
        <is>
          <t>SALA</t>
        </is>
      </c>
      <c r="G239" t="n">
        <v>5.2</v>
      </c>
      <c r="H239" t="n">
        <v>0</v>
      </c>
      <c r="I239" t="n">
        <v>0</v>
      </c>
      <c r="J239" t="n">
        <v>0</v>
      </c>
      <c r="K239" t="n">
        <v>0</v>
      </c>
      <c r="L239" t="n">
        <v>0</v>
      </c>
      <c r="M239" t="n">
        <v>0</v>
      </c>
      <c r="N239" t="n">
        <v>0</v>
      </c>
      <c r="O239" t="n">
        <v>0</v>
      </c>
      <c r="P239" t="n">
        <v>0</v>
      </c>
      <c r="Q239" t="n">
        <v>0</v>
      </c>
      <c r="R239" s="2" t="inlineStr"/>
    </row>
    <row r="240" ht="15" customHeight="1">
      <c r="A240" t="inlineStr">
        <is>
          <t>A 22397-2022</t>
        </is>
      </c>
      <c r="B240" s="1" t="n">
        <v>44713</v>
      </c>
      <c r="C240" s="1" t="n">
        <v>46202</v>
      </c>
      <c r="D240" t="inlineStr">
        <is>
          <t>VÄSTMANLANDS LÄN</t>
        </is>
      </c>
      <c r="E240" t="inlineStr">
        <is>
          <t>SALA</t>
        </is>
      </c>
      <c r="G240" t="n">
        <v>2.1</v>
      </c>
      <c r="H240" t="n">
        <v>0</v>
      </c>
      <c r="I240" t="n">
        <v>0</v>
      </c>
      <c r="J240" t="n">
        <v>0</v>
      </c>
      <c r="K240" t="n">
        <v>0</v>
      </c>
      <c r="L240" t="n">
        <v>0</v>
      </c>
      <c r="M240" t="n">
        <v>0</v>
      </c>
      <c r="N240" t="n">
        <v>0</v>
      </c>
      <c r="O240" t="n">
        <v>0</v>
      </c>
      <c r="P240" t="n">
        <v>0</v>
      </c>
      <c r="Q240" t="n">
        <v>0</v>
      </c>
      <c r="R240" s="2" t="inlineStr"/>
    </row>
    <row r="241" ht="15" customHeight="1">
      <c r="A241" t="inlineStr">
        <is>
          <t>A 16160-2024</t>
        </is>
      </c>
      <c r="B241" s="1" t="n">
        <v>45406</v>
      </c>
      <c r="C241" s="1" t="n">
        <v>46202</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29230-2022</t>
        </is>
      </c>
      <c r="B242" s="1" t="n">
        <v>44750</v>
      </c>
      <c r="C242" s="1" t="n">
        <v>46202</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59175-2022</t>
        </is>
      </c>
      <c r="B243" s="1" t="n">
        <v>44904</v>
      </c>
      <c r="C243" s="1" t="n">
        <v>46202</v>
      </c>
      <c r="D243" t="inlineStr">
        <is>
          <t>VÄSTMANLANDS LÄN</t>
        </is>
      </c>
      <c r="E243" t="inlineStr">
        <is>
          <t>SALA</t>
        </is>
      </c>
      <c r="G243" t="n">
        <v>2.1</v>
      </c>
      <c r="H243" t="n">
        <v>0</v>
      </c>
      <c r="I243" t="n">
        <v>0</v>
      </c>
      <c r="J243" t="n">
        <v>0</v>
      </c>
      <c r="K243" t="n">
        <v>0</v>
      </c>
      <c r="L243" t="n">
        <v>0</v>
      </c>
      <c r="M243" t="n">
        <v>0</v>
      </c>
      <c r="N243" t="n">
        <v>0</v>
      </c>
      <c r="O243" t="n">
        <v>0</v>
      </c>
      <c r="P243" t="n">
        <v>0</v>
      </c>
      <c r="Q243" t="n">
        <v>0</v>
      </c>
      <c r="R243" s="2" t="inlineStr"/>
    </row>
    <row r="244" ht="15" customHeight="1">
      <c r="A244" t="inlineStr">
        <is>
          <t>A 19381-2025</t>
        </is>
      </c>
      <c r="B244" s="1" t="n">
        <v>45769</v>
      </c>
      <c r="C244" s="1" t="n">
        <v>46202</v>
      </c>
      <c r="D244" t="inlineStr">
        <is>
          <t>VÄSTMANLANDS LÄN</t>
        </is>
      </c>
      <c r="E244" t="inlineStr">
        <is>
          <t>SALA</t>
        </is>
      </c>
      <c r="G244" t="n">
        <v>0.6</v>
      </c>
      <c r="H244" t="n">
        <v>0</v>
      </c>
      <c r="I244" t="n">
        <v>0</v>
      </c>
      <c r="J244" t="n">
        <v>0</v>
      </c>
      <c r="K244" t="n">
        <v>0</v>
      </c>
      <c r="L244" t="n">
        <v>0</v>
      </c>
      <c r="M244" t="n">
        <v>0</v>
      </c>
      <c r="N244" t="n">
        <v>0</v>
      </c>
      <c r="O244" t="n">
        <v>0</v>
      </c>
      <c r="P244" t="n">
        <v>0</v>
      </c>
      <c r="Q244" t="n">
        <v>0</v>
      </c>
      <c r="R244" s="2" t="inlineStr"/>
    </row>
    <row r="245" ht="15" customHeight="1">
      <c r="A245" t="inlineStr">
        <is>
          <t>A 42938-2023</t>
        </is>
      </c>
      <c r="B245" s="1" t="n">
        <v>45179</v>
      </c>
      <c r="C245" s="1" t="n">
        <v>46202</v>
      </c>
      <c r="D245" t="inlineStr">
        <is>
          <t>VÄSTMANLANDS LÄN</t>
        </is>
      </c>
      <c r="E245" t="inlineStr">
        <is>
          <t>SALA</t>
        </is>
      </c>
      <c r="G245" t="n">
        <v>10.9</v>
      </c>
      <c r="H245" t="n">
        <v>0</v>
      </c>
      <c r="I245" t="n">
        <v>0</v>
      </c>
      <c r="J245" t="n">
        <v>0</v>
      </c>
      <c r="K245" t="n">
        <v>0</v>
      </c>
      <c r="L245" t="n">
        <v>0</v>
      </c>
      <c r="M245" t="n">
        <v>0</v>
      </c>
      <c r="N245" t="n">
        <v>0</v>
      </c>
      <c r="O245" t="n">
        <v>0</v>
      </c>
      <c r="P245" t="n">
        <v>0</v>
      </c>
      <c r="Q245" t="n">
        <v>0</v>
      </c>
      <c r="R245" s="2" t="inlineStr"/>
    </row>
    <row r="246" ht="15" customHeight="1">
      <c r="A246" t="inlineStr">
        <is>
          <t>A 19222-2025</t>
        </is>
      </c>
      <c r="B246" s="1" t="n">
        <v>45769</v>
      </c>
      <c r="C246" s="1" t="n">
        <v>46202</v>
      </c>
      <c r="D246" t="inlineStr">
        <is>
          <t>VÄSTMANLANDS LÄN</t>
        </is>
      </c>
      <c r="E246" t="inlineStr">
        <is>
          <t>SALA</t>
        </is>
      </c>
      <c r="G246" t="n">
        <v>1.8</v>
      </c>
      <c r="H246" t="n">
        <v>0</v>
      </c>
      <c r="I246" t="n">
        <v>0</v>
      </c>
      <c r="J246" t="n">
        <v>0</v>
      </c>
      <c r="K246" t="n">
        <v>0</v>
      </c>
      <c r="L246" t="n">
        <v>0</v>
      </c>
      <c r="M246" t="n">
        <v>0</v>
      </c>
      <c r="N246" t="n">
        <v>0</v>
      </c>
      <c r="O246" t="n">
        <v>0</v>
      </c>
      <c r="P246" t="n">
        <v>0</v>
      </c>
      <c r="Q246" t="n">
        <v>0</v>
      </c>
      <c r="R246" s="2" t="inlineStr"/>
    </row>
    <row r="247" ht="15" customHeight="1">
      <c r="A247" t="inlineStr">
        <is>
          <t>A 19241-2025</t>
        </is>
      </c>
      <c r="B247" s="1" t="n">
        <v>45769</v>
      </c>
      <c r="C247" s="1" t="n">
        <v>46202</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34867-2023</t>
        </is>
      </c>
      <c r="B248" s="1" t="n">
        <v>45142</v>
      </c>
      <c r="C248" s="1" t="n">
        <v>46202</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60823-2024</t>
        </is>
      </c>
      <c r="B249" s="1" t="n">
        <v>45644</v>
      </c>
      <c r="C249" s="1" t="n">
        <v>46202</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28863-2022</t>
        </is>
      </c>
      <c r="B250" s="1" t="n">
        <v>44749</v>
      </c>
      <c r="C250" s="1" t="n">
        <v>46202</v>
      </c>
      <c r="D250" t="inlineStr">
        <is>
          <t>VÄSTMANLANDS LÄN</t>
        </is>
      </c>
      <c r="E250" t="inlineStr">
        <is>
          <t>SALA</t>
        </is>
      </c>
      <c r="G250" t="n">
        <v>1.6</v>
      </c>
      <c r="H250" t="n">
        <v>0</v>
      </c>
      <c r="I250" t="n">
        <v>0</v>
      </c>
      <c r="J250" t="n">
        <v>0</v>
      </c>
      <c r="K250" t="n">
        <v>0</v>
      </c>
      <c r="L250" t="n">
        <v>0</v>
      </c>
      <c r="M250" t="n">
        <v>0</v>
      </c>
      <c r="N250" t="n">
        <v>0</v>
      </c>
      <c r="O250" t="n">
        <v>0</v>
      </c>
      <c r="P250" t="n">
        <v>0</v>
      </c>
      <c r="Q250" t="n">
        <v>0</v>
      </c>
      <c r="R250" s="2" t="inlineStr"/>
    </row>
    <row r="251" ht="15" customHeight="1">
      <c r="A251" t="inlineStr">
        <is>
          <t>A 11631-2023</t>
        </is>
      </c>
      <c r="B251" s="1" t="n">
        <v>44994</v>
      </c>
      <c r="C251" s="1" t="n">
        <v>46202</v>
      </c>
      <c r="D251" t="inlineStr">
        <is>
          <t>VÄSTMANLANDS LÄN</t>
        </is>
      </c>
      <c r="E251" t="inlineStr">
        <is>
          <t>SALA</t>
        </is>
      </c>
      <c r="F251" t="inlineStr">
        <is>
          <t>Kommuner</t>
        </is>
      </c>
      <c r="G251" t="n">
        <v>1.9</v>
      </c>
      <c r="H251" t="n">
        <v>0</v>
      </c>
      <c r="I251" t="n">
        <v>0</v>
      </c>
      <c r="J251" t="n">
        <v>0</v>
      </c>
      <c r="K251" t="n">
        <v>0</v>
      </c>
      <c r="L251" t="n">
        <v>0</v>
      </c>
      <c r="M251" t="n">
        <v>0</v>
      </c>
      <c r="N251" t="n">
        <v>0</v>
      </c>
      <c r="O251" t="n">
        <v>0</v>
      </c>
      <c r="P251" t="n">
        <v>0</v>
      </c>
      <c r="Q251" t="n">
        <v>0</v>
      </c>
      <c r="R251" s="2" t="inlineStr"/>
    </row>
    <row r="252" ht="15" customHeight="1">
      <c r="A252" t="inlineStr">
        <is>
          <t>A 61681-2024</t>
        </is>
      </c>
      <c r="B252" s="1" t="n">
        <v>45647</v>
      </c>
      <c r="C252" s="1" t="n">
        <v>46202</v>
      </c>
      <c r="D252" t="inlineStr">
        <is>
          <t>VÄSTMANLANDS LÄN</t>
        </is>
      </c>
      <c r="E252" t="inlineStr">
        <is>
          <t>SALA</t>
        </is>
      </c>
      <c r="F252" t="inlineStr">
        <is>
          <t>Kommuner</t>
        </is>
      </c>
      <c r="G252" t="n">
        <v>1</v>
      </c>
      <c r="H252" t="n">
        <v>0</v>
      </c>
      <c r="I252" t="n">
        <v>0</v>
      </c>
      <c r="J252" t="n">
        <v>0</v>
      </c>
      <c r="K252" t="n">
        <v>0</v>
      </c>
      <c r="L252" t="n">
        <v>0</v>
      </c>
      <c r="M252" t="n">
        <v>0</v>
      </c>
      <c r="N252" t="n">
        <v>0</v>
      </c>
      <c r="O252" t="n">
        <v>0</v>
      </c>
      <c r="P252" t="n">
        <v>0</v>
      </c>
      <c r="Q252" t="n">
        <v>0</v>
      </c>
      <c r="R252" s="2" t="inlineStr"/>
    </row>
    <row r="253" ht="15" customHeight="1">
      <c r="A253" t="inlineStr">
        <is>
          <t>A 14920-2025</t>
        </is>
      </c>
      <c r="B253" s="1" t="n">
        <v>45743</v>
      </c>
      <c r="C253" s="1" t="n">
        <v>46202</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40398-2021</t>
        </is>
      </c>
      <c r="B254" s="1" t="n">
        <v>44419</v>
      </c>
      <c r="C254" s="1" t="n">
        <v>46202</v>
      </c>
      <c r="D254" t="inlineStr">
        <is>
          <t>VÄSTMANLANDS LÄN</t>
        </is>
      </c>
      <c r="E254" t="inlineStr">
        <is>
          <t>SALA</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22921-2023</t>
        </is>
      </c>
      <c r="B255" s="1" t="n">
        <v>45070</v>
      </c>
      <c r="C255" s="1" t="n">
        <v>46202</v>
      </c>
      <c r="D255" t="inlineStr">
        <is>
          <t>VÄSTMANLANDS LÄN</t>
        </is>
      </c>
      <c r="E255" t="inlineStr">
        <is>
          <t>SALA</t>
        </is>
      </c>
      <c r="G255" t="n">
        <v>1.3</v>
      </c>
      <c r="H255" t="n">
        <v>0</v>
      </c>
      <c r="I255" t="n">
        <v>0</v>
      </c>
      <c r="J255" t="n">
        <v>0</v>
      </c>
      <c r="K255" t="n">
        <v>0</v>
      </c>
      <c r="L255" t="n">
        <v>0</v>
      </c>
      <c r="M255" t="n">
        <v>0</v>
      </c>
      <c r="N255" t="n">
        <v>0</v>
      </c>
      <c r="O255" t="n">
        <v>0</v>
      </c>
      <c r="P255" t="n">
        <v>0</v>
      </c>
      <c r="Q255" t="n">
        <v>0</v>
      </c>
      <c r="R255" s="2" t="inlineStr"/>
    </row>
    <row r="256" ht="15" customHeight="1">
      <c r="A256" t="inlineStr">
        <is>
          <t>A 8775-2024</t>
        </is>
      </c>
      <c r="B256" s="1" t="n">
        <v>45356</v>
      </c>
      <c r="C256" s="1" t="n">
        <v>46202</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43362-2023</t>
        </is>
      </c>
      <c r="B257" s="1" t="n">
        <v>45183</v>
      </c>
      <c r="C257" s="1" t="n">
        <v>46202</v>
      </c>
      <c r="D257" t="inlineStr">
        <is>
          <t>VÄSTMANLANDS LÄN</t>
        </is>
      </c>
      <c r="E257" t="inlineStr">
        <is>
          <t>SALA</t>
        </is>
      </c>
      <c r="G257" t="n">
        <v>2</v>
      </c>
      <c r="H257" t="n">
        <v>0</v>
      </c>
      <c r="I257" t="n">
        <v>0</v>
      </c>
      <c r="J257" t="n">
        <v>0</v>
      </c>
      <c r="K257" t="n">
        <v>0</v>
      </c>
      <c r="L257" t="n">
        <v>0</v>
      </c>
      <c r="M257" t="n">
        <v>0</v>
      </c>
      <c r="N257" t="n">
        <v>0</v>
      </c>
      <c r="O257" t="n">
        <v>0</v>
      </c>
      <c r="P257" t="n">
        <v>0</v>
      </c>
      <c r="Q257" t="n">
        <v>0</v>
      </c>
      <c r="R257" s="2" t="inlineStr"/>
    </row>
    <row r="258" ht="15" customHeight="1">
      <c r="A258" t="inlineStr">
        <is>
          <t>A 48710-2024</t>
        </is>
      </c>
      <c r="B258" s="1" t="n">
        <v>45593</v>
      </c>
      <c r="C258" s="1" t="n">
        <v>46202</v>
      </c>
      <c r="D258" t="inlineStr">
        <is>
          <t>VÄSTMANLANDS LÄN</t>
        </is>
      </c>
      <c r="E258" t="inlineStr">
        <is>
          <t>SALA</t>
        </is>
      </c>
      <c r="G258" t="n">
        <v>6.5</v>
      </c>
      <c r="H258" t="n">
        <v>0</v>
      </c>
      <c r="I258" t="n">
        <v>0</v>
      </c>
      <c r="J258" t="n">
        <v>0</v>
      </c>
      <c r="K258" t="n">
        <v>0</v>
      </c>
      <c r="L258" t="n">
        <v>0</v>
      </c>
      <c r="M258" t="n">
        <v>0</v>
      </c>
      <c r="N258" t="n">
        <v>0</v>
      </c>
      <c r="O258" t="n">
        <v>0</v>
      </c>
      <c r="P258" t="n">
        <v>0</v>
      </c>
      <c r="Q258" t="n">
        <v>0</v>
      </c>
      <c r="R258" s="2" t="inlineStr"/>
    </row>
    <row r="259" ht="15" customHeight="1">
      <c r="A259" t="inlineStr">
        <is>
          <t>A 16404-2022</t>
        </is>
      </c>
      <c r="B259" s="1" t="n">
        <v>44671</v>
      </c>
      <c r="C259" s="1" t="n">
        <v>46202</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2900-2023</t>
        </is>
      </c>
      <c r="B260" s="1" t="n">
        <v>44943</v>
      </c>
      <c r="C260" s="1" t="n">
        <v>46202</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6030-2024</t>
        </is>
      </c>
      <c r="B261" s="1" t="n">
        <v>45336</v>
      </c>
      <c r="C261" s="1" t="n">
        <v>46202</v>
      </c>
      <c r="D261" t="inlineStr">
        <is>
          <t>VÄSTMANLANDS LÄN</t>
        </is>
      </c>
      <c r="E261" t="inlineStr">
        <is>
          <t>SALA</t>
        </is>
      </c>
      <c r="G261" t="n">
        <v>3.9</v>
      </c>
      <c r="H261" t="n">
        <v>0</v>
      </c>
      <c r="I261" t="n">
        <v>0</v>
      </c>
      <c r="J261" t="n">
        <v>0</v>
      </c>
      <c r="K261" t="n">
        <v>0</v>
      </c>
      <c r="L261" t="n">
        <v>0</v>
      </c>
      <c r="M261" t="n">
        <v>0</v>
      </c>
      <c r="N261" t="n">
        <v>0</v>
      </c>
      <c r="O261" t="n">
        <v>0</v>
      </c>
      <c r="P261" t="n">
        <v>0</v>
      </c>
      <c r="Q261" t="n">
        <v>0</v>
      </c>
      <c r="R261" s="2" t="inlineStr"/>
    </row>
    <row r="262" ht="15" customHeight="1">
      <c r="A262" t="inlineStr">
        <is>
          <t>A 36858-2023</t>
        </is>
      </c>
      <c r="B262" s="1" t="n">
        <v>45154</v>
      </c>
      <c r="C262" s="1" t="n">
        <v>46202</v>
      </c>
      <c r="D262" t="inlineStr">
        <is>
          <t>VÄSTMANLANDS LÄN</t>
        </is>
      </c>
      <c r="E262" t="inlineStr">
        <is>
          <t>SALA</t>
        </is>
      </c>
      <c r="G262" t="n">
        <v>2.1</v>
      </c>
      <c r="H262" t="n">
        <v>0</v>
      </c>
      <c r="I262" t="n">
        <v>0</v>
      </c>
      <c r="J262" t="n">
        <v>0</v>
      </c>
      <c r="K262" t="n">
        <v>0</v>
      </c>
      <c r="L262" t="n">
        <v>0</v>
      </c>
      <c r="M262" t="n">
        <v>0</v>
      </c>
      <c r="N262" t="n">
        <v>0</v>
      </c>
      <c r="O262" t="n">
        <v>0</v>
      </c>
      <c r="P262" t="n">
        <v>0</v>
      </c>
      <c r="Q262" t="n">
        <v>0</v>
      </c>
      <c r="R262" s="2" t="inlineStr"/>
    </row>
    <row r="263" ht="15" customHeight="1">
      <c r="A263" t="inlineStr">
        <is>
          <t>A 55024-2023</t>
        </is>
      </c>
      <c r="B263" s="1" t="n">
        <v>45229</v>
      </c>
      <c r="C263" s="1" t="n">
        <v>46202</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55032-2023</t>
        </is>
      </c>
      <c r="B264" s="1" t="n">
        <v>45229</v>
      </c>
      <c r="C264" s="1" t="n">
        <v>46202</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52630-2022</t>
        </is>
      </c>
      <c r="B265" s="1" t="n">
        <v>44874</v>
      </c>
      <c r="C265" s="1" t="n">
        <v>46202</v>
      </c>
      <c r="D265" t="inlineStr">
        <is>
          <t>VÄSTMANLANDS LÄN</t>
        </is>
      </c>
      <c r="E265" t="inlineStr">
        <is>
          <t>SALA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24248-2023</t>
        </is>
      </c>
      <c r="B266" s="1" t="n">
        <v>45079</v>
      </c>
      <c r="C266" s="1" t="n">
        <v>46202</v>
      </c>
      <c r="D266" t="inlineStr">
        <is>
          <t>VÄSTMANLANDS LÄN</t>
        </is>
      </c>
      <c r="E266" t="inlineStr">
        <is>
          <t>SALA</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20352-2022</t>
        </is>
      </c>
      <c r="B267" s="1" t="n">
        <v>44699</v>
      </c>
      <c r="C267" s="1" t="n">
        <v>46202</v>
      </c>
      <c r="D267" t="inlineStr">
        <is>
          <t>VÄSTMANLANDS LÄN</t>
        </is>
      </c>
      <c r="E267" t="inlineStr">
        <is>
          <t>SALA</t>
        </is>
      </c>
      <c r="G267" t="n">
        <v>1.3</v>
      </c>
      <c r="H267" t="n">
        <v>0</v>
      </c>
      <c r="I267" t="n">
        <v>0</v>
      </c>
      <c r="J267" t="n">
        <v>0</v>
      </c>
      <c r="K267" t="n">
        <v>0</v>
      </c>
      <c r="L267" t="n">
        <v>0</v>
      </c>
      <c r="M267" t="n">
        <v>0</v>
      </c>
      <c r="N267" t="n">
        <v>0</v>
      </c>
      <c r="O267" t="n">
        <v>0</v>
      </c>
      <c r="P267" t="n">
        <v>0</v>
      </c>
      <c r="Q267" t="n">
        <v>0</v>
      </c>
      <c r="R267" s="2" t="inlineStr"/>
    </row>
    <row r="268" ht="15" customHeight="1">
      <c r="A268" t="inlineStr">
        <is>
          <t>A 17117-2023</t>
        </is>
      </c>
      <c r="B268" s="1" t="n">
        <v>45034</v>
      </c>
      <c r="C268" s="1" t="n">
        <v>46202</v>
      </c>
      <c r="D268" t="inlineStr">
        <is>
          <t>VÄSTMANLANDS LÄN</t>
        </is>
      </c>
      <c r="E268" t="inlineStr">
        <is>
          <t>SALA</t>
        </is>
      </c>
      <c r="G268" t="n">
        <v>0.4</v>
      </c>
      <c r="H268" t="n">
        <v>0</v>
      </c>
      <c r="I268" t="n">
        <v>0</v>
      </c>
      <c r="J268" t="n">
        <v>0</v>
      </c>
      <c r="K268" t="n">
        <v>0</v>
      </c>
      <c r="L268" t="n">
        <v>0</v>
      </c>
      <c r="M268" t="n">
        <v>0</v>
      </c>
      <c r="N268" t="n">
        <v>0</v>
      </c>
      <c r="O268" t="n">
        <v>0</v>
      </c>
      <c r="P268" t="n">
        <v>0</v>
      </c>
      <c r="Q268" t="n">
        <v>0</v>
      </c>
      <c r="R268" s="2" t="inlineStr"/>
    </row>
    <row r="269" ht="15" customHeight="1">
      <c r="A269" t="inlineStr">
        <is>
          <t>A 10559-2024</t>
        </is>
      </c>
      <c r="B269" s="1" t="n">
        <v>45366</v>
      </c>
      <c r="C269" s="1" t="n">
        <v>46202</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2521-2025</t>
        </is>
      </c>
      <c r="B270" s="1" t="n">
        <v>45674</v>
      </c>
      <c r="C270" s="1" t="n">
        <v>46202</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40214-2023</t>
        </is>
      </c>
      <c r="B271" s="1" t="n">
        <v>45169</v>
      </c>
      <c r="C271" s="1" t="n">
        <v>46202</v>
      </c>
      <c r="D271" t="inlineStr">
        <is>
          <t>VÄSTMANLANDS LÄN</t>
        </is>
      </c>
      <c r="E271" t="inlineStr">
        <is>
          <t>SALA</t>
        </is>
      </c>
      <c r="G271" t="n">
        <v>5.5</v>
      </c>
      <c r="H271" t="n">
        <v>0</v>
      </c>
      <c r="I271" t="n">
        <v>0</v>
      </c>
      <c r="J271" t="n">
        <v>0</v>
      </c>
      <c r="K271" t="n">
        <v>0</v>
      </c>
      <c r="L271" t="n">
        <v>0</v>
      </c>
      <c r="M271" t="n">
        <v>0</v>
      </c>
      <c r="N271" t="n">
        <v>0</v>
      </c>
      <c r="O271" t="n">
        <v>0</v>
      </c>
      <c r="P271" t="n">
        <v>0</v>
      </c>
      <c r="Q271" t="n">
        <v>0</v>
      </c>
      <c r="R271" s="2" t="inlineStr"/>
    </row>
    <row r="272" ht="15" customHeight="1">
      <c r="A272" t="inlineStr">
        <is>
          <t>A 9856-2022</t>
        </is>
      </c>
      <c r="B272" s="1" t="n">
        <v>44620</v>
      </c>
      <c r="C272" s="1" t="n">
        <v>46202</v>
      </c>
      <c r="D272" t="inlineStr">
        <is>
          <t>VÄSTMANLANDS LÄN</t>
        </is>
      </c>
      <c r="E272" t="inlineStr">
        <is>
          <t>SALA</t>
        </is>
      </c>
      <c r="G272" t="n">
        <v>2.4</v>
      </c>
      <c r="H272" t="n">
        <v>0</v>
      </c>
      <c r="I272" t="n">
        <v>0</v>
      </c>
      <c r="J272" t="n">
        <v>0</v>
      </c>
      <c r="K272" t="n">
        <v>0</v>
      </c>
      <c r="L272" t="n">
        <v>0</v>
      </c>
      <c r="M272" t="n">
        <v>0</v>
      </c>
      <c r="N272" t="n">
        <v>0</v>
      </c>
      <c r="O272" t="n">
        <v>0</v>
      </c>
      <c r="P272" t="n">
        <v>0</v>
      </c>
      <c r="Q272" t="n">
        <v>0</v>
      </c>
      <c r="R272" s="2" t="inlineStr"/>
    </row>
    <row r="273" ht="15" customHeight="1">
      <c r="A273" t="inlineStr">
        <is>
          <t>A 18100-2023</t>
        </is>
      </c>
      <c r="B273" s="1" t="n">
        <v>45040</v>
      </c>
      <c r="C273" s="1" t="n">
        <v>46202</v>
      </c>
      <c r="D273" t="inlineStr">
        <is>
          <t>VÄSTMANLANDS LÄN</t>
        </is>
      </c>
      <c r="E273" t="inlineStr">
        <is>
          <t>SALA</t>
        </is>
      </c>
      <c r="G273" t="n">
        <v>1.8</v>
      </c>
      <c r="H273" t="n">
        <v>0</v>
      </c>
      <c r="I273" t="n">
        <v>0</v>
      </c>
      <c r="J273" t="n">
        <v>0</v>
      </c>
      <c r="K273" t="n">
        <v>0</v>
      </c>
      <c r="L273" t="n">
        <v>0</v>
      </c>
      <c r="M273" t="n">
        <v>0</v>
      </c>
      <c r="N273" t="n">
        <v>0</v>
      </c>
      <c r="O273" t="n">
        <v>0</v>
      </c>
      <c r="P273" t="n">
        <v>0</v>
      </c>
      <c r="Q273" t="n">
        <v>0</v>
      </c>
      <c r="R273" s="2" t="inlineStr"/>
    </row>
    <row r="274" ht="15" customHeight="1">
      <c r="A274" t="inlineStr">
        <is>
          <t>A 60548-2024</t>
        </is>
      </c>
      <c r="B274" s="1" t="n">
        <v>45643</v>
      </c>
      <c r="C274" s="1" t="n">
        <v>46202</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23374-2023</t>
        </is>
      </c>
      <c r="B275" s="1" t="n">
        <v>45076</v>
      </c>
      <c r="C275" s="1" t="n">
        <v>46202</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26761-2023</t>
        </is>
      </c>
      <c r="B276" s="1" t="n">
        <v>45093</v>
      </c>
      <c r="C276" s="1" t="n">
        <v>46202</v>
      </c>
      <c r="D276" t="inlineStr">
        <is>
          <t>VÄSTMANLANDS LÄN</t>
        </is>
      </c>
      <c r="E276" t="inlineStr">
        <is>
          <t>SALA</t>
        </is>
      </c>
      <c r="G276" t="n">
        <v>4.3</v>
      </c>
      <c r="H276" t="n">
        <v>0</v>
      </c>
      <c r="I276" t="n">
        <v>0</v>
      </c>
      <c r="J276" t="n">
        <v>0</v>
      </c>
      <c r="K276" t="n">
        <v>0</v>
      </c>
      <c r="L276" t="n">
        <v>0</v>
      </c>
      <c r="M276" t="n">
        <v>0</v>
      </c>
      <c r="N276" t="n">
        <v>0</v>
      </c>
      <c r="O276" t="n">
        <v>0</v>
      </c>
      <c r="P276" t="n">
        <v>0</v>
      </c>
      <c r="Q276" t="n">
        <v>0</v>
      </c>
      <c r="R276" s="2" t="inlineStr"/>
    </row>
    <row r="277" ht="15" customHeight="1">
      <c r="A277" t="inlineStr">
        <is>
          <t>A 6134-2024</t>
        </is>
      </c>
      <c r="B277" s="1" t="n">
        <v>45337</v>
      </c>
      <c r="C277" s="1" t="n">
        <v>46202</v>
      </c>
      <c r="D277" t="inlineStr">
        <is>
          <t>VÄSTMANLANDS LÄN</t>
        </is>
      </c>
      <c r="E277" t="inlineStr">
        <is>
          <t>SALA</t>
        </is>
      </c>
      <c r="G277" t="n">
        <v>1.8</v>
      </c>
      <c r="H277" t="n">
        <v>0</v>
      </c>
      <c r="I277" t="n">
        <v>0</v>
      </c>
      <c r="J277" t="n">
        <v>0</v>
      </c>
      <c r="K277" t="n">
        <v>0</v>
      </c>
      <c r="L277" t="n">
        <v>0</v>
      </c>
      <c r="M277" t="n">
        <v>0</v>
      </c>
      <c r="N277" t="n">
        <v>0</v>
      </c>
      <c r="O277" t="n">
        <v>0</v>
      </c>
      <c r="P277" t="n">
        <v>0</v>
      </c>
      <c r="Q277" t="n">
        <v>0</v>
      </c>
      <c r="R277" s="2" t="inlineStr"/>
    </row>
    <row r="278" ht="15" customHeight="1">
      <c r="A278" t="inlineStr">
        <is>
          <t>A 48117-2024</t>
        </is>
      </c>
      <c r="B278" s="1" t="n">
        <v>45589</v>
      </c>
      <c r="C278" s="1" t="n">
        <v>46202</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55035-2023</t>
        </is>
      </c>
      <c r="B279" s="1" t="n">
        <v>45229</v>
      </c>
      <c r="C279" s="1" t="n">
        <v>46202</v>
      </c>
      <c r="D279" t="inlineStr">
        <is>
          <t>VÄSTMANLANDS LÄN</t>
        </is>
      </c>
      <c r="E279" t="inlineStr">
        <is>
          <t>SALA</t>
        </is>
      </c>
      <c r="G279" t="n">
        <v>1.1</v>
      </c>
      <c r="H279" t="n">
        <v>0</v>
      </c>
      <c r="I279" t="n">
        <v>0</v>
      </c>
      <c r="J279" t="n">
        <v>0</v>
      </c>
      <c r="K279" t="n">
        <v>0</v>
      </c>
      <c r="L279" t="n">
        <v>0</v>
      </c>
      <c r="M279" t="n">
        <v>0</v>
      </c>
      <c r="N279" t="n">
        <v>0</v>
      </c>
      <c r="O279" t="n">
        <v>0</v>
      </c>
      <c r="P279" t="n">
        <v>0</v>
      </c>
      <c r="Q279" t="n">
        <v>0</v>
      </c>
      <c r="R279" s="2" t="inlineStr"/>
    </row>
    <row r="280" ht="15" customHeight="1">
      <c r="A280" t="inlineStr">
        <is>
          <t>A 36393-2023</t>
        </is>
      </c>
      <c r="B280" s="1" t="n">
        <v>45152</v>
      </c>
      <c r="C280" s="1" t="n">
        <v>46202</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49661-2024</t>
        </is>
      </c>
      <c r="B281" s="1" t="n">
        <v>45596</v>
      </c>
      <c r="C281" s="1" t="n">
        <v>46202</v>
      </c>
      <c r="D281" t="inlineStr">
        <is>
          <t>VÄSTMANLANDS LÄN</t>
        </is>
      </c>
      <c r="E281" t="inlineStr">
        <is>
          <t>SALA</t>
        </is>
      </c>
      <c r="G281" t="n">
        <v>6.7</v>
      </c>
      <c r="H281" t="n">
        <v>0</v>
      </c>
      <c r="I281" t="n">
        <v>0</v>
      </c>
      <c r="J281" t="n">
        <v>0</v>
      </c>
      <c r="K281" t="n">
        <v>0</v>
      </c>
      <c r="L281" t="n">
        <v>0</v>
      </c>
      <c r="M281" t="n">
        <v>0</v>
      </c>
      <c r="N281" t="n">
        <v>0</v>
      </c>
      <c r="O281" t="n">
        <v>0</v>
      </c>
      <c r="P281" t="n">
        <v>0</v>
      </c>
      <c r="Q281" t="n">
        <v>0</v>
      </c>
      <c r="R281" s="2" t="inlineStr"/>
    </row>
    <row r="282" ht="15" customHeight="1">
      <c r="A282" t="inlineStr">
        <is>
          <t>A 60249-2023</t>
        </is>
      </c>
      <c r="B282" s="1" t="n">
        <v>45258</v>
      </c>
      <c r="C282" s="1" t="n">
        <v>46202</v>
      </c>
      <c r="D282" t="inlineStr">
        <is>
          <t>VÄSTMANLANDS LÄN</t>
        </is>
      </c>
      <c r="E282" t="inlineStr">
        <is>
          <t>SALA</t>
        </is>
      </c>
      <c r="G282" t="n">
        <v>2</v>
      </c>
      <c r="H282" t="n">
        <v>0</v>
      </c>
      <c r="I282" t="n">
        <v>0</v>
      </c>
      <c r="J282" t="n">
        <v>0</v>
      </c>
      <c r="K282" t="n">
        <v>0</v>
      </c>
      <c r="L282" t="n">
        <v>0</v>
      </c>
      <c r="M282" t="n">
        <v>0</v>
      </c>
      <c r="N282" t="n">
        <v>0</v>
      </c>
      <c r="O282" t="n">
        <v>0</v>
      </c>
      <c r="P282" t="n">
        <v>0</v>
      </c>
      <c r="Q282" t="n">
        <v>0</v>
      </c>
      <c r="R282" s="2" t="inlineStr"/>
    </row>
    <row r="283" ht="15" customHeight="1">
      <c r="A283" t="inlineStr">
        <is>
          <t>A 59297-2023</t>
        </is>
      </c>
      <c r="B283" s="1" t="n">
        <v>45253</v>
      </c>
      <c r="C283" s="1" t="n">
        <v>46202</v>
      </c>
      <c r="D283" t="inlineStr">
        <is>
          <t>VÄSTMANLANDS LÄN</t>
        </is>
      </c>
      <c r="E283" t="inlineStr">
        <is>
          <t>SALA</t>
        </is>
      </c>
      <c r="G283" t="n">
        <v>2</v>
      </c>
      <c r="H283" t="n">
        <v>0</v>
      </c>
      <c r="I283" t="n">
        <v>0</v>
      </c>
      <c r="J283" t="n">
        <v>0</v>
      </c>
      <c r="K283" t="n">
        <v>0</v>
      </c>
      <c r="L283" t="n">
        <v>0</v>
      </c>
      <c r="M283" t="n">
        <v>0</v>
      </c>
      <c r="N283" t="n">
        <v>0</v>
      </c>
      <c r="O283" t="n">
        <v>0</v>
      </c>
      <c r="P283" t="n">
        <v>0</v>
      </c>
      <c r="Q283" t="n">
        <v>0</v>
      </c>
      <c r="R283" s="2" t="inlineStr"/>
    </row>
    <row r="284" ht="15" customHeight="1">
      <c r="A284" t="inlineStr">
        <is>
          <t>A 24175-2024</t>
        </is>
      </c>
      <c r="B284" s="1" t="n">
        <v>45456</v>
      </c>
      <c r="C284" s="1" t="n">
        <v>46202</v>
      </c>
      <c r="D284" t="inlineStr">
        <is>
          <t>VÄSTMANLANDS LÄN</t>
        </is>
      </c>
      <c r="E284" t="inlineStr">
        <is>
          <t>SALA</t>
        </is>
      </c>
      <c r="G284" t="n">
        <v>0.6</v>
      </c>
      <c r="H284" t="n">
        <v>0</v>
      </c>
      <c r="I284" t="n">
        <v>0</v>
      </c>
      <c r="J284" t="n">
        <v>0</v>
      </c>
      <c r="K284" t="n">
        <v>0</v>
      </c>
      <c r="L284" t="n">
        <v>0</v>
      </c>
      <c r="M284" t="n">
        <v>0</v>
      </c>
      <c r="N284" t="n">
        <v>0</v>
      </c>
      <c r="O284" t="n">
        <v>0</v>
      </c>
      <c r="P284" t="n">
        <v>0</v>
      </c>
      <c r="Q284" t="n">
        <v>0</v>
      </c>
      <c r="R284" s="2" t="inlineStr"/>
    </row>
    <row r="285" ht="15" customHeight="1">
      <c r="A285" t="inlineStr">
        <is>
          <t>A 15965-2024</t>
        </is>
      </c>
      <c r="B285" s="1" t="n">
        <v>45405</v>
      </c>
      <c r="C285" s="1" t="n">
        <v>46202</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28328-2023</t>
        </is>
      </c>
      <c r="B286" s="1" t="n">
        <v>45099</v>
      </c>
      <c r="C286" s="1" t="n">
        <v>46202</v>
      </c>
      <c r="D286" t="inlineStr">
        <is>
          <t>VÄSTMANLANDS LÄN</t>
        </is>
      </c>
      <c r="E286" t="inlineStr">
        <is>
          <t>SALA</t>
        </is>
      </c>
      <c r="G286" t="n">
        <v>1.8</v>
      </c>
      <c r="H286" t="n">
        <v>0</v>
      </c>
      <c r="I286" t="n">
        <v>0</v>
      </c>
      <c r="J286" t="n">
        <v>0</v>
      </c>
      <c r="K286" t="n">
        <v>0</v>
      </c>
      <c r="L286" t="n">
        <v>0</v>
      </c>
      <c r="M286" t="n">
        <v>0</v>
      </c>
      <c r="N286" t="n">
        <v>0</v>
      </c>
      <c r="O286" t="n">
        <v>0</v>
      </c>
      <c r="P286" t="n">
        <v>0</v>
      </c>
      <c r="Q286" t="n">
        <v>0</v>
      </c>
      <c r="R286" s="2" t="inlineStr"/>
    </row>
    <row r="287" ht="15" customHeight="1">
      <c r="A287" t="inlineStr">
        <is>
          <t>A 31597-2024</t>
        </is>
      </c>
      <c r="B287" s="1" t="n">
        <v>45506</v>
      </c>
      <c r="C287" s="1" t="n">
        <v>46202</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31599-2024</t>
        </is>
      </c>
      <c r="B288" s="1" t="n">
        <v>45506</v>
      </c>
      <c r="C288" s="1" t="n">
        <v>46202</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31601-2024</t>
        </is>
      </c>
      <c r="B289" s="1" t="n">
        <v>45506</v>
      </c>
      <c r="C289" s="1" t="n">
        <v>46202</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31608-2024</t>
        </is>
      </c>
      <c r="B290" s="1" t="n">
        <v>45506</v>
      </c>
      <c r="C290" s="1" t="n">
        <v>46202</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31612-2024</t>
        </is>
      </c>
      <c r="B291" s="1" t="n">
        <v>45506</v>
      </c>
      <c r="C291" s="1" t="n">
        <v>46202</v>
      </c>
      <c r="D291" t="inlineStr">
        <is>
          <t>VÄSTMANLANDS LÄN</t>
        </is>
      </c>
      <c r="E291" t="inlineStr">
        <is>
          <t>SALA</t>
        </is>
      </c>
      <c r="G291" t="n">
        <v>3.2</v>
      </c>
      <c r="H291" t="n">
        <v>0</v>
      </c>
      <c r="I291" t="n">
        <v>0</v>
      </c>
      <c r="J291" t="n">
        <v>0</v>
      </c>
      <c r="K291" t="n">
        <v>0</v>
      </c>
      <c r="L291" t="n">
        <v>0</v>
      </c>
      <c r="M291" t="n">
        <v>0</v>
      </c>
      <c r="N291" t="n">
        <v>0</v>
      </c>
      <c r="O291" t="n">
        <v>0</v>
      </c>
      <c r="P291" t="n">
        <v>0</v>
      </c>
      <c r="Q291" t="n">
        <v>0</v>
      </c>
      <c r="R291" s="2" t="inlineStr"/>
    </row>
    <row r="292" ht="15" customHeight="1">
      <c r="A292" t="inlineStr">
        <is>
          <t>A 23180-2022</t>
        </is>
      </c>
      <c r="B292" s="1" t="n">
        <v>44719</v>
      </c>
      <c r="C292" s="1" t="n">
        <v>46202</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52500-2024</t>
        </is>
      </c>
      <c r="B293" s="1" t="n">
        <v>45609</v>
      </c>
      <c r="C293" s="1" t="n">
        <v>46202</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21455-2023</t>
        </is>
      </c>
      <c r="B294" s="1" t="n">
        <v>45058</v>
      </c>
      <c r="C294" s="1" t="n">
        <v>46202</v>
      </c>
      <c r="D294" t="inlineStr">
        <is>
          <t>VÄSTMANLANDS LÄN</t>
        </is>
      </c>
      <c r="E294" t="inlineStr">
        <is>
          <t>SALA</t>
        </is>
      </c>
      <c r="G294" t="n">
        <v>6.4</v>
      </c>
      <c r="H294" t="n">
        <v>0</v>
      </c>
      <c r="I294" t="n">
        <v>0</v>
      </c>
      <c r="J294" t="n">
        <v>0</v>
      </c>
      <c r="K294" t="n">
        <v>0</v>
      </c>
      <c r="L294" t="n">
        <v>0</v>
      </c>
      <c r="M294" t="n">
        <v>0</v>
      </c>
      <c r="N294" t="n">
        <v>0</v>
      </c>
      <c r="O294" t="n">
        <v>0</v>
      </c>
      <c r="P294" t="n">
        <v>0</v>
      </c>
      <c r="Q294" t="n">
        <v>0</v>
      </c>
      <c r="R294" s="2" t="inlineStr"/>
    </row>
    <row r="295" ht="15" customHeight="1">
      <c r="A295" t="inlineStr">
        <is>
          <t>A 27255-2023</t>
        </is>
      </c>
      <c r="B295" s="1" t="n">
        <v>45096</v>
      </c>
      <c r="C295" s="1" t="n">
        <v>46202</v>
      </c>
      <c r="D295" t="inlineStr">
        <is>
          <t>VÄSTMANLANDS LÄN</t>
        </is>
      </c>
      <c r="E295" t="inlineStr">
        <is>
          <t>SALA</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38195-2021</t>
        </is>
      </c>
      <c r="B296" s="1" t="n">
        <v>44405</v>
      </c>
      <c r="C296" s="1" t="n">
        <v>46202</v>
      </c>
      <c r="D296" t="inlineStr">
        <is>
          <t>VÄSTMANLANDS LÄN</t>
        </is>
      </c>
      <c r="E296" t="inlineStr">
        <is>
          <t>SALA</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21777-2022</t>
        </is>
      </c>
      <c r="B297" s="1" t="n">
        <v>44708</v>
      </c>
      <c r="C297" s="1" t="n">
        <v>46202</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11389-2024</t>
        </is>
      </c>
      <c r="B298" s="1" t="n">
        <v>45372</v>
      </c>
      <c r="C298" s="1" t="n">
        <v>46202</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7197-2025</t>
        </is>
      </c>
      <c r="B299" s="1" t="n">
        <v>45702</v>
      </c>
      <c r="C299" s="1" t="n">
        <v>46202</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96-2024</t>
        </is>
      </c>
      <c r="B300" s="1" t="n">
        <v>45293</v>
      </c>
      <c r="C300" s="1" t="n">
        <v>46202</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54118-2023</t>
        </is>
      </c>
      <c r="B301" s="1" t="n">
        <v>45232</v>
      </c>
      <c r="C301" s="1" t="n">
        <v>46202</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2925-2024</t>
        </is>
      </c>
      <c r="B302" s="1" t="n">
        <v>45315</v>
      </c>
      <c r="C302" s="1" t="n">
        <v>46202</v>
      </c>
      <c r="D302" t="inlineStr">
        <is>
          <t>VÄSTMANLANDS LÄN</t>
        </is>
      </c>
      <c r="E302" t="inlineStr">
        <is>
          <t>SALA</t>
        </is>
      </c>
      <c r="G302" t="n">
        <v>1.3</v>
      </c>
      <c r="H302" t="n">
        <v>0</v>
      </c>
      <c r="I302" t="n">
        <v>0</v>
      </c>
      <c r="J302" t="n">
        <v>0</v>
      </c>
      <c r="K302" t="n">
        <v>0</v>
      </c>
      <c r="L302" t="n">
        <v>0</v>
      </c>
      <c r="M302" t="n">
        <v>0</v>
      </c>
      <c r="N302" t="n">
        <v>0</v>
      </c>
      <c r="O302" t="n">
        <v>0</v>
      </c>
      <c r="P302" t="n">
        <v>0</v>
      </c>
      <c r="Q302" t="n">
        <v>0</v>
      </c>
      <c r="R302" s="2" t="inlineStr"/>
    </row>
    <row r="303" ht="15" customHeight="1">
      <c r="A303" t="inlineStr">
        <is>
          <t>A 39439-2021</t>
        </is>
      </c>
      <c r="B303" s="1" t="n">
        <v>44414</v>
      </c>
      <c r="C303" s="1" t="n">
        <v>46202</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34814-2021</t>
        </is>
      </c>
      <c r="B304" s="1" t="n">
        <v>44383</v>
      </c>
      <c r="C304" s="1" t="n">
        <v>46202</v>
      </c>
      <c r="D304" t="inlineStr">
        <is>
          <t>VÄSTMANLANDS LÄN</t>
        </is>
      </c>
      <c r="E304" t="inlineStr">
        <is>
          <t>SALA</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13752-2025</t>
        </is>
      </c>
      <c r="B305" s="1" t="n">
        <v>45737</v>
      </c>
      <c r="C305" s="1" t="n">
        <v>46202</v>
      </c>
      <c r="D305" t="inlineStr">
        <is>
          <t>VÄSTMANLANDS LÄN</t>
        </is>
      </c>
      <c r="E305" t="inlineStr">
        <is>
          <t>SALA</t>
        </is>
      </c>
      <c r="G305" t="n">
        <v>0.4</v>
      </c>
      <c r="H305" t="n">
        <v>0</v>
      </c>
      <c r="I305" t="n">
        <v>0</v>
      </c>
      <c r="J305" t="n">
        <v>0</v>
      </c>
      <c r="K305" t="n">
        <v>0</v>
      </c>
      <c r="L305" t="n">
        <v>0</v>
      </c>
      <c r="M305" t="n">
        <v>0</v>
      </c>
      <c r="N305" t="n">
        <v>0</v>
      </c>
      <c r="O305" t="n">
        <v>0</v>
      </c>
      <c r="P305" t="n">
        <v>0</v>
      </c>
      <c r="Q305" t="n">
        <v>0</v>
      </c>
      <c r="R305" s="2" t="inlineStr"/>
    </row>
    <row r="306" ht="15" customHeight="1">
      <c r="A306" t="inlineStr">
        <is>
          <t>A 2927-2024</t>
        </is>
      </c>
      <c r="B306" s="1" t="n">
        <v>45315</v>
      </c>
      <c r="C306" s="1" t="n">
        <v>46202</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3733-2023</t>
        </is>
      </c>
      <c r="B307" s="1" t="n">
        <v>44951</v>
      </c>
      <c r="C307" s="1" t="n">
        <v>46202</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2529-2022</t>
        </is>
      </c>
      <c r="B308" s="1" t="n">
        <v>44579</v>
      </c>
      <c r="C308" s="1" t="n">
        <v>46202</v>
      </c>
      <c r="D308" t="inlineStr">
        <is>
          <t>VÄSTMANLANDS LÄN</t>
        </is>
      </c>
      <c r="E308" t="inlineStr">
        <is>
          <t>SALA</t>
        </is>
      </c>
      <c r="G308" t="n">
        <v>1.7</v>
      </c>
      <c r="H308" t="n">
        <v>0</v>
      </c>
      <c r="I308" t="n">
        <v>0</v>
      </c>
      <c r="J308" t="n">
        <v>0</v>
      </c>
      <c r="K308" t="n">
        <v>0</v>
      </c>
      <c r="L308" t="n">
        <v>0</v>
      </c>
      <c r="M308" t="n">
        <v>0</v>
      </c>
      <c r="N308" t="n">
        <v>0</v>
      </c>
      <c r="O308" t="n">
        <v>0</v>
      </c>
      <c r="P308" t="n">
        <v>0</v>
      </c>
      <c r="Q308" t="n">
        <v>0</v>
      </c>
      <c r="R308" s="2" t="inlineStr"/>
    </row>
    <row r="309" ht="15" customHeight="1">
      <c r="A309" t="inlineStr">
        <is>
          <t>A 13471-2025</t>
        </is>
      </c>
      <c r="B309" s="1" t="n">
        <v>45736</v>
      </c>
      <c r="C309" s="1" t="n">
        <v>46202</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26854-2024</t>
        </is>
      </c>
      <c r="B310" s="1" t="n">
        <v>45470</v>
      </c>
      <c r="C310" s="1" t="n">
        <v>46202</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27424-2023</t>
        </is>
      </c>
      <c r="B311" s="1" t="n">
        <v>45097</v>
      </c>
      <c r="C311" s="1" t="n">
        <v>46202</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58701-2021</t>
        </is>
      </c>
      <c r="B312" s="1" t="n">
        <v>44489</v>
      </c>
      <c r="C312" s="1" t="n">
        <v>46202</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11244-2024</t>
        </is>
      </c>
      <c r="B313" s="1" t="n">
        <v>45371</v>
      </c>
      <c r="C313" s="1" t="n">
        <v>46202</v>
      </c>
      <c r="D313" t="inlineStr">
        <is>
          <t>VÄSTMANLANDS LÄN</t>
        </is>
      </c>
      <c r="E313" t="inlineStr">
        <is>
          <t>SALA</t>
        </is>
      </c>
      <c r="G313" t="n">
        <v>1.2</v>
      </c>
      <c r="H313" t="n">
        <v>0</v>
      </c>
      <c r="I313" t="n">
        <v>0</v>
      </c>
      <c r="J313" t="n">
        <v>0</v>
      </c>
      <c r="K313" t="n">
        <v>0</v>
      </c>
      <c r="L313" t="n">
        <v>0</v>
      </c>
      <c r="M313" t="n">
        <v>0</v>
      </c>
      <c r="N313" t="n">
        <v>0</v>
      </c>
      <c r="O313" t="n">
        <v>0</v>
      </c>
      <c r="P313" t="n">
        <v>0</v>
      </c>
      <c r="Q313" t="n">
        <v>0</v>
      </c>
      <c r="R313" s="2" t="inlineStr"/>
    </row>
    <row r="314" ht="15" customHeight="1">
      <c r="A314" t="inlineStr">
        <is>
          <t>A 12225-2023</t>
        </is>
      </c>
      <c r="B314" s="1" t="n">
        <v>44995</v>
      </c>
      <c r="C314" s="1" t="n">
        <v>46202</v>
      </c>
      <c r="D314" t="inlineStr">
        <is>
          <t>VÄSTMANLANDS LÄN</t>
        </is>
      </c>
      <c r="E314" t="inlineStr">
        <is>
          <t>SALA</t>
        </is>
      </c>
      <c r="G314" t="n">
        <v>0.9</v>
      </c>
      <c r="H314" t="n">
        <v>0</v>
      </c>
      <c r="I314" t="n">
        <v>0</v>
      </c>
      <c r="J314" t="n">
        <v>0</v>
      </c>
      <c r="K314" t="n">
        <v>0</v>
      </c>
      <c r="L314" t="n">
        <v>0</v>
      </c>
      <c r="M314" t="n">
        <v>0</v>
      </c>
      <c r="N314" t="n">
        <v>0</v>
      </c>
      <c r="O314" t="n">
        <v>0</v>
      </c>
      <c r="P314" t="n">
        <v>0</v>
      </c>
      <c r="Q314" t="n">
        <v>0</v>
      </c>
      <c r="R314" s="2" t="inlineStr"/>
    </row>
    <row r="315" ht="15" customHeight="1">
      <c r="A315" t="inlineStr">
        <is>
          <t>A 61874-2021</t>
        </is>
      </c>
      <c r="B315" s="1" t="n">
        <v>44502</v>
      </c>
      <c r="C315" s="1" t="n">
        <v>46202</v>
      </c>
      <c r="D315" t="inlineStr">
        <is>
          <t>VÄSTMANLANDS LÄN</t>
        </is>
      </c>
      <c r="E315" t="inlineStr">
        <is>
          <t>SALA</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35016-2024</t>
        </is>
      </c>
      <c r="B316" s="1" t="n">
        <v>45527</v>
      </c>
      <c r="C316" s="1" t="n">
        <v>46202</v>
      </c>
      <c r="D316" t="inlineStr">
        <is>
          <t>VÄSTMANLANDS LÄN</t>
        </is>
      </c>
      <c r="E316" t="inlineStr">
        <is>
          <t>SALA</t>
        </is>
      </c>
      <c r="G316" t="n">
        <v>0.4</v>
      </c>
      <c r="H316" t="n">
        <v>0</v>
      </c>
      <c r="I316" t="n">
        <v>0</v>
      </c>
      <c r="J316" t="n">
        <v>0</v>
      </c>
      <c r="K316" t="n">
        <v>0</v>
      </c>
      <c r="L316" t="n">
        <v>0</v>
      </c>
      <c r="M316" t="n">
        <v>0</v>
      </c>
      <c r="N316" t="n">
        <v>0</v>
      </c>
      <c r="O316" t="n">
        <v>0</v>
      </c>
      <c r="P316" t="n">
        <v>0</v>
      </c>
      <c r="Q316" t="n">
        <v>0</v>
      </c>
      <c r="R316" s="2" t="inlineStr"/>
    </row>
    <row r="317" ht="15" customHeight="1">
      <c r="A317" t="inlineStr">
        <is>
          <t>A 25897-2024</t>
        </is>
      </c>
      <c r="B317" s="1" t="n">
        <v>45467</v>
      </c>
      <c r="C317" s="1" t="n">
        <v>46202</v>
      </c>
      <c r="D317" t="inlineStr">
        <is>
          <t>VÄSTMANLANDS LÄN</t>
        </is>
      </c>
      <c r="E317" t="inlineStr">
        <is>
          <t>SALA</t>
        </is>
      </c>
      <c r="G317" t="n">
        <v>9.9</v>
      </c>
      <c r="H317" t="n">
        <v>0</v>
      </c>
      <c r="I317" t="n">
        <v>0</v>
      </c>
      <c r="J317" t="n">
        <v>0</v>
      </c>
      <c r="K317" t="n">
        <v>0</v>
      </c>
      <c r="L317" t="n">
        <v>0</v>
      </c>
      <c r="M317" t="n">
        <v>0</v>
      </c>
      <c r="N317" t="n">
        <v>0</v>
      </c>
      <c r="O317" t="n">
        <v>0</v>
      </c>
      <c r="P317" t="n">
        <v>0</v>
      </c>
      <c r="Q317" t="n">
        <v>0</v>
      </c>
      <c r="R317" s="2" t="inlineStr"/>
    </row>
    <row r="318" ht="15" customHeight="1">
      <c r="A318" t="inlineStr">
        <is>
          <t>A 62651-2022</t>
        </is>
      </c>
      <c r="B318" s="1" t="n">
        <v>44917</v>
      </c>
      <c r="C318" s="1" t="n">
        <v>46202</v>
      </c>
      <c r="D318" t="inlineStr">
        <is>
          <t>VÄSTMANLANDS LÄN</t>
        </is>
      </c>
      <c r="E318" t="inlineStr">
        <is>
          <t>SALA</t>
        </is>
      </c>
      <c r="G318" t="n">
        <v>0.4</v>
      </c>
      <c r="H318" t="n">
        <v>0</v>
      </c>
      <c r="I318" t="n">
        <v>0</v>
      </c>
      <c r="J318" t="n">
        <v>0</v>
      </c>
      <c r="K318" t="n">
        <v>0</v>
      </c>
      <c r="L318" t="n">
        <v>0</v>
      </c>
      <c r="M318" t="n">
        <v>0</v>
      </c>
      <c r="N318" t="n">
        <v>0</v>
      </c>
      <c r="O318" t="n">
        <v>0</v>
      </c>
      <c r="P318" t="n">
        <v>0</v>
      </c>
      <c r="Q318" t="n">
        <v>0</v>
      </c>
      <c r="R318" s="2" t="inlineStr"/>
    </row>
    <row r="319" ht="15" customHeight="1">
      <c r="A319" t="inlineStr">
        <is>
          <t>A 15968-2024</t>
        </is>
      </c>
      <c r="B319" s="1" t="n">
        <v>45405</v>
      </c>
      <c r="C319" s="1" t="n">
        <v>46202</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57371-2022</t>
        </is>
      </c>
      <c r="B320" s="1" t="n">
        <v>44896</v>
      </c>
      <c r="C320" s="1" t="n">
        <v>46202</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60730-2023</t>
        </is>
      </c>
      <c r="B321" s="1" t="n">
        <v>45260</v>
      </c>
      <c r="C321" s="1" t="n">
        <v>46202</v>
      </c>
      <c r="D321" t="inlineStr">
        <is>
          <t>VÄSTMANLANDS LÄN</t>
        </is>
      </c>
      <c r="E321" t="inlineStr">
        <is>
          <t>SALA</t>
        </is>
      </c>
      <c r="G321" t="n">
        <v>1.3</v>
      </c>
      <c r="H321" t="n">
        <v>0</v>
      </c>
      <c r="I321" t="n">
        <v>0</v>
      </c>
      <c r="J321" t="n">
        <v>0</v>
      </c>
      <c r="K321" t="n">
        <v>0</v>
      </c>
      <c r="L321" t="n">
        <v>0</v>
      </c>
      <c r="M321" t="n">
        <v>0</v>
      </c>
      <c r="N321" t="n">
        <v>0</v>
      </c>
      <c r="O321" t="n">
        <v>0</v>
      </c>
      <c r="P321" t="n">
        <v>0</v>
      </c>
      <c r="Q321" t="n">
        <v>0</v>
      </c>
      <c r="R321" s="2" t="inlineStr"/>
    </row>
    <row r="322" ht="15" customHeight="1">
      <c r="A322" t="inlineStr">
        <is>
          <t>A 60731-2023</t>
        </is>
      </c>
      <c r="B322" s="1" t="n">
        <v>45260</v>
      </c>
      <c r="C322" s="1" t="n">
        <v>46202</v>
      </c>
      <c r="D322" t="inlineStr">
        <is>
          <t>VÄSTMANLANDS LÄN</t>
        </is>
      </c>
      <c r="E322" t="inlineStr">
        <is>
          <t>SALA</t>
        </is>
      </c>
      <c r="G322" t="n">
        <v>1</v>
      </c>
      <c r="H322" t="n">
        <v>0</v>
      </c>
      <c r="I322" t="n">
        <v>0</v>
      </c>
      <c r="J322" t="n">
        <v>0</v>
      </c>
      <c r="K322" t="n">
        <v>0</v>
      </c>
      <c r="L322" t="n">
        <v>0</v>
      </c>
      <c r="M322" t="n">
        <v>0</v>
      </c>
      <c r="N322" t="n">
        <v>0</v>
      </c>
      <c r="O322" t="n">
        <v>0</v>
      </c>
      <c r="P322" t="n">
        <v>0</v>
      </c>
      <c r="Q322" t="n">
        <v>0</v>
      </c>
      <c r="R322" s="2" t="inlineStr"/>
    </row>
    <row r="323" ht="15" customHeight="1">
      <c r="A323" t="inlineStr">
        <is>
          <t>A 18461-2024</t>
        </is>
      </c>
      <c r="B323" s="1" t="n">
        <v>45425</v>
      </c>
      <c r="C323" s="1" t="n">
        <v>46202</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4663-2022</t>
        </is>
      </c>
      <c r="B324" s="1" t="n">
        <v>44592</v>
      </c>
      <c r="C324" s="1" t="n">
        <v>46202</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57883-2024</t>
        </is>
      </c>
      <c r="B325" s="1" t="n">
        <v>45630</v>
      </c>
      <c r="C325" s="1" t="n">
        <v>46202</v>
      </c>
      <c r="D325" t="inlineStr">
        <is>
          <t>VÄSTMANLANDS LÄN</t>
        </is>
      </c>
      <c r="E325" t="inlineStr">
        <is>
          <t>SALA</t>
        </is>
      </c>
      <c r="G325" t="n">
        <v>5.4</v>
      </c>
      <c r="H325" t="n">
        <v>0</v>
      </c>
      <c r="I325" t="n">
        <v>0</v>
      </c>
      <c r="J325" t="n">
        <v>0</v>
      </c>
      <c r="K325" t="n">
        <v>0</v>
      </c>
      <c r="L325" t="n">
        <v>0</v>
      </c>
      <c r="M325" t="n">
        <v>0</v>
      </c>
      <c r="N325" t="n">
        <v>0</v>
      </c>
      <c r="O325" t="n">
        <v>0</v>
      </c>
      <c r="P325" t="n">
        <v>0</v>
      </c>
      <c r="Q325" t="n">
        <v>0</v>
      </c>
      <c r="R325" s="2" t="inlineStr"/>
    </row>
    <row r="326" ht="15" customHeight="1">
      <c r="A326" t="inlineStr">
        <is>
          <t>A 19803-2024</t>
        </is>
      </c>
      <c r="B326" s="1" t="n">
        <v>45432</v>
      </c>
      <c r="C326" s="1" t="n">
        <v>46202</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18877-2023</t>
        </is>
      </c>
      <c r="B327" s="1" t="n">
        <v>45044</v>
      </c>
      <c r="C327" s="1" t="n">
        <v>46202</v>
      </c>
      <c r="D327" t="inlineStr">
        <is>
          <t>VÄSTMANLANDS LÄN</t>
        </is>
      </c>
      <c r="E327" t="inlineStr">
        <is>
          <t>SALA</t>
        </is>
      </c>
      <c r="F327" t="inlineStr">
        <is>
          <t>Kommuner</t>
        </is>
      </c>
      <c r="G327" t="n">
        <v>4.4</v>
      </c>
      <c r="H327" t="n">
        <v>0</v>
      </c>
      <c r="I327" t="n">
        <v>0</v>
      </c>
      <c r="J327" t="n">
        <v>0</v>
      </c>
      <c r="K327" t="n">
        <v>0</v>
      </c>
      <c r="L327" t="n">
        <v>0</v>
      </c>
      <c r="M327" t="n">
        <v>0</v>
      </c>
      <c r="N327" t="n">
        <v>0</v>
      </c>
      <c r="O327" t="n">
        <v>0</v>
      </c>
      <c r="P327" t="n">
        <v>0</v>
      </c>
      <c r="Q327" t="n">
        <v>0</v>
      </c>
      <c r="R327" s="2" t="inlineStr"/>
    </row>
    <row r="328" ht="15" customHeight="1">
      <c r="A328" t="inlineStr">
        <is>
          <t>A 21053-2022</t>
        </is>
      </c>
      <c r="B328" s="1" t="n">
        <v>44704</v>
      </c>
      <c r="C328" s="1" t="n">
        <v>46202</v>
      </c>
      <c r="D328" t="inlineStr">
        <is>
          <t>VÄSTMANLANDS LÄN</t>
        </is>
      </c>
      <c r="E328" t="inlineStr">
        <is>
          <t>SALA</t>
        </is>
      </c>
      <c r="G328" t="n">
        <v>2</v>
      </c>
      <c r="H328" t="n">
        <v>0</v>
      </c>
      <c r="I328" t="n">
        <v>0</v>
      </c>
      <c r="J328" t="n">
        <v>0</v>
      </c>
      <c r="K328" t="n">
        <v>0</v>
      </c>
      <c r="L328" t="n">
        <v>0</v>
      </c>
      <c r="M328" t="n">
        <v>0</v>
      </c>
      <c r="N328" t="n">
        <v>0</v>
      </c>
      <c r="O328" t="n">
        <v>0</v>
      </c>
      <c r="P328" t="n">
        <v>0</v>
      </c>
      <c r="Q328" t="n">
        <v>0</v>
      </c>
      <c r="R328" s="2" t="inlineStr"/>
    </row>
    <row r="329" ht="15" customHeight="1">
      <c r="A329" t="inlineStr">
        <is>
          <t>A 44544-2024</t>
        </is>
      </c>
      <c r="B329" s="1" t="n">
        <v>45574</v>
      </c>
      <c r="C329" s="1" t="n">
        <v>46202</v>
      </c>
      <c r="D329" t="inlineStr">
        <is>
          <t>VÄSTMANLANDS LÄN</t>
        </is>
      </c>
      <c r="E329" t="inlineStr">
        <is>
          <t>SALA</t>
        </is>
      </c>
      <c r="G329" t="n">
        <v>3.3</v>
      </c>
      <c r="H329" t="n">
        <v>0</v>
      </c>
      <c r="I329" t="n">
        <v>0</v>
      </c>
      <c r="J329" t="n">
        <v>0</v>
      </c>
      <c r="K329" t="n">
        <v>0</v>
      </c>
      <c r="L329" t="n">
        <v>0</v>
      </c>
      <c r="M329" t="n">
        <v>0</v>
      </c>
      <c r="N329" t="n">
        <v>0</v>
      </c>
      <c r="O329" t="n">
        <v>0</v>
      </c>
      <c r="P329" t="n">
        <v>0</v>
      </c>
      <c r="Q329" t="n">
        <v>0</v>
      </c>
      <c r="R329" s="2" t="inlineStr"/>
    </row>
    <row r="330" ht="15" customHeight="1">
      <c r="A330" t="inlineStr">
        <is>
          <t>A 60379-2022</t>
        </is>
      </c>
      <c r="B330" s="1" t="n">
        <v>44910</v>
      </c>
      <c r="C330" s="1" t="n">
        <v>46202</v>
      </c>
      <c r="D330" t="inlineStr">
        <is>
          <t>VÄSTMANLANDS LÄN</t>
        </is>
      </c>
      <c r="E330" t="inlineStr">
        <is>
          <t>SALA</t>
        </is>
      </c>
      <c r="F330" t="inlineStr">
        <is>
          <t>Kyrkan</t>
        </is>
      </c>
      <c r="G330" t="n">
        <v>2.5</v>
      </c>
      <c r="H330" t="n">
        <v>0</v>
      </c>
      <c r="I330" t="n">
        <v>0</v>
      </c>
      <c r="J330" t="n">
        <v>0</v>
      </c>
      <c r="K330" t="n">
        <v>0</v>
      </c>
      <c r="L330" t="n">
        <v>0</v>
      </c>
      <c r="M330" t="n">
        <v>0</v>
      </c>
      <c r="N330" t="n">
        <v>0</v>
      </c>
      <c r="O330" t="n">
        <v>0</v>
      </c>
      <c r="P330" t="n">
        <v>0</v>
      </c>
      <c r="Q330" t="n">
        <v>0</v>
      </c>
      <c r="R330" s="2" t="inlineStr"/>
    </row>
    <row r="331" ht="15" customHeight="1">
      <c r="A331" t="inlineStr">
        <is>
          <t>A 56547-2022</t>
        </is>
      </c>
      <c r="B331" s="1" t="n">
        <v>44893</v>
      </c>
      <c r="C331" s="1" t="n">
        <v>46202</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29542-2023</t>
        </is>
      </c>
      <c r="B332" s="1" t="n">
        <v>45098</v>
      </c>
      <c r="C332" s="1" t="n">
        <v>46202</v>
      </c>
      <c r="D332" t="inlineStr">
        <is>
          <t>VÄSTMANLANDS LÄN</t>
        </is>
      </c>
      <c r="E332" t="inlineStr">
        <is>
          <t>SALA</t>
        </is>
      </c>
      <c r="G332" t="n">
        <v>4.8</v>
      </c>
      <c r="H332" t="n">
        <v>0</v>
      </c>
      <c r="I332" t="n">
        <v>0</v>
      </c>
      <c r="J332" t="n">
        <v>0</v>
      </c>
      <c r="K332" t="n">
        <v>0</v>
      </c>
      <c r="L332" t="n">
        <v>0</v>
      </c>
      <c r="M332" t="n">
        <v>0</v>
      </c>
      <c r="N332" t="n">
        <v>0</v>
      </c>
      <c r="O332" t="n">
        <v>0</v>
      </c>
      <c r="P332" t="n">
        <v>0</v>
      </c>
      <c r="Q332" t="n">
        <v>0</v>
      </c>
      <c r="R332" s="2" t="inlineStr"/>
    </row>
    <row r="333" ht="15" customHeight="1">
      <c r="A333" t="inlineStr">
        <is>
          <t>A 16638-2023</t>
        </is>
      </c>
      <c r="B333" s="1" t="n">
        <v>45027</v>
      </c>
      <c r="C333" s="1" t="n">
        <v>46202</v>
      </c>
      <c r="D333" t="inlineStr">
        <is>
          <t>VÄSTMANLANDS LÄN</t>
        </is>
      </c>
      <c r="E333" t="inlineStr">
        <is>
          <t>SALA</t>
        </is>
      </c>
      <c r="G333" t="n">
        <v>14.8</v>
      </c>
      <c r="H333" t="n">
        <v>0</v>
      </c>
      <c r="I333" t="n">
        <v>0</v>
      </c>
      <c r="J333" t="n">
        <v>0</v>
      </c>
      <c r="K333" t="n">
        <v>0</v>
      </c>
      <c r="L333" t="n">
        <v>0</v>
      </c>
      <c r="M333" t="n">
        <v>0</v>
      </c>
      <c r="N333" t="n">
        <v>0</v>
      </c>
      <c r="O333" t="n">
        <v>0</v>
      </c>
      <c r="P333" t="n">
        <v>0</v>
      </c>
      <c r="Q333" t="n">
        <v>0</v>
      </c>
      <c r="R333" s="2" t="inlineStr"/>
    </row>
    <row r="334" ht="15" customHeight="1">
      <c r="A334" t="inlineStr">
        <is>
          <t>A 37190-2024</t>
        </is>
      </c>
      <c r="B334" s="1" t="n">
        <v>45539</v>
      </c>
      <c r="C334" s="1" t="n">
        <v>46202</v>
      </c>
      <c r="D334" t="inlineStr">
        <is>
          <t>VÄSTMANLANDS LÄN</t>
        </is>
      </c>
      <c r="E334" t="inlineStr">
        <is>
          <t>SALA</t>
        </is>
      </c>
      <c r="G334" t="n">
        <v>0.9</v>
      </c>
      <c r="H334" t="n">
        <v>0</v>
      </c>
      <c r="I334" t="n">
        <v>0</v>
      </c>
      <c r="J334" t="n">
        <v>0</v>
      </c>
      <c r="K334" t="n">
        <v>0</v>
      </c>
      <c r="L334" t="n">
        <v>0</v>
      </c>
      <c r="M334" t="n">
        <v>0</v>
      </c>
      <c r="N334" t="n">
        <v>0</v>
      </c>
      <c r="O334" t="n">
        <v>0</v>
      </c>
      <c r="P334" t="n">
        <v>0</v>
      </c>
      <c r="Q334" t="n">
        <v>0</v>
      </c>
      <c r="R334" s="2" t="inlineStr"/>
    </row>
    <row r="335" ht="15" customHeight="1">
      <c r="A335" t="inlineStr">
        <is>
          <t>A 40597-2022</t>
        </is>
      </c>
      <c r="B335" s="1" t="n">
        <v>44823</v>
      </c>
      <c r="C335" s="1" t="n">
        <v>46202</v>
      </c>
      <c r="D335" t="inlineStr">
        <is>
          <t>VÄSTMANLANDS LÄN</t>
        </is>
      </c>
      <c r="E335" t="inlineStr">
        <is>
          <t>SALA</t>
        </is>
      </c>
      <c r="G335" t="n">
        <v>3.5</v>
      </c>
      <c r="H335" t="n">
        <v>0</v>
      </c>
      <c r="I335" t="n">
        <v>0</v>
      </c>
      <c r="J335" t="n">
        <v>0</v>
      </c>
      <c r="K335" t="n">
        <v>0</v>
      </c>
      <c r="L335" t="n">
        <v>0</v>
      </c>
      <c r="M335" t="n">
        <v>0</v>
      </c>
      <c r="N335" t="n">
        <v>0</v>
      </c>
      <c r="O335" t="n">
        <v>0</v>
      </c>
      <c r="P335" t="n">
        <v>0</v>
      </c>
      <c r="Q335" t="n">
        <v>0</v>
      </c>
      <c r="R335" s="2" t="inlineStr"/>
    </row>
    <row r="336" ht="15" customHeight="1">
      <c r="A336" t="inlineStr">
        <is>
          <t>A 11927-2025</t>
        </is>
      </c>
      <c r="B336" s="1" t="n">
        <v>45728</v>
      </c>
      <c r="C336" s="1" t="n">
        <v>46202</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2766-2024</t>
        </is>
      </c>
      <c r="B337" s="1" t="n">
        <v>45314</v>
      </c>
      <c r="C337" s="1" t="n">
        <v>46202</v>
      </c>
      <c r="D337" t="inlineStr">
        <is>
          <t>VÄSTMANLANDS LÄN</t>
        </is>
      </c>
      <c r="E337" t="inlineStr">
        <is>
          <t>SALA</t>
        </is>
      </c>
      <c r="G337" t="n">
        <v>2.8</v>
      </c>
      <c r="H337" t="n">
        <v>0</v>
      </c>
      <c r="I337" t="n">
        <v>0</v>
      </c>
      <c r="J337" t="n">
        <v>0</v>
      </c>
      <c r="K337" t="n">
        <v>0</v>
      </c>
      <c r="L337" t="n">
        <v>0</v>
      </c>
      <c r="M337" t="n">
        <v>0</v>
      </c>
      <c r="N337" t="n">
        <v>0</v>
      </c>
      <c r="O337" t="n">
        <v>0</v>
      </c>
      <c r="P337" t="n">
        <v>0</v>
      </c>
      <c r="Q337" t="n">
        <v>0</v>
      </c>
      <c r="R337" s="2" t="inlineStr"/>
    </row>
    <row r="338" ht="15" customHeight="1">
      <c r="A338" t="inlineStr">
        <is>
          <t>A 50876-2023</t>
        </is>
      </c>
      <c r="B338" s="1" t="n">
        <v>45211</v>
      </c>
      <c r="C338" s="1" t="n">
        <v>46202</v>
      </c>
      <c r="D338" t="inlineStr">
        <is>
          <t>VÄSTMANLANDS LÄN</t>
        </is>
      </c>
      <c r="E338" t="inlineStr">
        <is>
          <t>SALA</t>
        </is>
      </c>
      <c r="G338" t="n">
        <v>1.9</v>
      </c>
      <c r="H338" t="n">
        <v>0</v>
      </c>
      <c r="I338" t="n">
        <v>0</v>
      </c>
      <c r="J338" t="n">
        <v>0</v>
      </c>
      <c r="K338" t="n">
        <v>0</v>
      </c>
      <c r="L338" t="n">
        <v>0</v>
      </c>
      <c r="M338" t="n">
        <v>0</v>
      </c>
      <c r="N338" t="n">
        <v>0</v>
      </c>
      <c r="O338" t="n">
        <v>0</v>
      </c>
      <c r="P338" t="n">
        <v>0</v>
      </c>
      <c r="Q338" t="n">
        <v>0</v>
      </c>
      <c r="R338" s="2" t="inlineStr"/>
    </row>
    <row r="339" ht="15" customHeight="1">
      <c r="A339" t="inlineStr">
        <is>
          <t>A 10255-2024</t>
        </is>
      </c>
      <c r="B339" s="1" t="n">
        <v>45365</v>
      </c>
      <c r="C339" s="1" t="n">
        <v>46202</v>
      </c>
      <c r="D339" t="inlineStr">
        <is>
          <t>VÄSTMANLANDS LÄN</t>
        </is>
      </c>
      <c r="E339" t="inlineStr">
        <is>
          <t>SALA</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45187-2024</t>
        </is>
      </c>
      <c r="B340" s="1" t="n">
        <v>45575</v>
      </c>
      <c r="C340" s="1" t="n">
        <v>46202</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64925-2023</t>
        </is>
      </c>
      <c r="B341" s="1" t="n">
        <v>45282</v>
      </c>
      <c r="C341" s="1" t="n">
        <v>46202</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23222-2023</t>
        </is>
      </c>
      <c r="B342" s="1" t="n">
        <v>45075</v>
      </c>
      <c r="C342" s="1" t="n">
        <v>46202</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33527-2023</t>
        </is>
      </c>
      <c r="B343" s="1" t="n">
        <v>45131</v>
      </c>
      <c r="C343" s="1" t="n">
        <v>46202</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7377-2023</t>
        </is>
      </c>
      <c r="B344" s="1" t="n">
        <v>44971</v>
      </c>
      <c r="C344" s="1" t="n">
        <v>46202</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21159-2022</t>
        </is>
      </c>
      <c r="B345" s="1" t="n">
        <v>44704</v>
      </c>
      <c r="C345" s="1" t="n">
        <v>46202</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62648-2022</t>
        </is>
      </c>
      <c r="B346" s="1" t="n">
        <v>44917</v>
      </c>
      <c r="C346" s="1" t="n">
        <v>46202</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68864-2021</t>
        </is>
      </c>
      <c r="B347" s="1" t="n">
        <v>44530</v>
      </c>
      <c r="C347" s="1" t="n">
        <v>46202</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5477-2024</t>
        </is>
      </c>
      <c r="B348" s="1" t="n">
        <v>45333</v>
      </c>
      <c r="C348" s="1" t="n">
        <v>46202</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19065-2022</t>
        </is>
      </c>
      <c r="B349" s="1" t="n">
        <v>44691</v>
      </c>
      <c r="C349" s="1" t="n">
        <v>46202</v>
      </c>
      <c r="D349" t="inlineStr">
        <is>
          <t>VÄSTMANLANDS LÄN</t>
        </is>
      </c>
      <c r="E349" t="inlineStr">
        <is>
          <t>SALA</t>
        </is>
      </c>
      <c r="G349" t="n">
        <v>3.4</v>
      </c>
      <c r="H349" t="n">
        <v>0</v>
      </c>
      <c r="I349" t="n">
        <v>0</v>
      </c>
      <c r="J349" t="n">
        <v>0</v>
      </c>
      <c r="K349" t="n">
        <v>0</v>
      </c>
      <c r="L349" t="n">
        <v>0</v>
      </c>
      <c r="M349" t="n">
        <v>0</v>
      </c>
      <c r="N349" t="n">
        <v>0</v>
      </c>
      <c r="O349" t="n">
        <v>0</v>
      </c>
      <c r="P349" t="n">
        <v>0</v>
      </c>
      <c r="Q349" t="n">
        <v>0</v>
      </c>
      <c r="R349" s="2" t="inlineStr"/>
    </row>
    <row r="350" ht="15" customHeight="1">
      <c r="A350" t="inlineStr">
        <is>
          <t>A 39451-2022</t>
        </is>
      </c>
      <c r="B350" s="1" t="n">
        <v>44818</v>
      </c>
      <c r="C350" s="1" t="n">
        <v>46202</v>
      </c>
      <c r="D350" t="inlineStr">
        <is>
          <t>VÄSTMANLANDS LÄN</t>
        </is>
      </c>
      <c r="E350" t="inlineStr">
        <is>
          <t>SALA</t>
        </is>
      </c>
      <c r="G350" t="n">
        <v>9.4</v>
      </c>
      <c r="H350" t="n">
        <v>0</v>
      </c>
      <c r="I350" t="n">
        <v>0</v>
      </c>
      <c r="J350" t="n">
        <v>0</v>
      </c>
      <c r="K350" t="n">
        <v>0</v>
      </c>
      <c r="L350" t="n">
        <v>0</v>
      </c>
      <c r="M350" t="n">
        <v>0</v>
      </c>
      <c r="N350" t="n">
        <v>0</v>
      </c>
      <c r="O350" t="n">
        <v>0</v>
      </c>
      <c r="P350" t="n">
        <v>0</v>
      </c>
      <c r="Q350" t="n">
        <v>0</v>
      </c>
      <c r="R350" s="2" t="inlineStr"/>
    </row>
    <row r="351" ht="15" customHeight="1">
      <c r="A351" t="inlineStr">
        <is>
          <t>A 7772-2023</t>
        </is>
      </c>
      <c r="B351" s="1" t="n">
        <v>44973</v>
      </c>
      <c r="C351" s="1" t="n">
        <v>46202</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37602-2024</t>
        </is>
      </c>
      <c r="B352" s="1" t="n">
        <v>45541</v>
      </c>
      <c r="C352" s="1" t="n">
        <v>46202</v>
      </c>
      <c r="D352" t="inlineStr">
        <is>
          <t>VÄSTMANLANDS LÄN</t>
        </is>
      </c>
      <c r="E352" t="inlineStr">
        <is>
          <t>SALA</t>
        </is>
      </c>
      <c r="G352" t="n">
        <v>1.5</v>
      </c>
      <c r="H352" t="n">
        <v>0</v>
      </c>
      <c r="I352" t="n">
        <v>0</v>
      </c>
      <c r="J352" t="n">
        <v>0</v>
      </c>
      <c r="K352" t="n">
        <v>0</v>
      </c>
      <c r="L352" t="n">
        <v>0</v>
      </c>
      <c r="M352" t="n">
        <v>0</v>
      </c>
      <c r="N352" t="n">
        <v>0</v>
      </c>
      <c r="O352" t="n">
        <v>0</v>
      </c>
      <c r="P352" t="n">
        <v>0</v>
      </c>
      <c r="Q352" t="n">
        <v>0</v>
      </c>
      <c r="R352" s="2" t="inlineStr"/>
    </row>
    <row r="353" ht="15" customHeight="1">
      <c r="A353" t="inlineStr">
        <is>
          <t>A 28284-2025</t>
        </is>
      </c>
      <c r="B353" s="1" t="n">
        <v>45818</v>
      </c>
      <c r="C353" s="1" t="n">
        <v>46202</v>
      </c>
      <c r="D353" t="inlineStr">
        <is>
          <t>VÄSTMANLANDS LÄN</t>
        </is>
      </c>
      <c r="E353" t="inlineStr">
        <is>
          <t>SALA</t>
        </is>
      </c>
      <c r="G353" t="n">
        <v>2.4</v>
      </c>
      <c r="H353" t="n">
        <v>0</v>
      </c>
      <c r="I353" t="n">
        <v>0</v>
      </c>
      <c r="J353" t="n">
        <v>0</v>
      </c>
      <c r="K353" t="n">
        <v>0</v>
      </c>
      <c r="L353" t="n">
        <v>0</v>
      </c>
      <c r="M353" t="n">
        <v>0</v>
      </c>
      <c r="N353" t="n">
        <v>0</v>
      </c>
      <c r="O353" t="n">
        <v>0</v>
      </c>
      <c r="P353" t="n">
        <v>0</v>
      </c>
      <c r="Q353" t="n">
        <v>0</v>
      </c>
      <c r="R353" s="2" t="inlineStr"/>
    </row>
    <row r="354" ht="15" customHeight="1">
      <c r="A354" t="inlineStr">
        <is>
          <t>A 16159-2024</t>
        </is>
      </c>
      <c r="B354" s="1" t="n">
        <v>45406</v>
      </c>
      <c r="C354" s="1" t="n">
        <v>46202</v>
      </c>
      <c r="D354" t="inlineStr">
        <is>
          <t>VÄSTMANLANDS LÄN</t>
        </is>
      </c>
      <c r="E354" t="inlineStr">
        <is>
          <t>SALA</t>
        </is>
      </c>
      <c r="G354" t="n">
        <v>0.4</v>
      </c>
      <c r="H354" t="n">
        <v>0</v>
      </c>
      <c r="I354" t="n">
        <v>0</v>
      </c>
      <c r="J354" t="n">
        <v>0</v>
      </c>
      <c r="K354" t="n">
        <v>0</v>
      </c>
      <c r="L354" t="n">
        <v>0</v>
      </c>
      <c r="M354" t="n">
        <v>0</v>
      </c>
      <c r="N354" t="n">
        <v>0</v>
      </c>
      <c r="O354" t="n">
        <v>0</v>
      </c>
      <c r="P354" t="n">
        <v>0</v>
      </c>
      <c r="Q354" t="n">
        <v>0</v>
      </c>
      <c r="R354" s="2" t="inlineStr"/>
    </row>
    <row r="355" ht="15" customHeight="1">
      <c r="A355" t="inlineStr">
        <is>
          <t>A 18762-2024</t>
        </is>
      </c>
      <c r="B355" s="1" t="n">
        <v>45426</v>
      </c>
      <c r="C355" s="1" t="n">
        <v>46202</v>
      </c>
      <c r="D355" t="inlineStr">
        <is>
          <t>VÄSTMANLANDS LÄN</t>
        </is>
      </c>
      <c r="E355" t="inlineStr">
        <is>
          <t>SALA</t>
        </is>
      </c>
      <c r="G355" t="n">
        <v>6.2</v>
      </c>
      <c r="H355" t="n">
        <v>0</v>
      </c>
      <c r="I355" t="n">
        <v>0</v>
      </c>
      <c r="J355" t="n">
        <v>0</v>
      </c>
      <c r="K355" t="n">
        <v>0</v>
      </c>
      <c r="L355" t="n">
        <v>0</v>
      </c>
      <c r="M355" t="n">
        <v>0</v>
      </c>
      <c r="N355" t="n">
        <v>0</v>
      </c>
      <c r="O355" t="n">
        <v>0</v>
      </c>
      <c r="P355" t="n">
        <v>0</v>
      </c>
      <c r="Q355" t="n">
        <v>0</v>
      </c>
      <c r="R355" s="2" t="inlineStr"/>
    </row>
    <row r="356" ht="15" customHeight="1">
      <c r="A356" t="inlineStr">
        <is>
          <t>A 19751-2022</t>
        </is>
      </c>
      <c r="B356" s="1" t="n">
        <v>44694</v>
      </c>
      <c r="C356" s="1" t="n">
        <v>46202</v>
      </c>
      <c r="D356" t="inlineStr">
        <is>
          <t>VÄSTMANLANDS LÄN</t>
        </is>
      </c>
      <c r="E356" t="inlineStr">
        <is>
          <t>SALA</t>
        </is>
      </c>
      <c r="G356" t="n">
        <v>2.7</v>
      </c>
      <c r="H356" t="n">
        <v>0</v>
      </c>
      <c r="I356" t="n">
        <v>0</v>
      </c>
      <c r="J356" t="n">
        <v>0</v>
      </c>
      <c r="K356" t="n">
        <v>0</v>
      </c>
      <c r="L356" t="n">
        <v>0</v>
      </c>
      <c r="M356" t="n">
        <v>0</v>
      </c>
      <c r="N356" t="n">
        <v>0</v>
      </c>
      <c r="O356" t="n">
        <v>0</v>
      </c>
      <c r="P356" t="n">
        <v>0</v>
      </c>
      <c r="Q356" t="n">
        <v>0</v>
      </c>
      <c r="R356" s="2" t="inlineStr"/>
    </row>
    <row r="357" ht="15" customHeight="1">
      <c r="A357" t="inlineStr">
        <is>
          <t>A 66307-2021</t>
        </is>
      </c>
      <c r="B357" s="1" t="n">
        <v>44518</v>
      </c>
      <c r="C357" s="1" t="n">
        <v>46202</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39011-2023</t>
        </is>
      </c>
      <c r="B358" s="1" t="n">
        <v>45162</v>
      </c>
      <c r="C358" s="1" t="n">
        <v>46202</v>
      </c>
      <c r="D358" t="inlineStr">
        <is>
          <t>VÄSTMANLANDS LÄN</t>
        </is>
      </c>
      <c r="E358" t="inlineStr">
        <is>
          <t>SALA</t>
        </is>
      </c>
      <c r="G358" t="n">
        <v>1.6</v>
      </c>
      <c r="H358" t="n">
        <v>0</v>
      </c>
      <c r="I358" t="n">
        <v>0</v>
      </c>
      <c r="J358" t="n">
        <v>0</v>
      </c>
      <c r="K358" t="n">
        <v>0</v>
      </c>
      <c r="L358" t="n">
        <v>0</v>
      </c>
      <c r="M358" t="n">
        <v>0</v>
      </c>
      <c r="N358" t="n">
        <v>0</v>
      </c>
      <c r="O358" t="n">
        <v>0</v>
      </c>
      <c r="P358" t="n">
        <v>0</v>
      </c>
      <c r="Q358" t="n">
        <v>0</v>
      </c>
      <c r="R358" s="2" t="inlineStr"/>
    </row>
    <row r="359" ht="15" customHeight="1">
      <c r="A359" t="inlineStr">
        <is>
          <t>A 44713-2023</t>
        </is>
      </c>
      <c r="B359" s="1" t="n">
        <v>45184</v>
      </c>
      <c r="C359" s="1" t="n">
        <v>46202</v>
      </c>
      <c r="D359" t="inlineStr">
        <is>
          <t>VÄSTMANLANDS LÄN</t>
        </is>
      </c>
      <c r="E359" t="inlineStr">
        <is>
          <t>SALA</t>
        </is>
      </c>
      <c r="F359" t="inlineStr">
        <is>
          <t>Kyrkan</t>
        </is>
      </c>
      <c r="G359" t="n">
        <v>7.6</v>
      </c>
      <c r="H359" t="n">
        <v>0</v>
      </c>
      <c r="I359" t="n">
        <v>0</v>
      </c>
      <c r="J359" t="n">
        <v>0</v>
      </c>
      <c r="K359" t="n">
        <v>0</v>
      </c>
      <c r="L359" t="n">
        <v>0</v>
      </c>
      <c r="M359" t="n">
        <v>0</v>
      </c>
      <c r="N359" t="n">
        <v>0</v>
      </c>
      <c r="O359" t="n">
        <v>0</v>
      </c>
      <c r="P359" t="n">
        <v>0</v>
      </c>
      <c r="Q359" t="n">
        <v>0</v>
      </c>
      <c r="R359" s="2" t="inlineStr"/>
    </row>
    <row r="360" ht="15" customHeight="1">
      <c r="A360" t="inlineStr">
        <is>
          <t>A 29085-2025</t>
        </is>
      </c>
      <c r="B360" s="1" t="n">
        <v>45821</v>
      </c>
      <c r="C360" s="1" t="n">
        <v>46202</v>
      </c>
      <c r="D360" t="inlineStr">
        <is>
          <t>VÄSTMANLANDS LÄN</t>
        </is>
      </c>
      <c r="E360" t="inlineStr">
        <is>
          <t>SALA</t>
        </is>
      </c>
      <c r="G360" t="n">
        <v>3.5</v>
      </c>
      <c r="H360" t="n">
        <v>0</v>
      </c>
      <c r="I360" t="n">
        <v>0</v>
      </c>
      <c r="J360" t="n">
        <v>0</v>
      </c>
      <c r="K360" t="n">
        <v>0</v>
      </c>
      <c r="L360" t="n">
        <v>0</v>
      </c>
      <c r="M360" t="n">
        <v>0</v>
      </c>
      <c r="N360" t="n">
        <v>0</v>
      </c>
      <c r="O360" t="n">
        <v>0</v>
      </c>
      <c r="P360" t="n">
        <v>0</v>
      </c>
      <c r="Q360" t="n">
        <v>0</v>
      </c>
      <c r="R360" s="2" t="inlineStr"/>
    </row>
    <row r="361" ht="15" customHeight="1">
      <c r="A361" t="inlineStr">
        <is>
          <t>A 27262-2024</t>
        </is>
      </c>
      <c r="B361" s="1" t="n">
        <v>45471</v>
      </c>
      <c r="C361" s="1" t="n">
        <v>46202</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10913-2025</t>
        </is>
      </c>
      <c r="B362" s="1" t="n">
        <v>45722</v>
      </c>
      <c r="C362" s="1" t="n">
        <v>46202</v>
      </c>
      <c r="D362" t="inlineStr">
        <is>
          <t>VÄSTMANLANDS LÄN</t>
        </is>
      </c>
      <c r="E362" t="inlineStr">
        <is>
          <t>SALA</t>
        </is>
      </c>
      <c r="G362" t="n">
        <v>7.6</v>
      </c>
      <c r="H362" t="n">
        <v>0</v>
      </c>
      <c r="I362" t="n">
        <v>0</v>
      </c>
      <c r="J362" t="n">
        <v>0</v>
      </c>
      <c r="K362" t="n">
        <v>0</v>
      </c>
      <c r="L362" t="n">
        <v>0</v>
      </c>
      <c r="M362" t="n">
        <v>0</v>
      </c>
      <c r="N362" t="n">
        <v>0</v>
      </c>
      <c r="O362" t="n">
        <v>0</v>
      </c>
      <c r="P362" t="n">
        <v>0</v>
      </c>
      <c r="Q362" t="n">
        <v>0</v>
      </c>
      <c r="R362" s="2" t="inlineStr"/>
    </row>
    <row r="363" ht="15" customHeight="1">
      <c r="A363" t="inlineStr">
        <is>
          <t>A 69236-2021</t>
        </is>
      </c>
      <c r="B363" s="1" t="n">
        <v>44531</v>
      </c>
      <c r="C363" s="1" t="n">
        <v>46202</v>
      </c>
      <c r="D363" t="inlineStr">
        <is>
          <t>VÄSTMANLANDS LÄN</t>
        </is>
      </c>
      <c r="E363" t="inlineStr">
        <is>
          <t>SALA</t>
        </is>
      </c>
      <c r="G363" t="n">
        <v>2.8</v>
      </c>
      <c r="H363" t="n">
        <v>0</v>
      </c>
      <c r="I363" t="n">
        <v>0</v>
      </c>
      <c r="J363" t="n">
        <v>0</v>
      </c>
      <c r="K363" t="n">
        <v>0</v>
      </c>
      <c r="L363" t="n">
        <v>0</v>
      </c>
      <c r="M363" t="n">
        <v>0</v>
      </c>
      <c r="N363" t="n">
        <v>0</v>
      </c>
      <c r="O363" t="n">
        <v>0</v>
      </c>
      <c r="P363" t="n">
        <v>0</v>
      </c>
      <c r="Q363" t="n">
        <v>0</v>
      </c>
      <c r="R363" s="2" t="inlineStr"/>
    </row>
    <row r="364" ht="15" customHeight="1">
      <c r="A364" t="inlineStr">
        <is>
          <t>A 46352-2023</t>
        </is>
      </c>
      <c r="B364" s="1" t="n">
        <v>45192</v>
      </c>
      <c r="C364" s="1" t="n">
        <v>46202</v>
      </c>
      <c r="D364" t="inlineStr">
        <is>
          <t>VÄSTMANLANDS LÄN</t>
        </is>
      </c>
      <c r="E364" t="inlineStr">
        <is>
          <t>SALA</t>
        </is>
      </c>
      <c r="G364" t="n">
        <v>1.9</v>
      </c>
      <c r="H364" t="n">
        <v>0</v>
      </c>
      <c r="I364" t="n">
        <v>0</v>
      </c>
      <c r="J364" t="n">
        <v>0</v>
      </c>
      <c r="K364" t="n">
        <v>0</v>
      </c>
      <c r="L364" t="n">
        <v>0</v>
      </c>
      <c r="M364" t="n">
        <v>0</v>
      </c>
      <c r="N364" t="n">
        <v>0</v>
      </c>
      <c r="O364" t="n">
        <v>0</v>
      </c>
      <c r="P364" t="n">
        <v>0</v>
      </c>
      <c r="Q364" t="n">
        <v>0</v>
      </c>
      <c r="R364" s="2" t="inlineStr"/>
    </row>
    <row r="365" ht="15" customHeight="1">
      <c r="A365" t="inlineStr">
        <is>
          <t>A 60541-2024</t>
        </is>
      </c>
      <c r="B365" s="1" t="n">
        <v>45643</v>
      </c>
      <c r="C365" s="1" t="n">
        <v>46202</v>
      </c>
      <c r="D365" t="inlineStr">
        <is>
          <t>VÄSTMANLANDS LÄN</t>
        </is>
      </c>
      <c r="E365" t="inlineStr">
        <is>
          <t>SALA</t>
        </is>
      </c>
      <c r="G365" t="n">
        <v>10.6</v>
      </c>
      <c r="H365" t="n">
        <v>0</v>
      </c>
      <c r="I365" t="n">
        <v>0</v>
      </c>
      <c r="J365" t="n">
        <v>0</v>
      </c>
      <c r="K365" t="n">
        <v>0</v>
      </c>
      <c r="L365" t="n">
        <v>0</v>
      </c>
      <c r="M365" t="n">
        <v>0</v>
      </c>
      <c r="N365" t="n">
        <v>0</v>
      </c>
      <c r="O365" t="n">
        <v>0</v>
      </c>
      <c r="P365" t="n">
        <v>0</v>
      </c>
      <c r="Q365" t="n">
        <v>0</v>
      </c>
      <c r="R365" s="2" t="inlineStr"/>
    </row>
    <row r="366" ht="15" customHeight="1">
      <c r="A366" t="inlineStr">
        <is>
          <t>A 25541-2024</t>
        </is>
      </c>
      <c r="B366" s="1" t="n">
        <v>45463</v>
      </c>
      <c r="C366" s="1" t="n">
        <v>46202</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43751-2021</t>
        </is>
      </c>
      <c r="B367" s="1" t="n">
        <v>44433</v>
      </c>
      <c r="C367" s="1" t="n">
        <v>46202</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35410-2022</t>
        </is>
      </c>
      <c r="B368" s="1" t="n">
        <v>44798</v>
      </c>
      <c r="C368" s="1" t="n">
        <v>46202</v>
      </c>
      <c r="D368" t="inlineStr">
        <is>
          <t>VÄSTMANLANDS LÄN</t>
        </is>
      </c>
      <c r="E368" t="inlineStr">
        <is>
          <t>SALA</t>
        </is>
      </c>
      <c r="G368" t="n">
        <v>1.6</v>
      </c>
      <c r="H368" t="n">
        <v>0</v>
      </c>
      <c r="I368" t="n">
        <v>0</v>
      </c>
      <c r="J368" t="n">
        <v>0</v>
      </c>
      <c r="K368" t="n">
        <v>0</v>
      </c>
      <c r="L368" t="n">
        <v>0</v>
      </c>
      <c r="M368" t="n">
        <v>0</v>
      </c>
      <c r="N368" t="n">
        <v>0</v>
      </c>
      <c r="O368" t="n">
        <v>0</v>
      </c>
      <c r="P368" t="n">
        <v>0</v>
      </c>
      <c r="Q368" t="n">
        <v>0</v>
      </c>
      <c r="R368" s="2" t="inlineStr"/>
    </row>
    <row r="369" ht="15" customHeight="1">
      <c r="A369" t="inlineStr">
        <is>
          <t>A 29826-2025</t>
        </is>
      </c>
      <c r="B369" s="1" t="n">
        <v>45825</v>
      </c>
      <c r="C369" s="1" t="n">
        <v>46202</v>
      </c>
      <c r="D369" t="inlineStr">
        <is>
          <t>VÄSTMANLANDS LÄN</t>
        </is>
      </c>
      <c r="E369" t="inlineStr">
        <is>
          <t>SALA</t>
        </is>
      </c>
      <c r="G369" t="n">
        <v>1.9</v>
      </c>
      <c r="H369" t="n">
        <v>0</v>
      </c>
      <c r="I369" t="n">
        <v>0</v>
      </c>
      <c r="J369" t="n">
        <v>0</v>
      </c>
      <c r="K369" t="n">
        <v>0</v>
      </c>
      <c r="L369" t="n">
        <v>0</v>
      </c>
      <c r="M369" t="n">
        <v>0</v>
      </c>
      <c r="N369" t="n">
        <v>0</v>
      </c>
      <c r="O369" t="n">
        <v>0</v>
      </c>
      <c r="P369" t="n">
        <v>0</v>
      </c>
      <c r="Q369" t="n">
        <v>0</v>
      </c>
      <c r="R369" s="2" t="inlineStr"/>
    </row>
    <row r="370" ht="15" customHeight="1">
      <c r="A370" t="inlineStr">
        <is>
          <t>A 1128-2025</t>
        </is>
      </c>
      <c r="B370" s="1" t="n">
        <v>45666</v>
      </c>
      <c r="C370" s="1" t="n">
        <v>46202</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1118-2024</t>
        </is>
      </c>
      <c r="B371" s="1" t="n">
        <v>45302</v>
      </c>
      <c r="C371" s="1" t="n">
        <v>46202</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5728-2022</t>
        </is>
      </c>
      <c r="B372" s="1" t="n">
        <v>44596</v>
      </c>
      <c r="C372" s="1" t="n">
        <v>46202</v>
      </c>
      <c r="D372" t="inlineStr">
        <is>
          <t>VÄSTMANLANDS LÄN</t>
        </is>
      </c>
      <c r="E372" t="inlineStr">
        <is>
          <t>SALA</t>
        </is>
      </c>
      <c r="G372" t="n">
        <v>1.7</v>
      </c>
      <c r="H372" t="n">
        <v>0</v>
      </c>
      <c r="I372" t="n">
        <v>0</v>
      </c>
      <c r="J372" t="n">
        <v>0</v>
      </c>
      <c r="K372" t="n">
        <v>0</v>
      </c>
      <c r="L372" t="n">
        <v>0</v>
      </c>
      <c r="M372" t="n">
        <v>0</v>
      </c>
      <c r="N372" t="n">
        <v>0</v>
      </c>
      <c r="O372" t="n">
        <v>0</v>
      </c>
      <c r="P372" t="n">
        <v>0</v>
      </c>
      <c r="Q372" t="n">
        <v>0</v>
      </c>
      <c r="R372" s="2" t="inlineStr"/>
    </row>
    <row r="373" ht="15" customHeight="1">
      <c r="A373" t="inlineStr">
        <is>
          <t>A 53864-2022</t>
        </is>
      </c>
      <c r="B373" s="1" t="n">
        <v>44880</v>
      </c>
      <c r="C373" s="1" t="n">
        <v>46202</v>
      </c>
      <c r="D373" t="inlineStr">
        <is>
          <t>VÄSTMANLANDS LÄN</t>
        </is>
      </c>
      <c r="E373" t="inlineStr">
        <is>
          <t>SALA</t>
        </is>
      </c>
      <c r="G373" t="n">
        <v>5.9</v>
      </c>
      <c r="H373" t="n">
        <v>0</v>
      </c>
      <c r="I373" t="n">
        <v>0</v>
      </c>
      <c r="J373" t="n">
        <v>0</v>
      </c>
      <c r="K373" t="n">
        <v>0</v>
      </c>
      <c r="L373" t="n">
        <v>0</v>
      </c>
      <c r="M373" t="n">
        <v>0</v>
      </c>
      <c r="N373" t="n">
        <v>0</v>
      </c>
      <c r="O373" t="n">
        <v>0</v>
      </c>
      <c r="P373" t="n">
        <v>0</v>
      </c>
      <c r="Q373" t="n">
        <v>0</v>
      </c>
      <c r="R373" s="2" t="inlineStr"/>
    </row>
    <row r="374" ht="15" customHeight="1">
      <c r="A374" t="inlineStr">
        <is>
          <t>A 10250-2025</t>
        </is>
      </c>
      <c r="B374" s="1" t="n">
        <v>45720</v>
      </c>
      <c r="C374" s="1" t="n">
        <v>46202</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3551-2024</t>
        </is>
      </c>
      <c r="B375" s="1" t="n">
        <v>45320</v>
      </c>
      <c r="C375" s="1" t="n">
        <v>46202</v>
      </c>
      <c r="D375" t="inlineStr">
        <is>
          <t>VÄSTMANLANDS LÄN</t>
        </is>
      </c>
      <c r="E375" t="inlineStr">
        <is>
          <t>SALA</t>
        </is>
      </c>
      <c r="F375" t="inlineStr">
        <is>
          <t>Kommuner</t>
        </is>
      </c>
      <c r="G375" t="n">
        <v>6</v>
      </c>
      <c r="H375" t="n">
        <v>0</v>
      </c>
      <c r="I375" t="n">
        <v>0</v>
      </c>
      <c r="J375" t="n">
        <v>0</v>
      </c>
      <c r="K375" t="n">
        <v>0</v>
      </c>
      <c r="L375" t="n">
        <v>0</v>
      </c>
      <c r="M375" t="n">
        <v>0</v>
      </c>
      <c r="N375" t="n">
        <v>0</v>
      </c>
      <c r="O375" t="n">
        <v>0</v>
      </c>
      <c r="P375" t="n">
        <v>0</v>
      </c>
      <c r="Q375" t="n">
        <v>0</v>
      </c>
      <c r="R375" s="2" t="inlineStr"/>
    </row>
    <row r="376" ht="15" customHeight="1">
      <c r="A376" t="inlineStr">
        <is>
          <t>A 56540-2024</t>
        </is>
      </c>
      <c r="B376" s="1" t="n">
        <v>45625</v>
      </c>
      <c r="C376" s="1" t="n">
        <v>46202</v>
      </c>
      <c r="D376" t="inlineStr">
        <is>
          <t>VÄSTMANLANDS LÄN</t>
        </is>
      </c>
      <c r="E376" t="inlineStr">
        <is>
          <t>SALA</t>
        </is>
      </c>
      <c r="G376" t="n">
        <v>1.8</v>
      </c>
      <c r="H376" t="n">
        <v>0</v>
      </c>
      <c r="I376" t="n">
        <v>0</v>
      </c>
      <c r="J376" t="n">
        <v>0</v>
      </c>
      <c r="K376" t="n">
        <v>0</v>
      </c>
      <c r="L376" t="n">
        <v>0</v>
      </c>
      <c r="M376" t="n">
        <v>0</v>
      </c>
      <c r="N376" t="n">
        <v>0</v>
      </c>
      <c r="O376" t="n">
        <v>0</v>
      </c>
      <c r="P376" t="n">
        <v>0</v>
      </c>
      <c r="Q376" t="n">
        <v>0</v>
      </c>
      <c r="R376" s="2" t="inlineStr"/>
    </row>
    <row r="377" ht="15" customHeight="1">
      <c r="A377" t="inlineStr">
        <is>
          <t>A 6116-2023</t>
        </is>
      </c>
      <c r="B377" s="1" t="n">
        <v>44964</v>
      </c>
      <c r="C377" s="1" t="n">
        <v>46202</v>
      </c>
      <c r="D377" t="inlineStr">
        <is>
          <t>VÄSTMANLANDS LÄN</t>
        </is>
      </c>
      <c r="E377" t="inlineStr">
        <is>
          <t>SALA</t>
        </is>
      </c>
      <c r="G377" t="n">
        <v>1.9</v>
      </c>
      <c r="H377" t="n">
        <v>0</v>
      </c>
      <c r="I377" t="n">
        <v>0</v>
      </c>
      <c r="J377" t="n">
        <v>0</v>
      </c>
      <c r="K377" t="n">
        <v>0</v>
      </c>
      <c r="L377" t="n">
        <v>0</v>
      </c>
      <c r="M377" t="n">
        <v>0</v>
      </c>
      <c r="N377" t="n">
        <v>0</v>
      </c>
      <c r="O377" t="n">
        <v>0</v>
      </c>
      <c r="P377" t="n">
        <v>0</v>
      </c>
      <c r="Q377" t="n">
        <v>0</v>
      </c>
      <c r="R377" s="2" t="inlineStr"/>
    </row>
    <row r="378" ht="15" customHeight="1">
      <c r="A378" t="inlineStr">
        <is>
          <t>A 42416-2022</t>
        </is>
      </c>
      <c r="B378" s="1" t="n">
        <v>44831</v>
      </c>
      <c r="C378" s="1" t="n">
        <v>46202</v>
      </c>
      <c r="D378" t="inlineStr">
        <is>
          <t>VÄSTMANLANDS LÄN</t>
        </is>
      </c>
      <c r="E378" t="inlineStr">
        <is>
          <t>SALA</t>
        </is>
      </c>
      <c r="G378" t="n">
        <v>2.2</v>
      </c>
      <c r="H378" t="n">
        <v>0</v>
      </c>
      <c r="I378" t="n">
        <v>0</v>
      </c>
      <c r="J378" t="n">
        <v>0</v>
      </c>
      <c r="K378" t="n">
        <v>0</v>
      </c>
      <c r="L378" t="n">
        <v>0</v>
      </c>
      <c r="M378" t="n">
        <v>0</v>
      </c>
      <c r="N378" t="n">
        <v>0</v>
      </c>
      <c r="O378" t="n">
        <v>0</v>
      </c>
      <c r="P378" t="n">
        <v>0</v>
      </c>
      <c r="Q378" t="n">
        <v>0</v>
      </c>
      <c r="R378" s="2" t="inlineStr"/>
    </row>
    <row r="379" ht="15" customHeight="1">
      <c r="A379" t="inlineStr">
        <is>
          <t>A 22961-2023</t>
        </is>
      </c>
      <c r="B379" s="1" t="n">
        <v>45072</v>
      </c>
      <c r="C379" s="1" t="n">
        <v>46202</v>
      </c>
      <c r="D379" t="inlineStr">
        <is>
          <t>VÄSTMANLANDS LÄN</t>
        </is>
      </c>
      <c r="E379" t="inlineStr">
        <is>
          <t>SALA</t>
        </is>
      </c>
      <c r="G379" t="n">
        <v>2.7</v>
      </c>
      <c r="H379" t="n">
        <v>0</v>
      </c>
      <c r="I379" t="n">
        <v>0</v>
      </c>
      <c r="J379" t="n">
        <v>0</v>
      </c>
      <c r="K379" t="n">
        <v>0</v>
      </c>
      <c r="L379" t="n">
        <v>0</v>
      </c>
      <c r="M379" t="n">
        <v>0</v>
      </c>
      <c r="N379" t="n">
        <v>0</v>
      </c>
      <c r="O379" t="n">
        <v>0</v>
      </c>
      <c r="P379" t="n">
        <v>0</v>
      </c>
      <c r="Q379" t="n">
        <v>0</v>
      </c>
      <c r="R379" s="2" t="inlineStr"/>
    </row>
    <row r="380" ht="15" customHeight="1">
      <c r="A380" t="inlineStr">
        <is>
          <t>A 22963-2023</t>
        </is>
      </c>
      <c r="B380" s="1" t="n">
        <v>45072</v>
      </c>
      <c r="C380" s="1" t="n">
        <v>46202</v>
      </c>
      <c r="D380" t="inlineStr">
        <is>
          <t>VÄSTMANLANDS LÄN</t>
        </is>
      </c>
      <c r="E380" t="inlineStr">
        <is>
          <t>SALA</t>
        </is>
      </c>
      <c r="G380" t="n">
        <v>1.2</v>
      </c>
      <c r="H380" t="n">
        <v>0</v>
      </c>
      <c r="I380" t="n">
        <v>0</v>
      </c>
      <c r="J380" t="n">
        <v>0</v>
      </c>
      <c r="K380" t="n">
        <v>0</v>
      </c>
      <c r="L380" t="n">
        <v>0</v>
      </c>
      <c r="M380" t="n">
        <v>0</v>
      </c>
      <c r="N380" t="n">
        <v>0</v>
      </c>
      <c r="O380" t="n">
        <v>0</v>
      </c>
      <c r="P380" t="n">
        <v>0</v>
      </c>
      <c r="Q380" t="n">
        <v>0</v>
      </c>
      <c r="R380" s="2" t="inlineStr"/>
    </row>
    <row r="381" ht="15" customHeight="1">
      <c r="A381" t="inlineStr">
        <is>
          <t>A 6135-2023</t>
        </is>
      </c>
      <c r="B381" s="1" t="n">
        <v>44964</v>
      </c>
      <c r="C381" s="1" t="n">
        <v>46202</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25860-2024</t>
        </is>
      </c>
      <c r="B382" s="1" t="n">
        <v>45467</v>
      </c>
      <c r="C382" s="1" t="n">
        <v>46202</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32286-2025</t>
        </is>
      </c>
      <c r="B383" s="1" t="n">
        <v>45835</v>
      </c>
      <c r="C383" s="1" t="n">
        <v>46202</v>
      </c>
      <c r="D383" t="inlineStr">
        <is>
          <t>VÄSTMANLANDS LÄN</t>
        </is>
      </c>
      <c r="E383" t="inlineStr">
        <is>
          <t>SALA</t>
        </is>
      </c>
      <c r="G383" t="n">
        <v>6.4</v>
      </c>
      <c r="H383" t="n">
        <v>0</v>
      </c>
      <c r="I383" t="n">
        <v>0</v>
      </c>
      <c r="J383" t="n">
        <v>0</v>
      </c>
      <c r="K383" t="n">
        <v>0</v>
      </c>
      <c r="L383" t="n">
        <v>0</v>
      </c>
      <c r="M383" t="n">
        <v>0</v>
      </c>
      <c r="N383" t="n">
        <v>0</v>
      </c>
      <c r="O383" t="n">
        <v>0</v>
      </c>
      <c r="P383" t="n">
        <v>0</v>
      </c>
      <c r="Q383" t="n">
        <v>0</v>
      </c>
      <c r="R383" s="2" t="inlineStr"/>
    </row>
    <row r="384" ht="15" customHeight="1">
      <c r="A384" t="inlineStr">
        <is>
          <t>A 56916-2022</t>
        </is>
      </c>
      <c r="B384" s="1" t="n">
        <v>44888</v>
      </c>
      <c r="C384" s="1" t="n">
        <v>46202</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27228-2023</t>
        </is>
      </c>
      <c r="B385" s="1" t="n">
        <v>45096</v>
      </c>
      <c r="C385" s="1" t="n">
        <v>46202</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26507-2023</t>
        </is>
      </c>
      <c r="B386" s="1" t="n">
        <v>45092</v>
      </c>
      <c r="C386" s="1" t="n">
        <v>46202</v>
      </c>
      <c r="D386" t="inlineStr">
        <is>
          <t>VÄSTMANLANDS LÄN</t>
        </is>
      </c>
      <c r="E386" t="inlineStr">
        <is>
          <t>SALA</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16543-2023</t>
        </is>
      </c>
      <c r="B387" s="1" t="n">
        <v>45029</v>
      </c>
      <c r="C387" s="1" t="n">
        <v>46202</v>
      </c>
      <c r="D387" t="inlineStr">
        <is>
          <t>VÄSTMANLANDS LÄN</t>
        </is>
      </c>
      <c r="E387" t="inlineStr">
        <is>
          <t>SALA</t>
        </is>
      </c>
      <c r="F387" t="inlineStr">
        <is>
          <t>Sveaskog</t>
        </is>
      </c>
      <c r="G387" t="n">
        <v>1.9</v>
      </c>
      <c r="H387" t="n">
        <v>0</v>
      </c>
      <c r="I387" t="n">
        <v>0</v>
      </c>
      <c r="J387" t="n">
        <v>0</v>
      </c>
      <c r="K387" t="n">
        <v>0</v>
      </c>
      <c r="L387" t="n">
        <v>0</v>
      </c>
      <c r="M387" t="n">
        <v>0</v>
      </c>
      <c r="N387" t="n">
        <v>0</v>
      </c>
      <c r="O387" t="n">
        <v>0</v>
      </c>
      <c r="P387" t="n">
        <v>0</v>
      </c>
      <c r="Q387" t="n">
        <v>0</v>
      </c>
      <c r="R387" s="2" t="inlineStr"/>
    </row>
    <row r="388" ht="15" customHeight="1">
      <c r="A388" t="inlineStr">
        <is>
          <t>A 57895-2024</t>
        </is>
      </c>
      <c r="B388" s="1" t="n">
        <v>45631</v>
      </c>
      <c r="C388" s="1" t="n">
        <v>46202</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47086-2022</t>
        </is>
      </c>
      <c r="B389" s="1" t="n">
        <v>44852</v>
      </c>
      <c r="C389" s="1" t="n">
        <v>46202</v>
      </c>
      <c r="D389" t="inlineStr">
        <is>
          <t>VÄSTMANLANDS LÄN</t>
        </is>
      </c>
      <c r="E389" t="inlineStr">
        <is>
          <t>SALA</t>
        </is>
      </c>
      <c r="G389" t="n">
        <v>12.5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46202</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34069-2025</t>
        </is>
      </c>
      <c r="B391" s="1" t="n">
        <v>45845</v>
      </c>
      <c r="C391" s="1" t="n">
        <v>46202</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c r="U391">
        <f>HYPERLINK("https://klasma.github.io/Logging_1981/knärot/A 34069-2025 karta knärot.png", "A 34069-2025")</f>
        <v/>
      </c>
      <c r="V391">
        <f>HYPERLINK("https://klasma.github.io/Logging_1981/klagomål/A 34069-2025 FSC-klagomål.docx", "A 34069-2025")</f>
        <v/>
      </c>
      <c r="W391">
        <f>HYPERLINK("https://klasma.github.io/Logging_1981/klagomålsmail/A 34069-2025 FSC-klagomål mail.docx", "A 34069-2025")</f>
        <v/>
      </c>
      <c r="X391">
        <f>HYPERLINK("https://klasma.github.io/Logging_1981/tillsyn/A 34069-2025 tillsynsbegäran.docx", "A 34069-2025")</f>
        <v/>
      </c>
      <c r="Y391">
        <f>HYPERLINK("https://klasma.github.io/Logging_1981/tillsynsmail/A 34069-2025 tillsynsbegäran mail.docx", "A 34069-2025")</f>
        <v/>
      </c>
    </row>
    <row r="392" ht="15" customHeight="1">
      <c r="A392" t="inlineStr">
        <is>
          <t>A 13987-2023</t>
        </is>
      </c>
      <c r="B392" s="1" t="n">
        <v>45007</v>
      </c>
      <c r="C392" s="1" t="n">
        <v>46202</v>
      </c>
      <c r="D392" t="inlineStr">
        <is>
          <t>VÄSTMANLANDS LÄN</t>
        </is>
      </c>
      <c r="E392" t="inlineStr">
        <is>
          <t>SALA</t>
        </is>
      </c>
      <c r="G392" t="n">
        <v>3.2</v>
      </c>
      <c r="H392" t="n">
        <v>0</v>
      </c>
      <c r="I392" t="n">
        <v>0</v>
      </c>
      <c r="J392" t="n">
        <v>0</v>
      </c>
      <c r="K392" t="n">
        <v>0</v>
      </c>
      <c r="L392" t="n">
        <v>0</v>
      </c>
      <c r="M392" t="n">
        <v>0</v>
      </c>
      <c r="N392" t="n">
        <v>0</v>
      </c>
      <c r="O392" t="n">
        <v>0</v>
      </c>
      <c r="P392" t="n">
        <v>0</v>
      </c>
      <c r="Q392" t="n">
        <v>0</v>
      </c>
      <c r="R392" s="2" t="inlineStr"/>
    </row>
    <row r="393" ht="15" customHeight="1">
      <c r="A393" t="inlineStr">
        <is>
          <t>A 13990-2023</t>
        </is>
      </c>
      <c r="B393" s="1" t="n">
        <v>45007</v>
      </c>
      <c r="C393" s="1" t="n">
        <v>46202</v>
      </c>
      <c r="D393" t="inlineStr">
        <is>
          <t>VÄSTMANLANDS LÄN</t>
        </is>
      </c>
      <c r="E393" t="inlineStr">
        <is>
          <t>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54347-2024</t>
        </is>
      </c>
      <c r="B394" s="1" t="n">
        <v>45617</v>
      </c>
      <c r="C394" s="1" t="n">
        <v>46202</v>
      </c>
      <c r="D394" t="inlineStr">
        <is>
          <t>VÄSTMANLANDS LÄN</t>
        </is>
      </c>
      <c r="E394" t="inlineStr">
        <is>
          <t>SALA</t>
        </is>
      </c>
      <c r="G394" t="n">
        <v>2</v>
      </c>
      <c r="H394" t="n">
        <v>0</v>
      </c>
      <c r="I394" t="n">
        <v>0</v>
      </c>
      <c r="J394" t="n">
        <v>0</v>
      </c>
      <c r="K394" t="n">
        <v>0</v>
      </c>
      <c r="L394" t="n">
        <v>0</v>
      </c>
      <c r="M394" t="n">
        <v>0</v>
      </c>
      <c r="N394" t="n">
        <v>0</v>
      </c>
      <c r="O394" t="n">
        <v>0</v>
      </c>
      <c r="P394" t="n">
        <v>0</v>
      </c>
      <c r="Q394" t="n">
        <v>0</v>
      </c>
      <c r="R394" s="2" t="inlineStr"/>
    </row>
    <row r="395" ht="15" customHeight="1">
      <c r="A395" t="inlineStr">
        <is>
          <t>A 64693-2023</t>
        </is>
      </c>
      <c r="B395" s="1" t="n">
        <v>45281</v>
      </c>
      <c r="C395" s="1" t="n">
        <v>46202</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64695-2023</t>
        </is>
      </c>
      <c r="B396" s="1" t="n">
        <v>45281</v>
      </c>
      <c r="C396" s="1" t="n">
        <v>46202</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27486-2022</t>
        </is>
      </c>
      <c r="B397" s="1" t="n">
        <v>44742</v>
      </c>
      <c r="C397" s="1" t="n">
        <v>46202</v>
      </c>
      <c r="D397" t="inlineStr">
        <is>
          <t>VÄSTMANLANDS LÄN</t>
        </is>
      </c>
      <c r="E397" t="inlineStr">
        <is>
          <t>SALA</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35003-2024</t>
        </is>
      </c>
      <c r="B398" s="1" t="n">
        <v>45527</v>
      </c>
      <c r="C398" s="1" t="n">
        <v>46202</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1993-2022</t>
        </is>
      </c>
      <c r="B399" s="1" t="n">
        <v>44575</v>
      </c>
      <c r="C399" s="1" t="n">
        <v>46202</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43509-2021</t>
        </is>
      </c>
      <c r="B400" s="1" t="n">
        <v>44433</v>
      </c>
      <c r="C400" s="1" t="n">
        <v>46202</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18340-2025</t>
        </is>
      </c>
      <c r="B401" s="1" t="n">
        <v>45762</v>
      </c>
      <c r="C401" s="1" t="n">
        <v>46202</v>
      </c>
      <c r="D401" t="inlineStr">
        <is>
          <t>VÄSTMANLANDS LÄN</t>
        </is>
      </c>
      <c r="E401" t="inlineStr">
        <is>
          <t>SALA</t>
        </is>
      </c>
      <c r="G401" t="n">
        <v>2.1</v>
      </c>
      <c r="H401" t="n">
        <v>0</v>
      </c>
      <c r="I401" t="n">
        <v>0</v>
      </c>
      <c r="J401" t="n">
        <v>0</v>
      </c>
      <c r="K401" t="n">
        <v>0</v>
      </c>
      <c r="L401" t="n">
        <v>0</v>
      </c>
      <c r="M401" t="n">
        <v>0</v>
      </c>
      <c r="N401" t="n">
        <v>0</v>
      </c>
      <c r="O401" t="n">
        <v>0</v>
      </c>
      <c r="P401" t="n">
        <v>0</v>
      </c>
      <c r="Q401" t="n">
        <v>0</v>
      </c>
      <c r="R401" s="2" t="inlineStr"/>
    </row>
    <row r="402" ht="15" customHeight="1">
      <c r="A402" t="inlineStr">
        <is>
          <t>A 56706-2022</t>
        </is>
      </c>
      <c r="B402" s="1" t="n">
        <v>44893</v>
      </c>
      <c r="C402" s="1" t="n">
        <v>46202</v>
      </c>
      <c r="D402" t="inlineStr">
        <is>
          <t>VÄSTMANLANDS LÄN</t>
        </is>
      </c>
      <c r="E402" t="inlineStr">
        <is>
          <t>SALA</t>
        </is>
      </c>
      <c r="G402" t="n">
        <v>4.5</v>
      </c>
      <c r="H402" t="n">
        <v>0</v>
      </c>
      <c r="I402" t="n">
        <v>0</v>
      </c>
      <c r="J402" t="n">
        <v>0</v>
      </c>
      <c r="K402" t="n">
        <v>0</v>
      </c>
      <c r="L402" t="n">
        <v>0</v>
      </c>
      <c r="M402" t="n">
        <v>0</v>
      </c>
      <c r="N402" t="n">
        <v>0</v>
      </c>
      <c r="O402" t="n">
        <v>0</v>
      </c>
      <c r="P402" t="n">
        <v>0</v>
      </c>
      <c r="Q402" t="n">
        <v>0</v>
      </c>
      <c r="R402" s="2" t="inlineStr"/>
    </row>
    <row r="403" ht="15" customHeight="1">
      <c r="A403" t="inlineStr">
        <is>
          <t>A 56707-2022</t>
        </is>
      </c>
      <c r="B403" s="1" t="n">
        <v>44893</v>
      </c>
      <c r="C403" s="1" t="n">
        <v>46202</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54959-2024</t>
        </is>
      </c>
      <c r="B404" s="1" t="n">
        <v>45619</v>
      </c>
      <c r="C404" s="1" t="n">
        <v>46202</v>
      </c>
      <c r="D404" t="inlineStr">
        <is>
          <t>VÄSTMANLANDS LÄN</t>
        </is>
      </c>
      <c r="E404" t="inlineStr">
        <is>
          <t>SALA</t>
        </is>
      </c>
      <c r="G404" t="n">
        <v>1.3</v>
      </c>
      <c r="H404" t="n">
        <v>0</v>
      </c>
      <c r="I404" t="n">
        <v>0</v>
      </c>
      <c r="J404" t="n">
        <v>0</v>
      </c>
      <c r="K404" t="n">
        <v>0</v>
      </c>
      <c r="L404" t="n">
        <v>0</v>
      </c>
      <c r="M404" t="n">
        <v>0</v>
      </c>
      <c r="N404" t="n">
        <v>0</v>
      </c>
      <c r="O404" t="n">
        <v>0</v>
      </c>
      <c r="P404" t="n">
        <v>0</v>
      </c>
      <c r="Q404" t="n">
        <v>0</v>
      </c>
      <c r="R404" s="2" t="inlineStr"/>
    </row>
    <row r="405" ht="15" customHeight="1">
      <c r="A405" t="inlineStr">
        <is>
          <t>A 48688-2024</t>
        </is>
      </c>
      <c r="B405" s="1" t="n">
        <v>45593</v>
      </c>
      <c r="C405" s="1" t="n">
        <v>46202</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63933-2023</t>
        </is>
      </c>
      <c r="B406" s="1" t="n">
        <v>45278</v>
      </c>
      <c r="C406" s="1" t="n">
        <v>46202</v>
      </c>
      <c r="D406" t="inlineStr">
        <is>
          <t>VÄSTMANLANDS LÄN</t>
        </is>
      </c>
      <c r="E406" t="inlineStr">
        <is>
          <t>SALA</t>
        </is>
      </c>
      <c r="G406" t="n">
        <v>1.4</v>
      </c>
      <c r="H406" t="n">
        <v>0</v>
      </c>
      <c r="I406" t="n">
        <v>0</v>
      </c>
      <c r="J406" t="n">
        <v>0</v>
      </c>
      <c r="K406" t="n">
        <v>0</v>
      </c>
      <c r="L406" t="n">
        <v>0</v>
      </c>
      <c r="M406" t="n">
        <v>0</v>
      </c>
      <c r="N406" t="n">
        <v>0</v>
      </c>
      <c r="O406" t="n">
        <v>0</v>
      </c>
      <c r="P406" t="n">
        <v>0</v>
      </c>
      <c r="Q406" t="n">
        <v>0</v>
      </c>
      <c r="R406" s="2" t="inlineStr"/>
    </row>
    <row r="407" ht="15" customHeight="1">
      <c r="A407" t="inlineStr">
        <is>
          <t>A 44746-2024</t>
        </is>
      </c>
      <c r="B407" s="1" t="n">
        <v>45574</v>
      </c>
      <c r="C407" s="1" t="n">
        <v>46202</v>
      </c>
      <c r="D407" t="inlineStr">
        <is>
          <t>VÄSTMANLANDS LÄN</t>
        </is>
      </c>
      <c r="E407" t="inlineStr">
        <is>
          <t>SALA</t>
        </is>
      </c>
      <c r="G407" t="n">
        <v>6.7</v>
      </c>
      <c r="H407" t="n">
        <v>0</v>
      </c>
      <c r="I407" t="n">
        <v>0</v>
      </c>
      <c r="J407" t="n">
        <v>0</v>
      </c>
      <c r="K407" t="n">
        <v>0</v>
      </c>
      <c r="L407" t="n">
        <v>0</v>
      </c>
      <c r="M407" t="n">
        <v>0</v>
      </c>
      <c r="N407" t="n">
        <v>0</v>
      </c>
      <c r="O407" t="n">
        <v>0</v>
      </c>
      <c r="P407" t="n">
        <v>0</v>
      </c>
      <c r="Q407" t="n">
        <v>0</v>
      </c>
      <c r="R407" s="2" t="inlineStr"/>
    </row>
    <row r="408" ht="15" customHeight="1">
      <c r="A408" t="inlineStr">
        <is>
          <t>A 33273-2023</t>
        </is>
      </c>
      <c r="B408" s="1" t="n">
        <v>45127</v>
      </c>
      <c r="C408" s="1" t="n">
        <v>46202</v>
      </c>
      <c r="D408" t="inlineStr">
        <is>
          <t>VÄSTMANLANDS LÄN</t>
        </is>
      </c>
      <c r="E408" t="inlineStr">
        <is>
          <t>SALA</t>
        </is>
      </c>
      <c r="G408" t="n">
        <v>2.6</v>
      </c>
      <c r="H408" t="n">
        <v>0</v>
      </c>
      <c r="I408" t="n">
        <v>0</v>
      </c>
      <c r="J408" t="n">
        <v>0</v>
      </c>
      <c r="K408" t="n">
        <v>0</v>
      </c>
      <c r="L408" t="n">
        <v>0</v>
      </c>
      <c r="M408" t="n">
        <v>0</v>
      </c>
      <c r="N408" t="n">
        <v>0</v>
      </c>
      <c r="O408" t="n">
        <v>0</v>
      </c>
      <c r="P408" t="n">
        <v>0</v>
      </c>
      <c r="Q408" t="n">
        <v>0</v>
      </c>
      <c r="R408" s="2" t="inlineStr"/>
    </row>
    <row r="409" ht="15" customHeight="1">
      <c r="A409" t="inlineStr">
        <is>
          <t>A 48571-2024</t>
        </is>
      </c>
      <c r="B409" s="1" t="n">
        <v>45591</v>
      </c>
      <c r="C409" s="1" t="n">
        <v>46202</v>
      </c>
      <c r="D409" t="inlineStr">
        <is>
          <t>VÄSTMANLANDS LÄN</t>
        </is>
      </c>
      <c r="E409" t="inlineStr">
        <is>
          <t>SALA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36049-2025</t>
        </is>
      </c>
      <c r="B410" s="1" t="n">
        <v>45866</v>
      </c>
      <c r="C410" s="1" t="n">
        <v>46202</v>
      </c>
      <c r="D410" t="inlineStr">
        <is>
          <t>VÄSTMANLANDS LÄN</t>
        </is>
      </c>
      <c r="E410" t="inlineStr">
        <is>
          <t>SALA</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36045-2025</t>
        </is>
      </c>
      <c r="B411" s="1" t="n">
        <v>45866</v>
      </c>
      <c r="C411" s="1" t="n">
        <v>46202</v>
      </c>
      <c r="D411" t="inlineStr">
        <is>
          <t>VÄSTMANLANDS LÄN</t>
        </is>
      </c>
      <c r="E411" t="inlineStr">
        <is>
          <t>SALA</t>
        </is>
      </c>
      <c r="F411" t="inlineStr">
        <is>
          <t>Kommuner</t>
        </is>
      </c>
      <c r="G411" t="n">
        <v>1.7</v>
      </c>
      <c r="H411" t="n">
        <v>0</v>
      </c>
      <c r="I411" t="n">
        <v>0</v>
      </c>
      <c r="J411" t="n">
        <v>0</v>
      </c>
      <c r="K411" t="n">
        <v>0</v>
      </c>
      <c r="L411" t="n">
        <v>0</v>
      </c>
      <c r="M411" t="n">
        <v>0</v>
      </c>
      <c r="N411" t="n">
        <v>0</v>
      </c>
      <c r="O411" t="n">
        <v>0</v>
      </c>
      <c r="P411" t="n">
        <v>0</v>
      </c>
      <c r="Q411" t="n">
        <v>0</v>
      </c>
      <c r="R411" s="2" t="inlineStr"/>
    </row>
    <row r="412" ht="15" customHeight="1">
      <c r="A412" t="inlineStr">
        <is>
          <t>A 13188-2025</t>
        </is>
      </c>
      <c r="B412" s="1" t="n">
        <v>45735</v>
      </c>
      <c r="C412" s="1" t="n">
        <v>46202</v>
      </c>
      <c r="D412" t="inlineStr">
        <is>
          <t>VÄSTMANLANDS LÄN</t>
        </is>
      </c>
      <c r="E412" t="inlineStr">
        <is>
          <t>SALA</t>
        </is>
      </c>
      <c r="F412" t="inlineStr">
        <is>
          <t>Naturvårdsverket</t>
        </is>
      </c>
      <c r="G412" t="n">
        <v>18.4</v>
      </c>
      <c r="H412" t="n">
        <v>0</v>
      </c>
      <c r="I412" t="n">
        <v>0</v>
      </c>
      <c r="J412" t="n">
        <v>0</v>
      </c>
      <c r="K412" t="n">
        <v>0</v>
      </c>
      <c r="L412" t="n">
        <v>0</v>
      </c>
      <c r="M412" t="n">
        <v>0</v>
      </c>
      <c r="N412" t="n">
        <v>0</v>
      </c>
      <c r="O412" t="n">
        <v>0</v>
      </c>
      <c r="P412" t="n">
        <v>0</v>
      </c>
      <c r="Q412" t="n">
        <v>0</v>
      </c>
      <c r="R412" s="2" t="inlineStr"/>
    </row>
    <row r="413" ht="15" customHeight="1">
      <c r="A413" t="inlineStr">
        <is>
          <t>A 10579-2022</t>
        </is>
      </c>
      <c r="B413" s="1" t="n">
        <v>44624</v>
      </c>
      <c r="C413" s="1" t="n">
        <v>46202</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31863-2025</t>
        </is>
      </c>
      <c r="B414" s="1" t="n">
        <v>45834</v>
      </c>
      <c r="C414" s="1" t="n">
        <v>46202</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9335-2022</t>
        </is>
      </c>
      <c r="B415" s="1" t="n">
        <v>44616</v>
      </c>
      <c r="C415" s="1" t="n">
        <v>46202</v>
      </c>
      <c r="D415" t="inlineStr">
        <is>
          <t>VÄSTMANLANDS LÄN</t>
        </is>
      </c>
      <c r="E415" t="inlineStr">
        <is>
          <t>SALA</t>
        </is>
      </c>
      <c r="G415" t="n">
        <v>1.5</v>
      </c>
      <c r="H415" t="n">
        <v>0</v>
      </c>
      <c r="I415" t="n">
        <v>0</v>
      </c>
      <c r="J415" t="n">
        <v>0</v>
      </c>
      <c r="K415" t="n">
        <v>0</v>
      </c>
      <c r="L415" t="n">
        <v>0</v>
      </c>
      <c r="M415" t="n">
        <v>0</v>
      </c>
      <c r="N415" t="n">
        <v>0</v>
      </c>
      <c r="O415" t="n">
        <v>0</v>
      </c>
      <c r="P415" t="n">
        <v>0</v>
      </c>
      <c r="Q415" t="n">
        <v>0</v>
      </c>
      <c r="R415" s="2" t="inlineStr"/>
    </row>
    <row r="416" ht="15" customHeight="1">
      <c r="A416" t="inlineStr">
        <is>
          <t>A 3546-2025</t>
        </is>
      </c>
      <c r="B416" s="1" t="n">
        <v>45680</v>
      </c>
      <c r="C416" s="1" t="n">
        <v>46202</v>
      </c>
      <c r="D416" t="inlineStr">
        <is>
          <t>VÄSTMANLANDS LÄN</t>
        </is>
      </c>
      <c r="E416" t="inlineStr">
        <is>
          <t>SALA</t>
        </is>
      </c>
      <c r="G416" t="n">
        <v>0.4</v>
      </c>
      <c r="H416" t="n">
        <v>0</v>
      </c>
      <c r="I416" t="n">
        <v>0</v>
      </c>
      <c r="J416" t="n">
        <v>0</v>
      </c>
      <c r="K416" t="n">
        <v>0</v>
      </c>
      <c r="L416" t="n">
        <v>0</v>
      </c>
      <c r="M416" t="n">
        <v>0</v>
      </c>
      <c r="N416" t="n">
        <v>0</v>
      </c>
      <c r="O416" t="n">
        <v>0</v>
      </c>
      <c r="P416" t="n">
        <v>0</v>
      </c>
      <c r="Q416" t="n">
        <v>0</v>
      </c>
      <c r="R416" s="2" t="inlineStr"/>
    </row>
    <row r="417" ht="15" customHeight="1">
      <c r="A417" t="inlineStr">
        <is>
          <t>A 31869-2025</t>
        </is>
      </c>
      <c r="B417" s="1" t="n">
        <v>45834</v>
      </c>
      <c r="C417" s="1" t="n">
        <v>46202</v>
      </c>
      <c r="D417" t="inlineStr">
        <is>
          <t>VÄSTMANLANDS LÄN</t>
        </is>
      </c>
      <c r="E417" t="inlineStr">
        <is>
          <t>SALA</t>
        </is>
      </c>
      <c r="G417" t="n">
        <v>17.5</v>
      </c>
      <c r="H417" t="n">
        <v>0</v>
      </c>
      <c r="I417" t="n">
        <v>0</v>
      </c>
      <c r="J417" t="n">
        <v>0</v>
      </c>
      <c r="K417" t="n">
        <v>0</v>
      </c>
      <c r="L417" t="n">
        <v>0</v>
      </c>
      <c r="M417" t="n">
        <v>0</v>
      </c>
      <c r="N417" t="n">
        <v>0</v>
      </c>
      <c r="O417" t="n">
        <v>0</v>
      </c>
      <c r="P417" t="n">
        <v>0</v>
      </c>
      <c r="Q417" t="n">
        <v>0</v>
      </c>
      <c r="R417" s="2" t="inlineStr"/>
    </row>
    <row r="418" ht="15" customHeight="1">
      <c r="A418" t="inlineStr">
        <is>
          <t>A 7664-2023</t>
        </is>
      </c>
      <c r="B418" s="1" t="n">
        <v>44972</v>
      </c>
      <c r="C418" s="1" t="n">
        <v>46202</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23119-2022</t>
        </is>
      </c>
      <c r="B419" s="1" t="n">
        <v>44719</v>
      </c>
      <c r="C419" s="1" t="n">
        <v>46202</v>
      </c>
      <c r="D419" t="inlineStr">
        <is>
          <t>VÄSTMANLANDS LÄN</t>
        </is>
      </c>
      <c r="E419" t="inlineStr">
        <is>
          <t>SALA</t>
        </is>
      </c>
      <c r="G419" t="n">
        <v>7</v>
      </c>
      <c r="H419" t="n">
        <v>0</v>
      </c>
      <c r="I419" t="n">
        <v>0</v>
      </c>
      <c r="J419" t="n">
        <v>0</v>
      </c>
      <c r="K419" t="n">
        <v>0</v>
      </c>
      <c r="L419" t="n">
        <v>0</v>
      </c>
      <c r="M419" t="n">
        <v>0</v>
      </c>
      <c r="N419" t="n">
        <v>0</v>
      </c>
      <c r="O419" t="n">
        <v>0</v>
      </c>
      <c r="P419" t="n">
        <v>0</v>
      </c>
      <c r="Q419" t="n">
        <v>0</v>
      </c>
      <c r="R419" s="2" t="inlineStr"/>
    </row>
    <row r="420" ht="15" customHeight="1">
      <c r="A420" t="inlineStr">
        <is>
          <t>A 37017-2025</t>
        </is>
      </c>
      <c r="B420" s="1" t="n">
        <v>45874</v>
      </c>
      <c r="C420" s="1" t="n">
        <v>46202</v>
      </c>
      <c r="D420" t="inlineStr">
        <is>
          <t>VÄSTMANLANDS LÄN</t>
        </is>
      </c>
      <c r="E420" t="inlineStr">
        <is>
          <t>SALA</t>
        </is>
      </c>
      <c r="G420" t="n">
        <v>11.1</v>
      </c>
      <c r="H420" t="n">
        <v>0</v>
      </c>
      <c r="I420" t="n">
        <v>0</v>
      </c>
      <c r="J420" t="n">
        <v>0</v>
      </c>
      <c r="K420" t="n">
        <v>0</v>
      </c>
      <c r="L420" t="n">
        <v>0</v>
      </c>
      <c r="M420" t="n">
        <v>0</v>
      </c>
      <c r="N420" t="n">
        <v>0</v>
      </c>
      <c r="O420" t="n">
        <v>0</v>
      </c>
      <c r="P420" t="n">
        <v>0</v>
      </c>
      <c r="Q420" t="n">
        <v>0</v>
      </c>
      <c r="R420" s="2" t="inlineStr"/>
    </row>
    <row r="421" ht="15" customHeight="1">
      <c r="A421" t="inlineStr">
        <is>
          <t>A 23431-2024</t>
        </is>
      </c>
      <c r="B421" s="1" t="n">
        <v>45453</v>
      </c>
      <c r="C421" s="1" t="n">
        <v>46202</v>
      </c>
      <c r="D421" t="inlineStr">
        <is>
          <t>VÄSTMANLANDS LÄN</t>
        </is>
      </c>
      <c r="E421" t="inlineStr">
        <is>
          <t>SALA</t>
        </is>
      </c>
      <c r="G421" t="n">
        <v>1.6</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46202</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37246-2025</t>
        </is>
      </c>
      <c r="B423" s="1" t="n">
        <v>45876</v>
      </c>
      <c r="C423" s="1" t="n">
        <v>46202</v>
      </c>
      <c r="D423" t="inlineStr">
        <is>
          <t>VÄSTMANLANDS LÄN</t>
        </is>
      </c>
      <c r="E423" t="inlineStr">
        <is>
          <t>SALA</t>
        </is>
      </c>
      <c r="G423" t="n">
        <v>2.3</v>
      </c>
      <c r="H423" t="n">
        <v>0</v>
      </c>
      <c r="I423" t="n">
        <v>0</v>
      </c>
      <c r="J423" t="n">
        <v>0</v>
      </c>
      <c r="K423" t="n">
        <v>0</v>
      </c>
      <c r="L423" t="n">
        <v>0</v>
      </c>
      <c r="M423" t="n">
        <v>0</v>
      </c>
      <c r="N423" t="n">
        <v>0</v>
      </c>
      <c r="O423" t="n">
        <v>0</v>
      </c>
      <c r="P423" t="n">
        <v>0</v>
      </c>
      <c r="Q423" t="n">
        <v>0</v>
      </c>
      <c r="R423" s="2" t="inlineStr"/>
    </row>
    <row r="424" ht="15" customHeight="1">
      <c r="A424" t="inlineStr">
        <is>
          <t>A 37590-2025</t>
        </is>
      </c>
      <c r="B424" s="1" t="n">
        <v>45880</v>
      </c>
      <c r="C424" s="1" t="n">
        <v>46202</v>
      </c>
      <c r="D424" t="inlineStr">
        <is>
          <t>VÄSTMANLANDS LÄN</t>
        </is>
      </c>
      <c r="E424" t="inlineStr">
        <is>
          <t>SALA</t>
        </is>
      </c>
      <c r="G424" t="n">
        <v>2.2</v>
      </c>
      <c r="H424" t="n">
        <v>0</v>
      </c>
      <c r="I424" t="n">
        <v>0</v>
      </c>
      <c r="J424" t="n">
        <v>0</v>
      </c>
      <c r="K424" t="n">
        <v>0</v>
      </c>
      <c r="L424" t="n">
        <v>0</v>
      </c>
      <c r="M424" t="n">
        <v>0</v>
      </c>
      <c r="N424" t="n">
        <v>0</v>
      </c>
      <c r="O424" t="n">
        <v>0</v>
      </c>
      <c r="P424" t="n">
        <v>0</v>
      </c>
      <c r="Q424" t="n">
        <v>0</v>
      </c>
      <c r="R424" s="2" t="inlineStr"/>
    </row>
    <row r="425" ht="15" customHeight="1">
      <c r="A425" t="inlineStr">
        <is>
          <t>A 52503-2024</t>
        </is>
      </c>
      <c r="B425" s="1" t="n">
        <v>45609</v>
      </c>
      <c r="C425" s="1" t="n">
        <v>46202</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21754-2025</t>
        </is>
      </c>
      <c r="B426" s="1" t="n">
        <v>45783</v>
      </c>
      <c r="C426" s="1" t="n">
        <v>46202</v>
      </c>
      <c r="D426" t="inlineStr">
        <is>
          <t>VÄSTMANLANDS LÄN</t>
        </is>
      </c>
      <c r="E426" t="inlineStr">
        <is>
          <t>SALA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21751-2025</t>
        </is>
      </c>
      <c r="B427" s="1" t="n">
        <v>45783</v>
      </c>
      <c r="C427" s="1" t="n">
        <v>46202</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43359-2024</t>
        </is>
      </c>
      <c r="B428" s="1" t="n">
        <v>45568</v>
      </c>
      <c r="C428" s="1" t="n">
        <v>46202</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37587-2024</t>
        </is>
      </c>
      <c r="B429" s="1" t="n">
        <v>45541</v>
      </c>
      <c r="C429" s="1" t="n">
        <v>46202</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7953-2024</t>
        </is>
      </c>
      <c r="B430" s="1" t="n">
        <v>45350</v>
      </c>
      <c r="C430" s="1" t="n">
        <v>46202</v>
      </c>
      <c r="D430" t="inlineStr">
        <is>
          <t>VÄSTMANLANDS LÄN</t>
        </is>
      </c>
      <c r="E430" t="inlineStr">
        <is>
          <t>SALA</t>
        </is>
      </c>
      <c r="G430" t="n">
        <v>2.6</v>
      </c>
      <c r="H430" t="n">
        <v>0</v>
      </c>
      <c r="I430" t="n">
        <v>0</v>
      </c>
      <c r="J430" t="n">
        <v>0</v>
      </c>
      <c r="K430" t="n">
        <v>0</v>
      </c>
      <c r="L430" t="n">
        <v>0</v>
      </c>
      <c r="M430" t="n">
        <v>0</v>
      </c>
      <c r="N430" t="n">
        <v>0</v>
      </c>
      <c r="O430" t="n">
        <v>0</v>
      </c>
      <c r="P430" t="n">
        <v>0</v>
      </c>
      <c r="Q430" t="n">
        <v>0</v>
      </c>
      <c r="R430" s="2" t="inlineStr"/>
    </row>
    <row r="431" ht="15" customHeight="1">
      <c r="A431" t="inlineStr">
        <is>
          <t>A 64724-2023</t>
        </is>
      </c>
      <c r="B431" s="1" t="n">
        <v>45281</v>
      </c>
      <c r="C431" s="1" t="n">
        <v>46202</v>
      </c>
      <c r="D431" t="inlineStr">
        <is>
          <t>VÄSTMANLANDS LÄN</t>
        </is>
      </c>
      <c r="E431" t="inlineStr">
        <is>
          <t>SALA</t>
        </is>
      </c>
      <c r="G431" t="n">
        <v>2.3</v>
      </c>
      <c r="H431" t="n">
        <v>0</v>
      </c>
      <c r="I431" t="n">
        <v>0</v>
      </c>
      <c r="J431" t="n">
        <v>0</v>
      </c>
      <c r="K431" t="n">
        <v>0</v>
      </c>
      <c r="L431" t="n">
        <v>0</v>
      </c>
      <c r="M431" t="n">
        <v>0</v>
      </c>
      <c r="N431" t="n">
        <v>0</v>
      </c>
      <c r="O431" t="n">
        <v>0</v>
      </c>
      <c r="P431" t="n">
        <v>0</v>
      </c>
      <c r="Q431" t="n">
        <v>0</v>
      </c>
      <c r="R431" s="2" t="inlineStr"/>
    </row>
    <row r="432" ht="15" customHeight="1">
      <c r="A432" t="inlineStr">
        <is>
          <t>A 31864-2025</t>
        </is>
      </c>
      <c r="B432" s="1" t="n">
        <v>45834</v>
      </c>
      <c r="C432" s="1" t="n">
        <v>46202</v>
      </c>
      <c r="D432" t="inlineStr">
        <is>
          <t>VÄSTMANLANDS LÄN</t>
        </is>
      </c>
      <c r="E432" t="inlineStr">
        <is>
          <t>SALA</t>
        </is>
      </c>
      <c r="G432" t="n">
        <v>6.3</v>
      </c>
      <c r="H432" t="n">
        <v>0</v>
      </c>
      <c r="I432" t="n">
        <v>0</v>
      </c>
      <c r="J432" t="n">
        <v>0</v>
      </c>
      <c r="K432" t="n">
        <v>0</v>
      </c>
      <c r="L432" t="n">
        <v>0</v>
      </c>
      <c r="M432" t="n">
        <v>0</v>
      </c>
      <c r="N432" t="n">
        <v>0</v>
      </c>
      <c r="O432" t="n">
        <v>0</v>
      </c>
      <c r="P432" t="n">
        <v>0</v>
      </c>
      <c r="Q432" t="n">
        <v>0</v>
      </c>
      <c r="R432" s="2" t="inlineStr"/>
    </row>
    <row r="433" ht="15" customHeight="1">
      <c r="A433" t="inlineStr">
        <is>
          <t>A 27657-2023</t>
        </is>
      </c>
      <c r="B433" s="1" t="n">
        <v>45097</v>
      </c>
      <c r="C433" s="1" t="n">
        <v>46202</v>
      </c>
      <c r="D433" t="inlineStr">
        <is>
          <t>VÄSTMANLANDS LÄN</t>
        </is>
      </c>
      <c r="E433" t="inlineStr">
        <is>
          <t>SALA</t>
        </is>
      </c>
      <c r="G433" t="n">
        <v>0.1</v>
      </c>
      <c r="H433" t="n">
        <v>0</v>
      </c>
      <c r="I433" t="n">
        <v>0</v>
      </c>
      <c r="J433" t="n">
        <v>0</v>
      </c>
      <c r="K433" t="n">
        <v>0</v>
      </c>
      <c r="L433" t="n">
        <v>0</v>
      </c>
      <c r="M433" t="n">
        <v>0</v>
      </c>
      <c r="N433" t="n">
        <v>0</v>
      </c>
      <c r="O433" t="n">
        <v>0</v>
      </c>
      <c r="P433" t="n">
        <v>0</v>
      </c>
      <c r="Q433" t="n">
        <v>0</v>
      </c>
      <c r="R433" s="2" t="inlineStr"/>
    </row>
    <row r="434" ht="15" customHeight="1">
      <c r="A434" t="inlineStr">
        <is>
          <t>A 48710-2025</t>
        </is>
      </c>
      <c r="B434" s="1" t="n">
        <v>45936</v>
      </c>
      <c r="C434" s="1" t="n">
        <v>46202</v>
      </c>
      <c r="D434" t="inlineStr">
        <is>
          <t>VÄSTMANLANDS LÄN</t>
        </is>
      </c>
      <c r="E434" t="inlineStr">
        <is>
          <t>SALA</t>
        </is>
      </c>
      <c r="G434" t="n">
        <v>2.7</v>
      </c>
      <c r="H434" t="n">
        <v>0</v>
      </c>
      <c r="I434" t="n">
        <v>0</v>
      </c>
      <c r="J434" t="n">
        <v>0</v>
      </c>
      <c r="K434" t="n">
        <v>0</v>
      </c>
      <c r="L434" t="n">
        <v>0</v>
      </c>
      <c r="M434" t="n">
        <v>0</v>
      </c>
      <c r="N434" t="n">
        <v>0</v>
      </c>
      <c r="O434" t="n">
        <v>0</v>
      </c>
      <c r="P434" t="n">
        <v>0</v>
      </c>
      <c r="Q434" t="n">
        <v>0</v>
      </c>
      <c r="R434" s="2" t="inlineStr"/>
    </row>
    <row r="435" ht="15" customHeight="1">
      <c r="A435" t="inlineStr">
        <is>
          <t>A 13855-2023</t>
        </is>
      </c>
      <c r="B435" s="1" t="n">
        <v>45007</v>
      </c>
      <c r="C435" s="1" t="n">
        <v>46202</v>
      </c>
      <c r="D435" t="inlineStr">
        <is>
          <t>VÄSTMANLANDS LÄN</t>
        </is>
      </c>
      <c r="E435" t="inlineStr">
        <is>
          <t>SALA</t>
        </is>
      </c>
      <c r="G435" t="n">
        <v>2.9</v>
      </c>
      <c r="H435" t="n">
        <v>0</v>
      </c>
      <c r="I435" t="n">
        <v>0</v>
      </c>
      <c r="J435" t="n">
        <v>0</v>
      </c>
      <c r="K435" t="n">
        <v>0</v>
      </c>
      <c r="L435" t="n">
        <v>0</v>
      </c>
      <c r="M435" t="n">
        <v>0</v>
      </c>
      <c r="N435" t="n">
        <v>0</v>
      </c>
      <c r="O435" t="n">
        <v>0</v>
      </c>
      <c r="P435" t="n">
        <v>0</v>
      </c>
      <c r="Q435" t="n">
        <v>0</v>
      </c>
      <c r="R435" s="2" t="inlineStr"/>
    </row>
    <row r="436" ht="15" customHeight="1">
      <c r="A436" t="inlineStr">
        <is>
          <t>A 33309-2022</t>
        </is>
      </c>
      <c r="B436" s="1" t="n">
        <v>44788</v>
      </c>
      <c r="C436" s="1" t="n">
        <v>46202</v>
      </c>
      <c r="D436" t="inlineStr">
        <is>
          <t>VÄSTMANLANDS LÄN</t>
        </is>
      </c>
      <c r="E436" t="inlineStr">
        <is>
          <t>SALA</t>
        </is>
      </c>
      <c r="G436" t="n">
        <v>2.6</v>
      </c>
      <c r="H436" t="n">
        <v>0</v>
      </c>
      <c r="I436" t="n">
        <v>0</v>
      </c>
      <c r="J436" t="n">
        <v>0</v>
      </c>
      <c r="K436" t="n">
        <v>0</v>
      </c>
      <c r="L436" t="n">
        <v>0</v>
      </c>
      <c r="M436" t="n">
        <v>0</v>
      </c>
      <c r="N436" t="n">
        <v>0</v>
      </c>
      <c r="O436" t="n">
        <v>0</v>
      </c>
      <c r="P436" t="n">
        <v>0</v>
      </c>
      <c r="Q436" t="n">
        <v>0</v>
      </c>
      <c r="R436" s="2" t="inlineStr"/>
    </row>
    <row r="437" ht="15" customHeight="1">
      <c r="A437" t="inlineStr">
        <is>
          <t>A 47909-2022</t>
        </is>
      </c>
      <c r="B437" s="1" t="n">
        <v>44855</v>
      </c>
      <c r="C437" s="1" t="n">
        <v>46202</v>
      </c>
      <c r="D437" t="inlineStr">
        <is>
          <t>VÄSTMANLANDS LÄN</t>
        </is>
      </c>
      <c r="E437" t="inlineStr">
        <is>
          <t>SALA</t>
        </is>
      </c>
      <c r="F437" t="inlineStr">
        <is>
          <t>Bergvik skog öst AB</t>
        </is>
      </c>
      <c r="G437" t="n">
        <v>2</v>
      </c>
      <c r="H437" t="n">
        <v>0</v>
      </c>
      <c r="I437" t="n">
        <v>0</v>
      </c>
      <c r="J437" t="n">
        <v>0</v>
      </c>
      <c r="K437" t="n">
        <v>0</v>
      </c>
      <c r="L437" t="n">
        <v>0</v>
      </c>
      <c r="M437" t="n">
        <v>0</v>
      </c>
      <c r="N437" t="n">
        <v>0</v>
      </c>
      <c r="O437" t="n">
        <v>0</v>
      </c>
      <c r="P437" t="n">
        <v>0</v>
      </c>
      <c r="Q437" t="n">
        <v>0</v>
      </c>
      <c r="R437" s="2" t="inlineStr"/>
    </row>
    <row r="438" ht="15" customHeight="1">
      <c r="A438" t="inlineStr">
        <is>
          <t>A 49640-2025</t>
        </is>
      </c>
      <c r="B438" s="1" t="n">
        <v>45939</v>
      </c>
      <c r="C438" s="1" t="n">
        <v>46202</v>
      </c>
      <c r="D438" t="inlineStr">
        <is>
          <t>VÄSTMANLANDS LÄN</t>
        </is>
      </c>
      <c r="E438" t="inlineStr">
        <is>
          <t>SALA</t>
        </is>
      </c>
      <c r="F438" t="inlineStr">
        <is>
          <t>Kommuner</t>
        </is>
      </c>
      <c r="G438" t="n">
        <v>18.8</v>
      </c>
      <c r="H438" t="n">
        <v>0</v>
      </c>
      <c r="I438" t="n">
        <v>0</v>
      </c>
      <c r="J438" t="n">
        <v>0</v>
      </c>
      <c r="K438" t="n">
        <v>0</v>
      </c>
      <c r="L438" t="n">
        <v>0</v>
      </c>
      <c r="M438" t="n">
        <v>0</v>
      </c>
      <c r="N438" t="n">
        <v>0</v>
      </c>
      <c r="O438" t="n">
        <v>0</v>
      </c>
      <c r="P438" t="n">
        <v>0</v>
      </c>
      <c r="Q438" t="n">
        <v>0</v>
      </c>
      <c r="R438" s="2" t="inlineStr"/>
    </row>
    <row r="439" ht="15" customHeight="1">
      <c r="A439" t="inlineStr">
        <is>
          <t>A 7176-2023</t>
        </is>
      </c>
      <c r="B439" s="1" t="n">
        <v>44970</v>
      </c>
      <c r="C439" s="1" t="n">
        <v>46202</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43600-2024</t>
        </is>
      </c>
      <c r="B440" s="1" t="n">
        <v>45569</v>
      </c>
      <c r="C440" s="1" t="n">
        <v>46202</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31405-2024</t>
        </is>
      </c>
      <c r="B441" s="1" t="n">
        <v>45505</v>
      </c>
      <c r="C441" s="1" t="n">
        <v>46202</v>
      </c>
      <c r="D441" t="inlineStr">
        <is>
          <t>VÄSTMANLANDS LÄN</t>
        </is>
      </c>
      <c r="E441" t="inlineStr">
        <is>
          <t>SALA</t>
        </is>
      </c>
      <c r="G441" t="n">
        <v>5.2</v>
      </c>
      <c r="H441" t="n">
        <v>0</v>
      </c>
      <c r="I441" t="n">
        <v>0</v>
      </c>
      <c r="J441" t="n">
        <v>0</v>
      </c>
      <c r="K441" t="n">
        <v>0</v>
      </c>
      <c r="L441" t="n">
        <v>0</v>
      </c>
      <c r="M441" t="n">
        <v>0</v>
      </c>
      <c r="N441" t="n">
        <v>0</v>
      </c>
      <c r="O441" t="n">
        <v>0</v>
      </c>
      <c r="P441" t="n">
        <v>0</v>
      </c>
      <c r="Q441" t="n">
        <v>0</v>
      </c>
      <c r="R441" s="2" t="inlineStr"/>
    </row>
    <row r="442" ht="15" customHeight="1">
      <c r="A442" t="inlineStr">
        <is>
          <t>A 52498-2022</t>
        </is>
      </c>
      <c r="B442" s="1" t="n">
        <v>44874</v>
      </c>
      <c r="C442" s="1" t="n">
        <v>46202</v>
      </c>
      <c r="D442" t="inlineStr">
        <is>
          <t>VÄSTMANLANDS LÄN</t>
        </is>
      </c>
      <c r="E442" t="inlineStr">
        <is>
          <t>SALA</t>
        </is>
      </c>
      <c r="G442" t="n">
        <v>2.1</v>
      </c>
      <c r="H442" t="n">
        <v>0</v>
      </c>
      <c r="I442" t="n">
        <v>0</v>
      </c>
      <c r="J442" t="n">
        <v>0</v>
      </c>
      <c r="K442" t="n">
        <v>0</v>
      </c>
      <c r="L442" t="n">
        <v>0</v>
      </c>
      <c r="M442" t="n">
        <v>0</v>
      </c>
      <c r="N442" t="n">
        <v>0</v>
      </c>
      <c r="O442" t="n">
        <v>0</v>
      </c>
      <c r="P442" t="n">
        <v>0</v>
      </c>
      <c r="Q442" t="n">
        <v>0</v>
      </c>
      <c r="R442" s="2" t="inlineStr"/>
    </row>
    <row r="443" ht="15" customHeight="1">
      <c r="A443" t="inlineStr">
        <is>
          <t>A 50119-2025</t>
        </is>
      </c>
      <c r="B443" s="1" t="n">
        <v>45943</v>
      </c>
      <c r="C443" s="1" t="n">
        <v>46202</v>
      </c>
      <c r="D443" t="inlineStr">
        <is>
          <t>VÄSTMANLANDS LÄN</t>
        </is>
      </c>
      <c r="E443" t="inlineStr">
        <is>
          <t>SALA</t>
        </is>
      </c>
      <c r="G443" t="n">
        <v>3.3</v>
      </c>
      <c r="H443" t="n">
        <v>0</v>
      </c>
      <c r="I443" t="n">
        <v>0</v>
      </c>
      <c r="J443" t="n">
        <v>0</v>
      </c>
      <c r="K443" t="n">
        <v>0</v>
      </c>
      <c r="L443" t="n">
        <v>0</v>
      </c>
      <c r="M443" t="n">
        <v>0</v>
      </c>
      <c r="N443" t="n">
        <v>0</v>
      </c>
      <c r="O443" t="n">
        <v>0</v>
      </c>
      <c r="P443" t="n">
        <v>0</v>
      </c>
      <c r="Q443" t="n">
        <v>0</v>
      </c>
      <c r="R443" s="2" t="inlineStr"/>
    </row>
    <row r="444" ht="15" customHeight="1">
      <c r="A444" t="inlineStr">
        <is>
          <t>A 22353-2025</t>
        </is>
      </c>
      <c r="B444" s="1" t="n">
        <v>45786</v>
      </c>
      <c r="C444" s="1" t="n">
        <v>46202</v>
      </c>
      <c r="D444" t="inlineStr">
        <is>
          <t>VÄSTMANLANDS LÄN</t>
        </is>
      </c>
      <c r="E444" t="inlineStr">
        <is>
          <t>SALA</t>
        </is>
      </c>
      <c r="G444" t="n">
        <v>2.5</v>
      </c>
      <c r="H444" t="n">
        <v>0</v>
      </c>
      <c r="I444" t="n">
        <v>0</v>
      </c>
      <c r="J444" t="n">
        <v>0</v>
      </c>
      <c r="K444" t="n">
        <v>0</v>
      </c>
      <c r="L444" t="n">
        <v>0</v>
      </c>
      <c r="M444" t="n">
        <v>0</v>
      </c>
      <c r="N444" t="n">
        <v>0</v>
      </c>
      <c r="O444" t="n">
        <v>0</v>
      </c>
      <c r="P444" t="n">
        <v>0</v>
      </c>
      <c r="Q444" t="n">
        <v>0</v>
      </c>
      <c r="R444" s="2" t="inlineStr"/>
    </row>
    <row r="445" ht="15" customHeight="1">
      <c r="A445" t="inlineStr">
        <is>
          <t>A 50059-2025</t>
        </is>
      </c>
      <c r="B445" s="1" t="n">
        <v>45943</v>
      </c>
      <c r="C445" s="1" t="n">
        <v>46202</v>
      </c>
      <c r="D445" t="inlineStr">
        <is>
          <t>VÄSTMANLANDS LÄN</t>
        </is>
      </c>
      <c r="E445" t="inlineStr">
        <is>
          <t>SALA</t>
        </is>
      </c>
      <c r="G445" t="n">
        <v>4.4</v>
      </c>
      <c r="H445" t="n">
        <v>0</v>
      </c>
      <c r="I445" t="n">
        <v>0</v>
      </c>
      <c r="J445" t="n">
        <v>0</v>
      </c>
      <c r="K445" t="n">
        <v>0</v>
      </c>
      <c r="L445" t="n">
        <v>0</v>
      </c>
      <c r="M445" t="n">
        <v>0</v>
      </c>
      <c r="N445" t="n">
        <v>0</v>
      </c>
      <c r="O445" t="n">
        <v>0</v>
      </c>
      <c r="P445" t="n">
        <v>0</v>
      </c>
      <c r="Q445" t="n">
        <v>0</v>
      </c>
      <c r="R445" s="2" t="inlineStr"/>
    </row>
    <row r="446" ht="15" customHeight="1">
      <c r="A446" t="inlineStr">
        <is>
          <t>A 11183-2023</t>
        </is>
      </c>
      <c r="B446" s="1" t="n">
        <v>44992</v>
      </c>
      <c r="C446" s="1" t="n">
        <v>46202</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11190-2023</t>
        </is>
      </c>
      <c r="B447" s="1" t="n">
        <v>44992</v>
      </c>
      <c r="C447" s="1" t="n">
        <v>46202</v>
      </c>
      <c r="D447" t="inlineStr">
        <is>
          <t>VÄSTMANLANDS LÄN</t>
        </is>
      </c>
      <c r="E447" t="inlineStr">
        <is>
          <t>SALA</t>
        </is>
      </c>
      <c r="G447" t="n">
        <v>1</v>
      </c>
      <c r="H447" t="n">
        <v>0</v>
      </c>
      <c r="I447" t="n">
        <v>0</v>
      </c>
      <c r="J447" t="n">
        <v>0</v>
      </c>
      <c r="K447" t="n">
        <v>0</v>
      </c>
      <c r="L447" t="n">
        <v>0</v>
      </c>
      <c r="M447" t="n">
        <v>0</v>
      </c>
      <c r="N447" t="n">
        <v>0</v>
      </c>
      <c r="O447" t="n">
        <v>0</v>
      </c>
      <c r="P447" t="n">
        <v>0</v>
      </c>
      <c r="Q447" t="n">
        <v>0</v>
      </c>
      <c r="R447" s="2" t="inlineStr"/>
    </row>
    <row r="448" ht="15" customHeight="1">
      <c r="A448" t="inlineStr">
        <is>
          <t>A 40559-2025</t>
        </is>
      </c>
      <c r="B448" s="1" t="n">
        <v>45896</v>
      </c>
      <c r="C448" s="1" t="n">
        <v>46202</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40556-2025</t>
        </is>
      </c>
      <c r="B449" s="1" t="n">
        <v>45896</v>
      </c>
      <c r="C449" s="1" t="n">
        <v>46202</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22383-2025</t>
        </is>
      </c>
      <c r="B450" s="1" t="n">
        <v>45786</v>
      </c>
      <c r="C450" s="1" t="n">
        <v>46202</v>
      </c>
      <c r="D450" t="inlineStr">
        <is>
          <t>VÄSTMANLANDS LÄN</t>
        </is>
      </c>
      <c r="E450" t="inlineStr">
        <is>
          <t>SALA</t>
        </is>
      </c>
      <c r="G450" t="n">
        <v>2.2</v>
      </c>
      <c r="H450" t="n">
        <v>0</v>
      </c>
      <c r="I450" t="n">
        <v>0</v>
      </c>
      <c r="J450" t="n">
        <v>0</v>
      </c>
      <c r="K450" t="n">
        <v>0</v>
      </c>
      <c r="L450" t="n">
        <v>0</v>
      </c>
      <c r="M450" t="n">
        <v>0</v>
      </c>
      <c r="N450" t="n">
        <v>0</v>
      </c>
      <c r="O450" t="n">
        <v>0</v>
      </c>
      <c r="P450" t="n">
        <v>0</v>
      </c>
      <c r="Q450" t="n">
        <v>0</v>
      </c>
      <c r="R450" s="2" t="inlineStr"/>
    </row>
    <row r="451" ht="15" customHeight="1">
      <c r="A451" t="inlineStr">
        <is>
          <t>A 53838-2022</t>
        </is>
      </c>
      <c r="B451" s="1" t="n">
        <v>44880</v>
      </c>
      <c r="C451" s="1" t="n">
        <v>46202</v>
      </c>
      <c r="D451" t="inlineStr">
        <is>
          <t>VÄSTMANLANDS LÄN</t>
        </is>
      </c>
      <c r="E451" t="inlineStr">
        <is>
          <t>SALA</t>
        </is>
      </c>
      <c r="G451" t="n">
        <v>3.9</v>
      </c>
      <c r="H451" t="n">
        <v>0</v>
      </c>
      <c r="I451" t="n">
        <v>0</v>
      </c>
      <c r="J451" t="n">
        <v>0</v>
      </c>
      <c r="K451" t="n">
        <v>0</v>
      </c>
      <c r="L451" t="n">
        <v>0</v>
      </c>
      <c r="M451" t="n">
        <v>0</v>
      </c>
      <c r="N451" t="n">
        <v>0</v>
      </c>
      <c r="O451" t="n">
        <v>0</v>
      </c>
      <c r="P451" t="n">
        <v>0</v>
      </c>
      <c r="Q451" t="n">
        <v>0</v>
      </c>
      <c r="R451" s="2" t="inlineStr"/>
    </row>
    <row r="452" ht="15" customHeight="1">
      <c r="A452" t="inlineStr">
        <is>
          <t>A 51764-2025</t>
        </is>
      </c>
      <c r="B452" s="1" t="n">
        <v>45951</v>
      </c>
      <c r="C452" s="1" t="n">
        <v>46202</v>
      </c>
      <c r="D452" t="inlineStr">
        <is>
          <t>VÄSTMANLANDS LÄN</t>
        </is>
      </c>
      <c r="E452" t="inlineStr">
        <is>
          <t>SALA</t>
        </is>
      </c>
      <c r="G452" t="n">
        <v>1.5</v>
      </c>
      <c r="H452" t="n">
        <v>0</v>
      </c>
      <c r="I452" t="n">
        <v>0</v>
      </c>
      <c r="J452" t="n">
        <v>0</v>
      </c>
      <c r="K452" t="n">
        <v>0</v>
      </c>
      <c r="L452" t="n">
        <v>0</v>
      </c>
      <c r="M452" t="n">
        <v>0</v>
      </c>
      <c r="N452" t="n">
        <v>0</v>
      </c>
      <c r="O452" t="n">
        <v>0</v>
      </c>
      <c r="P452" t="n">
        <v>0</v>
      </c>
      <c r="Q452" t="n">
        <v>0</v>
      </c>
      <c r="R452" s="2" t="inlineStr"/>
    </row>
    <row r="453" ht="15" customHeight="1">
      <c r="A453" t="inlineStr">
        <is>
          <t>A 51626-2025</t>
        </is>
      </c>
      <c r="B453" s="1" t="n">
        <v>45951</v>
      </c>
      <c r="C453" s="1" t="n">
        <v>46202</v>
      </c>
      <c r="D453" t="inlineStr">
        <is>
          <t>VÄSTMANLANDS LÄN</t>
        </is>
      </c>
      <c r="E453" t="inlineStr">
        <is>
          <t>SALA</t>
        </is>
      </c>
      <c r="G453" t="n">
        <v>2.6</v>
      </c>
      <c r="H453" t="n">
        <v>0</v>
      </c>
      <c r="I453" t="n">
        <v>0</v>
      </c>
      <c r="J453" t="n">
        <v>0</v>
      </c>
      <c r="K453" t="n">
        <v>0</v>
      </c>
      <c r="L453" t="n">
        <v>0</v>
      </c>
      <c r="M453" t="n">
        <v>0</v>
      </c>
      <c r="N453" t="n">
        <v>0</v>
      </c>
      <c r="O453" t="n">
        <v>0</v>
      </c>
      <c r="P453" t="n">
        <v>0</v>
      </c>
      <c r="Q453" t="n">
        <v>0</v>
      </c>
      <c r="R453" s="2" t="inlineStr"/>
    </row>
    <row r="454" ht="15" customHeight="1">
      <c r="A454" t="inlineStr">
        <is>
          <t>A 28827-2022</t>
        </is>
      </c>
      <c r="B454" s="1" t="n">
        <v>44749</v>
      </c>
      <c r="C454" s="1" t="n">
        <v>46202</v>
      </c>
      <c r="D454" t="inlineStr">
        <is>
          <t>VÄSTMANLANDS LÄN</t>
        </is>
      </c>
      <c r="E454" t="inlineStr">
        <is>
          <t>SALA</t>
        </is>
      </c>
      <c r="F454" t="inlineStr">
        <is>
          <t>Kommuner</t>
        </is>
      </c>
      <c r="G454" t="n">
        <v>11.9</v>
      </c>
      <c r="H454" t="n">
        <v>0</v>
      </c>
      <c r="I454" t="n">
        <v>0</v>
      </c>
      <c r="J454" t="n">
        <v>0</v>
      </c>
      <c r="K454" t="n">
        <v>0</v>
      </c>
      <c r="L454" t="n">
        <v>0</v>
      </c>
      <c r="M454" t="n">
        <v>0</v>
      </c>
      <c r="N454" t="n">
        <v>0</v>
      </c>
      <c r="O454" t="n">
        <v>0</v>
      </c>
      <c r="P454" t="n">
        <v>0</v>
      </c>
      <c r="Q454" t="n">
        <v>0</v>
      </c>
      <c r="R454" s="2" t="inlineStr"/>
    </row>
    <row r="455" ht="15" customHeight="1">
      <c r="A455" t="inlineStr">
        <is>
          <t>A 54836-2024</t>
        </is>
      </c>
      <c r="B455" s="1" t="n">
        <v>45618</v>
      </c>
      <c r="C455" s="1" t="n">
        <v>46202</v>
      </c>
      <c r="D455" t="inlineStr">
        <is>
          <t>VÄSTMANLANDS LÄN</t>
        </is>
      </c>
      <c r="E455" t="inlineStr">
        <is>
          <t>SALA</t>
        </is>
      </c>
      <c r="G455" t="n">
        <v>0.6</v>
      </c>
      <c r="H455" t="n">
        <v>0</v>
      </c>
      <c r="I455" t="n">
        <v>0</v>
      </c>
      <c r="J455" t="n">
        <v>0</v>
      </c>
      <c r="K455" t="n">
        <v>0</v>
      </c>
      <c r="L455" t="n">
        <v>0</v>
      </c>
      <c r="M455" t="n">
        <v>0</v>
      </c>
      <c r="N455" t="n">
        <v>0</v>
      </c>
      <c r="O455" t="n">
        <v>0</v>
      </c>
      <c r="P455" t="n">
        <v>0</v>
      </c>
      <c r="Q455" t="n">
        <v>0</v>
      </c>
      <c r="R455" s="2" t="inlineStr"/>
    </row>
    <row r="456" ht="15" customHeight="1">
      <c r="A456" t="inlineStr">
        <is>
          <t>A 64729-2023</t>
        </is>
      </c>
      <c r="B456" s="1" t="n">
        <v>45281</v>
      </c>
      <c r="C456" s="1" t="n">
        <v>46202</v>
      </c>
      <c r="D456" t="inlineStr">
        <is>
          <t>VÄSTMANLANDS LÄN</t>
        </is>
      </c>
      <c r="E456" t="inlineStr">
        <is>
          <t>SALA</t>
        </is>
      </c>
      <c r="G456" t="n">
        <v>1.8</v>
      </c>
      <c r="H456" t="n">
        <v>0</v>
      </c>
      <c r="I456" t="n">
        <v>0</v>
      </c>
      <c r="J456" t="n">
        <v>0</v>
      </c>
      <c r="K456" t="n">
        <v>0</v>
      </c>
      <c r="L456" t="n">
        <v>0</v>
      </c>
      <c r="M456" t="n">
        <v>0</v>
      </c>
      <c r="N456" t="n">
        <v>0</v>
      </c>
      <c r="O456" t="n">
        <v>0</v>
      </c>
      <c r="P456" t="n">
        <v>0</v>
      </c>
      <c r="Q456" t="n">
        <v>0</v>
      </c>
      <c r="R456" s="2" t="inlineStr"/>
    </row>
    <row r="457" ht="15" customHeight="1">
      <c r="A457" t="inlineStr">
        <is>
          <t>A 21968-2024</t>
        </is>
      </c>
      <c r="B457" s="1" t="n">
        <v>45443</v>
      </c>
      <c r="C457" s="1" t="n">
        <v>46202</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10585-2022</t>
        </is>
      </c>
      <c r="B458" s="1" t="n">
        <v>44624</v>
      </c>
      <c r="C458" s="1" t="n">
        <v>46202</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42421-2025</t>
        </is>
      </c>
      <c r="B459" s="1" t="n">
        <v>45905</v>
      </c>
      <c r="C459" s="1" t="n">
        <v>46202</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31609-2024</t>
        </is>
      </c>
      <c r="B460" s="1" t="n">
        <v>45506</v>
      </c>
      <c r="C460" s="1" t="n">
        <v>46202</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37263-2025</t>
        </is>
      </c>
      <c r="B461" s="1" t="n">
        <v>45876</v>
      </c>
      <c r="C461" s="1" t="n">
        <v>46202</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22370-2025</t>
        </is>
      </c>
      <c r="B462" s="1" t="n">
        <v>45786</v>
      </c>
      <c r="C462" s="1" t="n">
        <v>46202</v>
      </c>
      <c r="D462" t="inlineStr">
        <is>
          <t>VÄSTMANLANDS LÄN</t>
        </is>
      </c>
      <c r="E462" t="inlineStr">
        <is>
          <t>SALA</t>
        </is>
      </c>
      <c r="G462" t="n">
        <v>3.2</v>
      </c>
      <c r="H462" t="n">
        <v>0</v>
      </c>
      <c r="I462" t="n">
        <v>0</v>
      </c>
      <c r="J462" t="n">
        <v>0</v>
      </c>
      <c r="K462" t="n">
        <v>0</v>
      </c>
      <c r="L462" t="n">
        <v>0</v>
      </c>
      <c r="M462" t="n">
        <v>0</v>
      </c>
      <c r="N462" t="n">
        <v>0</v>
      </c>
      <c r="O462" t="n">
        <v>0</v>
      </c>
      <c r="P462" t="n">
        <v>0</v>
      </c>
      <c r="Q462" t="n">
        <v>0</v>
      </c>
      <c r="R462" s="2" t="inlineStr"/>
    </row>
    <row r="463" ht="15" customHeight="1">
      <c r="A463" t="inlineStr">
        <is>
          <t>A 56057-2023</t>
        </is>
      </c>
      <c r="B463" s="1" t="n">
        <v>45233</v>
      </c>
      <c r="C463" s="1" t="n">
        <v>46202</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13130-2025</t>
        </is>
      </c>
      <c r="B464" s="1" t="n">
        <v>45734</v>
      </c>
      <c r="C464" s="1" t="n">
        <v>46202</v>
      </c>
      <c r="D464" t="inlineStr">
        <is>
          <t>VÄSTMANLANDS LÄN</t>
        </is>
      </c>
      <c r="E464" t="inlineStr">
        <is>
          <t>SALA</t>
        </is>
      </c>
      <c r="G464" t="n">
        <v>1.5</v>
      </c>
      <c r="H464" t="n">
        <v>0</v>
      </c>
      <c r="I464" t="n">
        <v>0</v>
      </c>
      <c r="J464" t="n">
        <v>0</v>
      </c>
      <c r="K464" t="n">
        <v>0</v>
      </c>
      <c r="L464" t="n">
        <v>0</v>
      </c>
      <c r="M464" t="n">
        <v>0</v>
      </c>
      <c r="N464" t="n">
        <v>0</v>
      </c>
      <c r="O464" t="n">
        <v>0</v>
      </c>
      <c r="P464" t="n">
        <v>0</v>
      </c>
      <c r="Q464" t="n">
        <v>0</v>
      </c>
      <c r="R464" s="2" t="inlineStr"/>
    </row>
    <row r="465" ht="15" customHeight="1">
      <c r="A465" t="inlineStr">
        <is>
          <t>A 43128-2025</t>
        </is>
      </c>
      <c r="B465" s="1" t="n">
        <v>45909</v>
      </c>
      <c r="C465" s="1" t="n">
        <v>46202</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40554-2025</t>
        </is>
      </c>
      <c r="B466" s="1" t="n">
        <v>45896</v>
      </c>
      <c r="C466" s="1" t="n">
        <v>46202</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43130-2025</t>
        </is>
      </c>
      <c r="B467" s="1" t="n">
        <v>45909</v>
      </c>
      <c r="C467" s="1" t="n">
        <v>46202</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43028-2025</t>
        </is>
      </c>
      <c r="B468" s="1" t="n">
        <v>45909</v>
      </c>
      <c r="C468" s="1" t="n">
        <v>46202</v>
      </c>
      <c r="D468" t="inlineStr">
        <is>
          <t>VÄSTMANLANDS LÄN</t>
        </is>
      </c>
      <c r="E468" t="inlineStr">
        <is>
          <t>SALA</t>
        </is>
      </c>
      <c r="G468" t="n">
        <v>3.8</v>
      </c>
      <c r="H468" t="n">
        <v>0</v>
      </c>
      <c r="I468" t="n">
        <v>0</v>
      </c>
      <c r="J468" t="n">
        <v>0</v>
      </c>
      <c r="K468" t="n">
        <v>0</v>
      </c>
      <c r="L468" t="n">
        <v>0</v>
      </c>
      <c r="M468" t="n">
        <v>0</v>
      </c>
      <c r="N468" t="n">
        <v>0</v>
      </c>
      <c r="O468" t="n">
        <v>0</v>
      </c>
      <c r="P468" t="n">
        <v>0</v>
      </c>
      <c r="Q468" t="n">
        <v>0</v>
      </c>
      <c r="R468" s="2" t="inlineStr"/>
    </row>
    <row r="469" ht="15" customHeight="1">
      <c r="A469" t="inlineStr">
        <is>
          <t>A 43031-2025</t>
        </is>
      </c>
      <c r="B469" s="1" t="n">
        <v>45909</v>
      </c>
      <c r="C469" s="1" t="n">
        <v>46202</v>
      </c>
      <c r="D469" t="inlineStr">
        <is>
          <t>VÄSTMANLANDS LÄN</t>
        </is>
      </c>
      <c r="E469" t="inlineStr">
        <is>
          <t>SALA</t>
        </is>
      </c>
      <c r="G469" t="n">
        <v>0.2</v>
      </c>
      <c r="H469" t="n">
        <v>0</v>
      </c>
      <c r="I469" t="n">
        <v>0</v>
      </c>
      <c r="J469" t="n">
        <v>0</v>
      </c>
      <c r="K469" t="n">
        <v>0</v>
      </c>
      <c r="L469" t="n">
        <v>0</v>
      </c>
      <c r="M469" t="n">
        <v>0</v>
      </c>
      <c r="N469" t="n">
        <v>0</v>
      </c>
      <c r="O469" t="n">
        <v>0</v>
      </c>
      <c r="P469" t="n">
        <v>0</v>
      </c>
      <c r="Q469" t="n">
        <v>0</v>
      </c>
      <c r="R469" s="2" t="inlineStr"/>
    </row>
    <row r="470" ht="15" customHeight="1">
      <c r="A470" t="inlineStr">
        <is>
          <t>A 62635-2022</t>
        </is>
      </c>
      <c r="B470" s="1" t="n">
        <v>44917</v>
      </c>
      <c r="C470" s="1" t="n">
        <v>46202</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4852-2023</t>
        </is>
      </c>
      <c r="B471" s="1" t="n">
        <v>44957</v>
      </c>
      <c r="C471" s="1" t="n">
        <v>46202</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39714-2023</t>
        </is>
      </c>
      <c r="B472" s="1" t="n">
        <v>45167</v>
      </c>
      <c r="C472" s="1" t="n">
        <v>46202</v>
      </c>
      <c r="D472" t="inlineStr">
        <is>
          <t>VÄSTMANLANDS LÄN</t>
        </is>
      </c>
      <c r="E472" t="inlineStr">
        <is>
          <t>SALA</t>
        </is>
      </c>
      <c r="G472" t="n">
        <v>1.3</v>
      </c>
      <c r="H472" t="n">
        <v>0</v>
      </c>
      <c r="I472" t="n">
        <v>0</v>
      </c>
      <c r="J472" t="n">
        <v>0</v>
      </c>
      <c r="K472" t="n">
        <v>0</v>
      </c>
      <c r="L472" t="n">
        <v>0</v>
      </c>
      <c r="M472" t="n">
        <v>0</v>
      </c>
      <c r="N472" t="n">
        <v>0</v>
      </c>
      <c r="O472" t="n">
        <v>0</v>
      </c>
      <c r="P472" t="n">
        <v>0</v>
      </c>
      <c r="Q472" t="n">
        <v>0</v>
      </c>
      <c r="R472" s="2" t="inlineStr"/>
    </row>
    <row r="473" ht="15" customHeight="1">
      <c r="A473" t="inlineStr">
        <is>
          <t>A 53725-2025</t>
        </is>
      </c>
      <c r="B473" s="1" t="n">
        <v>45960</v>
      </c>
      <c r="C473" s="1" t="n">
        <v>46202</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42984-2023</t>
        </is>
      </c>
      <c r="B474" s="1" t="n">
        <v>45179</v>
      </c>
      <c r="C474" s="1" t="n">
        <v>46202</v>
      </c>
      <c r="D474" t="inlineStr">
        <is>
          <t>VÄSTMANLANDS LÄN</t>
        </is>
      </c>
      <c r="E474" t="inlineStr">
        <is>
          <t>SALA</t>
        </is>
      </c>
      <c r="G474" t="n">
        <v>1.1</v>
      </c>
      <c r="H474" t="n">
        <v>0</v>
      </c>
      <c r="I474" t="n">
        <v>0</v>
      </c>
      <c r="J474" t="n">
        <v>0</v>
      </c>
      <c r="K474" t="n">
        <v>0</v>
      </c>
      <c r="L474" t="n">
        <v>0</v>
      </c>
      <c r="M474" t="n">
        <v>0</v>
      </c>
      <c r="N474" t="n">
        <v>0</v>
      </c>
      <c r="O474" t="n">
        <v>0</v>
      </c>
      <c r="P474" t="n">
        <v>0</v>
      </c>
      <c r="Q474" t="n">
        <v>0</v>
      </c>
      <c r="R474" s="2" t="inlineStr"/>
    </row>
    <row r="475" ht="15" customHeight="1">
      <c r="A475" t="inlineStr">
        <is>
          <t>A 23804-2025</t>
        </is>
      </c>
      <c r="B475" s="1" t="n">
        <v>45793</v>
      </c>
      <c r="C475" s="1" t="n">
        <v>46202</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22126-2025</t>
        </is>
      </c>
      <c r="B476" s="1" t="n">
        <v>45785</v>
      </c>
      <c r="C476" s="1" t="n">
        <v>46202</v>
      </c>
      <c r="D476" t="inlineStr">
        <is>
          <t>VÄSTMANLANDS LÄN</t>
        </is>
      </c>
      <c r="E476" t="inlineStr">
        <is>
          <t>SALA</t>
        </is>
      </c>
      <c r="G476" t="n">
        <v>10.6</v>
      </c>
      <c r="H476" t="n">
        <v>0</v>
      </c>
      <c r="I476" t="n">
        <v>0</v>
      </c>
      <c r="J476" t="n">
        <v>0</v>
      </c>
      <c r="K476" t="n">
        <v>0</v>
      </c>
      <c r="L476" t="n">
        <v>0</v>
      </c>
      <c r="M476" t="n">
        <v>0</v>
      </c>
      <c r="N476" t="n">
        <v>0</v>
      </c>
      <c r="O476" t="n">
        <v>0</v>
      </c>
      <c r="P476" t="n">
        <v>0</v>
      </c>
      <c r="Q476" t="n">
        <v>0</v>
      </c>
      <c r="R476" s="2" t="inlineStr"/>
    </row>
    <row r="477" ht="15" customHeight="1">
      <c r="A477" t="inlineStr">
        <is>
          <t>A 19297-2025</t>
        </is>
      </c>
      <c r="B477" s="1" t="n">
        <v>45769</v>
      </c>
      <c r="C477" s="1" t="n">
        <v>46202</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53744-2025</t>
        </is>
      </c>
      <c r="B478" s="1" t="n">
        <v>45960</v>
      </c>
      <c r="C478" s="1" t="n">
        <v>46202</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23810-2025</t>
        </is>
      </c>
      <c r="B479" s="1" t="n">
        <v>45793</v>
      </c>
      <c r="C479" s="1" t="n">
        <v>46202</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53724-2025</t>
        </is>
      </c>
      <c r="B480" s="1" t="n">
        <v>45960</v>
      </c>
      <c r="C480" s="1" t="n">
        <v>46202</v>
      </c>
      <c r="D480" t="inlineStr">
        <is>
          <t>VÄSTMANLANDS LÄN</t>
        </is>
      </c>
      <c r="E480" t="inlineStr">
        <is>
          <t>SALA</t>
        </is>
      </c>
      <c r="G480" t="n">
        <v>2.8</v>
      </c>
      <c r="H480" t="n">
        <v>0</v>
      </c>
      <c r="I480" t="n">
        <v>0</v>
      </c>
      <c r="J480" t="n">
        <v>0</v>
      </c>
      <c r="K480" t="n">
        <v>0</v>
      </c>
      <c r="L480" t="n">
        <v>0</v>
      </c>
      <c r="M480" t="n">
        <v>0</v>
      </c>
      <c r="N480" t="n">
        <v>0</v>
      </c>
      <c r="O480" t="n">
        <v>0</v>
      </c>
      <c r="P480" t="n">
        <v>0</v>
      </c>
      <c r="Q480" t="n">
        <v>0</v>
      </c>
      <c r="R480" s="2" t="inlineStr"/>
    </row>
    <row r="481" ht="15" customHeight="1">
      <c r="A481" t="inlineStr">
        <is>
          <t>A 44524-2025</t>
        </is>
      </c>
      <c r="B481" s="1" t="n">
        <v>45916</v>
      </c>
      <c r="C481" s="1" t="n">
        <v>46202</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44486-2025</t>
        </is>
      </c>
      <c r="B482" s="1" t="n">
        <v>45916</v>
      </c>
      <c r="C482" s="1" t="n">
        <v>46202</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56535-2022</t>
        </is>
      </c>
      <c r="B483" s="1" t="n">
        <v>44893</v>
      </c>
      <c r="C483" s="1" t="n">
        <v>46202</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11210-2025</t>
        </is>
      </c>
      <c r="B484" s="1" t="n">
        <v>45726</v>
      </c>
      <c r="C484" s="1" t="n">
        <v>46202</v>
      </c>
      <c r="D484" t="inlineStr">
        <is>
          <t>VÄSTMANLANDS LÄN</t>
        </is>
      </c>
      <c r="E484" t="inlineStr">
        <is>
          <t>SALA</t>
        </is>
      </c>
      <c r="G484" t="n">
        <v>4.1</v>
      </c>
      <c r="H484" t="n">
        <v>0</v>
      </c>
      <c r="I484" t="n">
        <v>0</v>
      </c>
      <c r="J484" t="n">
        <v>0</v>
      </c>
      <c r="K484" t="n">
        <v>0</v>
      </c>
      <c r="L484" t="n">
        <v>0</v>
      </c>
      <c r="M484" t="n">
        <v>0</v>
      </c>
      <c r="N484" t="n">
        <v>0</v>
      </c>
      <c r="O484" t="n">
        <v>0</v>
      </c>
      <c r="P484" t="n">
        <v>0</v>
      </c>
      <c r="Q484" t="n">
        <v>0</v>
      </c>
      <c r="R484" s="2" t="inlineStr"/>
    </row>
    <row r="485" ht="15" customHeight="1">
      <c r="A485" t="inlineStr">
        <is>
          <t>A 24944-2023</t>
        </is>
      </c>
      <c r="B485" s="1" t="n">
        <v>45085</v>
      </c>
      <c r="C485" s="1" t="n">
        <v>46202</v>
      </c>
      <c r="D485" t="inlineStr">
        <is>
          <t>VÄSTMANLANDS LÄN</t>
        </is>
      </c>
      <c r="E485" t="inlineStr">
        <is>
          <t>SALA</t>
        </is>
      </c>
      <c r="G485" t="n">
        <v>3.8</v>
      </c>
      <c r="H485" t="n">
        <v>0</v>
      </c>
      <c r="I485" t="n">
        <v>0</v>
      </c>
      <c r="J485" t="n">
        <v>0</v>
      </c>
      <c r="K485" t="n">
        <v>0</v>
      </c>
      <c r="L485" t="n">
        <v>0</v>
      </c>
      <c r="M485" t="n">
        <v>0</v>
      </c>
      <c r="N485" t="n">
        <v>0</v>
      </c>
      <c r="O485" t="n">
        <v>0</v>
      </c>
      <c r="P485" t="n">
        <v>0</v>
      </c>
      <c r="Q485" t="n">
        <v>0</v>
      </c>
      <c r="R485" s="2" t="inlineStr"/>
    </row>
    <row r="486" ht="15" customHeight="1">
      <c r="A486" t="inlineStr">
        <is>
          <t>A 60550-2024</t>
        </is>
      </c>
      <c r="B486" s="1" t="n">
        <v>45643</v>
      </c>
      <c r="C486" s="1" t="n">
        <v>46202</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45371-2025</t>
        </is>
      </c>
      <c r="B487" s="1" t="n">
        <v>45922</v>
      </c>
      <c r="C487" s="1" t="n">
        <v>46202</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19033-2025</t>
        </is>
      </c>
      <c r="B488" s="1" t="n">
        <v>45764</v>
      </c>
      <c r="C488" s="1" t="n">
        <v>46202</v>
      </c>
      <c r="D488" t="inlineStr">
        <is>
          <t>VÄSTMANLANDS LÄN</t>
        </is>
      </c>
      <c r="E488" t="inlineStr">
        <is>
          <t>SALA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46915-2025</t>
        </is>
      </c>
      <c r="B489" s="1" t="n">
        <v>45929</v>
      </c>
      <c r="C489" s="1" t="n">
        <v>46202</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56593-2025</t>
        </is>
      </c>
      <c r="B490" s="1" t="n">
        <v>45975</v>
      </c>
      <c r="C490" s="1" t="n">
        <v>46202</v>
      </c>
      <c r="D490" t="inlineStr">
        <is>
          <t>VÄSTMANLANDS LÄN</t>
        </is>
      </c>
      <c r="E490" t="inlineStr">
        <is>
          <t>SALA</t>
        </is>
      </c>
      <c r="F490" t="inlineStr">
        <is>
          <t>Kyrkan</t>
        </is>
      </c>
      <c r="G490" t="n">
        <v>0.1</v>
      </c>
      <c r="H490" t="n">
        <v>0</v>
      </c>
      <c r="I490" t="n">
        <v>0</v>
      </c>
      <c r="J490" t="n">
        <v>0</v>
      </c>
      <c r="K490" t="n">
        <v>0</v>
      </c>
      <c r="L490" t="n">
        <v>0</v>
      </c>
      <c r="M490" t="n">
        <v>0</v>
      </c>
      <c r="N490" t="n">
        <v>0</v>
      </c>
      <c r="O490" t="n">
        <v>0</v>
      </c>
      <c r="P490" t="n">
        <v>0</v>
      </c>
      <c r="Q490" t="n">
        <v>0</v>
      </c>
      <c r="R490" s="2" t="inlineStr"/>
    </row>
    <row r="491" ht="15" customHeight="1">
      <c r="A491" t="inlineStr">
        <is>
          <t>A 56645-2025</t>
        </is>
      </c>
      <c r="B491" s="1" t="n">
        <v>45975</v>
      </c>
      <c r="C491" s="1" t="n">
        <v>46202</v>
      </c>
      <c r="D491" t="inlineStr">
        <is>
          <t>VÄSTMANLANDS LÄN</t>
        </is>
      </c>
      <c r="E491" t="inlineStr">
        <is>
          <t>SALA</t>
        </is>
      </c>
      <c r="F491" t="inlineStr">
        <is>
          <t>Bergvik skog öst AB</t>
        </is>
      </c>
      <c r="G491" t="n">
        <v>5.3</v>
      </c>
      <c r="H491" t="n">
        <v>0</v>
      </c>
      <c r="I491" t="n">
        <v>0</v>
      </c>
      <c r="J491" t="n">
        <v>0</v>
      </c>
      <c r="K491" t="n">
        <v>0</v>
      </c>
      <c r="L491" t="n">
        <v>0</v>
      </c>
      <c r="M491" t="n">
        <v>0</v>
      </c>
      <c r="N491" t="n">
        <v>0</v>
      </c>
      <c r="O491" t="n">
        <v>0</v>
      </c>
      <c r="P491" t="n">
        <v>0</v>
      </c>
      <c r="Q491" t="n">
        <v>0</v>
      </c>
      <c r="R491" s="2" t="inlineStr"/>
    </row>
    <row r="492" ht="15" customHeight="1">
      <c r="A492" t="inlineStr">
        <is>
          <t>A 56614-2025</t>
        </is>
      </c>
      <c r="B492" s="1" t="n">
        <v>45975</v>
      </c>
      <c r="C492" s="1" t="n">
        <v>46202</v>
      </c>
      <c r="D492" t="inlineStr">
        <is>
          <t>VÄSTMANLANDS LÄN</t>
        </is>
      </c>
      <c r="E492" t="inlineStr">
        <is>
          <t>SALA</t>
        </is>
      </c>
      <c r="G492" t="n">
        <v>1.4</v>
      </c>
      <c r="H492" t="n">
        <v>0</v>
      </c>
      <c r="I492" t="n">
        <v>0</v>
      </c>
      <c r="J492" t="n">
        <v>0</v>
      </c>
      <c r="K492" t="n">
        <v>0</v>
      </c>
      <c r="L492" t="n">
        <v>0</v>
      </c>
      <c r="M492" t="n">
        <v>0</v>
      </c>
      <c r="N492" t="n">
        <v>0</v>
      </c>
      <c r="O492" t="n">
        <v>0</v>
      </c>
      <c r="P492" t="n">
        <v>0</v>
      </c>
      <c r="Q492" t="n">
        <v>0</v>
      </c>
      <c r="R492" s="2" t="inlineStr"/>
    </row>
    <row r="493" ht="15" customHeight="1">
      <c r="A493" t="inlineStr">
        <is>
          <t>A 56611-2025</t>
        </is>
      </c>
      <c r="B493" s="1" t="n">
        <v>45975</v>
      </c>
      <c r="C493" s="1" t="n">
        <v>46202</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47577-2025</t>
        </is>
      </c>
      <c r="B494" s="1" t="n">
        <v>45931</v>
      </c>
      <c r="C494" s="1" t="n">
        <v>46202</v>
      </c>
      <c r="D494" t="inlineStr">
        <is>
          <t>VÄSTMANLANDS LÄN</t>
        </is>
      </c>
      <c r="E494" t="inlineStr">
        <is>
          <t>SALA</t>
        </is>
      </c>
      <c r="G494" t="n">
        <v>3.7</v>
      </c>
      <c r="H494" t="n">
        <v>0</v>
      </c>
      <c r="I494" t="n">
        <v>0</v>
      </c>
      <c r="J494" t="n">
        <v>0</v>
      </c>
      <c r="K494" t="n">
        <v>0</v>
      </c>
      <c r="L494" t="n">
        <v>0</v>
      </c>
      <c r="M494" t="n">
        <v>0</v>
      </c>
      <c r="N494" t="n">
        <v>0</v>
      </c>
      <c r="O494" t="n">
        <v>0</v>
      </c>
      <c r="P494" t="n">
        <v>0</v>
      </c>
      <c r="Q494" t="n">
        <v>0</v>
      </c>
      <c r="R494" s="2" t="inlineStr"/>
    </row>
    <row r="495" ht="15" customHeight="1">
      <c r="A495" t="inlineStr">
        <is>
          <t>A 46661-2025</t>
        </is>
      </c>
      <c r="B495" s="1" t="n">
        <v>45926</v>
      </c>
      <c r="C495" s="1" t="n">
        <v>46202</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57014-2025</t>
        </is>
      </c>
      <c r="B496" s="1" t="n">
        <v>45978</v>
      </c>
      <c r="C496" s="1" t="n">
        <v>46202</v>
      </c>
      <c r="D496" t="inlineStr">
        <is>
          <t>VÄSTMANLANDS LÄN</t>
        </is>
      </c>
      <c r="E496" t="inlineStr">
        <is>
          <t>SALA</t>
        </is>
      </c>
      <c r="G496" t="n">
        <v>2.2</v>
      </c>
      <c r="H496" t="n">
        <v>0</v>
      </c>
      <c r="I496" t="n">
        <v>0</v>
      </c>
      <c r="J496" t="n">
        <v>0</v>
      </c>
      <c r="K496" t="n">
        <v>0</v>
      </c>
      <c r="L496" t="n">
        <v>0</v>
      </c>
      <c r="M496" t="n">
        <v>0</v>
      </c>
      <c r="N496" t="n">
        <v>0</v>
      </c>
      <c r="O496" t="n">
        <v>0</v>
      </c>
      <c r="P496" t="n">
        <v>0</v>
      </c>
      <c r="Q496" t="n">
        <v>0</v>
      </c>
      <c r="R496" s="2" t="inlineStr"/>
    </row>
    <row r="497" ht="15" customHeight="1">
      <c r="A497" t="inlineStr">
        <is>
          <t>A 57414-2025</t>
        </is>
      </c>
      <c r="B497" s="1" t="n">
        <v>45980</v>
      </c>
      <c r="C497" s="1" t="n">
        <v>46202</v>
      </c>
      <c r="D497" t="inlineStr">
        <is>
          <t>VÄSTMANLANDS LÄN</t>
        </is>
      </c>
      <c r="E497" t="inlineStr">
        <is>
          <t>SALA</t>
        </is>
      </c>
      <c r="F497" t="inlineStr">
        <is>
          <t>Bergvik skog öst AB</t>
        </is>
      </c>
      <c r="G497" t="n">
        <v>2</v>
      </c>
      <c r="H497" t="n">
        <v>0</v>
      </c>
      <c r="I497" t="n">
        <v>0</v>
      </c>
      <c r="J497" t="n">
        <v>0</v>
      </c>
      <c r="K497" t="n">
        <v>0</v>
      </c>
      <c r="L497" t="n">
        <v>0</v>
      </c>
      <c r="M497" t="n">
        <v>0</v>
      </c>
      <c r="N497" t="n">
        <v>0</v>
      </c>
      <c r="O497" t="n">
        <v>0</v>
      </c>
      <c r="P497" t="n">
        <v>0</v>
      </c>
      <c r="Q497" t="n">
        <v>0</v>
      </c>
      <c r="R497" s="2" t="inlineStr"/>
    </row>
    <row r="498" ht="15" customHeight="1">
      <c r="A498" t="inlineStr">
        <is>
          <t>A 57415-2025</t>
        </is>
      </c>
      <c r="B498" s="1" t="n">
        <v>45980</v>
      </c>
      <c r="C498" s="1" t="n">
        <v>46202</v>
      </c>
      <c r="D498" t="inlineStr">
        <is>
          <t>VÄSTMANLANDS LÄN</t>
        </is>
      </c>
      <c r="E498" t="inlineStr">
        <is>
          <t>SALA</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57412-2025</t>
        </is>
      </c>
      <c r="B499" s="1" t="n">
        <v>45980</v>
      </c>
      <c r="C499" s="1" t="n">
        <v>46202</v>
      </c>
      <c r="D499" t="inlineStr">
        <is>
          <t>VÄSTMANLANDS LÄN</t>
        </is>
      </c>
      <c r="E499" t="inlineStr">
        <is>
          <t>SALA</t>
        </is>
      </c>
      <c r="F499" t="inlineStr">
        <is>
          <t>Bergvik skog öst AB</t>
        </is>
      </c>
      <c r="G499" t="n">
        <v>4.5</v>
      </c>
      <c r="H499" t="n">
        <v>0</v>
      </c>
      <c r="I499" t="n">
        <v>0</v>
      </c>
      <c r="J499" t="n">
        <v>0</v>
      </c>
      <c r="K499" t="n">
        <v>0</v>
      </c>
      <c r="L499" t="n">
        <v>0</v>
      </c>
      <c r="M499" t="n">
        <v>0</v>
      </c>
      <c r="N499" t="n">
        <v>0</v>
      </c>
      <c r="O499" t="n">
        <v>0</v>
      </c>
      <c r="P499" t="n">
        <v>0</v>
      </c>
      <c r="Q499" t="n">
        <v>0</v>
      </c>
      <c r="R499" s="2" t="inlineStr"/>
    </row>
    <row r="500" ht="15" customHeight="1">
      <c r="A500" t="inlineStr">
        <is>
          <t>A 55065-2024</t>
        </is>
      </c>
      <c r="B500" s="1" t="n">
        <v>45618</v>
      </c>
      <c r="C500" s="1" t="n">
        <v>46202</v>
      </c>
      <c r="D500" t="inlineStr">
        <is>
          <t>VÄSTMANLANDS LÄN</t>
        </is>
      </c>
      <c r="E500" t="inlineStr">
        <is>
          <t>SALA</t>
        </is>
      </c>
      <c r="G500" t="n">
        <v>3.5</v>
      </c>
      <c r="H500" t="n">
        <v>0</v>
      </c>
      <c r="I500" t="n">
        <v>0</v>
      </c>
      <c r="J500" t="n">
        <v>0</v>
      </c>
      <c r="K500" t="n">
        <v>0</v>
      </c>
      <c r="L500" t="n">
        <v>0</v>
      </c>
      <c r="M500" t="n">
        <v>0</v>
      </c>
      <c r="N500" t="n">
        <v>0</v>
      </c>
      <c r="O500" t="n">
        <v>0</v>
      </c>
      <c r="P500" t="n">
        <v>0</v>
      </c>
      <c r="Q500" t="n">
        <v>0</v>
      </c>
      <c r="R500" s="2" t="inlineStr"/>
    </row>
    <row r="501" ht="15" customHeight="1">
      <c r="A501" t="inlineStr">
        <is>
          <t>A 24907-2025</t>
        </is>
      </c>
      <c r="B501" s="1" t="n">
        <v>45799</v>
      </c>
      <c r="C501" s="1" t="n">
        <v>46202</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58359-2025</t>
        </is>
      </c>
      <c r="B502" s="1" t="n">
        <v>45985</v>
      </c>
      <c r="C502" s="1" t="n">
        <v>46202</v>
      </c>
      <c r="D502" t="inlineStr">
        <is>
          <t>VÄSTMANLANDS LÄN</t>
        </is>
      </c>
      <c r="E502" t="inlineStr">
        <is>
          <t>SALA</t>
        </is>
      </c>
      <c r="G502" t="n">
        <v>3.7</v>
      </c>
      <c r="H502" t="n">
        <v>0</v>
      </c>
      <c r="I502" t="n">
        <v>0</v>
      </c>
      <c r="J502" t="n">
        <v>0</v>
      </c>
      <c r="K502" t="n">
        <v>0</v>
      </c>
      <c r="L502" t="n">
        <v>0</v>
      </c>
      <c r="M502" t="n">
        <v>0</v>
      </c>
      <c r="N502" t="n">
        <v>0</v>
      </c>
      <c r="O502" t="n">
        <v>0</v>
      </c>
      <c r="P502" t="n">
        <v>0</v>
      </c>
      <c r="Q502" t="n">
        <v>0</v>
      </c>
      <c r="R502" s="2" t="inlineStr"/>
    </row>
    <row r="503" ht="15" customHeight="1">
      <c r="A503" t="inlineStr">
        <is>
          <t>A 58364-2025</t>
        </is>
      </c>
      <c r="B503" s="1" t="n">
        <v>45985</v>
      </c>
      <c r="C503" s="1" t="n">
        <v>46202</v>
      </c>
      <c r="D503" t="inlineStr">
        <is>
          <t>VÄSTMANLANDS LÄN</t>
        </is>
      </c>
      <c r="E503" t="inlineStr">
        <is>
          <t>SALA</t>
        </is>
      </c>
      <c r="G503" t="n">
        <v>2.1</v>
      </c>
      <c r="H503" t="n">
        <v>0</v>
      </c>
      <c r="I503" t="n">
        <v>0</v>
      </c>
      <c r="J503" t="n">
        <v>0</v>
      </c>
      <c r="K503" t="n">
        <v>0</v>
      </c>
      <c r="L503" t="n">
        <v>0</v>
      </c>
      <c r="M503" t="n">
        <v>0</v>
      </c>
      <c r="N503" t="n">
        <v>0</v>
      </c>
      <c r="O503" t="n">
        <v>0</v>
      </c>
      <c r="P503" t="n">
        <v>0</v>
      </c>
      <c r="Q503" t="n">
        <v>0</v>
      </c>
      <c r="R503" s="2" t="inlineStr"/>
    </row>
    <row r="504" ht="15" customHeight="1">
      <c r="A504" t="inlineStr">
        <is>
          <t>A 55760-2025</t>
        </is>
      </c>
      <c r="B504" s="1" t="n">
        <v>45972</v>
      </c>
      <c r="C504" s="1" t="n">
        <v>46202</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58357-2025</t>
        </is>
      </c>
      <c r="B505" s="1" t="n">
        <v>45985</v>
      </c>
      <c r="C505" s="1" t="n">
        <v>46202</v>
      </c>
      <c r="D505" t="inlineStr">
        <is>
          <t>VÄSTMANLANDS LÄN</t>
        </is>
      </c>
      <c r="E505" t="inlineStr">
        <is>
          <t>SALA</t>
        </is>
      </c>
      <c r="G505" t="n">
        <v>3</v>
      </c>
      <c r="H505" t="n">
        <v>0</v>
      </c>
      <c r="I505" t="n">
        <v>0</v>
      </c>
      <c r="J505" t="n">
        <v>0</v>
      </c>
      <c r="K505" t="n">
        <v>0</v>
      </c>
      <c r="L505" t="n">
        <v>0</v>
      </c>
      <c r="M505" t="n">
        <v>0</v>
      </c>
      <c r="N505" t="n">
        <v>0</v>
      </c>
      <c r="O505" t="n">
        <v>0</v>
      </c>
      <c r="P505" t="n">
        <v>0</v>
      </c>
      <c r="Q505" t="n">
        <v>0</v>
      </c>
      <c r="R505" s="2" t="inlineStr"/>
    </row>
    <row r="506" ht="15" customHeight="1">
      <c r="A506" t="inlineStr">
        <is>
          <t>A 58365-2025</t>
        </is>
      </c>
      <c r="B506" s="1" t="n">
        <v>45985</v>
      </c>
      <c r="C506" s="1" t="n">
        <v>46202</v>
      </c>
      <c r="D506" t="inlineStr">
        <is>
          <t>VÄSTMANLANDS LÄN</t>
        </is>
      </c>
      <c r="E506" t="inlineStr">
        <is>
          <t>SALA</t>
        </is>
      </c>
      <c r="G506" t="n">
        <v>3.9</v>
      </c>
      <c r="H506" t="n">
        <v>0</v>
      </c>
      <c r="I506" t="n">
        <v>0</v>
      </c>
      <c r="J506" t="n">
        <v>0</v>
      </c>
      <c r="K506" t="n">
        <v>0</v>
      </c>
      <c r="L506" t="n">
        <v>0</v>
      </c>
      <c r="M506" t="n">
        <v>0</v>
      </c>
      <c r="N506" t="n">
        <v>0</v>
      </c>
      <c r="O506" t="n">
        <v>0</v>
      </c>
      <c r="P506" t="n">
        <v>0</v>
      </c>
      <c r="Q506" t="n">
        <v>0</v>
      </c>
      <c r="R506" s="2" t="inlineStr"/>
    </row>
    <row r="507" ht="15" customHeight="1">
      <c r="A507" t="inlineStr">
        <is>
          <t>A 59926-2025</t>
        </is>
      </c>
      <c r="B507" s="1" t="n">
        <v>45993</v>
      </c>
      <c r="C507" s="1" t="n">
        <v>46202</v>
      </c>
      <c r="D507" t="inlineStr">
        <is>
          <t>VÄSTMANLANDS LÄN</t>
        </is>
      </c>
      <c r="E507" t="inlineStr">
        <is>
          <t>SALA</t>
        </is>
      </c>
      <c r="G507" t="n">
        <v>7.1</v>
      </c>
      <c r="H507" t="n">
        <v>0</v>
      </c>
      <c r="I507" t="n">
        <v>0</v>
      </c>
      <c r="J507" t="n">
        <v>0</v>
      </c>
      <c r="K507" t="n">
        <v>0</v>
      </c>
      <c r="L507" t="n">
        <v>0</v>
      </c>
      <c r="M507" t="n">
        <v>0</v>
      </c>
      <c r="N507" t="n">
        <v>0</v>
      </c>
      <c r="O507" t="n">
        <v>0</v>
      </c>
      <c r="P507" t="n">
        <v>0</v>
      </c>
      <c r="Q507" t="n">
        <v>0</v>
      </c>
      <c r="R507" s="2" t="inlineStr"/>
    </row>
    <row r="508" ht="15" customHeight="1">
      <c r="A508" t="inlineStr">
        <is>
          <t>A 60017-2025</t>
        </is>
      </c>
      <c r="B508" s="1" t="n">
        <v>45993</v>
      </c>
      <c r="C508" s="1" t="n">
        <v>46202</v>
      </c>
      <c r="D508" t="inlineStr">
        <is>
          <t>VÄSTMANLANDS LÄN</t>
        </is>
      </c>
      <c r="E508" t="inlineStr">
        <is>
          <t>SALA</t>
        </is>
      </c>
      <c r="G508" t="n">
        <v>4.4</v>
      </c>
      <c r="H508" t="n">
        <v>0</v>
      </c>
      <c r="I508" t="n">
        <v>0</v>
      </c>
      <c r="J508" t="n">
        <v>0</v>
      </c>
      <c r="K508" t="n">
        <v>0</v>
      </c>
      <c r="L508" t="n">
        <v>0</v>
      </c>
      <c r="M508" t="n">
        <v>0</v>
      </c>
      <c r="N508" t="n">
        <v>0</v>
      </c>
      <c r="O508" t="n">
        <v>0</v>
      </c>
      <c r="P508" t="n">
        <v>0</v>
      </c>
      <c r="Q508" t="n">
        <v>0</v>
      </c>
      <c r="R508" s="2" t="inlineStr"/>
    </row>
    <row r="509" ht="15" customHeight="1">
      <c r="A509" t="inlineStr">
        <is>
          <t>A 60254-2025</t>
        </is>
      </c>
      <c r="B509" s="1" t="n">
        <v>45994</v>
      </c>
      <c r="C509" s="1" t="n">
        <v>46202</v>
      </c>
      <c r="D509" t="inlineStr">
        <is>
          <t>VÄSTMANLANDS LÄN</t>
        </is>
      </c>
      <c r="E509" t="inlineStr">
        <is>
          <t>SALA</t>
        </is>
      </c>
      <c r="G509" t="n">
        <v>1.7</v>
      </c>
      <c r="H509" t="n">
        <v>0</v>
      </c>
      <c r="I509" t="n">
        <v>0</v>
      </c>
      <c r="J509" t="n">
        <v>0</v>
      </c>
      <c r="K509" t="n">
        <v>0</v>
      </c>
      <c r="L509" t="n">
        <v>0</v>
      </c>
      <c r="M509" t="n">
        <v>0</v>
      </c>
      <c r="N509" t="n">
        <v>0</v>
      </c>
      <c r="O509" t="n">
        <v>0</v>
      </c>
      <c r="P509" t="n">
        <v>0</v>
      </c>
      <c r="Q509" t="n">
        <v>0</v>
      </c>
      <c r="R509" s="2" t="inlineStr"/>
    </row>
    <row r="510" ht="15" customHeight="1">
      <c r="A510" t="inlineStr">
        <is>
          <t>A 60259-2025</t>
        </is>
      </c>
      <c r="B510" s="1" t="n">
        <v>45994</v>
      </c>
      <c r="C510" s="1" t="n">
        <v>46202</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60246-2025</t>
        </is>
      </c>
      <c r="B511" s="1" t="n">
        <v>45994</v>
      </c>
      <c r="C511" s="1" t="n">
        <v>46202</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63055-2025</t>
        </is>
      </c>
      <c r="B512" s="1" t="n">
        <v>46009</v>
      </c>
      <c r="C512" s="1" t="n">
        <v>46202</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63046-2025</t>
        </is>
      </c>
      <c r="B513" s="1" t="n">
        <v>46009</v>
      </c>
      <c r="C513" s="1" t="n">
        <v>46202</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63749-2025</t>
        </is>
      </c>
      <c r="B514" s="1" t="n">
        <v>46017</v>
      </c>
      <c r="C514" s="1" t="n">
        <v>46202</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63748-2025</t>
        </is>
      </c>
      <c r="B515" s="1" t="n">
        <v>46017</v>
      </c>
      <c r="C515" s="1" t="n">
        <v>46202</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910-2026</t>
        </is>
      </c>
      <c r="B516" s="1" t="n">
        <v>46030</v>
      </c>
      <c r="C516" s="1" t="n">
        <v>46202</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914-2026</t>
        </is>
      </c>
      <c r="B517" s="1" t="n">
        <v>46030</v>
      </c>
      <c r="C517" s="1" t="n">
        <v>46202</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948-2026</t>
        </is>
      </c>
      <c r="B518" s="1" t="n">
        <v>46030</v>
      </c>
      <c r="C518" s="1" t="n">
        <v>46202</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1705-2026</t>
        </is>
      </c>
      <c r="B519" s="1" t="n">
        <v>46034</v>
      </c>
      <c r="C519" s="1" t="n">
        <v>46202</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4214-2026</t>
        </is>
      </c>
      <c r="B520" s="1" t="n">
        <v>46044</v>
      </c>
      <c r="C520" s="1" t="n">
        <v>46202</v>
      </c>
      <c r="D520" t="inlineStr">
        <is>
          <t>VÄSTMANLANDS LÄN</t>
        </is>
      </c>
      <c r="E520" t="inlineStr">
        <is>
          <t>SALA</t>
        </is>
      </c>
      <c r="G520" t="n">
        <v>1.7</v>
      </c>
      <c r="H520" t="n">
        <v>0</v>
      </c>
      <c r="I520" t="n">
        <v>0</v>
      </c>
      <c r="J520" t="n">
        <v>0</v>
      </c>
      <c r="K520" t="n">
        <v>0</v>
      </c>
      <c r="L520" t="n">
        <v>0</v>
      </c>
      <c r="M520" t="n">
        <v>0</v>
      </c>
      <c r="N520" t="n">
        <v>0</v>
      </c>
      <c r="O520" t="n">
        <v>0</v>
      </c>
      <c r="P520" t="n">
        <v>0</v>
      </c>
      <c r="Q520" t="n">
        <v>0</v>
      </c>
      <c r="R520" s="2" t="inlineStr"/>
    </row>
    <row r="521" ht="15" customHeight="1">
      <c r="A521" t="inlineStr">
        <is>
          <t>A 4664-2026</t>
        </is>
      </c>
      <c r="B521" s="1" t="n">
        <v>46048</v>
      </c>
      <c r="C521" s="1" t="n">
        <v>46202</v>
      </c>
      <c r="D521" t="inlineStr">
        <is>
          <t>VÄSTMANLANDS LÄN</t>
        </is>
      </c>
      <c r="E521" t="inlineStr">
        <is>
          <t>SALA</t>
        </is>
      </c>
      <c r="G521" t="n">
        <v>0.9</v>
      </c>
      <c r="H521" t="n">
        <v>0</v>
      </c>
      <c r="I521" t="n">
        <v>0</v>
      </c>
      <c r="J521" t="n">
        <v>0</v>
      </c>
      <c r="K521" t="n">
        <v>0</v>
      </c>
      <c r="L521" t="n">
        <v>0</v>
      </c>
      <c r="M521" t="n">
        <v>0</v>
      </c>
      <c r="N521" t="n">
        <v>0</v>
      </c>
      <c r="O521" t="n">
        <v>0</v>
      </c>
      <c r="P521" t="n">
        <v>0</v>
      </c>
      <c r="Q521" t="n">
        <v>0</v>
      </c>
      <c r="R521" s="2" t="inlineStr"/>
    </row>
    <row r="522" ht="15" customHeight="1">
      <c r="A522" t="inlineStr">
        <is>
          <t>A 4683-2026</t>
        </is>
      </c>
      <c r="B522" s="1" t="n">
        <v>46048</v>
      </c>
      <c r="C522" s="1" t="n">
        <v>46202</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4624-2026</t>
        </is>
      </c>
      <c r="B523" s="1" t="n">
        <v>46048</v>
      </c>
      <c r="C523" s="1" t="n">
        <v>46202</v>
      </c>
      <c r="D523" t="inlineStr">
        <is>
          <t>VÄSTMANLANDS LÄN</t>
        </is>
      </c>
      <c r="E523" t="inlineStr">
        <is>
          <t>SALA</t>
        </is>
      </c>
      <c r="G523" t="n">
        <v>12.3</v>
      </c>
      <c r="H523" t="n">
        <v>0</v>
      </c>
      <c r="I523" t="n">
        <v>0</v>
      </c>
      <c r="J523" t="n">
        <v>0</v>
      </c>
      <c r="K523" t="n">
        <v>0</v>
      </c>
      <c r="L523" t="n">
        <v>0</v>
      </c>
      <c r="M523" t="n">
        <v>0</v>
      </c>
      <c r="N523" t="n">
        <v>0</v>
      </c>
      <c r="O523" t="n">
        <v>0</v>
      </c>
      <c r="P523" t="n">
        <v>0</v>
      </c>
      <c r="Q523" t="n">
        <v>0</v>
      </c>
      <c r="R523" s="2" t="inlineStr"/>
    </row>
    <row r="524" ht="15" customHeight="1">
      <c r="A524" t="inlineStr">
        <is>
          <t>A 5219-2026</t>
        </is>
      </c>
      <c r="B524" s="1" t="n">
        <v>46049</v>
      </c>
      <c r="C524" s="1" t="n">
        <v>46202</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5418-2026</t>
        </is>
      </c>
      <c r="B525" s="1" t="n">
        <v>46050</v>
      </c>
      <c r="C525" s="1" t="n">
        <v>46202</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5894-2026</t>
        </is>
      </c>
      <c r="B526" s="1" t="n">
        <v>46052</v>
      </c>
      <c r="C526" s="1" t="n">
        <v>46202</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7327-2026</t>
        </is>
      </c>
      <c r="B527" s="1" t="n">
        <v>46058</v>
      </c>
      <c r="C527" s="1" t="n">
        <v>46202</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7332-2026</t>
        </is>
      </c>
      <c r="B528" s="1" t="n">
        <v>46058</v>
      </c>
      <c r="C528" s="1" t="n">
        <v>46202</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7324-2026</t>
        </is>
      </c>
      <c r="B529" s="1" t="n">
        <v>46058</v>
      </c>
      <c r="C529" s="1" t="n">
        <v>46202</v>
      </c>
      <c r="D529" t="inlineStr">
        <is>
          <t>VÄSTMANLANDS LÄN</t>
        </is>
      </c>
      <c r="E529" t="inlineStr">
        <is>
          <t>SALA</t>
        </is>
      </c>
      <c r="G529" t="n">
        <v>0.9</v>
      </c>
      <c r="H529" t="n">
        <v>0</v>
      </c>
      <c r="I529" t="n">
        <v>0</v>
      </c>
      <c r="J529" t="n">
        <v>0</v>
      </c>
      <c r="K529" t="n">
        <v>0</v>
      </c>
      <c r="L529" t="n">
        <v>0</v>
      </c>
      <c r="M529" t="n">
        <v>0</v>
      </c>
      <c r="N529" t="n">
        <v>0</v>
      </c>
      <c r="O529" t="n">
        <v>0</v>
      </c>
      <c r="P529" t="n">
        <v>0</v>
      </c>
      <c r="Q529" t="n">
        <v>0</v>
      </c>
      <c r="R529" s="2" t="inlineStr"/>
    </row>
    <row r="530" ht="15" customHeight="1">
      <c r="A530" t="inlineStr">
        <is>
          <t>A 7329-2026</t>
        </is>
      </c>
      <c r="B530" s="1" t="n">
        <v>46058</v>
      </c>
      <c r="C530" s="1" t="n">
        <v>46202</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7654-2026</t>
        </is>
      </c>
      <c r="B531" s="1" t="n">
        <v>46062</v>
      </c>
      <c r="C531" s="1" t="n">
        <v>46202</v>
      </c>
      <c r="D531" t="inlineStr">
        <is>
          <t>VÄSTMANLANDS LÄN</t>
        </is>
      </c>
      <c r="E531" t="inlineStr">
        <is>
          <t>SALA</t>
        </is>
      </c>
      <c r="G531" t="n">
        <v>4.5</v>
      </c>
      <c r="H531" t="n">
        <v>0</v>
      </c>
      <c r="I531" t="n">
        <v>0</v>
      </c>
      <c r="J531" t="n">
        <v>0</v>
      </c>
      <c r="K531" t="n">
        <v>0</v>
      </c>
      <c r="L531" t="n">
        <v>0</v>
      </c>
      <c r="M531" t="n">
        <v>0</v>
      </c>
      <c r="N531" t="n">
        <v>0</v>
      </c>
      <c r="O531" t="n">
        <v>0</v>
      </c>
      <c r="P531" t="n">
        <v>0</v>
      </c>
      <c r="Q531" t="n">
        <v>0</v>
      </c>
      <c r="R531" s="2" t="inlineStr"/>
    </row>
    <row r="532" ht="15" customHeight="1">
      <c r="A532" t="inlineStr">
        <is>
          <t>A 7588-2026</t>
        </is>
      </c>
      <c r="B532" s="1" t="n">
        <v>46061</v>
      </c>
      <c r="C532" s="1" t="n">
        <v>46202</v>
      </c>
      <c r="D532" t="inlineStr">
        <is>
          <t>VÄSTMANLANDS LÄN</t>
        </is>
      </c>
      <c r="E532" t="inlineStr">
        <is>
          <t>SALA</t>
        </is>
      </c>
      <c r="G532" t="n">
        <v>2.8</v>
      </c>
      <c r="H532" t="n">
        <v>0</v>
      </c>
      <c r="I532" t="n">
        <v>0</v>
      </c>
      <c r="J532" t="n">
        <v>0</v>
      </c>
      <c r="K532" t="n">
        <v>0</v>
      </c>
      <c r="L532" t="n">
        <v>0</v>
      </c>
      <c r="M532" t="n">
        <v>0</v>
      </c>
      <c r="N532" t="n">
        <v>0</v>
      </c>
      <c r="O532" t="n">
        <v>0</v>
      </c>
      <c r="P532" t="n">
        <v>0</v>
      </c>
      <c r="Q532" t="n">
        <v>0</v>
      </c>
      <c r="R532" s="2" t="inlineStr"/>
    </row>
    <row r="533" ht="15" customHeight="1">
      <c r="A533" t="inlineStr">
        <is>
          <t>A 7611-2026</t>
        </is>
      </c>
      <c r="B533" s="1" t="n">
        <v>46062</v>
      </c>
      <c r="C533" s="1" t="n">
        <v>46202</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7676-2026</t>
        </is>
      </c>
      <c r="B534" s="1" t="n">
        <v>46062</v>
      </c>
      <c r="C534" s="1" t="n">
        <v>46202</v>
      </c>
      <c r="D534" t="inlineStr">
        <is>
          <t>VÄSTMANLANDS LÄN</t>
        </is>
      </c>
      <c r="E534" t="inlineStr">
        <is>
          <t>SALA</t>
        </is>
      </c>
      <c r="G534" t="n">
        <v>2.1</v>
      </c>
      <c r="H534" t="n">
        <v>0</v>
      </c>
      <c r="I534" t="n">
        <v>0</v>
      </c>
      <c r="J534" t="n">
        <v>0</v>
      </c>
      <c r="K534" t="n">
        <v>0</v>
      </c>
      <c r="L534" t="n">
        <v>0</v>
      </c>
      <c r="M534" t="n">
        <v>0</v>
      </c>
      <c r="N534" t="n">
        <v>0</v>
      </c>
      <c r="O534" t="n">
        <v>0</v>
      </c>
      <c r="P534" t="n">
        <v>0</v>
      </c>
      <c r="Q534" t="n">
        <v>0</v>
      </c>
      <c r="R534" s="2" t="inlineStr"/>
    </row>
    <row r="535" ht="15" customHeight="1">
      <c r="A535" t="inlineStr">
        <is>
          <t>A 7593-2026</t>
        </is>
      </c>
      <c r="B535" s="1" t="n">
        <v>46061</v>
      </c>
      <c r="C535" s="1" t="n">
        <v>46202</v>
      </c>
      <c r="D535" t="inlineStr">
        <is>
          <t>VÄSTMANLANDS LÄN</t>
        </is>
      </c>
      <c r="E535" t="inlineStr">
        <is>
          <t>SALA</t>
        </is>
      </c>
      <c r="G535" t="n">
        <v>7.5</v>
      </c>
      <c r="H535" t="n">
        <v>0</v>
      </c>
      <c r="I535" t="n">
        <v>0</v>
      </c>
      <c r="J535" t="n">
        <v>0</v>
      </c>
      <c r="K535" t="n">
        <v>0</v>
      </c>
      <c r="L535" t="n">
        <v>0</v>
      </c>
      <c r="M535" t="n">
        <v>0</v>
      </c>
      <c r="N535" t="n">
        <v>0</v>
      </c>
      <c r="O535" t="n">
        <v>0</v>
      </c>
      <c r="P535" t="n">
        <v>0</v>
      </c>
      <c r="Q535" t="n">
        <v>0</v>
      </c>
      <c r="R535" s="2" t="inlineStr"/>
    </row>
    <row r="536" ht="15" customHeight="1">
      <c r="A536" t="inlineStr">
        <is>
          <t>A 7597-2026</t>
        </is>
      </c>
      <c r="B536" s="1" t="n">
        <v>46061</v>
      </c>
      <c r="C536" s="1" t="n">
        <v>46202</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7584-2026</t>
        </is>
      </c>
      <c r="B537" s="1" t="n">
        <v>46061</v>
      </c>
      <c r="C537" s="1" t="n">
        <v>46202</v>
      </c>
      <c r="D537" t="inlineStr">
        <is>
          <t>VÄSTMANLANDS LÄN</t>
        </is>
      </c>
      <c r="E537" t="inlineStr">
        <is>
          <t>SALA</t>
        </is>
      </c>
      <c r="G537" t="n">
        <v>16.7</v>
      </c>
      <c r="H537" t="n">
        <v>0</v>
      </c>
      <c r="I537" t="n">
        <v>0</v>
      </c>
      <c r="J537" t="n">
        <v>0</v>
      </c>
      <c r="K537" t="n">
        <v>0</v>
      </c>
      <c r="L537" t="n">
        <v>0</v>
      </c>
      <c r="M537" t="n">
        <v>0</v>
      </c>
      <c r="N537" t="n">
        <v>0</v>
      </c>
      <c r="O537" t="n">
        <v>0</v>
      </c>
      <c r="P537" t="n">
        <v>0</v>
      </c>
      <c r="Q537" t="n">
        <v>0</v>
      </c>
      <c r="R537" s="2" t="inlineStr"/>
    </row>
    <row r="538" ht="15" customHeight="1">
      <c r="A538" t="inlineStr">
        <is>
          <t>A 7590-2026</t>
        </is>
      </c>
      <c r="B538" s="1" t="n">
        <v>46061</v>
      </c>
      <c r="C538" s="1" t="n">
        <v>46202</v>
      </c>
      <c r="D538" t="inlineStr">
        <is>
          <t>VÄSTMANLANDS LÄN</t>
        </is>
      </c>
      <c r="E538" t="inlineStr">
        <is>
          <t>SALA</t>
        </is>
      </c>
      <c r="G538" t="n">
        <v>1.9</v>
      </c>
      <c r="H538" t="n">
        <v>0</v>
      </c>
      <c r="I538" t="n">
        <v>0</v>
      </c>
      <c r="J538" t="n">
        <v>0</v>
      </c>
      <c r="K538" t="n">
        <v>0</v>
      </c>
      <c r="L538" t="n">
        <v>0</v>
      </c>
      <c r="M538" t="n">
        <v>0</v>
      </c>
      <c r="N538" t="n">
        <v>0</v>
      </c>
      <c r="O538" t="n">
        <v>0</v>
      </c>
      <c r="P538" t="n">
        <v>0</v>
      </c>
      <c r="Q538" t="n">
        <v>0</v>
      </c>
      <c r="R538" s="2" t="inlineStr"/>
    </row>
    <row r="539" ht="15" customHeight="1">
      <c r="A539" t="inlineStr">
        <is>
          <t>A 7596-2026</t>
        </is>
      </c>
      <c r="B539" s="1" t="n">
        <v>46061</v>
      </c>
      <c r="C539" s="1" t="n">
        <v>46202</v>
      </c>
      <c r="D539" t="inlineStr">
        <is>
          <t>VÄSTMANLANDS LÄN</t>
        </is>
      </c>
      <c r="E539" t="inlineStr">
        <is>
          <t>SALA</t>
        </is>
      </c>
      <c r="G539" t="n">
        <v>3.1</v>
      </c>
      <c r="H539" t="n">
        <v>0</v>
      </c>
      <c r="I539" t="n">
        <v>0</v>
      </c>
      <c r="J539" t="n">
        <v>0</v>
      </c>
      <c r="K539" t="n">
        <v>0</v>
      </c>
      <c r="L539" t="n">
        <v>0</v>
      </c>
      <c r="M539" t="n">
        <v>0</v>
      </c>
      <c r="N539" t="n">
        <v>0</v>
      </c>
      <c r="O539" t="n">
        <v>0</v>
      </c>
      <c r="P539" t="n">
        <v>0</v>
      </c>
      <c r="Q539" t="n">
        <v>0</v>
      </c>
      <c r="R539" s="2" t="inlineStr"/>
    </row>
    <row r="540" ht="15" customHeight="1">
      <c r="A540" t="inlineStr">
        <is>
          <t>A 7595-2026</t>
        </is>
      </c>
      <c r="B540" s="1" t="n">
        <v>46061</v>
      </c>
      <c r="C540" s="1" t="n">
        <v>46202</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7680-2026</t>
        </is>
      </c>
      <c r="B541" s="1" t="n">
        <v>46062</v>
      </c>
      <c r="C541" s="1" t="n">
        <v>46202</v>
      </c>
      <c r="D541" t="inlineStr">
        <is>
          <t>VÄSTMANLANDS LÄN</t>
        </is>
      </c>
      <c r="E541" t="inlineStr">
        <is>
          <t>SALA</t>
        </is>
      </c>
      <c r="G541" t="n">
        <v>2.7</v>
      </c>
      <c r="H541" t="n">
        <v>0</v>
      </c>
      <c r="I541" t="n">
        <v>0</v>
      </c>
      <c r="J541" t="n">
        <v>0</v>
      </c>
      <c r="K541" t="n">
        <v>0</v>
      </c>
      <c r="L541" t="n">
        <v>0</v>
      </c>
      <c r="M541" t="n">
        <v>0</v>
      </c>
      <c r="N541" t="n">
        <v>0</v>
      </c>
      <c r="O541" t="n">
        <v>0</v>
      </c>
      <c r="P541" t="n">
        <v>0</v>
      </c>
      <c r="Q541" t="n">
        <v>0</v>
      </c>
      <c r="R541" s="2" t="inlineStr"/>
    </row>
    <row r="542" ht="15" customHeight="1">
      <c r="A542" t="inlineStr">
        <is>
          <t>A 10239-2026</t>
        </is>
      </c>
      <c r="B542" s="1" t="n">
        <v>46076</v>
      </c>
      <c r="C542" s="1" t="n">
        <v>46202</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10245-2026</t>
        </is>
      </c>
      <c r="B543" s="1" t="n">
        <v>46076</v>
      </c>
      <c r="C543" s="1" t="n">
        <v>46202</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10252-2026</t>
        </is>
      </c>
      <c r="B544" s="1" t="n">
        <v>46076</v>
      </c>
      <c r="C544" s="1" t="n">
        <v>46202</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12144-2026</t>
        </is>
      </c>
      <c r="B545" s="1" t="n">
        <v>46086</v>
      </c>
      <c r="C545" s="1" t="n">
        <v>46202</v>
      </c>
      <c r="D545" t="inlineStr">
        <is>
          <t>VÄSTMANLANDS LÄN</t>
        </is>
      </c>
      <c r="E545" t="inlineStr">
        <is>
          <t>SALA</t>
        </is>
      </c>
      <c r="G545" t="n">
        <v>1</v>
      </c>
      <c r="H545" t="n">
        <v>0</v>
      </c>
      <c r="I545" t="n">
        <v>0</v>
      </c>
      <c r="J545" t="n">
        <v>0</v>
      </c>
      <c r="K545" t="n">
        <v>0</v>
      </c>
      <c r="L545" t="n">
        <v>0</v>
      </c>
      <c r="M545" t="n">
        <v>0</v>
      </c>
      <c r="N545" t="n">
        <v>0</v>
      </c>
      <c r="O545" t="n">
        <v>0</v>
      </c>
      <c r="P545" t="n">
        <v>0</v>
      </c>
      <c r="Q545" t="n">
        <v>0</v>
      </c>
      <c r="R545" s="2" t="inlineStr"/>
    </row>
    <row r="546" ht="15" customHeight="1">
      <c r="A546" t="inlineStr">
        <is>
          <t>A 12497-2026</t>
        </is>
      </c>
      <c r="B546" s="1" t="n">
        <v>46090</v>
      </c>
      <c r="C546" s="1" t="n">
        <v>46202</v>
      </c>
      <c r="D546" t="inlineStr">
        <is>
          <t>VÄSTMANLANDS LÄN</t>
        </is>
      </c>
      <c r="E546" t="inlineStr">
        <is>
          <t>SALA</t>
        </is>
      </c>
      <c r="G546" t="n">
        <v>1.3</v>
      </c>
      <c r="H546" t="n">
        <v>0</v>
      </c>
      <c r="I546" t="n">
        <v>0</v>
      </c>
      <c r="J546" t="n">
        <v>0</v>
      </c>
      <c r="K546" t="n">
        <v>0</v>
      </c>
      <c r="L546" t="n">
        <v>0</v>
      </c>
      <c r="M546" t="n">
        <v>0</v>
      </c>
      <c r="N546" t="n">
        <v>0</v>
      </c>
      <c r="O546" t="n">
        <v>0</v>
      </c>
      <c r="P546" t="n">
        <v>0</v>
      </c>
      <c r="Q546" t="n">
        <v>0</v>
      </c>
      <c r="R546" s="2" t="inlineStr"/>
    </row>
    <row r="547" ht="15" customHeight="1">
      <c r="A547" t="inlineStr">
        <is>
          <t>A 13032-2026</t>
        </is>
      </c>
      <c r="B547" s="1" t="n">
        <v>46092</v>
      </c>
      <c r="C547" s="1" t="n">
        <v>46202</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14000-2026</t>
        </is>
      </c>
      <c r="B548" s="1" t="n">
        <v>46098</v>
      </c>
      <c r="C548" s="1" t="n">
        <v>46202</v>
      </c>
      <c r="D548" t="inlineStr">
        <is>
          <t>VÄSTMANLANDS LÄN</t>
        </is>
      </c>
      <c r="E548" t="inlineStr">
        <is>
          <t>SALA</t>
        </is>
      </c>
      <c r="G548" t="n">
        <v>0.8</v>
      </c>
      <c r="H548" t="n">
        <v>0</v>
      </c>
      <c r="I548" t="n">
        <v>0</v>
      </c>
      <c r="J548" t="n">
        <v>0</v>
      </c>
      <c r="K548" t="n">
        <v>0</v>
      </c>
      <c r="L548" t="n">
        <v>0</v>
      </c>
      <c r="M548" t="n">
        <v>0</v>
      </c>
      <c r="N548" t="n">
        <v>0</v>
      </c>
      <c r="O548" t="n">
        <v>0</v>
      </c>
      <c r="P548" t="n">
        <v>0</v>
      </c>
      <c r="Q548" t="n">
        <v>0</v>
      </c>
      <c r="R548" s="2" t="inlineStr"/>
    </row>
    <row r="549" ht="15" customHeight="1">
      <c r="A549" t="inlineStr">
        <is>
          <t>A 13996-2026</t>
        </is>
      </c>
      <c r="B549" s="1" t="n">
        <v>46098</v>
      </c>
      <c r="C549" s="1" t="n">
        <v>46202</v>
      </c>
      <c r="D549" t="inlineStr">
        <is>
          <t>VÄSTMANLANDS LÄN</t>
        </is>
      </c>
      <c r="E549" t="inlineStr">
        <is>
          <t>SALA</t>
        </is>
      </c>
      <c r="G549" t="n">
        <v>2.5</v>
      </c>
      <c r="H549" t="n">
        <v>0</v>
      </c>
      <c r="I549" t="n">
        <v>0</v>
      </c>
      <c r="J549" t="n">
        <v>0</v>
      </c>
      <c r="K549" t="n">
        <v>0</v>
      </c>
      <c r="L549" t="n">
        <v>0</v>
      </c>
      <c r="M549" t="n">
        <v>0</v>
      </c>
      <c r="N549" t="n">
        <v>0</v>
      </c>
      <c r="O549" t="n">
        <v>0</v>
      </c>
      <c r="P549" t="n">
        <v>0</v>
      </c>
      <c r="Q549" t="n">
        <v>0</v>
      </c>
      <c r="R549" s="2" t="inlineStr"/>
    </row>
    <row r="550" ht="15" customHeight="1">
      <c r="A550" t="inlineStr">
        <is>
          <t>A 13639-2026</t>
        </is>
      </c>
      <c r="B550" s="1" t="n">
        <v>46097</v>
      </c>
      <c r="C550" s="1" t="n">
        <v>46202</v>
      </c>
      <c r="D550" t="inlineStr">
        <is>
          <t>VÄSTMANLANDS LÄN</t>
        </is>
      </c>
      <c r="E550" t="inlineStr">
        <is>
          <t>SALA</t>
        </is>
      </c>
      <c r="G550" t="n">
        <v>1.4</v>
      </c>
      <c r="H550" t="n">
        <v>0</v>
      </c>
      <c r="I550" t="n">
        <v>0</v>
      </c>
      <c r="J550" t="n">
        <v>0</v>
      </c>
      <c r="K550" t="n">
        <v>0</v>
      </c>
      <c r="L550" t="n">
        <v>0</v>
      </c>
      <c r="M550" t="n">
        <v>0</v>
      </c>
      <c r="N550" t="n">
        <v>0</v>
      </c>
      <c r="O550" t="n">
        <v>0</v>
      </c>
      <c r="P550" t="n">
        <v>0</v>
      </c>
      <c r="Q550" t="n">
        <v>0</v>
      </c>
      <c r="R550" s="2" t="inlineStr"/>
    </row>
    <row r="551" ht="15" customHeight="1">
      <c r="A551" t="inlineStr">
        <is>
          <t>A 14482-2026</t>
        </is>
      </c>
      <c r="B551" s="1" t="n">
        <v>46100</v>
      </c>
      <c r="C551" s="1" t="n">
        <v>46202</v>
      </c>
      <c r="D551" t="inlineStr">
        <is>
          <t>VÄSTMANLANDS LÄN</t>
        </is>
      </c>
      <c r="E551" t="inlineStr">
        <is>
          <t>SALA</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14484-2026</t>
        </is>
      </c>
      <c r="B552" s="1" t="n">
        <v>46100</v>
      </c>
      <c r="C552" s="1" t="n">
        <v>46202</v>
      </c>
      <c r="D552" t="inlineStr">
        <is>
          <t>VÄSTMANLANDS LÄN</t>
        </is>
      </c>
      <c r="E552" t="inlineStr">
        <is>
          <t>SALA</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14490-2026</t>
        </is>
      </c>
      <c r="B553" s="1" t="n">
        <v>46100</v>
      </c>
      <c r="C553" s="1" t="n">
        <v>46202</v>
      </c>
      <c r="D553" t="inlineStr">
        <is>
          <t>VÄSTMANLANDS LÄN</t>
        </is>
      </c>
      <c r="E553" t="inlineStr">
        <is>
          <t>SALA</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16354-2026</t>
        </is>
      </c>
      <c r="B554" s="1" t="n">
        <v>46111</v>
      </c>
      <c r="C554" s="1" t="n">
        <v>46202</v>
      </c>
      <c r="D554" t="inlineStr">
        <is>
          <t>VÄSTMANLANDS LÄN</t>
        </is>
      </c>
      <c r="E554" t="inlineStr">
        <is>
          <t>SALA</t>
        </is>
      </c>
      <c r="G554" t="n">
        <v>5.2</v>
      </c>
      <c r="H554" t="n">
        <v>0</v>
      </c>
      <c r="I554" t="n">
        <v>0</v>
      </c>
      <c r="J554" t="n">
        <v>0</v>
      </c>
      <c r="K554" t="n">
        <v>0</v>
      </c>
      <c r="L554" t="n">
        <v>0</v>
      </c>
      <c r="M554" t="n">
        <v>0</v>
      </c>
      <c r="N554" t="n">
        <v>0</v>
      </c>
      <c r="O554" t="n">
        <v>0</v>
      </c>
      <c r="P554" t="n">
        <v>0</v>
      </c>
      <c r="Q554" t="n">
        <v>0</v>
      </c>
      <c r="R554" s="2" t="inlineStr"/>
    </row>
    <row r="555" ht="15" customHeight="1">
      <c r="A555" t="inlineStr">
        <is>
          <t>A 16367-2026</t>
        </is>
      </c>
      <c r="B555" s="1" t="n">
        <v>46111</v>
      </c>
      <c r="C555" s="1" t="n">
        <v>46202</v>
      </c>
      <c r="D555" t="inlineStr">
        <is>
          <t>VÄSTMANLANDS LÄN</t>
        </is>
      </c>
      <c r="E555" t="inlineStr">
        <is>
          <t>SALA</t>
        </is>
      </c>
      <c r="G555" t="n">
        <v>1</v>
      </c>
      <c r="H555" t="n">
        <v>0</v>
      </c>
      <c r="I555" t="n">
        <v>0</v>
      </c>
      <c r="J555" t="n">
        <v>0</v>
      </c>
      <c r="K555" t="n">
        <v>0</v>
      </c>
      <c r="L555" t="n">
        <v>0</v>
      </c>
      <c r="M555" t="n">
        <v>0</v>
      </c>
      <c r="N555" t="n">
        <v>0</v>
      </c>
      <c r="O555" t="n">
        <v>0</v>
      </c>
      <c r="P555" t="n">
        <v>0</v>
      </c>
      <c r="Q555" t="n">
        <v>0</v>
      </c>
      <c r="R555" s="2" t="inlineStr"/>
    </row>
    <row r="556" ht="15" customHeight="1">
      <c r="A556" t="inlineStr">
        <is>
          <t>A 16369-2026</t>
        </is>
      </c>
      <c r="B556" s="1" t="n">
        <v>46111</v>
      </c>
      <c r="C556" s="1" t="n">
        <v>46202</v>
      </c>
      <c r="D556" t="inlineStr">
        <is>
          <t>VÄSTMANLANDS LÄN</t>
        </is>
      </c>
      <c r="E556" t="inlineStr">
        <is>
          <t>SALA</t>
        </is>
      </c>
      <c r="G556" t="n">
        <v>1.4</v>
      </c>
      <c r="H556" t="n">
        <v>0</v>
      </c>
      <c r="I556" t="n">
        <v>0</v>
      </c>
      <c r="J556" t="n">
        <v>0</v>
      </c>
      <c r="K556" t="n">
        <v>0</v>
      </c>
      <c r="L556" t="n">
        <v>0</v>
      </c>
      <c r="M556" t="n">
        <v>0</v>
      </c>
      <c r="N556" t="n">
        <v>0</v>
      </c>
      <c r="O556" t="n">
        <v>0</v>
      </c>
      <c r="P556" t="n">
        <v>0</v>
      </c>
      <c r="Q556" t="n">
        <v>0</v>
      </c>
      <c r="R556" s="2" t="inlineStr"/>
    </row>
    <row r="557" ht="15" customHeight="1">
      <c r="A557" t="inlineStr">
        <is>
          <t>A 16598-2026</t>
        </is>
      </c>
      <c r="B557" s="1" t="n">
        <v>46112</v>
      </c>
      <c r="C557" s="1" t="n">
        <v>46202</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16364-2026</t>
        </is>
      </c>
      <c r="B558" s="1" t="n">
        <v>46111</v>
      </c>
      <c r="C558" s="1" t="n">
        <v>46202</v>
      </c>
      <c r="D558" t="inlineStr">
        <is>
          <t>VÄSTMANLANDS LÄN</t>
        </is>
      </c>
      <c r="E558" t="inlineStr">
        <is>
          <t>SALA</t>
        </is>
      </c>
      <c r="G558" t="n">
        <v>4.7</v>
      </c>
      <c r="H558" t="n">
        <v>0</v>
      </c>
      <c r="I558" t="n">
        <v>0</v>
      </c>
      <c r="J558" t="n">
        <v>0</v>
      </c>
      <c r="K558" t="n">
        <v>0</v>
      </c>
      <c r="L558" t="n">
        <v>0</v>
      </c>
      <c r="M558" t="n">
        <v>0</v>
      </c>
      <c r="N558" t="n">
        <v>0</v>
      </c>
      <c r="O558" t="n">
        <v>0</v>
      </c>
      <c r="P558" t="n">
        <v>0</v>
      </c>
      <c r="Q558" t="n">
        <v>0</v>
      </c>
      <c r="R558" s="2" t="inlineStr"/>
    </row>
    <row r="559" ht="15" customHeight="1">
      <c r="A559" t="inlineStr">
        <is>
          <t>A 22869-2026</t>
        </is>
      </c>
      <c r="B559" s="1" t="n">
        <v>46160</v>
      </c>
      <c r="C559" s="1" t="n">
        <v>46202</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23578-2026</t>
        </is>
      </c>
      <c r="B560" s="1" t="n">
        <v>46163</v>
      </c>
      <c r="C560" s="1" t="n">
        <v>46202</v>
      </c>
      <c r="D560" t="inlineStr">
        <is>
          <t>VÄSTMANLANDS LÄN</t>
        </is>
      </c>
      <c r="E560" t="inlineStr">
        <is>
          <t>SALA</t>
        </is>
      </c>
      <c r="G560" t="n">
        <v>1.9</v>
      </c>
      <c r="H560" t="n">
        <v>0</v>
      </c>
      <c r="I560" t="n">
        <v>0</v>
      </c>
      <c r="J560" t="n">
        <v>0</v>
      </c>
      <c r="K560" t="n">
        <v>0</v>
      </c>
      <c r="L560" t="n">
        <v>0</v>
      </c>
      <c r="M560" t="n">
        <v>0</v>
      </c>
      <c r="N560" t="n">
        <v>0</v>
      </c>
      <c r="O560" t="n">
        <v>0</v>
      </c>
      <c r="P560" t="n">
        <v>0</v>
      </c>
      <c r="Q560" t="n">
        <v>0</v>
      </c>
      <c r="R560" s="2" t="inlineStr"/>
    </row>
    <row r="561" ht="15" customHeight="1">
      <c r="A561" t="inlineStr">
        <is>
          <t>A 18382-2026</t>
        </is>
      </c>
      <c r="B561" s="1" t="n">
        <v>46126</v>
      </c>
      <c r="C561" s="1" t="n">
        <v>46202</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18592-2026</t>
        </is>
      </c>
      <c r="B562" s="1" t="n">
        <v>46127</v>
      </c>
      <c r="C562" s="1" t="n">
        <v>46202</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24292-2026</t>
        </is>
      </c>
      <c r="B563" s="1" t="n">
        <v>46169</v>
      </c>
      <c r="C563" s="1" t="n">
        <v>46202</v>
      </c>
      <c r="D563" t="inlineStr">
        <is>
          <t>VÄSTMANLANDS LÄN</t>
        </is>
      </c>
      <c r="E563" t="inlineStr">
        <is>
          <t>SALA</t>
        </is>
      </c>
      <c r="G563" t="n">
        <v>1.6</v>
      </c>
      <c r="H563" t="n">
        <v>0</v>
      </c>
      <c r="I563" t="n">
        <v>0</v>
      </c>
      <c r="J563" t="n">
        <v>0</v>
      </c>
      <c r="K563" t="n">
        <v>0</v>
      </c>
      <c r="L563" t="n">
        <v>0</v>
      </c>
      <c r="M563" t="n">
        <v>0</v>
      </c>
      <c r="N563" t="n">
        <v>0</v>
      </c>
      <c r="O563" t="n">
        <v>0</v>
      </c>
      <c r="P563" t="n">
        <v>0</v>
      </c>
      <c r="Q563" t="n">
        <v>0</v>
      </c>
      <c r="R563" s="2" t="inlineStr"/>
    </row>
    <row r="564" ht="15" customHeight="1">
      <c r="A564" t="inlineStr">
        <is>
          <t>A 19376-2026</t>
        </is>
      </c>
      <c r="B564" s="1" t="n">
        <v>46133</v>
      </c>
      <c r="C564" s="1" t="n">
        <v>46202</v>
      </c>
      <c r="D564" t="inlineStr">
        <is>
          <t>VÄSTMANLANDS LÄN</t>
        </is>
      </c>
      <c r="E564" t="inlineStr">
        <is>
          <t>SALA</t>
        </is>
      </c>
      <c r="G564" t="n">
        <v>3.8</v>
      </c>
      <c r="H564" t="n">
        <v>0</v>
      </c>
      <c r="I564" t="n">
        <v>0</v>
      </c>
      <c r="J564" t="n">
        <v>0</v>
      </c>
      <c r="K564" t="n">
        <v>0</v>
      </c>
      <c r="L564" t="n">
        <v>0</v>
      </c>
      <c r="M564" t="n">
        <v>0</v>
      </c>
      <c r="N564" t="n">
        <v>0</v>
      </c>
      <c r="O564" t="n">
        <v>0</v>
      </c>
      <c r="P564" t="n">
        <v>0</v>
      </c>
      <c r="Q564" t="n">
        <v>0</v>
      </c>
      <c r="R564" s="2" t="inlineStr"/>
    </row>
    <row r="565" ht="15" customHeight="1">
      <c r="A565" t="inlineStr">
        <is>
          <t>A 19044-2026</t>
        </is>
      </c>
      <c r="B565" s="1" t="n">
        <v>46132</v>
      </c>
      <c r="C565" s="1" t="n">
        <v>46202</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24846-2026</t>
        </is>
      </c>
      <c r="B566" s="1" t="n">
        <v>46174</v>
      </c>
      <c r="C566" s="1" t="n">
        <v>46202</v>
      </c>
      <c r="D566" t="inlineStr">
        <is>
          <t>VÄSTMANLANDS LÄN</t>
        </is>
      </c>
      <c r="E566" t="inlineStr">
        <is>
          <t>SALA</t>
        </is>
      </c>
      <c r="G566" t="n">
        <v>1.6</v>
      </c>
      <c r="H566" t="n">
        <v>0</v>
      </c>
      <c r="I566" t="n">
        <v>0</v>
      </c>
      <c r="J566" t="n">
        <v>0</v>
      </c>
      <c r="K566" t="n">
        <v>0</v>
      </c>
      <c r="L566" t="n">
        <v>0</v>
      </c>
      <c r="M566" t="n">
        <v>0</v>
      </c>
      <c r="N566" t="n">
        <v>0</v>
      </c>
      <c r="O566" t="n">
        <v>0</v>
      </c>
      <c r="P566" t="n">
        <v>0</v>
      </c>
      <c r="Q566" t="n">
        <v>0</v>
      </c>
      <c r="R566" s="2" t="inlineStr"/>
    </row>
    <row r="567" ht="15" customHeight="1">
      <c r="A567" t="inlineStr">
        <is>
          <t>A 25228-2026</t>
        </is>
      </c>
      <c r="B567" s="1" t="n">
        <v>46171</v>
      </c>
      <c r="C567" s="1" t="n">
        <v>46202</v>
      </c>
      <c r="D567" t="inlineStr">
        <is>
          <t>VÄSTMANLANDS LÄN</t>
        </is>
      </c>
      <c r="E567" t="inlineStr">
        <is>
          <t>SALA</t>
        </is>
      </c>
      <c r="G567" t="n">
        <v>1.2</v>
      </c>
      <c r="H567" t="n">
        <v>0</v>
      </c>
      <c r="I567" t="n">
        <v>0</v>
      </c>
      <c r="J567" t="n">
        <v>0</v>
      </c>
      <c r="K567" t="n">
        <v>0</v>
      </c>
      <c r="L567" t="n">
        <v>0</v>
      </c>
      <c r="M567" t="n">
        <v>0</v>
      </c>
      <c r="N567" t="n">
        <v>0</v>
      </c>
      <c r="O567" t="n">
        <v>0</v>
      </c>
      <c r="P567" t="n">
        <v>0</v>
      </c>
      <c r="Q567" t="n">
        <v>0</v>
      </c>
      <c r="R567" s="2" t="inlineStr"/>
    </row>
    <row r="568" ht="15" customHeight="1">
      <c r="A568" t="inlineStr">
        <is>
          <t>A 25227-2026</t>
        </is>
      </c>
      <c r="B568" s="1" t="n">
        <v>46171</v>
      </c>
      <c r="C568" s="1" t="n">
        <v>46202</v>
      </c>
      <c r="D568" t="inlineStr">
        <is>
          <t>VÄSTMANLANDS LÄN</t>
        </is>
      </c>
      <c r="E568" t="inlineStr">
        <is>
          <t>SALA</t>
        </is>
      </c>
      <c r="G568" t="n">
        <v>2.9</v>
      </c>
      <c r="H568" t="n">
        <v>0</v>
      </c>
      <c r="I568" t="n">
        <v>0</v>
      </c>
      <c r="J568" t="n">
        <v>0</v>
      </c>
      <c r="K568" t="n">
        <v>0</v>
      </c>
      <c r="L568" t="n">
        <v>0</v>
      </c>
      <c r="M568" t="n">
        <v>0</v>
      </c>
      <c r="N568" t="n">
        <v>0</v>
      </c>
      <c r="O568" t="n">
        <v>0</v>
      </c>
      <c r="P568" t="n">
        <v>0</v>
      </c>
      <c r="Q568" t="n">
        <v>0</v>
      </c>
      <c r="R568" s="2" t="inlineStr"/>
    </row>
    <row r="569" ht="15" customHeight="1">
      <c r="A569" t="inlineStr">
        <is>
          <t>A 6132-2025</t>
        </is>
      </c>
      <c r="B569" s="1" t="n">
        <v>45698</v>
      </c>
      <c r="C569" s="1" t="n">
        <v>46202</v>
      </c>
      <c r="D569" t="inlineStr">
        <is>
          <t>VÄSTMANLANDS LÄN</t>
        </is>
      </c>
      <c r="E569" t="inlineStr">
        <is>
          <t>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39597-2022</t>
        </is>
      </c>
      <c r="B570" s="1" t="n">
        <v>44818</v>
      </c>
      <c r="C570" s="1" t="n">
        <v>46202</v>
      </c>
      <c r="D570" t="inlineStr">
        <is>
          <t>VÄSTMANLANDS LÄN</t>
        </is>
      </c>
      <c r="E570" t="inlineStr">
        <is>
          <t>SALA</t>
        </is>
      </c>
      <c r="G570" t="n">
        <v>2.3</v>
      </c>
      <c r="H570" t="n">
        <v>0</v>
      </c>
      <c r="I570" t="n">
        <v>0</v>
      </c>
      <c r="J570" t="n">
        <v>0</v>
      </c>
      <c r="K570" t="n">
        <v>0</v>
      </c>
      <c r="L570" t="n">
        <v>0</v>
      </c>
      <c r="M570" t="n">
        <v>0</v>
      </c>
      <c r="N570" t="n">
        <v>0</v>
      </c>
      <c r="O570" t="n">
        <v>0</v>
      </c>
      <c r="P570" t="n">
        <v>0</v>
      </c>
      <c r="Q570" t="n">
        <v>0</v>
      </c>
      <c r="R570" s="2" t="inlineStr"/>
    </row>
    <row r="571" ht="15" customHeight="1">
      <c r="A571" t="inlineStr">
        <is>
          <t>A 39597-2022</t>
        </is>
      </c>
      <c r="B571" s="1" t="n">
        <v>44818</v>
      </c>
      <c r="C571" s="1" t="n">
        <v>46202</v>
      </c>
      <c r="D571" t="inlineStr">
        <is>
          <t>VÄSTMANLANDS LÄN</t>
        </is>
      </c>
      <c r="E571" t="inlineStr">
        <is>
          <t>SALA</t>
        </is>
      </c>
      <c r="G571" t="n">
        <v>2.3</v>
      </c>
      <c r="H571" t="n">
        <v>0</v>
      </c>
      <c r="I571" t="n">
        <v>0</v>
      </c>
      <c r="J571" t="n">
        <v>0</v>
      </c>
      <c r="K571" t="n">
        <v>0</v>
      </c>
      <c r="L571" t="n">
        <v>0</v>
      </c>
      <c r="M571" t="n">
        <v>0</v>
      </c>
      <c r="N571" t="n">
        <v>0</v>
      </c>
      <c r="O571" t="n">
        <v>0</v>
      </c>
      <c r="P571" t="n">
        <v>0</v>
      </c>
      <c r="Q571" t="n">
        <v>0</v>
      </c>
      <c r="R571" s="2" t="inlineStr"/>
    </row>
    <row r="572" ht="15" customHeight="1">
      <c r="A572" t="inlineStr">
        <is>
          <t>A 43129-2025</t>
        </is>
      </c>
      <c r="B572" s="1" t="n">
        <v>45909</v>
      </c>
      <c r="C572" s="1" t="n">
        <v>46202</v>
      </c>
      <c r="D572" t="inlineStr">
        <is>
          <t>VÄSTMANLANDS LÄN</t>
        </is>
      </c>
      <c r="E572" t="inlineStr">
        <is>
          <t>SALA</t>
        </is>
      </c>
      <c r="G572" t="n">
        <v>2.4</v>
      </c>
      <c r="H572" t="n">
        <v>0</v>
      </c>
      <c r="I572" t="n">
        <v>0</v>
      </c>
      <c r="J572" t="n">
        <v>0</v>
      </c>
      <c r="K572" t="n">
        <v>0</v>
      </c>
      <c r="L572" t="n">
        <v>0</v>
      </c>
      <c r="M572" t="n">
        <v>0</v>
      </c>
      <c r="N572" t="n">
        <v>0</v>
      </c>
      <c r="O572" t="n">
        <v>0</v>
      </c>
      <c r="P572" t="n">
        <v>0</v>
      </c>
      <c r="Q572" t="n">
        <v>0</v>
      </c>
      <c r="R572" s="2" t="inlineStr"/>
    </row>
    <row r="573" ht="15" customHeight="1">
      <c r="A573" t="inlineStr">
        <is>
          <t>A 40157-2021</t>
        </is>
      </c>
      <c r="B573" s="1" t="n">
        <v>44418</v>
      </c>
      <c r="C573" s="1" t="n">
        <v>46202</v>
      </c>
      <c r="D573" t="inlineStr">
        <is>
          <t>VÄSTMANLANDS LÄN</t>
        </is>
      </c>
      <c r="E573" t="inlineStr">
        <is>
          <t>SALA</t>
        </is>
      </c>
      <c r="G573" t="n">
        <v>1.7</v>
      </c>
      <c r="H573" t="n">
        <v>0</v>
      </c>
      <c r="I573" t="n">
        <v>0</v>
      </c>
      <c r="J573" t="n">
        <v>0</v>
      </c>
      <c r="K573" t="n">
        <v>0</v>
      </c>
      <c r="L573" t="n">
        <v>0</v>
      </c>
      <c r="M573" t="n">
        <v>0</v>
      </c>
      <c r="N573" t="n">
        <v>0</v>
      </c>
      <c r="O573" t="n">
        <v>0</v>
      </c>
      <c r="P573" t="n">
        <v>0</v>
      </c>
      <c r="Q573" t="n">
        <v>0</v>
      </c>
      <c r="R573" s="2" t="inlineStr"/>
    </row>
    <row r="574" ht="15" customHeight="1">
      <c r="A574" t="inlineStr">
        <is>
          <t>A 38636-2024</t>
        </is>
      </c>
      <c r="B574" s="1" t="n">
        <v>45546</v>
      </c>
      <c r="C574" s="1" t="n">
        <v>46202</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30866-2025</t>
        </is>
      </c>
      <c r="B575" s="1" t="n">
        <v>45832</v>
      </c>
      <c r="C575" s="1" t="n">
        <v>46202</v>
      </c>
      <c r="D575" t="inlineStr">
        <is>
          <t>VÄSTMANLANDS LÄN</t>
        </is>
      </c>
      <c r="E575" t="inlineStr">
        <is>
          <t>SALA</t>
        </is>
      </c>
      <c r="G575" t="n">
        <v>14.3</v>
      </c>
      <c r="H575" t="n">
        <v>0</v>
      </c>
      <c r="I575" t="n">
        <v>0</v>
      </c>
      <c r="J575" t="n">
        <v>0</v>
      </c>
      <c r="K575" t="n">
        <v>0</v>
      </c>
      <c r="L575" t="n">
        <v>0</v>
      </c>
      <c r="M575" t="n">
        <v>0</v>
      </c>
      <c r="N575" t="n">
        <v>0</v>
      </c>
      <c r="O575" t="n">
        <v>0</v>
      </c>
      <c r="P575" t="n">
        <v>0</v>
      </c>
      <c r="Q575" t="n">
        <v>0</v>
      </c>
      <c r="R575" s="2" t="inlineStr"/>
    </row>
    <row r="576" ht="15" customHeight="1">
      <c r="A576" t="inlineStr">
        <is>
          <t>A 43122-2025</t>
        </is>
      </c>
      <c r="B576" s="1" t="n">
        <v>45909</v>
      </c>
      <c r="C576" s="1" t="n">
        <v>46202</v>
      </c>
      <c r="D576" t="inlineStr">
        <is>
          <t>VÄSTMANLANDS LÄN</t>
        </is>
      </c>
      <c r="E576" t="inlineStr">
        <is>
          <t>SALA</t>
        </is>
      </c>
      <c r="G576" t="n">
        <v>3.2</v>
      </c>
      <c r="H576" t="n">
        <v>0</v>
      </c>
      <c r="I576" t="n">
        <v>0</v>
      </c>
      <c r="J576" t="n">
        <v>0</v>
      </c>
      <c r="K576" t="n">
        <v>0</v>
      </c>
      <c r="L576" t="n">
        <v>0</v>
      </c>
      <c r="M576" t="n">
        <v>0</v>
      </c>
      <c r="N576" t="n">
        <v>0</v>
      </c>
      <c r="O576" t="n">
        <v>0</v>
      </c>
      <c r="P576" t="n">
        <v>0</v>
      </c>
      <c r="Q576" t="n">
        <v>0</v>
      </c>
      <c r="R576" s="2" t="inlineStr"/>
    </row>
    <row r="577" ht="15" customHeight="1">
      <c r="A577" t="inlineStr">
        <is>
          <t>A 19304-2025</t>
        </is>
      </c>
      <c r="B577" s="1" t="n">
        <v>45769</v>
      </c>
      <c r="C577" s="1" t="n">
        <v>46202</v>
      </c>
      <c r="D577" t="inlineStr">
        <is>
          <t>VÄSTMANLANDS LÄN</t>
        </is>
      </c>
      <c r="E577" t="inlineStr">
        <is>
          <t>SALA</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37103-2025</t>
        </is>
      </c>
      <c r="B578" s="1" t="n">
        <v>45875</v>
      </c>
      <c r="C578" s="1" t="n">
        <v>46202</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26419-2026</t>
        </is>
      </c>
      <c r="B579" s="1" t="n">
        <v>46183</v>
      </c>
      <c r="C579" s="1" t="n">
        <v>46202</v>
      </c>
      <c r="D579" t="inlineStr">
        <is>
          <t>VÄSTMANLANDS LÄN</t>
        </is>
      </c>
      <c r="E579" t="inlineStr">
        <is>
          <t>SALA</t>
        </is>
      </c>
      <c r="G579" t="n">
        <v>3.4</v>
      </c>
      <c r="H579" t="n">
        <v>0</v>
      </c>
      <c r="I579" t="n">
        <v>0</v>
      </c>
      <c r="J579" t="n">
        <v>0</v>
      </c>
      <c r="K579" t="n">
        <v>0</v>
      </c>
      <c r="L579" t="n">
        <v>0</v>
      </c>
      <c r="M579" t="n">
        <v>0</v>
      </c>
      <c r="N579" t="n">
        <v>0</v>
      </c>
      <c r="O579" t="n">
        <v>0</v>
      </c>
      <c r="P579" t="n">
        <v>0</v>
      </c>
      <c r="Q579" t="n">
        <v>0</v>
      </c>
      <c r="R579" s="2" t="inlineStr"/>
    </row>
    <row r="580" ht="15" customHeight="1">
      <c r="A580" t="inlineStr">
        <is>
          <t>A 28278-2025</t>
        </is>
      </c>
      <c r="B580" s="1" t="n">
        <v>45818</v>
      </c>
      <c r="C580" s="1" t="n">
        <v>46202</v>
      </c>
      <c r="D580" t="inlineStr">
        <is>
          <t>VÄSTMANLANDS LÄN</t>
        </is>
      </c>
      <c r="E580" t="inlineStr">
        <is>
          <t>SALA</t>
        </is>
      </c>
      <c r="G580" t="n">
        <v>7.6</v>
      </c>
      <c r="H580" t="n">
        <v>0</v>
      </c>
      <c r="I580" t="n">
        <v>0</v>
      </c>
      <c r="J580" t="n">
        <v>0</v>
      </c>
      <c r="K580" t="n">
        <v>0</v>
      </c>
      <c r="L580" t="n">
        <v>0</v>
      </c>
      <c r="M580" t="n">
        <v>0</v>
      </c>
      <c r="N580" t="n">
        <v>0</v>
      </c>
      <c r="O580" t="n">
        <v>0</v>
      </c>
      <c r="P580" t="n">
        <v>0</v>
      </c>
      <c r="Q580" t="n">
        <v>0</v>
      </c>
      <c r="R580" s="2" t="inlineStr"/>
    </row>
    <row r="581" ht="15" customHeight="1">
      <c r="A581" t="inlineStr">
        <is>
          <t>A 26414-2026</t>
        </is>
      </c>
      <c r="B581" s="1" t="n">
        <v>46183</v>
      </c>
      <c r="C581" s="1" t="n">
        <v>46202</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20838-2026</t>
        </is>
      </c>
      <c r="B582" s="1" t="n">
        <v>46142</v>
      </c>
      <c r="C582" s="1" t="n">
        <v>46202</v>
      </c>
      <c r="D582" t="inlineStr">
        <is>
          <t>VÄSTMANLANDS LÄN</t>
        </is>
      </c>
      <c r="E582" t="inlineStr">
        <is>
          <t>SALA</t>
        </is>
      </c>
      <c r="G582" t="n">
        <v>1.7</v>
      </c>
      <c r="H582" t="n">
        <v>0</v>
      </c>
      <c r="I582" t="n">
        <v>0</v>
      </c>
      <c r="J582" t="n">
        <v>0</v>
      </c>
      <c r="K582" t="n">
        <v>0</v>
      </c>
      <c r="L582" t="n">
        <v>0</v>
      </c>
      <c r="M582" t="n">
        <v>0</v>
      </c>
      <c r="N582" t="n">
        <v>0</v>
      </c>
      <c r="O582" t="n">
        <v>0</v>
      </c>
      <c r="P582" t="n">
        <v>0</v>
      </c>
      <c r="Q582" t="n">
        <v>0</v>
      </c>
      <c r="R582" s="2" t="inlineStr"/>
    </row>
    <row r="583" ht="15" customHeight="1">
      <c r="A583" t="inlineStr">
        <is>
          <t>A 27431-2026</t>
        </is>
      </c>
      <c r="B583" s="1" t="n">
        <v>46189</v>
      </c>
      <c r="C583" s="1" t="n">
        <v>46202</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21435-2026</t>
        </is>
      </c>
      <c r="B584" s="1" t="n">
        <v>46148</v>
      </c>
      <c r="C584" s="1" t="n">
        <v>46202</v>
      </c>
      <c r="D584" t="inlineStr">
        <is>
          <t>VÄSTMANLANDS LÄN</t>
        </is>
      </c>
      <c r="E584" t="inlineStr">
        <is>
          <t>SALA</t>
        </is>
      </c>
      <c r="G584" t="n">
        <v>2.3</v>
      </c>
      <c r="H584" t="n">
        <v>0</v>
      </c>
      <c r="I584" t="n">
        <v>0</v>
      </c>
      <c r="J584" t="n">
        <v>0</v>
      </c>
      <c r="K584" t="n">
        <v>0</v>
      </c>
      <c r="L584" t="n">
        <v>0</v>
      </c>
      <c r="M584" t="n">
        <v>0</v>
      </c>
      <c r="N584" t="n">
        <v>0</v>
      </c>
      <c r="O584" t="n">
        <v>0</v>
      </c>
      <c r="P584" t="n">
        <v>0</v>
      </c>
      <c r="Q584" t="n">
        <v>0</v>
      </c>
      <c r="R584" s="2" t="inlineStr"/>
    </row>
    <row r="585" ht="15" customHeight="1">
      <c r="A585" t="inlineStr">
        <is>
          <t>A 28303-2026</t>
        </is>
      </c>
      <c r="B585" s="1" t="n">
        <v>46196</v>
      </c>
      <c r="C585" s="1" t="n">
        <v>46202</v>
      </c>
      <c r="D585" t="inlineStr">
        <is>
          <t>VÄSTMANLANDS LÄN</t>
        </is>
      </c>
      <c r="E585" t="inlineStr">
        <is>
          <t>SALA</t>
        </is>
      </c>
      <c r="F585" t="inlineStr">
        <is>
          <t>Kommuner</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28988-2026</t>
        </is>
      </c>
      <c r="B586" s="1" t="n">
        <v>46199</v>
      </c>
      <c r="C586" s="1" t="n">
        <v>46202</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c r="A587" t="inlineStr">
        <is>
          <t>A 29009-2026</t>
        </is>
      </c>
      <c r="B587" s="1" t="n">
        <v>46199</v>
      </c>
      <c r="C587" s="1" t="n">
        <v>46202</v>
      </c>
      <c r="D587" t="inlineStr">
        <is>
          <t>VÄSTMANLANDS LÄN</t>
        </is>
      </c>
      <c r="E587" t="inlineStr">
        <is>
          <t>SALA</t>
        </is>
      </c>
      <c r="G587" t="n">
        <v>2.5</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2026-06-29T00:59:47Z</dcterms:created>
  <dcterms:modified xmlns:dcterms="http://purl.org/dc/terms/" xmlns:xsi="http://www.w3.org/2001/XMLSchema-instance" xsi:type="dcterms:W3CDTF">2026-06-29T00:59:47Z</dcterms:modified>
</cp:coreProperties>
</file>