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45793</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45793</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45793</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45793</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45793</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45793</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45793</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45793</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45793</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45793</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45793</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45793</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45793</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45793</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45793</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45793</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45793</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45793</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45793</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45793</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45793</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45793</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45793</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45793</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45793</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45793</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45793</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45793</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45793</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45793</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45793</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45793</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45793</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45793</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45793</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45793</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45793</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45793</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45793</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45793</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45793</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45793</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45793</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45793</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45793</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45793</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45793</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45793</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45793</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45793</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45793</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45793</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45793</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45793</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45793</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45793</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45793</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45793</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45793</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45793</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45793</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45793</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22950-2025</t>
        </is>
      </c>
      <c r="B96" s="1" t="n">
        <v>45790</v>
      </c>
      <c r="C96" s="1" t="n">
        <v>45793</v>
      </c>
      <c r="D96" t="inlineStr">
        <is>
          <t>VÄSTMANLANDS LÄN</t>
        </is>
      </c>
      <c r="E96" t="inlineStr">
        <is>
          <t>SALA</t>
        </is>
      </c>
      <c r="G96" t="n">
        <v>6.2</v>
      </c>
      <c r="H96" t="n">
        <v>1</v>
      </c>
      <c r="I96" t="n">
        <v>0</v>
      </c>
      <c r="J96" t="n">
        <v>1</v>
      </c>
      <c r="K96" t="n">
        <v>0</v>
      </c>
      <c r="L96" t="n">
        <v>0</v>
      </c>
      <c r="M96" t="n">
        <v>0</v>
      </c>
      <c r="N96" t="n">
        <v>0</v>
      </c>
      <c r="O96" t="n">
        <v>1</v>
      </c>
      <c r="P96" t="n">
        <v>0</v>
      </c>
      <c r="Q96" t="n">
        <v>1</v>
      </c>
      <c r="R96" s="2" t="inlineStr">
        <is>
          <t>Svartvit flugsnappare</t>
        </is>
      </c>
      <c r="S96">
        <f>HYPERLINK("https://klasma.github.io/Logging_191981/artfynd/A 22950-2025 artfynd.xlsx", "A 22950-2025")</f>
        <v/>
      </c>
      <c r="T96">
        <f>HYPERLINK("https://klasma.github.io/Logging_191981/kartor/A 22950-2025 karta.png", "A 22950-2025")</f>
        <v/>
      </c>
      <c r="V96">
        <f>HYPERLINK("https://klasma.github.io/Logging_191981/klagomål/A 22950-2025 FSC-klagomål.docx", "A 22950-2025")</f>
        <v/>
      </c>
      <c r="W96">
        <f>HYPERLINK("https://klasma.github.io/Logging_191981/klagomålsmail/A 22950-2025 FSC-klagomål mail.docx", "A 22950-2025")</f>
        <v/>
      </c>
      <c r="X96">
        <f>HYPERLINK("https://klasma.github.io/Logging_191981/tillsyn/A 22950-2025 tillsynsbegäran.docx", "A 22950-2025")</f>
        <v/>
      </c>
      <c r="Y96">
        <f>HYPERLINK("https://klasma.github.io/Logging_191981/tillsynsmail/A 22950-2025 tillsynsbegäran mail.docx", "A 22950-2025")</f>
        <v/>
      </c>
      <c r="Z96">
        <f>HYPERLINK("https://klasma.github.io/Logging_191981/fåglar/A 22950-2025 prioriterade fågelarter.docx", "A 22950-2025")</f>
        <v/>
      </c>
    </row>
    <row r="97" ht="15" customHeight="1">
      <c r="A97" t="inlineStr">
        <is>
          <t>A 18255-2019</t>
        </is>
      </c>
      <c r="B97" s="1" t="n">
        <v>43558</v>
      </c>
      <c r="C97" s="1" t="n">
        <v>45793</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45793</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45793</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45793</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45793</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45793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45793</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45793</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45793</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45793</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45793</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45793</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45793</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45793</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45793</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45793</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45793</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45793</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45793</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45793</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45793</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45793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45793</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45793</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45793</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45793</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45793</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45793</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41259-2019</t>
        </is>
      </c>
      <c r="B125" s="1" t="n">
        <v>43698</v>
      </c>
      <c r="C125" s="1" t="n">
        <v>45793</v>
      </c>
      <c r="D125" t="inlineStr">
        <is>
          <t>VÄSTMANLANDS LÄN</t>
        </is>
      </c>
      <c r="E125" t="inlineStr">
        <is>
          <t>SALA</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45302-2019</t>
        </is>
      </c>
      <c r="B126" s="1" t="n">
        <v>43707</v>
      </c>
      <c r="C126" s="1" t="n">
        <v>45793</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46936-2019</t>
        </is>
      </c>
      <c r="B127" s="1" t="n">
        <v>43719</v>
      </c>
      <c r="C127" s="1" t="n">
        <v>45793</v>
      </c>
      <c r="D127" t="inlineStr">
        <is>
          <t>VÄSTMANLANDS LÄN</t>
        </is>
      </c>
      <c r="E127" t="inlineStr">
        <is>
          <t>SALA</t>
        </is>
      </c>
      <c r="G127" t="n">
        <v>4.6</v>
      </c>
      <c r="H127" t="n">
        <v>0</v>
      </c>
      <c r="I127" t="n">
        <v>0</v>
      </c>
      <c r="J127" t="n">
        <v>0</v>
      </c>
      <c r="K127" t="n">
        <v>0</v>
      </c>
      <c r="L127" t="n">
        <v>0</v>
      </c>
      <c r="M127" t="n">
        <v>0</v>
      </c>
      <c r="N127" t="n">
        <v>0</v>
      </c>
      <c r="O127" t="n">
        <v>0</v>
      </c>
      <c r="P127" t="n">
        <v>0</v>
      </c>
      <c r="Q127" t="n">
        <v>0</v>
      </c>
      <c r="R127" s="2" t="inlineStr"/>
    </row>
    <row r="128" ht="15" customHeight="1">
      <c r="A128" t="inlineStr">
        <is>
          <t>A 48617-2019</t>
        </is>
      </c>
      <c r="B128" s="1" t="n">
        <v>43727</v>
      </c>
      <c r="C128" s="1" t="n">
        <v>45793</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48681-2019</t>
        </is>
      </c>
      <c r="B129" s="1" t="n">
        <v>43728</v>
      </c>
      <c r="C129" s="1" t="n">
        <v>45793</v>
      </c>
      <c r="D129" t="inlineStr">
        <is>
          <t>VÄSTMANLANDS LÄN</t>
        </is>
      </c>
      <c r="E129" t="inlineStr">
        <is>
          <t>SALA</t>
        </is>
      </c>
      <c r="G129" t="n">
        <v>1.9</v>
      </c>
      <c r="H129" t="n">
        <v>0</v>
      </c>
      <c r="I129" t="n">
        <v>0</v>
      </c>
      <c r="J129" t="n">
        <v>0</v>
      </c>
      <c r="K129" t="n">
        <v>0</v>
      </c>
      <c r="L129" t="n">
        <v>0</v>
      </c>
      <c r="M129" t="n">
        <v>0</v>
      </c>
      <c r="N129" t="n">
        <v>0</v>
      </c>
      <c r="O129" t="n">
        <v>0</v>
      </c>
      <c r="P129" t="n">
        <v>0</v>
      </c>
      <c r="Q129" t="n">
        <v>0</v>
      </c>
      <c r="R129" s="2" t="inlineStr"/>
    </row>
    <row r="130" ht="15" customHeight="1">
      <c r="A130" t="inlineStr">
        <is>
          <t>A 52756-2019</t>
        </is>
      </c>
      <c r="B130" s="1" t="n">
        <v>43739</v>
      </c>
      <c r="C130" s="1" t="n">
        <v>45793</v>
      </c>
      <c r="D130" t="inlineStr">
        <is>
          <t>VÄSTMANLANDS LÄN</t>
        </is>
      </c>
      <c r="E130" t="inlineStr">
        <is>
          <t>SALA</t>
        </is>
      </c>
      <c r="G130" t="n">
        <v>4.2</v>
      </c>
      <c r="H130" t="n">
        <v>0</v>
      </c>
      <c r="I130" t="n">
        <v>0</v>
      </c>
      <c r="J130" t="n">
        <v>0</v>
      </c>
      <c r="K130" t="n">
        <v>0</v>
      </c>
      <c r="L130" t="n">
        <v>0</v>
      </c>
      <c r="M130" t="n">
        <v>0</v>
      </c>
      <c r="N130" t="n">
        <v>0</v>
      </c>
      <c r="O130" t="n">
        <v>0</v>
      </c>
      <c r="P130" t="n">
        <v>0</v>
      </c>
      <c r="Q130" t="n">
        <v>0</v>
      </c>
      <c r="R130" s="2" t="inlineStr"/>
    </row>
    <row r="131" ht="15" customHeight="1">
      <c r="A131" t="inlineStr">
        <is>
          <t>A 51854-2019</t>
        </is>
      </c>
      <c r="B131" s="1" t="n">
        <v>43741</v>
      </c>
      <c r="C131" s="1" t="n">
        <v>45793</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54393-2019</t>
        </is>
      </c>
      <c r="B132" s="1" t="n">
        <v>43746</v>
      </c>
      <c r="C132" s="1" t="n">
        <v>45793</v>
      </c>
      <c r="D132" t="inlineStr">
        <is>
          <t>VÄSTMANLANDS LÄN</t>
        </is>
      </c>
      <c r="E132" t="inlineStr">
        <is>
          <t>SALA</t>
        </is>
      </c>
      <c r="G132" t="n">
        <v>3.2</v>
      </c>
      <c r="H132" t="n">
        <v>0</v>
      </c>
      <c r="I132" t="n">
        <v>0</v>
      </c>
      <c r="J132" t="n">
        <v>0</v>
      </c>
      <c r="K132" t="n">
        <v>0</v>
      </c>
      <c r="L132" t="n">
        <v>0</v>
      </c>
      <c r="M132" t="n">
        <v>0</v>
      </c>
      <c r="N132" t="n">
        <v>0</v>
      </c>
      <c r="O132" t="n">
        <v>0</v>
      </c>
      <c r="P132" t="n">
        <v>0</v>
      </c>
      <c r="Q132" t="n">
        <v>0</v>
      </c>
      <c r="R132" s="2" t="inlineStr"/>
    </row>
    <row r="133" ht="15" customHeight="1">
      <c r="A133" t="inlineStr">
        <is>
          <t>A 54069-2019</t>
        </is>
      </c>
      <c r="B133" s="1" t="n">
        <v>43752</v>
      </c>
      <c r="C133" s="1" t="n">
        <v>45793</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57743-2019</t>
        </is>
      </c>
      <c r="B134" s="1" t="n">
        <v>43768</v>
      </c>
      <c r="C134" s="1" t="n">
        <v>45793</v>
      </c>
      <c r="D134" t="inlineStr">
        <is>
          <t>VÄSTMANLANDS LÄN</t>
        </is>
      </c>
      <c r="E134" t="inlineStr">
        <is>
          <t>SALA</t>
        </is>
      </c>
      <c r="G134" t="n">
        <v>3.8</v>
      </c>
      <c r="H134" t="n">
        <v>0</v>
      </c>
      <c r="I134" t="n">
        <v>0</v>
      </c>
      <c r="J134" t="n">
        <v>0</v>
      </c>
      <c r="K134" t="n">
        <v>0</v>
      </c>
      <c r="L134" t="n">
        <v>0</v>
      </c>
      <c r="M134" t="n">
        <v>0</v>
      </c>
      <c r="N134" t="n">
        <v>0</v>
      </c>
      <c r="O134" t="n">
        <v>0</v>
      </c>
      <c r="P134" t="n">
        <v>0</v>
      </c>
      <c r="Q134" t="n">
        <v>0</v>
      </c>
      <c r="R134" s="2" t="inlineStr"/>
    </row>
    <row r="135" ht="15" customHeight="1">
      <c r="A135" t="inlineStr">
        <is>
          <t>A 58003-2019</t>
        </is>
      </c>
      <c r="B135" s="1" t="n">
        <v>43769</v>
      </c>
      <c r="C135" s="1" t="n">
        <v>45793</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58027-2019</t>
        </is>
      </c>
      <c r="B136" s="1" t="n">
        <v>43769</v>
      </c>
      <c r="C136" s="1" t="n">
        <v>45793</v>
      </c>
      <c r="D136" t="inlineStr">
        <is>
          <t>VÄSTMANLANDS LÄN</t>
        </is>
      </c>
      <c r="E136" t="inlineStr">
        <is>
          <t>SALA</t>
        </is>
      </c>
      <c r="G136" t="n">
        <v>2.4</v>
      </c>
      <c r="H136" t="n">
        <v>0</v>
      </c>
      <c r="I136" t="n">
        <v>0</v>
      </c>
      <c r="J136" t="n">
        <v>0</v>
      </c>
      <c r="K136" t="n">
        <v>0</v>
      </c>
      <c r="L136" t="n">
        <v>0</v>
      </c>
      <c r="M136" t="n">
        <v>0</v>
      </c>
      <c r="N136" t="n">
        <v>0</v>
      </c>
      <c r="O136" t="n">
        <v>0</v>
      </c>
      <c r="P136" t="n">
        <v>0</v>
      </c>
      <c r="Q136" t="n">
        <v>0</v>
      </c>
      <c r="R136" s="2" t="inlineStr"/>
    </row>
    <row r="137" ht="15" customHeight="1">
      <c r="A137" t="inlineStr">
        <is>
          <t>A 58681-2019</t>
        </is>
      </c>
      <c r="B137" s="1" t="n">
        <v>43773</v>
      </c>
      <c r="C137" s="1" t="n">
        <v>45793</v>
      </c>
      <c r="D137" t="inlineStr">
        <is>
          <t>VÄSTMANLANDS LÄN</t>
        </is>
      </c>
      <c r="E137" t="inlineStr">
        <is>
          <t>SALA</t>
        </is>
      </c>
      <c r="G137" t="n">
        <v>3</v>
      </c>
      <c r="H137" t="n">
        <v>0</v>
      </c>
      <c r="I137" t="n">
        <v>0</v>
      </c>
      <c r="J137" t="n">
        <v>0</v>
      </c>
      <c r="K137" t="n">
        <v>0</v>
      </c>
      <c r="L137" t="n">
        <v>0</v>
      </c>
      <c r="M137" t="n">
        <v>0</v>
      </c>
      <c r="N137" t="n">
        <v>0</v>
      </c>
      <c r="O137" t="n">
        <v>0</v>
      </c>
      <c r="P137" t="n">
        <v>0</v>
      </c>
      <c r="Q137" t="n">
        <v>0</v>
      </c>
      <c r="R137" s="2" t="inlineStr"/>
    </row>
    <row r="138" ht="15" customHeight="1">
      <c r="A138" t="inlineStr">
        <is>
          <t>A 58917-2019</t>
        </is>
      </c>
      <c r="B138" s="1" t="n">
        <v>43774</v>
      </c>
      <c r="C138" s="1" t="n">
        <v>45793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59147-2019</t>
        </is>
      </c>
      <c r="B139" s="1" t="n">
        <v>43775</v>
      </c>
      <c r="C139" s="1" t="n">
        <v>45793</v>
      </c>
      <c r="D139" t="inlineStr">
        <is>
          <t>VÄSTMANLANDS LÄN</t>
        </is>
      </c>
      <c r="E139" t="inlineStr">
        <is>
          <t>SALA</t>
        </is>
      </c>
      <c r="F139" t="inlineStr">
        <is>
          <t>Övriga Aktiebolag</t>
        </is>
      </c>
      <c r="G139" t="n">
        <v>69.8</v>
      </c>
      <c r="H139" t="n">
        <v>0</v>
      </c>
      <c r="I139" t="n">
        <v>0</v>
      </c>
      <c r="J139" t="n">
        <v>0</v>
      </c>
      <c r="K139" t="n">
        <v>0</v>
      </c>
      <c r="L139" t="n">
        <v>0</v>
      </c>
      <c r="M139" t="n">
        <v>0</v>
      </c>
      <c r="N139" t="n">
        <v>0</v>
      </c>
      <c r="O139" t="n">
        <v>0</v>
      </c>
      <c r="P139" t="n">
        <v>0</v>
      </c>
      <c r="Q139" t="n">
        <v>0</v>
      </c>
      <c r="R139" s="2" t="inlineStr"/>
    </row>
    <row r="140" ht="15" customHeight="1">
      <c r="A140" t="inlineStr">
        <is>
          <t>A 60007-2019</t>
        </is>
      </c>
      <c r="B140" s="1" t="n">
        <v>43777</v>
      </c>
      <c r="C140" s="1" t="n">
        <v>45793</v>
      </c>
      <c r="D140" t="inlineStr">
        <is>
          <t>VÄSTMANLANDS LÄN</t>
        </is>
      </c>
      <c r="E140" t="inlineStr">
        <is>
          <t>SALA</t>
        </is>
      </c>
      <c r="F140" t="inlineStr">
        <is>
          <t>Kyrkan</t>
        </is>
      </c>
      <c r="G140" t="n">
        <v>5.1</v>
      </c>
      <c r="H140" t="n">
        <v>0</v>
      </c>
      <c r="I140" t="n">
        <v>0</v>
      </c>
      <c r="J140" t="n">
        <v>0</v>
      </c>
      <c r="K140" t="n">
        <v>0</v>
      </c>
      <c r="L140" t="n">
        <v>0</v>
      </c>
      <c r="M140" t="n">
        <v>0</v>
      </c>
      <c r="N140" t="n">
        <v>0</v>
      </c>
      <c r="O140" t="n">
        <v>0</v>
      </c>
      <c r="P140" t="n">
        <v>0</v>
      </c>
      <c r="Q140" t="n">
        <v>0</v>
      </c>
      <c r="R140" s="2" t="inlineStr"/>
    </row>
    <row r="141" ht="15" customHeight="1">
      <c r="A141" t="inlineStr">
        <is>
          <t>A 60012-2019</t>
        </is>
      </c>
      <c r="B141" s="1" t="n">
        <v>43777</v>
      </c>
      <c r="C141" s="1" t="n">
        <v>45793</v>
      </c>
      <c r="D141" t="inlineStr">
        <is>
          <t>VÄSTMANLANDS LÄN</t>
        </is>
      </c>
      <c r="E141" t="inlineStr">
        <is>
          <t>SALA</t>
        </is>
      </c>
      <c r="F141" t="inlineStr">
        <is>
          <t>Kyrkan</t>
        </is>
      </c>
      <c r="G141" t="n">
        <v>1.5</v>
      </c>
      <c r="H141" t="n">
        <v>0</v>
      </c>
      <c r="I141" t="n">
        <v>0</v>
      </c>
      <c r="J141" t="n">
        <v>0</v>
      </c>
      <c r="K141" t="n">
        <v>0</v>
      </c>
      <c r="L141" t="n">
        <v>0</v>
      </c>
      <c r="M141" t="n">
        <v>0</v>
      </c>
      <c r="N141" t="n">
        <v>0</v>
      </c>
      <c r="O141" t="n">
        <v>0</v>
      </c>
      <c r="P141" t="n">
        <v>0</v>
      </c>
      <c r="Q141" t="n">
        <v>0</v>
      </c>
      <c r="R141" s="2" t="inlineStr"/>
    </row>
    <row r="142" ht="15" customHeight="1">
      <c r="A142" t="inlineStr">
        <is>
          <t>A 61270-2019</t>
        </is>
      </c>
      <c r="B142" s="1" t="n">
        <v>43783</v>
      </c>
      <c r="C142" s="1" t="n">
        <v>45793</v>
      </c>
      <c r="D142" t="inlineStr">
        <is>
          <t>VÄSTMANLANDS LÄN</t>
        </is>
      </c>
      <c r="E142" t="inlineStr">
        <is>
          <t>SALA</t>
        </is>
      </c>
      <c r="G142" t="n">
        <v>3.3</v>
      </c>
      <c r="H142" t="n">
        <v>0</v>
      </c>
      <c r="I142" t="n">
        <v>0</v>
      </c>
      <c r="J142" t="n">
        <v>0</v>
      </c>
      <c r="K142" t="n">
        <v>0</v>
      </c>
      <c r="L142" t="n">
        <v>0</v>
      </c>
      <c r="M142" t="n">
        <v>0</v>
      </c>
      <c r="N142" t="n">
        <v>0</v>
      </c>
      <c r="O142" t="n">
        <v>0</v>
      </c>
      <c r="P142" t="n">
        <v>0</v>
      </c>
      <c r="Q142" t="n">
        <v>0</v>
      </c>
      <c r="R142" s="2" t="inlineStr"/>
    </row>
    <row r="143" ht="15" customHeight="1">
      <c r="A143" t="inlineStr">
        <is>
          <t>A 61394-2019</t>
        </is>
      </c>
      <c r="B143" s="1" t="n">
        <v>43783</v>
      </c>
      <c r="C143" s="1" t="n">
        <v>45793</v>
      </c>
      <c r="D143" t="inlineStr">
        <is>
          <t>VÄSTMANLANDS LÄN</t>
        </is>
      </c>
      <c r="E143" t="inlineStr">
        <is>
          <t>SALA</t>
        </is>
      </c>
      <c r="G143" t="n">
        <v>7.8</v>
      </c>
      <c r="H143" t="n">
        <v>0</v>
      </c>
      <c r="I143" t="n">
        <v>0</v>
      </c>
      <c r="J143" t="n">
        <v>0</v>
      </c>
      <c r="K143" t="n">
        <v>0</v>
      </c>
      <c r="L143" t="n">
        <v>0</v>
      </c>
      <c r="M143" t="n">
        <v>0</v>
      </c>
      <c r="N143" t="n">
        <v>0</v>
      </c>
      <c r="O143" t="n">
        <v>0</v>
      </c>
      <c r="P143" t="n">
        <v>0</v>
      </c>
      <c r="Q143" t="n">
        <v>0</v>
      </c>
      <c r="R143" s="2" t="inlineStr"/>
    </row>
    <row r="144" ht="15" customHeight="1">
      <c r="A144" t="inlineStr">
        <is>
          <t>A 61758-2019</t>
        </is>
      </c>
      <c r="B144" s="1" t="n">
        <v>43784</v>
      </c>
      <c r="C144" s="1" t="n">
        <v>45793</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62390-2019</t>
        </is>
      </c>
      <c r="B145" s="1" t="n">
        <v>43788</v>
      </c>
      <c r="C145" s="1" t="n">
        <v>45793</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64164-2019</t>
        </is>
      </c>
      <c r="B146" s="1" t="n">
        <v>43791</v>
      </c>
      <c r="C146" s="1" t="n">
        <v>45793</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63369-2019</t>
        </is>
      </c>
      <c r="B147" s="1" t="n">
        <v>43794</v>
      </c>
      <c r="C147" s="1" t="n">
        <v>45793</v>
      </c>
      <c r="D147" t="inlineStr">
        <is>
          <t>VÄSTMANLANDS LÄN</t>
        </is>
      </c>
      <c r="E147" t="inlineStr">
        <is>
          <t>SALA</t>
        </is>
      </c>
      <c r="G147" t="n">
        <v>0.4</v>
      </c>
      <c r="H147" t="n">
        <v>0</v>
      </c>
      <c r="I147" t="n">
        <v>0</v>
      </c>
      <c r="J147" t="n">
        <v>0</v>
      </c>
      <c r="K147" t="n">
        <v>0</v>
      </c>
      <c r="L147" t="n">
        <v>0</v>
      </c>
      <c r="M147" t="n">
        <v>0</v>
      </c>
      <c r="N147" t="n">
        <v>0</v>
      </c>
      <c r="O147" t="n">
        <v>0</v>
      </c>
      <c r="P147" t="n">
        <v>0</v>
      </c>
      <c r="Q147" t="n">
        <v>0</v>
      </c>
      <c r="R147" s="2" t="inlineStr"/>
    </row>
    <row r="148" ht="15" customHeight="1">
      <c r="A148" t="inlineStr">
        <is>
          <t>A 63498-2019</t>
        </is>
      </c>
      <c r="B148" s="1" t="n">
        <v>43794</v>
      </c>
      <c r="C148" s="1" t="n">
        <v>45793</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64090-2019</t>
        </is>
      </c>
      <c r="B149" s="1" t="n">
        <v>43796</v>
      </c>
      <c r="C149" s="1" t="n">
        <v>45793</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64092-2019</t>
        </is>
      </c>
      <c r="B150" s="1" t="n">
        <v>43796</v>
      </c>
      <c r="C150" s="1" t="n">
        <v>45793</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65021-2019</t>
        </is>
      </c>
      <c r="B151" s="1" t="n">
        <v>43801</v>
      </c>
      <c r="C151" s="1" t="n">
        <v>45793</v>
      </c>
      <c r="D151" t="inlineStr">
        <is>
          <t>VÄSTMANLANDS LÄN</t>
        </is>
      </c>
      <c r="E151" t="inlineStr">
        <is>
          <t>SALA</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66089-2019</t>
        </is>
      </c>
      <c r="B152" s="1" t="n">
        <v>43807</v>
      </c>
      <c r="C152" s="1" t="n">
        <v>45793</v>
      </c>
      <c r="D152" t="inlineStr">
        <is>
          <t>VÄSTMANLANDS LÄN</t>
        </is>
      </c>
      <c r="E152" t="inlineStr">
        <is>
          <t>SALA</t>
        </is>
      </c>
      <c r="G152" t="n">
        <v>17.1</v>
      </c>
      <c r="H152" t="n">
        <v>0</v>
      </c>
      <c r="I152" t="n">
        <v>0</v>
      </c>
      <c r="J152" t="n">
        <v>0</v>
      </c>
      <c r="K152" t="n">
        <v>0</v>
      </c>
      <c r="L152" t="n">
        <v>0</v>
      </c>
      <c r="M152" t="n">
        <v>0</v>
      </c>
      <c r="N152" t="n">
        <v>0</v>
      </c>
      <c r="O152" t="n">
        <v>0</v>
      </c>
      <c r="P152" t="n">
        <v>0</v>
      </c>
      <c r="Q152" t="n">
        <v>0</v>
      </c>
      <c r="R152" s="2" t="inlineStr"/>
    </row>
    <row r="153" ht="15" customHeight="1">
      <c r="A153" t="inlineStr">
        <is>
          <t>A 66216-2019</t>
        </is>
      </c>
      <c r="B153" s="1" t="n">
        <v>43808</v>
      </c>
      <c r="C153" s="1" t="n">
        <v>45793</v>
      </c>
      <c r="D153" t="inlineStr">
        <is>
          <t>VÄSTMANLANDS LÄN</t>
        </is>
      </c>
      <c r="E153" t="inlineStr">
        <is>
          <t>SALA</t>
        </is>
      </c>
      <c r="F153" t="inlineStr">
        <is>
          <t>Kommuner</t>
        </is>
      </c>
      <c r="G153" t="n">
        <v>3.7</v>
      </c>
      <c r="H153" t="n">
        <v>0</v>
      </c>
      <c r="I153" t="n">
        <v>0</v>
      </c>
      <c r="J153" t="n">
        <v>0</v>
      </c>
      <c r="K153" t="n">
        <v>0</v>
      </c>
      <c r="L153" t="n">
        <v>0</v>
      </c>
      <c r="M153" t="n">
        <v>0</v>
      </c>
      <c r="N153" t="n">
        <v>0</v>
      </c>
      <c r="O153" t="n">
        <v>0</v>
      </c>
      <c r="P153" t="n">
        <v>0</v>
      </c>
      <c r="Q153" t="n">
        <v>0</v>
      </c>
      <c r="R153" s="2" t="inlineStr"/>
    </row>
    <row r="154" ht="15" customHeight="1">
      <c r="A154" t="inlineStr">
        <is>
          <t>A 67360-2019</t>
        </is>
      </c>
      <c r="B154" s="1" t="n">
        <v>43812</v>
      </c>
      <c r="C154" s="1" t="n">
        <v>45793</v>
      </c>
      <c r="D154" t="inlineStr">
        <is>
          <t>VÄSTMANLANDS LÄN</t>
        </is>
      </c>
      <c r="E154" t="inlineStr">
        <is>
          <t>SALA</t>
        </is>
      </c>
      <c r="G154" t="n">
        <v>4.9</v>
      </c>
      <c r="H154" t="n">
        <v>0</v>
      </c>
      <c r="I154" t="n">
        <v>0</v>
      </c>
      <c r="J154" t="n">
        <v>0</v>
      </c>
      <c r="K154" t="n">
        <v>0</v>
      </c>
      <c r="L154" t="n">
        <v>0</v>
      </c>
      <c r="M154" t="n">
        <v>0</v>
      </c>
      <c r="N154" t="n">
        <v>0</v>
      </c>
      <c r="O154" t="n">
        <v>0</v>
      </c>
      <c r="P154" t="n">
        <v>0</v>
      </c>
      <c r="Q154" t="n">
        <v>0</v>
      </c>
      <c r="R154" s="2" t="inlineStr"/>
    </row>
    <row r="155" ht="15" customHeight="1">
      <c r="A155" t="inlineStr">
        <is>
          <t>A 68398-2019</t>
        </is>
      </c>
      <c r="B155" s="1" t="n">
        <v>43818</v>
      </c>
      <c r="C155" s="1" t="n">
        <v>45793</v>
      </c>
      <c r="D155" t="inlineStr">
        <is>
          <t>VÄSTMANLANDS LÄN</t>
        </is>
      </c>
      <c r="E155" t="inlineStr">
        <is>
          <t>SALA</t>
        </is>
      </c>
      <c r="G155" t="n">
        <v>1.4</v>
      </c>
      <c r="H155" t="n">
        <v>0</v>
      </c>
      <c r="I155" t="n">
        <v>0</v>
      </c>
      <c r="J155" t="n">
        <v>0</v>
      </c>
      <c r="K155" t="n">
        <v>0</v>
      </c>
      <c r="L155" t="n">
        <v>0</v>
      </c>
      <c r="M155" t="n">
        <v>0</v>
      </c>
      <c r="N155" t="n">
        <v>0</v>
      </c>
      <c r="O155" t="n">
        <v>0</v>
      </c>
      <c r="P155" t="n">
        <v>0</v>
      </c>
      <c r="Q155" t="n">
        <v>0</v>
      </c>
      <c r="R155" s="2" t="inlineStr"/>
    </row>
    <row r="156" ht="15" customHeight="1">
      <c r="A156" t="inlineStr">
        <is>
          <t>A 68394-2019</t>
        </is>
      </c>
      <c r="B156" s="1" t="n">
        <v>43818</v>
      </c>
      <c r="C156" s="1" t="n">
        <v>45793</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1465-2020</t>
        </is>
      </c>
      <c r="B157" s="1" t="n">
        <v>43822</v>
      </c>
      <c r="C157" s="1" t="n">
        <v>45793</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63-2020</t>
        </is>
      </c>
      <c r="B158" s="1" t="n">
        <v>43832</v>
      </c>
      <c r="C158" s="1" t="n">
        <v>45793</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151-2020</t>
        </is>
      </c>
      <c r="B159" s="1" t="n">
        <v>43833</v>
      </c>
      <c r="C159" s="1" t="n">
        <v>45793</v>
      </c>
      <c r="D159" t="inlineStr">
        <is>
          <t>VÄSTMANLANDS LÄN</t>
        </is>
      </c>
      <c r="E159" t="inlineStr">
        <is>
          <t>SALA</t>
        </is>
      </c>
      <c r="F159" t="inlineStr">
        <is>
          <t>Kyrkan</t>
        </is>
      </c>
      <c r="G159" t="n">
        <v>6.5</v>
      </c>
      <c r="H159" t="n">
        <v>0</v>
      </c>
      <c r="I159" t="n">
        <v>0</v>
      </c>
      <c r="J159" t="n">
        <v>0</v>
      </c>
      <c r="K159" t="n">
        <v>0</v>
      </c>
      <c r="L159" t="n">
        <v>0</v>
      </c>
      <c r="M159" t="n">
        <v>0</v>
      </c>
      <c r="N159" t="n">
        <v>0</v>
      </c>
      <c r="O159" t="n">
        <v>0</v>
      </c>
      <c r="P159" t="n">
        <v>0</v>
      </c>
      <c r="Q159" t="n">
        <v>0</v>
      </c>
      <c r="R159" s="2" t="inlineStr"/>
    </row>
    <row r="160" ht="15" customHeight="1">
      <c r="A160" t="inlineStr">
        <is>
          <t>A 161-2020</t>
        </is>
      </c>
      <c r="B160" s="1" t="n">
        <v>43833</v>
      </c>
      <c r="C160" s="1" t="n">
        <v>45793</v>
      </c>
      <c r="D160" t="inlineStr">
        <is>
          <t>VÄSTMANLANDS LÄN</t>
        </is>
      </c>
      <c r="E160" t="inlineStr">
        <is>
          <t>SALA</t>
        </is>
      </c>
      <c r="F160" t="inlineStr">
        <is>
          <t>Kyrkan</t>
        </is>
      </c>
      <c r="G160" t="n">
        <v>1.6</v>
      </c>
      <c r="H160" t="n">
        <v>0</v>
      </c>
      <c r="I160" t="n">
        <v>0</v>
      </c>
      <c r="J160" t="n">
        <v>0</v>
      </c>
      <c r="K160" t="n">
        <v>0</v>
      </c>
      <c r="L160" t="n">
        <v>0</v>
      </c>
      <c r="M160" t="n">
        <v>0</v>
      </c>
      <c r="N160" t="n">
        <v>0</v>
      </c>
      <c r="O160" t="n">
        <v>0</v>
      </c>
      <c r="P160" t="n">
        <v>0</v>
      </c>
      <c r="Q160" t="n">
        <v>0</v>
      </c>
      <c r="R160" s="2" t="inlineStr"/>
    </row>
    <row r="161" ht="15" customHeight="1">
      <c r="A161" t="inlineStr">
        <is>
          <t>A 297-2020</t>
        </is>
      </c>
      <c r="B161" s="1" t="n">
        <v>43837</v>
      </c>
      <c r="C161" s="1" t="n">
        <v>45793</v>
      </c>
      <c r="D161" t="inlineStr">
        <is>
          <t>VÄSTMANLANDS LÄN</t>
        </is>
      </c>
      <c r="E161" t="inlineStr">
        <is>
          <t>SALA</t>
        </is>
      </c>
      <c r="F161" t="inlineStr">
        <is>
          <t>Kyrkan</t>
        </is>
      </c>
      <c r="G161" t="n">
        <v>0.3</v>
      </c>
      <c r="H161" t="n">
        <v>0</v>
      </c>
      <c r="I161" t="n">
        <v>0</v>
      </c>
      <c r="J161" t="n">
        <v>0</v>
      </c>
      <c r="K161" t="n">
        <v>0</v>
      </c>
      <c r="L161" t="n">
        <v>0</v>
      </c>
      <c r="M161" t="n">
        <v>0</v>
      </c>
      <c r="N161" t="n">
        <v>0</v>
      </c>
      <c r="O161" t="n">
        <v>0</v>
      </c>
      <c r="P161" t="n">
        <v>0</v>
      </c>
      <c r="Q161" t="n">
        <v>0</v>
      </c>
      <c r="R161" s="2" t="inlineStr"/>
    </row>
    <row r="162" ht="15" customHeight="1">
      <c r="A162" t="inlineStr">
        <is>
          <t>A 496-2020</t>
        </is>
      </c>
      <c r="B162" s="1" t="n">
        <v>43837</v>
      </c>
      <c r="C162" s="1" t="n">
        <v>45793</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1005-2020</t>
        </is>
      </c>
      <c r="B163" s="1" t="n">
        <v>43839</v>
      </c>
      <c r="C163" s="1" t="n">
        <v>45793</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1272-2020</t>
        </is>
      </c>
      <c r="B164" s="1" t="n">
        <v>43841</v>
      </c>
      <c r="C164" s="1" t="n">
        <v>45793</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1346-2020</t>
        </is>
      </c>
      <c r="B165" s="1" t="n">
        <v>43843</v>
      </c>
      <c r="C165" s="1" t="n">
        <v>45793</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3935-2020</t>
        </is>
      </c>
      <c r="B166" s="1" t="n">
        <v>43846</v>
      </c>
      <c r="C166" s="1" t="n">
        <v>45793</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2588-2020</t>
        </is>
      </c>
      <c r="B167" s="1" t="n">
        <v>43847</v>
      </c>
      <c r="C167" s="1" t="n">
        <v>45793</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4630-2020</t>
        </is>
      </c>
      <c r="B168" s="1" t="n">
        <v>43851</v>
      </c>
      <c r="C168" s="1" t="n">
        <v>45793</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3590-2020</t>
        </is>
      </c>
      <c r="B169" s="1" t="n">
        <v>43853</v>
      </c>
      <c r="C169" s="1" t="n">
        <v>45793</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4866-2020</t>
        </is>
      </c>
      <c r="B170" s="1" t="n">
        <v>43859</v>
      </c>
      <c r="C170" s="1" t="n">
        <v>45793</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5201-2020</t>
        </is>
      </c>
      <c r="B171" s="1" t="n">
        <v>43860</v>
      </c>
      <c r="C171" s="1" t="n">
        <v>45793</v>
      </c>
      <c r="D171" t="inlineStr">
        <is>
          <t>VÄSTMANLANDS LÄN</t>
        </is>
      </c>
      <c r="E171" t="inlineStr">
        <is>
          <t>SALA</t>
        </is>
      </c>
      <c r="F171" t="inlineStr">
        <is>
          <t>Kyrkan</t>
        </is>
      </c>
      <c r="G171" t="n">
        <v>5</v>
      </c>
      <c r="H171" t="n">
        <v>0</v>
      </c>
      <c r="I171" t="n">
        <v>0</v>
      </c>
      <c r="J171" t="n">
        <v>0</v>
      </c>
      <c r="K171" t="n">
        <v>0</v>
      </c>
      <c r="L171" t="n">
        <v>0</v>
      </c>
      <c r="M171" t="n">
        <v>0</v>
      </c>
      <c r="N171" t="n">
        <v>0</v>
      </c>
      <c r="O171" t="n">
        <v>0</v>
      </c>
      <c r="P171" t="n">
        <v>0</v>
      </c>
      <c r="Q171" t="n">
        <v>0</v>
      </c>
      <c r="R171" s="2" t="inlineStr"/>
    </row>
    <row r="172" ht="15" customHeight="1">
      <c r="A172" t="inlineStr">
        <is>
          <t>A 5163-2020</t>
        </is>
      </c>
      <c r="B172" s="1" t="n">
        <v>43860</v>
      </c>
      <c r="C172" s="1" t="n">
        <v>45793</v>
      </c>
      <c r="D172" t="inlineStr">
        <is>
          <t>VÄSTMANLANDS LÄN</t>
        </is>
      </c>
      <c r="E172" t="inlineStr">
        <is>
          <t>SALA</t>
        </is>
      </c>
      <c r="G172" t="n">
        <v>1.9</v>
      </c>
      <c r="H172" t="n">
        <v>0</v>
      </c>
      <c r="I172" t="n">
        <v>0</v>
      </c>
      <c r="J172" t="n">
        <v>0</v>
      </c>
      <c r="K172" t="n">
        <v>0</v>
      </c>
      <c r="L172" t="n">
        <v>0</v>
      </c>
      <c r="M172" t="n">
        <v>0</v>
      </c>
      <c r="N172" t="n">
        <v>0</v>
      </c>
      <c r="O172" t="n">
        <v>0</v>
      </c>
      <c r="P172" t="n">
        <v>0</v>
      </c>
      <c r="Q172" t="n">
        <v>0</v>
      </c>
      <c r="R172" s="2" t="inlineStr"/>
    </row>
    <row r="173" ht="15" customHeight="1">
      <c r="A173" t="inlineStr">
        <is>
          <t>A 5191-2020</t>
        </is>
      </c>
      <c r="B173" s="1" t="n">
        <v>43860</v>
      </c>
      <c r="C173" s="1" t="n">
        <v>45793</v>
      </c>
      <c r="D173" t="inlineStr">
        <is>
          <t>VÄSTMANLANDS LÄN</t>
        </is>
      </c>
      <c r="E173" t="inlineStr">
        <is>
          <t>SALA</t>
        </is>
      </c>
      <c r="F173" t="inlineStr">
        <is>
          <t>Kyrkan</t>
        </is>
      </c>
      <c r="G173" t="n">
        <v>10.9</v>
      </c>
      <c r="H173" t="n">
        <v>0</v>
      </c>
      <c r="I173" t="n">
        <v>0</v>
      </c>
      <c r="J173" t="n">
        <v>0</v>
      </c>
      <c r="K173" t="n">
        <v>0</v>
      </c>
      <c r="L173" t="n">
        <v>0</v>
      </c>
      <c r="M173" t="n">
        <v>0</v>
      </c>
      <c r="N173" t="n">
        <v>0</v>
      </c>
      <c r="O173" t="n">
        <v>0</v>
      </c>
      <c r="P173" t="n">
        <v>0</v>
      </c>
      <c r="Q173" t="n">
        <v>0</v>
      </c>
      <c r="R173" s="2" t="inlineStr"/>
    </row>
    <row r="174" ht="15" customHeight="1">
      <c r="A174" t="inlineStr">
        <is>
          <t>A 5320-2020</t>
        </is>
      </c>
      <c r="B174" s="1" t="n">
        <v>43860</v>
      </c>
      <c r="C174" s="1" t="n">
        <v>45793</v>
      </c>
      <c r="D174" t="inlineStr">
        <is>
          <t>VÄSTMANLANDS LÄN</t>
        </is>
      </c>
      <c r="E174" t="inlineStr">
        <is>
          <t>SALA</t>
        </is>
      </c>
      <c r="G174" t="n">
        <v>3.1</v>
      </c>
      <c r="H174" t="n">
        <v>0</v>
      </c>
      <c r="I174" t="n">
        <v>0</v>
      </c>
      <c r="J174" t="n">
        <v>0</v>
      </c>
      <c r="K174" t="n">
        <v>0</v>
      </c>
      <c r="L174" t="n">
        <v>0</v>
      </c>
      <c r="M174" t="n">
        <v>0</v>
      </c>
      <c r="N174" t="n">
        <v>0</v>
      </c>
      <c r="O174" t="n">
        <v>0</v>
      </c>
      <c r="P174" t="n">
        <v>0</v>
      </c>
      <c r="Q174" t="n">
        <v>0</v>
      </c>
      <c r="R174" s="2" t="inlineStr"/>
    </row>
    <row r="175" ht="15" customHeight="1">
      <c r="A175" t="inlineStr">
        <is>
          <t>A 5587-2020</t>
        </is>
      </c>
      <c r="B175" s="1" t="n">
        <v>43861</v>
      </c>
      <c r="C175" s="1" t="n">
        <v>45793</v>
      </c>
      <c r="D175" t="inlineStr">
        <is>
          <t>VÄSTMANLANDS LÄN</t>
        </is>
      </c>
      <c r="E175" t="inlineStr">
        <is>
          <t>SALA</t>
        </is>
      </c>
      <c r="G175" t="n">
        <v>9.6</v>
      </c>
      <c r="H175" t="n">
        <v>0</v>
      </c>
      <c r="I175" t="n">
        <v>0</v>
      </c>
      <c r="J175" t="n">
        <v>0</v>
      </c>
      <c r="K175" t="n">
        <v>0</v>
      </c>
      <c r="L175" t="n">
        <v>0</v>
      </c>
      <c r="M175" t="n">
        <v>0</v>
      </c>
      <c r="N175" t="n">
        <v>0</v>
      </c>
      <c r="O175" t="n">
        <v>0</v>
      </c>
      <c r="P175" t="n">
        <v>0</v>
      </c>
      <c r="Q175" t="n">
        <v>0</v>
      </c>
      <c r="R175" s="2" t="inlineStr"/>
    </row>
    <row r="176" ht="15" customHeight="1">
      <c r="A176" t="inlineStr">
        <is>
          <t>A 5750-2020</t>
        </is>
      </c>
      <c r="B176" s="1" t="n">
        <v>43864</v>
      </c>
      <c r="C176" s="1" t="n">
        <v>45793</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6185-2020</t>
        </is>
      </c>
      <c r="B177" s="1" t="n">
        <v>43865</v>
      </c>
      <c r="C177" s="1" t="n">
        <v>45793</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7190-2020</t>
        </is>
      </c>
      <c r="B178" s="1" t="n">
        <v>43868</v>
      </c>
      <c r="C178" s="1" t="n">
        <v>45793</v>
      </c>
      <c r="D178" t="inlineStr">
        <is>
          <t>VÄSTMANLANDS LÄN</t>
        </is>
      </c>
      <c r="E178" t="inlineStr">
        <is>
          <t>SALA</t>
        </is>
      </c>
      <c r="G178" t="n">
        <v>4.5</v>
      </c>
      <c r="H178" t="n">
        <v>0</v>
      </c>
      <c r="I178" t="n">
        <v>0</v>
      </c>
      <c r="J178" t="n">
        <v>0</v>
      </c>
      <c r="K178" t="n">
        <v>0</v>
      </c>
      <c r="L178" t="n">
        <v>0</v>
      </c>
      <c r="M178" t="n">
        <v>0</v>
      </c>
      <c r="N178" t="n">
        <v>0</v>
      </c>
      <c r="O178" t="n">
        <v>0</v>
      </c>
      <c r="P178" t="n">
        <v>0</v>
      </c>
      <c r="Q178" t="n">
        <v>0</v>
      </c>
      <c r="R178" s="2" t="inlineStr"/>
    </row>
    <row r="179" ht="15" customHeight="1">
      <c r="A179" t="inlineStr">
        <is>
          <t>A 10010-2020</t>
        </is>
      </c>
      <c r="B179" s="1" t="n">
        <v>43882</v>
      </c>
      <c r="C179" s="1" t="n">
        <v>45793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10276-2020</t>
        </is>
      </c>
      <c r="B180" s="1" t="n">
        <v>43885</v>
      </c>
      <c r="C180" s="1" t="n">
        <v>45793</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10811-2020</t>
        </is>
      </c>
      <c r="B181" s="1" t="n">
        <v>43888</v>
      </c>
      <c r="C181" s="1" t="n">
        <v>45793</v>
      </c>
      <c r="D181" t="inlineStr">
        <is>
          <t>VÄSTMANLANDS LÄN</t>
        </is>
      </c>
      <c r="E181" t="inlineStr">
        <is>
          <t>SALA</t>
        </is>
      </c>
      <c r="G181" t="n">
        <v>3.9</v>
      </c>
      <c r="H181" t="n">
        <v>0</v>
      </c>
      <c r="I181" t="n">
        <v>0</v>
      </c>
      <c r="J181" t="n">
        <v>0</v>
      </c>
      <c r="K181" t="n">
        <v>0</v>
      </c>
      <c r="L181" t="n">
        <v>0</v>
      </c>
      <c r="M181" t="n">
        <v>0</v>
      </c>
      <c r="N181" t="n">
        <v>0</v>
      </c>
      <c r="O181" t="n">
        <v>0</v>
      </c>
      <c r="P181" t="n">
        <v>0</v>
      </c>
      <c r="Q181" t="n">
        <v>0</v>
      </c>
      <c r="R181" s="2" t="inlineStr"/>
    </row>
    <row r="182" ht="15" customHeight="1">
      <c r="A182" t="inlineStr">
        <is>
          <t>A 14110-2020</t>
        </is>
      </c>
      <c r="B182" s="1" t="n">
        <v>43900</v>
      </c>
      <c r="C182" s="1" t="n">
        <v>45793</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13643-2020</t>
        </is>
      </c>
      <c r="B183" s="1" t="n">
        <v>43903</v>
      </c>
      <c r="C183" s="1" t="n">
        <v>45793</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13936-2020</t>
        </is>
      </c>
      <c r="B184" s="1" t="n">
        <v>43903</v>
      </c>
      <c r="C184" s="1" t="n">
        <v>45793</v>
      </c>
      <c r="D184" t="inlineStr">
        <is>
          <t>VÄSTMANLANDS LÄN</t>
        </is>
      </c>
      <c r="E184" t="inlineStr">
        <is>
          <t>SALA</t>
        </is>
      </c>
      <c r="G184" t="n">
        <v>1.7</v>
      </c>
      <c r="H184" t="n">
        <v>0</v>
      </c>
      <c r="I184" t="n">
        <v>0</v>
      </c>
      <c r="J184" t="n">
        <v>0</v>
      </c>
      <c r="K184" t="n">
        <v>0</v>
      </c>
      <c r="L184" t="n">
        <v>0</v>
      </c>
      <c r="M184" t="n">
        <v>0</v>
      </c>
      <c r="N184" t="n">
        <v>0</v>
      </c>
      <c r="O184" t="n">
        <v>0</v>
      </c>
      <c r="P184" t="n">
        <v>0</v>
      </c>
      <c r="Q184" t="n">
        <v>0</v>
      </c>
      <c r="R184" s="2" t="inlineStr"/>
    </row>
    <row r="185" ht="15" customHeight="1">
      <c r="A185" t="inlineStr">
        <is>
          <t>A 14049-2020</t>
        </is>
      </c>
      <c r="B185" s="1" t="n">
        <v>43906</v>
      </c>
      <c r="C185" s="1" t="n">
        <v>45793</v>
      </c>
      <c r="D185" t="inlineStr">
        <is>
          <t>VÄSTMANLANDS LÄN</t>
        </is>
      </c>
      <c r="E185" t="inlineStr">
        <is>
          <t>SALA</t>
        </is>
      </c>
      <c r="G185" t="n">
        <v>4.4</v>
      </c>
      <c r="H185" t="n">
        <v>0</v>
      </c>
      <c r="I185" t="n">
        <v>0</v>
      </c>
      <c r="J185" t="n">
        <v>0</v>
      </c>
      <c r="K185" t="n">
        <v>0</v>
      </c>
      <c r="L185" t="n">
        <v>0</v>
      </c>
      <c r="M185" t="n">
        <v>0</v>
      </c>
      <c r="N185" t="n">
        <v>0</v>
      </c>
      <c r="O185" t="n">
        <v>0</v>
      </c>
      <c r="P185" t="n">
        <v>0</v>
      </c>
      <c r="Q185" t="n">
        <v>0</v>
      </c>
      <c r="R185" s="2" t="inlineStr"/>
    </row>
    <row r="186" ht="15" customHeight="1">
      <c r="A186" t="inlineStr">
        <is>
          <t>A 14542-2020</t>
        </is>
      </c>
      <c r="B186" s="1" t="n">
        <v>43908</v>
      </c>
      <c r="C186" s="1" t="n">
        <v>45793</v>
      </c>
      <c r="D186" t="inlineStr">
        <is>
          <t>VÄSTMANLANDS LÄN</t>
        </is>
      </c>
      <c r="E186" t="inlineStr">
        <is>
          <t>SALA</t>
        </is>
      </c>
      <c r="G186" t="n">
        <v>4.1</v>
      </c>
      <c r="H186" t="n">
        <v>0</v>
      </c>
      <c r="I186" t="n">
        <v>0</v>
      </c>
      <c r="J186" t="n">
        <v>0</v>
      </c>
      <c r="K186" t="n">
        <v>0</v>
      </c>
      <c r="L186" t="n">
        <v>0</v>
      </c>
      <c r="M186" t="n">
        <v>0</v>
      </c>
      <c r="N186" t="n">
        <v>0</v>
      </c>
      <c r="O186" t="n">
        <v>0</v>
      </c>
      <c r="P186" t="n">
        <v>0</v>
      </c>
      <c r="Q186" t="n">
        <v>0</v>
      </c>
      <c r="R186" s="2" t="inlineStr"/>
    </row>
    <row r="187" ht="15" customHeight="1">
      <c r="A187" t="inlineStr">
        <is>
          <t>A 16480-2020</t>
        </is>
      </c>
      <c r="B187" s="1" t="n">
        <v>43914</v>
      </c>
      <c r="C187" s="1" t="n">
        <v>45793</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15850-2020</t>
        </is>
      </c>
      <c r="B188" s="1" t="n">
        <v>43915</v>
      </c>
      <c r="C188" s="1" t="n">
        <v>45793</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15748-2020</t>
        </is>
      </c>
      <c r="B189" s="1" t="n">
        <v>43915</v>
      </c>
      <c r="C189" s="1" t="n">
        <v>45793</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16093-2020</t>
        </is>
      </c>
      <c r="B190" s="1" t="n">
        <v>43916</v>
      </c>
      <c r="C190" s="1" t="n">
        <v>45793</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17139-2020</t>
        </is>
      </c>
      <c r="B191" s="1" t="n">
        <v>43922</v>
      </c>
      <c r="C191" s="1" t="n">
        <v>45793</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17205-2020</t>
        </is>
      </c>
      <c r="B192" s="1" t="n">
        <v>43922</v>
      </c>
      <c r="C192" s="1" t="n">
        <v>45793</v>
      </c>
      <c r="D192" t="inlineStr">
        <is>
          <t>VÄSTMANLANDS LÄN</t>
        </is>
      </c>
      <c r="E192" t="inlineStr">
        <is>
          <t>SALA</t>
        </is>
      </c>
      <c r="G192" t="n">
        <v>3.2</v>
      </c>
      <c r="H192" t="n">
        <v>0</v>
      </c>
      <c r="I192" t="n">
        <v>0</v>
      </c>
      <c r="J192" t="n">
        <v>0</v>
      </c>
      <c r="K192" t="n">
        <v>0</v>
      </c>
      <c r="L192" t="n">
        <v>0</v>
      </c>
      <c r="M192" t="n">
        <v>0</v>
      </c>
      <c r="N192" t="n">
        <v>0</v>
      </c>
      <c r="O192" t="n">
        <v>0</v>
      </c>
      <c r="P192" t="n">
        <v>0</v>
      </c>
      <c r="Q192" t="n">
        <v>0</v>
      </c>
      <c r="R192" s="2" t="inlineStr"/>
    </row>
    <row r="193" ht="15" customHeight="1">
      <c r="A193" t="inlineStr">
        <is>
          <t>A 17355-2020</t>
        </is>
      </c>
      <c r="B193" s="1" t="n">
        <v>43923</v>
      </c>
      <c r="C193" s="1" t="n">
        <v>45793</v>
      </c>
      <c r="D193" t="inlineStr">
        <is>
          <t>VÄSTMANLANDS LÄN</t>
        </is>
      </c>
      <c r="E193" t="inlineStr">
        <is>
          <t>SALA</t>
        </is>
      </c>
      <c r="G193" t="n">
        <v>0.4</v>
      </c>
      <c r="H193" t="n">
        <v>0</v>
      </c>
      <c r="I193" t="n">
        <v>0</v>
      </c>
      <c r="J193" t="n">
        <v>0</v>
      </c>
      <c r="K193" t="n">
        <v>0</v>
      </c>
      <c r="L193" t="n">
        <v>0</v>
      </c>
      <c r="M193" t="n">
        <v>0</v>
      </c>
      <c r="N193" t="n">
        <v>0</v>
      </c>
      <c r="O193" t="n">
        <v>0</v>
      </c>
      <c r="P193" t="n">
        <v>0</v>
      </c>
      <c r="Q193" t="n">
        <v>0</v>
      </c>
      <c r="R193" s="2" t="inlineStr"/>
    </row>
    <row r="194" ht="15" customHeight="1">
      <c r="A194" t="inlineStr">
        <is>
          <t>A 17492-2020</t>
        </is>
      </c>
      <c r="B194" s="1" t="n">
        <v>43923</v>
      </c>
      <c r="C194" s="1" t="n">
        <v>45793</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18772-2020</t>
        </is>
      </c>
      <c r="B195" s="1" t="n">
        <v>43930</v>
      </c>
      <c r="C195" s="1" t="n">
        <v>45793</v>
      </c>
      <c r="D195" t="inlineStr">
        <is>
          <t>VÄSTMANLANDS LÄN</t>
        </is>
      </c>
      <c r="E195" t="inlineStr">
        <is>
          <t>SALA</t>
        </is>
      </c>
      <c r="G195" t="n">
        <v>3.5</v>
      </c>
      <c r="H195" t="n">
        <v>0</v>
      </c>
      <c r="I195" t="n">
        <v>0</v>
      </c>
      <c r="J195" t="n">
        <v>0</v>
      </c>
      <c r="K195" t="n">
        <v>0</v>
      </c>
      <c r="L195" t="n">
        <v>0</v>
      </c>
      <c r="M195" t="n">
        <v>0</v>
      </c>
      <c r="N195" t="n">
        <v>0</v>
      </c>
      <c r="O195" t="n">
        <v>0</v>
      </c>
      <c r="P195" t="n">
        <v>0</v>
      </c>
      <c r="Q195" t="n">
        <v>0</v>
      </c>
      <c r="R195" s="2" t="inlineStr"/>
    </row>
    <row r="196" ht="15" customHeight="1">
      <c r="A196" t="inlineStr">
        <is>
          <t>A 19071-2020</t>
        </is>
      </c>
      <c r="B196" s="1" t="n">
        <v>43936</v>
      </c>
      <c r="C196" s="1" t="n">
        <v>45793</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19480-2020</t>
        </is>
      </c>
      <c r="B197" s="1" t="n">
        <v>43936</v>
      </c>
      <c r="C197" s="1" t="n">
        <v>45793</v>
      </c>
      <c r="D197" t="inlineStr">
        <is>
          <t>VÄSTMANLANDS LÄN</t>
        </is>
      </c>
      <c r="E197" t="inlineStr">
        <is>
          <t>SALA</t>
        </is>
      </c>
      <c r="G197" t="n">
        <v>4.8</v>
      </c>
      <c r="H197" t="n">
        <v>0</v>
      </c>
      <c r="I197" t="n">
        <v>0</v>
      </c>
      <c r="J197" t="n">
        <v>0</v>
      </c>
      <c r="K197" t="n">
        <v>0</v>
      </c>
      <c r="L197" t="n">
        <v>0</v>
      </c>
      <c r="M197" t="n">
        <v>0</v>
      </c>
      <c r="N197" t="n">
        <v>0</v>
      </c>
      <c r="O197" t="n">
        <v>0</v>
      </c>
      <c r="P197" t="n">
        <v>0</v>
      </c>
      <c r="Q197" t="n">
        <v>0</v>
      </c>
      <c r="R197" s="2" t="inlineStr"/>
    </row>
    <row r="198" ht="15" customHeight="1">
      <c r="A198" t="inlineStr">
        <is>
          <t>A 22305-2020</t>
        </is>
      </c>
      <c r="B198" s="1" t="n">
        <v>43957</v>
      </c>
      <c r="C198" s="1" t="n">
        <v>45793</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22058-2020</t>
        </is>
      </c>
      <c r="B199" s="1" t="n">
        <v>43959</v>
      </c>
      <c r="C199" s="1" t="n">
        <v>45793</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24235-2020</t>
        </is>
      </c>
      <c r="B200" s="1" t="n">
        <v>43976</v>
      </c>
      <c r="C200" s="1" t="n">
        <v>45793</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24763-2020</t>
        </is>
      </c>
      <c r="B201" s="1" t="n">
        <v>43978</v>
      </c>
      <c r="C201" s="1" t="n">
        <v>45793</v>
      </c>
      <c r="D201" t="inlineStr">
        <is>
          <t>VÄSTMANLANDS LÄN</t>
        </is>
      </c>
      <c r="E201" t="inlineStr">
        <is>
          <t>SALA</t>
        </is>
      </c>
      <c r="G201" t="n">
        <v>3.6</v>
      </c>
      <c r="H201" t="n">
        <v>0</v>
      </c>
      <c r="I201" t="n">
        <v>0</v>
      </c>
      <c r="J201" t="n">
        <v>0</v>
      </c>
      <c r="K201" t="n">
        <v>0</v>
      </c>
      <c r="L201" t="n">
        <v>0</v>
      </c>
      <c r="M201" t="n">
        <v>0</v>
      </c>
      <c r="N201" t="n">
        <v>0</v>
      </c>
      <c r="O201" t="n">
        <v>0</v>
      </c>
      <c r="P201" t="n">
        <v>0</v>
      </c>
      <c r="Q201" t="n">
        <v>0</v>
      </c>
      <c r="R201" s="2" t="inlineStr"/>
    </row>
    <row r="202" ht="15" customHeight="1">
      <c r="A202" t="inlineStr">
        <is>
          <t>A 26098-2020</t>
        </is>
      </c>
      <c r="B202" s="1" t="n">
        <v>43985</v>
      </c>
      <c r="C202" s="1" t="n">
        <v>45793</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26425-2020</t>
        </is>
      </c>
      <c r="B203" s="1" t="n">
        <v>43987</v>
      </c>
      <c r="C203" s="1" t="n">
        <v>45793</v>
      </c>
      <c r="D203" t="inlineStr">
        <is>
          <t>VÄSTMANLANDS LÄN</t>
        </is>
      </c>
      <c r="E203" t="inlineStr">
        <is>
          <t>SALA</t>
        </is>
      </c>
      <c r="G203" t="n">
        <v>6.3</v>
      </c>
      <c r="H203" t="n">
        <v>0</v>
      </c>
      <c r="I203" t="n">
        <v>0</v>
      </c>
      <c r="J203" t="n">
        <v>0</v>
      </c>
      <c r="K203" t="n">
        <v>0</v>
      </c>
      <c r="L203" t="n">
        <v>0</v>
      </c>
      <c r="M203" t="n">
        <v>0</v>
      </c>
      <c r="N203" t="n">
        <v>0</v>
      </c>
      <c r="O203" t="n">
        <v>0</v>
      </c>
      <c r="P203" t="n">
        <v>0</v>
      </c>
      <c r="Q203" t="n">
        <v>0</v>
      </c>
      <c r="R203" s="2" t="inlineStr"/>
    </row>
    <row r="204" ht="15" customHeight="1">
      <c r="A204" t="inlineStr">
        <is>
          <t>A 26937-2020</t>
        </is>
      </c>
      <c r="B204" s="1" t="n">
        <v>43990</v>
      </c>
      <c r="C204" s="1" t="n">
        <v>45793</v>
      </c>
      <c r="D204" t="inlineStr">
        <is>
          <t>VÄSTMANLANDS LÄN</t>
        </is>
      </c>
      <c r="E204" t="inlineStr">
        <is>
          <t>SALA</t>
        </is>
      </c>
      <c r="F204" t="inlineStr">
        <is>
          <t>Bergvik skog öst AB</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27730-2020</t>
        </is>
      </c>
      <c r="B205" s="1" t="n">
        <v>43994</v>
      </c>
      <c r="C205" s="1" t="n">
        <v>45793</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29845-2020</t>
        </is>
      </c>
      <c r="B206" s="1" t="n">
        <v>44005</v>
      </c>
      <c r="C206" s="1" t="n">
        <v>45793</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29821-2020</t>
        </is>
      </c>
      <c r="B207" s="1" t="n">
        <v>44005</v>
      </c>
      <c r="C207" s="1" t="n">
        <v>45793</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29925-2020</t>
        </is>
      </c>
      <c r="B208" s="1" t="n">
        <v>44006</v>
      </c>
      <c r="C208" s="1" t="n">
        <v>45793</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30327-2020</t>
        </is>
      </c>
      <c r="B209" s="1" t="n">
        <v>44007</v>
      </c>
      <c r="C209" s="1" t="n">
        <v>45793</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32371-2020</t>
        </is>
      </c>
      <c r="B210" s="1" t="n">
        <v>44018</v>
      </c>
      <c r="C210" s="1" t="n">
        <v>45793</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32367-2020</t>
        </is>
      </c>
      <c r="B211" s="1" t="n">
        <v>44018</v>
      </c>
      <c r="C211" s="1" t="n">
        <v>45793</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32368-2020</t>
        </is>
      </c>
      <c r="B212" s="1" t="n">
        <v>44018</v>
      </c>
      <c r="C212" s="1" t="n">
        <v>45793</v>
      </c>
      <c r="D212" t="inlineStr">
        <is>
          <t>VÄSTMANLANDS LÄN</t>
        </is>
      </c>
      <c r="E212" t="inlineStr">
        <is>
          <t>SALA</t>
        </is>
      </c>
      <c r="G212" t="n">
        <v>3.4</v>
      </c>
      <c r="H212" t="n">
        <v>0</v>
      </c>
      <c r="I212" t="n">
        <v>0</v>
      </c>
      <c r="J212" t="n">
        <v>0</v>
      </c>
      <c r="K212" t="n">
        <v>0</v>
      </c>
      <c r="L212" t="n">
        <v>0</v>
      </c>
      <c r="M212" t="n">
        <v>0</v>
      </c>
      <c r="N212" t="n">
        <v>0</v>
      </c>
      <c r="O212" t="n">
        <v>0</v>
      </c>
      <c r="P212" t="n">
        <v>0</v>
      </c>
      <c r="Q212" t="n">
        <v>0</v>
      </c>
      <c r="R212" s="2" t="inlineStr"/>
    </row>
    <row r="213" ht="15" customHeight="1">
      <c r="A213" t="inlineStr">
        <is>
          <t>A 32377-2020</t>
        </is>
      </c>
      <c r="B213" s="1" t="n">
        <v>44018</v>
      </c>
      <c r="C213" s="1" t="n">
        <v>45793</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33181-2020</t>
        </is>
      </c>
      <c r="B214" s="1" t="n">
        <v>44021</v>
      </c>
      <c r="C214" s="1" t="n">
        <v>45793</v>
      </c>
      <c r="D214" t="inlineStr">
        <is>
          <t>VÄSTMANLANDS LÄN</t>
        </is>
      </c>
      <c r="E214" t="inlineStr">
        <is>
          <t>SALA</t>
        </is>
      </c>
      <c r="G214" t="n">
        <v>2.8</v>
      </c>
      <c r="H214" t="n">
        <v>0</v>
      </c>
      <c r="I214" t="n">
        <v>0</v>
      </c>
      <c r="J214" t="n">
        <v>0</v>
      </c>
      <c r="K214" t="n">
        <v>0</v>
      </c>
      <c r="L214" t="n">
        <v>0</v>
      </c>
      <c r="M214" t="n">
        <v>0</v>
      </c>
      <c r="N214" t="n">
        <v>0</v>
      </c>
      <c r="O214" t="n">
        <v>0</v>
      </c>
      <c r="P214" t="n">
        <v>0</v>
      </c>
      <c r="Q214" t="n">
        <v>0</v>
      </c>
      <c r="R214" s="2" t="inlineStr"/>
    </row>
    <row r="215" ht="15" customHeight="1">
      <c r="A215" t="inlineStr">
        <is>
          <t>A 34430-2020</t>
        </is>
      </c>
      <c r="B215" s="1" t="n">
        <v>44032</v>
      </c>
      <c r="C215" s="1" t="n">
        <v>45793</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34429-2020</t>
        </is>
      </c>
      <c r="B216" s="1" t="n">
        <v>44032</v>
      </c>
      <c r="C216" s="1" t="n">
        <v>45793</v>
      </c>
      <c r="D216" t="inlineStr">
        <is>
          <t>VÄSTMANLANDS LÄN</t>
        </is>
      </c>
      <c r="E216" t="inlineStr">
        <is>
          <t>SALA</t>
        </is>
      </c>
      <c r="G216" t="n">
        <v>3.6</v>
      </c>
      <c r="H216" t="n">
        <v>0</v>
      </c>
      <c r="I216" t="n">
        <v>0</v>
      </c>
      <c r="J216" t="n">
        <v>0</v>
      </c>
      <c r="K216" t="n">
        <v>0</v>
      </c>
      <c r="L216" t="n">
        <v>0</v>
      </c>
      <c r="M216" t="n">
        <v>0</v>
      </c>
      <c r="N216" t="n">
        <v>0</v>
      </c>
      <c r="O216" t="n">
        <v>0</v>
      </c>
      <c r="P216" t="n">
        <v>0</v>
      </c>
      <c r="Q216" t="n">
        <v>0</v>
      </c>
      <c r="R216" s="2" t="inlineStr"/>
    </row>
    <row r="217" ht="15" customHeight="1">
      <c r="A217" t="inlineStr">
        <is>
          <t>A 37008-2020</t>
        </is>
      </c>
      <c r="B217" s="1" t="n">
        <v>44054</v>
      </c>
      <c r="C217" s="1" t="n">
        <v>45793</v>
      </c>
      <c r="D217" t="inlineStr">
        <is>
          <t>VÄSTMANLANDS LÄN</t>
        </is>
      </c>
      <c r="E217" t="inlineStr">
        <is>
          <t>SALA</t>
        </is>
      </c>
      <c r="F217" t="inlineStr">
        <is>
          <t>Kommuner</t>
        </is>
      </c>
      <c r="G217" t="n">
        <v>5.5</v>
      </c>
      <c r="H217" t="n">
        <v>0</v>
      </c>
      <c r="I217" t="n">
        <v>0</v>
      </c>
      <c r="J217" t="n">
        <v>0</v>
      </c>
      <c r="K217" t="n">
        <v>0</v>
      </c>
      <c r="L217" t="n">
        <v>0</v>
      </c>
      <c r="M217" t="n">
        <v>0</v>
      </c>
      <c r="N217" t="n">
        <v>0</v>
      </c>
      <c r="O217" t="n">
        <v>0</v>
      </c>
      <c r="P217" t="n">
        <v>0</v>
      </c>
      <c r="Q217" t="n">
        <v>0</v>
      </c>
      <c r="R217" s="2" t="inlineStr"/>
    </row>
    <row r="218" ht="15" customHeight="1">
      <c r="A218" t="inlineStr">
        <is>
          <t>A 37098-2020</t>
        </is>
      </c>
      <c r="B218" s="1" t="n">
        <v>44054</v>
      </c>
      <c r="C218" s="1" t="n">
        <v>45793</v>
      </c>
      <c r="D218" t="inlineStr">
        <is>
          <t>VÄSTMANLANDS LÄN</t>
        </is>
      </c>
      <c r="E218" t="inlineStr">
        <is>
          <t>SALA</t>
        </is>
      </c>
      <c r="F218" t="inlineStr">
        <is>
          <t>Kommuner</t>
        </is>
      </c>
      <c r="G218" t="n">
        <v>3.8</v>
      </c>
      <c r="H218" t="n">
        <v>0</v>
      </c>
      <c r="I218" t="n">
        <v>0</v>
      </c>
      <c r="J218" t="n">
        <v>0</v>
      </c>
      <c r="K218" t="n">
        <v>0</v>
      </c>
      <c r="L218" t="n">
        <v>0</v>
      </c>
      <c r="M218" t="n">
        <v>0</v>
      </c>
      <c r="N218" t="n">
        <v>0</v>
      </c>
      <c r="O218" t="n">
        <v>0</v>
      </c>
      <c r="P218" t="n">
        <v>0</v>
      </c>
      <c r="Q218" t="n">
        <v>0</v>
      </c>
      <c r="R218" s="2" t="inlineStr"/>
    </row>
    <row r="219" ht="15" customHeight="1">
      <c r="A219" t="inlineStr">
        <is>
          <t>A 37150-2020</t>
        </is>
      </c>
      <c r="B219" s="1" t="n">
        <v>44054</v>
      </c>
      <c r="C219" s="1" t="n">
        <v>45793</v>
      </c>
      <c r="D219" t="inlineStr">
        <is>
          <t>VÄSTMANLANDS LÄN</t>
        </is>
      </c>
      <c r="E219" t="inlineStr">
        <is>
          <t>SALA</t>
        </is>
      </c>
      <c r="F219" t="inlineStr">
        <is>
          <t>Kommuner</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38579-2020</t>
        </is>
      </c>
      <c r="B220" s="1" t="n">
        <v>44061</v>
      </c>
      <c r="C220" s="1" t="n">
        <v>45793</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38713-2020</t>
        </is>
      </c>
      <c r="B221" s="1" t="n">
        <v>44061</v>
      </c>
      <c r="C221" s="1" t="n">
        <v>45793</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39519-2020</t>
        </is>
      </c>
      <c r="B222" s="1" t="n">
        <v>44064</v>
      </c>
      <c r="C222" s="1" t="n">
        <v>45793</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39818-2020</t>
        </is>
      </c>
      <c r="B223" s="1" t="n">
        <v>44067</v>
      </c>
      <c r="C223" s="1" t="n">
        <v>45793</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41493-2020</t>
        </is>
      </c>
      <c r="B224" s="1" t="n">
        <v>44074</v>
      </c>
      <c r="C224" s="1" t="n">
        <v>45793</v>
      </c>
      <c r="D224" t="inlineStr">
        <is>
          <t>VÄSTMANLANDS LÄN</t>
        </is>
      </c>
      <c r="E224" t="inlineStr">
        <is>
          <t>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41485-2020</t>
        </is>
      </c>
      <c r="B225" s="1" t="n">
        <v>44074</v>
      </c>
      <c r="C225" s="1" t="n">
        <v>45793</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42344-2020</t>
        </is>
      </c>
      <c r="B226" s="1" t="n">
        <v>44076</v>
      </c>
      <c r="C226" s="1" t="n">
        <v>45793</v>
      </c>
      <c r="D226" t="inlineStr">
        <is>
          <t>VÄSTMANLANDS LÄN</t>
        </is>
      </c>
      <c r="E226" t="inlineStr">
        <is>
          <t>SALA</t>
        </is>
      </c>
      <c r="G226" t="n">
        <v>5.1</v>
      </c>
      <c r="H226" t="n">
        <v>0</v>
      </c>
      <c r="I226" t="n">
        <v>0</v>
      </c>
      <c r="J226" t="n">
        <v>0</v>
      </c>
      <c r="K226" t="n">
        <v>0</v>
      </c>
      <c r="L226" t="n">
        <v>0</v>
      </c>
      <c r="M226" t="n">
        <v>0</v>
      </c>
      <c r="N226" t="n">
        <v>0</v>
      </c>
      <c r="O226" t="n">
        <v>0</v>
      </c>
      <c r="P226" t="n">
        <v>0</v>
      </c>
      <c r="Q226" t="n">
        <v>0</v>
      </c>
      <c r="R226" s="2" t="inlineStr"/>
    </row>
    <row r="227" ht="15" customHeight="1">
      <c r="A227" t="inlineStr">
        <is>
          <t>A 42345-2020</t>
        </is>
      </c>
      <c r="B227" s="1" t="n">
        <v>44076</v>
      </c>
      <c r="C227" s="1" t="n">
        <v>45793</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42346-2020</t>
        </is>
      </c>
      <c r="B228" s="1" t="n">
        <v>44076</v>
      </c>
      <c r="C228" s="1" t="n">
        <v>45793</v>
      </c>
      <c r="D228" t="inlineStr">
        <is>
          <t>VÄSTMANLANDS LÄN</t>
        </is>
      </c>
      <c r="E228" t="inlineStr">
        <is>
          <t>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43349-2020</t>
        </is>
      </c>
      <c r="B229" s="1" t="n">
        <v>44081</v>
      </c>
      <c r="C229" s="1" t="n">
        <v>45793</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44652-2020</t>
        </is>
      </c>
      <c r="B230" s="1" t="n">
        <v>44085</v>
      </c>
      <c r="C230" s="1" t="n">
        <v>45793</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44950-2020</t>
        </is>
      </c>
      <c r="B231" s="1" t="n">
        <v>44088</v>
      </c>
      <c r="C231" s="1" t="n">
        <v>45793</v>
      </c>
      <c r="D231" t="inlineStr">
        <is>
          <t>VÄSTMANLANDS LÄN</t>
        </is>
      </c>
      <c r="E231" t="inlineStr">
        <is>
          <t>SALA</t>
        </is>
      </c>
      <c r="G231" t="n">
        <v>9</v>
      </c>
      <c r="H231" t="n">
        <v>0</v>
      </c>
      <c r="I231" t="n">
        <v>0</v>
      </c>
      <c r="J231" t="n">
        <v>0</v>
      </c>
      <c r="K231" t="n">
        <v>0</v>
      </c>
      <c r="L231" t="n">
        <v>0</v>
      </c>
      <c r="M231" t="n">
        <v>0</v>
      </c>
      <c r="N231" t="n">
        <v>0</v>
      </c>
      <c r="O231" t="n">
        <v>0</v>
      </c>
      <c r="P231" t="n">
        <v>0</v>
      </c>
      <c r="Q231" t="n">
        <v>0</v>
      </c>
      <c r="R231" s="2" t="inlineStr"/>
    </row>
    <row r="232" ht="15" customHeight="1">
      <c r="A232" t="inlineStr">
        <is>
          <t>A 46965-2020</t>
        </is>
      </c>
      <c r="B232" s="1" t="n">
        <v>44096</v>
      </c>
      <c r="C232" s="1" t="n">
        <v>45793</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47054-2020</t>
        </is>
      </c>
      <c r="B233" s="1" t="n">
        <v>44096</v>
      </c>
      <c r="C233" s="1" t="n">
        <v>45793</v>
      </c>
      <c r="D233" t="inlineStr">
        <is>
          <t>VÄSTMANLANDS LÄN</t>
        </is>
      </c>
      <c r="E233" t="inlineStr">
        <is>
          <t>SALA</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47208-2020</t>
        </is>
      </c>
      <c r="B234" s="1" t="n">
        <v>44097</v>
      </c>
      <c r="C234" s="1" t="n">
        <v>45793</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50559-2020</t>
        </is>
      </c>
      <c r="B235" s="1" t="n">
        <v>44110</v>
      </c>
      <c r="C235" s="1" t="n">
        <v>45793</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50801-2020</t>
        </is>
      </c>
      <c r="B236" s="1" t="n">
        <v>44111</v>
      </c>
      <c r="C236" s="1" t="n">
        <v>45793</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50818-2020</t>
        </is>
      </c>
      <c r="B237" s="1" t="n">
        <v>44111</v>
      </c>
      <c r="C237" s="1" t="n">
        <v>45793</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54322-2020</t>
        </is>
      </c>
      <c r="B238" s="1" t="n">
        <v>44126</v>
      </c>
      <c r="C238" s="1" t="n">
        <v>45793</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54923-2020</t>
        </is>
      </c>
      <c r="B239" s="1" t="n">
        <v>44127</v>
      </c>
      <c r="C239" s="1" t="n">
        <v>45793</v>
      </c>
      <c r="D239" t="inlineStr">
        <is>
          <t>VÄSTMANLANDS LÄN</t>
        </is>
      </c>
      <c r="E239" t="inlineStr">
        <is>
          <t>SALA</t>
        </is>
      </c>
      <c r="G239" t="n">
        <v>4.9</v>
      </c>
      <c r="H239" t="n">
        <v>0</v>
      </c>
      <c r="I239" t="n">
        <v>0</v>
      </c>
      <c r="J239" t="n">
        <v>0</v>
      </c>
      <c r="K239" t="n">
        <v>0</v>
      </c>
      <c r="L239" t="n">
        <v>0</v>
      </c>
      <c r="M239" t="n">
        <v>0</v>
      </c>
      <c r="N239" t="n">
        <v>0</v>
      </c>
      <c r="O239" t="n">
        <v>0</v>
      </c>
      <c r="P239" t="n">
        <v>0</v>
      </c>
      <c r="Q239" t="n">
        <v>0</v>
      </c>
      <c r="R239" s="2" t="inlineStr"/>
    </row>
    <row r="240" ht="15" customHeight="1">
      <c r="A240" t="inlineStr">
        <is>
          <t>A 54931-2020</t>
        </is>
      </c>
      <c r="B240" s="1" t="n">
        <v>44127</v>
      </c>
      <c r="C240" s="1" t="n">
        <v>45793</v>
      </c>
      <c r="D240" t="inlineStr">
        <is>
          <t>VÄSTMANLANDS LÄN</t>
        </is>
      </c>
      <c r="E240" t="inlineStr">
        <is>
          <t>SALA</t>
        </is>
      </c>
      <c r="G240" t="n">
        <v>7</v>
      </c>
      <c r="H240" t="n">
        <v>0</v>
      </c>
      <c r="I240" t="n">
        <v>0</v>
      </c>
      <c r="J240" t="n">
        <v>0</v>
      </c>
      <c r="K240" t="n">
        <v>0</v>
      </c>
      <c r="L240" t="n">
        <v>0</v>
      </c>
      <c r="M240" t="n">
        <v>0</v>
      </c>
      <c r="N240" t="n">
        <v>0</v>
      </c>
      <c r="O240" t="n">
        <v>0</v>
      </c>
      <c r="P240" t="n">
        <v>0</v>
      </c>
      <c r="Q240" t="n">
        <v>0</v>
      </c>
      <c r="R240" s="2" t="inlineStr"/>
    </row>
    <row r="241" ht="15" customHeight="1">
      <c r="A241" t="inlineStr">
        <is>
          <t>A 55439-2020</t>
        </is>
      </c>
      <c r="B241" s="1" t="n">
        <v>44130</v>
      </c>
      <c r="C241" s="1" t="n">
        <v>45793</v>
      </c>
      <c r="D241" t="inlineStr">
        <is>
          <t>VÄSTMANLANDS LÄN</t>
        </is>
      </c>
      <c r="E241" t="inlineStr">
        <is>
          <t>SALA</t>
        </is>
      </c>
      <c r="G241" t="n">
        <v>4.3</v>
      </c>
      <c r="H241" t="n">
        <v>0</v>
      </c>
      <c r="I241" t="n">
        <v>0</v>
      </c>
      <c r="J241" t="n">
        <v>0</v>
      </c>
      <c r="K241" t="n">
        <v>0</v>
      </c>
      <c r="L241" t="n">
        <v>0</v>
      </c>
      <c r="M241" t="n">
        <v>0</v>
      </c>
      <c r="N241" t="n">
        <v>0</v>
      </c>
      <c r="O241" t="n">
        <v>0</v>
      </c>
      <c r="P241" t="n">
        <v>0</v>
      </c>
      <c r="Q241" t="n">
        <v>0</v>
      </c>
      <c r="R241" s="2" t="inlineStr"/>
    </row>
    <row r="242" ht="15" customHeight="1">
      <c r="A242" t="inlineStr">
        <is>
          <t>A 55881-2020</t>
        </is>
      </c>
      <c r="B242" s="1" t="n">
        <v>44132</v>
      </c>
      <c r="C242" s="1" t="n">
        <v>45793</v>
      </c>
      <c r="D242" t="inlineStr">
        <is>
          <t>VÄSTMANLANDS LÄN</t>
        </is>
      </c>
      <c r="E242" t="inlineStr">
        <is>
          <t>SALA</t>
        </is>
      </c>
      <c r="G242" t="n">
        <v>3</v>
      </c>
      <c r="H242" t="n">
        <v>0</v>
      </c>
      <c r="I242" t="n">
        <v>0</v>
      </c>
      <c r="J242" t="n">
        <v>0</v>
      </c>
      <c r="K242" t="n">
        <v>0</v>
      </c>
      <c r="L242" t="n">
        <v>0</v>
      </c>
      <c r="M242" t="n">
        <v>0</v>
      </c>
      <c r="N242" t="n">
        <v>0</v>
      </c>
      <c r="O242" t="n">
        <v>0</v>
      </c>
      <c r="P242" t="n">
        <v>0</v>
      </c>
      <c r="Q242" t="n">
        <v>0</v>
      </c>
      <c r="R242" s="2" t="inlineStr"/>
    </row>
    <row r="243" ht="15" customHeight="1">
      <c r="A243" t="inlineStr">
        <is>
          <t>A 56134-2020</t>
        </is>
      </c>
      <c r="B243" s="1" t="n">
        <v>44132</v>
      </c>
      <c r="C243" s="1" t="n">
        <v>45793</v>
      </c>
      <c r="D243" t="inlineStr">
        <is>
          <t>VÄSTMANLANDS LÄN</t>
        </is>
      </c>
      <c r="E243" t="inlineStr">
        <is>
          <t>SALA</t>
        </is>
      </c>
      <c r="G243" t="n">
        <v>4.7</v>
      </c>
      <c r="H243" t="n">
        <v>0</v>
      </c>
      <c r="I243" t="n">
        <v>0</v>
      </c>
      <c r="J243" t="n">
        <v>0</v>
      </c>
      <c r="K243" t="n">
        <v>0</v>
      </c>
      <c r="L243" t="n">
        <v>0</v>
      </c>
      <c r="M243" t="n">
        <v>0</v>
      </c>
      <c r="N243" t="n">
        <v>0</v>
      </c>
      <c r="O243" t="n">
        <v>0</v>
      </c>
      <c r="P243" t="n">
        <v>0</v>
      </c>
      <c r="Q243" t="n">
        <v>0</v>
      </c>
      <c r="R243" s="2" t="inlineStr"/>
    </row>
    <row r="244" ht="15" customHeight="1">
      <c r="A244" t="inlineStr">
        <is>
          <t>A 56098-2020</t>
        </is>
      </c>
      <c r="B244" s="1" t="n">
        <v>44132</v>
      </c>
      <c r="C244" s="1" t="n">
        <v>45793</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57800-2020</t>
        </is>
      </c>
      <c r="B245" s="1" t="n">
        <v>44141</v>
      </c>
      <c r="C245" s="1" t="n">
        <v>45793</v>
      </c>
      <c r="D245" t="inlineStr">
        <is>
          <t>VÄSTMANLANDS LÄN</t>
        </is>
      </c>
      <c r="E245" t="inlineStr">
        <is>
          <t>SALA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58314-2020</t>
        </is>
      </c>
      <c r="B246" s="1" t="n">
        <v>44145</v>
      </c>
      <c r="C246" s="1" t="n">
        <v>45793</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58781-2020</t>
        </is>
      </c>
      <c r="B247" s="1" t="n">
        <v>44146</v>
      </c>
      <c r="C247" s="1" t="n">
        <v>45793</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58912-2020</t>
        </is>
      </c>
      <c r="B248" s="1" t="n">
        <v>44146</v>
      </c>
      <c r="C248" s="1" t="n">
        <v>45793</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61415-2020</t>
        </is>
      </c>
      <c r="B249" s="1" t="n">
        <v>44156</v>
      </c>
      <c r="C249" s="1" t="n">
        <v>45793</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62275-2020</t>
        </is>
      </c>
      <c r="B250" s="1" t="n">
        <v>44158</v>
      </c>
      <c r="C250" s="1" t="n">
        <v>45793</v>
      </c>
      <c r="D250" t="inlineStr">
        <is>
          <t>VÄSTMANLANDS LÄN</t>
        </is>
      </c>
      <c r="E250" t="inlineStr">
        <is>
          <t>SALA</t>
        </is>
      </c>
      <c r="G250" t="n">
        <v>4.9</v>
      </c>
      <c r="H250" t="n">
        <v>0</v>
      </c>
      <c r="I250" t="n">
        <v>0</v>
      </c>
      <c r="J250" t="n">
        <v>0</v>
      </c>
      <c r="K250" t="n">
        <v>0</v>
      </c>
      <c r="L250" t="n">
        <v>0</v>
      </c>
      <c r="M250" t="n">
        <v>0</v>
      </c>
      <c r="N250" t="n">
        <v>0</v>
      </c>
      <c r="O250" t="n">
        <v>0</v>
      </c>
      <c r="P250" t="n">
        <v>0</v>
      </c>
      <c r="Q250" t="n">
        <v>0</v>
      </c>
      <c r="R250" s="2" t="inlineStr"/>
    </row>
    <row r="251" ht="15" customHeight="1">
      <c r="A251" t="inlineStr">
        <is>
          <t>A 62680-2020</t>
        </is>
      </c>
      <c r="B251" s="1" t="n">
        <v>44161</v>
      </c>
      <c r="C251" s="1" t="n">
        <v>45793</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64940-2020</t>
        </is>
      </c>
      <c r="B252" s="1" t="n">
        <v>44172</v>
      </c>
      <c r="C252" s="1" t="n">
        <v>45793</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66821-2020</t>
        </is>
      </c>
      <c r="B253" s="1" t="n">
        <v>44179</v>
      </c>
      <c r="C253" s="1" t="n">
        <v>45793</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68113-2020</t>
        </is>
      </c>
      <c r="B254" s="1" t="n">
        <v>44182</v>
      </c>
      <c r="C254" s="1" t="n">
        <v>45793</v>
      </c>
      <c r="D254" t="inlineStr">
        <is>
          <t>VÄSTMANLANDS LÄN</t>
        </is>
      </c>
      <c r="E254" t="inlineStr">
        <is>
          <t>SALA</t>
        </is>
      </c>
      <c r="G254" t="n">
        <v>3.6</v>
      </c>
      <c r="H254" t="n">
        <v>0</v>
      </c>
      <c r="I254" t="n">
        <v>0</v>
      </c>
      <c r="J254" t="n">
        <v>0</v>
      </c>
      <c r="K254" t="n">
        <v>0</v>
      </c>
      <c r="L254" t="n">
        <v>0</v>
      </c>
      <c r="M254" t="n">
        <v>0</v>
      </c>
      <c r="N254" t="n">
        <v>0</v>
      </c>
      <c r="O254" t="n">
        <v>0</v>
      </c>
      <c r="P254" t="n">
        <v>0</v>
      </c>
      <c r="Q254" t="n">
        <v>0</v>
      </c>
      <c r="R254" s="2" t="inlineStr"/>
    </row>
    <row r="255" ht="15" customHeight="1">
      <c r="A255" t="inlineStr">
        <is>
          <t>A 69194-2020</t>
        </is>
      </c>
      <c r="B255" s="1" t="n">
        <v>44191</v>
      </c>
      <c r="C255" s="1" t="n">
        <v>45793</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69192-2020</t>
        </is>
      </c>
      <c r="B256" s="1" t="n">
        <v>44191</v>
      </c>
      <c r="C256" s="1" t="n">
        <v>45793</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69195-2020</t>
        </is>
      </c>
      <c r="B257" s="1" t="n">
        <v>44191</v>
      </c>
      <c r="C257" s="1" t="n">
        <v>45793</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69319-2020</t>
        </is>
      </c>
      <c r="B258" s="1" t="n">
        <v>44193</v>
      </c>
      <c r="C258" s="1" t="n">
        <v>45793</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69318-2020</t>
        </is>
      </c>
      <c r="B259" s="1" t="n">
        <v>44193</v>
      </c>
      <c r="C259" s="1" t="n">
        <v>45793</v>
      </c>
      <c r="D259" t="inlineStr">
        <is>
          <t>VÄSTMANLANDS LÄN</t>
        </is>
      </c>
      <c r="E259" t="inlineStr">
        <is>
          <t>SALA</t>
        </is>
      </c>
      <c r="G259" t="n">
        <v>2.2</v>
      </c>
      <c r="H259" t="n">
        <v>0</v>
      </c>
      <c r="I259" t="n">
        <v>0</v>
      </c>
      <c r="J259" t="n">
        <v>0</v>
      </c>
      <c r="K259" t="n">
        <v>0</v>
      </c>
      <c r="L259" t="n">
        <v>0</v>
      </c>
      <c r="M259" t="n">
        <v>0</v>
      </c>
      <c r="N259" t="n">
        <v>0</v>
      </c>
      <c r="O259" t="n">
        <v>0</v>
      </c>
      <c r="P259" t="n">
        <v>0</v>
      </c>
      <c r="Q259" t="n">
        <v>0</v>
      </c>
      <c r="R259" s="2" t="inlineStr"/>
    </row>
    <row r="260" ht="15" customHeight="1">
      <c r="A260" t="inlineStr">
        <is>
          <t>A 1599-2021</t>
        </is>
      </c>
      <c r="B260" s="1" t="n">
        <v>44209</v>
      </c>
      <c r="C260" s="1" t="n">
        <v>45793</v>
      </c>
      <c r="D260" t="inlineStr">
        <is>
          <t>VÄSTMANLANDS LÄN</t>
        </is>
      </c>
      <c r="E260" t="inlineStr">
        <is>
          <t>SALA</t>
        </is>
      </c>
      <c r="G260" t="n">
        <v>9.6</v>
      </c>
      <c r="H260" t="n">
        <v>0</v>
      </c>
      <c r="I260" t="n">
        <v>0</v>
      </c>
      <c r="J260" t="n">
        <v>0</v>
      </c>
      <c r="K260" t="n">
        <v>0</v>
      </c>
      <c r="L260" t="n">
        <v>0</v>
      </c>
      <c r="M260" t="n">
        <v>0</v>
      </c>
      <c r="N260" t="n">
        <v>0</v>
      </c>
      <c r="O260" t="n">
        <v>0</v>
      </c>
      <c r="P260" t="n">
        <v>0</v>
      </c>
      <c r="Q260" t="n">
        <v>0</v>
      </c>
      <c r="R260" s="2" t="inlineStr"/>
      <c r="U260">
        <f>HYPERLINK("https://klasma.github.io/Logging_1981/knärot/A 1599-2021 karta knärot.png", "A 1599-2021")</f>
        <v/>
      </c>
      <c r="V260">
        <f>HYPERLINK("https://klasma.github.io/Logging_1981/klagomål/A 1599-2021 FSC-klagomål.docx", "A 1599-2021")</f>
        <v/>
      </c>
      <c r="W260">
        <f>HYPERLINK("https://klasma.github.io/Logging_1981/klagomålsmail/A 1599-2021 FSC-klagomål mail.docx", "A 1599-2021")</f>
        <v/>
      </c>
      <c r="X260">
        <f>HYPERLINK("https://klasma.github.io/Logging_1981/tillsyn/A 1599-2021 tillsynsbegäran.docx", "A 1599-2021")</f>
        <v/>
      </c>
      <c r="Y260">
        <f>HYPERLINK("https://klasma.github.io/Logging_1981/tillsynsmail/A 1599-2021 tillsynsbegäran mail.docx", "A 1599-2021")</f>
        <v/>
      </c>
    </row>
    <row r="261" ht="15" customHeight="1">
      <c r="A261" t="inlineStr">
        <is>
          <t>A 2443-2021</t>
        </is>
      </c>
      <c r="B261" s="1" t="n">
        <v>44214</v>
      </c>
      <c r="C261" s="1" t="n">
        <v>45793</v>
      </c>
      <c r="D261" t="inlineStr">
        <is>
          <t>VÄSTMANLANDS LÄN</t>
        </is>
      </c>
      <c r="E261" t="inlineStr">
        <is>
          <t>SALA</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45793</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6088-2021</t>
        </is>
      </c>
      <c r="B263" s="1" t="n">
        <v>44232</v>
      </c>
      <c r="C263" s="1" t="n">
        <v>45793</v>
      </c>
      <c r="D263" t="inlineStr">
        <is>
          <t>VÄSTMANLANDS LÄN</t>
        </is>
      </c>
      <c r="E263" t="inlineStr">
        <is>
          <t>SALA</t>
        </is>
      </c>
      <c r="G263" t="n">
        <v>0.2</v>
      </c>
      <c r="H263" t="n">
        <v>0</v>
      </c>
      <c r="I263" t="n">
        <v>0</v>
      </c>
      <c r="J263" t="n">
        <v>0</v>
      </c>
      <c r="K263" t="n">
        <v>0</v>
      </c>
      <c r="L263" t="n">
        <v>0</v>
      </c>
      <c r="M263" t="n">
        <v>0</v>
      </c>
      <c r="N263" t="n">
        <v>0</v>
      </c>
      <c r="O263" t="n">
        <v>0</v>
      </c>
      <c r="P263" t="n">
        <v>0</v>
      </c>
      <c r="Q263" t="n">
        <v>0</v>
      </c>
      <c r="R263" s="2" t="inlineStr"/>
    </row>
    <row r="264" ht="15" customHeight="1">
      <c r="A264" t="inlineStr">
        <is>
          <t>A 6308-2021</t>
        </is>
      </c>
      <c r="B264" s="1" t="n">
        <v>44235</v>
      </c>
      <c r="C264" s="1" t="n">
        <v>45793</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7681-2021</t>
        </is>
      </c>
      <c r="B265" s="1" t="n">
        <v>44242</v>
      </c>
      <c r="C265" s="1" t="n">
        <v>45793</v>
      </c>
      <c r="D265" t="inlineStr">
        <is>
          <t>VÄSTMANLANDS LÄN</t>
        </is>
      </c>
      <c r="E265" t="inlineStr">
        <is>
          <t>SALA</t>
        </is>
      </c>
      <c r="F265" t="inlineStr">
        <is>
          <t>Sveaskog</t>
        </is>
      </c>
      <c r="G265" t="n">
        <v>16.1</v>
      </c>
      <c r="H265" t="n">
        <v>0</v>
      </c>
      <c r="I265" t="n">
        <v>0</v>
      </c>
      <c r="J265" t="n">
        <v>0</v>
      </c>
      <c r="K265" t="n">
        <v>0</v>
      </c>
      <c r="L265" t="n">
        <v>0</v>
      </c>
      <c r="M265" t="n">
        <v>0</v>
      </c>
      <c r="N265" t="n">
        <v>0</v>
      </c>
      <c r="O265" t="n">
        <v>0</v>
      </c>
      <c r="P265" t="n">
        <v>0</v>
      </c>
      <c r="Q265" t="n">
        <v>0</v>
      </c>
      <c r="R265" s="2" t="inlineStr"/>
    </row>
    <row r="266" ht="15" customHeight="1">
      <c r="A266" t="inlineStr">
        <is>
          <t>A 7968-2021</t>
        </is>
      </c>
      <c r="B266" s="1" t="n">
        <v>44243</v>
      </c>
      <c r="C266" s="1" t="n">
        <v>45793</v>
      </c>
      <c r="D266" t="inlineStr">
        <is>
          <t>VÄSTMANLANDS LÄN</t>
        </is>
      </c>
      <c r="E266" t="inlineStr">
        <is>
          <t>SALA</t>
        </is>
      </c>
      <c r="G266" t="n">
        <v>3.1</v>
      </c>
      <c r="H266" t="n">
        <v>0</v>
      </c>
      <c r="I266" t="n">
        <v>0</v>
      </c>
      <c r="J266" t="n">
        <v>0</v>
      </c>
      <c r="K266" t="n">
        <v>0</v>
      </c>
      <c r="L266" t="n">
        <v>0</v>
      </c>
      <c r="M266" t="n">
        <v>0</v>
      </c>
      <c r="N266" t="n">
        <v>0</v>
      </c>
      <c r="O266" t="n">
        <v>0</v>
      </c>
      <c r="P266" t="n">
        <v>0</v>
      </c>
      <c r="Q266" t="n">
        <v>0</v>
      </c>
      <c r="R266" s="2" t="inlineStr"/>
    </row>
    <row r="267" ht="15" customHeight="1">
      <c r="A267" t="inlineStr">
        <is>
          <t>A 7955-2021</t>
        </is>
      </c>
      <c r="B267" s="1" t="n">
        <v>44243</v>
      </c>
      <c r="C267" s="1" t="n">
        <v>45793</v>
      </c>
      <c r="D267" t="inlineStr">
        <is>
          <t>VÄSTMANLANDS LÄN</t>
        </is>
      </c>
      <c r="E267" t="inlineStr">
        <is>
          <t>SALA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8513-2021</t>
        </is>
      </c>
      <c r="B268" s="1" t="n">
        <v>44244</v>
      </c>
      <c r="C268" s="1" t="n">
        <v>45793</v>
      </c>
      <c r="D268" t="inlineStr">
        <is>
          <t>VÄSTMANLANDS LÄN</t>
        </is>
      </c>
      <c r="E268" t="inlineStr">
        <is>
          <t>SALA</t>
        </is>
      </c>
      <c r="G268" t="n">
        <v>1</v>
      </c>
      <c r="H268" t="n">
        <v>0</v>
      </c>
      <c r="I268" t="n">
        <v>0</v>
      </c>
      <c r="J268" t="n">
        <v>0</v>
      </c>
      <c r="K268" t="n">
        <v>0</v>
      </c>
      <c r="L268" t="n">
        <v>0</v>
      </c>
      <c r="M268" t="n">
        <v>0</v>
      </c>
      <c r="N268" t="n">
        <v>0</v>
      </c>
      <c r="O268" t="n">
        <v>0</v>
      </c>
      <c r="P268" t="n">
        <v>0</v>
      </c>
      <c r="Q268" t="n">
        <v>0</v>
      </c>
      <c r="R268" s="2" t="inlineStr"/>
    </row>
    <row r="269" ht="15" customHeight="1">
      <c r="A269" t="inlineStr">
        <is>
          <t>A 10154-2021</t>
        </is>
      </c>
      <c r="B269" s="1" t="n">
        <v>44256</v>
      </c>
      <c r="C269" s="1" t="n">
        <v>45793</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10812-2021</t>
        </is>
      </c>
      <c r="B270" s="1" t="n">
        <v>44259</v>
      </c>
      <c r="C270" s="1" t="n">
        <v>45793</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11017-2021</t>
        </is>
      </c>
      <c r="B271" s="1" t="n">
        <v>44260</v>
      </c>
      <c r="C271" s="1" t="n">
        <v>45793</v>
      </c>
      <c r="D271" t="inlineStr">
        <is>
          <t>VÄSTMANLANDS LÄN</t>
        </is>
      </c>
      <c r="E271" t="inlineStr">
        <is>
          <t>SALA</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11007-2021</t>
        </is>
      </c>
      <c r="B272" s="1" t="n">
        <v>44260</v>
      </c>
      <c r="C272" s="1" t="n">
        <v>45793</v>
      </c>
      <c r="D272" t="inlineStr">
        <is>
          <t>VÄSTMANLANDS LÄN</t>
        </is>
      </c>
      <c r="E272" t="inlineStr">
        <is>
          <t>SALA</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11560-2021</t>
        </is>
      </c>
      <c r="B273" s="1" t="n">
        <v>44264</v>
      </c>
      <c r="C273" s="1" t="n">
        <v>45793</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13112-2021</t>
        </is>
      </c>
      <c r="B274" s="1" t="n">
        <v>44272</v>
      </c>
      <c r="C274" s="1" t="n">
        <v>45793</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14010-2021</t>
        </is>
      </c>
      <c r="B275" s="1" t="n">
        <v>44277</v>
      </c>
      <c r="C275" s="1" t="n">
        <v>45793</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15354-2021</t>
        </is>
      </c>
      <c r="B276" s="1" t="n">
        <v>44284</v>
      </c>
      <c r="C276" s="1" t="n">
        <v>45793</v>
      </c>
      <c r="D276" t="inlineStr">
        <is>
          <t>VÄSTMANLANDS LÄN</t>
        </is>
      </c>
      <c r="E276" t="inlineStr">
        <is>
          <t>SALA</t>
        </is>
      </c>
      <c r="F276" t="inlineStr">
        <is>
          <t>Kyrkan</t>
        </is>
      </c>
      <c r="G276" t="n">
        <v>8.5</v>
      </c>
      <c r="H276" t="n">
        <v>0</v>
      </c>
      <c r="I276" t="n">
        <v>0</v>
      </c>
      <c r="J276" t="n">
        <v>0</v>
      </c>
      <c r="K276" t="n">
        <v>0</v>
      </c>
      <c r="L276" t="n">
        <v>0</v>
      </c>
      <c r="M276" t="n">
        <v>0</v>
      </c>
      <c r="N276" t="n">
        <v>0</v>
      </c>
      <c r="O276" t="n">
        <v>0</v>
      </c>
      <c r="P276" t="n">
        <v>0</v>
      </c>
      <c r="Q276" t="n">
        <v>0</v>
      </c>
      <c r="R276" s="2" t="inlineStr"/>
    </row>
    <row r="277" ht="15" customHeight="1">
      <c r="A277" t="inlineStr">
        <is>
          <t>A 15483-2021</t>
        </is>
      </c>
      <c r="B277" s="1" t="n">
        <v>44285</v>
      </c>
      <c r="C277" s="1" t="n">
        <v>45793</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15584-2021</t>
        </is>
      </c>
      <c r="B278" s="1" t="n">
        <v>44285</v>
      </c>
      <c r="C278" s="1" t="n">
        <v>45793</v>
      </c>
      <c r="D278" t="inlineStr">
        <is>
          <t>VÄSTMANLANDS LÄN</t>
        </is>
      </c>
      <c r="E278" t="inlineStr">
        <is>
          <t>SALA</t>
        </is>
      </c>
      <c r="G278" t="n">
        <v>3.4</v>
      </c>
      <c r="H278" t="n">
        <v>0</v>
      </c>
      <c r="I278" t="n">
        <v>0</v>
      </c>
      <c r="J278" t="n">
        <v>0</v>
      </c>
      <c r="K278" t="n">
        <v>0</v>
      </c>
      <c r="L278" t="n">
        <v>0</v>
      </c>
      <c r="M278" t="n">
        <v>0</v>
      </c>
      <c r="N278" t="n">
        <v>0</v>
      </c>
      <c r="O278" t="n">
        <v>0</v>
      </c>
      <c r="P278" t="n">
        <v>0</v>
      </c>
      <c r="Q278" t="n">
        <v>0</v>
      </c>
      <c r="R278" s="2" t="inlineStr"/>
    </row>
    <row r="279" ht="15" customHeight="1">
      <c r="A279" t="inlineStr">
        <is>
          <t>A 16651-2021</t>
        </is>
      </c>
      <c r="B279" s="1" t="n">
        <v>44294</v>
      </c>
      <c r="C279" s="1" t="n">
        <v>45793</v>
      </c>
      <c r="D279" t="inlineStr">
        <is>
          <t>VÄSTMANLANDS LÄN</t>
        </is>
      </c>
      <c r="E279" t="inlineStr">
        <is>
          <t>SALA</t>
        </is>
      </c>
      <c r="G279" t="n">
        <v>7.7</v>
      </c>
      <c r="H279" t="n">
        <v>0</v>
      </c>
      <c r="I279" t="n">
        <v>0</v>
      </c>
      <c r="J279" t="n">
        <v>0</v>
      </c>
      <c r="K279" t="n">
        <v>0</v>
      </c>
      <c r="L279" t="n">
        <v>0</v>
      </c>
      <c r="M279" t="n">
        <v>0</v>
      </c>
      <c r="N279" t="n">
        <v>0</v>
      </c>
      <c r="O279" t="n">
        <v>0</v>
      </c>
      <c r="P279" t="n">
        <v>0</v>
      </c>
      <c r="Q279" t="n">
        <v>0</v>
      </c>
      <c r="R279" s="2" t="inlineStr"/>
    </row>
    <row r="280" ht="15" customHeight="1">
      <c r="A280" t="inlineStr">
        <is>
          <t>A 18046-2021</t>
        </is>
      </c>
      <c r="B280" s="1" t="n">
        <v>44301</v>
      </c>
      <c r="C280" s="1" t="n">
        <v>45793</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18189-2021</t>
        </is>
      </c>
      <c r="B281" s="1" t="n">
        <v>44302</v>
      </c>
      <c r="C281" s="1" t="n">
        <v>45793</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18259-2021</t>
        </is>
      </c>
      <c r="B282" s="1" t="n">
        <v>44305</v>
      </c>
      <c r="C282" s="1" t="n">
        <v>45793</v>
      </c>
      <c r="D282" t="inlineStr">
        <is>
          <t>VÄSTMANLANDS LÄN</t>
        </is>
      </c>
      <c r="E282" t="inlineStr">
        <is>
          <t>SALA</t>
        </is>
      </c>
      <c r="G282" t="n">
        <v>0</v>
      </c>
      <c r="H282" t="n">
        <v>0</v>
      </c>
      <c r="I282" t="n">
        <v>0</v>
      </c>
      <c r="J282" t="n">
        <v>0</v>
      </c>
      <c r="K282" t="n">
        <v>0</v>
      </c>
      <c r="L282" t="n">
        <v>0</v>
      </c>
      <c r="M282" t="n">
        <v>0</v>
      </c>
      <c r="N282" t="n">
        <v>0</v>
      </c>
      <c r="O282" t="n">
        <v>0</v>
      </c>
      <c r="P282" t="n">
        <v>0</v>
      </c>
      <c r="Q282" t="n">
        <v>0</v>
      </c>
      <c r="R282" s="2" t="inlineStr"/>
    </row>
    <row r="283" ht="15" customHeight="1">
      <c r="A283" t="inlineStr">
        <is>
          <t>A 18378-2021</t>
        </is>
      </c>
      <c r="B283" s="1" t="n">
        <v>44305</v>
      </c>
      <c r="C283" s="1" t="n">
        <v>45793</v>
      </c>
      <c r="D283" t="inlineStr">
        <is>
          <t>VÄSTMANLANDS LÄN</t>
        </is>
      </c>
      <c r="E283" t="inlineStr">
        <is>
          <t>SALA</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18385-2021</t>
        </is>
      </c>
      <c r="B284" s="1" t="n">
        <v>44305</v>
      </c>
      <c r="C284" s="1" t="n">
        <v>45793</v>
      </c>
      <c r="D284" t="inlineStr">
        <is>
          <t>VÄSTMANLANDS LÄN</t>
        </is>
      </c>
      <c r="E284" t="inlineStr">
        <is>
          <t>SALA</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18951-2021</t>
        </is>
      </c>
      <c r="B285" s="1" t="n">
        <v>44308</v>
      </c>
      <c r="C285" s="1" t="n">
        <v>45793</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21458-2021</t>
        </is>
      </c>
      <c r="B286" s="1" t="n">
        <v>44321</v>
      </c>
      <c r="C286" s="1" t="n">
        <v>45793</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21478-2021</t>
        </is>
      </c>
      <c r="B287" s="1" t="n">
        <v>44321</v>
      </c>
      <c r="C287" s="1" t="n">
        <v>45793</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22019-2021</t>
        </is>
      </c>
      <c r="B288" s="1" t="n">
        <v>44323</v>
      </c>
      <c r="C288" s="1" t="n">
        <v>45793</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22026-2021</t>
        </is>
      </c>
      <c r="B289" s="1" t="n">
        <v>44323</v>
      </c>
      <c r="C289" s="1" t="n">
        <v>45793</v>
      </c>
      <c r="D289" t="inlineStr">
        <is>
          <t>VÄSTMANLANDS LÄN</t>
        </is>
      </c>
      <c r="E289" t="inlineStr">
        <is>
          <t>SALA</t>
        </is>
      </c>
      <c r="G289" t="n">
        <v>2.9</v>
      </c>
      <c r="H289" t="n">
        <v>0</v>
      </c>
      <c r="I289" t="n">
        <v>0</v>
      </c>
      <c r="J289" t="n">
        <v>0</v>
      </c>
      <c r="K289" t="n">
        <v>0</v>
      </c>
      <c r="L289" t="n">
        <v>0</v>
      </c>
      <c r="M289" t="n">
        <v>0</v>
      </c>
      <c r="N289" t="n">
        <v>0</v>
      </c>
      <c r="O289" t="n">
        <v>0</v>
      </c>
      <c r="P289" t="n">
        <v>0</v>
      </c>
      <c r="Q289" t="n">
        <v>0</v>
      </c>
      <c r="R289" s="2" t="inlineStr"/>
    </row>
    <row r="290" ht="15" customHeight="1">
      <c r="A290" t="inlineStr">
        <is>
          <t>A 22017-2021</t>
        </is>
      </c>
      <c r="B290" s="1" t="n">
        <v>44323</v>
      </c>
      <c r="C290" s="1" t="n">
        <v>45793</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22362-2021</t>
        </is>
      </c>
      <c r="B291" s="1" t="n">
        <v>44326</v>
      </c>
      <c r="C291" s="1" t="n">
        <v>45793</v>
      </c>
      <c r="D291" t="inlineStr">
        <is>
          <t>VÄSTMANLANDS LÄN</t>
        </is>
      </c>
      <c r="E291" t="inlineStr">
        <is>
          <t>SALA</t>
        </is>
      </c>
      <c r="G291" t="n">
        <v>1.7</v>
      </c>
      <c r="H291" t="n">
        <v>0</v>
      </c>
      <c r="I291" t="n">
        <v>0</v>
      </c>
      <c r="J291" t="n">
        <v>0</v>
      </c>
      <c r="K291" t="n">
        <v>0</v>
      </c>
      <c r="L291" t="n">
        <v>0</v>
      </c>
      <c r="M291" t="n">
        <v>0</v>
      </c>
      <c r="N291" t="n">
        <v>0</v>
      </c>
      <c r="O291" t="n">
        <v>0</v>
      </c>
      <c r="P291" t="n">
        <v>0</v>
      </c>
      <c r="Q291" t="n">
        <v>0</v>
      </c>
      <c r="R291" s="2" t="inlineStr"/>
    </row>
    <row r="292" ht="15" customHeight="1">
      <c r="A292" t="inlineStr">
        <is>
          <t>A 23696-2021</t>
        </is>
      </c>
      <c r="B292" s="1" t="n">
        <v>44334</v>
      </c>
      <c r="C292" s="1" t="n">
        <v>45793</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23693-2021</t>
        </is>
      </c>
      <c r="B293" s="1" t="n">
        <v>44334</v>
      </c>
      <c r="C293" s="1" t="n">
        <v>45793</v>
      </c>
      <c r="D293" t="inlineStr">
        <is>
          <t>VÄSTMANLANDS LÄN</t>
        </is>
      </c>
      <c r="E293" t="inlineStr">
        <is>
          <t>SALA</t>
        </is>
      </c>
      <c r="G293" t="n">
        <v>8.4</v>
      </c>
      <c r="H293" t="n">
        <v>0</v>
      </c>
      <c r="I293" t="n">
        <v>0</v>
      </c>
      <c r="J293" t="n">
        <v>0</v>
      </c>
      <c r="K293" t="n">
        <v>0</v>
      </c>
      <c r="L293" t="n">
        <v>0</v>
      </c>
      <c r="M293" t="n">
        <v>0</v>
      </c>
      <c r="N293" t="n">
        <v>0</v>
      </c>
      <c r="O293" t="n">
        <v>0</v>
      </c>
      <c r="P293" t="n">
        <v>0</v>
      </c>
      <c r="Q293" t="n">
        <v>0</v>
      </c>
      <c r="R293" s="2" t="inlineStr"/>
    </row>
    <row r="294" ht="15" customHeight="1">
      <c r="A294" t="inlineStr">
        <is>
          <t>A 24740-2021</t>
        </is>
      </c>
      <c r="B294" s="1" t="n">
        <v>44340</v>
      </c>
      <c r="C294" s="1" t="n">
        <v>45793</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24823-2021</t>
        </is>
      </c>
      <c r="B295" s="1" t="n">
        <v>44340</v>
      </c>
      <c r="C295" s="1" t="n">
        <v>45793</v>
      </c>
      <c r="D295" t="inlineStr">
        <is>
          <t>VÄSTMANLANDS LÄN</t>
        </is>
      </c>
      <c r="E295" t="inlineStr">
        <is>
          <t>SALA</t>
        </is>
      </c>
      <c r="G295" t="n">
        <v>4.9</v>
      </c>
      <c r="H295" t="n">
        <v>0</v>
      </c>
      <c r="I295" t="n">
        <v>0</v>
      </c>
      <c r="J295" t="n">
        <v>0</v>
      </c>
      <c r="K295" t="n">
        <v>0</v>
      </c>
      <c r="L295" t="n">
        <v>0</v>
      </c>
      <c r="M295" t="n">
        <v>0</v>
      </c>
      <c r="N295" t="n">
        <v>0</v>
      </c>
      <c r="O295" t="n">
        <v>0</v>
      </c>
      <c r="P295" t="n">
        <v>0</v>
      </c>
      <c r="Q295" t="n">
        <v>0</v>
      </c>
      <c r="R295" s="2" t="inlineStr"/>
    </row>
    <row r="296" ht="15" customHeight="1">
      <c r="A296" t="inlineStr">
        <is>
          <t>A 24755-2021</t>
        </is>
      </c>
      <c r="B296" s="1" t="n">
        <v>44340</v>
      </c>
      <c r="C296" s="1" t="n">
        <v>45793</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26579-2021</t>
        </is>
      </c>
      <c r="B297" s="1" t="n">
        <v>44348</v>
      </c>
      <c r="C297" s="1" t="n">
        <v>45793</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26570-2021</t>
        </is>
      </c>
      <c r="B298" s="1" t="n">
        <v>44348</v>
      </c>
      <c r="C298" s="1" t="n">
        <v>45793</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26575-2021</t>
        </is>
      </c>
      <c r="B299" s="1" t="n">
        <v>44348</v>
      </c>
      <c r="C299" s="1" t="n">
        <v>45793</v>
      </c>
      <c r="D299" t="inlineStr">
        <is>
          <t>VÄSTMANLANDS LÄN</t>
        </is>
      </c>
      <c r="E299" t="inlineStr">
        <is>
          <t>SALA</t>
        </is>
      </c>
      <c r="G299" t="n">
        <v>2.7</v>
      </c>
      <c r="H299" t="n">
        <v>0</v>
      </c>
      <c r="I299" t="n">
        <v>0</v>
      </c>
      <c r="J299" t="n">
        <v>0</v>
      </c>
      <c r="K299" t="n">
        <v>0</v>
      </c>
      <c r="L299" t="n">
        <v>0</v>
      </c>
      <c r="M299" t="n">
        <v>0</v>
      </c>
      <c r="N299" t="n">
        <v>0</v>
      </c>
      <c r="O299" t="n">
        <v>0</v>
      </c>
      <c r="P299" t="n">
        <v>0</v>
      </c>
      <c r="Q299" t="n">
        <v>0</v>
      </c>
      <c r="R299" s="2" t="inlineStr"/>
    </row>
    <row r="300" ht="15" customHeight="1">
      <c r="A300" t="inlineStr">
        <is>
          <t>A 28425-2021</t>
        </is>
      </c>
      <c r="B300" s="1" t="n">
        <v>44356</v>
      </c>
      <c r="C300" s="1" t="n">
        <v>45793</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30170-2021</t>
        </is>
      </c>
      <c r="B301" s="1" t="n">
        <v>44363</v>
      </c>
      <c r="C301" s="1" t="n">
        <v>45793</v>
      </c>
      <c r="D301" t="inlineStr">
        <is>
          <t>VÄSTMANLANDS LÄN</t>
        </is>
      </c>
      <c r="E301" t="inlineStr">
        <is>
          <t>SALA</t>
        </is>
      </c>
      <c r="G301" t="n">
        <v>7.2</v>
      </c>
      <c r="H301" t="n">
        <v>0</v>
      </c>
      <c r="I301" t="n">
        <v>0</v>
      </c>
      <c r="J301" t="n">
        <v>0</v>
      </c>
      <c r="K301" t="n">
        <v>0</v>
      </c>
      <c r="L301" t="n">
        <v>0</v>
      </c>
      <c r="M301" t="n">
        <v>0</v>
      </c>
      <c r="N301" t="n">
        <v>0</v>
      </c>
      <c r="O301" t="n">
        <v>0</v>
      </c>
      <c r="P301" t="n">
        <v>0</v>
      </c>
      <c r="Q301" t="n">
        <v>0</v>
      </c>
      <c r="R301" s="2" t="inlineStr"/>
    </row>
    <row r="302" ht="15" customHeight="1">
      <c r="A302" t="inlineStr">
        <is>
          <t>A 30859-2021</t>
        </is>
      </c>
      <c r="B302" s="1" t="n">
        <v>44365</v>
      </c>
      <c r="C302" s="1" t="n">
        <v>45793</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30904-2021</t>
        </is>
      </c>
      <c r="B303" s="1" t="n">
        <v>44365</v>
      </c>
      <c r="C303" s="1" t="n">
        <v>45793</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30915-2021</t>
        </is>
      </c>
      <c r="B304" s="1" t="n">
        <v>44365</v>
      </c>
      <c r="C304" s="1" t="n">
        <v>45793</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30925-2021</t>
        </is>
      </c>
      <c r="B305" s="1" t="n">
        <v>44365</v>
      </c>
      <c r="C305" s="1" t="n">
        <v>45793</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30918-2021</t>
        </is>
      </c>
      <c r="B306" s="1" t="n">
        <v>44365</v>
      </c>
      <c r="C306" s="1" t="n">
        <v>45793</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31072-2021</t>
        </is>
      </c>
      <c r="B307" s="1" t="n">
        <v>44368</v>
      </c>
      <c r="C307" s="1" t="n">
        <v>45793</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31082-2021</t>
        </is>
      </c>
      <c r="B308" s="1" t="n">
        <v>44368</v>
      </c>
      <c r="C308" s="1" t="n">
        <v>45793</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31452-2021</t>
        </is>
      </c>
      <c r="B309" s="1" t="n">
        <v>44369</v>
      </c>
      <c r="C309" s="1" t="n">
        <v>45793</v>
      </c>
      <c r="D309" t="inlineStr">
        <is>
          <t>VÄSTMANLANDS LÄN</t>
        </is>
      </c>
      <c r="E309" t="inlineStr">
        <is>
          <t>SALA</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31470-2021</t>
        </is>
      </c>
      <c r="B310" s="1" t="n">
        <v>44369</v>
      </c>
      <c r="C310" s="1" t="n">
        <v>45793</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31904-2021</t>
        </is>
      </c>
      <c r="B311" s="1" t="n">
        <v>44370</v>
      </c>
      <c r="C311" s="1" t="n">
        <v>45793</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32610-2021</t>
        </is>
      </c>
      <c r="B312" s="1" t="n">
        <v>44375</v>
      </c>
      <c r="C312" s="1" t="n">
        <v>45793</v>
      </c>
      <c r="D312" t="inlineStr">
        <is>
          <t>VÄSTMANLANDS LÄN</t>
        </is>
      </c>
      <c r="E312" t="inlineStr">
        <is>
          <t>SALA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33762-2021</t>
        </is>
      </c>
      <c r="B313" s="1" t="n">
        <v>44378</v>
      </c>
      <c r="C313" s="1" t="n">
        <v>45793</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34814-2021</t>
        </is>
      </c>
      <c r="B314" s="1" t="n">
        <v>44383</v>
      </c>
      <c r="C314" s="1" t="n">
        <v>45793</v>
      </c>
      <c r="D314" t="inlineStr">
        <is>
          <t>VÄSTMANLANDS LÄN</t>
        </is>
      </c>
      <c r="E314" t="inlineStr">
        <is>
          <t>SALA</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35207-2021</t>
        </is>
      </c>
      <c r="B315" s="1" t="n">
        <v>44384</v>
      </c>
      <c r="C315" s="1" t="n">
        <v>45793</v>
      </c>
      <c r="D315" t="inlineStr">
        <is>
          <t>VÄSTMANLANDS LÄN</t>
        </is>
      </c>
      <c r="E315" t="inlineStr">
        <is>
          <t>SALA</t>
        </is>
      </c>
      <c r="G315" t="n">
        <v>2.2</v>
      </c>
      <c r="H315" t="n">
        <v>0</v>
      </c>
      <c r="I315" t="n">
        <v>0</v>
      </c>
      <c r="J315" t="n">
        <v>0</v>
      </c>
      <c r="K315" t="n">
        <v>0</v>
      </c>
      <c r="L315" t="n">
        <v>0</v>
      </c>
      <c r="M315" t="n">
        <v>0</v>
      </c>
      <c r="N315" t="n">
        <v>0</v>
      </c>
      <c r="O315" t="n">
        <v>0</v>
      </c>
      <c r="P315" t="n">
        <v>0</v>
      </c>
      <c r="Q315" t="n">
        <v>0</v>
      </c>
      <c r="R315" s="2" t="inlineStr"/>
    </row>
    <row r="316" ht="15" customHeight="1">
      <c r="A316" t="inlineStr">
        <is>
          <t>A 35211-2021</t>
        </is>
      </c>
      <c r="B316" s="1" t="n">
        <v>44384</v>
      </c>
      <c r="C316" s="1" t="n">
        <v>45793</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35451-2021</t>
        </is>
      </c>
      <c r="B317" s="1" t="n">
        <v>44384</v>
      </c>
      <c r="C317" s="1" t="n">
        <v>45793</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35487-2021</t>
        </is>
      </c>
      <c r="B318" s="1" t="n">
        <v>44384</v>
      </c>
      <c r="C318" s="1" t="n">
        <v>45793</v>
      </c>
      <c r="D318" t="inlineStr">
        <is>
          <t>VÄSTMANLANDS LÄN</t>
        </is>
      </c>
      <c r="E318" t="inlineStr">
        <is>
          <t>SALA</t>
        </is>
      </c>
      <c r="G318" t="n">
        <v>1.8</v>
      </c>
      <c r="H318" t="n">
        <v>0</v>
      </c>
      <c r="I318" t="n">
        <v>0</v>
      </c>
      <c r="J318" t="n">
        <v>0</v>
      </c>
      <c r="K318" t="n">
        <v>0</v>
      </c>
      <c r="L318" t="n">
        <v>0</v>
      </c>
      <c r="M318" t="n">
        <v>0</v>
      </c>
      <c r="N318" t="n">
        <v>0</v>
      </c>
      <c r="O318" t="n">
        <v>0</v>
      </c>
      <c r="P318" t="n">
        <v>0</v>
      </c>
      <c r="Q318" t="n">
        <v>0</v>
      </c>
      <c r="R318" s="2" t="inlineStr"/>
    </row>
    <row r="319" ht="15" customHeight="1">
      <c r="A319" t="inlineStr">
        <is>
          <t>A 35482-2021</t>
        </is>
      </c>
      <c r="B319" s="1" t="n">
        <v>44384</v>
      </c>
      <c r="C319" s="1" t="n">
        <v>45793</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35921-2021</t>
        </is>
      </c>
      <c r="B320" s="1" t="n">
        <v>44388</v>
      </c>
      <c r="C320" s="1" t="n">
        <v>45793</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37703-2021</t>
        </is>
      </c>
      <c r="B321" s="1" t="n">
        <v>44400</v>
      </c>
      <c r="C321" s="1" t="n">
        <v>45793</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37856-2021</t>
        </is>
      </c>
      <c r="B322" s="1" t="n">
        <v>44403</v>
      </c>
      <c r="C322" s="1" t="n">
        <v>45793</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37872-2021</t>
        </is>
      </c>
      <c r="B323" s="1" t="n">
        <v>44403</v>
      </c>
      <c r="C323" s="1" t="n">
        <v>45793</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37881-2021</t>
        </is>
      </c>
      <c r="B324" s="1" t="n">
        <v>44403</v>
      </c>
      <c r="C324" s="1" t="n">
        <v>45793</v>
      </c>
      <c r="D324" t="inlineStr">
        <is>
          <t>VÄSTMANLANDS LÄN</t>
        </is>
      </c>
      <c r="E324" t="inlineStr">
        <is>
          <t>SALA</t>
        </is>
      </c>
      <c r="G324" t="n">
        <v>4.6</v>
      </c>
      <c r="H324" t="n">
        <v>0</v>
      </c>
      <c r="I324" t="n">
        <v>0</v>
      </c>
      <c r="J324" t="n">
        <v>0</v>
      </c>
      <c r="K324" t="n">
        <v>0</v>
      </c>
      <c r="L324" t="n">
        <v>0</v>
      </c>
      <c r="M324" t="n">
        <v>0</v>
      </c>
      <c r="N324" t="n">
        <v>0</v>
      </c>
      <c r="O324" t="n">
        <v>0</v>
      </c>
      <c r="P324" t="n">
        <v>0</v>
      </c>
      <c r="Q324" t="n">
        <v>0</v>
      </c>
      <c r="R324" s="2" t="inlineStr"/>
    </row>
    <row r="325" ht="15" customHeight="1">
      <c r="A325" t="inlineStr">
        <is>
          <t>A 38195-2021</t>
        </is>
      </c>
      <c r="B325" s="1" t="n">
        <v>44405</v>
      </c>
      <c r="C325" s="1" t="n">
        <v>45793</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38634-2021</t>
        </is>
      </c>
      <c r="B326" s="1" t="n">
        <v>44410</v>
      </c>
      <c r="C326" s="1" t="n">
        <v>45793</v>
      </c>
      <c r="D326" t="inlineStr">
        <is>
          <t>VÄSTMANLANDS LÄN</t>
        </is>
      </c>
      <c r="E326" t="inlineStr">
        <is>
          <t>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39439-2021</t>
        </is>
      </c>
      <c r="B327" s="1" t="n">
        <v>44414</v>
      </c>
      <c r="C327" s="1" t="n">
        <v>45793</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39807-2021</t>
        </is>
      </c>
      <c r="B328" s="1" t="n">
        <v>44417</v>
      </c>
      <c r="C328" s="1" t="n">
        <v>45793</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40157-2021</t>
        </is>
      </c>
      <c r="B329" s="1" t="n">
        <v>44418</v>
      </c>
      <c r="C329" s="1" t="n">
        <v>45793</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40153-2021</t>
        </is>
      </c>
      <c r="B330" s="1" t="n">
        <v>44418</v>
      </c>
      <c r="C330" s="1" t="n">
        <v>45793</v>
      </c>
      <c r="D330" t="inlineStr">
        <is>
          <t>VÄSTMANLANDS LÄN</t>
        </is>
      </c>
      <c r="E330" t="inlineStr">
        <is>
          <t>SALA</t>
        </is>
      </c>
      <c r="G330" t="n">
        <v>2.8</v>
      </c>
      <c r="H330" t="n">
        <v>0</v>
      </c>
      <c r="I330" t="n">
        <v>0</v>
      </c>
      <c r="J330" t="n">
        <v>0</v>
      </c>
      <c r="K330" t="n">
        <v>0</v>
      </c>
      <c r="L330" t="n">
        <v>0</v>
      </c>
      <c r="M330" t="n">
        <v>0</v>
      </c>
      <c r="N330" t="n">
        <v>0</v>
      </c>
      <c r="O330" t="n">
        <v>0</v>
      </c>
      <c r="P330" t="n">
        <v>0</v>
      </c>
      <c r="Q330" t="n">
        <v>0</v>
      </c>
      <c r="R330" s="2" t="inlineStr"/>
    </row>
    <row r="331" ht="15" customHeight="1">
      <c r="A331" t="inlineStr">
        <is>
          <t>A 40398-2021</t>
        </is>
      </c>
      <c r="B331" s="1" t="n">
        <v>44419</v>
      </c>
      <c r="C331" s="1" t="n">
        <v>45793</v>
      </c>
      <c r="D331" t="inlineStr">
        <is>
          <t>VÄSTMANLANDS LÄN</t>
        </is>
      </c>
      <c r="E331" t="inlineStr">
        <is>
          <t>SALA</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40659-2021</t>
        </is>
      </c>
      <c r="B332" s="1" t="n">
        <v>44420</v>
      </c>
      <c r="C332" s="1" t="n">
        <v>45793</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40871-2021</t>
        </is>
      </c>
      <c r="B333" s="1" t="n">
        <v>44421</v>
      </c>
      <c r="C333" s="1" t="n">
        <v>45793</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41292-2021</t>
        </is>
      </c>
      <c r="B334" s="1" t="n">
        <v>44424</v>
      </c>
      <c r="C334" s="1" t="n">
        <v>45793</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41583-2021</t>
        </is>
      </c>
      <c r="B335" s="1" t="n">
        <v>44425</v>
      </c>
      <c r="C335" s="1" t="n">
        <v>45793</v>
      </c>
      <c r="D335" t="inlineStr">
        <is>
          <t>VÄSTMANLANDS LÄN</t>
        </is>
      </c>
      <c r="E335" t="inlineStr">
        <is>
          <t>SALA</t>
        </is>
      </c>
      <c r="G335" t="n">
        <v>5</v>
      </c>
      <c r="H335" t="n">
        <v>0</v>
      </c>
      <c r="I335" t="n">
        <v>0</v>
      </c>
      <c r="J335" t="n">
        <v>0</v>
      </c>
      <c r="K335" t="n">
        <v>0</v>
      </c>
      <c r="L335" t="n">
        <v>0</v>
      </c>
      <c r="M335" t="n">
        <v>0</v>
      </c>
      <c r="N335" t="n">
        <v>0</v>
      </c>
      <c r="O335" t="n">
        <v>0</v>
      </c>
      <c r="P335" t="n">
        <v>0</v>
      </c>
      <c r="Q335" t="n">
        <v>0</v>
      </c>
      <c r="R335" s="2" t="inlineStr"/>
    </row>
    <row r="336" ht="15" customHeight="1">
      <c r="A336" t="inlineStr">
        <is>
          <t>A 43292-2021</t>
        </is>
      </c>
      <c r="B336" s="1" t="n">
        <v>44432</v>
      </c>
      <c r="C336" s="1" t="n">
        <v>45793</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45793</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v>
      </c>
      <c r="C338" s="1" t="n">
        <v>45793</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47701-2021</t>
        </is>
      </c>
      <c r="B339" s="1" t="n">
        <v>44448</v>
      </c>
      <c r="C339" s="1" t="n">
        <v>45793</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47683-2021</t>
        </is>
      </c>
      <c r="B340" s="1" t="n">
        <v>44448</v>
      </c>
      <c r="C340" s="1" t="n">
        <v>45793</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48400-2021</t>
        </is>
      </c>
      <c r="B341" s="1" t="n">
        <v>44449</v>
      </c>
      <c r="C341" s="1" t="n">
        <v>45793</v>
      </c>
      <c r="D341" t="inlineStr">
        <is>
          <t>VÄSTMANLANDS LÄN</t>
        </is>
      </c>
      <c r="E341" t="inlineStr">
        <is>
          <t>SALA</t>
        </is>
      </c>
      <c r="G341" t="n">
        <v>3</v>
      </c>
      <c r="H341" t="n">
        <v>0</v>
      </c>
      <c r="I341" t="n">
        <v>0</v>
      </c>
      <c r="J341" t="n">
        <v>0</v>
      </c>
      <c r="K341" t="n">
        <v>0</v>
      </c>
      <c r="L341" t="n">
        <v>0</v>
      </c>
      <c r="M341" t="n">
        <v>0</v>
      </c>
      <c r="N341" t="n">
        <v>0</v>
      </c>
      <c r="O341" t="n">
        <v>0</v>
      </c>
      <c r="P341" t="n">
        <v>0</v>
      </c>
      <c r="Q341" t="n">
        <v>0</v>
      </c>
      <c r="R341" s="2" t="inlineStr"/>
    </row>
    <row r="342" ht="15" customHeight="1">
      <c r="A342" t="inlineStr">
        <is>
          <t>A 50962-2021</t>
        </is>
      </c>
      <c r="B342" s="1" t="n">
        <v>44460</v>
      </c>
      <c r="C342" s="1" t="n">
        <v>45793</v>
      </c>
      <c r="D342" t="inlineStr">
        <is>
          <t>VÄSTMANLANDS LÄN</t>
        </is>
      </c>
      <c r="E342" t="inlineStr">
        <is>
          <t>SALA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54030-2021</t>
        </is>
      </c>
      <c r="B343" s="1" t="n">
        <v>44470</v>
      </c>
      <c r="C343" s="1" t="n">
        <v>45793</v>
      </c>
      <c r="D343" t="inlineStr">
        <is>
          <t>VÄSTMANLANDS LÄN</t>
        </is>
      </c>
      <c r="E343" t="inlineStr">
        <is>
          <t>SALA</t>
        </is>
      </c>
      <c r="G343" t="n">
        <v>4.1</v>
      </c>
      <c r="H343" t="n">
        <v>0</v>
      </c>
      <c r="I343" t="n">
        <v>0</v>
      </c>
      <c r="J343" t="n">
        <v>0</v>
      </c>
      <c r="K343" t="n">
        <v>0</v>
      </c>
      <c r="L343" t="n">
        <v>0</v>
      </c>
      <c r="M343" t="n">
        <v>0</v>
      </c>
      <c r="N343" t="n">
        <v>0</v>
      </c>
      <c r="O343" t="n">
        <v>0</v>
      </c>
      <c r="P343" t="n">
        <v>0</v>
      </c>
      <c r="Q343" t="n">
        <v>0</v>
      </c>
      <c r="R343" s="2" t="inlineStr"/>
    </row>
    <row r="344" ht="15" customHeight="1">
      <c r="A344" t="inlineStr">
        <is>
          <t>A 54520-2021</t>
        </is>
      </c>
      <c r="B344" s="1" t="n">
        <v>44473</v>
      </c>
      <c r="C344" s="1" t="n">
        <v>45793</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57049-2021</t>
        </is>
      </c>
      <c r="B345" s="1" t="n">
        <v>44482</v>
      </c>
      <c r="C345" s="1" t="n">
        <v>45793</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57056-2021</t>
        </is>
      </c>
      <c r="B346" s="1" t="n">
        <v>44482</v>
      </c>
      <c r="C346" s="1" t="n">
        <v>45793</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57000-2021</t>
        </is>
      </c>
      <c r="B347" s="1" t="n">
        <v>44482</v>
      </c>
      <c r="C347" s="1" t="n">
        <v>45793</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57131-2021</t>
        </is>
      </c>
      <c r="B348" s="1" t="n">
        <v>44482</v>
      </c>
      <c r="C348" s="1" t="n">
        <v>45793</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57517-2021</t>
        </is>
      </c>
      <c r="B349" s="1" t="n">
        <v>44483</v>
      </c>
      <c r="C349" s="1" t="n">
        <v>45793</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57596-2021</t>
        </is>
      </c>
      <c r="B350" s="1" t="n">
        <v>44483</v>
      </c>
      <c r="C350" s="1" t="n">
        <v>45793</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58107-2021</t>
        </is>
      </c>
      <c r="B351" s="1" t="n">
        <v>44487</v>
      </c>
      <c r="C351" s="1" t="n">
        <v>45793</v>
      </c>
      <c r="D351" t="inlineStr">
        <is>
          <t>VÄSTMANLANDS LÄN</t>
        </is>
      </c>
      <c r="E351" t="inlineStr">
        <is>
          <t>SALA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58106-2021</t>
        </is>
      </c>
      <c r="B352" s="1" t="n">
        <v>44487</v>
      </c>
      <c r="C352" s="1" t="n">
        <v>45793</v>
      </c>
      <c r="D352" t="inlineStr">
        <is>
          <t>VÄSTMANLANDS LÄN</t>
        </is>
      </c>
      <c r="E352" t="inlineStr">
        <is>
          <t>SALA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58522-2021</t>
        </is>
      </c>
      <c r="B353" s="1" t="n">
        <v>44488</v>
      </c>
      <c r="C353" s="1" t="n">
        <v>45793</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58701-2021</t>
        </is>
      </c>
      <c r="B354" s="1" t="n">
        <v>44489</v>
      </c>
      <c r="C354" s="1" t="n">
        <v>45793</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60031-2021</t>
        </is>
      </c>
      <c r="B355" s="1" t="n">
        <v>44495</v>
      </c>
      <c r="C355" s="1" t="n">
        <v>45793</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60951-2021</t>
        </is>
      </c>
      <c r="B356" s="1" t="n">
        <v>44497</v>
      </c>
      <c r="C356" s="1" t="n">
        <v>45793</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61892-2021</t>
        </is>
      </c>
      <c r="B357" s="1" t="n">
        <v>44502</v>
      </c>
      <c r="C357" s="1" t="n">
        <v>45793</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61874-2021</t>
        </is>
      </c>
      <c r="B358" s="1" t="n">
        <v>44502</v>
      </c>
      <c r="C358" s="1" t="n">
        <v>45793</v>
      </c>
      <c r="D358" t="inlineStr">
        <is>
          <t>VÄSTMANLANDS LÄN</t>
        </is>
      </c>
      <c r="E358" t="inlineStr">
        <is>
          <t>SALA</t>
        </is>
      </c>
      <c r="F358" t="inlineStr">
        <is>
          <t>Kyrkan</t>
        </is>
      </c>
      <c r="G358" t="n">
        <v>1.3</v>
      </c>
      <c r="H358" t="n">
        <v>0</v>
      </c>
      <c r="I358" t="n">
        <v>0</v>
      </c>
      <c r="J358" t="n">
        <v>0</v>
      </c>
      <c r="K358" t="n">
        <v>0</v>
      </c>
      <c r="L358" t="n">
        <v>0</v>
      </c>
      <c r="M358" t="n">
        <v>0</v>
      </c>
      <c r="N358" t="n">
        <v>0</v>
      </c>
      <c r="O358" t="n">
        <v>0</v>
      </c>
      <c r="P358" t="n">
        <v>0</v>
      </c>
      <c r="Q358" t="n">
        <v>0</v>
      </c>
      <c r="R358" s="2" t="inlineStr"/>
    </row>
    <row r="359" ht="15" customHeight="1">
      <c r="A359" t="inlineStr">
        <is>
          <t>A 61897-2021</t>
        </is>
      </c>
      <c r="B359" s="1" t="n">
        <v>44502</v>
      </c>
      <c r="C359" s="1" t="n">
        <v>45793</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v>
      </c>
      <c r="C360" s="1" t="n">
        <v>45793</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62793-2021</t>
        </is>
      </c>
      <c r="B361" s="1" t="n">
        <v>44504</v>
      </c>
      <c r="C361" s="1" t="n">
        <v>45793</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62833-2021</t>
        </is>
      </c>
      <c r="B362" s="1" t="n">
        <v>44504</v>
      </c>
      <c r="C362" s="1" t="n">
        <v>45793</v>
      </c>
      <c r="D362" t="inlineStr">
        <is>
          <t>VÄSTMANLANDS LÄN</t>
        </is>
      </c>
      <c r="E362" t="inlineStr">
        <is>
          <t>SALA</t>
        </is>
      </c>
      <c r="G362" t="n">
        <v>5</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45793</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62967-2021</t>
        </is>
      </c>
      <c r="B364" s="1" t="n">
        <v>44505</v>
      </c>
      <c r="C364" s="1" t="n">
        <v>45793</v>
      </c>
      <c r="D364" t="inlineStr">
        <is>
          <t>VÄSTMANLANDS LÄN</t>
        </is>
      </c>
      <c r="E364" t="inlineStr">
        <is>
          <t>SALA</t>
        </is>
      </c>
      <c r="G364" t="n">
        <v>6.1</v>
      </c>
      <c r="H364" t="n">
        <v>0</v>
      </c>
      <c r="I364" t="n">
        <v>0</v>
      </c>
      <c r="J364" t="n">
        <v>0</v>
      </c>
      <c r="K364" t="n">
        <v>0</v>
      </c>
      <c r="L364" t="n">
        <v>0</v>
      </c>
      <c r="M364" t="n">
        <v>0</v>
      </c>
      <c r="N364" t="n">
        <v>0</v>
      </c>
      <c r="O364" t="n">
        <v>0</v>
      </c>
      <c r="P364" t="n">
        <v>0</v>
      </c>
      <c r="Q364" t="n">
        <v>0</v>
      </c>
      <c r="R364" s="2" t="inlineStr"/>
    </row>
    <row r="365" ht="15" customHeight="1">
      <c r="A365" t="inlineStr">
        <is>
          <t>A 63290-2021</t>
        </is>
      </c>
      <c r="B365" s="1" t="n">
        <v>44505</v>
      </c>
      <c r="C365" s="1" t="n">
        <v>45793</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64931-2021</t>
        </is>
      </c>
      <c r="B366" s="1" t="n">
        <v>44512</v>
      </c>
      <c r="C366" s="1" t="n">
        <v>45793</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64932-2021</t>
        </is>
      </c>
      <c r="B367" s="1" t="n">
        <v>44512</v>
      </c>
      <c r="C367" s="1" t="n">
        <v>45793</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65213-2021</t>
        </is>
      </c>
      <c r="B368" s="1" t="n">
        <v>44515</v>
      </c>
      <c r="C368" s="1" t="n">
        <v>45793</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65321-2021</t>
        </is>
      </c>
      <c r="B369" s="1" t="n">
        <v>44515</v>
      </c>
      <c r="C369" s="1" t="n">
        <v>45793</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65338-2021</t>
        </is>
      </c>
      <c r="B370" s="1" t="n">
        <v>44515</v>
      </c>
      <c r="C370" s="1" t="n">
        <v>45793</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65353-2021</t>
        </is>
      </c>
      <c r="B371" s="1" t="n">
        <v>44515</v>
      </c>
      <c r="C371" s="1" t="n">
        <v>45793</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65490-2021</t>
        </is>
      </c>
      <c r="B372" s="1" t="n">
        <v>44515</v>
      </c>
      <c r="C372" s="1" t="n">
        <v>45793</v>
      </c>
      <c r="D372" t="inlineStr">
        <is>
          <t>VÄSTMANLANDS LÄN</t>
        </is>
      </c>
      <c r="E372" t="inlineStr">
        <is>
          <t>SALA</t>
        </is>
      </c>
      <c r="G372" t="n">
        <v>2.1</v>
      </c>
      <c r="H372" t="n">
        <v>0</v>
      </c>
      <c r="I372" t="n">
        <v>0</v>
      </c>
      <c r="J372" t="n">
        <v>0</v>
      </c>
      <c r="K372" t="n">
        <v>0</v>
      </c>
      <c r="L372" t="n">
        <v>0</v>
      </c>
      <c r="M372" t="n">
        <v>0</v>
      </c>
      <c r="N372" t="n">
        <v>0</v>
      </c>
      <c r="O372" t="n">
        <v>0</v>
      </c>
      <c r="P372" t="n">
        <v>0</v>
      </c>
      <c r="Q372" t="n">
        <v>0</v>
      </c>
      <c r="R372" s="2" t="inlineStr"/>
    </row>
    <row r="373" ht="15" customHeight="1">
      <c r="A373" t="inlineStr">
        <is>
          <t>A 65856-2021</t>
        </is>
      </c>
      <c r="B373" s="1" t="n">
        <v>44517</v>
      </c>
      <c r="C373" s="1" t="n">
        <v>45793</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65818-2021</t>
        </is>
      </c>
      <c r="B374" s="1" t="n">
        <v>44517</v>
      </c>
      <c r="C374" s="1" t="n">
        <v>45793</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65835-2021</t>
        </is>
      </c>
      <c r="B375" s="1" t="n">
        <v>44517</v>
      </c>
      <c r="C375" s="1" t="n">
        <v>45793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65860-2021</t>
        </is>
      </c>
      <c r="B376" s="1" t="n">
        <v>44517</v>
      </c>
      <c r="C376" s="1" t="n">
        <v>45793</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66307-2021</t>
        </is>
      </c>
      <c r="B377" s="1" t="n">
        <v>44518</v>
      </c>
      <c r="C377" s="1" t="n">
        <v>45793</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66508-2021</t>
        </is>
      </c>
      <c r="B378" s="1" t="n">
        <v>44519</v>
      </c>
      <c r="C378" s="1" t="n">
        <v>45793</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66563-2021</t>
        </is>
      </c>
      <c r="B379" s="1" t="n">
        <v>44519</v>
      </c>
      <c r="C379" s="1" t="n">
        <v>45793</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66561-2021</t>
        </is>
      </c>
      <c r="B380" s="1" t="n">
        <v>44519</v>
      </c>
      <c r="C380" s="1" t="n">
        <v>45793</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66908-2021</t>
        </is>
      </c>
      <c r="B381" s="1" t="n">
        <v>44522</v>
      </c>
      <c r="C381" s="1" t="n">
        <v>45793</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66830-2021</t>
        </is>
      </c>
      <c r="B382" s="1" t="n">
        <v>44522</v>
      </c>
      <c r="C382" s="1" t="n">
        <v>45793</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67037-2021</t>
        </is>
      </c>
      <c r="B383" s="1" t="n">
        <v>44522</v>
      </c>
      <c r="C383" s="1" t="n">
        <v>45793</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c r="U383">
        <f>HYPERLINK("https://klasma.github.io/Logging_1981/knärot/A 67037-2021 karta knärot.png", "A 67037-2021")</f>
        <v/>
      </c>
      <c r="V383">
        <f>HYPERLINK("https://klasma.github.io/Logging_1981/klagomål/A 67037-2021 FSC-klagomål.docx", "A 67037-2021")</f>
        <v/>
      </c>
      <c r="W383">
        <f>HYPERLINK("https://klasma.github.io/Logging_1981/klagomålsmail/A 67037-2021 FSC-klagomål mail.docx", "A 67037-2021")</f>
        <v/>
      </c>
      <c r="X383">
        <f>HYPERLINK("https://klasma.github.io/Logging_1981/tillsyn/A 67037-2021 tillsynsbegäran.docx", "A 67037-2021")</f>
        <v/>
      </c>
      <c r="Y383">
        <f>HYPERLINK("https://klasma.github.io/Logging_1981/tillsynsmail/A 67037-2021 tillsynsbegäran mail.docx", "A 67037-2021")</f>
        <v/>
      </c>
    </row>
    <row r="384" ht="15" customHeight="1">
      <c r="A384" t="inlineStr">
        <is>
          <t>A 67965-2021</t>
        </is>
      </c>
      <c r="B384" s="1" t="n">
        <v>44525</v>
      </c>
      <c r="C384" s="1" t="n">
        <v>45793</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67958-2021</t>
        </is>
      </c>
      <c r="B385" s="1" t="n">
        <v>44525</v>
      </c>
      <c r="C385" s="1" t="n">
        <v>45793</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67962-2021</t>
        </is>
      </c>
      <c r="B386" s="1" t="n">
        <v>44525</v>
      </c>
      <c r="C386" s="1" t="n">
        <v>45793</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68355-2021</t>
        </is>
      </c>
      <c r="B387" s="1" t="n">
        <v>44528</v>
      </c>
      <c r="C387" s="1" t="n">
        <v>45793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68484-2021</t>
        </is>
      </c>
      <c r="B388" s="1" t="n">
        <v>44529</v>
      </c>
      <c r="C388" s="1" t="n">
        <v>45793</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68980-2021</t>
        </is>
      </c>
      <c r="B389" s="1" t="n">
        <v>44529</v>
      </c>
      <c r="C389" s="1" t="n">
        <v>45793</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68864-2021</t>
        </is>
      </c>
      <c r="B390" s="1" t="n">
        <v>44530</v>
      </c>
      <c r="C390" s="1" t="n">
        <v>45793</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69232-2021</t>
        </is>
      </c>
      <c r="B391" s="1" t="n">
        <v>44531</v>
      </c>
      <c r="C391" s="1" t="n">
        <v>45793</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69236-2021</t>
        </is>
      </c>
      <c r="B392" s="1" t="n">
        <v>44531</v>
      </c>
      <c r="C392" s="1" t="n">
        <v>45793</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70218-2021</t>
        </is>
      </c>
      <c r="B393" s="1" t="n">
        <v>44535</v>
      </c>
      <c r="C393" s="1" t="n">
        <v>45793</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70319-2021</t>
        </is>
      </c>
      <c r="B394" s="1" t="n">
        <v>44536</v>
      </c>
      <c r="C394" s="1" t="n">
        <v>45793</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70655-2021</t>
        </is>
      </c>
      <c r="B395" s="1" t="n">
        <v>44537</v>
      </c>
      <c r="C395" s="1" t="n">
        <v>45793</v>
      </c>
      <c r="D395" t="inlineStr">
        <is>
          <t>VÄSTMANLANDS LÄN</t>
        </is>
      </c>
      <c r="E395" t="inlineStr">
        <is>
          <t>SALA</t>
        </is>
      </c>
      <c r="G395" t="n">
        <v>4.8</v>
      </c>
      <c r="H395" t="n">
        <v>0</v>
      </c>
      <c r="I395" t="n">
        <v>0</v>
      </c>
      <c r="J395" t="n">
        <v>0</v>
      </c>
      <c r="K395" t="n">
        <v>0</v>
      </c>
      <c r="L395" t="n">
        <v>0</v>
      </c>
      <c r="M395" t="n">
        <v>0</v>
      </c>
      <c r="N395" t="n">
        <v>0</v>
      </c>
      <c r="O395" t="n">
        <v>0</v>
      </c>
      <c r="P395" t="n">
        <v>0</v>
      </c>
      <c r="Q395" t="n">
        <v>0</v>
      </c>
      <c r="R395" s="2" t="inlineStr"/>
    </row>
    <row r="396" ht="15" customHeight="1">
      <c r="A396" t="inlineStr">
        <is>
          <t>A 70958-2021</t>
        </is>
      </c>
      <c r="B396" s="1" t="n">
        <v>44538</v>
      </c>
      <c r="C396" s="1" t="n">
        <v>45793</v>
      </c>
      <c r="D396" t="inlineStr">
        <is>
          <t>VÄSTMANLANDS LÄN</t>
        </is>
      </c>
      <c r="E396" t="inlineStr">
        <is>
          <t>SALA</t>
        </is>
      </c>
      <c r="G396" t="n">
        <v>6.5</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v>
      </c>
      <c r="C397" s="1" t="n">
        <v>45793</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71853-2021</t>
        </is>
      </c>
      <c r="B398" s="1" t="n">
        <v>44543</v>
      </c>
      <c r="C398" s="1" t="n">
        <v>45793</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72071-2021</t>
        </is>
      </c>
      <c r="B399" s="1" t="n">
        <v>44544</v>
      </c>
      <c r="C399" s="1" t="n">
        <v>45793</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72405-2021</t>
        </is>
      </c>
      <c r="B400" s="1" t="n">
        <v>44545</v>
      </c>
      <c r="C400" s="1" t="n">
        <v>45793</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72389-2021</t>
        </is>
      </c>
      <c r="B401" s="1" t="n">
        <v>44545</v>
      </c>
      <c r="C401" s="1" t="n">
        <v>45793</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72810-2021</t>
        </is>
      </c>
      <c r="B402" s="1" t="n">
        <v>44546</v>
      </c>
      <c r="C402" s="1" t="n">
        <v>45793</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72805-2021</t>
        </is>
      </c>
      <c r="B403" s="1" t="n">
        <v>44546</v>
      </c>
      <c r="C403" s="1" t="n">
        <v>45793</v>
      </c>
      <c r="D403" t="inlineStr">
        <is>
          <t>VÄSTMANLANDS LÄN</t>
        </is>
      </c>
      <c r="E403" t="inlineStr">
        <is>
          <t>SALA</t>
        </is>
      </c>
      <c r="G403" t="n">
        <v>7.8</v>
      </c>
      <c r="H403" t="n">
        <v>0</v>
      </c>
      <c r="I403" t="n">
        <v>0</v>
      </c>
      <c r="J403" t="n">
        <v>0</v>
      </c>
      <c r="K403" t="n">
        <v>0</v>
      </c>
      <c r="L403" t="n">
        <v>0</v>
      </c>
      <c r="M403" t="n">
        <v>0</v>
      </c>
      <c r="N403" t="n">
        <v>0</v>
      </c>
      <c r="O403" t="n">
        <v>0</v>
      </c>
      <c r="P403" t="n">
        <v>0</v>
      </c>
      <c r="Q403" t="n">
        <v>0</v>
      </c>
      <c r="R403" s="2" t="inlineStr"/>
    </row>
    <row r="404" ht="15" customHeight="1">
      <c r="A404" t="inlineStr">
        <is>
          <t>A 72808-2021</t>
        </is>
      </c>
      <c r="B404" s="1" t="n">
        <v>44546</v>
      </c>
      <c r="C404" s="1" t="n">
        <v>45793</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72776-2021</t>
        </is>
      </c>
      <c r="B405" s="1" t="n">
        <v>44547</v>
      </c>
      <c r="C405" s="1" t="n">
        <v>45793</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73029-2021</t>
        </is>
      </c>
      <c r="B406" s="1" t="n">
        <v>44550</v>
      </c>
      <c r="C406" s="1" t="n">
        <v>45793</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73124-2021</t>
        </is>
      </c>
      <c r="B407" s="1" t="n">
        <v>44550</v>
      </c>
      <c r="C407" s="1" t="n">
        <v>45793</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73219-2021</t>
        </is>
      </c>
      <c r="B408" s="1" t="n">
        <v>44550</v>
      </c>
      <c r="C408" s="1" t="n">
        <v>45793</v>
      </c>
      <c r="D408" t="inlineStr">
        <is>
          <t>VÄSTMANLANDS LÄN</t>
        </is>
      </c>
      <c r="E408" t="inlineStr">
        <is>
          <t>SALA</t>
        </is>
      </c>
      <c r="G408" t="n">
        <v>7.1</v>
      </c>
      <c r="H408" t="n">
        <v>0</v>
      </c>
      <c r="I408" t="n">
        <v>0</v>
      </c>
      <c r="J408" t="n">
        <v>0</v>
      </c>
      <c r="K408" t="n">
        <v>0</v>
      </c>
      <c r="L408" t="n">
        <v>0</v>
      </c>
      <c r="M408" t="n">
        <v>0</v>
      </c>
      <c r="N408" t="n">
        <v>0</v>
      </c>
      <c r="O408" t="n">
        <v>0</v>
      </c>
      <c r="P408" t="n">
        <v>0</v>
      </c>
      <c r="Q408" t="n">
        <v>0</v>
      </c>
      <c r="R408" s="2" t="inlineStr"/>
    </row>
    <row r="409" ht="15" customHeight="1">
      <c r="A409" t="inlineStr">
        <is>
          <t>A 73423-2021</t>
        </is>
      </c>
      <c r="B409" s="1" t="n">
        <v>44551</v>
      </c>
      <c r="C409" s="1" t="n">
        <v>45793</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73519-2021</t>
        </is>
      </c>
      <c r="B410" s="1" t="n">
        <v>44551</v>
      </c>
      <c r="C410" s="1" t="n">
        <v>45793</v>
      </c>
      <c r="D410" t="inlineStr">
        <is>
          <t>VÄSTMANLANDS LÄN</t>
        </is>
      </c>
      <c r="E410" t="inlineStr">
        <is>
          <t>SALA</t>
        </is>
      </c>
      <c r="G410" t="n">
        <v>0.3</v>
      </c>
      <c r="H410" t="n">
        <v>0</v>
      </c>
      <c r="I410" t="n">
        <v>0</v>
      </c>
      <c r="J410" t="n">
        <v>0</v>
      </c>
      <c r="K410" t="n">
        <v>0</v>
      </c>
      <c r="L410" t="n">
        <v>0</v>
      </c>
      <c r="M410" t="n">
        <v>0</v>
      </c>
      <c r="N410" t="n">
        <v>0</v>
      </c>
      <c r="O410" t="n">
        <v>0</v>
      </c>
      <c r="P410" t="n">
        <v>0</v>
      </c>
      <c r="Q410" t="n">
        <v>0</v>
      </c>
      <c r="R410" s="2" t="inlineStr"/>
    </row>
    <row r="411" ht="15" customHeight="1">
      <c r="A411" t="inlineStr">
        <is>
          <t>A 73683-2021</t>
        </is>
      </c>
      <c r="B411" s="1" t="n">
        <v>44552</v>
      </c>
      <c r="C411" s="1" t="n">
        <v>45793</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73663-2021</t>
        </is>
      </c>
      <c r="B412" s="1" t="n">
        <v>44552</v>
      </c>
      <c r="C412" s="1" t="n">
        <v>45793</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v>
      </c>
      <c r="C413" s="1" t="n">
        <v>45793</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73606-2021</t>
        </is>
      </c>
      <c r="B414" s="1" t="n">
        <v>44552</v>
      </c>
      <c r="C414" s="1" t="n">
        <v>45793</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73668-2021</t>
        </is>
      </c>
      <c r="B415" s="1" t="n">
        <v>44552</v>
      </c>
      <c r="C415" s="1" t="n">
        <v>45793</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73687-2021</t>
        </is>
      </c>
      <c r="B416" s="1" t="n">
        <v>44552</v>
      </c>
      <c r="C416" s="1" t="n">
        <v>45793</v>
      </c>
      <c r="D416" t="inlineStr">
        <is>
          <t>VÄSTMANLANDS LÄN</t>
        </is>
      </c>
      <c r="E416" t="inlineStr">
        <is>
          <t>SALA</t>
        </is>
      </c>
      <c r="G416" t="n">
        <v>5.6</v>
      </c>
      <c r="H416" t="n">
        <v>0</v>
      </c>
      <c r="I416" t="n">
        <v>0</v>
      </c>
      <c r="J416" t="n">
        <v>0</v>
      </c>
      <c r="K416" t="n">
        <v>0</v>
      </c>
      <c r="L416" t="n">
        <v>0</v>
      </c>
      <c r="M416" t="n">
        <v>0</v>
      </c>
      <c r="N416" t="n">
        <v>0</v>
      </c>
      <c r="O416" t="n">
        <v>0</v>
      </c>
      <c r="P416" t="n">
        <v>0</v>
      </c>
      <c r="Q416" t="n">
        <v>0</v>
      </c>
      <c r="R416" s="2" t="inlineStr"/>
    </row>
    <row r="417" ht="15" customHeight="1">
      <c r="A417" t="inlineStr">
        <is>
          <t>A 73788-2021</t>
        </is>
      </c>
      <c r="B417" s="1" t="n">
        <v>44552</v>
      </c>
      <c r="C417" s="1" t="n">
        <v>45793</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73835-2021</t>
        </is>
      </c>
      <c r="B418" s="1" t="n">
        <v>44552</v>
      </c>
      <c r="C418" s="1" t="n">
        <v>45793</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74123-2021</t>
        </is>
      </c>
      <c r="B419" s="1" t="n">
        <v>44557</v>
      </c>
      <c r="C419" s="1" t="n">
        <v>45793</v>
      </c>
      <c r="D419" t="inlineStr">
        <is>
          <t>VÄSTMANLANDS LÄN</t>
        </is>
      </c>
      <c r="E419" t="inlineStr">
        <is>
          <t>SALA</t>
        </is>
      </c>
      <c r="F419" t="inlineStr">
        <is>
          <t>Kommuner</t>
        </is>
      </c>
      <c r="G419" t="n">
        <v>11.9</v>
      </c>
      <c r="H419" t="n">
        <v>0</v>
      </c>
      <c r="I419" t="n">
        <v>0</v>
      </c>
      <c r="J419" t="n">
        <v>0</v>
      </c>
      <c r="K419" t="n">
        <v>0</v>
      </c>
      <c r="L419" t="n">
        <v>0</v>
      </c>
      <c r="M419" t="n">
        <v>0</v>
      </c>
      <c r="N419" t="n">
        <v>0</v>
      </c>
      <c r="O419" t="n">
        <v>0</v>
      </c>
      <c r="P419" t="n">
        <v>0</v>
      </c>
      <c r="Q419" t="n">
        <v>0</v>
      </c>
      <c r="R419" s="2" t="inlineStr"/>
    </row>
    <row r="420" ht="15" customHeight="1">
      <c r="A420" t="inlineStr">
        <is>
          <t>A 74277-2021</t>
        </is>
      </c>
      <c r="B420" s="1" t="n">
        <v>44558</v>
      </c>
      <c r="C420" s="1" t="n">
        <v>45793</v>
      </c>
      <c r="D420" t="inlineStr">
        <is>
          <t>VÄSTMANLANDS LÄN</t>
        </is>
      </c>
      <c r="E420" t="inlineStr">
        <is>
          <t>SALA</t>
        </is>
      </c>
      <c r="F420" t="inlineStr">
        <is>
          <t>Kommuner</t>
        </is>
      </c>
      <c r="G420" t="n">
        <v>24.4</v>
      </c>
      <c r="H420" t="n">
        <v>0</v>
      </c>
      <c r="I420" t="n">
        <v>0</v>
      </c>
      <c r="J420" t="n">
        <v>0</v>
      </c>
      <c r="K420" t="n">
        <v>0</v>
      </c>
      <c r="L420" t="n">
        <v>0</v>
      </c>
      <c r="M420" t="n">
        <v>0</v>
      </c>
      <c r="N420" t="n">
        <v>0</v>
      </c>
      <c r="O420" t="n">
        <v>0</v>
      </c>
      <c r="P420" t="n">
        <v>0</v>
      </c>
      <c r="Q420" t="n">
        <v>0</v>
      </c>
      <c r="R420" s="2" t="inlineStr"/>
    </row>
    <row r="421" ht="15" customHeight="1">
      <c r="A421" t="inlineStr">
        <is>
          <t>A 617-2022</t>
        </is>
      </c>
      <c r="B421" s="1" t="n">
        <v>44567</v>
      </c>
      <c r="C421" s="1" t="n">
        <v>45793</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939-2022</t>
        </is>
      </c>
      <c r="B422" s="1" t="n">
        <v>44571</v>
      </c>
      <c r="C422" s="1" t="n">
        <v>45793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1043-2022</t>
        </is>
      </c>
      <c r="B423" s="1" t="n">
        <v>44571</v>
      </c>
      <c r="C423" s="1" t="n">
        <v>45793</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1162-2022</t>
        </is>
      </c>
      <c r="B424" s="1" t="n">
        <v>44572</v>
      </c>
      <c r="C424" s="1" t="n">
        <v>45793</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1985-2022</t>
        </is>
      </c>
      <c r="B425" s="1" t="n">
        <v>44575</v>
      </c>
      <c r="C425" s="1" t="n">
        <v>45793</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45793</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2529-2022</t>
        </is>
      </c>
      <c r="B427" s="1" t="n">
        <v>44579</v>
      </c>
      <c r="C427" s="1" t="n">
        <v>45793</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3050-2022</t>
        </is>
      </c>
      <c r="B428" s="1" t="n">
        <v>44582</v>
      </c>
      <c r="C428" s="1" t="n">
        <v>45793</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3201-2022</t>
        </is>
      </c>
      <c r="B429" s="1" t="n">
        <v>44582</v>
      </c>
      <c r="C429" s="1" t="n">
        <v>45793</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3204-2022</t>
        </is>
      </c>
      <c r="B430" s="1" t="n">
        <v>44582</v>
      </c>
      <c r="C430" s="1" t="n">
        <v>45793</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3647-2022</t>
        </is>
      </c>
      <c r="B431" s="1" t="n">
        <v>44586</v>
      </c>
      <c r="C431" s="1" t="n">
        <v>45793</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3888-2022</t>
        </is>
      </c>
      <c r="B432" s="1" t="n">
        <v>44587</v>
      </c>
      <c r="C432" s="1" t="n">
        <v>45793</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3920-2022</t>
        </is>
      </c>
      <c r="B433" s="1" t="n">
        <v>44587</v>
      </c>
      <c r="C433" s="1" t="n">
        <v>45793</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4237-2022</t>
        </is>
      </c>
      <c r="B434" s="1" t="n">
        <v>44588</v>
      </c>
      <c r="C434" s="1" t="n">
        <v>45793</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4281-2022</t>
        </is>
      </c>
      <c r="B435" s="1" t="n">
        <v>44588</v>
      </c>
      <c r="C435" s="1" t="n">
        <v>45793</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4663-2022</t>
        </is>
      </c>
      <c r="B436" s="1" t="n">
        <v>44592</v>
      </c>
      <c r="C436" s="1" t="n">
        <v>45793</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4779-2022</t>
        </is>
      </c>
      <c r="B437" s="1" t="n">
        <v>44592</v>
      </c>
      <c r="C437" s="1" t="n">
        <v>45793</v>
      </c>
      <c r="D437" t="inlineStr">
        <is>
          <t>VÄSTMANLANDS LÄN</t>
        </is>
      </c>
      <c r="E437" t="inlineStr">
        <is>
          <t>SALA</t>
        </is>
      </c>
      <c r="G437" t="n">
        <v>4.3</v>
      </c>
      <c r="H437" t="n">
        <v>0</v>
      </c>
      <c r="I437" t="n">
        <v>0</v>
      </c>
      <c r="J437" t="n">
        <v>0</v>
      </c>
      <c r="K437" t="n">
        <v>0</v>
      </c>
      <c r="L437" t="n">
        <v>0</v>
      </c>
      <c r="M437" t="n">
        <v>0</v>
      </c>
      <c r="N437" t="n">
        <v>0</v>
      </c>
      <c r="O437" t="n">
        <v>0</v>
      </c>
      <c r="P437" t="n">
        <v>0</v>
      </c>
      <c r="Q437" t="n">
        <v>0</v>
      </c>
      <c r="R437" s="2" t="inlineStr"/>
    </row>
    <row r="438" ht="15" customHeight="1">
      <c r="A438" t="inlineStr">
        <is>
          <t>A 5335-2022</t>
        </is>
      </c>
      <c r="B438" s="1" t="n">
        <v>44594</v>
      </c>
      <c r="C438" s="1" t="n">
        <v>45793</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5737-2022</t>
        </is>
      </c>
      <c r="B439" s="1" t="n">
        <v>44596</v>
      </c>
      <c r="C439" s="1" t="n">
        <v>45793</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5728-2022</t>
        </is>
      </c>
      <c r="B440" s="1" t="n">
        <v>44596</v>
      </c>
      <c r="C440" s="1" t="n">
        <v>45793</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6097-2022</t>
        </is>
      </c>
      <c r="B441" s="1" t="n">
        <v>44599</v>
      </c>
      <c r="C441" s="1" t="n">
        <v>45793</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6705-2022</t>
        </is>
      </c>
      <c r="B442" s="1" t="n">
        <v>44602</v>
      </c>
      <c r="C442" s="1" t="n">
        <v>45793</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6665-2022</t>
        </is>
      </c>
      <c r="B443" s="1" t="n">
        <v>44602</v>
      </c>
      <c r="C443" s="1" t="n">
        <v>45793</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45793</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6710-2022</t>
        </is>
      </c>
      <c r="B445" s="1" t="n">
        <v>44602</v>
      </c>
      <c r="C445" s="1" t="n">
        <v>45793</v>
      </c>
      <c r="D445" t="inlineStr">
        <is>
          <t>VÄSTMANLANDS LÄN</t>
        </is>
      </c>
      <c r="E445" t="inlineStr">
        <is>
          <t>SALA</t>
        </is>
      </c>
      <c r="G445" t="n">
        <v>6.4</v>
      </c>
      <c r="H445" t="n">
        <v>0</v>
      </c>
      <c r="I445" t="n">
        <v>0</v>
      </c>
      <c r="J445" t="n">
        <v>0</v>
      </c>
      <c r="K445" t="n">
        <v>0</v>
      </c>
      <c r="L445" t="n">
        <v>0</v>
      </c>
      <c r="M445" t="n">
        <v>0</v>
      </c>
      <c r="N445" t="n">
        <v>0</v>
      </c>
      <c r="O445" t="n">
        <v>0</v>
      </c>
      <c r="P445" t="n">
        <v>0</v>
      </c>
      <c r="Q445" t="n">
        <v>0</v>
      </c>
      <c r="R445" s="2" t="inlineStr"/>
    </row>
    <row r="446" ht="15" customHeight="1">
      <c r="A446" t="inlineStr">
        <is>
          <t>A 6957-2022</t>
        </is>
      </c>
      <c r="B446" s="1" t="n">
        <v>44603</v>
      </c>
      <c r="C446" s="1" t="n">
        <v>45793</v>
      </c>
      <c r="D446" t="inlineStr">
        <is>
          <t>VÄSTMANLANDS LÄN</t>
        </is>
      </c>
      <c r="E446" t="inlineStr">
        <is>
          <t>SALA</t>
        </is>
      </c>
      <c r="G446" t="n">
        <v>4.5</v>
      </c>
      <c r="H446" t="n">
        <v>0</v>
      </c>
      <c r="I446" t="n">
        <v>0</v>
      </c>
      <c r="J446" t="n">
        <v>0</v>
      </c>
      <c r="K446" t="n">
        <v>0</v>
      </c>
      <c r="L446" t="n">
        <v>0</v>
      </c>
      <c r="M446" t="n">
        <v>0</v>
      </c>
      <c r="N446" t="n">
        <v>0</v>
      </c>
      <c r="O446" t="n">
        <v>0</v>
      </c>
      <c r="P446" t="n">
        <v>0</v>
      </c>
      <c r="Q446" t="n">
        <v>0</v>
      </c>
      <c r="R446" s="2" t="inlineStr"/>
    </row>
    <row r="447" ht="15" customHeight="1">
      <c r="A447" t="inlineStr">
        <is>
          <t>A 7169-2022</t>
        </is>
      </c>
      <c r="B447" s="1" t="n">
        <v>44604</v>
      </c>
      <c r="C447" s="1" t="n">
        <v>45793</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8130-2022</t>
        </is>
      </c>
      <c r="B448" s="1" t="n">
        <v>44609</v>
      </c>
      <c r="C448" s="1" t="n">
        <v>45793</v>
      </c>
      <c r="D448" t="inlineStr">
        <is>
          <t>VÄSTMANLANDS LÄN</t>
        </is>
      </c>
      <c r="E448" t="inlineStr">
        <is>
          <t>SALA</t>
        </is>
      </c>
      <c r="G448" t="n">
        <v>3.5</v>
      </c>
      <c r="H448" t="n">
        <v>0</v>
      </c>
      <c r="I448" t="n">
        <v>0</v>
      </c>
      <c r="J448" t="n">
        <v>0</v>
      </c>
      <c r="K448" t="n">
        <v>0</v>
      </c>
      <c r="L448" t="n">
        <v>0</v>
      </c>
      <c r="M448" t="n">
        <v>0</v>
      </c>
      <c r="N448" t="n">
        <v>0</v>
      </c>
      <c r="O448" t="n">
        <v>0</v>
      </c>
      <c r="P448" t="n">
        <v>0</v>
      </c>
      <c r="Q448" t="n">
        <v>0</v>
      </c>
      <c r="R448" s="2" t="inlineStr"/>
    </row>
    <row r="449" ht="15" customHeight="1">
      <c r="A449" t="inlineStr">
        <is>
          <t>A 9048-2022</t>
        </is>
      </c>
      <c r="B449" s="1" t="n">
        <v>44615</v>
      </c>
      <c r="C449" s="1" t="n">
        <v>45793</v>
      </c>
      <c r="D449" t="inlineStr">
        <is>
          <t>VÄSTMANLANDS LÄN</t>
        </is>
      </c>
      <c r="E449" t="inlineStr">
        <is>
          <t>SALA</t>
        </is>
      </c>
      <c r="G449" t="n">
        <v>5.2</v>
      </c>
      <c r="H449" t="n">
        <v>0</v>
      </c>
      <c r="I449" t="n">
        <v>0</v>
      </c>
      <c r="J449" t="n">
        <v>0</v>
      </c>
      <c r="K449" t="n">
        <v>0</v>
      </c>
      <c r="L449" t="n">
        <v>0</v>
      </c>
      <c r="M449" t="n">
        <v>0</v>
      </c>
      <c r="N449" t="n">
        <v>0</v>
      </c>
      <c r="O449" t="n">
        <v>0</v>
      </c>
      <c r="P449" t="n">
        <v>0</v>
      </c>
      <c r="Q449" t="n">
        <v>0</v>
      </c>
      <c r="R449" s="2" t="inlineStr"/>
    </row>
    <row r="450" ht="15" customHeight="1">
      <c r="A450" t="inlineStr">
        <is>
          <t>A 9050-2022</t>
        </is>
      </c>
      <c r="B450" s="1" t="n">
        <v>44615</v>
      </c>
      <c r="C450" s="1" t="n">
        <v>45793</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9075-2022</t>
        </is>
      </c>
      <c r="B451" s="1" t="n">
        <v>44615</v>
      </c>
      <c r="C451" s="1" t="n">
        <v>45793</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9335-2022</t>
        </is>
      </c>
      <c r="B452" s="1" t="n">
        <v>44616</v>
      </c>
      <c r="C452" s="1" t="n">
        <v>45793</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9856-2022</t>
        </is>
      </c>
      <c r="B453" s="1" t="n">
        <v>44620</v>
      </c>
      <c r="C453" s="1" t="n">
        <v>45793</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10083-2022</t>
        </is>
      </c>
      <c r="B454" s="1" t="n">
        <v>44621</v>
      </c>
      <c r="C454" s="1" t="n">
        <v>45793</v>
      </c>
      <c r="D454" t="inlineStr">
        <is>
          <t>VÄSTMANLANDS LÄN</t>
        </is>
      </c>
      <c r="E454" t="inlineStr">
        <is>
          <t>SALA</t>
        </is>
      </c>
      <c r="G454" t="n">
        <v>7.8</v>
      </c>
      <c r="H454" t="n">
        <v>0</v>
      </c>
      <c r="I454" t="n">
        <v>0</v>
      </c>
      <c r="J454" t="n">
        <v>0</v>
      </c>
      <c r="K454" t="n">
        <v>0</v>
      </c>
      <c r="L454" t="n">
        <v>0</v>
      </c>
      <c r="M454" t="n">
        <v>0</v>
      </c>
      <c r="N454" t="n">
        <v>0</v>
      </c>
      <c r="O454" t="n">
        <v>0</v>
      </c>
      <c r="P454" t="n">
        <v>0</v>
      </c>
      <c r="Q454" t="n">
        <v>0</v>
      </c>
      <c r="R454" s="2" t="inlineStr"/>
    </row>
    <row r="455" ht="15" customHeight="1">
      <c r="A455" t="inlineStr">
        <is>
          <t>A 10168-2022</t>
        </is>
      </c>
      <c r="B455" s="1" t="n">
        <v>44622</v>
      </c>
      <c r="C455" s="1" t="n">
        <v>45793</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10434-2022</t>
        </is>
      </c>
      <c r="B456" s="1" t="n">
        <v>44623</v>
      </c>
      <c r="C456" s="1" t="n">
        <v>45793</v>
      </c>
      <c r="D456" t="inlineStr">
        <is>
          <t>VÄSTMANLANDS LÄN</t>
        </is>
      </c>
      <c r="E456" t="inlineStr">
        <is>
          <t>SALA</t>
        </is>
      </c>
      <c r="G456" t="n">
        <v>5.5</v>
      </c>
      <c r="H456" t="n">
        <v>0</v>
      </c>
      <c r="I456" t="n">
        <v>0</v>
      </c>
      <c r="J456" t="n">
        <v>0</v>
      </c>
      <c r="K456" t="n">
        <v>0</v>
      </c>
      <c r="L456" t="n">
        <v>0</v>
      </c>
      <c r="M456" t="n">
        <v>0</v>
      </c>
      <c r="N456" t="n">
        <v>0</v>
      </c>
      <c r="O456" t="n">
        <v>0</v>
      </c>
      <c r="P456" t="n">
        <v>0</v>
      </c>
      <c r="Q456" t="n">
        <v>0</v>
      </c>
      <c r="R456" s="2" t="inlineStr"/>
    </row>
    <row r="457" ht="15" customHeight="1">
      <c r="A457" t="inlineStr">
        <is>
          <t>A 10585-2022</t>
        </is>
      </c>
      <c r="B457" s="1" t="n">
        <v>44624</v>
      </c>
      <c r="C457" s="1" t="n">
        <v>45793</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10579-2022</t>
        </is>
      </c>
      <c r="B458" s="1" t="n">
        <v>44624</v>
      </c>
      <c r="C458" s="1" t="n">
        <v>45793</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11370-2022</t>
        </is>
      </c>
      <c r="B459" s="1" t="n">
        <v>44630</v>
      </c>
      <c r="C459" s="1" t="n">
        <v>45793</v>
      </c>
      <c r="D459" t="inlineStr">
        <is>
          <t>VÄSTMANLANDS LÄN</t>
        </is>
      </c>
      <c r="E459" t="inlineStr">
        <is>
          <t>SALA</t>
        </is>
      </c>
      <c r="G459" t="n">
        <v>4.3</v>
      </c>
      <c r="H459" t="n">
        <v>0</v>
      </c>
      <c r="I459" t="n">
        <v>0</v>
      </c>
      <c r="J459" t="n">
        <v>0</v>
      </c>
      <c r="K459" t="n">
        <v>0</v>
      </c>
      <c r="L459" t="n">
        <v>0</v>
      </c>
      <c r="M459" t="n">
        <v>0</v>
      </c>
      <c r="N459" t="n">
        <v>0</v>
      </c>
      <c r="O459" t="n">
        <v>0</v>
      </c>
      <c r="P459" t="n">
        <v>0</v>
      </c>
      <c r="Q459" t="n">
        <v>0</v>
      </c>
      <c r="R459" s="2" t="inlineStr"/>
    </row>
    <row r="460" ht="15" customHeight="1">
      <c r="A460" t="inlineStr">
        <is>
          <t>A 12245-2022</t>
        </is>
      </c>
      <c r="B460" s="1" t="n">
        <v>44637</v>
      </c>
      <c r="C460" s="1" t="n">
        <v>45793</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13608-2022</t>
        </is>
      </c>
      <c r="B461" s="1" t="n">
        <v>44648</v>
      </c>
      <c r="C461" s="1" t="n">
        <v>45793</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13962-2022</t>
        </is>
      </c>
      <c r="B462" s="1" t="n">
        <v>44650</v>
      </c>
      <c r="C462" s="1" t="n">
        <v>45793</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15850-2022</t>
        </is>
      </c>
      <c r="B463" s="1" t="n">
        <v>44664</v>
      </c>
      <c r="C463" s="1" t="n">
        <v>45793</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16255-2022</t>
        </is>
      </c>
      <c r="B464" s="1" t="n">
        <v>44670</v>
      </c>
      <c r="C464" s="1" t="n">
        <v>45793</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16404-2022</t>
        </is>
      </c>
      <c r="B465" s="1" t="n">
        <v>44671</v>
      </c>
      <c r="C465" s="1" t="n">
        <v>45793</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16768-2022</t>
        </is>
      </c>
      <c r="B466" s="1" t="n">
        <v>44673</v>
      </c>
      <c r="C466" s="1" t="n">
        <v>45793</v>
      </c>
      <c r="D466" t="inlineStr">
        <is>
          <t>VÄSTMANLANDS LÄN</t>
        </is>
      </c>
      <c r="E466" t="inlineStr">
        <is>
          <t>SALA</t>
        </is>
      </c>
      <c r="G466" t="n">
        <v>4.7</v>
      </c>
      <c r="H466" t="n">
        <v>0</v>
      </c>
      <c r="I466" t="n">
        <v>0</v>
      </c>
      <c r="J466" t="n">
        <v>0</v>
      </c>
      <c r="K466" t="n">
        <v>0</v>
      </c>
      <c r="L466" t="n">
        <v>0</v>
      </c>
      <c r="M466" t="n">
        <v>0</v>
      </c>
      <c r="N466" t="n">
        <v>0</v>
      </c>
      <c r="O466" t="n">
        <v>0</v>
      </c>
      <c r="P466" t="n">
        <v>0</v>
      </c>
      <c r="Q466" t="n">
        <v>0</v>
      </c>
      <c r="R466" s="2" t="inlineStr"/>
    </row>
    <row r="467" ht="15" customHeight="1">
      <c r="A467" t="inlineStr">
        <is>
          <t>A 16905-2022</t>
        </is>
      </c>
      <c r="B467" s="1" t="n">
        <v>44676</v>
      </c>
      <c r="C467" s="1" t="n">
        <v>45793</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17897-2022</t>
        </is>
      </c>
      <c r="B468" s="1" t="n">
        <v>44683</v>
      </c>
      <c r="C468" s="1" t="n">
        <v>45793</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19058-2022</t>
        </is>
      </c>
      <c r="B469" s="1" t="n">
        <v>44691</v>
      </c>
      <c r="C469" s="1" t="n">
        <v>45793</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v>
      </c>
      <c r="C470" s="1" t="n">
        <v>45793</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19751-2022</t>
        </is>
      </c>
      <c r="B471" s="1" t="n">
        <v>44694</v>
      </c>
      <c r="C471" s="1" t="n">
        <v>45793</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19760-2022</t>
        </is>
      </c>
      <c r="B472" s="1" t="n">
        <v>44694</v>
      </c>
      <c r="C472" s="1" t="n">
        <v>45793</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20344-2022</t>
        </is>
      </c>
      <c r="B473" s="1" t="n">
        <v>44699</v>
      </c>
      <c r="C473" s="1" t="n">
        <v>45793</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20352-2022</t>
        </is>
      </c>
      <c r="B474" s="1" t="n">
        <v>44699</v>
      </c>
      <c r="C474" s="1" t="n">
        <v>45793</v>
      </c>
      <c r="D474" t="inlineStr">
        <is>
          <t>VÄSTMANLANDS LÄN</t>
        </is>
      </c>
      <c r="E474" t="inlineStr">
        <is>
          <t>SALA</t>
        </is>
      </c>
      <c r="G474" t="n">
        <v>1.3</v>
      </c>
      <c r="H474" t="n">
        <v>0</v>
      </c>
      <c r="I474" t="n">
        <v>0</v>
      </c>
      <c r="J474" t="n">
        <v>0</v>
      </c>
      <c r="K474" t="n">
        <v>0</v>
      </c>
      <c r="L474" t="n">
        <v>0</v>
      </c>
      <c r="M474" t="n">
        <v>0</v>
      </c>
      <c r="N474" t="n">
        <v>0</v>
      </c>
      <c r="O474" t="n">
        <v>0</v>
      </c>
      <c r="P474" t="n">
        <v>0</v>
      </c>
      <c r="Q474" t="n">
        <v>0</v>
      </c>
      <c r="R474" s="2" t="inlineStr"/>
    </row>
    <row r="475" ht="15" customHeight="1">
      <c r="A475" t="inlineStr">
        <is>
          <t>A 20875-2022</t>
        </is>
      </c>
      <c r="B475" s="1" t="n">
        <v>44701</v>
      </c>
      <c r="C475" s="1" t="n">
        <v>45793</v>
      </c>
      <c r="D475" t="inlineStr">
        <is>
          <t>VÄSTMANLANDS LÄN</t>
        </is>
      </c>
      <c r="E475" t="inlineStr">
        <is>
          <t>SALA</t>
        </is>
      </c>
      <c r="G475" t="n">
        <v>2.6</v>
      </c>
      <c r="H475" t="n">
        <v>0</v>
      </c>
      <c r="I475" t="n">
        <v>0</v>
      </c>
      <c r="J475" t="n">
        <v>0</v>
      </c>
      <c r="K475" t="n">
        <v>0</v>
      </c>
      <c r="L475" t="n">
        <v>0</v>
      </c>
      <c r="M475" t="n">
        <v>0</v>
      </c>
      <c r="N475" t="n">
        <v>0</v>
      </c>
      <c r="O475" t="n">
        <v>0</v>
      </c>
      <c r="P475" t="n">
        <v>0</v>
      </c>
      <c r="Q475" t="n">
        <v>0</v>
      </c>
      <c r="R475" s="2" t="inlineStr"/>
    </row>
    <row r="476" ht="15" customHeight="1">
      <c r="A476" t="inlineStr">
        <is>
          <t>A 21055-2022</t>
        </is>
      </c>
      <c r="B476" s="1" t="n">
        <v>44704</v>
      </c>
      <c r="C476" s="1" t="n">
        <v>45793</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21053-2022</t>
        </is>
      </c>
      <c r="B477" s="1" t="n">
        <v>44704</v>
      </c>
      <c r="C477" s="1" t="n">
        <v>45793</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45793</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21777-2022</t>
        </is>
      </c>
      <c r="B479" s="1" t="n">
        <v>44708</v>
      </c>
      <c r="C479" s="1" t="n">
        <v>45793</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22397-2022</t>
        </is>
      </c>
      <c r="B480" s="1" t="n">
        <v>44713</v>
      </c>
      <c r="C480" s="1" t="n">
        <v>45793</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22575-2022</t>
        </is>
      </c>
      <c r="B481" s="1" t="n">
        <v>44713</v>
      </c>
      <c r="C481" s="1" t="n">
        <v>45793</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22562-2022</t>
        </is>
      </c>
      <c r="B482" s="1" t="n">
        <v>44713</v>
      </c>
      <c r="C482" s="1" t="n">
        <v>45793</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22811-2022</t>
        </is>
      </c>
      <c r="B483" s="1" t="n">
        <v>44715</v>
      </c>
      <c r="C483" s="1" t="n">
        <v>45793</v>
      </c>
      <c r="D483" t="inlineStr">
        <is>
          <t>VÄSTMANLANDS LÄN</t>
        </is>
      </c>
      <c r="E483" t="inlineStr">
        <is>
          <t>SALA</t>
        </is>
      </c>
      <c r="G483" t="n">
        <v>5</v>
      </c>
      <c r="H483" t="n">
        <v>0</v>
      </c>
      <c r="I483" t="n">
        <v>0</v>
      </c>
      <c r="J483" t="n">
        <v>0</v>
      </c>
      <c r="K483" t="n">
        <v>0</v>
      </c>
      <c r="L483" t="n">
        <v>0</v>
      </c>
      <c r="M483" t="n">
        <v>0</v>
      </c>
      <c r="N483" t="n">
        <v>0</v>
      </c>
      <c r="O483" t="n">
        <v>0</v>
      </c>
      <c r="P483" t="n">
        <v>0</v>
      </c>
      <c r="Q483" t="n">
        <v>0</v>
      </c>
      <c r="R483" s="2" t="inlineStr"/>
    </row>
    <row r="484" ht="15" customHeight="1">
      <c r="A484" t="inlineStr">
        <is>
          <t>A 23119-2022</t>
        </is>
      </c>
      <c r="B484" s="1" t="n">
        <v>44719</v>
      </c>
      <c r="C484" s="1" t="n">
        <v>45793</v>
      </c>
      <c r="D484" t="inlineStr">
        <is>
          <t>VÄSTMANLANDS LÄN</t>
        </is>
      </c>
      <c r="E484" t="inlineStr">
        <is>
          <t>SALA</t>
        </is>
      </c>
      <c r="G484" t="n">
        <v>7</v>
      </c>
      <c r="H484" t="n">
        <v>0</v>
      </c>
      <c r="I484" t="n">
        <v>0</v>
      </c>
      <c r="J484" t="n">
        <v>0</v>
      </c>
      <c r="K484" t="n">
        <v>0</v>
      </c>
      <c r="L484" t="n">
        <v>0</v>
      </c>
      <c r="M484" t="n">
        <v>0</v>
      </c>
      <c r="N484" t="n">
        <v>0</v>
      </c>
      <c r="O484" t="n">
        <v>0</v>
      </c>
      <c r="P484" t="n">
        <v>0</v>
      </c>
      <c r="Q484" t="n">
        <v>0</v>
      </c>
      <c r="R484" s="2" t="inlineStr"/>
    </row>
    <row r="485" ht="15" customHeight="1">
      <c r="A485" t="inlineStr">
        <is>
          <t>A 23181-2022</t>
        </is>
      </c>
      <c r="B485" s="1" t="n">
        <v>44719</v>
      </c>
      <c r="C485" s="1" t="n">
        <v>45793</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23180-2022</t>
        </is>
      </c>
      <c r="B486" s="1" t="n">
        <v>44719</v>
      </c>
      <c r="C486" s="1" t="n">
        <v>45793</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23182-2022</t>
        </is>
      </c>
      <c r="B487" s="1" t="n">
        <v>44719</v>
      </c>
      <c r="C487" s="1" t="n">
        <v>45793</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23757-2022</t>
        </is>
      </c>
      <c r="B488" s="1" t="n">
        <v>44722</v>
      </c>
      <c r="C488" s="1" t="n">
        <v>45793</v>
      </c>
      <c r="D488" t="inlineStr">
        <is>
          <t>VÄSTMANLANDS LÄN</t>
        </is>
      </c>
      <c r="E488" t="inlineStr">
        <is>
          <t>SALA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23847-2022</t>
        </is>
      </c>
      <c r="B489" s="1" t="n">
        <v>44722</v>
      </c>
      <c r="C489" s="1" t="n">
        <v>45793</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24818-2022</t>
        </is>
      </c>
      <c r="B490" s="1" t="n">
        <v>44727</v>
      </c>
      <c r="C490" s="1" t="n">
        <v>45793</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24835-2022</t>
        </is>
      </c>
      <c r="B491" s="1" t="n">
        <v>44727</v>
      </c>
      <c r="C491" s="1" t="n">
        <v>45793</v>
      </c>
      <c r="D491" t="inlineStr">
        <is>
          <t>VÄSTMANLANDS LÄN</t>
        </is>
      </c>
      <c r="E491" t="inlineStr">
        <is>
          <t>SALA</t>
        </is>
      </c>
      <c r="G491" t="n">
        <v>5.8</v>
      </c>
      <c r="H491" t="n">
        <v>0</v>
      </c>
      <c r="I491" t="n">
        <v>0</v>
      </c>
      <c r="J491" t="n">
        <v>0</v>
      </c>
      <c r="K491" t="n">
        <v>0</v>
      </c>
      <c r="L491" t="n">
        <v>0</v>
      </c>
      <c r="M491" t="n">
        <v>0</v>
      </c>
      <c r="N491" t="n">
        <v>0</v>
      </c>
      <c r="O491" t="n">
        <v>0</v>
      </c>
      <c r="P491" t="n">
        <v>0</v>
      </c>
      <c r="Q491" t="n">
        <v>0</v>
      </c>
      <c r="R491" s="2" t="inlineStr"/>
    </row>
    <row r="492" ht="15" customHeight="1">
      <c r="A492" t="inlineStr">
        <is>
          <t>A 24882-2022</t>
        </is>
      </c>
      <c r="B492" s="1" t="n">
        <v>44728</v>
      </c>
      <c r="C492" s="1" t="n">
        <v>45793</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25603-2022</t>
        </is>
      </c>
      <c r="B493" s="1" t="n">
        <v>44732</v>
      </c>
      <c r="C493" s="1" t="n">
        <v>45793</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25748-2022</t>
        </is>
      </c>
      <c r="B494" s="1" t="n">
        <v>44732</v>
      </c>
      <c r="C494" s="1" t="n">
        <v>45793</v>
      </c>
      <c r="D494" t="inlineStr">
        <is>
          <t>VÄSTMANLANDS LÄN</t>
        </is>
      </c>
      <c r="E494" t="inlineStr">
        <is>
          <t>SALA</t>
        </is>
      </c>
      <c r="G494" t="n">
        <v>7.7</v>
      </c>
      <c r="H494" t="n">
        <v>0</v>
      </c>
      <c r="I494" t="n">
        <v>0</v>
      </c>
      <c r="J494" t="n">
        <v>0</v>
      </c>
      <c r="K494" t="n">
        <v>0</v>
      </c>
      <c r="L494" t="n">
        <v>0</v>
      </c>
      <c r="M494" t="n">
        <v>0</v>
      </c>
      <c r="N494" t="n">
        <v>0</v>
      </c>
      <c r="O494" t="n">
        <v>0</v>
      </c>
      <c r="P494" t="n">
        <v>0</v>
      </c>
      <c r="Q494" t="n">
        <v>0</v>
      </c>
      <c r="R494" s="2" t="inlineStr"/>
    </row>
    <row r="495" ht="15" customHeight="1">
      <c r="A495" t="inlineStr">
        <is>
          <t>A 27229-2022</t>
        </is>
      </c>
      <c r="B495" s="1" t="n">
        <v>44741</v>
      </c>
      <c r="C495" s="1" t="n">
        <v>45793</v>
      </c>
      <c r="D495" t="inlineStr">
        <is>
          <t>VÄSTMANLANDS LÄN</t>
        </is>
      </c>
      <c r="E495" t="inlineStr">
        <is>
          <t>SALA</t>
        </is>
      </c>
      <c r="F495" t="inlineStr">
        <is>
          <t>Kommuner</t>
        </is>
      </c>
      <c r="G495" t="n">
        <v>1.4</v>
      </c>
      <c r="H495" t="n">
        <v>0</v>
      </c>
      <c r="I495" t="n">
        <v>0</v>
      </c>
      <c r="J495" t="n">
        <v>0</v>
      </c>
      <c r="K495" t="n">
        <v>0</v>
      </c>
      <c r="L495" t="n">
        <v>0</v>
      </c>
      <c r="M495" t="n">
        <v>0</v>
      </c>
      <c r="N495" t="n">
        <v>0</v>
      </c>
      <c r="O495" t="n">
        <v>0</v>
      </c>
      <c r="P495" t="n">
        <v>0</v>
      </c>
      <c r="Q495" t="n">
        <v>0</v>
      </c>
      <c r="R495" s="2" t="inlineStr"/>
    </row>
    <row r="496" ht="15" customHeight="1">
      <c r="A496" t="inlineStr">
        <is>
          <t>A 27240-2022</t>
        </is>
      </c>
      <c r="B496" s="1" t="n">
        <v>44741</v>
      </c>
      <c r="C496" s="1" t="n">
        <v>45793</v>
      </c>
      <c r="D496" t="inlineStr">
        <is>
          <t>VÄSTMANLANDS LÄN</t>
        </is>
      </c>
      <c r="E496" t="inlineStr">
        <is>
          <t>SALA</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27446-2022</t>
        </is>
      </c>
      <c r="B497" s="1" t="n">
        <v>44742</v>
      </c>
      <c r="C497" s="1" t="n">
        <v>45793</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27528-2022</t>
        </is>
      </c>
      <c r="B498" s="1" t="n">
        <v>44742</v>
      </c>
      <c r="C498" s="1" t="n">
        <v>45793</v>
      </c>
      <c r="D498" t="inlineStr">
        <is>
          <t>VÄSTMANLANDS LÄN</t>
        </is>
      </c>
      <c r="E498" t="inlineStr">
        <is>
          <t>SALA</t>
        </is>
      </c>
      <c r="G498" t="n">
        <v>3.2</v>
      </c>
      <c r="H498" t="n">
        <v>0</v>
      </c>
      <c r="I498" t="n">
        <v>0</v>
      </c>
      <c r="J498" t="n">
        <v>0</v>
      </c>
      <c r="K498" t="n">
        <v>0</v>
      </c>
      <c r="L498" t="n">
        <v>0</v>
      </c>
      <c r="M498" t="n">
        <v>0</v>
      </c>
      <c r="N498" t="n">
        <v>0</v>
      </c>
      <c r="O498" t="n">
        <v>0</v>
      </c>
      <c r="P498" t="n">
        <v>0</v>
      </c>
      <c r="Q498" t="n">
        <v>0</v>
      </c>
      <c r="R498" s="2" t="inlineStr"/>
    </row>
    <row r="499" ht="15" customHeight="1">
      <c r="A499" t="inlineStr">
        <is>
          <t>A 27486-2022</t>
        </is>
      </c>
      <c r="B499" s="1" t="n">
        <v>44742</v>
      </c>
      <c r="C499" s="1" t="n">
        <v>45793</v>
      </c>
      <c r="D499" t="inlineStr">
        <is>
          <t>VÄSTMANLANDS LÄN</t>
        </is>
      </c>
      <c r="E499" t="inlineStr">
        <is>
          <t>SALA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28069-2022</t>
        </is>
      </c>
      <c r="B500" s="1" t="n">
        <v>44746</v>
      </c>
      <c r="C500" s="1" t="n">
        <v>45793</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28215-2022</t>
        </is>
      </c>
      <c r="B501" s="1" t="n">
        <v>44746</v>
      </c>
      <c r="C501" s="1" t="n">
        <v>45793</v>
      </c>
      <c r="D501" t="inlineStr">
        <is>
          <t>VÄSTMANLANDS LÄN</t>
        </is>
      </c>
      <c r="E501" t="inlineStr">
        <is>
          <t>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28402-2022</t>
        </is>
      </c>
      <c r="B502" s="1" t="n">
        <v>44747</v>
      </c>
      <c r="C502" s="1" t="n">
        <v>45793</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28863-2022</t>
        </is>
      </c>
      <c r="B503" s="1" t="n">
        <v>44749</v>
      </c>
      <c r="C503" s="1" t="n">
        <v>45793</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28875-2022</t>
        </is>
      </c>
      <c r="B504" s="1" t="n">
        <v>44749</v>
      </c>
      <c r="C504" s="1" t="n">
        <v>45793</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28999-2022</t>
        </is>
      </c>
      <c r="B505" s="1" t="n">
        <v>44749</v>
      </c>
      <c r="C505" s="1" t="n">
        <v>45793</v>
      </c>
      <c r="D505" t="inlineStr">
        <is>
          <t>VÄSTMANLANDS LÄN</t>
        </is>
      </c>
      <c r="E505" t="inlineStr">
        <is>
          <t>SALA</t>
        </is>
      </c>
      <c r="G505" t="n">
        <v>5.7</v>
      </c>
      <c r="H505" t="n">
        <v>0</v>
      </c>
      <c r="I505" t="n">
        <v>0</v>
      </c>
      <c r="J505" t="n">
        <v>0</v>
      </c>
      <c r="K505" t="n">
        <v>0</v>
      </c>
      <c r="L505" t="n">
        <v>0</v>
      </c>
      <c r="M505" t="n">
        <v>0</v>
      </c>
      <c r="N505" t="n">
        <v>0</v>
      </c>
      <c r="O505" t="n">
        <v>0</v>
      </c>
      <c r="P505" t="n">
        <v>0</v>
      </c>
      <c r="Q505" t="n">
        <v>0</v>
      </c>
      <c r="R505" s="2" t="inlineStr"/>
    </row>
    <row r="506" ht="15" customHeight="1">
      <c r="A506" t="inlineStr">
        <is>
          <t>A 28827-2022</t>
        </is>
      </c>
      <c r="B506" s="1" t="n">
        <v>44749</v>
      </c>
      <c r="C506" s="1" t="n">
        <v>45793</v>
      </c>
      <c r="D506" t="inlineStr">
        <is>
          <t>VÄSTMANLANDS LÄN</t>
        </is>
      </c>
      <c r="E506" t="inlineStr">
        <is>
          <t>SALA</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28873-2022</t>
        </is>
      </c>
      <c r="B507" s="1" t="n">
        <v>44749</v>
      </c>
      <c r="C507" s="1" t="n">
        <v>45793</v>
      </c>
      <c r="D507" t="inlineStr">
        <is>
          <t>VÄSTMANLANDS LÄN</t>
        </is>
      </c>
      <c r="E507" t="inlineStr">
        <is>
          <t>SALA</t>
        </is>
      </c>
      <c r="G507" t="n">
        <v>2.7</v>
      </c>
      <c r="H507" t="n">
        <v>0</v>
      </c>
      <c r="I507" t="n">
        <v>0</v>
      </c>
      <c r="J507" t="n">
        <v>0</v>
      </c>
      <c r="K507" t="n">
        <v>0</v>
      </c>
      <c r="L507" t="n">
        <v>0</v>
      </c>
      <c r="M507" t="n">
        <v>0</v>
      </c>
      <c r="N507" t="n">
        <v>0</v>
      </c>
      <c r="O507" t="n">
        <v>0</v>
      </c>
      <c r="P507" t="n">
        <v>0</v>
      </c>
      <c r="Q507" t="n">
        <v>0</v>
      </c>
      <c r="R507" s="2" t="inlineStr"/>
    </row>
    <row r="508" ht="15" customHeight="1">
      <c r="A508" t="inlineStr">
        <is>
          <t>A 29002-2022</t>
        </is>
      </c>
      <c r="B508" s="1" t="n">
        <v>44749</v>
      </c>
      <c r="C508" s="1" t="n">
        <v>45793</v>
      </c>
      <c r="D508" t="inlineStr">
        <is>
          <t>VÄSTMANLANDS LÄN</t>
        </is>
      </c>
      <c r="E508" t="inlineStr">
        <is>
          <t>SALA</t>
        </is>
      </c>
      <c r="G508" t="n">
        <v>5.4</v>
      </c>
      <c r="H508" t="n">
        <v>0</v>
      </c>
      <c r="I508" t="n">
        <v>0</v>
      </c>
      <c r="J508" t="n">
        <v>0</v>
      </c>
      <c r="K508" t="n">
        <v>0</v>
      </c>
      <c r="L508" t="n">
        <v>0</v>
      </c>
      <c r="M508" t="n">
        <v>0</v>
      </c>
      <c r="N508" t="n">
        <v>0</v>
      </c>
      <c r="O508" t="n">
        <v>0</v>
      </c>
      <c r="P508" t="n">
        <v>0</v>
      </c>
      <c r="Q508" t="n">
        <v>0</v>
      </c>
      <c r="R508" s="2" t="inlineStr"/>
    </row>
    <row r="509" ht="15" customHeight="1">
      <c r="A509" t="inlineStr">
        <is>
          <t>A 28868-2022</t>
        </is>
      </c>
      <c r="B509" s="1" t="n">
        <v>44749</v>
      </c>
      <c r="C509" s="1" t="n">
        <v>45793</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28874-2022</t>
        </is>
      </c>
      <c r="B510" s="1" t="n">
        <v>44749</v>
      </c>
      <c r="C510" s="1" t="n">
        <v>45793</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28879-2022</t>
        </is>
      </c>
      <c r="B511" s="1" t="n">
        <v>44749</v>
      </c>
      <c r="C511" s="1" t="n">
        <v>45793</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29235-2022</t>
        </is>
      </c>
      <c r="B512" s="1" t="n">
        <v>44750</v>
      </c>
      <c r="C512" s="1" t="n">
        <v>45793</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29228-2022</t>
        </is>
      </c>
      <c r="B513" s="1" t="n">
        <v>44750</v>
      </c>
      <c r="C513" s="1" t="n">
        <v>45793</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45793</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29248-2022</t>
        </is>
      </c>
      <c r="B515" s="1" t="n">
        <v>44750</v>
      </c>
      <c r="C515" s="1" t="n">
        <v>45793</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29230-2022</t>
        </is>
      </c>
      <c r="B516" s="1" t="n">
        <v>44750</v>
      </c>
      <c r="C516" s="1" t="n">
        <v>45793</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29133-2022</t>
        </is>
      </c>
      <c r="B517" s="1" t="n">
        <v>44750</v>
      </c>
      <c r="C517" s="1" t="n">
        <v>45793</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29213-2022</t>
        </is>
      </c>
      <c r="B518" s="1" t="n">
        <v>44750</v>
      </c>
      <c r="C518" s="1" t="n">
        <v>45793</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29963-2022</t>
        </is>
      </c>
      <c r="B519" s="1" t="n">
        <v>44756</v>
      </c>
      <c r="C519" s="1" t="n">
        <v>45793</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29965-2022</t>
        </is>
      </c>
      <c r="B520" s="1" t="n">
        <v>44756</v>
      </c>
      <c r="C520" s="1" t="n">
        <v>45793</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29982-2022</t>
        </is>
      </c>
      <c r="B521" s="1" t="n">
        <v>44756</v>
      </c>
      <c r="C521" s="1" t="n">
        <v>45793</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30360-2022</t>
        </is>
      </c>
      <c r="B522" s="1" t="n">
        <v>44760</v>
      </c>
      <c r="C522" s="1" t="n">
        <v>45793</v>
      </c>
      <c r="D522" t="inlineStr">
        <is>
          <t>VÄSTMANLANDS LÄN</t>
        </is>
      </c>
      <c r="E522" t="inlineStr">
        <is>
          <t>SALA</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30442-2022</t>
        </is>
      </c>
      <c r="B523" s="1" t="n">
        <v>44761</v>
      </c>
      <c r="C523" s="1" t="n">
        <v>45793</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30971-2022</t>
        </is>
      </c>
      <c r="B524" s="1" t="n">
        <v>44768</v>
      </c>
      <c r="C524" s="1" t="n">
        <v>45793</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31000-2022</t>
        </is>
      </c>
      <c r="B525" s="1" t="n">
        <v>44768</v>
      </c>
      <c r="C525" s="1" t="n">
        <v>45793</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31373-2022</t>
        </is>
      </c>
      <c r="B526" s="1" t="n">
        <v>44774</v>
      </c>
      <c r="C526" s="1" t="n">
        <v>45793</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31380-2022</t>
        </is>
      </c>
      <c r="B527" s="1" t="n">
        <v>44774</v>
      </c>
      <c r="C527" s="1" t="n">
        <v>45793</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31387-2022</t>
        </is>
      </c>
      <c r="B528" s="1" t="n">
        <v>44774</v>
      </c>
      <c r="C528" s="1" t="n">
        <v>45793</v>
      </c>
      <c r="D528" t="inlineStr">
        <is>
          <t>VÄSTMANLANDS LÄN</t>
        </is>
      </c>
      <c r="E528" t="inlineStr">
        <is>
          <t>SALA</t>
        </is>
      </c>
      <c r="G528" t="n">
        <v>5.8</v>
      </c>
      <c r="H528" t="n">
        <v>0</v>
      </c>
      <c r="I528" t="n">
        <v>0</v>
      </c>
      <c r="J528" t="n">
        <v>0</v>
      </c>
      <c r="K528" t="n">
        <v>0</v>
      </c>
      <c r="L528" t="n">
        <v>0</v>
      </c>
      <c r="M528" t="n">
        <v>0</v>
      </c>
      <c r="N528" t="n">
        <v>0</v>
      </c>
      <c r="O528" t="n">
        <v>0</v>
      </c>
      <c r="P528" t="n">
        <v>0</v>
      </c>
      <c r="Q528" t="n">
        <v>0</v>
      </c>
      <c r="R528" s="2" t="inlineStr"/>
    </row>
    <row r="529" ht="15" customHeight="1">
      <c r="A529" t="inlineStr">
        <is>
          <t>A 31394-2022</t>
        </is>
      </c>
      <c r="B529" s="1" t="n">
        <v>44774</v>
      </c>
      <c r="C529" s="1" t="n">
        <v>45793</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33309-2022</t>
        </is>
      </c>
      <c r="B530" s="1" t="n">
        <v>44788</v>
      </c>
      <c r="C530" s="1" t="n">
        <v>45793</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34110-2022</t>
        </is>
      </c>
      <c r="B531" s="1" t="n">
        <v>44791</v>
      </c>
      <c r="C531" s="1" t="n">
        <v>45793</v>
      </c>
      <c r="D531" t="inlineStr">
        <is>
          <t>VÄSTMANLANDS LÄN</t>
        </is>
      </c>
      <c r="E531" t="inlineStr">
        <is>
          <t>SALA</t>
        </is>
      </c>
      <c r="G531" t="n">
        <v>0.2</v>
      </c>
      <c r="H531" t="n">
        <v>0</v>
      </c>
      <c r="I531" t="n">
        <v>0</v>
      </c>
      <c r="J531" t="n">
        <v>0</v>
      </c>
      <c r="K531" t="n">
        <v>0</v>
      </c>
      <c r="L531" t="n">
        <v>0</v>
      </c>
      <c r="M531" t="n">
        <v>0</v>
      </c>
      <c r="N531" t="n">
        <v>0</v>
      </c>
      <c r="O531" t="n">
        <v>0</v>
      </c>
      <c r="P531" t="n">
        <v>0</v>
      </c>
      <c r="Q531" t="n">
        <v>0</v>
      </c>
      <c r="R531" s="2" t="inlineStr"/>
    </row>
    <row r="532" ht="15" customHeight="1">
      <c r="A532" t="inlineStr">
        <is>
          <t>A 34468-2022</t>
        </is>
      </c>
      <c r="B532" s="1" t="n">
        <v>44792</v>
      </c>
      <c r="C532" s="1" t="n">
        <v>45793</v>
      </c>
      <c r="D532" t="inlineStr">
        <is>
          <t>VÄSTMANLANDS LÄN</t>
        </is>
      </c>
      <c r="E532" t="inlineStr">
        <is>
          <t>SALA</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34737-2022</t>
        </is>
      </c>
      <c r="B533" s="1" t="n">
        <v>44795</v>
      </c>
      <c r="C533" s="1" t="n">
        <v>45793</v>
      </c>
      <c r="D533" t="inlineStr">
        <is>
          <t>VÄSTMANLANDS LÄN</t>
        </is>
      </c>
      <c r="E533" t="inlineStr">
        <is>
          <t>SALA</t>
        </is>
      </c>
      <c r="G533" t="n">
        <v>1.3</v>
      </c>
      <c r="H533" t="n">
        <v>0</v>
      </c>
      <c r="I533" t="n">
        <v>0</v>
      </c>
      <c r="J533" t="n">
        <v>0</v>
      </c>
      <c r="K533" t="n">
        <v>0</v>
      </c>
      <c r="L533" t="n">
        <v>0</v>
      </c>
      <c r="M533" t="n">
        <v>0</v>
      </c>
      <c r="N533" t="n">
        <v>0</v>
      </c>
      <c r="O533" t="n">
        <v>0</v>
      </c>
      <c r="P533" t="n">
        <v>0</v>
      </c>
      <c r="Q533" t="n">
        <v>0</v>
      </c>
      <c r="R533" s="2" t="inlineStr"/>
    </row>
    <row r="534" ht="15" customHeight="1">
      <c r="A534" t="inlineStr">
        <is>
          <t>A 35410-2022</t>
        </is>
      </c>
      <c r="B534" s="1" t="n">
        <v>44798</v>
      </c>
      <c r="C534" s="1" t="n">
        <v>45793</v>
      </c>
      <c r="D534" t="inlineStr">
        <is>
          <t>VÄSTMANLANDS LÄN</t>
        </is>
      </c>
      <c r="E534" t="inlineStr">
        <is>
          <t>SALA</t>
        </is>
      </c>
      <c r="G534" t="n">
        <v>1.6</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v>
      </c>
      <c r="C535" s="1" t="n">
        <v>45793</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38081-2022</t>
        </is>
      </c>
      <c r="B536" s="1" t="n">
        <v>44811</v>
      </c>
      <c r="C536" s="1" t="n">
        <v>45793</v>
      </c>
      <c r="D536" t="inlineStr">
        <is>
          <t>VÄSTMANLANDS LÄN</t>
        </is>
      </c>
      <c r="E536" t="inlineStr">
        <is>
          <t>SALA</t>
        </is>
      </c>
      <c r="G536" t="n">
        <v>3.4</v>
      </c>
      <c r="H536" t="n">
        <v>0</v>
      </c>
      <c r="I536" t="n">
        <v>0</v>
      </c>
      <c r="J536" t="n">
        <v>0</v>
      </c>
      <c r="K536" t="n">
        <v>0</v>
      </c>
      <c r="L536" t="n">
        <v>0</v>
      </c>
      <c r="M536" t="n">
        <v>0</v>
      </c>
      <c r="N536" t="n">
        <v>0</v>
      </c>
      <c r="O536" t="n">
        <v>0</v>
      </c>
      <c r="P536" t="n">
        <v>0</v>
      </c>
      <c r="Q536" t="n">
        <v>0</v>
      </c>
      <c r="R536" s="2" t="inlineStr"/>
    </row>
    <row r="537" ht="15" customHeight="1">
      <c r="A537" t="inlineStr">
        <is>
          <t>A 38161-2022</t>
        </is>
      </c>
      <c r="B537" s="1" t="n">
        <v>44812</v>
      </c>
      <c r="C537" s="1" t="n">
        <v>45793</v>
      </c>
      <c r="D537" t="inlineStr">
        <is>
          <t>VÄSTMANLANDS LÄN</t>
        </is>
      </c>
      <c r="E537" t="inlineStr">
        <is>
          <t>SALA</t>
        </is>
      </c>
      <c r="G537" t="n">
        <v>3.6</v>
      </c>
      <c r="H537" t="n">
        <v>0</v>
      </c>
      <c r="I537" t="n">
        <v>0</v>
      </c>
      <c r="J537" t="n">
        <v>0</v>
      </c>
      <c r="K537" t="n">
        <v>0</v>
      </c>
      <c r="L537" t="n">
        <v>0</v>
      </c>
      <c r="M537" t="n">
        <v>0</v>
      </c>
      <c r="N537" t="n">
        <v>0</v>
      </c>
      <c r="O537" t="n">
        <v>0</v>
      </c>
      <c r="P537" t="n">
        <v>0</v>
      </c>
      <c r="Q537" t="n">
        <v>0</v>
      </c>
      <c r="R537" s="2" t="inlineStr"/>
    </row>
    <row r="538" ht="15" customHeight="1">
      <c r="A538" t="inlineStr">
        <is>
          <t>A 39451-2022</t>
        </is>
      </c>
      <c r="B538" s="1" t="n">
        <v>44818</v>
      </c>
      <c r="C538" s="1" t="n">
        <v>45793</v>
      </c>
      <c r="D538" t="inlineStr">
        <is>
          <t>VÄSTMANLANDS LÄN</t>
        </is>
      </c>
      <c r="E538" t="inlineStr">
        <is>
          <t>SALA</t>
        </is>
      </c>
      <c r="G538" t="n">
        <v>9.4</v>
      </c>
      <c r="H538" t="n">
        <v>0</v>
      </c>
      <c r="I538" t="n">
        <v>0</v>
      </c>
      <c r="J538" t="n">
        <v>0</v>
      </c>
      <c r="K538" t="n">
        <v>0</v>
      </c>
      <c r="L538" t="n">
        <v>0</v>
      </c>
      <c r="M538" t="n">
        <v>0</v>
      </c>
      <c r="N538" t="n">
        <v>0</v>
      </c>
      <c r="O538" t="n">
        <v>0</v>
      </c>
      <c r="P538" t="n">
        <v>0</v>
      </c>
      <c r="Q538" t="n">
        <v>0</v>
      </c>
      <c r="R538" s="2" t="inlineStr"/>
    </row>
    <row r="539" ht="15" customHeight="1">
      <c r="A539" t="inlineStr">
        <is>
          <t>A 39600-2022</t>
        </is>
      </c>
      <c r="B539" s="1" t="n">
        <v>44818</v>
      </c>
      <c r="C539" s="1" t="n">
        <v>45793</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39597-2022</t>
        </is>
      </c>
      <c r="B540" s="1" t="n">
        <v>44818</v>
      </c>
      <c r="C540" s="1" t="n">
        <v>45793</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40094-2022</t>
        </is>
      </c>
      <c r="B541" s="1" t="n">
        <v>44819</v>
      </c>
      <c r="C541" s="1" t="n">
        <v>45793</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40113-2022</t>
        </is>
      </c>
      <c r="B542" s="1" t="n">
        <v>44819</v>
      </c>
      <c r="C542" s="1" t="n">
        <v>45793</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40405-2022</t>
        </is>
      </c>
      <c r="B543" s="1" t="n">
        <v>44823</v>
      </c>
      <c r="C543" s="1" t="n">
        <v>45793</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40597-2022</t>
        </is>
      </c>
      <c r="B544" s="1" t="n">
        <v>44823</v>
      </c>
      <c r="C544" s="1" t="n">
        <v>45793</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41567-2022</t>
        </is>
      </c>
      <c r="B545" s="1" t="n">
        <v>44827</v>
      </c>
      <c r="C545" s="1" t="n">
        <v>45793</v>
      </c>
      <c r="D545" t="inlineStr">
        <is>
          <t>VÄSTMANLANDS LÄN</t>
        </is>
      </c>
      <c r="E545" t="inlineStr">
        <is>
          <t>SALA</t>
        </is>
      </c>
      <c r="F545" t="inlineStr">
        <is>
          <t>Bergvik skog öst AB</t>
        </is>
      </c>
      <c r="G545" t="n">
        <v>3.9</v>
      </c>
      <c r="H545" t="n">
        <v>0</v>
      </c>
      <c r="I545" t="n">
        <v>0</v>
      </c>
      <c r="J545" t="n">
        <v>0</v>
      </c>
      <c r="K545" t="n">
        <v>0</v>
      </c>
      <c r="L545" t="n">
        <v>0</v>
      </c>
      <c r="M545" t="n">
        <v>0</v>
      </c>
      <c r="N545" t="n">
        <v>0</v>
      </c>
      <c r="O545" t="n">
        <v>0</v>
      </c>
      <c r="P545" t="n">
        <v>0</v>
      </c>
      <c r="Q545" t="n">
        <v>0</v>
      </c>
      <c r="R545" s="2" t="inlineStr"/>
    </row>
    <row r="546" ht="15" customHeight="1">
      <c r="A546" t="inlineStr">
        <is>
          <t>A 41876-2022</t>
        </is>
      </c>
      <c r="B546" s="1" t="n">
        <v>44830</v>
      </c>
      <c r="C546" s="1" t="n">
        <v>45793</v>
      </c>
      <c r="D546" t="inlineStr">
        <is>
          <t>VÄSTMANLANDS LÄN</t>
        </is>
      </c>
      <c r="E546" t="inlineStr">
        <is>
          <t>SALA</t>
        </is>
      </c>
      <c r="G546" t="n">
        <v>3.6</v>
      </c>
      <c r="H546" t="n">
        <v>0</v>
      </c>
      <c r="I546" t="n">
        <v>0</v>
      </c>
      <c r="J546" t="n">
        <v>0</v>
      </c>
      <c r="K546" t="n">
        <v>0</v>
      </c>
      <c r="L546" t="n">
        <v>0</v>
      </c>
      <c r="M546" t="n">
        <v>0</v>
      </c>
      <c r="N546" t="n">
        <v>0</v>
      </c>
      <c r="O546" t="n">
        <v>0</v>
      </c>
      <c r="P546" t="n">
        <v>0</v>
      </c>
      <c r="Q546" t="n">
        <v>0</v>
      </c>
      <c r="R546" s="2" t="inlineStr"/>
    </row>
    <row r="547" ht="15" customHeight="1">
      <c r="A547" t="inlineStr">
        <is>
          <t>A 42416-2022</t>
        </is>
      </c>
      <c r="B547" s="1" t="n">
        <v>44831</v>
      </c>
      <c r="C547" s="1" t="n">
        <v>45793</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42447-2022</t>
        </is>
      </c>
      <c r="B548" s="1" t="n">
        <v>44831</v>
      </c>
      <c r="C548" s="1" t="n">
        <v>45793</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42414-2022</t>
        </is>
      </c>
      <c r="B549" s="1" t="n">
        <v>44831</v>
      </c>
      <c r="C549" s="1" t="n">
        <v>45793</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c r="U549">
        <f>HYPERLINK("https://klasma.github.io/Logging_1981/knärot/A 42414-2022 karta knärot.png", "A 42414-2022")</f>
        <v/>
      </c>
      <c r="V549">
        <f>HYPERLINK("https://klasma.github.io/Logging_1981/klagomål/A 42414-2022 FSC-klagomål.docx", "A 42414-2022")</f>
        <v/>
      </c>
      <c r="W549">
        <f>HYPERLINK("https://klasma.github.io/Logging_1981/klagomålsmail/A 42414-2022 FSC-klagomål mail.docx", "A 42414-2022")</f>
        <v/>
      </c>
      <c r="X549">
        <f>HYPERLINK("https://klasma.github.io/Logging_1981/tillsyn/A 42414-2022 tillsynsbegäran.docx", "A 42414-2022")</f>
        <v/>
      </c>
      <c r="Y549">
        <f>HYPERLINK("https://klasma.github.io/Logging_1981/tillsynsmail/A 42414-2022 tillsynsbegäran mail.docx", "A 42414-2022")</f>
        <v/>
      </c>
    </row>
    <row r="550" ht="15" customHeight="1">
      <c r="A550" t="inlineStr">
        <is>
          <t>A 43103-2022</t>
        </is>
      </c>
      <c r="B550" s="1" t="n">
        <v>44833</v>
      </c>
      <c r="C550" s="1" t="n">
        <v>45793</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43101-2022</t>
        </is>
      </c>
      <c r="B551" s="1" t="n">
        <v>44833</v>
      </c>
      <c r="C551" s="1" t="n">
        <v>45793</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44217-2022</t>
        </is>
      </c>
      <c r="B552" s="1" t="n">
        <v>44839</v>
      </c>
      <c r="C552" s="1" t="n">
        <v>45793</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44318-2022</t>
        </is>
      </c>
      <c r="B553" s="1" t="n">
        <v>44839</v>
      </c>
      <c r="C553" s="1" t="n">
        <v>45793</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44224-2022</t>
        </is>
      </c>
      <c r="B554" s="1" t="n">
        <v>44839</v>
      </c>
      <c r="C554" s="1" t="n">
        <v>45793</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44892-2022</t>
        </is>
      </c>
      <c r="B555" s="1" t="n">
        <v>44841</v>
      </c>
      <c r="C555" s="1" t="n">
        <v>45793</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45015-2022</t>
        </is>
      </c>
      <c r="B556" s="1" t="n">
        <v>44841</v>
      </c>
      <c r="C556" s="1" t="n">
        <v>45793</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44935-2022</t>
        </is>
      </c>
      <c r="B557" s="1" t="n">
        <v>44841</v>
      </c>
      <c r="C557" s="1" t="n">
        <v>45793</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45309-2022</t>
        </is>
      </c>
      <c r="B558" s="1" t="n">
        <v>44844</v>
      </c>
      <c r="C558" s="1" t="n">
        <v>45793</v>
      </c>
      <c r="D558" t="inlineStr">
        <is>
          <t>VÄSTMANLANDS LÄN</t>
        </is>
      </c>
      <c r="E558" t="inlineStr">
        <is>
          <t>SALA</t>
        </is>
      </c>
      <c r="G558" t="n">
        <v>10.9</v>
      </c>
      <c r="H558" t="n">
        <v>0</v>
      </c>
      <c r="I558" t="n">
        <v>0</v>
      </c>
      <c r="J558" t="n">
        <v>0</v>
      </c>
      <c r="K558" t="n">
        <v>0</v>
      </c>
      <c r="L558" t="n">
        <v>0</v>
      </c>
      <c r="M558" t="n">
        <v>0</v>
      </c>
      <c r="N558" t="n">
        <v>0</v>
      </c>
      <c r="O558" t="n">
        <v>0</v>
      </c>
      <c r="P558" t="n">
        <v>0</v>
      </c>
      <c r="Q558" t="n">
        <v>0</v>
      </c>
      <c r="R558" s="2" t="inlineStr"/>
    </row>
    <row r="559" ht="15" customHeight="1">
      <c r="A559" t="inlineStr">
        <is>
          <t>A 45517-2022</t>
        </is>
      </c>
      <c r="B559" s="1" t="n">
        <v>44845</v>
      </c>
      <c r="C559" s="1" t="n">
        <v>45793</v>
      </c>
      <c r="D559" t="inlineStr">
        <is>
          <t>VÄSTMANLANDS LÄN</t>
        </is>
      </c>
      <c r="E559" t="inlineStr">
        <is>
          <t>SALA</t>
        </is>
      </c>
      <c r="G559" t="n">
        <v>2.2</v>
      </c>
      <c r="H559" t="n">
        <v>0</v>
      </c>
      <c r="I559" t="n">
        <v>0</v>
      </c>
      <c r="J559" t="n">
        <v>0</v>
      </c>
      <c r="K559" t="n">
        <v>0</v>
      </c>
      <c r="L559" t="n">
        <v>0</v>
      </c>
      <c r="M559" t="n">
        <v>0</v>
      </c>
      <c r="N559" t="n">
        <v>0</v>
      </c>
      <c r="O559" t="n">
        <v>0</v>
      </c>
      <c r="P559" t="n">
        <v>0</v>
      </c>
      <c r="Q559" t="n">
        <v>0</v>
      </c>
      <c r="R559" s="2" t="inlineStr"/>
    </row>
    <row r="560" ht="15" customHeight="1">
      <c r="A560" t="inlineStr">
        <is>
          <t>A 45615-2022</t>
        </is>
      </c>
      <c r="B560" s="1" t="n">
        <v>44845</v>
      </c>
      <c r="C560" s="1" t="n">
        <v>45793</v>
      </c>
      <c r="D560" t="inlineStr">
        <is>
          <t>VÄSTMANLANDS LÄN</t>
        </is>
      </c>
      <c r="E560" t="inlineStr">
        <is>
          <t>SALA</t>
        </is>
      </c>
      <c r="F560" t="inlineStr">
        <is>
          <t>Bergvik skog öst AB</t>
        </is>
      </c>
      <c r="G560" t="n">
        <v>10</v>
      </c>
      <c r="H560" t="n">
        <v>0</v>
      </c>
      <c r="I560" t="n">
        <v>0</v>
      </c>
      <c r="J560" t="n">
        <v>0</v>
      </c>
      <c r="K560" t="n">
        <v>0</v>
      </c>
      <c r="L560" t="n">
        <v>0</v>
      </c>
      <c r="M560" t="n">
        <v>0</v>
      </c>
      <c r="N560" t="n">
        <v>0</v>
      </c>
      <c r="O560" t="n">
        <v>0</v>
      </c>
      <c r="P560" t="n">
        <v>0</v>
      </c>
      <c r="Q560" t="n">
        <v>0</v>
      </c>
      <c r="R560" s="2" t="inlineStr"/>
    </row>
    <row r="561" ht="15" customHeight="1">
      <c r="A561" t="inlineStr">
        <is>
          <t>A 46264-2022</t>
        </is>
      </c>
      <c r="B561" s="1" t="n">
        <v>44847</v>
      </c>
      <c r="C561" s="1" t="n">
        <v>45793</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46460-2022</t>
        </is>
      </c>
      <c r="B562" s="1" t="n">
        <v>44848</v>
      </c>
      <c r="C562" s="1" t="n">
        <v>45793</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47086-2022</t>
        </is>
      </c>
      <c r="B563" s="1" t="n">
        <v>44852</v>
      </c>
      <c r="C563" s="1" t="n">
        <v>45793</v>
      </c>
      <c r="D563" t="inlineStr">
        <is>
          <t>VÄSTMANLANDS LÄN</t>
        </is>
      </c>
      <c r="E563" t="inlineStr">
        <is>
          <t>SALA</t>
        </is>
      </c>
      <c r="G563" t="n">
        <v>12.5</v>
      </c>
      <c r="H563" t="n">
        <v>0</v>
      </c>
      <c r="I563" t="n">
        <v>0</v>
      </c>
      <c r="J563" t="n">
        <v>0</v>
      </c>
      <c r="K563" t="n">
        <v>0</v>
      </c>
      <c r="L563" t="n">
        <v>0</v>
      </c>
      <c r="M563" t="n">
        <v>0</v>
      </c>
      <c r="N563" t="n">
        <v>0</v>
      </c>
      <c r="O563" t="n">
        <v>0</v>
      </c>
      <c r="P563" t="n">
        <v>0</v>
      </c>
      <c r="Q563" t="n">
        <v>0</v>
      </c>
      <c r="R563" s="2" t="inlineStr"/>
    </row>
    <row r="564" ht="15" customHeight="1">
      <c r="A564" t="inlineStr">
        <is>
          <t>A 47713-2022</t>
        </is>
      </c>
      <c r="B564" s="1" t="n">
        <v>44854</v>
      </c>
      <c r="C564" s="1" t="n">
        <v>45793</v>
      </c>
      <c r="D564" t="inlineStr">
        <is>
          <t>VÄSTMANLANDS LÄN</t>
        </is>
      </c>
      <c r="E564" t="inlineStr">
        <is>
          <t>SALA</t>
        </is>
      </c>
      <c r="G564" t="n">
        <v>3.4</v>
      </c>
      <c r="H564" t="n">
        <v>0</v>
      </c>
      <c r="I564" t="n">
        <v>0</v>
      </c>
      <c r="J564" t="n">
        <v>0</v>
      </c>
      <c r="K564" t="n">
        <v>0</v>
      </c>
      <c r="L564" t="n">
        <v>0</v>
      </c>
      <c r="M564" t="n">
        <v>0</v>
      </c>
      <c r="N564" t="n">
        <v>0</v>
      </c>
      <c r="O564" t="n">
        <v>0</v>
      </c>
      <c r="P564" t="n">
        <v>0</v>
      </c>
      <c r="Q564" t="n">
        <v>0</v>
      </c>
      <c r="R564" s="2" t="inlineStr"/>
    </row>
    <row r="565" ht="15" customHeight="1">
      <c r="A565" t="inlineStr">
        <is>
          <t>A 47715-2022</t>
        </is>
      </c>
      <c r="B565" s="1" t="n">
        <v>44854</v>
      </c>
      <c r="C565" s="1" t="n">
        <v>45793</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47909-2022</t>
        </is>
      </c>
      <c r="B566" s="1" t="n">
        <v>44855</v>
      </c>
      <c r="C566" s="1" t="n">
        <v>45793</v>
      </c>
      <c r="D566" t="inlineStr">
        <is>
          <t>VÄSTMANLANDS LÄN</t>
        </is>
      </c>
      <c r="E566" t="inlineStr">
        <is>
          <t>SALA</t>
        </is>
      </c>
      <c r="F566" t="inlineStr">
        <is>
          <t>Bergvik skog öst AB</t>
        </is>
      </c>
      <c r="G566" t="n">
        <v>2</v>
      </c>
      <c r="H566" t="n">
        <v>0</v>
      </c>
      <c r="I566" t="n">
        <v>0</v>
      </c>
      <c r="J566" t="n">
        <v>0</v>
      </c>
      <c r="K566" t="n">
        <v>0</v>
      </c>
      <c r="L566" t="n">
        <v>0</v>
      </c>
      <c r="M566" t="n">
        <v>0</v>
      </c>
      <c r="N566" t="n">
        <v>0</v>
      </c>
      <c r="O566" t="n">
        <v>0</v>
      </c>
      <c r="P566" t="n">
        <v>0</v>
      </c>
      <c r="Q566" t="n">
        <v>0</v>
      </c>
      <c r="R566" s="2" t="inlineStr"/>
    </row>
    <row r="567" ht="15" customHeight="1">
      <c r="A567" t="inlineStr">
        <is>
          <t>A 48219-2022</t>
        </is>
      </c>
      <c r="B567" s="1" t="n">
        <v>44858</v>
      </c>
      <c r="C567" s="1" t="n">
        <v>45793</v>
      </c>
      <c r="D567" t="inlineStr">
        <is>
          <t>VÄSTMANLANDS LÄN</t>
        </is>
      </c>
      <c r="E567" t="inlineStr">
        <is>
          <t>SALA</t>
        </is>
      </c>
      <c r="G567" t="n">
        <v>3.6</v>
      </c>
      <c r="H567" t="n">
        <v>0</v>
      </c>
      <c r="I567" t="n">
        <v>0</v>
      </c>
      <c r="J567" t="n">
        <v>0</v>
      </c>
      <c r="K567" t="n">
        <v>0</v>
      </c>
      <c r="L567" t="n">
        <v>0</v>
      </c>
      <c r="M567" t="n">
        <v>0</v>
      </c>
      <c r="N567" t="n">
        <v>0</v>
      </c>
      <c r="O567" t="n">
        <v>0</v>
      </c>
      <c r="P567" t="n">
        <v>0</v>
      </c>
      <c r="Q567" t="n">
        <v>0</v>
      </c>
      <c r="R567" s="2" t="inlineStr"/>
    </row>
    <row r="568" ht="15" customHeight="1">
      <c r="A568" t="inlineStr">
        <is>
          <t>A 49086-2022</t>
        </is>
      </c>
      <c r="B568" s="1" t="n">
        <v>44860</v>
      </c>
      <c r="C568" s="1" t="n">
        <v>45793</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45793</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50461-2022</t>
        </is>
      </c>
      <c r="B570" s="1" t="n">
        <v>44861</v>
      </c>
      <c r="C570" s="1" t="n">
        <v>45793</v>
      </c>
      <c r="D570" t="inlineStr">
        <is>
          <t>VÄSTMANLANDS LÄN</t>
        </is>
      </c>
      <c r="E570" t="inlineStr">
        <is>
          <t>SALA</t>
        </is>
      </c>
      <c r="G570" t="n">
        <v>2.2</v>
      </c>
      <c r="H570" t="n">
        <v>0</v>
      </c>
      <c r="I570" t="n">
        <v>0</v>
      </c>
      <c r="J570" t="n">
        <v>0</v>
      </c>
      <c r="K570" t="n">
        <v>0</v>
      </c>
      <c r="L570" t="n">
        <v>0</v>
      </c>
      <c r="M570" t="n">
        <v>0</v>
      </c>
      <c r="N570" t="n">
        <v>0</v>
      </c>
      <c r="O570" t="n">
        <v>0</v>
      </c>
      <c r="P570" t="n">
        <v>0</v>
      </c>
      <c r="Q570" t="n">
        <v>0</v>
      </c>
      <c r="R570" s="2" t="inlineStr"/>
    </row>
    <row r="571" ht="15" customHeight="1">
      <c r="A571" t="inlineStr">
        <is>
          <t>A 50479-2022</t>
        </is>
      </c>
      <c r="B571" s="1" t="n">
        <v>44861</v>
      </c>
      <c r="C571" s="1" t="n">
        <v>45793</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51279-2022</t>
        </is>
      </c>
      <c r="B572" s="1" t="n">
        <v>44866</v>
      </c>
      <c r="C572" s="1" t="n">
        <v>45793</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51377-2022</t>
        </is>
      </c>
      <c r="B573" s="1" t="n">
        <v>44866</v>
      </c>
      <c r="C573" s="1" t="n">
        <v>45793</v>
      </c>
      <c r="D573" t="inlineStr">
        <is>
          <t>VÄSTMANLANDS LÄN</t>
        </is>
      </c>
      <c r="E573" t="inlineStr">
        <is>
          <t>SALA</t>
        </is>
      </c>
      <c r="G573" t="n">
        <v>6.3</v>
      </c>
      <c r="H573" t="n">
        <v>0</v>
      </c>
      <c r="I573" t="n">
        <v>0</v>
      </c>
      <c r="J573" t="n">
        <v>0</v>
      </c>
      <c r="K573" t="n">
        <v>0</v>
      </c>
      <c r="L573" t="n">
        <v>0</v>
      </c>
      <c r="M573" t="n">
        <v>0</v>
      </c>
      <c r="N573" t="n">
        <v>0</v>
      </c>
      <c r="O573" t="n">
        <v>0</v>
      </c>
      <c r="P573" t="n">
        <v>0</v>
      </c>
      <c r="Q573" t="n">
        <v>0</v>
      </c>
      <c r="R573" s="2" t="inlineStr"/>
    </row>
    <row r="574" ht="15" customHeight="1">
      <c r="A574" t="inlineStr">
        <is>
          <t>A 50795-2022</t>
        </is>
      </c>
      <c r="B574" s="1" t="n">
        <v>44867</v>
      </c>
      <c r="C574" s="1" t="n">
        <v>45793</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51600-2022</t>
        </is>
      </c>
      <c r="B575" s="1" t="n">
        <v>44871</v>
      </c>
      <c r="C575" s="1" t="n">
        <v>45793</v>
      </c>
      <c r="D575" t="inlineStr">
        <is>
          <t>VÄSTMANLANDS LÄN</t>
        </is>
      </c>
      <c r="E575" t="inlineStr">
        <is>
          <t>SALA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51596-2022</t>
        </is>
      </c>
      <c r="B576" s="1" t="n">
        <v>44871</v>
      </c>
      <c r="C576" s="1" t="n">
        <v>45793</v>
      </c>
      <c r="D576" t="inlineStr">
        <is>
          <t>VÄSTMANLANDS LÄN</t>
        </is>
      </c>
      <c r="E576" t="inlineStr">
        <is>
          <t>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52504-2022</t>
        </is>
      </c>
      <c r="B577" s="1" t="n">
        <v>44874</v>
      </c>
      <c r="C577" s="1" t="n">
        <v>45793</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52498-2022</t>
        </is>
      </c>
      <c r="B578" s="1" t="n">
        <v>44874</v>
      </c>
      <c r="C578" s="1" t="n">
        <v>45793</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52630-2022</t>
        </is>
      </c>
      <c r="B579" s="1" t="n">
        <v>44874</v>
      </c>
      <c r="C579" s="1" t="n">
        <v>45793</v>
      </c>
      <c r="D579" t="inlineStr">
        <is>
          <t>VÄSTMANLANDS LÄN</t>
        </is>
      </c>
      <c r="E579" t="inlineStr">
        <is>
          <t>SALA</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53425-2022</t>
        </is>
      </c>
      <c r="B580" s="1" t="n">
        <v>44879</v>
      </c>
      <c r="C580" s="1" t="n">
        <v>45793</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53432-2022</t>
        </is>
      </c>
      <c r="B581" s="1" t="n">
        <v>44879</v>
      </c>
      <c r="C581" s="1" t="n">
        <v>45793</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45793</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53630-2022</t>
        </is>
      </c>
      <c r="B583" s="1" t="n">
        <v>44879</v>
      </c>
      <c r="C583" s="1" t="n">
        <v>45793</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53864-2022</t>
        </is>
      </c>
      <c r="B584" s="1" t="n">
        <v>44880</v>
      </c>
      <c r="C584" s="1" t="n">
        <v>45793</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v>
      </c>
      <c r="C585" s="1" t="n">
        <v>45793</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53838-2022</t>
        </is>
      </c>
      <c r="B586" s="1" t="n">
        <v>44880</v>
      </c>
      <c r="C586" s="1" t="n">
        <v>45793</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53997-2022</t>
        </is>
      </c>
      <c r="B587" s="1" t="n">
        <v>44881</v>
      </c>
      <c r="C587" s="1" t="n">
        <v>45793</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55733-2022</t>
        </is>
      </c>
      <c r="B588" s="1" t="n">
        <v>44888</v>
      </c>
      <c r="C588" s="1" t="n">
        <v>45793</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56089-2022</t>
        </is>
      </c>
      <c r="B589" s="1" t="n">
        <v>44889</v>
      </c>
      <c r="C589" s="1" t="n">
        <v>45793</v>
      </c>
      <c r="D589" t="inlineStr">
        <is>
          <t>VÄSTMANLANDS LÄN</t>
        </is>
      </c>
      <c r="E589" t="inlineStr">
        <is>
          <t>SALA</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56088-2022</t>
        </is>
      </c>
      <c r="B590" s="1" t="n">
        <v>44889</v>
      </c>
      <c r="C590" s="1" t="n">
        <v>45793</v>
      </c>
      <c r="D590" t="inlineStr">
        <is>
          <t>VÄSTMANLANDS LÄN</t>
        </is>
      </c>
      <c r="E590" t="inlineStr">
        <is>
          <t>SALA</t>
        </is>
      </c>
      <c r="F590" t="inlineStr">
        <is>
          <t>Sveaskog</t>
        </is>
      </c>
      <c r="G590" t="n">
        <v>4.5</v>
      </c>
      <c r="H590" t="n">
        <v>0</v>
      </c>
      <c r="I590" t="n">
        <v>0</v>
      </c>
      <c r="J590" t="n">
        <v>0</v>
      </c>
      <c r="K590" t="n">
        <v>0</v>
      </c>
      <c r="L590" t="n">
        <v>0</v>
      </c>
      <c r="M590" t="n">
        <v>0</v>
      </c>
      <c r="N590" t="n">
        <v>0</v>
      </c>
      <c r="O590" t="n">
        <v>0</v>
      </c>
      <c r="P590" t="n">
        <v>0</v>
      </c>
      <c r="Q590" t="n">
        <v>0</v>
      </c>
      <c r="R590" s="2" t="inlineStr"/>
    </row>
    <row r="591" ht="15" customHeight="1">
      <c r="A591" t="inlineStr">
        <is>
          <t>A 56234-2022</t>
        </is>
      </c>
      <c r="B591" s="1" t="n">
        <v>44890</v>
      </c>
      <c r="C591" s="1" t="n">
        <v>45793</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56242-2022</t>
        </is>
      </c>
      <c r="B592" s="1" t="n">
        <v>44890</v>
      </c>
      <c r="C592" s="1" t="n">
        <v>45793</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56535-2022</t>
        </is>
      </c>
      <c r="B593" s="1" t="n">
        <v>44893</v>
      </c>
      <c r="C593" s="1" t="n">
        <v>45793</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56706-2022</t>
        </is>
      </c>
      <c r="B594" s="1" t="n">
        <v>44893</v>
      </c>
      <c r="C594" s="1" t="n">
        <v>45793</v>
      </c>
      <c r="D594" t="inlineStr">
        <is>
          <t>VÄSTMANLANDS LÄN</t>
        </is>
      </c>
      <c r="E594" t="inlineStr">
        <is>
          <t>SALA</t>
        </is>
      </c>
      <c r="G594" t="n">
        <v>4.5</v>
      </c>
      <c r="H594" t="n">
        <v>0</v>
      </c>
      <c r="I594" t="n">
        <v>0</v>
      </c>
      <c r="J594" t="n">
        <v>0</v>
      </c>
      <c r="K594" t="n">
        <v>0</v>
      </c>
      <c r="L594" t="n">
        <v>0</v>
      </c>
      <c r="M594" t="n">
        <v>0</v>
      </c>
      <c r="N594" t="n">
        <v>0</v>
      </c>
      <c r="O594" t="n">
        <v>0</v>
      </c>
      <c r="P594" t="n">
        <v>0</v>
      </c>
      <c r="Q594" t="n">
        <v>0</v>
      </c>
      <c r="R594" s="2" t="inlineStr"/>
    </row>
    <row r="595" ht="15" customHeight="1">
      <c r="A595" t="inlineStr">
        <is>
          <t>A 56547-2022</t>
        </is>
      </c>
      <c r="B595" s="1" t="n">
        <v>44893</v>
      </c>
      <c r="C595" s="1" t="n">
        <v>45793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56707-2022</t>
        </is>
      </c>
      <c r="B596" s="1" t="n">
        <v>44893</v>
      </c>
      <c r="C596" s="1" t="n">
        <v>45793</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56977-2022</t>
        </is>
      </c>
      <c r="B597" s="1" t="n">
        <v>44894</v>
      </c>
      <c r="C597" s="1" t="n">
        <v>45793</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57371-2022</t>
        </is>
      </c>
      <c r="B598" s="1" t="n">
        <v>44896</v>
      </c>
      <c r="C598" s="1" t="n">
        <v>45793</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58076-2022</t>
        </is>
      </c>
      <c r="B599" s="1" t="n">
        <v>44900</v>
      </c>
      <c r="C599" s="1" t="n">
        <v>45793</v>
      </c>
      <c r="D599" t="inlineStr">
        <is>
          <t>VÄSTMANLANDS LÄN</t>
        </is>
      </c>
      <c r="E599" t="inlineStr">
        <is>
          <t>SALA</t>
        </is>
      </c>
      <c r="G599" t="n">
        <v>6.4</v>
      </c>
      <c r="H599" t="n">
        <v>0</v>
      </c>
      <c r="I599" t="n">
        <v>0</v>
      </c>
      <c r="J599" t="n">
        <v>0</v>
      </c>
      <c r="K599" t="n">
        <v>0</v>
      </c>
      <c r="L599" t="n">
        <v>0</v>
      </c>
      <c r="M599" t="n">
        <v>0</v>
      </c>
      <c r="N599" t="n">
        <v>0</v>
      </c>
      <c r="O599" t="n">
        <v>0</v>
      </c>
      <c r="P599" t="n">
        <v>0</v>
      </c>
      <c r="Q599" t="n">
        <v>0</v>
      </c>
      <c r="R599" s="2" t="inlineStr"/>
    </row>
    <row r="600" ht="15" customHeight="1">
      <c r="A600" t="inlineStr">
        <is>
          <t>A 58496-2022</t>
        </is>
      </c>
      <c r="B600" s="1" t="n">
        <v>44902</v>
      </c>
      <c r="C600" s="1" t="n">
        <v>45793</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58502-2022</t>
        </is>
      </c>
      <c r="B601" s="1" t="n">
        <v>44902</v>
      </c>
      <c r="C601" s="1" t="n">
        <v>45793</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59019-2022</t>
        </is>
      </c>
      <c r="B602" s="1" t="n">
        <v>44903</v>
      </c>
      <c r="C602" s="1" t="n">
        <v>45793</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59175-2022</t>
        </is>
      </c>
      <c r="B603" s="1" t="n">
        <v>44904</v>
      </c>
      <c r="C603" s="1" t="n">
        <v>45793</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v>
      </c>
      <c r="C604" s="1" t="n">
        <v>45793</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60156-2022</t>
        </is>
      </c>
      <c r="B605" s="1" t="n">
        <v>44909</v>
      </c>
      <c r="C605" s="1" t="n">
        <v>45793</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60379-2022</t>
        </is>
      </c>
      <c r="B606" s="1" t="n">
        <v>44910</v>
      </c>
      <c r="C606" s="1" t="n">
        <v>45793</v>
      </c>
      <c r="D606" t="inlineStr">
        <is>
          <t>VÄSTMANLANDS LÄN</t>
        </is>
      </c>
      <c r="E606" t="inlineStr">
        <is>
          <t>SALA</t>
        </is>
      </c>
      <c r="F606" t="inlineStr">
        <is>
          <t>Kyrkan</t>
        </is>
      </c>
      <c r="G606" t="n">
        <v>2.5</v>
      </c>
      <c r="H606" t="n">
        <v>0</v>
      </c>
      <c r="I606" t="n">
        <v>0</v>
      </c>
      <c r="J606" t="n">
        <v>0</v>
      </c>
      <c r="K606" t="n">
        <v>0</v>
      </c>
      <c r="L606" t="n">
        <v>0</v>
      </c>
      <c r="M606" t="n">
        <v>0</v>
      </c>
      <c r="N606" t="n">
        <v>0</v>
      </c>
      <c r="O606" t="n">
        <v>0</v>
      </c>
      <c r="P606" t="n">
        <v>0</v>
      </c>
      <c r="Q606" t="n">
        <v>0</v>
      </c>
      <c r="R606" s="2" t="inlineStr"/>
    </row>
    <row r="607" ht="15" customHeight="1">
      <c r="A607" t="inlineStr">
        <is>
          <t>A 60703-2022</t>
        </is>
      </c>
      <c r="B607" s="1" t="n">
        <v>44912</v>
      </c>
      <c r="C607" s="1" t="n">
        <v>45793</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60974-2022</t>
        </is>
      </c>
      <c r="B608" s="1" t="n">
        <v>44914</v>
      </c>
      <c r="C608" s="1" t="n">
        <v>45793</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62635-2022</t>
        </is>
      </c>
      <c r="B609" s="1" t="n">
        <v>44917</v>
      </c>
      <c r="C609" s="1" t="n">
        <v>45793</v>
      </c>
      <c r="D609" t="inlineStr">
        <is>
          <t>VÄSTMANLANDS LÄN</t>
        </is>
      </c>
      <c r="E609" t="inlineStr">
        <is>
          <t>SALA</t>
        </is>
      </c>
      <c r="G609" t="n">
        <v>0.4</v>
      </c>
      <c r="H609" t="n">
        <v>0</v>
      </c>
      <c r="I609" t="n">
        <v>0</v>
      </c>
      <c r="J609" t="n">
        <v>0</v>
      </c>
      <c r="K609" t="n">
        <v>0</v>
      </c>
      <c r="L609" t="n">
        <v>0</v>
      </c>
      <c r="M609" t="n">
        <v>0</v>
      </c>
      <c r="N609" t="n">
        <v>0</v>
      </c>
      <c r="O609" t="n">
        <v>0</v>
      </c>
      <c r="P609" t="n">
        <v>0</v>
      </c>
      <c r="Q609" t="n">
        <v>0</v>
      </c>
      <c r="R609" s="2" t="inlineStr"/>
    </row>
    <row r="610" ht="15" customHeight="1">
      <c r="A610" t="inlineStr">
        <is>
          <t>A 62654-2022</t>
        </is>
      </c>
      <c r="B610" s="1" t="n">
        <v>44917</v>
      </c>
      <c r="C610" s="1" t="n">
        <v>45793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62651-2022</t>
        </is>
      </c>
      <c r="B611" s="1" t="n">
        <v>44917</v>
      </c>
      <c r="C611" s="1" t="n">
        <v>45793</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62648-2022</t>
        </is>
      </c>
      <c r="B612" s="1" t="n">
        <v>44917</v>
      </c>
      <c r="C612" s="1" t="n">
        <v>45793</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61985-2022</t>
        </is>
      </c>
      <c r="B613" s="1" t="n">
        <v>44918</v>
      </c>
      <c r="C613" s="1" t="n">
        <v>45793</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62292-2022</t>
        </is>
      </c>
      <c r="B614" s="1" t="n">
        <v>44923</v>
      </c>
      <c r="C614" s="1" t="n">
        <v>45793</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62300-2022</t>
        </is>
      </c>
      <c r="B615" s="1" t="n">
        <v>44923</v>
      </c>
      <c r="C615" s="1" t="n">
        <v>45793</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1196-2023</t>
        </is>
      </c>
      <c r="B616" s="1" t="n">
        <v>44935</v>
      </c>
      <c r="C616" s="1" t="n">
        <v>45793</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1638-2023</t>
        </is>
      </c>
      <c r="B617" s="1" t="n">
        <v>44937</v>
      </c>
      <c r="C617" s="1" t="n">
        <v>45793</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1793-2023</t>
        </is>
      </c>
      <c r="B618" s="1" t="n">
        <v>44937</v>
      </c>
      <c r="C618" s="1" t="n">
        <v>45793</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1934-2023</t>
        </is>
      </c>
      <c r="B619" s="1" t="n">
        <v>44939</v>
      </c>
      <c r="C619" s="1" t="n">
        <v>45793</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1967-2023</t>
        </is>
      </c>
      <c r="B620" s="1" t="n">
        <v>44939</v>
      </c>
      <c r="C620" s="1" t="n">
        <v>45793</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2521-2023</t>
        </is>
      </c>
      <c r="B621" s="1" t="n">
        <v>44943</v>
      </c>
      <c r="C621" s="1" t="n">
        <v>45793</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2900-2023</t>
        </is>
      </c>
      <c r="B622" s="1" t="n">
        <v>44943</v>
      </c>
      <c r="C622" s="1" t="n">
        <v>45793</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3733-2023</t>
        </is>
      </c>
      <c r="B623" s="1" t="n">
        <v>44951</v>
      </c>
      <c r="C623" s="1" t="n">
        <v>45793</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3810-2023</t>
        </is>
      </c>
      <c r="B624" s="1" t="n">
        <v>44951</v>
      </c>
      <c r="C624" s="1" t="n">
        <v>45793</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3866-2023</t>
        </is>
      </c>
      <c r="B625" s="1" t="n">
        <v>44951</v>
      </c>
      <c r="C625" s="1" t="n">
        <v>45793</v>
      </c>
      <c r="D625" t="inlineStr">
        <is>
          <t>VÄSTMANLANDS LÄN</t>
        </is>
      </c>
      <c r="E625" t="inlineStr">
        <is>
          <t>SALA</t>
        </is>
      </c>
      <c r="G625" t="n">
        <v>1.7</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v>
      </c>
      <c r="C626" s="1" t="n">
        <v>45793</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4637-2023</t>
        </is>
      </c>
      <c r="B627" s="1" t="n">
        <v>44957</v>
      </c>
      <c r="C627" s="1" t="n">
        <v>45793</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4791-2023</t>
        </is>
      </c>
      <c r="B628" s="1" t="n">
        <v>44957</v>
      </c>
      <c r="C628" s="1" t="n">
        <v>45793</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4797-2023</t>
        </is>
      </c>
      <c r="B629" s="1" t="n">
        <v>44957</v>
      </c>
      <c r="C629" s="1" t="n">
        <v>45793</v>
      </c>
      <c r="D629" t="inlineStr">
        <is>
          <t>VÄSTMANLANDS LÄN</t>
        </is>
      </c>
      <c r="E629" t="inlineStr">
        <is>
          <t>SALA</t>
        </is>
      </c>
      <c r="G629" t="n">
        <v>5.7</v>
      </c>
      <c r="H629" t="n">
        <v>0</v>
      </c>
      <c r="I629" t="n">
        <v>0</v>
      </c>
      <c r="J629" t="n">
        <v>0</v>
      </c>
      <c r="K629" t="n">
        <v>0</v>
      </c>
      <c r="L629" t="n">
        <v>0</v>
      </c>
      <c r="M629" t="n">
        <v>0</v>
      </c>
      <c r="N629" t="n">
        <v>0</v>
      </c>
      <c r="O629" t="n">
        <v>0</v>
      </c>
      <c r="P629" t="n">
        <v>0</v>
      </c>
      <c r="Q629" t="n">
        <v>0</v>
      </c>
      <c r="R629" s="2" t="inlineStr"/>
    </row>
    <row r="630" ht="15" customHeight="1">
      <c r="A630" t="inlineStr">
        <is>
          <t>A 4852-2023</t>
        </is>
      </c>
      <c r="B630" s="1" t="n">
        <v>44957</v>
      </c>
      <c r="C630" s="1" t="n">
        <v>45793</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5782-2023</t>
        </is>
      </c>
      <c r="B631" s="1" t="n">
        <v>44963</v>
      </c>
      <c r="C631" s="1" t="n">
        <v>45793</v>
      </c>
      <c r="D631" t="inlineStr">
        <is>
          <t>VÄSTMANLANDS LÄN</t>
        </is>
      </c>
      <c r="E631" t="inlineStr">
        <is>
          <t>SALA</t>
        </is>
      </c>
      <c r="G631" t="n">
        <v>4.2</v>
      </c>
      <c r="H631" t="n">
        <v>0</v>
      </c>
      <c r="I631" t="n">
        <v>0</v>
      </c>
      <c r="J631" t="n">
        <v>0</v>
      </c>
      <c r="K631" t="n">
        <v>0</v>
      </c>
      <c r="L631" t="n">
        <v>0</v>
      </c>
      <c r="M631" t="n">
        <v>0</v>
      </c>
      <c r="N631" t="n">
        <v>0</v>
      </c>
      <c r="O631" t="n">
        <v>0</v>
      </c>
      <c r="P631" t="n">
        <v>0</v>
      </c>
      <c r="Q631" t="n">
        <v>0</v>
      </c>
      <c r="R631" s="2" t="inlineStr"/>
    </row>
    <row r="632" ht="15" customHeight="1">
      <c r="A632" t="inlineStr">
        <is>
          <t>A 6111-2023</t>
        </is>
      </c>
      <c r="B632" s="1" t="n">
        <v>44964</v>
      </c>
      <c r="C632" s="1" t="n">
        <v>45793</v>
      </c>
      <c r="D632" t="inlineStr">
        <is>
          <t>VÄSTMANLANDS LÄN</t>
        </is>
      </c>
      <c r="E632" t="inlineStr">
        <is>
          <t>SALA</t>
        </is>
      </c>
      <c r="G632" t="n">
        <v>3.7</v>
      </c>
      <c r="H632" t="n">
        <v>0</v>
      </c>
      <c r="I632" t="n">
        <v>0</v>
      </c>
      <c r="J632" t="n">
        <v>0</v>
      </c>
      <c r="K632" t="n">
        <v>0</v>
      </c>
      <c r="L632" t="n">
        <v>0</v>
      </c>
      <c r="M632" t="n">
        <v>0</v>
      </c>
      <c r="N632" t="n">
        <v>0</v>
      </c>
      <c r="O632" t="n">
        <v>0</v>
      </c>
      <c r="P632" t="n">
        <v>0</v>
      </c>
      <c r="Q632" t="n">
        <v>0</v>
      </c>
      <c r="R632" s="2" t="inlineStr"/>
    </row>
    <row r="633" ht="15" customHeight="1">
      <c r="A633" t="inlineStr">
        <is>
          <t>A 6135-2023</t>
        </is>
      </c>
      <c r="B633" s="1" t="n">
        <v>44964</v>
      </c>
      <c r="C633" s="1" t="n">
        <v>45793</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6167-2023</t>
        </is>
      </c>
      <c r="B634" s="1" t="n">
        <v>44964</v>
      </c>
      <c r="C634" s="1" t="n">
        <v>45793</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6130-2023</t>
        </is>
      </c>
      <c r="B635" s="1" t="n">
        <v>44964</v>
      </c>
      <c r="C635" s="1" t="n">
        <v>45793</v>
      </c>
      <c r="D635" t="inlineStr">
        <is>
          <t>VÄSTMANLANDS LÄN</t>
        </is>
      </c>
      <c r="E635" t="inlineStr">
        <is>
          <t>SALA</t>
        </is>
      </c>
      <c r="G635" t="n">
        <v>8</v>
      </c>
      <c r="H635" t="n">
        <v>0</v>
      </c>
      <c r="I635" t="n">
        <v>0</v>
      </c>
      <c r="J635" t="n">
        <v>0</v>
      </c>
      <c r="K635" t="n">
        <v>0</v>
      </c>
      <c r="L635" t="n">
        <v>0</v>
      </c>
      <c r="M635" t="n">
        <v>0</v>
      </c>
      <c r="N635" t="n">
        <v>0</v>
      </c>
      <c r="O635" t="n">
        <v>0</v>
      </c>
      <c r="P635" t="n">
        <v>0</v>
      </c>
      <c r="Q635" t="n">
        <v>0</v>
      </c>
      <c r="R635" s="2" t="inlineStr"/>
    </row>
    <row r="636" ht="15" customHeight="1">
      <c r="A636" t="inlineStr">
        <is>
          <t>A 6116-2023</t>
        </is>
      </c>
      <c r="B636" s="1" t="n">
        <v>44964</v>
      </c>
      <c r="C636" s="1" t="n">
        <v>45793</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6139-2023</t>
        </is>
      </c>
      <c r="B637" s="1" t="n">
        <v>44964</v>
      </c>
      <c r="C637" s="1" t="n">
        <v>45793</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6869-2023</t>
        </is>
      </c>
      <c r="B638" s="1" t="n">
        <v>44964</v>
      </c>
      <c r="C638" s="1" t="n">
        <v>45793</v>
      </c>
      <c r="D638" t="inlineStr">
        <is>
          <t>VÄSTMANLANDS LÄN</t>
        </is>
      </c>
      <c r="E638" t="inlineStr">
        <is>
          <t>SALA</t>
        </is>
      </c>
      <c r="G638" t="n">
        <v>11.6</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45793</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6851-2023</t>
        </is>
      </c>
      <c r="B640" s="1" t="n">
        <v>44967</v>
      </c>
      <c r="C640" s="1" t="n">
        <v>45793</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7176-2023</t>
        </is>
      </c>
      <c r="B641" s="1" t="n">
        <v>44970</v>
      </c>
      <c r="C641" s="1" t="n">
        <v>45793</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7193-2023</t>
        </is>
      </c>
      <c r="B642" s="1" t="n">
        <v>44970</v>
      </c>
      <c r="C642" s="1" t="n">
        <v>45793</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7954-2023</t>
        </is>
      </c>
      <c r="B643" s="1" t="n">
        <v>44970</v>
      </c>
      <c r="C643" s="1" t="n">
        <v>45793</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45793</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7351-2023</t>
        </is>
      </c>
      <c r="B645" s="1" t="n">
        <v>44971</v>
      </c>
      <c r="C645" s="1" t="n">
        <v>45793</v>
      </c>
      <c r="D645" t="inlineStr">
        <is>
          <t>VÄSTMANLANDS LÄN</t>
        </is>
      </c>
      <c r="E645" t="inlineStr">
        <is>
          <t>SALA</t>
        </is>
      </c>
      <c r="G645" t="n">
        <v>2.3</v>
      </c>
      <c r="H645" t="n">
        <v>0</v>
      </c>
      <c r="I645" t="n">
        <v>0</v>
      </c>
      <c r="J645" t="n">
        <v>0</v>
      </c>
      <c r="K645" t="n">
        <v>0</v>
      </c>
      <c r="L645" t="n">
        <v>0</v>
      </c>
      <c r="M645" t="n">
        <v>0</v>
      </c>
      <c r="N645" t="n">
        <v>0</v>
      </c>
      <c r="O645" t="n">
        <v>0</v>
      </c>
      <c r="P645" t="n">
        <v>0</v>
      </c>
      <c r="Q645" t="n">
        <v>0</v>
      </c>
      <c r="R645" s="2" t="inlineStr"/>
    </row>
    <row r="646" ht="15" customHeight="1">
      <c r="A646" t="inlineStr">
        <is>
          <t>A 7502-2023</t>
        </is>
      </c>
      <c r="B646" s="1" t="n">
        <v>44971</v>
      </c>
      <c r="C646" s="1" t="n">
        <v>45793</v>
      </c>
      <c r="D646" t="inlineStr">
        <is>
          <t>VÄSTMANLANDS LÄN</t>
        </is>
      </c>
      <c r="E646" t="inlineStr">
        <is>
          <t>SALA</t>
        </is>
      </c>
      <c r="G646" t="n">
        <v>1.8</v>
      </c>
      <c r="H646" t="n">
        <v>0</v>
      </c>
      <c r="I646" t="n">
        <v>0</v>
      </c>
      <c r="J646" t="n">
        <v>0</v>
      </c>
      <c r="K646" t="n">
        <v>0</v>
      </c>
      <c r="L646" t="n">
        <v>0</v>
      </c>
      <c r="M646" t="n">
        <v>0</v>
      </c>
      <c r="N646" t="n">
        <v>0</v>
      </c>
      <c r="O646" t="n">
        <v>0</v>
      </c>
      <c r="P646" t="n">
        <v>0</v>
      </c>
      <c r="Q646" t="n">
        <v>0</v>
      </c>
      <c r="R646" s="2" t="inlineStr"/>
    </row>
    <row r="647" ht="15" customHeight="1">
      <c r="A647" t="inlineStr">
        <is>
          <t>A 7664-2023</t>
        </is>
      </c>
      <c r="B647" s="1" t="n">
        <v>44972</v>
      </c>
      <c r="C647" s="1" t="n">
        <v>45793</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7635-2023</t>
        </is>
      </c>
      <c r="B648" s="1" t="n">
        <v>44972</v>
      </c>
      <c r="C648" s="1" t="n">
        <v>45793</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7772-2023</t>
        </is>
      </c>
      <c r="B649" s="1" t="n">
        <v>44973</v>
      </c>
      <c r="C649" s="1" t="n">
        <v>45793</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7813-2023</t>
        </is>
      </c>
      <c r="B650" s="1" t="n">
        <v>44973</v>
      </c>
      <c r="C650" s="1" t="n">
        <v>45793</v>
      </c>
      <c r="D650" t="inlineStr">
        <is>
          <t>VÄSTMANLANDS LÄN</t>
        </is>
      </c>
      <c r="E650" t="inlineStr">
        <is>
          <t>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8047-2023</t>
        </is>
      </c>
      <c r="B651" s="1" t="n">
        <v>44974</v>
      </c>
      <c r="C651" s="1" t="n">
        <v>45793</v>
      </c>
      <c r="D651" t="inlineStr">
        <is>
          <t>VÄSTMANLANDS LÄN</t>
        </is>
      </c>
      <c r="E651" t="inlineStr">
        <is>
          <t>SALA</t>
        </is>
      </c>
      <c r="G651" t="n">
        <v>17.4</v>
      </c>
      <c r="H651" t="n">
        <v>0</v>
      </c>
      <c r="I651" t="n">
        <v>0</v>
      </c>
      <c r="J651" t="n">
        <v>0</v>
      </c>
      <c r="K651" t="n">
        <v>0</v>
      </c>
      <c r="L651" t="n">
        <v>0</v>
      </c>
      <c r="M651" t="n">
        <v>0</v>
      </c>
      <c r="N651" t="n">
        <v>0</v>
      </c>
      <c r="O651" t="n">
        <v>0</v>
      </c>
      <c r="P651" t="n">
        <v>0</v>
      </c>
      <c r="Q651" t="n">
        <v>0</v>
      </c>
      <c r="R651" s="2" t="inlineStr"/>
    </row>
    <row r="652" ht="15" customHeight="1">
      <c r="A652" t="inlineStr">
        <is>
          <t>A 8766-2023</t>
        </is>
      </c>
      <c r="B652" s="1" t="n">
        <v>44978</v>
      </c>
      <c r="C652" s="1" t="n">
        <v>45793</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9051-2023</t>
        </is>
      </c>
      <c r="B653" s="1" t="n">
        <v>44979</v>
      </c>
      <c r="C653" s="1" t="n">
        <v>45793</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11190-2023</t>
        </is>
      </c>
      <c r="B654" s="1" t="n">
        <v>44992</v>
      </c>
      <c r="C654" s="1" t="n">
        <v>45793</v>
      </c>
      <c r="D654" t="inlineStr">
        <is>
          <t>VÄSTMANLANDS LÄN</t>
        </is>
      </c>
      <c r="E654" t="inlineStr">
        <is>
          <t>SALA</t>
        </is>
      </c>
      <c r="G654" t="n">
        <v>1</v>
      </c>
      <c r="H654" t="n">
        <v>0</v>
      </c>
      <c r="I654" t="n">
        <v>0</v>
      </c>
      <c r="J654" t="n">
        <v>0</v>
      </c>
      <c r="K654" t="n">
        <v>0</v>
      </c>
      <c r="L654" t="n">
        <v>0</v>
      </c>
      <c r="M654" t="n">
        <v>0</v>
      </c>
      <c r="N654" t="n">
        <v>0</v>
      </c>
      <c r="O654" t="n">
        <v>0</v>
      </c>
      <c r="P654" t="n">
        <v>0</v>
      </c>
      <c r="Q654" t="n">
        <v>0</v>
      </c>
      <c r="R654" s="2" t="inlineStr"/>
    </row>
    <row r="655" ht="15" customHeight="1">
      <c r="A655" t="inlineStr">
        <is>
          <t>A 11166-2023</t>
        </is>
      </c>
      <c r="B655" s="1" t="n">
        <v>44992</v>
      </c>
      <c r="C655" s="1" t="n">
        <v>45793</v>
      </c>
      <c r="D655" t="inlineStr">
        <is>
          <t>VÄSTMANLANDS LÄN</t>
        </is>
      </c>
      <c r="E655" t="inlineStr">
        <is>
          <t>SALA</t>
        </is>
      </c>
      <c r="G655" t="n">
        <v>3.9</v>
      </c>
      <c r="H655" t="n">
        <v>0</v>
      </c>
      <c r="I655" t="n">
        <v>0</v>
      </c>
      <c r="J655" t="n">
        <v>0</v>
      </c>
      <c r="K655" t="n">
        <v>0</v>
      </c>
      <c r="L655" t="n">
        <v>0</v>
      </c>
      <c r="M655" t="n">
        <v>0</v>
      </c>
      <c r="N655" t="n">
        <v>0</v>
      </c>
      <c r="O655" t="n">
        <v>0</v>
      </c>
      <c r="P655" t="n">
        <v>0</v>
      </c>
      <c r="Q655" t="n">
        <v>0</v>
      </c>
      <c r="R655" s="2" t="inlineStr"/>
    </row>
    <row r="656" ht="15" customHeight="1">
      <c r="A656" t="inlineStr">
        <is>
          <t>A 11183-2023</t>
        </is>
      </c>
      <c r="B656" s="1" t="n">
        <v>44992</v>
      </c>
      <c r="C656" s="1" t="n">
        <v>45793</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11631-2023</t>
        </is>
      </c>
      <c r="B657" s="1" t="n">
        <v>44994</v>
      </c>
      <c r="C657" s="1" t="n">
        <v>45793</v>
      </c>
      <c r="D657" t="inlineStr">
        <is>
          <t>VÄSTMANLANDS LÄN</t>
        </is>
      </c>
      <c r="E657" t="inlineStr">
        <is>
          <t>SALA</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12231-2023</t>
        </is>
      </c>
      <c r="B658" s="1" t="n">
        <v>44995</v>
      </c>
      <c r="C658" s="1" t="n">
        <v>45793</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12246-2023</t>
        </is>
      </c>
      <c r="B659" s="1" t="n">
        <v>44995</v>
      </c>
      <c r="C659" s="1" t="n">
        <v>45793</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12272-2023</t>
        </is>
      </c>
      <c r="B660" s="1" t="n">
        <v>44995</v>
      </c>
      <c r="C660" s="1" t="n">
        <v>45793</v>
      </c>
      <c r="D660" t="inlineStr">
        <is>
          <t>VÄSTMANLANDS LÄN</t>
        </is>
      </c>
      <c r="E660" t="inlineStr">
        <is>
          <t>SALA</t>
        </is>
      </c>
      <c r="G660" t="n">
        <v>5.2</v>
      </c>
      <c r="H660" t="n">
        <v>0</v>
      </c>
      <c r="I660" t="n">
        <v>0</v>
      </c>
      <c r="J660" t="n">
        <v>0</v>
      </c>
      <c r="K660" t="n">
        <v>0</v>
      </c>
      <c r="L660" t="n">
        <v>0</v>
      </c>
      <c r="M660" t="n">
        <v>0</v>
      </c>
      <c r="N660" t="n">
        <v>0</v>
      </c>
      <c r="O660" t="n">
        <v>0</v>
      </c>
      <c r="P660" t="n">
        <v>0</v>
      </c>
      <c r="Q660" t="n">
        <v>0</v>
      </c>
      <c r="R660" s="2" t="inlineStr"/>
    </row>
    <row r="661" ht="15" customHeight="1">
      <c r="A661" t="inlineStr">
        <is>
          <t>A 12242-2023</t>
        </is>
      </c>
      <c r="B661" s="1" t="n">
        <v>44995</v>
      </c>
      <c r="C661" s="1" t="n">
        <v>45793</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12252-2023</t>
        </is>
      </c>
      <c r="B662" s="1" t="n">
        <v>44995</v>
      </c>
      <c r="C662" s="1" t="n">
        <v>45793</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12225-2023</t>
        </is>
      </c>
      <c r="B663" s="1" t="n">
        <v>44995</v>
      </c>
      <c r="C663" s="1" t="n">
        <v>45793</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12509-2023</t>
        </is>
      </c>
      <c r="B664" s="1" t="n">
        <v>45000</v>
      </c>
      <c r="C664" s="1" t="n">
        <v>45793</v>
      </c>
      <c r="D664" t="inlineStr">
        <is>
          <t>VÄSTMANLANDS LÄN</t>
        </is>
      </c>
      <c r="E664" t="inlineStr">
        <is>
          <t>SALA</t>
        </is>
      </c>
      <c r="G664" t="n">
        <v>13.9</v>
      </c>
      <c r="H664" t="n">
        <v>0</v>
      </c>
      <c r="I664" t="n">
        <v>0</v>
      </c>
      <c r="J664" t="n">
        <v>0</v>
      </c>
      <c r="K664" t="n">
        <v>0</v>
      </c>
      <c r="L664" t="n">
        <v>0</v>
      </c>
      <c r="M664" t="n">
        <v>0</v>
      </c>
      <c r="N664" t="n">
        <v>0</v>
      </c>
      <c r="O664" t="n">
        <v>0</v>
      </c>
      <c r="P664" t="n">
        <v>0</v>
      </c>
      <c r="Q664" t="n">
        <v>0</v>
      </c>
      <c r="R664" s="2" t="inlineStr"/>
    </row>
    <row r="665" ht="15" customHeight="1">
      <c r="A665" t="inlineStr">
        <is>
          <t>A 12510-2023</t>
        </is>
      </c>
      <c r="B665" s="1" t="n">
        <v>45000</v>
      </c>
      <c r="C665" s="1" t="n">
        <v>45793</v>
      </c>
      <c r="D665" t="inlineStr">
        <is>
          <t>VÄSTMANLANDS LÄN</t>
        </is>
      </c>
      <c r="E665" t="inlineStr">
        <is>
          <t>SALA</t>
        </is>
      </c>
      <c r="G665" t="n">
        <v>3.1</v>
      </c>
      <c r="H665" t="n">
        <v>0</v>
      </c>
      <c r="I665" t="n">
        <v>0</v>
      </c>
      <c r="J665" t="n">
        <v>0</v>
      </c>
      <c r="K665" t="n">
        <v>0</v>
      </c>
      <c r="L665" t="n">
        <v>0</v>
      </c>
      <c r="M665" t="n">
        <v>0</v>
      </c>
      <c r="N665" t="n">
        <v>0</v>
      </c>
      <c r="O665" t="n">
        <v>0</v>
      </c>
      <c r="P665" t="n">
        <v>0</v>
      </c>
      <c r="Q665" t="n">
        <v>0</v>
      </c>
      <c r="R665" s="2" t="inlineStr"/>
    </row>
    <row r="666" ht="15" customHeight="1">
      <c r="A666" t="inlineStr">
        <is>
          <t>A 13146-2023</t>
        </is>
      </c>
      <c r="B666" s="1" t="n">
        <v>45002</v>
      </c>
      <c r="C666" s="1" t="n">
        <v>45793</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13022-2023</t>
        </is>
      </c>
      <c r="B667" s="1" t="n">
        <v>45002</v>
      </c>
      <c r="C667" s="1" t="n">
        <v>45793</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13151-2023</t>
        </is>
      </c>
      <c r="B668" s="1" t="n">
        <v>45002</v>
      </c>
      <c r="C668" s="1" t="n">
        <v>45793</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13128-2023</t>
        </is>
      </c>
      <c r="B669" s="1" t="n">
        <v>45002</v>
      </c>
      <c r="C669" s="1" t="n">
        <v>45793</v>
      </c>
      <c r="D669" t="inlineStr">
        <is>
          <t>VÄSTMANLANDS LÄN</t>
        </is>
      </c>
      <c r="E669" t="inlineStr">
        <is>
          <t>SALA</t>
        </is>
      </c>
      <c r="G669" t="n">
        <v>7.9</v>
      </c>
      <c r="H669" t="n">
        <v>0</v>
      </c>
      <c r="I669" t="n">
        <v>0</v>
      </c>
      <c r="J669" t="n">
        <v>0</v>
      </c>
      <c r="K669" t="n">
        <v>0</v>
      </c>
      <c r="L669" t="n">
        <v>0</v>
      </c>
      <c r="M669" t="n">
        <v>0</v>
      </c>
      <c r="N669" t="n">
        <v>0</v>
      </c>
      <c r="O669" t="n">
        <v>0</v>
      </c>
      <c r="P669" t="n">
        <v>0</v>
      </c>
      <c r="Q669" t="n">
        <v>0</v>
      </c>
      <c r="R669" s="2" t="inlineStr"/>
    </row>
    <row r="670" ht="15" customHeight="1">
      <c r="A670" t="inlineStr">
        <is>
          <t>A 13153-2023</t>
        </is>
      </c>
      <c r="B670" s="1" t="n">
        <v>45002</v>
      </c>
      <c r="C670" s="1" t="n">
        <v>45793</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13059-2023</t>
        </is>
      </c>
      <c r="B671" s="1" t="n">
        <v>45002</v>
      </c>
      <c r="C671" s="1" t="n">
        <v>45793</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13857-2023</t>
        </is>
      </c>
      <c r="B672" s="1" t="n">
        <v>45007</v>
      </c>
      <c r="C672" s="1" t="n">
        <v>45793</v>
      </c>
      <c r="D672" t="inlineStr">
        <is>
          <t>VÄSTMANLANDS LÄN</t>
        </is>
      </c>
      <c r="E672" t="inlineStr">
        <is>
          <t>SALA</t>
        </is>
      </c>
      <c r="G672" t="n">
        <v>5.7</v>
      </c>
      <c r="H672" t="n">
        <v>0</v>
      </c>
      <c r="I672" t="n">
        <v>0</v>
      </c>
      <c r="J672" t="n">
        <v>0</v>
      </c>
      <c r="K672" t="n">
        <v>0</v>
      </c>
      <c r="L672" t="n">
        <v>0</v>
      </c>
      <c r="M672" t="n">
        <v>0</v>
      </c>
      <c r="N672" t="n">
        <v>0</v>
      </c>
      <c r="O672" t="n">
        <v>0</v>
      </c>
      <c r="P672" t="n">
        <v>0</v>
      </c>
      <c r="Q672" t="n">
        <v>0</v>
      </c>
      <c r="R672" s="2" t="inlineStr"/>
    </row>
    <row r="673" ht="15" customHeight="1">
      <c r="A673" t="inlineStr">
        <is>
          <t>A 13833-2023</t>
        </is>
      </c>
      <c r="B673" s="1" t="n">
        <v>45007</v>
      </c>
      <c r="C673" s="1" t="n">
        <v>45793</v>
      </c>
      <c r="D673" t="inlineStr">
        <is>
          <t>VÄSTMANLANDS LÄN</t>
        </is>
      </c>
      <c r="E673" t="inlineStr">
        <is>
          <t>SALA</t>
        </is>
      </c>
      <c r="G673" t="n">
        <v>4.3</v>
      </c>
      <c r="H673" t="n">
        <v>0</v>
      </c>
      <c r="I673" t="n">
        <v>0</v>
      </c>
      <c r="J673" t="n">
        <v>0</v>
      </c>
      <c r="K673" t="n">
        <v>0</v>
      </c>
      <c r="L673" t="n">
        <v>0</v>
      </c>
      <c r="M673" t="n">
        <v>0</v>
      </c>
      <c r="N673" t="n">
        <v>0</v>
      </c>
      <c r="O673" t="n">
        <v>0</v>
      </c>
      <c r="P673" t="n">
        <v>0</v>
      </c>
      <c r="Q673" t="n">
        <v>0</v>
      </c>
      <c r="R673" s="2" t="inlineStr"/>
    </row>
    <row r="674" ht="15" customHeight="1">
      <c r="A674" t="inlineStr">
        <is>
          <t>A 13855-2023</t>
        </is>
      </c>
      <c r="B674" s="1" t="n">
        <v>45007</v>
      </c>
      <c r="C674" s="1" t="n">
        <v>45793</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13990-2023</t>
        </is>
      </c>
      <c r="B675" s="1" t="n">
        <v>45007</v>
      </c>
      <c r="C675" s="1" t="n">
        <v>45793</v>
      </c>
      <c r="D675" t="inlineStr">
        <is>
          <t>VÄSTMANLANDS LÄN</t>
        </is>
      </c>
      <c r="E675" t="inlineStr">
        <is>
          <t>SALA</t>
        </is>
      </c>
      <c r="G675" t="n">
        <v>2.6</v>
      </c>
      <c r="H675" t="n">
        <v>0</v>
      </c>
      <c r="I675" t="n">
        <v>0</v>
      </c>
      <c r="J675" t="n">
        <v>0</v>
      </c>
      <c r="K675" t="n">
        <v>0</v>
      </c>
      <c r="L675" t="n">
        <v>0</v>
      </c>
      <c r="M675" t="n">
        <v>0</v>
      </c>
      <c r="N675" t="n">
        <v>0</v>
      </c>
      <c r="O675" t="n">
        <v>0</v>
      </c>
      <c r="P675" t="n">
        <v>0</v>
      </c>
      <c r="Q675" t="n">
        <v>0</v>
      </c>
      <c r="R675" s="2" t="inlineStr"/>
    </row>
    <row r="676" ht="15" customHeight="1">
      <c r="A676" t="inlineStr">
        <is>
          <t>A 13987-2023</t>
        </is>
      </c>
      <c r="B676" s="1" t="n">
        <v>45007</v>
      </c>
      <c r="C676" s="1" t="n">
        <v>45793</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13935-2023</t>
        </is>
      </c>
      <c r="B677" s="1" t="n">
        <v>45008</v>
      </c>
      <c r="C677" s="1" t="n">
        <v>45793</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14578-2023</t>
        </is>
      </c>
      <c r="B678" s="1" t="n">
        <v>45013</v>
      </c>
      <c r="C678" s="1" t="n">
        <v>45793</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14823-2023</t>
        </is>
      </c>
      <c r="B679" s="1" t="n">
        <v>45014</v>
      </c>
      <c r="C679" s="1" t="n">
        <v>45793</v>
      </c>
      <c r="D679" t="inlineStr">
        <is>
          <t>VÄSTMANLANDS LÄN</t>
        </is>
      </c>
      <c r="E679" t="inlineStr">
        <is>
          <t>SALA</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14790-2023</t>
        </is>
      </c>
      <c r="B680" s="1" t="n">
        <v>45014</v>
      </c>
      <c r="C680" s="1" t="n">
        <v>45793</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15589-2023</t>
        </is>
      </c>
      <c r="B681" s="1" t="n">
        <v>45020</v>
      </c>
      <c r="C681" s="1" t="n">
        <v>45793</v>
      </c>
      <c r="D681" t="inlineStr">
        <is>
          <t>VÄSTMANLANDS LÄN</t>
        </is>
      </c>
      <c r="E681" t="inlineStr">
        <is>
          <t>SALA</t>
        </is>
      </c>
      <c r="G681" t="n">
        <v>7.5</v>
      </c>
      <c r="H681" t="n">
        <v>0</v>
      </c>
      <c r="I681" t="n">
        <v>0</v>
      </c>
      <c r="J681" t="n">
        <v>0</v>
      </c>
      <c r="K681" t="n">
        <v>0</v>
      </c>
      <c r="L681" t="n">
        <v>0</v>
      </c>
      <c r="M681" t="n">
        <v>0</v>
      </c>
      <c r="N681" t="n">
        <v>0</v>
      </c>
      <c r="O681" t="n">
        <v>0</v>
      </c>
      <c r="P681" t="n">
        <v>0</v>
      </c>
      <c r="Q681" t="n">
        <v>0</v>
      </c>
      <c r="R681" s="2" t="inlineStr"/>
    </row>
    <row r="682" ht="15" customHeight="1">
      <c r="A682" t="inlineStr">
        <is>
          <t>A 15584-2023</t>
        </is>
      </c>
      <c r="B682" s="1" t="n">
        <v>45020</v>
      </c>
      <c r="C682" s="1" t="n">
        <v>45793</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16003-2023</t>
        </is>
      </c>
      <c r="B683" s="1" t="n">
        <v>45024</v>
      </c>
      <c r="C683" s="1" t="n">
        <v>45793</v>
      </c>
      <c r="D683" t="inlineStr">
        <is>
          <t>VÄSTMANLANDS LÄN</t>
        </is>
      </c>
      <c r="E683" t="inlineStr">
        <is>
          <t>SALA</t>
        </is>
      </c>
      <c r="G683" t="n">
        <v>6.6</v>
      </c>
      <c r="H683" t="n">
        <v>0</v>
      </c>
      <c r="I683" t="n">
        <v>0</v>
      </c>
      <c r="J683" t="n">
        <v>0</v>
      </c>
      <c r="K683" t="n">
        <v>0</v>
      </c>
      <c r="L683" t="n">
        <v>0</v>
      </c>
      <c r="M683" t="n">
        <v>0</v>
      </c>
      <c r="N683" t="n">
        <v>0</v>
      </c>
      <c r="O683" t="n">
        <v>0</v>
      </c>
      <c r="P683" t="n">
        <v>0</v>
      </c>
      <c r="Q683" t="n">
        <v>0</v>
      </c>
      <c r="R683" s="2" t="inlineStr"/>
    </row>
    <row r="684" ht="15" customHeight="1">
      <c r="A684" t="inlineStr">
        <is>
          <t>A 16002-2023</t>
        </is>
      </c>
      <c r="B684" s="1" t="n">
        <v>45024</v>
      </c>
      <c r="C684" s="1" t="n">
        <v>45793</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16041-2023</t>
        </is>
      </c>
      <c r="B685" s="1" t="n">
        <v>45027</v>
      </c>
      <c r="C685" s="1" t="n">
        <v>45793</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16142-2023</t>
        </is>
      </c>
      <c r="B686" s="1" t="n">
        <v>45027</v>
      </c>
      <c r="C686" s="1" t="n">
        <v>45793</v>
      </c>
      <c r="D686" t="inlineStr">
        <is>
          <t>VÄSTMANLANDS LÄN</t>
        </is>
      </c>
      <c r="E686" t="inlineStr">
        <is>
          <t>SALA</t>
        </is>
      </c>
      <c r="G686" t="n">
        <v>6.3</v>
      </c>
      <c r="H686" t="n">
        <v>0</v>
      </c>
      <c r="I686" t="n">
        <v>0</v>
      </c>
      <c r="J686" t="n">
        <v>0</v>
      </c>
      <c r="K686" t="n">
        <v>0</v>
      </c>
      <c r="L686" t="n">
        <v>0</v>
      </c>
      <c r="M686" t="n">
        <v>0</v>
      </c>
      <c r="N686" t="n">
        <v>0</v>
      </c>
      <c r="O686" t="n">
        <v>0</v>
      </c>
      <c r="P686" t="n">
        <v>0</v>
      </c>
      <c r="Q686" t="n">
        <v>0</v>
      </c>
      <c r="R686" s="2" t="inlineStr"/>
    </row>
    <row r="687" ht="15" customHeight="1">
      <c r="A687" t="inlineStr">
        <is>
          <t>A 16083-2023</t>
        </is>
      </c>
      <c r="B687" s="1" t="n">
        <v>45027</v>
      </c>
      <c r="C687" s="1" t="n">
        <v>45793</v>
      </c>
      <c r="D687" t="inlineStr">
        <is>
          <t>VÄSTMANLANDS LÄN</t>
        </is>
      </c>
      <c r="E687" t="inlineStr">
        <is>
          <t>SALA</t>
        </is>
      </c>
      <c r="G687" t="n">
        <v>4.4</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45793</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16693-2023</t>
        </is>
      </c>
      <c r="B689" s="1" t="n">
        <v>45028</v>
      </c>
      <c r="C689" s="1" t="n">
        <v>45793</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16546-2023</t>
        </is>
      </c>
      <c r="B690" s="1" t="n">
        <v>45029</v>
      </c>
      <c r="C690" s="1" t="n">
        <v>45793</v>
      </c>
      <c r="D690" t="inlineStr">
        <is>
          <t>VÄSTMANLANDS LÄN</t>
        </is>
      </c>
      <c r="E690" t="inlineStr">
        <is>
          <t>SALA</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16543-2023</t>
        </is>
      </c>
      <c r="B691" s="1" t="n">
        <v>45029</v>
      </c>
      <c r="C691" s="1" t="n">
        <v>45793</v>
      </c>
      <c r="D691" t="inlineStr">
        <is>
          <t>VÄSTMANLANDS LÄN</t>
        </is>
      </c>
      <c r="E691" t="inlineStr">
        <is>
          <t>SALA</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16544-2023</t>
        </is>
      </c>
      <c r="B692" s="1" t="n">
        <v>45029</v>
      </c>
      <c r="C692" s="1" t="n">
        <v>45793</v>
      </c>
      <c r="D692" t="inlineStr">
        <is>
          <t>VÄSTMANLANDS LÄN</t>
        </is>
      </c>
      <c r="E692" t="inlineStr">
        <is>
          <t>SALA</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16547-2023</t>
        </is>
      </c>
      <c r="B693" s="1" t="n">
        <v>45029</v>
      </c>
      <c r="C693" s="1" t="n">
        <v>45793</v>
      </c>
      <c r="D693" t="inlineStr">
        <is>
          <t>VÄSTMANLANDS LÄN</t>
        </is>
      </c>
      <c r="E693" t="inlineStr">
        <is>
          <t>SALA</t>
        </is>
      </c>
      <c r="F693" t="inlineStr">
        <is>
          <t>Sveaskog</t>
        </is>
      </c>
      <c r="G693" t="n">
        <v>11.2</v>
      </c>
      <c r="H693" t="n">
        <v>0</v>
      </c>
      <c r="I693" t="n">
        <v>0</v>
      </c>
      <c r="J693" t="n">
        <v>0</v>
      </c>
      <c r="K693" t="n">
        <v>0</v>
      </c>
      <c r="L693" t="n">
        <v>0</v>
      </c>
      <c r="M693" t="n">
        <v>0</v>
      </c>
      <c r="N693" t="n">
        <v>0</v>
      </c>
      <c r="O693" t="n">
        <v>0</v>
      </c>
      <c r="P693" t="n">
        <v>0</v>
      </c>
      <c r="Q693" t="n">
        <v>0</v>
      </c>
      <c r="R693" s="2" t="inlineStr"/>
    </row>
    <row r="694" ht="15" customHeight="1">
      <c r="A694" t="inlineStr">
        <is>
          <t>A 16545-2023</t>
        </is>
      </c>
      <c r="B694" s="1" t="n">
        <v>45029</v>
      </c>
      <c r="C694" s="1" t="n">
        <v>45793</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16984-2023</t>
        </is>
      </c>
      <c r="B695" s="1" t="n">
        <v>45033</v>
      </c>
      <c r="C695" s="1" t="n">
        <v>45793</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17079-2023</t>
        </is>
      </c>
      <c r="B696" s="1" t="n">
        <v>45034</v>
      </c>
      <c r="C696" s="1" t="n">
        <v>45793</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17117-2023</t>
        </is>
      </c>
      <c r="B697" s="1" t="n">
        <v>45034</v>
      </c>
      <c r="C697" s="1" t="n">
        <v>45793</v>
      </c>
      <c r="D697" t="inlineStr">
        <is>
          <t>VÄSTMANLANDS LÄN</t>
        </is>
      </c>
      <c r="E697" t="inlineStr">
        <is>
          <t>SALA</t>
        </is>
      </c>
      <c r="G697" t="n">
        <v>0.4</v>
      </c>
      <c r="H697" t="n">
        <v>0</v>
      </c>
      <c r="I697" t="n">
        <v>0</v>
      </c>
      <c r="J697" t="n">
        <v>0</v>
      </c>
      <c r="K697" t="n">
        <v>0</v>
      </c>
      <c r="L697" t="n">
        <v>0</v>
      </c>
      <c r="M697" t="n">
        <v>0</v>
      </c>
      <c r="N697" t="n">
        <v>0</v>
      </c>
      <c r="O697" t="n">
        <v>0</v>
      </c>
      <c r="P697" t="n">
        <v>0</v>
      </c>
      <c r="Q697" t="n">
        <v>0</v>
      </c>
      <c r="R697" s="2" t="inlineStr"/>
    </row>
    <row r="698" ht="15" customHeight="1">
      <c r="A698" t="inlineStr">
        <is>
          <t>A 17109-2023</t>
        </is>
      </c>
      <c r="B698" s="1" t="n">
        <v>45034</v>
      </c>
      <c r="C698" s="1" t="n">
        <v>45793</v>
      </c>
      <c r="D698" t="inlineStr">
        <is>
          <t>VÄSTMANLANDS LÄN</t>
        </is>
      </c>
      <c r="E698" t="inlineStr">
        <is>
          <t>SALA</t>
        </is>
      </c>
      <c r="G698" t="n">
        <v>5.8</v>
      </c>
      <c r="H698" t="n">
        <v>0</v>
      </c>
      <c r="I698" t="n">
        <v>0</v>
      </c>
      <c r="J698" t="n">
        <v>0</v>
      </c>
      <c r="K698" t="n">
        <v>0</v>
      </c>
      <c r="L698" t="n">
        <v>0</v>
      </c>
      <c r="M698" t="n">
        <v>0</v>
      </c>
      <c r="N698" t="n">
        <v>0</v>
      </c>
      <c r="O698" t="n">
        <v>0</v>
      </c>
      <c r="P698" t="n">
        <v>0</v>
      </c>
      <c r="Q698" t="n">
        <v>0</v>
      </c>
      <c r="R698" s="2" t="inlineStr"/>
    </row>
    <row r="699" ht="15" customHeight="1">
      <c r="A699" t="inlineStr">
        <is>
          <t>A 17120-2023</t>
        </is>
      </c>
      <c r="B699" s="1" t="n">
        <v>45034</v>
      </c>
      <c r="C699" s="1" t="n">
        <v>45793</v>
      </c>
      <c r="D699" t="inlineStr">
        <is>
          <t>VÄSTMANLANDS LÄN</t>
        </is>
      </c>
      <c r="E699" t="inlineStr">
        <is>
          <t>SALA</t>
        </is>
      </c>
      <c r="G699" t="n">
        <v>0.1</v>
      </c>
      <c r="H699" t="n">
        <v>0</v>
      </c>
      <c r="I699" t="n">
        <v>0</v>
      </c>
      <c r="J699" t="n">
        <v>0</v>
      </c>
      <c r="K699" t="n">
        <v>0</v>
      </c>
      <c r="L699" t="n">
        <v>0</v>
      </c>
      <c r="M699" t="n">
        <v>0</v>
      </c>
      <c r="N699" t="n">
        <v>0</v>
      </c>
      <c r="O699" t="n">
        <v>0</v>
      </c>
      <c r="P699" t="n">
        <v>0</v>
      </c>
      <c r="Q699" t="n">
        <v>0</v>
      </c>
      <c r="R699" s="2" t="inlineStr"/>
    </row>
    <row r="700" ht="15" customHeight="1">
      <c r="A700" t="inlineStr">
        <is>
          <t>A 18100-2023</t>
        </is>
      </c>
      <c r="B700" s="1" t="n">
        <v>45040</v>
      </c>
      <c r="C700" s="1" t="n">
        <v>45793</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45793</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18877-2023</t>
        </is>
      </c>
      <c r="B702" s="1" t="n">
        <v>45044</v>
      </c>
      <c r="C702" s="1" t="n">
        <v>45793</v>
      </c>
      <c r="D702" t="inlineStr">
        <is>
          <t>VÄSTMANLANDS LÄN</t>
        </is>
      </c>
      <c r="E702" t="inlineStr">
        <is>
          <t>SALA</t>
        </is>
      </c>
      <c r="F702" t="inlineStr">
        <is>
          <t>Kommuner</t>
        </is>
      </c>
      <c r="G702" t="n">
        <v>4.4</v>
      </c>
      <c r="H702" t="n">
        <v>0</v>
      </c>
      <c r="I702" t="n">
        <v>0</v>
      </c>
      <c r="J702" t="n">
        <v>0</v>
      </c>
      <c r="K702" t="n">
        <v>0</v>
      </c>
      <c r="L702" t="n">
        <v>0</v>
      </c>
      <c r="M702" t="n">
        <v>0</v>
      </c>
      <c r="N702" t="n">
        <v>0</v>
      </c>
      <c r="O702" t="n">
        <v>0</v>
      </c>
      <c r="P702" t="n">
        <v>0</v>
      </c>
      <c r="Q702" t="n">
        <v>0</v>
      </c>
      <c r="R702" s="2" t="inlineStr"/>
    </row>
    <row r="703" ht="15" customHeight="1">
      <c r="A703" t="inlineStr">
        <is>
          <t>A 19916-2023</t>
        </is>
      </c>
      <c r="B703" s="1" t="n">
        <v>45054</v>
      </c>
      <c r="C703" s="1" t="n">
        <v>45793</v>
      </c>
      <c r="D703" t="inlineStr">
        <is>
          <t>VÄSTMANLANDS LÄN</t>
        </is>
      </c>
      <c r="E703" t="inlineStr">
        <is>
          <t>SALA</t>
        </is>
      </c>
      <c r="G703" t="n">
        <v>9.9</v>
      </c>
      <c r="H703" t="n">
        <v>0</v>
      </c>
      <c r="I703" t="n">
        <v>0</v>
      </c>
      <c r="J703" t="n">
        <v>0</v>
      </c>
      <c r="K703" t="n">
        <v>0</v>
      </c>
      <c r="L703" t="n">
        <v>0</v>
      </c>
      <c r="M703" t="n">
        <v>0</v>
      </c>
      <c r="N703" t="n">
        <v>0</v>
      </c>
      <c r="O703" t="n">
        <v>0</v>
      </c>
      <c r="P703" t="n">
        <v>0</v>
      </c>
      <c r="Q703" t="n">
        <v>0</v>
      </c>
      <c r="R703" s="2" t="inlineStr"/>
    </row>
    <row r="704" ht="15" customHeight="1">
      <c r="A704" t="inlineStr">
        <is>
          <t>A 20568-2023</t>
        </is>
      </c>
      <c r="B704" s="1" t="n">
        <v>45055</v>
      </c>
      <c r="C704" s="1" t="n">
        <v>45793</v>
      </c>
      <c r="D704" t="inlineStr">
        <is>
          <t>VÄSTMANLANDS LÄN</t>
        </is>
      </c>
      <c r="E704" t="inlineStr">
        <is>
          <t>SALA</t>
        </is>
      </c>
      <c r="G704" t="n">
        <v>2.2</v>
      </c>
      <c r="H704" t="n">
        <v>0</v>
      </c>
      <c r="I704" t="n">
        <v>0</v>
      </c>
      <c r="J704" t="n">
        <v>0</v>
      </c>
      <c r="K704" t="n">
        <v>0</v>
      </c>
      <c r="L704" t="n">
        <v>0</v>
      </c>
      <c r="M704" t="n">
        <v>0</v>
      </c>
      <c r="N704" t="n">
        <v>0</v>
      </c>
      <c r="O704" t="n">
        <v>0</v>
      </c>
      <c r="P704" t="n">
        <v>0</v>
      </c>
      <c r="Q704" t="n">
        <v>0</v>
      </c>
      <c r="R704" s="2" t="inlineStr"/>
    </row>
    <row r="705" ht="15" customHeight="1">
      <c r="A705" t="inlineStr">
        <is>
          <t>A 20567-2023</t>
        </is>
      </c>
      <c r="B705" s="1" t="n">
        <v>45055</v>
      </c>
      <c r="C705" s="1" t="n">
        <v>45793</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20405-2023</t>
        </is>
      </c>
      <c r="B706" s="1" t="n">
        <v>45056</v>
      </c>
      <c r="C706" s="1" t="n">
        <v>45793</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20587-2023</t>
        </is>
      </c>
      <c r="B707" s="1" t="n">
        <v>45057</v>
      </c>
      <c r="C707" s="1" t="n">
        <v>45793</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21455-2023</t>
        </is>
      </c>
      <c r="B708" s="1" t="n">
        <v>45058</v>
      </c>
      <c r="C708" s="1" t="n">
        <v>45793</v>
      </c>
      <c r="D708" t="inlineStr">
        <is>
          <t>VÄSTMANLANDS LÄN</t>
        </is>
      </c>
      <c r="E708" t="inlineStr">
        <is>
          <t>SALA</t>
        </is>
      </c>
      <c r="G708" t="n">
        <v>6.4</v>
      </c>
      <c r="H708" t="n">
        <v>0</v>
      </c>
      <c r="I708" t="n">
        <v>0</v>
      </c>
      <c r="J708" t="n">
        <v>0</v>
      </c>
      <c r="K708" t="n">
        <v>0</v>
      </c>
      <c r="L708" t="n">
        <v>0</v>
      </c>
      <c r="M708" t="n">
        <v>0</v>
      </c>
      <c r="N708" t="n">
        <v>0</v>
      </c>
      <c r="O708" t="n">
        <v>0</v>
      </c>
      <c r="P708" t="n">
        <v>0</v>
      </c>
      <c r="Q708" t="n">
        <v>0</v>
      </c>
      <c r="R708" s="2" t="inlineStr"/>
    </row>
    <row r="709" ht="15" customHeight="1">
      <c r="A709" t="inlineStr">
        <is>
          <t>A 22097-2023</t>
        </is>
      </c>
      <c r="B709" s="1" t="n">
        <v>45065</v>
      </c>
      <c r="C709" s="1" t="n">
        <v>45793</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22076-2023</t>
        </is>
      </c>
      <c r="B710" s="1" t="n">
        <v>45069</v>
      </c>
      <c r="C710" s="1" t="n">
        <v>45793</v>
      </c>
      <c r="D710" t="inlineStr">
        <is>
          <t>VÄSTMANLANDS LÄN</t>
        </is>
      </c>
      <c r="E710" t="inlineStr">
        <is>
          <t>SALA</t>
        </is>
      </c>
      <c r="G710" t="n">
        <v>5.3</v>
      </c>
      <c r="H710" t="n">
        <v>0</v>
      </c>
      <c r="I710" t="n">
        <v>0</v>
      </c>
      <c r="J710" t="n">
        <v>0</v>
      </c>
      <c r="K710" t="n">
        <v>0</v>
      </c>
      <c r="L710" t="n">
        <v>0</v>
      </c>
      <c r="M710" t="n">
        <v>0</v>
      </c>
      <c r="N710" t="n">
        <v>0</v>
      </c>
      <c r="O710" t="n">
        <v>0</v>
      </c>
      <c r="P710" t="n">
        <v>0</v>
      </c>
      <c r="Q710" t="n">
        <v>0</v>
      </c>
      <c r="R710" s="2" t="inlineStr"/>
    </row>
    <row r="711" ht="15" customHeight="1">
      <c r="A711" t="inlineStr">
        <is>
          <t>A 22146-2023</t>
        </is>
      </c>
      <c r="B711" s="1" t="n">
        <v>45069</v>
      </c>
      <c r="C711" s="1" t="n">
        <v>45793</v>
      </c>
      <c r="D711" t="inlineStr">
        <is>
          <t>VÄSTMANLANDS LÄN</t>
        </is>
      </c>
      <c r="E711" t="inlineStr">
        <is>
          <t>SALA</t>
        </is>
      </c>
      <c r="F711" t="inlineStr">
        <is>
          <t>Kommuner</t>
        </is>
      </c>
      <c r="G711" t="n">
        <v>9.9</v>
      </c>
      <c r="H711" t="n">
        <v>0</v>
      </c>
      <c r="I711" t="n">
        <v>0</v>
      </c>
      <c r="J711" t="n">
        <v>0</v>
      </c>
      <c r="K711" t="n">
        <v>0</v>
      </c>
      <c r="L711" t="n">
        <v>0</v>
      </c>
      <c r="M711" t="n">
        <v>0</v>
      </c>
      <c r="N711" t="n">
        <v>0</v>
      </c>
      <c r="O711" t="n">
        <v>0</v>
      </c>
      <c r="P711" t="n">
        <v>0</v>
      </c>
      <c r="Q711" t="n">
        <v>0</v>
      </c>
      <c r="R711" s="2" t="inlineStr"/>
    </row>
    <row r="712" ht="15" customHeight="1">
      <c r="A712" t="inlineStr">
        <is>
          <t>A 22091-2023</t>
        </is>
      </c>
      <c r="B712" s="1" t="n">
        <v>45069</v>
      </c>
      <c r="C712" s="1" t="n">
        <v>45793</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22082-2023</t>
        </is>
      </c>
      <c r="B713" s="1" t="n">
        <v>45069</v>
      </c>
      <c r="C713" s="1" t="n">
        <v>45793</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45793</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22921-2023</t>
        </is>
      </c>
      <c r="B715" s="1" t="n">
        <v>45070</v>
      </c>
      <c r="C715" s="1" t="n">
        <v>45793</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22963-2023</t>
        </is>
      </c>
      <c r="B716" s="1" t="n">
        <v>45072</v>
      </c>
      <c r="C716" s="1" t="n">
        <v>45793</v>
      </c>
      <c r="D716" t="inlineStr">
        <is>
          <t>VÄSTMANLANDS LÄN</t>
        </is>
      </c>
      <c r="E716" t="inlineStr">
        <is>
          <t>SALA</t>
        </is>
      </c>
      <c r="G716" t="n">
        <v>1.2</v>
      </c>
      <c r="H716" t="n">
        <v>0</v>
      </c>
      <c r="I716" t="n">
        <v>0</v>
      </c>
      <c r="J716" t="n">
        <v>0</v>
      </c>
      <c r="K716" t="n">
        <v>0</v>
      </c>
      <c r="L716" t="n">
        <v>0</v>
      </c>
      <c r="M716" t="n">
        <v>0</v>
      </c>
      <c r="N716" t="n">
        <v>0</v>
      </c>
      <c r="O716" t="n">
        <v>0</v>
      </c>
      <c r="P716" t="n">
        <v>0</v>
      </c>
      <c r="Q716" t="n">
        <v>0</v>
      </c>
      <c r="R716" s="2" t="inlineStr"/>
    </row>
    <row r="717" ht="15" customHeight="1">
      <c r="A717" t="inlineStr">
        <is>
          <t>A 22961-2023</t>
        </is>
      </c>
      <c r="B717" s="1" t="n">
        <v>45072</v>
      </c>
      <c r="C717" s="1" t="n">
        <v>45793</v>
      </c>
      <c r="D717" t="inlineStr">
        <is>
          <t>VÄSTMANLANDS LÄN</t>
        </is>
      </c>
      <c r="E717" t="inlineStr">
        <is>
          <t>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23145-2023</t>
        </is>
      </c>
      <c r="B718" s="1" t="n">
        <v>45075</v>
      </c>
      <c r="C718" s="1" t="n">
        <v>45793</v>
      </c>
      <c r="D718" t="inlineStr">
        <is>
          <t>VÄSTMANLANDS LÄN</t>
        </is>
      </c>
      <c r="E718" t="inlineStr">
        <is>
          <t>SALA</t>
        </is>
      </c>
      <c r="G718" t="n">
        <v>5.3</v>
      </c>
      <c r="H718" t="n">
        <v>0</v>
      </c>
      <c r="I718" t="n">
        <v>0</v>
      </c>
      <c r="J718" t="n">
        <v>0</v>
      </c>
      <c r="K718" t="n">
        <v>0</v>
      </c>
      <c r="L718" t="n">
        <v>0</v>
      </c>
      <c r="M718" t="n">
        <v>0</v>
      </c>
      <c r="N718" t="n">
        <v>0</v>
      </c>
      <c r="O718" t="n">
        <v>0</v>
      </c>
      <c r="P718" t="n">
        <v>0</v>
      </c>
      <c r="Q718" t="n">
        <v>0</v>
      </c>
      <c r="R718" s="2" t="inlineStr"/>
    </row>
    <row r="719" ht="15" customHeight="1">
      <c r="A719" t="inlineStr">
        <is>
          <t>A 23146-2023</t>
        </is>
      </c>
      <c r="B719" s="1" t="n">
        <v>45075</v>
      </c>
      <c r="C719" s="1" t="n">
        <v>45793</v>
      </c>
      <c r="D719" t="inlineStr">
        <is>
          <t>VÄSTMANLANDS LÄN</t>
        </is>
      </c>
      <c r="E719" t="inlineStr">
        <is>
          <t>SALA</t>
        </is>
      </c>
      <c r="G719" t="n">
        <v>1.7</v>
      </c>
      <c r="H719" t="n">
        <v>0</v>
      </c>
      <c r="I719" t="n">
        <v>0</v>
      </c>
      <c r="J719" t="n">
        <v>0</v>
      </c>
      <c r="K719" t="n">
        <v>0</v>
      </c>
      <c r="L719" t="n">
        <v>0</v>
      </c>
      <c r="M719" t="n">
        <v>0</v>
      </c>
      <c r="N719" t="n">
        <v>0</v>
      </c>
      <c r="O719" t="n">
        <v>0</v>
      </c>
      <c r="P719" t="n">
        <v>0</v>
      </c>
      <c r="Q719" t="n">
        <v>0</v>
      </c>
      <c r="R719" s="2" t="inlineStr"/>
    </row>
    <row r="720" ht="15" customHeight="1">
      <c r="A720" t="inlineStr">
        <is>
          <t>A 23224-2023</t>
        </is>
      </c>
      <c r="B720" s="1" t="n">
        <v>45075</v>
      </c>
      <c r="C720" s="1" t="n">
        <v>45793</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23222-2023</t>
        </is>
      </c>
      <c r="B721" s="1" t="n">
        <v>45075</v>
      </c>
      <c r="C721" s="1" t="n">
        <v>45793</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23232-2023</t>
        </is>
      </c>
      <c r="B722" s="1" t="n">
        <v>45075</v>
      </c>
      <c r="C722" s="1" t="n">
        <v>45793</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23374-2023</t>
        </is>
      </c>
      <c r="B723" s="1" t="n">
        <v>45076</v>
      </c>
      <c r="C723" s="1" t="n">
        <v>45793</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23372-2023</t>
        </is>
      </c>
      <c r="B724" s="1" t="n">
        <v>45076</v>
      </c>
      <c r="C724" s="1" t="n">
        <v>45793</v>
      </c>
      <c r="D724" t="inlineStr">
        <is>
          <t>VÄSTMANLANDS LÄN</t>
        </is>
      </c>
      <c r="E724" t="inlineStr">
        <is>
          <t>SALA</t>
        </is>
      </c>
      <c r="G724" t="n">
        <v>2.2</v>
      </c>
      <c r="H724" t="n">
        <v>0</v>
      </c>
      <c r="I724" t="n">
        <v>0</v>
      </c>
      <c r="J724" t="n">
        <v>0</v>
      </c>
      <c r="K724" t="n">
        <v>0</v>
      </c>
      <c r="L724" t="n">
        <v>0</v>
      </c>
      <c r="M724" t="n">
        <v>0</v>
      </c>
      <c r="N724" t="n">
        <v>0</v>
      </c>
      <c r="O724" t="n">
        <v>0</v>
      </c>
      <c r="P724" t="n">
        <v>0</v>
      </c>
      <c r="Q724" t="n">
        <v>0</v>
      </c>
      <c r="R724" s="2" t="inlineStr"/>
    </row>
    <row r="725" ht="15" customHeight="1">
      <c r="A725" t="inlineStr">
        <is>
          <t>A 23659-2023</t>
        </is>
      </c>
      <c r="B725" s="1" t="n">
        <v>45077</v>
      </c>
      <c r="C725" s="1" t="n">
        <v>45793</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24248-2023</t>
        </is>
      </c>
      <c r="B726" s="1" t="n">
        <v>45079</v>
      </c>
      <c r="C726" s="1" t="n">
        <v>45793</v>
      </c>
      <c r="D726" t="inlineStr">
        <is>
          <t>VÄSTMANLANDS LÄN</t>
        </is>
      </c>
      <c r="E726" t="inlineStr">
        <is>
          <t>SALA</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24495-2023</t>
        </is>
      </c>
      <c r="B727" s="1" t="n">
        <v>45082</v>
      </c>
      <c r="C727" s="1" t="n">
        <v>45793</v>
      </c>
      <c r="D727" t="inlineStr">
        <is>
          <t>VÄSTMANLANDS LÄN</t>
        </is>
      </c>
      <c r="E727" t="inlineStr">
        <is>
          <t>SALA</t>
        </is>
      </c>
      <c r="G727" t="n">
        <v>5.2</v>
      </c>
      <c r="H727" t="n">
        <v>0</v>
      </c>
      <c r="I727" t="n">
        <v>0</v>
      </c>
      <c r="J727" t="n">
        <v>0</v>
      </c>
      <c r="K727" t="n">
        <v>0</v>
      </c>
      <c r="L727" t="n">
        <v>0</v>
      </c>
      <c r="M727" t="n">
        <v>0</v>
      </c>
      <c r="N727" t="n">
        <v>0</v>
      </c>
      <c r="O727" t="n">
        <v>0</v>
      </c>
      <c r="P727" t="n">
        <v>0</v>
      </c>
      <c r="Q727" t="n">
        <v>0</v>
      </c>
      <c r="R727" s="2" t="inlineStr"/>
    </row>
    <row r="728" ht="15" customHeight="1">
      <c r="A728" t="inlineStr">
        <is>
          <t>A 24585-2023</t>
        </is>
      </c>
      <c r="B728" s="1" t="n">
        <v>45083</v>
      </c>
      <c r="C728" s="1" t="n">
        <v>45793</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24584-2023</t>
        </is>
      </c>
      <c r="B729" s="1" t="n">
        <v>45083</v>
      </c>
      <c r="C729" s="1" t="n">
        <v>45793</v>
      </c>
      <c r="D729" t="inlineStr">
        <is>
          <t>VÄSTMANLANDS LÄN</t>
        </is>
      </c>
      <c r="E729" t="inlineStr">
        <is>
          <t>SALA</t>
        </is>
      </c>
      <c r="F729" t="inlineStr">
        <is>
          <t>Sveaskog</t>
        </is>
      </c>
      <c r="G729" t="n">
        <v>7.2</v>
      </c>
      <c r="H729" t="n">
        <v>0</v>
      </c>
      <c r="I729" t="n">
        <v>0</v>
      </c>
      <c r="J729" t="n">
        <v>0</v>
      </c>
      <c r="K729" t="n">
        <v>0</v>
      </c>
      <c r="L729" t="n">
        <v>0</v>
      </c>
      <c r="M729" t="n">
        <v>0</v>
      </c>
      <c r="N729" t="n">
        <v>0</v>
      </c>
      <c r="O729" t="n">
        <v>0</v>
      </c>
      <c r="P729" t="n">
        <v>0</v>
      </c>
      <c r="Q729" t="n">
        <v>0</v>
      </c>
      <c r="R729" s="2" t="inlineStr"/>
    </row>
    <row r="730" ht="15" customHeight="1">
      <c r="A730" t="inlineStr">
        <is>
          <t>A 24586-2023</t>
        </is>
      </c>
      <c r="B730" s="1" t="n">
        <v>45083</v>
      </c>
      <c r="C730" s="1" t="n">
        <v>45793</v>
      </c>
      <c r="D730" t="inlineStr">
        <is>
          <t>VÄSTMANLANDS LÄN</t>
        </is>
      </c>
      <c r="E730" t="inlineStr">
        <is>
          <t>SALA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24773-2023</t>
        </is>
      </c>
      <c r="B731" s="1" t="n">
        <v>45084</v>
      </c>
      <c r="C731" s="1" t="n">
        <v>45793</v>
      </c>
      <c r="D731" t="inlineStr">
        <is>
          <t>VÄSTMANLANDS LÄN</t>
        </is>
      </c>
      <c r="E731" t="inlineStr">
        <is>
          <t>SALA</t>
        </is>
      </c>
      <c r="G731" t="n">
        <v>5</v>
      </c>
      <c r="H731" t="n">
        <v>0</v>
      </c>
      <c r="I731" t="n">
        <v>0</v>
      </c>
      <c r="J731" t="n">
        <v>0</v>
      </c>
      <c r="K731" t="n">
        <v>0</v>
      </c>
      <c r="L731" t="n">
        <v>0</v>
      </c>
      <c r="M731" t="n">
        <v>0</v>
      </c>
      <c r="N731" t="n">
        <v>0</v>
      </c>
      <c r="O731" t="n">
        <v>0</v>
      </c>
      <c r="P731" t="n">
        <v>0</v>
      </c>
      <c r="Q731" t="n">
        <v>0</v>
      </c>
      <c r="R731" s="2" t="inlineStr"/>
    </row>
    <row r="732" ht="15" customHeight="1">
      <c r="A732" t="inlineStr">
        <is>
          <t>A 24777-2023</t>
        </is>
      </c>
      <c r="B732" s="1" t="n">
        <v>45084</v>
      </c>
      <c r="C732" s="1" t="n">
        <v>45793</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24944-2023</t>
        </is>
      </c>
      <c r="B733" s="1" t="n">
        <v>45085</v>
      </c>
      <c r="C733" s="1" t="n">
        <v>45793</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25260-2023</t>
        </is>
      </c>
      <c r="B734" s="1" t="n">
        <v>45086</v>
      </c>
      <c r="C734" s="1" t="n">
        <v>45793</v>
      </c>
      <c r="D734" t="inlineStr">
        <is>
          <t>VÄSTMANLANDS LÄN</t>
        </is>
      </c>
      <c r="E734" t="inlineStr">
        <is>
          <t>SALA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25233-2023</t>
        </is>
      </c>
      <c r="B735" s="1" t="n">
        <v>45086</v>
      </c>
      <c r="C735" s="1" t="n">
        <v>45793</v>
      </c>
      <c r="D735" t="inlineStr">
        <is>
          <t>VÄSTMANLANDS LÄN</t>
        </is>
      </c>
      <c r="E735" t="inlineStr">
        <is>
          <t>SALA</t>
        </is>
      </c>
      <c r="F735" t="inlineStr">
        <is>
          <t>Kommuner</t>
        </is>
      </c>
      <c r="G735" t="n">
        <v>4.7</v>
      </c>
      <c r="H735" t="n">
        <v>0</v>
      </c>
      <c r="I735" t="n">
        <v>0</v>
      </c>
      <c r="J735" t="n">
        <v>0</v>
      </c>
      <c r="K735" t="n">
        <v>0</v>
      </c>
      <c r="L735" t="n">
        <v>0</v>
      </c>
      <c r="M735" t="n">
        <v>0</v>
      </c>
      <c r="N735" t="n">
        <v>0</v>
      </c>
      <c r="O735" t="n">
        <v>0</v>
      </c>
      <c r="P735" t="n">
        <v>0</v>
      </c>
      <c r="Q735" t="n">
        <v>0</v>
      </c>
      <c r="R735" s="2" t="inlineStr"/>
    </row>
    <row r="736" ht="15" customHeight="1">
      <c r="A736" t="inlineStr">
        <is>
          <t>A 26229-2023</t>
        </is>
      </c>
      <c r="B736" s="1" t="n">
        <v>45086</v>
      </c>
      <c r="C736" s="1" t="n">
        <v>45793</v>
      </c>
      <c r="D736" t="inlineStr">
        <is>
          <t>VÄSTMANLANDS LÄN</t>
        </is>
      </c>
      <c r="E736" t="inlineStr">
        <is>
          <t>SALA</t>
        </is>
      </c>
      <c r="G736" t="n">
        <v>6.6</v>
      </c>
      <c r="H736" t="n">
        <v>0</v>
      </c>
      <c r="I736" t="n">
        <v>0</v>
      </c>
      <c r="J736" t="n">
        <v>0</v>
      </c>
      <c r="K736" t="n">
        <v>0</v>
      </c>
      <c r="L736" t="n">
        <v>0</v>
      </c>
      <c r="M736" t="n">
        <v>0</v>
      </c>
      <c r="N736" t="n">
        <v>0</v>
      </c>
      <c r="O736" t="n">
        <v>0</v>
      </c>
      <c r="P736" t="n">
        <v>0</v>
      </c>
      <c r="Q736" t="n">
        <v>0</v>
      </c>
      <c r="R736" s="2" t="inlineStr"/>
    </row>
    <row r="737" ht="15" customHeight="1">
      <c r="A737" t="inlineStr">
        <is>
          <t>A 25566-2023</t>
        </is>
      </c>
      <c r="B737" s="1" t="n">
        <v>45089</v>
      </c>
      <c r="C737" s="1" t="n">
        <v>45793</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25571-2023</t>
        </is>
      </c>
      <c r="B738" s="1" t="n">
        <v>45089</v>
      </c>
      <c r="C738" s="1" t="n">
        <v>45793</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25576-2023</t>
        </is>
      </c>
      <c r="B739" s="1" t="n">
        <v>45089</v>
      </c>
      <c r="C739" s="1" t="n">
        <v>45793</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25580-2023</t>
        </is>
      </c>
      <c r="B740" s="1" t="n">
        <v>45089</v>
      </c>
      <c r="C740" s="1" t="n">
        <v>45793</v>
      </c>
      <c r="D740" t="inlineStr">
        <is>
          <t>VÄSTMANLANDS LÄN</t>
        </is>
      </c>
      <c r="E740" t="inlineStr">
        <is>
          <t>SALA</t>
        </is>
      </c>
      <c r="G740" t="n">
        <v>0.8</v>
      </c>
      <c r="H740" t="n">
        <v>0</v>
      </c>
      <c r="I740" t="n">
        <v>0</v>
      </c>
      <c r="J740" t="n">
        <v>0</v>
      </c>
      <c r="K740" t="n">
        <v>0</v>
      </c>
      <c r="L740" t="n">
        <v>0</v>
      </c>
      <c r="M740" t="n">
        <v>0</v>
      </c>
      <c r="N740" t="n">
        <v>0</v>
      </c>
      <c r="O740" t="n">
        <v>0</v>
      </c>
      <c r="P740" t="n">
        <v>0</v>
      </c>
      <c r="Q740" t="n">
        <v>0</v>
      </c>
      <c r="R740" s="2" t="inlineStr"/>
    </row>
    <row r="741" ht="15" customHeight="1">
      <c r="A741" t="inlineStr">
        <is>
          <t>A 25894-2023</t>
        </is>
      </c>
      <c r="B741" s="1" t="n">
        <v>45090</v>
      </c>
      <c r="C741" s="1" t="n">
        <v>45793</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26607-2023</t>
        </is>
      </c>
      <c r="B742" s="1" t="n">
        <v>45090</v>
      </c>
      <c r="C742" s="1" t="n">
        <v>45793</v>
      </c>
      <c r="D742" t="inlineStr">
        <is>
          <t>VÄSTMANLANDS LÄN</t>
        </is>
      </c>
      <c r="E742" t="inlineStr">
        <is>
          <t>SALA</t>
        </is>
      </c>
      <c r="G742" t="n">
        <v>4.8</v>
      </c>
      <c r="H742" t="n">
        <v>0</v>
      </c>
      <c r="I742" t="n">
        <v>0</v>
      </c>
      <c r="J742" t="n">
        <v>0</v>
      </c>
      <c r="K742" t="n">
        <v>0</v>
      </c>
      <c r="L742" t="n">
        <v>0</v>
      </c>
      <c r="M742" t="n">
        <v>0</v>
      </c>
      <c r="N742" t="n">
        <v>0</v>
      </c>
      <c r="O742" t="n">
        <v>0</v>
      </c>
      <c r="P742" t="n">
        <v>0</v>
      </c>
      <c r="Q742" t="n">
        <v>0</v>
      </c>
      <c r="R742" s="2" t="inlineStr"/>
    </row>
    <row r="743" ht="15" customHeight="1">
      <c r="A743" t="inlineStr">
        <is>
          <t>A 26505-2023</t>
        </is>
      </c>
      <c r="B743" s="1" t="n">
        <v>45092</v>
      </c>
      <c r="C743" s="1" t="n">
        <v>45793</v>
      </c>
      <c r="D743" t="inlineStr">
        <is>
          <t>VÄSTMANLANDS LÄN</t>
        </is>
      </c>
      <c r="E743" t="inlineStr">
        <is>
          <t>SALA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26509-2023</t>
        </is>
      </c>
      <c r="B744" s="1" t="n">
        <v>45092</v>
      </c>
      <c r="C744" s="1" t="n">
        <v>45793</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26508-2023</t>
        </is>
      </c>
      <c r="B745" s="1" t="n">
        <v>45092</v>
      </c>
      <c r="C745" s="1" t="n">
        <v>45793</v>
      </c>
      <c r="D745" t="inlineStr">
        <is>
          <t>VÄSTMANLANDS LÄN</t>
        </is>
      </c>
      <c r="E745" t="inlineStr">
        <is>
          <t>SALA</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26416-2023</t>
        </is>
      </c>
      <c r="B746" s="1" t="n">
        <v>45092</v>
      </c>
      <c r="C746" s="1" t="n">
        <v>45793</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26507-2023</t>
        </is>
      </c>
      <c r="B747" s="1" t="n">
        <v>45092</v>
      </c>
      <c r="C747" s="1" t="n">
        <v>45793</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26692-2023</t>
        </is>
      </c>
      <c r="B748" s="1" t="n">
        <v>45093</v>
      </c>
      <c r="C748" s="1" t="n">
        <v>45793</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26761-2023</t>
        </is>
      </c>
      <c r="B749" s="1" t="n">
        <v>45093</v>
      </c>
      <c r="C749" s="1" t="n">
        <v>45793</v>
      </c>
      <c r="D749" t="inlineStr">
        <is>
          <t>VÄSTMANLANDS LÄN</t>
        </is>
      </c>
      <c r="E749" t="inlineStr">
        <is>
          <t>SALA</t>
        </is>
      </c>
      <c r="G749" t="n">
        <v>4.3</v>
      </c>
      <c r="H749" t="n">
        <v>0</v>
      </c>
      <c r="I749" t="n">
        <v>0</v>
      </c>
      <c r="J749" t="n">
        <v>0</v>
      </c>
      <c r="K749" t="n">
        <v>0</v>
      </c>
      <c r="L749" t="n">
        <v>0</v>
      </c>
      <c r="M749" t="n">
        <v>0</v>
      </c>
      <c r="N749" t="n">
        <v>0</v>
      </c>
      <c r="O749" t="n">
        <v>0</v>
      </c>
      <c r="P749" t="n">
        <v>0</v>
      </c>
      <c r="Q749" t="n">
        <v>0</v>
      </c>
      <c r="R749" s="2" t="inlineStr"/>
    </row>
    <row r="750" ht="15" customHeight="1">
      <c r="A750" t="inlineStr">
        <is>
          <t>A 27023-2023</t>
        </is>
      </c>
      <c r="B750" s="1" t="n">
        <v>45094</v>
      </c>
      <c r="C750" s="1" t="n">
        <v>45793</v>
      </c>
      <c r="D750" t="inlineStr">
        <is>
          <t>VÄSTMANLANDS LÄN</t>
        </is>
      </c>
      <c r="E750" t="inlineStr">
        <is>
          <t>SALA</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27038-2023</t>
        </is>
      </c>
      <c r="B751" s="1" t="n">
        <v>45095</v>
      </c>
      <c r="C751" s="1" t="n">
        <v>45793</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27228-2023</t>
        </is>
      </c>
      <c r="B752" s="1" t="n">
        <v>45096</v>
      </c>
      <c r="C752" s="1" t="n">
        <v>45793</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27255-2023</t>
        </is>
      </c>
      <c r="B753" s="1" t="n">
        <v>45096</v>
      </c>
      <c r="C753" s="1" t="n">
        <v>45793</v>
      </c>
      <c r="D753" t="inlineStr">
        <is>
          <t>VÄSTMANLANDS LÄN</t>
        </is>
      </c>
      <c r="E753" t="inlineStr">
        <is>
          <t>SALA</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27424-2023</t>
        </is>
      </c>
      <c r="B754" s="1" t="n">
        <v>45097</v>
      </c>
      <c r="C754" s="1" t="n">
        <v>45793</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27638-2023</t>
        </is>
      </c>
      <c r="B755" s="1" t="n">
        <v>45097</v>
      </c>
      <c r="C755" s="1" t="n">
        <v>45793</v>
      </c>
      <c r="D755" t="inlineStr">
        <is>
          <t>VÄSTMANLANDS LÄN</t>
        </is>
      </c>
      <c r="E755" t="inlineStr">
        <is>
          <t>SALA</t>
        </is>
      </c>
      <c r="G755" t="n">
        <v>8.4</v>
      </c>
      <c r="H755" t="n">
        <v>0</v>
      </c>
      <c r="I755" t="n">
        <v>0</v>
      </c>
      <c r="J755" t="n">
        <v>0</v>
      </c>
      <c r="K755" t="n">
        <v>0</v>
      </c>
      <c r="L755" t="n">
        <v>0</v>
      </c>
      <c r="M755" t="n">
        <v>0</v>
      </c>
      <c r="N755" t="n">
        <v>0</v>
      </c>
      <c r="O755" t="n">
        <v>0</v>
      </c>
      <c r="P755" t="n">
        <v>0</v>
      </c>
      <c r="Q755" t="n">
        <v>0</v>
      </c>
      <c r="R755" s="2" t="inlineStr"/>
    </row>
    <row r="756" ht="15" customHeight="1">
      <c r="A756" t="inlineStr">
        <is>
          <t>A 27657-2023</t>
        </is>
      </c>
      <c r="B756" s="1" t="n">
        <v>45097</v>
      </c>
      <c r="C756" s="1" t="n">
        <v>45793</v>
      </c>
      <c r="D756" t="inlineStr">
        <is>
          <t>VÄSTMANLANDS LÄN</t>
        </is>
      </c>
      <c r="E756" t="inlineStr">
        <is>
          <t>SALA</t>
        </is>
      </c>
      <c r="G756" t="n">
        <v>0.1</v>
      </c>
      <c r="H756" t="n">
        <v>0</v>
      </c>
      <c r="I756" t="n">
        <v>0</v>
      </c>
      <c r="J756" t="n">
        <v>0</v>
      </c>
      <c r="K756" t="n">
        <v>0</v>
      </c>
      <c r="L756" t="n">
        <v>0</v>
      </c>
      <c r="M756" t="n">
        <v>0</v>
      </c>
      <c r="N756" t="n">
        <v>0</v>
      </c>
      <c r="O756" t="n">
        <v>0</v>
      </c>
      <c r="P756" t="n">
        <v>0</v>
      </c>
      <c r="Q756" t="n">
        <v>0</v>
      </c>
      <c r="R756" s="2" t="inlineStr"/>
    </row>
    <row r="757" ht="15" customHeight="1">
      <c r="A757" t="inlineStr">
        <is>
          <t>A 27744-2023</t>
        </is>
      </c>
      <c r="B757" s="1" t="n">
        <v>45098</v>
      </c>
      <c r="C757" s="1" t="n">
        <v>45793</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27834-2023</t>
        </is>
      </c>
      <c r="B758" s="1" t="n">
        <v>45098</v>
      </c>
      <c r="C758" s="1" t="n">
        <v>45793</v>
      </c>
      <c r="D758" t="inlineStr">
        <is>
          <t>VÄSTMANLANDS LÄN</t>
        </is>
      </c>
      <c r="E758" t="inlineStr">
        <is>
          <t>SALA</t>
        </is>
      </c>
      <c r="G758" t="n">
        <v>5</v>
      </c>
      <c r="H758" t="n">
        <v>0</v>
      </c>
      <c r="I758" t="n">
        <v>0</v>
      </c>
      <c r="J758" t="n">
        <v>0</v>
      </c>
      <c r="K758" t="n">
        <v>0</v>
      </c>
      <c r="L758" t="n">
        <v>0</v>
      </c>
      <c r="M758" t="n">
        <v>0</v>
      </c>
      <c r="N758" t="n">
        <v>0</v>
      </c>
      <c r="O758" t="n">
        <v>0</v>
      </c>
      <c r="P758" t="n">
        <v>0</v>
      </c>
      <c r="Q758" t="n">
        <v>0</v>
      </c>
      <c r="R758" s="2" t="inlineStr"/>
    </row>
    <row r="759" ht="15" customHeight="1">
      <c r="A759" t="inlineStr">
        <is>
          <t>A 27824-2023</t>
        </is>
      </c>
      <c r="B759" s="1" t="n">
        <v>45098</v>
      </c>
      <c r="C759" s="1" t="n">
        <v>45793</v>
      </c>
      <c r="D759" t="inlineStr">
        <is>
          <t>VÄSTMANLANDS LÄN</t>
        </is>
      </c>
      <c r="E759" t="inlineStr">
        <is>
          <t>SALA</t>
        </is>
      </c>
      <c r="G759" t="n">
        <v>5.3</v>
      </c>
      <c r="H759" t="n">
        <v>0</v>
      </c>
      <c r="I759" t="n">
        <v>0</v>
      </c>
      <c r="J759" t="n">
        <v>0</v>
      </c>
      <c r="K759" t="n">
        <v>0</v>
      </c>
      <c r="L759" t="n">
        <v>0</v>
      </c>
      <c r="M759" t="n">
        <v>0</v>
      </c>
      <c r="N759" t="n">
        <v>0</v>
      </c>
      <c r="O759" t="n">
        <v>0</v>
      </c>
      <c r="P759" t="n">
        <v>0</v>
      </c>
      <c r="Q759" t="n">
        <v>0</v>
      </c>
      <c r="R759" s="2" t="inlineStr"/>
    </row>
    <row r="760" ht="15" customHeight="1">
      <c r="A760" t="inlineStr">
        <is>
          <t>A 27749-2023</t>
        </is>
      </c>
      <c r="B760" s="1" t="n">
        <v>45098</v>
      </c>
      <c r="C760" s="1" t="n">
        <v>45793</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29542-2023</t>
        </is>
      </c>
      <c r="B761" s="1" t="n">
        <v>45098</v>
      </c>
      <c r="C761" s="1" t="n">
        <v>45793</v>
      </c>
      <c r="D761" t="inlineStr">
        <is>
          <t>VÄSTMANLANDS LÄN</t>
        </is>
      </c>
      <c r="E761" t="inlineStr">
        <is>
          <t>SALA</t>
        </is>
      </c>
      <c r="G761" t="n">
        <v>4.8</v>
      </c>
      <c r="H761" t="n">
        <v>0</v>
      </c>
      <c r="I761" t="n">
        <v>0</v>
      </c>
      <c r="J761" t="n">
        <v>0</v>
      </c>
      <c r="K761" t="n">
        <v>0</v>
      </c>
      <c r="L761" t="n">
        <v>0</v>
      </c>
      <c r="M761" t="n">
        <v>0</v>
      </c>
      <c r="N761" t="n">
        <v>0</v>
      </c>
      <c r="O761" t="n">
        <v>0</v>
      </c>
      <c r="P761" t="n">
        <v>0</v>
      </c>
      <c r="Q761" t="n">
        <v>0</v>
      </c>
      <c r="R761" s="2" t="inlineStr"/>
    </row>
    <row r="762" ht="15" customHeight="1">
      <c r="A762" t="inlineStr">
        <is>
          <t>A 28328-2023</t>
        </is>
      </c>
      <c r="B762" s="1" t="n">
        <v>45099</v>
      </c>
      <c r="C762" s="1" t="n">
        <v>45793</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28696-2023</t>
        </is>
      </c>
      <c r="B763" s="1" t="n">
        <v>45103</v>
      </c>
      <c r="C763" s="1" t="n">
        <v>45793</v>
      </c>
      <c r="D763" t="inlineStr">
        <is>
          <t>VÄSTMANLANDS LÄN</t>
        </is>
      </c>
      <c r="E763" t="inlineStr">
        <is>
          <t>SALA</t>
        </is>
      </c>
      <c r="F763" t="inlineStr">
        <is>
          <t>Kommuner</t>
        </is>
      </c>
      <c r="G763" t="n">
        <v>5.9</v>
      </c>
      <c r="H763" t="n">
        <v>0</v>
      </c>
      <c r="I763" t="n">
        <v>0</v>
      </c>
      <c r="J763" t="n">
        <v>0</v>
      </c>
      <c r="K763" t="n">
        <v>0</v>
      </c>
      <c r="L763" t="n">
        <v>0</v>
      </c>
      <c r="M763" t="n">
        <v>0</v>
      </c>
      <c r="N763" t="n">
        <v>0</v>
      </c>
      <c r="O763" t="n">
        <v>0</v>
      </c>
      <c r="P763" t="n">
        <v>0</v>
      </c>
      <c r="Q763" t="n">
        <v>0</v>
      </c>
      <c r="R763" s="2" t="inlineStr"/>
    </row>
    <row r="764" ht="15" customHeight="1">
      <c r="A764" t="inlineStr">
        <is>
          <t>A 29241-2023</t>
        </is>
      </c>
      <c r="B764" s="1" t="n">
        <v>45105</v>
      </c>
      <c r="C764" s="1" t="n">
        <v>45793</v>
      </c>
      <c r="D764" t="inlineStr">
        <is>
          <t>VÄSTMANLANDS LÄN</t>
        </is>
      </c>
      <c r="E764" t="inlineStr">
        <is>
          <t>SALA</t>
        </is>
      </c>
      <c r="F764" t="inlineStr">
        <is>
          <t>Kommuner</t>
        </is>
      </c>
      <c r="G764" t="n">
        <v>4.8</v>
      </c>
      <c r="H764" t="n">
        <v>0</v>
      </c>
      <c r="I764" t="n">
        <v>0</v>
      </c>
      <c r="J764" t="n">
        <v>0</v>
      </c>
      <c r="K764" t="n">
        <v>0</v>
      </c>
      <c r="L764" t="n">
        <v>0</v>
      </c>
      <c r="M764" t="n">
        <v>0</v>
      </c>
      <c r="N764" t="n">
        <v>0</v>
      </c>
      <c r="O764" t="n">
        <v>0</v>
      </c>
      <c r="P764" t="n">
        <v>0</v>
      </c>
      <c r="Q764" t="n">
        <v>0</v>
      </c>
      <c r="R764" s="2" t="inlineStr"/>
    </row>
    <row r="765" ht="15" customHeight="1">
      <c r="A765" t="inlineStr">
        <is>
          <t>A 31945-2023</t>
        </is>
      </c>
      <c r="B765" s="1" t="n">
        <v>45107</v>
      </c>
      <c r="C765" s="1" t="n">
        <v>45793</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31950-2023</t>
        </is>
      </c>
      <c r="B766" s="1" t="n">
        <v>45107</v>
      </c>
      <c r="C766" s="1" t="n">
        <v>45793</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31953-2023</t>
        </is>
      </c>
      <c r="B767" s="1" t="n">
        <v>45107</v>
      </c>
      <c r="C767" s="1" t="n">
        <v>45793</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31298-2023</t>
        </is>
      </c>
      <c r="B768" s="1" t="n">
        <v>45114</v>
      </c>
      <c r="C768" s="1" t="n">
        <v>45793</v>
      </c>
      <c r="D768" t="inlineStr">
        <is>
          <t>VÄSTMANLANDS LÄN</t>
        </is>
      </c>
      <c r="E768" t="inlineStr">
        <is>
          <t>SALA</t>
        </is>
      </c>
      <c r="G768" t="n">
        <v>3</v>
      </c>
      <c r="H768" t="n">
        <v>0</v>
      </c>
      <c r="I768" t="n">
        <v>0</v>
      </c>
      <c r="J768" t="n">
        <v>0</v>
      </c>
      <c r="K768" t="n">
        <v>0</v>
      </c>
      <c r="L768" t="n">
        <v>0</v>
      </c>
      <c r="M768" t="n">
        <v>0</v>
      </c>
      <c r="N768" t="n">
        <v>0</v>
      </c>
      <c r="O768" t="n">
        <v>0</v>
      </c>
      <c r="P768" t="n">
        <v>0</v>
      </c>
      <c r="Q768" t="n">
        <v>0</v>
      </c>
      <c r="R768" s="2" t="inlineStr"/>
    </row>
    <row r="769" ht="15" customHeight="1">
      <c r="A769" t="inlineStr">
        <is>
          <t>A 31315-2023</t>
        </is>
      </c>
      <c r="B769" s="1" t="n">
        <v>45114</v>
      </c>
      <c r="C769" s="1" t="n">
        <v>45793</v>
      </c>
      <c r="D769" t="inlineStr">
        <is>
          <t>VÄSTMANLANDS LÄN</t>
        </is>
      </c>
      <c r="E769" t="inlineStr">
        <is>
          <t>SALA</t>
        </is>
      </c>
      <c r="G769" t="n">
        <v>1.7</v>
      </c>
      <c r="H769" t="n">
        <v>0</v>
      </c>
      <c r="I769" t="n">
        <v>0</v>
      </c>
      <c r="J769" t="n">
        <v>0</v>
      </c>
      <c r="K769" t="n">
        <v>0</v>
      </c>
      <c r="L769" t="n">
        <v>0</v>
      </c>
      <c r="M769" t="n">
        <v>0</v>
      </c>
      <c r="N769" t="n">
        <v>0</v>
      </c>
      <c r="O769" t="n">
        <v>0</v>
      </c>
      <c r="P769" t="n">
        <v>0</v>
      </c>
      <c r="Q769" t="n">
        <v>0</v>
      </c>
      <c r="R769" s="2" t="inlineStr"/>
    </row>
    <row r="770" ht="15" customHeight="1">
      <c r="A770" t="inlineStr">
        <is>
          <t>A 31646-2023</t>
        </is>
      </c>
      <c r="B770" s="1" t="n">
        <v>45117</v>
      </c>
      <c r="C770" s="1" t="n">
        <v>45793</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31859-2023</t>
        </is>
      </c>
      <c r="B771" s="1" t="n">
        <v>45118</v>
      </c>
      <c r="C771" s="1" t="n">
        <v>45793</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c r="U771">
        <f>HYPERLINK("https://klasma.github.io/Logging_1981/knärot/A 31859-2023 karta knärot.png", "A 31859-2023")</f>
        <v/>
      </c>
      <c r="V771">
        <f>HYPERLINK("https://klasma.github.io/Logging_1981/klagomål/A 31859-2023 FSC-klagomål.docx", "A 31859-2023")</f>
        <v/>
      </c>
      <c r="W771">
        <f>HYPERLINK("https://klasma.github.io/Logging_1981/klagomålsmail/A 31859-2023 FSC-klagomål mail.docx", "A 31859-2023")</f>
        <v/>
      </c>
      <c r="X771">
        <f>HYPERLINK("https://klasma.github.io/Logging_1981/tillsyn/A 31859-2023 tillsynsbegäran.docx", "A 31859-2023")</f>
        <v/>
      </c>
      <c r="Y771">
        <f>HYPERLINK("https://klasma.github.io/Logging_1981/tillsynsmail/A 31859-2023 tillsynsbegäran mail.docx", "A 31859-2023")</f>
        <v/>
      </c>
    </row>
    <row r="772" ht="15" customHeight="1">
      <c r="A772" t="inlineStr">
        <is>
          <t>A 32945-2023</t>
        </is>
      </c>
      <c r="B772" s="1" t="n">
        <v>45125</v>
      </c>
      <c r="C772" s="1" t="n">
        <v>45793</v>
      </c>
      <c r="D772" t="inlineStr">
        <is>
          <t>VÄSTMANLANDS LÄN</t>
        </is>
      </c>
      <c r="E772" t="inlineStr">
        <is>
          <t>SALA</t>
        </is>
      </c>
      <c r="G772" t="n">
        <v>1.5</v>
      </c>
      <c r="H772" t="n">
        <v>0</v>
      </c>
      <c r="I772" t="n">
        <v>0</v>
      </c>
      <c r="J772" t="n">
        <v>0</v>
      </c>
      <c r="K772" t="n">
        <v>0</v>
      </c>
      <c r="L772" t="n">
        <v>0</v>
      </c>
      <c r="M772" t="n">
        <v>0</v>
      </c>
      <c r="N772" t="n">
        <v>0</v>
      </c>
      <c r="O772" t="n">
        <v>0</v>
      </c>
      <c r="P772" t="n">
        <v>0</v>
      </c>
      <c r="Q772" t="n">
        <v>0</v>
      </c>
      <c r="R772" s="2" t="inlineStr"/>
    </row>
    <row r="773" ht="15" customHeight="1">
      <c r="A773" t="inlineStr">
        <is>
          <t>A 33152-2023</t>
        </is>
      </c>
      <c r="B773" s="1" t="n">
        <v>45126</v>
      </c>
      <c r="C773" s="1" t="n">
        <v>45793</v>
      </c>
      <c r="D773" t="inlineStr">
        <is>
          <t>VÄSTMANLANDS LÄN</t>
        </is>
      </c>
      <c r="E773" t="inlineStr">
        <is>
          <t>SALA</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33151-2023</t>
        </is>
      </c>
      <c r="B774" s="1" t="n">
        <v>45126</v>
      </c>
      <c r="C774" s="1" t="n">
        <v>45793</v>
      </c>
      <c r="D774" t="inlineStr">
        <is>
          <t>VÄSTMANLANDS LÄN</t>
        </is>
      </c>
      <c r="E774" t="inlineStr">
        <is>
          <t>SALA</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33180-2023</t>
        </is>
      </c>
      <c r="B775" s="1" t="n">
        <v>45127</v>
      </c>
      <c r="C775" s="1" t="n">
        <v>45793</v>
      </c>
      <c r="D775" t="inlineStr">
        <is>
          <t>VÄSTMANLANDS LÄN</t>
        </is>
      </c>
      <c r="E775" t="inlineStr">
        <is>
          <t>SALA</t>
        </is>
      </c>
      <c r="G775" t="n">
        <v>2.5</v>
      </c>
      <c r="H775" t="n">
        <v>0</v>
      </c>
      <c r="I775" t="n">
        <v>0</v>
      </c>
      <c r="J775" t="n">
        <v>0</v>
      </c>
      <c r="K775" t="n">
        <v>0</v>
      </c>
      <c r="L775" t="n">
        <v>0</v>
      </c>
      <c r="M775" t="n">
        <v>0</v>
      </c>
      <c r="N775" t="n">
        <v>0</v>
      </c>
      <c r="O775" t="n">
        <v>0</v>
      </c>
      <c r="P775" t="n">
        <v>0</v>
      </c>
      <c r="Q775" t="n">
        <v>0</v>
      </c>
      <c r="R775" s="2" t="inlineStr"/>
    </row>
    <row r="776" ht="15" customHeight="1">
      <c r="A776" t="inlineStr">
        <is>
          <t>A 33273-2023</t>
        </is>
      </c>
      <c r="B776" s="1" t="n">
        <v>45127</v>
      </c>
      <c r="C776" s="1" t="n">
        <v>45793</v>
      </c>
      <c r="D776" t="inlineStr">
        <is>
          <t>VÄSTMANLANDS LÄN</t>
        </is>
      </c>
      <c r="E776" t="inlineStr">
        <is>
          <t>SALA</t>
        </is>
      </c>
      <c r="G776" t="n">
        <v>2.6</v>
      </c>
      <c r="H776" t="n">
        <v>0</v>
      </c>
      <c r="I776" t="n">
        <v>0</v>
      </c>
      <c r="J776" t="n">
        <v>0</v>
      </c>
      <c r="K776" t="n">
        <v>0</v>
      </c>
      <c r="L776" t="n">
        <v>0</v>
      </c>
      <c r="M776" t="n">
        <v>0</v>
      </c>
      <c r="N776" t="n">
        <v>0</v>
      </c>
      <c r="O776" t="n">
        <v>0</v>
      </c>
      <c r="P776" t="n">
        <v>0</v>
      </c>
      <c r="Q776" t="n">
        <v>0</v>
      </c>
      <c r="R776" s="2" t="inlineStr"/>
    </row>
    <row r="777" ht="15" customHeight="1">
      <c r="A777" t="inlineStr">
        <is>
          <t>A 33527-2023</t>
        </is>
      </c>
      <c r="B777" s="1" t="n">
        <v>45131</v>
      </c>
      <c r="C777" s="1" t="n">
        <v>45793</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34361-2023</t>
        </is>
      </c>
      <c r="B778" s="1" t="n">
        <v>45131</v>
      </c>
      <c r="C778" s="1" t="n">
        <v>45793</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33732-2023</t>
        </is>
      </c>
      <c r="B779" s="1" t="n">
        <v>45133</v>
      </c>
      <c r="C779" s="1" t="n">
        <v>45793</v>
      </c>
      <c r="D779" t="inlineStr">
        <is>
          <t>VÄSTMANLANDS LÄN</t>
        </is>
      </c>
      <c r="E779" t="inlineStr">
        <is>
          <t>SALA</t>
        </is>
      </c>
      <c r="G779" t="n">
        <v>2</v>
      </c>
      <c r="H779" t="n">
        <v>0</v>
      </c>
      <c r="I779" t="n">
        <v>0</v>
      </c>
      <c r="J779" t="n">
        <v>0</v>
      </c>
      <c r="K779" t="n">
        <v>0</v>
      </c>
      <c r="L779" t="n">
        <v>0</v>
      </c>
      <c r="M779" t="n">
        <v>0</v>
      </c>
      <c r="N779" t="n">
        <v>0</v>
      </c>
      <c r="O779" t="n">
        <v>0</v>
      </c>
      <c r="P779" t="n">
        <v>0</v>
      </c>
      <c r="Q779" t="n">
        <v>0</v>
      </c>
      <c r="R779" s="2" t="inlineStr"/>
    </row>
    <row r="780" ht="15" customHeight="1">
      <c r="A780" t="inlineStr">
        <is>
          <t>A 33743-2023</t>
        </is>
      </c>
      <c r="B780" s="1" t="n">
        <v>45133</v>
      </c>
      <c r="C780" s="1" t="n">
        <v>45793</v>
      </c>
      <c r="D780" t="inlineStr">
        <is>
          <t>VÄSTMANLANDS LÄN</t>
        </is>
      </c>
      <c r="E780" t="inlineStr">
        <is>
          <t>SALA</t>
        </is>
      </c>
      <c r="G780" t="n">
        <v>4.6</v>
      </c>
      <c r="H780" t="n">
        <v>0</v>
      </c>
      <c r="I780" t="n">
        <v>0</v>
      </c>
      <c r="J780" t="n">
        <v>0</v>
      </c>
      <c r="K780" t="n">
        <v>0</v>
      </c>
      <c r="L780" t="n">
        <v>0</v>
      </c>
      <c r="M780" t="n">
        <v>0</v>
      </c>
      <c r="N780" t="n">
        <v>0</v>
      </c>
      <c r="O780" t="n">
        <v>0</v>
      </c>
      <c r="P780" t="n">
        <v>0</v>
      </c>
      <c r="Q780" t="n">
        <v>0</v>
      </c>
      <c r="R780" s="2" t="inlineStr"/>
    </row>
    <row r="781" ht="15" customHeight="1">
      <c r="A781" t="inlineStr">
        <is>
          <t>A 34494-2023</t>
        </is>
      </c>
      <c r="B781" s="1" t="n">
        <v>45133</v>
      </c>
      <c r="C781" s="1" t="n">
        <v>45793</v>
      </c>
      <c r="D781" t="inlineStr">
        <is>
          <t>VÄSTMANLANDS LÄN</t>
        </is>
      </c>
      <c r="E781" t="inlineStr">
        <is>
          <t>SALA</t>
        </is>
      </c>
      <c r="G781" t="n">
        <v>0.8</v>
      </c>
      <c r="H781" t="n">
        <v>0</v>
      </c>
      <c r="I781" t="n">
        <v>0</v>
      </c>
      <c r="J781" t="n">
        <v>0</v>
      </c>
      <c r="K781" t="n">
        <v>0</v>
      </c>
      <c r="L781" t="n">
        <v>0</v>
      </c>
      <c r="M781" t="n">
        <v>0</v>
      </c>
      <c r="N781" t="n">
        <v>0</v>
      </c>
      <c r="O781" t="n">
        <v>0</v>
      </c>
      <c r="P781" t="n">
        <v>0</v>
      </c>
      <c r="Q781" t="n">
        <v>0</v>
      </c>
      <c r="R781" s="2" t="inlineStr"/>
    </row>
    <row r="782" ht="15" customHeight="1">
      <c r="A782" t="inlineStr">
        <is>
          <t>A 34215-2023</t>
        </is>
      </c>
      <c r="B782" s="1" t="n">
        <v>45138</v>
      </c>
      <c r="C782" s="1" t="n">
        <v>45793</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34867-2023</t>
        </is>
      </c>
      <c r="B783" s="1" t="n">
        <v>45142</v>
      </c>
      <c r="C783" s="1" t="n">
        <v>45793</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35434-2023</t>
        </is>
      </c>
      <c r="B784" s="1" t="n">
        <v>45146</v>
      </c>
      <c r="C784" s="1" t="n">
        <v>45793</v>
      </c>
      <c r="D784" t="inlineStr">
        <is>
          <t>VÄSTMANLANDS LÄN</t>
        </is>
      </c>
      <c r="E784" t="inlineStr">
        <is>
          <t>SALA</t>
        </is>
      </c>
      <c r="G784" t="n">
        <v>2.5</v>
      </c>
      <c r="H784" t="n">
        <v>0</v>
      </c>
      <c r="I784" t="n">
        <v>0</v>
      </c>
      <c r="J784" t="n">
        <v>0</v>
      </c>
      <c r="K784" t="n">
        <v>0</v>
      </c>
      <c r="L784" t="n">
        <v>0</v>
      </c>
      <c r="M784" t="n">
        <v>0</v>
      </c>
      <c r="N784" t="n">
        <v>0</v>
      </c>
      <c r="O784" t="n">
        <v>0</v>
      </c>
      <c r="P784" t="n">
        <v>0</v>
      </c>
      <c r="Q784" t="n">
        <v>0</v>
      </c>
      <c r="R784" s="2" t="inlineStr"/>
    </row>
    <row r="785" ht="15" customHeight="1">
      <c r="A785" t="inlineStr">
        <is>
          <t>A 36393-2023</t>
        </is>
      </c>
      <c r="B785" s="1" t="n">
        <v>45152</v>
      </c>
      <c r="C785" s="1" t="n">
        <v>45793</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36858-2023</t>
        </is>
      </c>
      <c r="B786" s="1" t="n">
        <v>45154</v>
      </c>
      <c r="C786" s="1" t="n">
        <v>45793</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38773-2023</t>
        </is>
      </c>
      <c r="B787" s="1" t="n">
        <v>45161</v>
      </c>
      <c r="C787" s="1" t="n">
        <v>45793</v>
      </c>
      <c r="D787" t="inlineStr">
        <is>
          <t>VÄSTMANLANDS LÄN</t>
        </is>
      </c>
      <c r="E787" t="inlineStr">
        <is>
          <t>SALA</t>
        </is>
      </c>
      <c r="G787" t="n">
        <v>12.5</v>
      </c>
      <c r="H787" t="n">
        <v>0</v>
      </c>
      <c r="I787" t="n">
        <v>0</v>
      </c>
      <c r="J787" t="n">
        <v>0</v>
      </c>
      <c r="K787" t="n">
        <v>0</v>
      </c>
      <c r="L787" t="n">
        <v>0</v>
      </c>
      <c r="M787" t="n">
        <v>0</v>
      </c>
      <c r="N787" t="n">
        <v>0</v>
      </c>
      <c r="O787" t="n">
        <v>0</v>
      </c>
      <c r="P787" t="n">
        <v>0</v>
      </c>
      <c r="Q787" t="n">
        <v>0</v>
      </c>
      <c r="R787" s="2" t="inlineStr"/>
    </row>
    <row r="788" ht="15" customHeight="1">
      <c r="A788" t="inlineStr">
        <is>
          <t>A 38561-2023</t>
        </is>
      </c>
      <c r="B788" s="1" t="n">
        <v>45162</v>
      </c>
      <c r="C788" s="1" t="n">
        <v>45793</v>
      </c>
      <c r="D788" t="inlineStr">
        <is>
          <t>VÄSTMANLANDS LÄN</t>
        </is>
      </c>
      <c r="E788" t="inlineStr">
        <is>
          <t>SALA</t>
        </is>
      </c>
      <c r="G788" t="n">
        <v>2.9</v>
      </c>
      <c r="H788" t="n">
        <v>0</v>
      </c>
      <c r="I788" t="n">
        <v>0</v>
      </c>
      <c r="J788" t="n">
        <v>0</v>
      </c>
      <c r="K788" t="n">
        <v>0</v>
      </c>
      <c r="L788" t="n">
        <v>0</v>
      </c>
      <c r="M788" t="n">
        <v>0</v>
      </c>
      <c r="N788" t="n">
        <v>0</v>
      </c>
      <c r="O788" t="n">
        <v>0</v>
      </c>
      <c r="P788" t="n">
        <v>0</v>
      </c>
      <c r="Q788" t="n">
        <v>0</v>
      </c>
      <c r="R788" s="2" t="inlineStr"/>
    </row>
    <row r="789" ht="15" customHeight="1">
      <c r="A789" t="inlineStr">
        <is>
          <t>A 39011-2023</t>
        </is>
      </c>
      <c r="B789" s="1" t="n">
        <v>45162</v>
      </c>
      <c r="C789" s="1" t="n">
        <v>45793</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39604-2023</t>
        </is>
      </c>
      <c r="B790" s="1" t="n">
        <v>45163</v>
      </c>
      <c r="C790" s="1" t="n">
        <v>45793</v>
      </c>
      <c r="D790" t="inlineStr">
        <is>
          <t>VÄSTMANLANDS LÄN</t>
        </is>
      </c>
      <c r="E790" t="inlineStr">
        <is>
          <t>SALA</t>
        </is>
      </c>
      <c r="G790" t="n">
        <v>2.7</v>
      </c>
      <c r="H790" t="n">
        <v>0</v>
      </c>
      <c r="I790" t="n">
        <v>0</v>
      </c>
      <c r="J790" t="n">
        <v>0</v>
      </c>
      <c r="K790" t="n">
        <v>0</v>
      </c>
      <c r="L790" t="n">
        <v>0</v>
      </c>
      <c r="M790" t="n">
        <v>0</v>
      </c>
      <c r="N790" t="n">
        <v>0</v>
      </c>
      <c r="O790" t="n">
        <v>0</v>
      </c>
      <c r="P790" t="n">
        <v>0</v>
      </c>
      <c r="Q790" t="n">
        <v>0</v>
      </c>
      <c r="R790" s="2" t="inlineStr"/>
    </row>
    <row r="791" ht="15" customHeight="1">
      <c r="A791" t="inlineStr">
        <is>
          <t>A 39714-2023</t>
        </is>
      </c>
      <c r="B791" s="1" t="n">
        <v>45167</v>
      </c>
      <c r="C791" s="1" t="n">
        <v>45793</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39708-2023</t>
        </is>
      </c>
      <c r="B792" s="1" t="n">
        <v>45167</v>
      </c>
      <c r="C792" s="1" t="n">
        <v>45793</v>
      </c>
      <c r="D792" t="inlineStr">
        <is>
          <t>VÄSTMANLANDS LÄN</t>
        </is>
      </c>
      <c r="E792" t="inlineStr">
        <is>
          <t>SALA</t>
        </is>
      </c>
      <c r="G792" t="n">
        <v>5.3</v>
      </c>
      <c r="H792" t="n">
        <v>0</v>
      </c>
      <c r="I792" t="n">
        <v>0</v>
      </c>
      <c r="J792" t="n">
        <v>0</v>
      </c>
      <c r="K792" t="n">
        <v>0</v>
      </c>
      <c r="L792" t="n">
        <v>0</v>
      </c>
      <c r="M792" t="n">
        <v>0</v>
      </c>
      <c r="N792" t="n">
        <v>0</v>
      </c>
      <c r="O792" t="n">
        <v>0</v>
      </c>
      <c r="P792" t="n">
        <v>0</v>
      </c>
      <c r="Q792" t="n">
        <v>0</v>
      </c>
      <c r="R792" s="2" t="inlineStr"/>
    </row>
    <row r="793" ht="15" customHeight="1">
      <c r="A793" t="inlineStr">
        <is>
          <t>A 39713-2023</t>
        </is>
      </c>
      <c r="B793" s="1" t="n">
        <v>45167</v>
      </c>
      <c r="C793" s="1" t="n">
        <v>45793</v>
      </c>
      <c r="D793" t="inlineStr">
        <is>
          <t>VÄSTMANLANDS LÄN</t>
        </is>
      </c>
      <c r="E793" t="inlineStr">
        <is>
          <t>SALA</t>
        </is>
      </c>
      <c r="G793" t="n">
        <v>3.1</v>
      </c>
      <c r="H793" t="n">
        <v>0</v>
      </c>
      <c r="I793" t="n">
        <v>0</v>
      </c>
      <c r="J793" t="n">
        <v>0</v>
      </c>
      <c r="K793" t="n">
        <v>0</v>
      </c>
      <c r="L793" t="n">
        <v>0</v>
      </c>
      <c r="M793" t="n">
        <v>0</v>
      </c>
      <c r="N793" t="n">
        <v>0</v>
      </c>
      <c r="O793" t="n">
        <v>0</v>
      </c>
      <c r="P793" t="n">
        <v>0</v>
      </c>
      <c r="Q793" t="n">
        <v>0</v>
      </c>
      <c r="R793" s="2" t="inlineStr"/>
    </row>
    <row r="794" ht="15" customHeight="1">
      <c r="A794" t="inlineStr">
        <is>
          <t>A 40214-2023</t>
        </is>
      </c>
      <c r="B794" s="1" t="n">
        <v>45169</v>
      </c>
      <c r="C794" s="1" t="n">
        <v>45793</v>
      </c>
      <c r="D794" t="inlineStr">
        <is>
          <t>VÄSTMANLANDS LÄN</t>
        </is>
      </c>
      <c r="E794" t="inlineStr">
        <is>
          <t>SALA</t>
        </is>
      </c>
      <c r="G794" t="n">
        <v>5.5</v>
      </c>
      <c r="H794" t="n">
        <v>0</v>
      </c>
      <c r="I794" t="n">
        <v>0</v>
      </c>
      <c r="J794" t="n">
        <v>0</v>
      </c>
      <c r="K794" t="n">
        <v>0</v>
      </c>
      <c r="L794" t="n">
        <v>0</v>
      </c>
      <c r="M794" t="n">
        <v>0</v>
      </c>
      <c r="N794" t="n">
        <v>0</v>
      </c>
      <c r="O794" t="n">
        <v>0</v>
      </c>
      <c r="P794" t="n">
        <v>0</v>
      </c>
      <c r="Q794" t="n">
        <v>0</v>
      </c>
      <c r="R794" s="2" t="inlineStr"/>
    </row>
    <row r="795" ht="15" customHeight="1">
      <c r="A795" t="inlineStr">
        <is>
          <t>A 41613-2023</t>
        </is>
      </c>
      <c r="B795" s="1" t="n">
        <v>45173</v>
      </c>
      <c r="C795" s="1" t="n">
        <v>45793</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41619-2023</t>
        </is>
      </c>
      <c r="B796" s="1" t="n">
        <v>45173</v>
      </c>
      <c r="C796" s="1" t="n">
        <v>45793</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42312-2023</t>
        </is>
      </c>
      <c r="B797" s="1" t="n">
        <v>45175</v>
      </c>
      <c r="C797" s="1" t="n">
        <v>45793</v>
      </c>
      <c r="D797" t="inlineStr">
        <is>
          <t>VÄSTMANLANDS LÄN</t>
        </is>
      </c>
      <c r="E797" t="inlineStr">
        <is>
          <t>SALA</t>
        </is>
      </c>
      <c r="G797" t="n">
        <v>2.2</v>
      </c>
      <c r="H797" t="n">
        <v>0</v>
      </c>
      <c r="I797" t="n">
        <v>0</v>
      </c>
      <c r="J797" t="n">
        <v>0</v>
      </c>
      <c r="K797" t="n">
        <v>0</v>
      </c>
      <c r="L797" t="n">
        <v>0</v>
      </c>
      <c r="M797" t="n">
        <v>0</v>
      </c>
      <c r="N797" t="n">
        <v>0</v>
      </c>
      <c r="O797" t="n">
        <v>0</v>
      </c>
      <c r="P797" t="n">
        <v>0</v>
      </c>
      <c r="Q797" t="n">
        <v>0</v>
      </c>
      <c r="R797" s="2" t="inlineStr"/>
    </row>
    <row r="798" ht="15" customHeight="1">
      <c r="A798" t="inlineStr">
        <is>
          <t>A 42938-2023</t>
        </is>
      </c>
      <c r="B798" s="1" t="n">
        <v>45179</v>
      </c>
      <c r="C798" s="1" t="n">
        <v>45793</v>
      </c>
      <c r="D798" t="inlineStr">
        <is>
          <t>VÄSTMANLANDS LÄN</t>
        </is>
      </c>
      <c r="E798" t="inlineStr">
        <is>
          <t>SALA</t>
        </is>
      </c>
      <c r="G798" t="n">
        <v>10.9</v>
      </c>
      <c r="H798" t="n">
        <v>0</v>
      </c>
      <c r="I798" t="n">
        <v>0</v>
      </c>
      <c r="J798" t="n">
        <v>0</v>
      </c>
      <c r="K798" t="n">
        <v>0</v>
      </c>
      <c r="L798" t="n">
        <v>0</v>
      </c>
      <c r="M798" t="n">
        <v>0</v>
      </c>
      <c r="N798" t="n">
        <v>0</v>
      </c>
      <c r="O798" t="n">
        <v>0</v>
      </c>
      <c r="P798" t="n">
        <v>0</v>
      </c>
      <c r="Q798" t="n">
        <v>0</v>
      </c>
      <c r="R798" s="2" t="inlineStr"/>
    </row>
    <row r="799" ht="15" customHeight="1">
      <c r="A799" t="inlineStr">
        <is>
          <t>A 42984-2023</t>
        </is>
      </c>
      <c r="B799" s="1" t="n">
        <v>45179</v>
      </c>
      <c r="C799" s="1" t="n">
        <v>45793</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42991-2023</t>
        </is>
      </c>
      <c r="B800" s="1" t="n">
        <v>45179</v>
      </c>
      <c r="C800" s="1" t="n">
        <v>45793</v>
      </c>
      <c r="D800" t="inlineStr">
        <is>
          <t>VÄSTMANLANDS LÄN</t>
        </is>
      </c>
      <c r="E800" t="inlineStr">
        <is>
          <t>SALA</t>
        </is>
      </c>
      <c r="G800" t="n">
        <v>3.6</v>
      </c>
      <c r="H800" t="n">
        <v>0</v>
      </c>
      <c r="I800" t="n">
        <v>0</v>
      </c>
      <c r="J800" t="n">
        <v>0</v>
      </c>
      <c r="K800" t="n">
        <v>0</v>
      </c>
      <c r="L800" t="n">
        <v>0</v>
      </c>
      <c r="M800" t="n">
        <v>0</v>
      </c>
      <c r="N800" t="n">
        <v>0</v>
      </c>
      <c r="O800" t="n">
        <v>0</v>
      </c>
      <c r="P800" t="n">
        <v>0</v>
      </c>
      <c r="Q800" t="n">
        <v>0</v>
      </c>
      <c r="R800" s="2" t="inlineStr"/>
    </row>
    <row r="801" ht="15" customHeight="1">
      <c r="A801" t="inlineStr">
        <is>
          <t>A 44247-2023</t>
        </is>
      </c>
      <c r="B801" s="1" t="n">
        <v>45182</v>
      </c>
      <c r="C801" s="1" t="n">
        <v>45793</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43188-2023</t>
        </is>
      </c>
      <c r="B802" s="1" t="n">
        <v>45183</v>
      </c>
      <c r="C802" s="1" t="n">
        <v>45793</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43184-2023</t>
        </is>
      </c>
      <c r="B803" s="1" t="n">
        <v>45183</v>
      </c>
      <c r="C803" s="1" t="n">
        <v>45793</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43205-2023</t>
        </is>
      </c>
      <c r="B804" s="1" t="n">
        <v>45183</v>
      </c>
      <c r="C804" s="1" t="n">
        <v>45793</v>
      </c>
      <c r="D804" t="inlineStr">
        <is>
          <t>VÄSTMANLANDS LÄN</t>
        </is>
      </c>
      <c r="E804" t="inlineStr">
        <is>
          <t>SALA</t>
        </is>
      </c>
      <c r="G804" t="n">
        <v>2.1</v>
      </c>
      <c r="H804" t="n">
        <v>0</v>
      </c>
      <c r="I804" t="n">
        <v>0</v>
      </c>
      <c r="J804" t="n">
        <v>0</v>
      </c>
      <c r="K804" t="n">
        <v>0</v>
      </c>
      <c r="L804" t="n">
        <v>0</v>
      </c>
      <c r="M804" t="n">
        <v>0</v>
      </c>
      <c r="N804" t="n">
        <v>0</v>
      </c>
      <c r="O804" t="n">
        <v>0</v>
      </c>
      <c r="P804" t="n">
        <v>0</v>
      </c>
      <c r="Q804" t="n">
        <v>0</v>
      </c>
      <c r="R804" s="2" t="inlineStr"/>
    </row>
    <row r="805" ht="15" customHeight="1">
      <c r="A805" t="inlineStr">
        <is>
          <t>A 43176-2023</t>
        </is>
      </c>
      <c r="B805" s="1" t="n">
        <v>45183</v>
      </c>
      <c r="C805" s="1" t="n">
        <v>45793</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43187-2023</t>
        </is>
      </c>
      <c r="B806" s="1" t="n">
        <v>45183</v>
      </c>
      <c r="C806" s="1" t="n">
        <v>45793</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43363-2023</t>
        </is>
      </c>
      <c r="B807" s="1" t="n">
        <v>45183</v>
      </c>
      <c r="C807" s="1" t="n">
        <v>45793</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43362-2023</t>
        </is>
      </c>
      <c r="B808" s="1" t="n">
        <v>45183</v>
      </c>
      <c r="C808" s="1" t="n">
        <v>45793</v>
      </c>
      <c r="D808" t="inlineStr">
        <is>
          <t>VÄSTMANLANDS LÄN</t>
        </is>
      </c>
      <c r="E808" t="inlineStr">
        <is>
          <t>SALA</t>
        </is>
      </c>
      <c r="G808" t="n">
        <v>2</v>
      </c>
      <c r="H808" t="n">
        <v>0</v>
      </c>
      <c r="I808" t="n">
        <v>0</v>
      </c>
      <c r="J808" t="n">
        <v>0</v>
      </c>
      <c r="K808" t="n">
        <v>0</v>
      </c>
      <c r="L808" t="n">
        <v>0</v>
      </c>
      <c r="M808" t="n">
        <v>0</v>
      </c>
      <c r="N808" t="n">
        <v>0</v>
      </c>
      <c r="O808" t="n">
        <v>0</v>
      </c>
      <c r="P808" t="n">
        <v>0</v>
      </c>
      <c r="Q808" t="n">
        <v>0</v>
      </c>
      <c r="R808" s="2" t="inlineStr"/>
    </row>
    <row r="809" ht="15" customHeight="1">
      <c r="A809" t="inlineStr">
        <is>
          <t>A 44713-2023</t>
        </is>
      </c>
      <c r="B809" s="1" t="n">
        <v>45184</v>
      </c>
      <c r="C809" s="1" t="n">
        <v>45793</v>
      </c>
      <c r="D809" t="inlineStr">
        <is>
          <t>VÄSTMANLANDS LÄN</t>
        </is>
      </c>
      <c r="E809" t="inlineStr">
        <is>
          <t>SALA</t>
        </is>
      </c>
      <c r="F809" t="inlineStr">
        <is>
          <t>Kyrkan</t>
        </is>
      </c>
      <c r="G809" t="n">
        <v>7.6</v>
      </c>
      <c r="H809" t="n">
        <v>0</v>
      </c>
      <c r="I809" t="n">
        <v>0</v>
      </c>
      <c r="J809" t="n">
        <v>0</v>
      </c>
      <c r="K809" t="n">
        <v>0</v>
      </c>
      <c r="L809" t="n">
        <v>0</v>
      </c>
      <c r="M809" t="n">
        <v>0</v>
      </c>
      <c r="N809" t="n">
        <v>0</v>
      </c>
      <c r="O809" t="n">
        <v>0</v>
      </c>
      <c r="P809" t="n">
        <v>0</v>
      </c>
      <c r="Q809" t="n">
        <v>0</v>
      </c>
      <c r="R809" s="2" t="inlineStr"/>
    </row>
    <row r="810" ht="15" customHeight="1">
      <c r="A810" t="inlineStr">
        <is>
          <t>A 44720-2023</t>
        </is>
      </c>
      <c r="B810" s="1" t="n">
        <v>45184</v>
      </c>
      <c r="C810" s="1" t="n">
        <v>45793</v>
      </c>
      <c r="D810" t="inlineStr">
        <is>
          <t>VÄSTMANLANDS LÄN</t>
        </is>
      </c>
      <c r="E810" t="inlineStr">
        <is>
          <t>SALA</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44297-2023</t>
        </is>
      </c>
      <c r="B811" s="1" t="n">
        <v>45188</v>
      </c>
      <c r="C811" s="1" t="n">
        <v>45793</v>
      </c>
      <c r="D811" t="inlineStr">
        <is>
          <t>VÄSTMANLANDS LÄN</t>
        </is>
      </c>
      <c r="E811" t="inlineStr">
        <is>
          <t>SALA</t>
        </is>
      </c>
      <c r="G811" t="n">
        <v>2.7</v>
      </c>
      <c r="H811" t="n">
        <v>0</v>
      </c>
      <c r="I811" t="n">
        <v>0</v>
      </c>
      <c r="J811" t="n">
        <v>0</v>
      </c>
      <c r="K811" t="n">
        <v>0</v>
      </c>
      <c r="L811" t="n">
        <v>0</v>
      </c>
      <c r="M811" t="n">
        <v>0</v>
      </c>
      <c r="N811" t="n">
        <v>0</v>
      </c>
      <c r="O811" t="n">
        <v>0</v>
      </c>
      <c r="P811" t="n">
        <v>0</v>
      </c>
      <c r="Q811" t="n">
        <v>0</v>
      </c>
      <c r="R811" s="2" t="inlineStr"/>
    </row>
    <row r="812" ht="15" customHeight="1">
      <c r="A812" t="inlineStr">
        <is>
          <t>A 44846-2023</t>
        </is>
      </c>
      <c r="B812" s="1" t="n">
        <v>45190</v>
      </c>
      <c r="C812" s="1" t="n">
        <v>45793</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44857-2023</t>
        </is>
      </c>
      <c r="B813" s="1" t="n">
        <v>45190</v>
      </c>
      <c r="C813" s="1" t="n">
        <v>45793</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46352-2023</t>
        </is>
      </c>
      <c r="B814" s="1" t="n">
        <v>45192</v>
      </c>
      <c r="C814" s="1" t="n">
        <v>45793</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46355-2023</t>
        </is>
      </c>
      <c r="B815" s="1" t="n">
        <v>45192</v>
      </c>
      <c r="C815" s="1" t="n">
        <v>45793</v>
      </c>
      <c r="D815" t="inlineStr">
        <is>
          <t>VÄSTMANLANDS LÄN</t>
        </is>
      </c>
      <c r="E815" t="inlineStr">
        <is>
          <t>SALA</t>
        </is>
      </c>
      <c r="G815" t="n">
        <v>12</v>
      </c>
      <c r="H815" t="n">
        <v>0</v>
      </c>
      <c r="I815" t="n">
        <v>0</v>
      </c>
      <c r="J815" t="n">
        <v>0</v>
      </c>
      <c r="K815" t="n">
        <v>0</v>
      </c>
      <c r="L815" t="n">
        <v>0</v>
      </c>
      <c r="M815" t="n">
        <v>0</v>
      </c>
      <c r="N815" t="n">
        <v>0</v>
      </c>
      <c r="O815" t="n">
        <v>0</v>
      </c>
      <c r="P815" t="n">
        <v>0</v>
      </c>
      <c r="Q815" t="n">
        <v>0</v>
      </c>
      <c r="R815" s="2" t="inlineStr"/>
    </row>
    <row r="816" ht="15" customHeight="1">
      <c r="A816" t="inlineStr">
        <is>
          <t>A 46350-2023</t>
        </is>
      </c>
      <c r="B816" s="1" t="n">
        <v>45192</v>
      </c>
      <c r="C816" s="1" t="n">
        <v>45793</v>
      </c>
      <c r="D816" t="inlineStr">
        <is>
          <t>VÄSTMANLANDS LÄN</t>
        </is>
      </c>
      <c r="E816" t="inlineStr">
        <is>
          <t>SALA</t>
        </is>
      </c>
      <c r="G816" t="n">
        <v>4.8</v>
      </c>
      <c r="H816" t="n">
        <v>0</v>
      </c>
      <c r="I816" t="n">
        <v>0</v>
      </c>
      <c r="J816" t="n">
        <v>0</v>
      </c>
      <c r="K816" t="n">
        <v>0</v>
      </c>
      <c r="L816" t="n">
        <v>0</v>
      </c>
      <c r="M816" t="n">
        <v>0</v>
      </c>
      <c r="N816" t="n">
        <v>0</v>
      </c>
      <c r="O816" t="n">
        <v>0</v>
      </c>
      <c r="P816" t="n">
        <v>0</v>
      </c>
      <c r="Q816" t="n">
        <v>0</v>
      </c>
      <c r="R816" s="2" t="inlineStr"/>
    </row>
    <row r="817" ht="15" customHeight="1">
      <c r="A817" t="inlineStr">
        <is>
          <t>A 45531-2023</t>
        </is>
      </c>
      <c r="B817" s="1" t="n">
        <v>45194</v>
      </c>
      <c r="C817" s="1" t="n">
        <v>45793</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45602-2023</t>
        </is>
      </c>
      <c r="B818" s="1" t="n">
        <v>45194</v>
      </c>
      <c r="C818" s="1" t="n">
        <v>45793</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45790-2023</t>
        </is>
      </c>
      <c r="B819" s="1" t="n">
        <v>45195</v>
      </c>
      <c r="C819" s="1" t="n">
        <v>45793</v>
      </c>
      <c r="D819" t="inlineStr">
        <is>
          <t>VÄSTMANLANDS LÄN</t>
        </is>
      </c>
      <c r="E819" t="inlineStr">
        <is>
          <t>SALA</t>
        </is>
      </c>
      <c r="G819" t="n">
        <v>5.7</v>
      </c>
      <c r="H819" t="n">
        <v>0</v>
      </c>
      <c r="I819" t="n">
        <v>0</v>
      </c>
      <c r="J819" t="n">
        <v>0</v>
      </c>
      <c r="K819" t="n">
        <v>0</v>
      </c>
      <c r="L819" t="n">
        <v>0</v>
      </c>
      <c r="M819" t="n">
        <v>0</v>
      </c>
      <c r="N819" t="n">
        <v>0</v>
      </c>
      <c r="O819" t="n">
        <v>0</v>
      </c>
      <c r="P819" t="n">
        <v>0</v>
      </c>
      <c r="Q819" t="n">
        <v>0</v>
      </c>
      <c r="R819" s="2" t="inlineStr"/>
    </row>
    <row r="820" ht="15" customHeight="1">
      <c r="A820" t="inlineStr">
        <is>
          <t>A 46226-2023</t>
        </is>
      </c>
      <c r="B820" s="1" t="n">
        <v>45196</v>
      </c>
      <c r="C820" s="1" t="n">
        <v>45793</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47501-2023</t>
        </is>
      </c>
      <c r="B821" s="1" t="n">
        <v>45202</v>
      </c>
      <c r="C821" s="1" t="n">
        <v>45793</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50876-2023</t>
        </is>
      </c>
      <c r="B822" s="1" t="n">
        <v>45211</v>
      </c>
      <c r="C822" s="1" t="n">
        <v>45793</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50241-2023</t>
        </is>
      </c>
      <c r="B823" s="1" t="n">
        <v>45216</v>
      </c>
      <c r="C823" s="1" t="n">
        <v>45793</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51203-2023</t>
        </is>
      </c>
      <c r="B824" s="1" t="n">
        <v>45219</v>
      </c>
      <c r="C824" s="1" t="n">
        <v>45793</v>
      </c>
      <c r="D824" t="inlineStr">
        <is>
          <t>VÄSTMANLANDS LÄN</t>
        </is>
      </c>
      <c r="E824" t="inlineStr">
        <is>
          <t>SALA</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51848-2023</t>
        </is>
      </c>
      <c r="B825" s="1" t="n">
        <v>45223</v>
      </c>
      <c r="C825" s="1" t="n">
        <v>45793</v>
      </c>
      <c r="D825" t="inlineStr">
        <is>
          <t>VÄSTMANLANDS LÄN</t>
        </is>
      </c>
      <c r="E825" t="inlineStr">
        <is>
          <t>SALA</t>
        </is>
      </c>
      <c r="G825" t="n">
        <v>7</v>
      </c>
      <c r="H825" t="n">
        <v>0</v>
      </c>
      <c r="I825" t="n">
        <v>0</v>
      </c>
      <c r="J825" t="n">
        <v>0</v>
      </c>
      <c r="K825" t="n">
        <v>0</v>
      </c>
      <c r="L825" t="n">
        <v>0</v>
      </c>
      <c r="M825" t="n">
        <v>0</v>
      </c>
      <c r="N825" t="n">
        <v>0</v>
      </c>
      <c r="O825" t="n">
        <v>0</v>
      </c>
      <c r="P825" t="n">
        <v>0</v>
      </c>
      <c r="Q825" t="n">
        <v>0</v>
      </c>
      <c r="R825" s="2" t="inlineStr"/>
    </row>
    <row r="826" ht="15" customHeight="1">
      <c r="A826" t="inlineStr">
        <is>
          <t>A 52654-2023</t>
        </is>
      </c>
      <c r="B826" s="1" t="n">
        <v>45225</v>
      </c>
      <c r="C826" s="1" t="n">
        <v>45793</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54910-2023</t>
        </is>
      </c>
      <c r="B827" s="1" t="n">
        <v>45229</v>
      </c>
      <c r="C827" s="1" t="n">
        <v>45793</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55024-2023</t>
        </is>
      </c>
      <c r="B828" s="1" t="n">
        <v>45229</v>
      </c>
      <c r="C828" s="1" t="n">
        <v>45793</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55032-2023</t>
        </is>
      </c>
      <c r="B829" s="1" t="n">
        <v>45229</v>
      </c>
      <c r="C829" s="1" t="n">
        <v>45793</v>
      </c>
      <c r="D829" t="inlineStr">
        <is>
          <t>VÄSTMANLANDS LÄN</t>
        </is>
      </c>
      <c r="E829" t="inlineStr">
        <is>
          <t>SALA</t>
        </is>
      </c>
      <c r="G829" t="n">
        <v>1.5</v>
      </c>
      <c r="H829" t="n">
        <v>0</v>
      </c>
      <c r="I829" t="n">
        <v>0</v>
      </c>
      <c r="J829" t="n">
        <v>0</v>
      </c>
      <c r="K829" t="n">
        <v>0</v>
      </c>
      <c r="L829" t="n">
        <v>0</v>
      </c>
      <c r="M829" t="n">
        <v>0</v>
      </c>
      <c r="N829" t="n">
        <v>0</v>
      </c>
      <c r="O829" t="n">
        <v>0</v>
      </c>
      <c r="P829" t="n">
        <v>0</v>
      </c>
      <c r="Q829" t="n">
        <v>0</v>
      </c>
      <c r="R829" s="2" t="inlineStr"/>
    </row>
    <row r="830" ht="15" customHeight="1">
      <c r="A830" t="inlineStr">
        <is>
          <t>A 55035-2023</t>
        </is>
      </c>
      <c r="B830" s="1" t="n">
        <v>45229</v>
      </c>
      <c r="C830" s="1" t="n">
        <v>45793</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55040-2023</t>
        </is>
      </c>
      <c r="B831" s="1" t="n">
        <v>45229</v>
      </c>
      <c r="C831" s="1" t="n">
        <v>45793</v>
      </c>
      <c r="D831" t="inlineStr">
        <is>
          <t>VÄSTMANLANDS LÄN</t>
        </is>
      </c>
      <c r="E831" t="inlineStr">
        <is>
          <t>SALA</t>
        </is>
      </c>
      <c r="G831" t="n">
        <v>3.3</v>
      </c>
      <c r="H831" t="n">
        <v>0</v>
      </c>
      <c r="I831" t="n">
        <v>0</v>
      </c>
      <c r="J831" t="n">
        <v>0</v>
      </c>
      <c r="K831" t="n">
        <v>0</v>
      </c>
      <c r="L831" t="n">
        <v>0</v>
      </c>
      <c r="M831" t="n">
        <v>0</v>
      </c>
      <c r="N831" t="n">
        <v>0</v>
      </c>
      <c r="O831" t="n">
        <v>0</v>
      </c>
      <c r="P831" t="n">
        <v>0</v>
      </c>
      <c r="Q831" t="n">
        <v>0</v>
      </c>
      <c r="R831" s="2" t="inlineStr"/>
    </row>
    <row r="832" ht="15" customHeight="1">
      <c r="A832" t="inlineStr">
        <is>
          <t>A 53877-2023</t>
        </is>
      </c>
      <c r="B832" s="1" t="n">
        <v>45231</v>
      </c>
      <c r="C832" s="1" t="n">
        <v>45793</v>
      </c>
      <c r="D832" t="inlineStr">
        <is>
          <t>VÄSTMANLANDS LÄN</t>
        </is>
      </c>
      <c r="E832" t="inlineStr">
        <is>
          <t>SALA</t>
        </is>
      </c>
      <c r="G832" t="n">
        <v>3.2</v>
      </c>
      <c r="H832" t="n">
        <v>0</v>
      </c>
      <c r="I832" t="n">
        <v>0</v>
      </c>
      <c r="J832" t="n">
        <v>0</v>
      </c>
      <c r="K832" t="n">
        <v>0</v>
      </c>
      <c r="L832" t="n">
        <v>0</v>
      </c>
      <c r="M832" t="n">
        <v>0</v>
      </c>
      <c r="N832" t="n">
        <v>0</v>
      </c>
      <c r="O832" t="n">
        <v>0</v>
      </c>
      <c r="P832" t="n">
        <v>0</v>
      </c>
      <c r="Q832" t="n">
        <v>0</v>
      </c>
      <c r="R832" s="2" t="inlineStr"/>
    </row>
    <row r="833" ht="15" customHeight="1">
      <c r="A833" t="inlineStr">
        <is>
          <t>A 53951-2023</t>
        </is>
      </c>
      <c r="B833" s="1" t="n">
        <v>45231</v>
      </c>
      <c r="C833" s="1" t="n">
        <v>45793</v>
      </c>
      <c r="D833" t="inlineStr">
        <is>
          <t>VÄSTMANLANDS LÄN</t>
        </is>
      </c>
      <c r="E833" t="inlineStr">
        <is>
          <t>SALA</t>
        </is>
      </c>
      <c r="F833" t="inlineStr">
        <is>
          <t>Kommuner</t>
        </is>
      </c>
      <c r="G833" t="n">
        <v>8.4</v>
      </c>
      <c r="H833" t="n">
        <v>0</v>
      </c>
      <c r="I833" t="n">
        <v>0</v>
      </c>
      <c r="J833" t="n">
        <v>0</v>
      </c>
      <c r="K833" t="n">
        <v>0</v>
      </c>
      <c r="L833" t="n">
        <v>0</v>
      </c>
      <c r="M833" t="n">
        <v>0</v>
      </c>
      <c r="N833" t="n">
        <v>0</v>
      </c>
      <c r="O833" t="n">
        <v>0</v>
      </c>
      <c r="P833" t="n">
        <v>0</v>
      </c>
      <c r="Q833" t="n">
        <v>0</v>
      </c>
      <c r="R833" s="2" t="inlineStr"/>
      <c r="U833">
        <f>HYPERLINK("https://klasma.github.io/Logging_1981/knärot/A 53951-2023 karta knärot.png", "A 53951-2023")</f>
        <v/>
      </c>
      <c r="V833">
        <f>HYPERLINK("https://klasma.github.io/Logging_1981/klagomål/A 53951-2023 FSC-klagomål.docx", "A 53951-2023")</f>
        <v/>
      </c>
      <c r="W833">
        <f>HYPERLINK("https://klasma.github.io/Logging_1981/klagomålsmail/A 53951-2023 FSC-klagomål mail.docx", "A 53951-2023")</f>
        <v/>
      </c>
      <c r="X833">
        <f>HYPERLINK("https://klasma.github.io/Logging_1981/tillsyn/A 53951-2023 tillsynsbegäran.docx", "A 53951-2023")</f>
        <v/>
      </c>
      <c r="Y833">
        <f>HYPERLINK("https://klasma.github.io/Logging_1981/tillsynsmail/A 53951-2023 tillsynsbegäran mail.docx", "A 53951-2023")</f>
        <v/>
      </c>
    </row>
    <row r="834" ht="15" customHeight="1">
      <c r="A834" t="inlineStr">
        <is>
          <t>A 54125-2023</t>
        </is>
      </c>
      <c r="B834" s="1" t="n">
        <v>45232</v>
      </c>
      <c r="C834" s="1" t="n">
        <v>45793</v>
      </c>
      <c r="D834" t="inlineStr">
        <is>
          <t>VÄSTMANLANDS LÄN</t>
        </is>
      </c>
      <c r="E834" t="inlineStr">
        <is>
          <t>SALA</t>
        </is>
      </c>
      <c r="G834" t="n">
        <v>3.7</v>
      </c>
      <c r="H834" t="n">
        <v>0</v>
      </c>
      <c r="I834" t="n">
        <v>0</v>
      </c>
      <c r="J834" t="n">
        <v>0</v>
      </c>
      <c r="K834" t="n">
        <v>0</v>
      </c>
      <c r="L834" t="n">
        <v>0</v>
      </c>
      <c r="M834" t="n">
        <v>0</v>
      </c>
      <c r="N834" t="n">
        <v>0</v>
      </c>
      <c r="O834" t="n">
        <v>0</v>
      </c>
      <c r="P834" t="n">
        <v>0</v>
      </c>
      <c r="Q834" t="n">
        <v>0</v>
      </c>
      <c r="R834" s="2" t="inlineStr"/>
    </row>
    <row r="835" ht="15" customHeight="1">
      <c r="A835" t="inlineStr">
        <is>
          <t>A 54114-2023</t>
        </is>
      </c>
      <c r="B835" s="1" t="n">
        <v>45232</v>
      </c>
      <c r="C835" s="1" t="n">
        <v>45793</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54118-2023</t>
        </is>
      </c>
      <c r="B836" s="1" t="n">
        <v>45232</v>
      </c>
      <c r="C836" s="1" t="n">
        <v>45793</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55556-2023</t>
        </is>
      </c>
      <c r="B837" s="1" t="n">
        <v>45232</v>
      </c>
      <c r="C837" s="1" t="n">
        <v>45793</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56057-2023</t>
        </is>
      </c>
      <c r="B838" s="1" t="n">
        <v>45233</v>
      </c>
      <c r="C838" s="1" t="n">
        <v>45793</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56064-2023</t>
        </is>
      </c>
      <c r="B839" s="1" t="n">
        <v>45233</v>
      </c>
      <c r="C839" s="1" t="n">
        <v>45793</v>
      </c>
      <c r="D839" t="inlineStr">
        <is>
          <t>VÄSTMANLANDS LÄN</t>
        </is>
      </c>
      <c r="E839" t="inlineStr">
        <is>
          <t>SALA</t>
        </is>
      </c>
      <c r="G839" t="n">
        <v>0.8</v>
      </c>
      <c r="H839" t="n">
        <v>0</v>
      </c>
      <c r="I839" t="n">
        <v>0</v>
      </c>
      <c r="J839" t="n">
        <v>0</v>
      </c>
      <c r="K839" t="n">
        <v>0</v>
      </c>
      <c r="L839" t="n">
        <v>0</v>
      </c>
      <c r="M839" t="n">
        <v>0</v>
      </c>
      <c r="N839" t="n">
        <v>0</v>
      </c>
      <c r="O839" t="n">
        <v>0</v>
      </c>
      <c r="P839" t="n">
        <v>0</v>
      </c>
      <c r="Q839" t="n">
        <v>0</v>
      </c>
      <c r="R839" s="2" t="inlineStr"/>
    </row>
    <row r="840" ht="15" customHeight="1">
      <c r="A840" t="inlineStr">
        <is>
          <t>A 55504-2023</t>
        </is>
      </c>
      <c r="B840" s="1" t="n">
        <v>45238</v>
      </c>
      <c r="C840" s="1" t="n">
        <v>45793</v>
      </c>
      <c r="D840" t="inlineStr">
        <is>
          <t>VÄSTMANLANDS LÄN</t>
        </is>
      </c>
      <c r="E840" t="inlineStr">
        <is>
          <t>SALA</t>
        </is>
      </c>
      <c r="G840" t="n">
        <v>4</v>
      </c>
      <c r="H840" t="n">
        <v>0</v>
      </c>
      <c r="I840" t="n">
        <v>0</v>
      </c>
      <c r="J840" t="n">
        <v>0</v>
      </c>
      <c r="K840" t="n">
        <v>0</v>
      </c>
      <c r="L840" t="n">
        <v>0</v>
      </c>
      <c r="M840" t="n">
        <v>0</v>
      </c>
      <c r="N840" t="n">
        <v>0</v>
      </c>
      <c r="O840" t="n">
        <v>0</v>
      </c>
      <c r="P840" t="n">
        <v>0</v>
      </c>
      <c r="Q840" t="n">
        <v>0</v>
      </c>
      <c r="R840" s="2" t="inlineStr"/>
    </row>
    <row r="841" ht="15" customHeight="1">
      <c r="A841" t="inlineStr">
        <is>
          <t>A 55474-2023</t>
        </is>
      </c>
      <c r="B841" s="1" t="n">
        <v>45238</v>
      </c>
      <c r="C841" s="1" t="n">
        <v>45793</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56956-2023</t>
        </is>
      </c>
      <c r="B842" s="1" t="n">
        <v>45244</v>
      </c>
      <c r="C842" s="1" t="n">
        <v>45793</v>
      </c>
      <c r="D842" t="inlineStr">
        <is>
          <t>VÄSTMANLANDS LÄN</t>
        </is>
      </c>
      <c r="E842" t="inlineStr">
        <is>
          <t>SALA</t>
        </is>
      </c>
      <c r="G842" t="n">
        <v>6.5</v>
      </c>
      <c r="H842" t="n">
        <v>0</v>
      </c>
      <c r="I842" t="n">
        <v>0</v>
      </c>
      <c r="J842" t="n">
        <v>0</v>
      </c>
      <c r="K842" t="n">
        <v>0</v>
      </c>
      <c r="L842" t="n">
        <v>0</v>
      </c>
      <c r="M842" t="n">
        <v>0</v>
      </c>
      <c r="N842" t="n">
        <v>0</v>
      </c>
      <c r="O842" t="n">
        <v>0</v>
      </c>
      <c r="P842" t="n">
        <v>0</v>
      </c>
      <c r="Q842" t="n">
        <v>0</v>
      </c>
      <c r="R842" s="2" t="inlineStr"/>
    </row>
    <row r="843" ht="15" customHeight="1">
      <c r="A843" t="inlineStr">
        <is>
          <t>A 56949-2023</t>
        </is>
      </c>
      <c r="B843" s="1" t="n">
        <v>45244</v>
      </c>
      <c r="C843" s="1" t="n">
        <v>45793</v>
      </c>
      <c r="D843" t="inlineStr">
        <is>
          <t>VÄSTMANLANDS LÄN</t>
        </is>
      </c>
      <c r="E843" t="inlineStr">
        <is>
          <t>SALA</t>
        </is>
      </c>
      <c r="G843" t="n">
        <v>4.7</v>
      </c>
      <c r="H843" t="n">
        <v>0</v>
      </c>
      <c r="I843" t="n">
        <v>0</v>
      </c>
      <c r="J843" t="n">
        <v>0</v>
      </c>
      <c r="K843" t="n">
        <v>0</v>
      </c>
      <c r="L843" t="n">
        <v>0</v>
      </c>
      <c r="M843" t="n">
        <v>0</v>
      </c>
      <c r="N843" t="n">
        <v>0</v>
      </c>
      <c r="O843" t="n">
        <v>0</v>
      </c>
      <c r="P843" t="n">
        <v>0</v>
      </c>
      <c r="Q843" t="n">
        <v>0</v>
      </c>
      <c r="R843" s="2" t="inlineStr"/>
    </row>
    <row r="844" ht="15" customHeight="1">
      <c r="A844" t="inlineStr">
        <is>
          <t>A 56964-2023</t>
        </is>
      </c>
      <c r="B844" s="1" t="n">
        <v>45244</v>
      </c>
      <c r="C844" s="1" t="n">
        <v>45793</v>
      </c>
      <c r="D844" t="inlineStr">
        <is>
          <t>VÄSTMANLANDS LÄN</t>
        </is>
      </c>
      <c r="E844" t="inlineStr">
        <is>
          <t>SALA</t>
        </is>
      </c>
      <c r="G844" t="n">
        <v>4.6</v>
      </c>
      <c r="H844" t="n">
        <v>0</v>
      </c>
      <c r="I844" t="n">
        <v>0</v>
      </c>
      <c r="J844" t="n">
        <v>0</v>
      </c>
      <c r="K844" t="n">
        <v>0</v>
      </c>
      <c r="L844" t="n">
        <v>0</v>
      </c>
      <c r="M844" t="n">
        <v>0</v>
      </c>
      <c r="N844" t="n">
        <v>0</v>
      </c>
      <c r="O844" t="n">
        <v>0</v>
      </c>
      <c r="P844" t="n">
        <v>0</v>
      </c>
      <c r="Q844" t="n">
        <v>0</v>
      </c>
      <c r="R844" s="2" t="inlineStr"/>
    </row>
    <row r="845" ht="15" customHeight="1">
      <c r="A845" t="inlineStr">
        <is>
          <t>A 58028-2023</t>
        </is>
      </c>
      <c r="B845" s="1" t="n">
        <v>45247</v>
      </c>
      <c r="C845" s="1" t="n">
        <v>45793</v>
      </c>
      <c r="D845" t="inlineStr">
        <is>
          <t>VÄSTMANLANDS LÄN</t>
        </is>
      </c>
      <c r="E845" t="inlineStr">
        <is>
          <t>SALA</t>
        </is>
      </c>
      <c r="G845" t="n">
        <v>19.6</v>
      </c>
      <c r="H845" t="n">
        <v>0</v>
      </c>
      <c r="I845" t="n">
        <v>0</v>
      </c>
      <c r="J845" t="n">
        <v>0</v>
      </c>
      <c r="K845" t="n">
        <v>0</v>
      </c>
      <c r="L845" t="n">
        <v>0</v>
      </c>
      <c r="M845" t="n">
        <v>0</v>
      </c>
      <c r="N845" t="n">
        <v>0</v>
      </c>
      <c r="O845" t="n">
        <v>0</v>
      </c>
      <c r="P845" t="n">
        <v>0</v>
      </c>
      <c r="Q845" t="n">
        <v>0</v>
      </c>
      <c r="R845" s="2" t="inlineStr"/>
    </row>
    <row r="846" ht="15" customHeight="1">
      <c r="A846" t="inlineStr">
        <is>
          <t>A 58113-2023</t>
        </is>
      </c>
      <c r="B846" s="1" t="n">
        <v>45249</v>
      </c>
      <c r="C846" s="1" t="n">
        <v>45793</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58271-2023</t>
        </is>
      </c>
      <c r="B847" s="1" t="n">
        <v>45250</v>
      </c>
      <c r="C847" s="1" t="n">
        <v>45793</v>
      </c>
      <c r="D847" t="inlineStr">
        <is>
          <t>VÄSTMANLANDS LÄN</t>
        </is>
      </c>
      <c r="E847" t="inlineStr">
        <is>
          <t>SALA</t>
        </is>
      </c>
      <c r="G847" t="n">
        <v>5.2</v>
      </c>
      <c r="H847" t="n">
        <v>0</v>
      </c>
      <c r="I847" t="n">
        <v>0</v>
      </c>
      <c r="J847" t="n">
        <v>0</v>
      </c>
      <c r="K847" t="n">
        <v>0</v>
      </c>
      <c r="L847" t="n">
        <v>0</v>
      </c>
      <c r="M847" t="n">
        <v>0</v>
      </c>
      <c r="N847" t="n">
        <v>0</v>
      </c>
      <c r="O847" t="n">
        <v>0</v>
      </c>
      <c r="P847" t="n">
        <v>0</v>
      </c>
      <c r="Q847" t="n">
        <v>0</v>
      </c>
      <c r="R847" s="2" t="inlineStr"/>
    </row>
    <row r="848" ht="15" customHeight="1">
      <c r="A848" t="inlineStr">
        <is>
          <t>A 58920-2023</t>
        </is>
      </c>
      <c r="B848" s="1" t="n">
        <v>45252</v>
      </c>
      <c r="C848" s="1" t="n">
        <v>45793</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58823-2023</t>
        </is>
      </c>
      <c r="B849" s="1" t="n">
        <v>45252</v>
      </c>
      <c r="C849" s="1" t="n">
        <v>45793</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59297-2023</t>
        </is>
      </c>
      <c r="B850" s="1" t="n">
        <v>45253</v>
      </c>
      <c r="C850" s="1" t="n">
        <v>45793</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59713-2023</t>
        </is>
      </c>
      <c r="B851" s="1" t="n">
        <v>45257</v>
      </c>
      <c r="C851" s="1" t="n">
        <v>45793</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59785-2023</t>
        </is>
      </c>
      <c r="B852" s="1" t="n">
        <v>45257</v>
      </c>
      <c r="C852" s="1" t="n">
        <v>45793</v>
      </c>
      <c r="D852" t="inlineStr">
        <is>
          <t>VÄSTMANLANDS LÄN</t>
        </is>
      </c>
      <c r="E852" t="inlineStr">
        <is>
          <t>SALA</t>
        </is>
      </c>
      <c r="G852" t="n">
        <v>2.2</v>
      </c>
      <c r="H852" t="n">
        <v>0</v>
      </c>
      <c r="I852" t="n">
        <v>0</v>
      </c>
      <c r="J852" t="n">
        <v>0</v>
      </c>
      <c r="K852" t="n">
        <v>0</v>
      </c>
      <c r="L852" t="n">
        <v>0</v>
      </c>
      <c r="M852" t="n">
        <v>0</v>
      </c>
      <c r="N852" t="n">
        <v>0</v>
      </c>
      <c r="O852" t="n">
        <v>0</v>
      </c>
      <c r="P852" t="n">
        <v>0</v>
      </c>
      <c r="Q852" t="n">
        <v>0</v>
      </c>
      <c r="R852" s="2" t="inlineStr"/>
    </row>
    <row r="853" ht="15" customHeight="1">
      <c r="A853" t="inlineStr">
        <is>
          <t>A 60249-2023</t>
        </is>
      </c>
      <c r="B853" s="1" t="n">
        <v>45258</v>
      </c>
      <c r="C853" s="1" t="n">
        <v>45793</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60731-2023</t>
        </is>
      </c>
      <c r="B854" s="1" t="n">
        <v>45260</v>
      </c>
      <c r="C854" s="1" t="n">
        <v>45793</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60730-2023</t>
        </is>
      </c>
      <c r="B855" s="1" t="n">
        <v>45260</v>
      </c>
      <c r="C855" s="1" t="n">
        <v>45793</v>
      </c>
      <c r="D855" t="inlineStr">
        <is>
          <t>VÄSTMANLANDS LÄN</t>
        </is>
      </c>
      <c r="E855" t="inlineStr">
        <is>
          <t>SALA</t>
        </is>
      </c>
      <c r="G855" t="n">
        <v>1.3</v>
      </c>
      <c r="H855" t="n">
        <v>0</v>
      </c>
      <c r="I855" t="n">
        <v>0</v>
      </c>
      <c r="J855" t="n">
        <v>0</v>
      </c>
      <c r="K855" t="n">
        <v>0</v>
      </c>
      <c r="L855" t="n">
        <v>0</v>
      </c>
      <c r="M855" t="n">
        <v>0</v>
      </c>
      <c r="N855" t="n">
        <v>0</v>
      </c>
      <c r="O855" t="n">
        <v>0</v>
      </c>
      <c r="P855" t="n">
        <v>0</v>
      </c>
      <c r="Q855" t="n">
        <v>0</v>
      </c>
      <c r="R855" s="2" t="inlineStr"/>
    </row>
    <row r="856" ht="15" customHeight="1">
      <c r="A856" t="inlineStr">
        <is>
          <t>A 61525-2023</t>
        </is>
      </c>
      <c r="B856" s="1" t="n">
        <v>45265</v>
      </c>
      <c r="C856" s="1" t="n">
        <v>45793</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c r="U856">
        <f>HYPERLINK("https://klasma.github.io/Logging_1981/knärot/A 61525-2023 karta knärot.png", "A 61525-2023")</f>
        <v/>
      </c>
      <c r="V856">
        <f>HYPERLINK("https://klasma.github.io/Logging_1981/klagomål/A 61525-2023 FSC-klagomål.docx", "A 61525-2023")</f>
        <v/>
      </c>
      <c r="W856">
        <f>HYPERLINK("https://klasma.github.io/Logging_1981/klagomålsmail/A 61525-2023 FSC-klagomål mail.docx", "A 61525-2023")</f>
        <v/>
      </c>
      <c r="X856">
        <f>HYPERLINK("https://klasma.github.io/Logging_1981/tillsyn/A 61525-2023 tillsynsbegäran.docx", "A 61525-2023")</f>
        <v/>
      </c>
      <c r="Y856">
        <f>HYPERLINK("https://klasma.github.io/Logging_1981/tillsynsmail/A 61525-2023 tillsynsbegäran mail.docx", "A 61525-2023")</f>
        <v/>
      </c>
    </row>
    <row r="857" ht="15" customHeight="1">
      <c r="A857" t="inlineStr">
        <is>
          <t>A 62449-2023</t>
        </is>
      </c>
      <c r="B857" s="1" t="n">
        <v>45268</v>
      </c>
      <c r="C857" s="1" t="n">
        <v>45793</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62630-2023</t>
        </is>
      </c>
      <c r="B858" s="1" t="n">
        <v>45271</v>
      </c>
      <c r="C858" s="1" t="n">
        <v>45793</v>
      </c>
      <c r="D858" t="inlineStr">
        <is>
          <t>VÄSTMANLANDS LÄN</t>
        </is>
      </c>
      <c r="E858" t="inlineStr">
        <is>
          <t>SALA</t>
        </is>
      </c>
      <c r="G858" t="n">
        <v>1.5</v>
      </c>
      <c r="H858" t="n">
        <v>0</v>
      </c>
      <c r="I858" t="n">
        <v>0</v>
      </c>
      <c r="J858" t="n">
        <v>0</v>
      </c>
      <c r="K858" t="n">
        <v>0</v>
      </c>
      <c r="L858" t="n">
        <v>0</v>
      </c>
      <c r="M858" t="n">
        <v>0</v>
      </c>
      <c r="N858" t="n">
        <v>0</v>
      </c>
      <c r="O858" t="n">
        <v>0</v>
      </c>
      <c r="P858" t="n">
        <v>0</v>
      </c>
      <c r="Q858" t="n">
        <v>0</v>
      </c>
      <c r="R858" s="2" t="inlineStr"/>
    </row>
    <row r="859" ht="15" customHeight="1">
      <c r="A859" t="inlineStr">
        <is>
          <t>A 63234-2023</t>
        </is>
      </c>
      <c r="B859" s="1" t="n">
        <v>45273</v>
      </c>
      <c r="C859" s="1" t="n">
        <v>45793</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63274-2023</t>
        </is>
      </c>
      <c r="B860" s="1" t="n">
        <v>45273</v>
      </c>
      <c r="C860" s="1" t="n">
        <v>45793</v>
      </c>
      <c r="D860" t="inlineStr">
        <is>
          <t>VÄSTMANLANDS LÄN</t>
        </is>
      </c>
      <c r="E860" t="inlineStr">
        <is>
          <t>SALA</t>
        </is>
      </c>
      <c r="G860" t="n">
        <v>2.1</v>
      </c>
      <c r="H860" t="n">
        <v>0</v>
      </c>
      <c r="I860" t="n">
        <v>0</v>
      </c>
      <c r="J860" t="n">
        <v>0</v>
      </c>
      <c r="K860" t="n">
        <v>0</v>
      </c>
      <c r="L860" t="n">
        <v>0</v>
      </c>
      <c r="M860" t="n">
        <v>0</v>
      </c>
      <c r="N860" t="n">
        <v>0</v>
      </c>
      <c r="O860" t="n">
        <v>0</v>
      </c>
      <c r="P860" t="n">
        <v>0</v>
      </c>
      <c r="Q860" t="n">
        <v>0</v>
      </c>
      <c r="R860" s="2" t="inlineStr"/>
    </row>
    <row r="861" ht="15" customHeight="1">
      <c r="A861" t="inlineStr">
        <is>
          <t>A 63466-2023</t>
        </is>
      </c>
      <c r="B861" s="1" t="n">
        <v>45274</v>
      </c>
      <c r="C861" s="1" t="n">
        <v>45793</v>
      </c>
      <c r="D861" t="inlineStr">
        <is>
          <t>VÄSTMANLANDS LÄN</t>
        </is>
      </c>
      <c r="E861" t="inlineStr">
        <is>
          <t>SALA</t>
        </is>
      </c>
      <c r="G861" t="n">
        <v>2.9</v>
      </c>
      <c r="H861" t="n">
        <v>0</v>
      </c>
      <c r="I861" t="n">
        <v>0</v>
      </c>
      <c r="J861" t="n">
        <v>0</v>
      </c>
      <c r="K861" t="n">
        <v>0</v>
      </c>
      <c r="L861" t="n">
        <v>0</v>
      </c>
      <c r="M861" t="n">
        <v>0</v>
      </c>
      <c r="N861" t="n">
        <v>0</v>
      </c>
      <c r="O861" t="n">
        <v>0</v>
      </c>
      <c r="P861" t="n">
        <v>0</v>
      </c>
      <c r="Q861" t="n">
        <v>0</v>
      </c>
      <c r="R861" s="2" t="inlineStr"/>
    </row>
    <row r="862" ht="15" customHeight="1">
      <c r="A862" t="inlineStr">
        <is>
          <t>A 63564-2023</t>
        </is>
      </c>
      <c r="B862" s="1" t="n">
        <v>45275</v>
      </c>
      <c r="C862" s="1" t="n">
        <v>45793</v>
      </c>
      <c r="D862" t="inlineStr">
        <is>
          <t>VÄSTMANLANDS LÄN</t>
        </is>
      </c>
      <c r="E862" t="inlineStr">
        <is>
          <t>SALA</t>
        </is>
      </c>
      <c r="G862" t="n">
        <v>3.6</v>
      </c>
      <c r="H862" t="n">
        <v>0</v>
      </c>
      <c r="I862" t="n">
        <v>0</v>
      </c>
      <c r="J862" t="n">
        <v>0</v>
      </c>
      <c r="K862" t="n">
        <v>0</v>
      </c>
      <c r="L862" t="n">
        <v>0</v>
      </c>
      <c r="M862" t="n">
        <v>0</v>
      </c>
      <c r="N862" t="n">
        <v>0</v>
      </c>
      <c r="O862" t="n">
        <v>0</v>
      </c>
      <c r="P862" t="n">
        <v>0</v>
      </c>
      <c r="Q862" t="n">
        <v>0</v>
      </c>
      <c r="R862" s="2" t="inlineStr"/>
    </row>
    <row r="863" ht="15" customHeight="1">
      <c r="A863" t="inlineStr">
        <is>
          <t>A 63905-2023</t>
        </is>
      </c>
      <c r="B863" s="1" t="n">
        <v>45278</v>
      </c>
      <c r="C863" s="1" t="n">
        <v>45793</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63933-2023</t>
        </is>
      </c>
      <c r="B864" s="1" t="n">
        <v>45278</v>
      </c>
      <c r="C864" s="1" t="n">
        <v>45793</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64109-2023</t>
        </is>
      </c>
      <c r="B865" s="1" t="n">
        <v>45279</v>
      </c>
      <c r="C865" s="1" t="n">
        <v>45793</v>
      </c>
      <c r="D865" t="inlineStr">
        <is>
          <t>VÄSTMANLANDS LÄN</t>
        </is>
      </c>
      <c r="E865" t="inlineStr">
        <is>
          <t>SALA</t>
        </is>
      </c>
      <c r="G865" t="n">
        <v>3.7</v>
      </c>
      <c r="H865" t="n">
        <v>0</v>
      </c>
      <c r="I865" t="n">
        <v>0</v>
      </c>
      <c r="J865" t="n">
        <v>0</v>
      </c>
      <c r="K865" t="n">
        <v>0</v>
      </c>
      <c r="L865" t="n">
        <v>0</v>
      </c>
      <c r="M865" t="n">
        <v>0</v>
      </c>
      <c r="N865" t="n">
        <v>0</v>
      </c>
      <c r="O865" t="n">
        <v>0</v>
      </c>
      <c r="P865" t="n">
        <v>0</v>
      </c>
      <c r="Q865" t="n">
        <v>0</v>
      </c>
      <c r="R865" s="2" t="inlineStr"/>
    </row>
    <row r="866" ht="15" customHeight="1">
      <c r="A866" t="inlineStr">
        <is>
          <t>A 64123-2023</t>
        </is>
      </c>
      <c r="B866" s="1" t="n">
        <v>45279</v>
      </c>
      <c r="C866" s="1" t="n">
        <v>45793</v>
      </c>
      <c r="D866" t="inlineStr">
        <is>
          <t>VÄSTMANLANDS LÄN</t>
        </is>
      </c>
      <c r="E866" t="inlineStr">
        <is>
          <t>SALA</t>
        </is>
      </c>
      <c r="G866" t="n">
        <v>4</v>
      </c>
      <c r="H866" t="n">
        <v>0</v>
      </c>
      <c r="I866" t="n">
        <v>0</v>
      </c>
      <c r="J866" t="n">
        <v>0</v>
      </c>
      <c r="K866" t="n">
        <v>0</v>
      </c>
      <c r="L866" t="n">
        <v>0</v>
      </c>
      <c r="M866" t="n">
        <v>0</v>
      </c>
      <c r="N866" t="n">
        <v>0</v>
      </c>
      <c r="O866" t="n">
        <v>0</v>
      </c>
      <c r="P866" t="n">
        <v>0</v>
      </c>
      <c r="Q866" t="n">
        <v>0</v>
      </c>
      <c r="R866" s="2" t="inlineStr"/>
    </row>
    <row r="867" ht="15" customHeight="1">
      <c r="A867" t="inlineStr">
        <is>
          <t>A 64693-2023</t>
        </is>
      </c>
      <c r="B867" s="1" t="n">
        <v>45281</v>
      </c>
      <c r="C867" s="1" t="n">
        <v>45793</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64729-2023</t>
        </is>
      </c>
      <c r="B868" s="1" t="n">
        <v>45281</v>
      </c>
      <c r="C868" s="1" t="n">
        <v>45793</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64724-2023</t>
        </is>
      </c>
      <c r="B869" s="1" t="n">
        <v>45281</v>
      </c>
      <c r="C869" s="1" t="n">
        <v>45793</v>
      </c>
      <c r="D869" t="inlineStr">
        <is>
          <t>VÄSTMANLANDS LÄN</t>
        </is>
      </c>
      <c r="E869" t="inlineStr">
        <is>
          <t>SALA</t>
        </is>
      </c>
      <c r="G869" t="n">
        <v>2.3</v>
      </c>
      <c r="H869" t="n">
        <v>0</v>
      </c>
      <c r="I869" t="n">
        <v>0</v>
      </c>
      <c r="J869" t="n">
        <v>0</v>
      </c>
      <c r="K869" t="n">
        <v>0</v>
      </c>
      <c r="L869" t="n">
        <v>0</v>
      </c>
      <c r="M869" t="n">
        <v>0</v>
      </c>
      <c r="N869" t="n">
        <v>0</v>
      </c>
      <c r="O869" t="n">
        <v>0</v>
      </c>
      <c r="P869" t="n">
        <v>0</v>
      </c>
      <c r="Q869" t="n">
        <v>0</v>
      </c>
      <c r="R869" s="2" t="inlineStr"/>
    </row>
    <row r="870" ht="15" customHeight="1">
      <c r="A870" t="inlineStr">
        <is>
          <t>A 64692-2023</t>
        </is>
      </c>
      <c r="B870" s="1" t="n">
        <v>45281</v>
      </c>
      <c r="C870" s="1" t="n">
        <v>45793</v>
      </c>
      <c r="D870" t="inlineStr">
        <is>
          <t>VÄSTMANLANDS LÄN</t>
        </is>
      </c>
      <c r="E870" t="inlineStr">
        <is>
          <t>SALA</t>
        </is>
      </c>
      <c r="G870" t="n">
        <v>1.7</v>
      </c>
      <c r="H870" t="n">
        <v>0</v>
      </c>
      <c r="I870" t="n">
        <v>0</v>
      </c>
      <c r="J870" t="n">
        <v>0</v>
      </c>
      <c r="K870" t="n">
        <v>0</v>
      </c>
      <c r="L870" t="n">
        <v>0</v>
      </c>
      <c r="M870" t="n">
        <v>0</v>
      </c>
      <c r="N870" t="n">
        <v>0</v>
      </c>
      <c r="O870" t="n">
        <v>0</v>
      </c>
      <c r="P870" t="n">
        <v>0</v>
      </c>
      <c r="Q870" t="n">
        <v>0</v>
      </c>
      <c r="R870" s="2" t="inlineStr"/>
    </row>
    <row r="871" ht="15" customHeight="1">
      <c r="A871" t="inlineStr">
        <is>
          <t>A 64687-2023</t>
        </is>
      </c>
      <c r="B871" s="1" t="n">
        <v>45281</v>
      </c>
      <c r="C871" s="1" t="n">
        <v>45793</v>
      </c>
      <c r="D871" t="inlineStr">
        <is>
          <t>VÄSTMANLANDS LÄN</t>
        </is>
      </c>
      <c r="E871" t="inlineStr">
        <is>
          <t>SALA</t>
        </is>
      </c>
      <c r="G871" t="n">
        <v>2.8</v>
      </c>
      <c r="H871" t="n">
        <v>0</v>
      </c>
      <c r="I871" t="n">
        <v>0</v>
      </c>
      <c r="J871" t="n">
        <v>0</v>
      </c>
      <c r="K871" t="n">
        <v>0</v>
      </c>
      <c r="L871" t="n">
        <v>0</v>
      </c>
      <c r="M871" t="n">
        <v>0</v>
      </c>
      <c r="N871" t="n">
        <v>0</v>
      </c>
      <c r="O871" t="n">
        <v>0</v>
      </c>
      <c r="P871" t="n">
        <v>0</v>
      </c>
      <c r="Q871" t="n">
        <v>0</v>
      </c>
      <c r="R871" s="2" t="inlineStr"/>
    </row>
    <row r="872" ht="15" customHeight="1">
      <c r="A872" t="inlineStr">
        <is>
          <t>A 64695-2023</t>
        </is>
      </c>
      <c r="B872" s="1" t="n">
        <v>45281</v>
      </c>
      <c r="C872" s="1" t="n">
        <v>45793</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64925-2023</t>
        </is>
      </c>
      <c r="B873" s="1" t="n">
        <v>45282</v>
      </c>
      <c r="C873" s="1" t="n">
        <v>45793</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30-2024</t>
        </is>
      </c>
      <c r="B874" s="1" t="n">
        <v>45293</v>
      </c>
      <c r="C874" s="1" t="n">
        <v>45793</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96-2024</t>
        </is>
      </c>
      <c r="B875" s="1" t="n">
        <v>45293</v>
      </c>
      <c r="C875" s="1" t="n">
        <v>45793</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110-2024</t>
        </is>
      </c>
      <c r="B876" s="1" t="n">
        <v>45294</v>
      </c>
      <c r="C876" s="1" t="n">
        <v>45793</v>
      </c>
      <c r="D876" t="inlineStr">
        <is>
          <t>VÄSTMANLANDS LÄN</t>
        </is>
      </c>
      <c r="E876" t="inlineStr">
        <is>
          <t>SALA</t>
        </is>
      </c>
      <c r="G876" t="n">
        <v>3.8</v>
      </c>
      <c r="H876" t="n">
        <v>0</v>
      </c>
      <c r="I876" t="n">
        <v>0</v>
      </c>
      <c r="J876" t="n">
        <v>0</v>
      </c>
      <c r="K876" t="n">
        <v>0</v>
      </c>
      <c r="L876" t="n">
        <v>0</v>
      </c>
      <c r="M876" t="n">
        <v>0</v>
      </c>
      <c r="N876" t="n">
        <v>0</v>
      </c>
      <c r="O876" t="n">
        <v>0</v>
      </c>
      <c r="P876" t="n">
        <v>0</v>
      </c>
      <c r="Q876" t="n">
        <v>0</v>
      </c>
      <c r="R876" s="2" t="inlineStr"/>
    </row>
    <row r="877" ht="15" customHeight="1">
      <c r="A877" t="inlineStr">
        <is>
          <t>A 456-2024</t>
        </is>
      </c>
      <c r="B877" s="1" t="n">
        <v>45296</v>
      </c>
      <c r="C877" s="1" t="n">
        <v>45793</v>
      </c>
      <c r="D877" t="inlineStr">
        <is>
          <t>VÄSTMANLANDS LÄN</t>
        </is>
      </c>
      <c r="E877" t="inlineStr">
        <is>
          <t>SALA</t>
        </is>
      </c>
      <c r="G877" t="n">
        <v>4.7</v>
      </c>
      <c r="H877" t="n">
        <v>0</v>
      </c>
      <c r="I877" t="n">
        <v>0</v>
      </c>
      <c r="J877" t="n">
        <v>0</v>
      </c>
      <c r="K877" t="n">
        <v>0</v>
      </c>
      <c r="L877" t="n">
        <v>0</v>
      </c>
      <c r="M877" t="n">
        <v>0</v>
      </c>
      <c r="N877" t="n">
        <v>0</v>
      </c>
      <c r="O877" t="n">
        <v>0</v>
      </c>
      <c r="P877" t="n">
        <v>0</v>
      </c>
      <c r="Q877" t="n">
        <v>0</v>
      </c>
      <c r="R877" s="2" t="inlineStr"/>
    </row>
    <row r="878" ht="15" customHeight="1">
      <c r="A878" t="inlineStr">
        <is>
          <t>A 1118-2024</t>
        </is>
      </c>
      <c r="B878" s="1" t="n">
        <v>45302</v>
      </c>
      <c r="C878" s="1" t="n">
        <v>45793</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1555-2024</t>
        </is>
      </c>
      <c r="B879" s="1" t="n">
        <v>45306</v>
      </c>
      <c r="C879" s="1" t="n">
        <v>45793</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1552-2024</t>
        </is>
      </c>
      <c r="B880" s="1" t="n">
        <v>45306</v>
      </c>
      <c r="C880" s="1" t="n">
        <v>45793</v>
      </c>
      <c r="D880" t="inlineStr">
        <is>
          <t>VÄSTMANLANDS LÄN</t>
        </is>
      </c>
      <c r="E880" t="inlineStr">
        <is>
          <t>SALA</t>
        </is>
      </c>
      <c r="G880" t="n">
        <v>3.3</v>
      </c>
      <c r="H880" t="n">
        <v>0</v>
      </c>
      <c r="I880" t="n">
        <v>0</v>
      </c>
      <c r="J880" t="n">
        <v>0</v>
      </c>
      <c r="K880" t="n">
        <v>0</v>
      </c>
      <c r="L880" t="n">
        <v>0</v>
      </c>
      <c r="M880" t="n">
        <v>0</v>
      </c>
      <c r="N880" t="n">
        <v>0</v>
      </c>
      <c r="O880" t="n">
        <v>0</v>
      </c>
      <c r="P880" t="n">
        <v>0</v>
      </c>
      <c r="Q880" t="n">
        <v>0</v>
      </c>
      <c r="R880" s="2" t="inlineStr"/>
    </row>
    <row r="881" ht="15" customHeight="1">
      <c r="A881" t="inlineStr">
        <is>
          <t>A 2392-2024</t>
        </is>
      </c>
      <c r="B881" s="1" t="n">
        <v>45310</v>
      </c>
      <c r="C881" s="1" t="n">
        <v>45793</v>
      </c>
      <c r="D881" t="inlineStr">
        <is>
          <t>VÄSTMANLANDS LÄN</t>
        </is>
      </c>
      <c r="E881" t="inlineStr">
        <is>
          <t>SALA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2478-2024</t>
        </is>
      </c>
      <c r="B882" s="1" t="n">
        <v>45313</v>
      </c>
      <c r="C882" s="1" t="n">
        <v>45793</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2599-2024</t>
        </is>
      </c>
      <c r="B883" s="1" t="n">
        <v>45313</v>
      </c>
      <c r="C883" s="1" t="n">
        <v>45793</v>
      </c>
      <c r="D883" t="inlineStr">
        <is>
          <t>VÄSTMANLANDS LÄN</t>
        </is>
      </c>
      <c r="E883" t="inlineStr">
        <is>
          <t>SALA</t>
        </is>
      </c>
      <c r="G883" t="n">
        <v>1.8</v>
      </c>
      <c r="H883" t="n">
        <v>0</v>
      </c>
      <c r="I883" t="n">
        <v>0</v>
      </c>
      <c r="J883" t="n">
        <v>0</v>
      </c>
      <c r="K883" t="n">
        <v>0</v>
      </c>
      <c r="L883" t="n">
        <v>0</v>
      </c>
      <c r="M883" t="n">
        <v>0</v>
      </c>
      <c r="N883" t="n">
        <v>0</v>
      </c>
      <c r="O883" t="n">
        <v>0</v>
      </c>
      <c r="P883" t="n">
        <v>0</v>
      </c>
      <c r="Q883" t="n">
        <v>0</v>
      </c>
      <c r="R883" s="2" t="inlineStr"/>
    </row>
    <row r="884" ht="15" customHeight="1">
      <c r="A884" t="inlineStr">
        <is>
          <t>A 2766-2024</t>
        </is>
      </c>
      <c r="B884" s="1" t="n">
        <v>45314</v>
      </c>
      <c r="C884" s="1" t="n">
        <v>45793</v>
      </c>
      <c r="D884" t="inlineStr">
        <is>
          <t>VÄSTMANLANDS LÄN</t>
        </is>
      </c>
      <c r="E884" t="inlineStr">
        <is>
          <t>SALA</t>
        </is>
      </c>
      <c r="G884" t="n">
        <v>2.8</v>
      </c>
      <c r="H884" t="n">
        <v>0</v>
      </c>
      <c r="I884" t="n">
        <v>0</v>
      </c>
      <c r="J884" t="n">
        <v>0</v>
      </c>
      <c r="K884" t="n">
        <v>0</v>
      </c>
      <c r="L884" t="n">
        <v>0</v>
      </c>
      <c r="M884" t="n">
        <v>0</v>
      </c>
      <c r="N884" t="n">
        <v>0</v>
      </c>
      <c r="O884" t="n">
        <v>0</v>
      </c>
      <c r="P884" t="n">
        <v>0</v>
      </c>
      <c r="Q884" t="n">
        <v>0</v>
      </c>
      <c r="R884" s="2" t="inlineStr"/>
    </row>
    <row r="885" ht="15" customHeight="1">
      <c r="A885" t="inlineStr">
        <is>
          <t>A 2925-2024</t>
        </is>
      </c>
      <c r="B885" s="1" t="n">
        <v>45315</v>
      </c>
      <c r="C885" s="1" t="n">
        <v>45793</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2928-2024</t>
        </is>
      </c>
      <c r="B886" s="1" t="n">
        <v>45315</v>
      </c>
      <c r="C886" s="1" t="n">
        <v>45793</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2927-2024</t>
        </is>
      </c>
      <c r="B887" s="1" t="n">
        <v>45315</v>
      </c>
      <c r="C887" s="1" t="n">
        <v>45793</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3061-2024</t>
        </is>
      </c>
      <c r="B888" s="1" t="n">
        <v>45316</v>
      </c>
      <c r="C888" s="1" t="n">
        <v>45793</v>
      </c>
      <c r="D888" t="inlineStr">
        <is>
          <t>VÄSTMANLANDS LÄN</t>
        </is>
      </c>
      <c r="E888" t="inlineStr">
        <is>
          <t>SALA</t>
        </is>
      </c>
      <c r="G888" t="n">
        <v>5.7</v>
      </c>
      <c r="H888" t="n">
        <v>0</v>
      </c>
      <c r="I888" t="n">
        <v>0</v>
      </c>
      <c r="J888" t="n">
        <v>0</v>
      </c>
      <c r="K888" t="n">
        <v>0</v>
      </c>
      <c r="L888" t="n">
        <v>0</v>
      </c>
      <c r="M888" t="n">
        <v>0</v>
      </c>
      <c r="N888" t="n">
        <v>0</v>
      </c>
      <c r="O888" t="n">
        <v>0</v>
      </c>
      <c r="P888" t="n">
        <v>0</v>
      </c>
      <c r="Q888" t="n">
        <v>0</v>
      </c>
      <c r="R888" s="2" t="inlineStr"/>
    </row>
    <row r="889" ht="15" customHeight="1">
      <c r="A889" t="inlineStr">
        <is>
          <t>A 3332-2024</t>
        </is>
      </c>
      <c r="B889" s="1" t="n">
        <v>45317</v>
      </c>
      <c r="C889" s="1" t="n">
        <v>45793</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3577-2024</t>
        </is>
      </c>
      <c r="B890" s="1" t="n">
        <v>45320</v>
      </c>
      <c r="C890" s="1" t="n">
        <v>45793</v>
      </c>
      <c r="D890" t="inlineStr">
        <is>
          <t>VÄSTMANLANDS LÄN</t>
        </is>
      </c>
      <c r="E890" t="inlineStr">
        <is>
          <t>SALA</t>
        </is>
      </c>
      <c r="F890" t="inlineStr">
        <is>
          <t>Kommuner</t>
        </is>
      </c>
      <c r="G890" t="n">
        <v>7.2</v>
      </c>
      <c r="H890" t="n">
        <v>0</v>
      </c>
      <c r="I890" t="n">
        <v>0</v>
      </c>
      <c r="J890" t="n">
        <v>0</v>
      </c>
      <c r="K890" t="n">
        <v>0</v>
      </c>
      <c r="L890" t="n">
        <v>0</v>
      </c>
      <c r="M890" t="n">
        <v>0</v>
      </c>
      <c r="N890" t="n">
        <v>0</v>
      </c>
      <c r="O890" t="n">
        <v>0</v>
      </c>
      <c r="P890" t="n">
        <v>0</v>
      </c>
      <c r="Q890" t="n">
        <v>0</v>
      </c>
      <c r="R890" s="2" t="inlineStr"/>
    </row>
    <row r="891" ht="15" customHeight="1">
      <c r="A891" t="inlineStr">
        <is>
          <t>A 3527-2024</t>
        </is>
      </c>
      <c r="B891" s="1" t="n">
        <v>45320</v>
      </c>
      <c r="C891" s="1" t="n">
        <v>45793</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3551-2024</t>
        </is>
      </c>
      <c r="B892" s="1" t="n">
        <v>45320</v>
      </c>
      <c r="C892" s="1" t="n">
        <v>45793</v>
      </c>
      <c r="D892" t="inlineStr">
        <is>
          <t>VÄSTMANLANDS LÄN</t>
        </is>
      </c>
      <c r="E892" t="inlineStr">
        <is>
          <t>SALA</t>
        </is>
      </c>
      <c r="F892" t="inlineStr">
        <is>
          <t>Kommuner</t>
        </is>
      </c>
      <c r="G892" t="n">
        <v>6</v>
      </c>
      <c r="H892" t="n">
        <v>0</v>
      </c>
      <c r="I892" t="n">
        <v>0</v>
      </c>
      <c r="J892" t="n">
        <v>0</v>
      </c>
      <c r="K892" t="n">
        <v>0</v>
      </c>
      <c r="L892" t="n">
        <v>0</v>
      </c>
      <c r="M892" t="n">
        <v>0</v>
      </c>
      <c r="N892" t="n">
        <v>0</v>
      </c>
      <c r="O892" t="n">
        <v>0</v>
      </c>
      <c r="P892" t="n">
        <v>0</v>
      </c>
      <c r="Q892" t="n">
        <v>0</v>
      </c>
      <c r="R892" s="2" t="inlineStr"/>
    </row>
    <row r="893" ht="15" customHeight="1">
      <c r="A893" t="inlineStr">
        <is>
          <t>A 3525-2024</t>
        </is>
      </c>
      <c r="B893" s="1" t="n">
        <v>45320</v>
      </c>
      <c r="C893" s="1" t="n">
        <v>45793</v>
      </c>
      <c r="D893" t="inlineStr">
        <is>
          <t>VÄSTMANLANDS LÄN</t>
        </is>
      </c>
      <c r="E893" t="inlineStr">
        <is>
          <t>SALA</t>
        </is>
      </c>
      <c r="G893" t="n">
        <v>3.5</v>
      </c>
      <c r="H893" t="n">
        <v>0</v>
      </c>
      <c r="I893" t="n">
        <v>0</v>
      </c>
      <c r="J893" t="n">
        <v>0</v>
      </c>
      <c r="K893" t="n">
        <v>0</v>
      </c>
      <c r="L893" t="n">
        <v>0</v>
      </c>
      <c r="M893" t="n">
        <v>0</v>
      </c>
      <c r="N893" t="n">
        <v>0</v>
      </c>
      <c r="O893" t="n">
        <v>0</v>
      </c>
      <c r="P893" t="n">
        <v>0</v>
      </c>
      <c r="Q893" t="n">
        <v>0</v>
      </c>
      <c r="R893" s="2" t="inlineStr"/>
    </row>
    <row r="894" ht="15" customHeight="1">
      <c r="A894" t="inlineStr">
        <is>
          <t>A 3560-2024</t>
        </is>
      </c>
      <c r="B894" s="1" t="n">
        <v>45320</v>
      </c>
      <c r="C894" s="1" t="n">
        <v>45793</v>
      </c>
      <c r="D894" t="inlineStr">
        <is>
          <t>VÄSTMANLANDS LÄN</t>
        </is>
      </c>
      <c r="E894" t="inlineStr">
        <is>
          <t>SALA</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4417-2024</t>
        </is>
      </c>
      <c r="B895" s="1" t="n">
        <v>45327</v>
      </c>
      <c r="C895" s="1" t="n">
        <v>45793</v>
      </c>
      <c r="D895" t="inlineStr">
        <is>
          <t>VÄSTMANLANDS LÄN</t>
        </is>
      </c>
      <c r="E895" t="inlineStr">
        <is>
          <t>SALA</t>
        </is>
      </c>
      <c r="G895" t="n">
        <v>3.7</v>
      </c>
      <c r="H895" t="n">
        <v>0</v>
      </c>
      <c r="I895" t="n">
        <v>0</v>
      </c>
      <c r="J895" t="n">
        <v>0</v>
      </c>
      <c r="K895" t="n">
        <v>0</v>
      </c>
      <c r="L895" t="n">
        <v>0</v>
      </c>
      <c r="M895" t="n">
        <v>0</v>
      </c>
      <c r="N895" t="n">
        <v>0</v>
      </c>
      <c r="O895" t="n">
        <v>0</v>
      </c>
      <c r="P895" t="n">
        <v>0</v>
      </c>
      <c r="Q895" t="n">
        <v>0</v>
      </c>
      <c r="R895" s="2" t="inlineStr"/>
    </row>
    <row r="896" ht="15" customHeight="1">
      <c r="A896" t="inlineStr">
        <is>
          <t>A 4897-2024</t>
        </is>
      </c>
      <c r="B896" s="1" t="n">
        <v>45329</v>
      </c>
      <c r="C896" s="1" t="n">
        <v>45793</v>
      </c>
      <c r="D896" t="inlineStr">
        <is>
          <t>VÄSTMANLANDS LÄN</t>
        </is>
      </c>
      <c r="E896" t="inlineStr">
        <is>
          <t>SALA</t>
        </is>
      </c>
      <c r="G896" t="n">
        <v>3.4</v>
      </c>
      <c r="H896" t="n">
        <v>0</v>
      </c>
      <c r="I896" t="n">
        <v>0</v>
      </c>
      <c r="J896" t="n">
        <v>0</v>
      </c>
      <c r="K896" t="n">
        <v>0</v>
      </c>
      <c r="L896" t="n">
        <v>0</v>
      </c>
      <c r="M896" t="n">
        <v>0</v>
      </c>
      <c r="N896" t="n">
        <v>0</v>
      </c>
      <c r="O896" t="n">
        <v>0</v>
      </c>
      <c r="P896" t="n">
        <v>0</v>
      </c>
      <c r="Q896" t="n">
        <v>0</v>
      </c>
      <c r="R896" s="2" t="inlineStr"/>
    </row>
    <row r="897" ht="15" customHeight="1">
      <c r="A897" t="inlineStr">
        <is>
          <t>A 5478-2024</t>
        </is>
      </c>
      <c r="B897" s="1" t="n">
        <v>45333</v>
      </c>
      <c r="C897" s="1" t="n">
        <v>45793</v>
      </c>
      <c r="D897" t="inlineStr">
        <is>
          <t>VÄSTMANLANDS LÄN</t>
        </is>
      </c>
      <c r="E897" t="inlineStr">
        <is>
          <t>SALA</t>
        </is>
      </c>
      <c r="G897" t="n">
        <v>1.5</v>
      </c>
      <c r="H897" t="n">
        <v>0</v>
      </c>
      <c r="I897" t="n">
        <v>0</v>
      </c>
      <c r="J897" t="n">
        <v>0</v>
      </c>
      <c r="K897" t="n">
        <v>0</v>
      </c>
      <c r="L897" t="n">
        <v>0</v>
      </c>
      <c r="M897" t="n">
        <v>0</v>
      </c>
      <c r="N897" t="n">
        <v>0</v>
      </c>
      <c r="O897" t="n">
        <v>0</v>
      </c>
      <c r="P897" t="n">
        <v>0</v>
      </c>
      <c r="Q897" t="n">
        <v>0</v>
      </c>
      <c r="R897" s="2" t="inlineStr"/>
    </row>
    <row r="898" ht="15" customHeight="1">
      <c r="A898" t="inlineStr">
        <is>
          <t>A 5477-2024</t>
        </is>
      </c>
      <c r="B898" s="1" t="n">
        <v>45333</v>
      </c>
      <c r="C898" s="1" t="n">
        <v>45793</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5705-2024</t>
        </is>
      </c>
      <c r="B899" s="1" t="n">
        <v>45334</v>
      </c>
      <c r="C899" s="1" t="n">
        <v>45793</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5977-2024</t>
        </is>
      </c>
      <c r="B900" s="1" t="n">
        <v>45336</v>
      </c>
      <c r="C900" s="1" t="n">
        <v>45793</v>
      </c>
      <c r="D900" t="inlineStr">
        <is>
          <t>VÄSTMANLANDS LÄN</t>
        </is>
      </c>
      <c r="E900" t="inlineStr">
        <is>
          <t>SALA</t>
        </is>
      </c>
      <c r="G900" t="n">
        <v>13.1</v>
      </c>
      <c r="H900" t="n">
        <v>0</v>
      </c>
      <c r="I900" t="n">
        <v>0</v>
      </c>
      <c r="J900" t="n">
        <v>0</v>
      </c>
      <c r="K900" t="n">
        <v>0</v>
      </c>
      <c r="L900" t="n">
        <v>0</v>
      </c>
      <c r="M900" t="n">
        <v>0</v>
      </c>
      <c r="N900" t="n">
        <v>0</v>
      </c>
      <c r="O900" t="n">
        <v>0</v>
      </c>
      <c r="P900" t="n">
        <v>0</v>
      </c>
      <c r="Q900" t="n">
        <v>0</v>
      </c>
      <c r="R900" s="2" t="inlineStr"/>
    </row>
    <row r="901" ht="15" customHeight="1">
      <c r="A901" t="inlineStr">
        <is>
          <t>A 6030-2024</t>
        </is>
      </c>
      <c r="B901" s="1" t="n">
        <v>45336</v>
      </c>
      <c r="C901" s="1" t="n">
        <v>45793</v>
      </c>
      <c r="D901" t="inlineStr">
        <is>
          <t>VÄSTMANLANDS LÄN</t>
        </is>
      </c>
      <c r="E901" t="inlineStr">
        <is>
          <t>SALA</t>
        </is>
      </c>
      <c r="G901" t="n">
        <v>3.9</v>
      </c>
      <c r="H901" t="n">
        <v>0</v>
      </c>
      <c r="I901" t="n">
        <v>0</v>
      </c>
      <c r="J901" t="n">
        <v>0</v>
      </c>
      <c r="K901" t="n">
        <v>0</v>
      </c>
      <c r="L901" t="n">
        <v>0</v>
      </c>
      <c r="M901" t="n">
        <v>0</v>
      </c>
      <c r="N901" t="n">
        <v>0</v>
      </c>
      <c r="O901" t="n">
        <v>0</v>
      </c>
      <c r="P901" t="n">
        <v>0</v>
      </c>
      <c r="Q901" t="n">
        <v>0</v>
      </c>
      <c r="R901" s="2" t="inlineStr"/>
    </row>
    <row r="902" ht="15" customHeight="1">
      <c r="A902" t="inlineStr">
        <is>
          <t>A 5984-2024</t>
        </is>
      </c>
      <c r="B902" s="1" t="n">
        <v>45336</v>
      </c>
      <c r="C902" s="1" t="n">
        <v>45793</v>
      </c>
      <c r="D902" t="inlineStr">
        <is>
          <t>VÄSTMANLANDS LÄN</t>
        </is>
      </c>
      <c r="E902" t="inlineStr">
        <is>
          <t>SALA</t>
        </is>
      </c>
      <c r="G902" t="n">
        <v>0.7</v>
      </c>
      <c r="H902" t="n">
        <v>0</v>
      </c>
      <c r="I902" t="n">
        <v>0</v>
      </c>
      <c r="J902" t="n">
        <v>0</v>
      </c>
      <c r="K902" t="n">
        <v>0</v>
      </c>
      <c r="L902" t="n">
        <v>0</v>
      </c>
      <c r="M902" t="n">
        <v>0</v>
      </c>
      <c r="N902" t="n">
        <v>0</v>
      </c>
      <c r="O902" t="n">
        <v>0</v>
      </c>
      <c r="P902" t="n">
        <v>0</v>
      </c>
      <c r="Q902" t="n">
        <v>0</v>
      </c>
      <c r="R902" s="2" t="inlineStr"/>
    </row>
    <row r="903" ht="15" customHeight="1">
      <c r="A903" t="inlineStr">
        <is>
          <t>A 6134-2024</t>
        </is>
      </c>
      <c r="B903" s="1" t="n">
        <v>45337</v>
      </c>
      <c r="C903" s="1" t="n">
        <v>45793</v>
      </c>
      <c r="D903" t="inlineStr">
        <is>
          <t>VÄSTMANLANDS LÄN</t>
        </is>
      </c>
      <c r="E903" t="inlineStr">
        <is>
          <t>SALA</t>
        </is>
      </c>
      <c r="G903" t="n">
        <v>1.8</v>
      </c>
      <c r="H903" t="n">
        <v>0</v>
      </c>
      <c r="I903" t="n">
        <v>0</v>
      </c>
      <c r="J903" t="n">
        <v>0</v>
      </c>
      <c r="K903" t="n">
        <v>0</v>
      </c>
      <c r="L903" t="n">
        <v>0</v>
      </c>
      <c r="M903" t="n">
        <v>0</v>
      </c>
      <c r="N903" t="n">
        <v>0</v>
      </c>
      <c r="O903" t="n">
        <v>0</v>
      </c>
      <c r="P903" t="n">
        <v>0</v>
      </c>
      <c r="Q903" t="n">
        <v>0</v>
      </c>
      <c r="R903" s="2" t="inlineStr"/>
    </row>
    <row r="904" ht="15" customHeight="1">
      <c r="A904" t="inlineStr">
        <is>
          <t>A 6572-2024</t>
        </is>
      </c>
      <c r="B904" s="1" t="n">
        <v>45338</v>
      </c>
      <c r="C904" s="1" t="n">
        <v>45793</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6538-2024</t>
        </is>
      </c>
      <c r="B905" s="1" t="n">
        <v>45338</v>
      </c>
      <c r="C905" s="1" t="n">
        <v>45793</v>
      </c>
      <c r="D905" t="inlineStr">
        <is>
          <t>VÄSTMANLANDS LÄN</t>
        </is>
      </c>
      <c r="E905" t="inlineStr">
        <is>
          <t>SALA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6601-2024</t>
        </is>
      </c>
      <c r="B906" s="1" t="n">
        <v>45338</v>
      </c>
      <c r="C906" s="1" t="n">
        <v>45793</v>
      </c>
      <c r="D906" t="inlineStr">
        <is>
          <t>VÄSTMANLANDS LÄN</t>
        </is>
      </c>
      <c r="E906" t="inlineStr">
        <is>
          <t>SALA</t>
        </is>
      </c>
      <c r="G906" t="n">
        <v>4</v>
      </c>
      <c r="H906" t="n">
        <v>0</v>
      </c>
      <c r="I906" t="n">
        <v>0</v>
      </c>
      <c r="J906" t="n">
        <v>0</v>
      </c>
      <c r="K906" t="n">
        <v>0</v>
      </c>
      <c r="L906" t="n">
        <v>0</v>
      </c>
      <c r="M906" t="n">
        <v>0</v>
      </c>
      <c r="N906" t="n">
        <v>0</v>
      </c>
      <c r="O906" t="n">
        <v>0</v>
      </c>
      <c r="P906" t="n">
        <v>0</v>
      </c>
      <c r="Q906" t="n">
        <v>0</v>
      </c>
      <c r="R906" s="2" t="inlineStr"/>
    </row>
    <row r="907" ht="15" customHeight="1">
      <c r="A907" t="inlineStr">
        <is>
          <t>A 6585-2024</t>
        </is>
      </c>
      <c r="B907" s="1" t="n">
        <v>45338</v>
      </c>
      <c r="C907" s="1" t="n">
        <v>45793</v>
      </c>
      <c r="D907" t="inlineStr">
        <is>
          <t>VÄSTMANLANDS LÄN</t>
        </is>
      </c>
      <c r="E907" t="inlineStr">
        <is>
          <t>SALA</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6541-2024</t>
        </is>
      </c>
      <c r="B908" s="1" t="n">
        <v>45338</v>
      </c>
      <c r="C908" s="1" t="n">
        <v>45793</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6657-2024</t>
        </is>
      </c>
      <c r="B909" s="1" t="n">
        <v>45341</v>
      </c>
      <c r="C909" s="1" t="n">
        <v>45793</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7953-2024</t>
        </is>
      </c>
      <c r="B910" s="1" t="n">
        <v>45350</v>
      </c>
      <c r="C910" s="1" t="n">
        <v>45793</v>
      </c>
      <c r="D910" t="inlineStr">
        <is>
          <t>VÄSTMANLANDS LÄN</t>
        </is>
      </c>
      <c r="E910" t="inlineStr">
        <is>
          <t>SALA</t>
        </is>
      </c>
      <c r="G910" t="n">
        <v>2.6</v>
      </c>
      <c r="H910" t="n">
        <v>0</v>
      </c>
      <c r="I910" t="n">
        <v>0</v>
      </c>
      <c r="J910" t="n">
        <v>0</v>
      </c>
      <c r="K910" t="n">
        <v>0</v>
      </c>
      <c r="L910" t="n">
        <v>0</v>
      </c>
      <c r="M910" t="n">
        <v>0</v>
      </c>
      <c r="N910" t="n">
        <v>0</v>
      </c>
      <c r="O910" t="n">
        <v>0</v>
      </c>
      <c r="P910" t="n">
        <v>0</v>
      </c>
      <c r="Q910" t="n">
        <v>0</v>
      </c>
      <c r="R910" s="2" t="inlineStr"/>
    </row>
    <row r="911" ht="15" customHeight="1">
      <c r="A911" t="inlineStr">
        <is>
          <t>A 8591-2024</t>
        </is>
      </c>
      <c r="B911" s="1" t="n">
        <v>45355</v>
      </c>
      <c r="C911" s="1" t="n">
        <v>45793</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8775-2024</t>
        </is>
      </c>
      <c r="B912" s="1" t="n">
        <v>45356</v>
      </c>
      <c r="C912" s="1" t="n">
        <v>45793</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8793-2024</t>
        </is>
      </c>
      <c r="B913" s="1" t="n">
        <v>45356</v>
      </c>
      <c r="C913" s="1" t="n">
        <v>45793</v>
      </c>
      <c r="D913" t="inlineStr">
        <is>
          <t>VÄSTMANLANDS LÄN</t>
        </is>
      </c>
      <c r="E913" t="inlineStr">
        <is>
          <t>SALA</t>
        </is>
      </c>
      <c r="G913" t="n">
        <v>2</v>
      </c>
      <c r="H913" t="n">
        <v>0</v>
      </c>
      <c r="I913" t="n">
        <v>0</v>
      </c>
      <c r="J913" t="n">
        <v>0</v>
      </c>
      <c r="K913" t="n">
        <v>0</v>
      </c>
      <c r="L913" t="n">
        <v>0</v>
      </c>
      <c r="M913" t="n">
        <v>0</v>
      </c>
      <c r="N913" t="n">
        <v>0</v>
      </c>
      <c r="O913" t="n">
        <v>0</v>
      </c>
      <c r="P913" t="n">
        <v>0</v>
      </c>
      <c r="Q913" t="n">
        <v>0</v>
      </c>
      <c r="R913" s="2" t="inlineStr"/>
    </row>
    <row r="914" ht="15" customHeight="1">
      <c r="A914" t="inlineStr">
        <is>
          <t>A 8778-2024</t>
        </is>
      </c>
      <c r="B914" s="1" t="n">
        <v>45356</v>
      </c>
      <c r="C914" s="1" t="n">
        <v>45793</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9205-2024</t>
        </is>
      </c>
      <c r="B915" s="1" t="n">
        <v>45358</v>
      </c>
      <c r="C915" s="1" t="n">
        <v>45793</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9204-2024</t>
        </is>
      </c>
      <c r="B916" s="1" t="n">
        <v>45358</v>
      </c>
      <c r="C916" s="1" t="n">
        <v>45793</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9474-2024</t>
        </is>
      </c>
      <c r="B917" s="1" t="n">
        <v>45359</v>
      </c>
      <c r="C917" s="1" t="n">
        <v>45793</v>
      </c>
      <c r="D917" t="inlineStr">
        <is>
          <t>VÄSTMANLANDS LÄN</t>
        </is>
      </c>
      <c r="E917" t="inlineStr">
        <is>
          <t>SALA</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9853-2024</t>
        </is>
      </c>
      <c r="B918" s="1" t="n">
        <v>45363</v>
      </c>
      <c r="C918" s="1" t="n">
        <v>45793</v>
      </c>
      <c r="D918" t="inlineStr">
        <is>
          <t>VÄSTMANLANDS LÄN</t>
        </is>
      </c>
      <c r="E918" t="inlineStr">
        <is>
          <t>SALA</t>
        </is>
      </c>
      <c r="G918" t="n">
        <v>3.2</v>
      </c>
      <c r="H918" t="n">
        <v>0</v>
      </c>
      <c r="I918" t="n">
        <v>0</v>
      </c>
      <c r="J918" t="n">
        <v>0</v>
      </c>
      <c r="K918" t="n">
        <v>0</v>
      </c>
      <c r="L918" t="n">
        <v>0</v>
      </c>
      <c r="M918" t="n">
        <v>0</v>
      </c>
      <c r="N918" t="n">
        <v>0</v>
      </c>
      <c r="O918" t="n">
        <v>0</v>
      </c>
      <c r="P918" t="n">
        <v>0</v>
      </c>
      <c r="Q918" t="n">
        <v>0</v>
      </c>
      <c r="R918" s="2" t="inlineStr"/>
    </row>
    <row r="919" ht="15" customHeight="1">
      <c r="A919" t="inlineStr">
        <is>
          <t>A 9874-2024</t>
        </is>
      </c>
      <c r="B919" s="1" t="n">
        <v>45363</v>
      </c>
      <c r="C919" s="1" t="n">
        <v>45793</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10255-2024</t>
        </is>
      </c>
      <c r="B920" s="1" t="n">
        <v>45365</v>
      </c>
      <c r="C920" s="1" t="n">
        <v>45793</v>
      </c>
      <c r="D920" t="inlineStr">
        <is>
          <t>VÄSTMANLANDS LÄN</t>
        </is>
      </c>
      <c r="E920" t="inlineStr">
        <is>
          <t>SALA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10559-2024</t>
        </is>
      </c>
      <c r="B921" s="1" t="n">
        <v>45366</v>
      </c>
      <c r="C921" s="1" t="n">
        <v>45793</v>
      </c>
      <c r="D921" t="inlineStr">
        <is>
          <t>VÄSTMANLANDS LÄN</t>
        </is>
      </c>
      <c r="E921" t="inlineStr">
        <is>
          <t>SALA</t>
        </is>
      </c>
      <c r="G921" t="n">
        <v>0.3</v>
      </c>
      <c r="H921" t="n">
        <v>0</v>
      </c>
      <c r="I921" t="n">
        <v>0</v>
      </c>
      <c r="J921" t="n">
        <v>0</v>
      </c>
      <c r="K921" t="n">
        <v>0</v>
      </c>
      <c r="L921" t="n">
        <v>0</v>
      </c>
      <c r="M921" t="n">
        <v>0</v>
      </c>
      <c r="N921" t="n">
        <v>0</v>
      </c>
      <c r="O921" t="n">
        <v>0</v>
      </c>
      <c r="P921" t="n">
        <v>0</v>
      </c>
      <c r="Q921" t="n">
        <v>0</v>
      </c>
      <c r="R921" s="2" t="inlineStr"/>
    </row>
    <row r="922" ht="15" customHeight="1">
      <c r="A922" t="inlineStr">
        <is>
          <t>A 10751-2024</t>
        </is>
      </c>
      <c r="B922" s="1" t="n">
        <v>45369</v>
      </c>
      <c r="C922" s="1" t="n">
        <v>45793</v>
      </c>
      <c r="D922" t="inlineStr">
        <is>
          <t>VÄSTMANLANDS LÄN</t>
        </is>
      </c>
      <c r="E922" t="inlineStr">
        <is>
          <t>SALA</t>
        </is>
      </c>
      <c r="G922" t="n">
        <v>1.6</v>
      </c>
      <c r="H922" t="n">
        <v>0</v>
      </c>
      <c r="I922" t="n">
        <v>0</v>
      </c>
      <c r="J922" t="n">
        <v>0</v>
      </c>
      <c r="K922" t="n">
        <v>0</v>
      </c>
      <c r="L922" t="n">
        <v>0</v>
      </c>
      <c r="M922" t="n">
        <v>0</v>
      </c>
      <c r="N922" t="n">
        <v>0</v>
      </c>
      <c r="O922" t="n">
        <v>0</v>
      </c>
      <c r="P922" t="n">
        <v>0</v>
      </c>
      <c r="Q922" t="n">
        <v>0</v>
      </c>
      <c r="R922" s="2" t="inlineStr"/>
    </row>
    <row r="923" ht="15" customHeight="1">
      <c r="A923" t="inlineStr">
        <is>
          <t>A 10754-2024</t>
        </is>
      </c>
      <c r="B923" s="1" t="n">
        <v>45369</v>
      </c>
      <c r="C923" s="1" t="n">
        <v>45793</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10909-2024</t>
        </is>
      </c>
      <c r="B924" s="1" t="n">
        <v>45370</v>
      </c>
      <c r="C924" s="1" t="n">
        <v>45793</v>
      </c>
      <c r="D924" t="inlineStr">
        <is>
          <t>VÄSTMANLANDS LÄN</t>
        </is>
      </c>
      <c r="E924" t="inlineStr">
        <is>
          <t>SALA</t>
        </is>
      </c>
      <c r="G924" t="n">
        <v>3.3</v>
      </c>
      <c r="H924" t="n">
        <v>0</v>
      </c>
      <c r="I924" t="n">
        <v>0</v>
      </c>
      <c r="J924" t="n">
        <v>0</v>
      </c>
      <c r="K924" t="n">
        <v>0</v>
      </c>
      <c r="L924" t="n">
        <v>0</v>
      </c>
      <c r="M924" t="n">
        <v>0</v>
      </c>
      <c r="N924" t="n">
        <v>0</v>
      </c>
      <c r="O924" t="n">
        <v>0</v>
      </c>
      <c r="P924" t="n">
        <v>0</v>
      </c>
      <c r="Q924" t="n">
        <v>0</v>
      </c>
      <c r="R924" s="2" t="inlineStr"/>
    </row>
    <row r="925" ht="15" customHeight="1">
      <c r="A925" t="inlineStr">
        <is>
          <t>A 11244-2024</t>
        </is>
      </c>
      <c r="B925" s="1" t="n">
        <v>45371</v>
      </c>
      <c r="C925" s="1" t="n">
        <v>45793</v>
      </c>
      <c r="D925" t="inlineStr">
        <is>
          <t>VÄSTMANLANDS LÄN</t>
        </is>
      </c>
      <c r="E925" t="inlineStr">
        <is>
          <t>SALA</t>
        </is>
      </c>
      <c r="G925" t="n">
        <v>1.2</v>
      </c>
      <c r="H925" t="n">
        <v>0</v>
      </c>
      <c r="I925" t="n">
        <v>0</v>
      </c>
      <c r="J925" t="n">
        <v>0</v>
      </c>
      <c r="K925" t="n">
        <v>0</v>
      </c>
      <c r="L925" t="n">
        <v>0</v>
      </c>
      <c r="M925" t="n">
        <v>0</v>
      </c>
      <c r="N925" t="n">
        <v>0</v>
      </c>
      <c r="O925" t="n">
        <v>0</v>
      </c>
      <c r="P925" t="n">
        <v>0</v>
      </c>
      <c r="Q925" t="n">
        <v>0</v>
      </c>
      <c r="R925" s="2" t="inlineStr"/>
    </row>
    <row r="926" ht="15" customHeight="1">
      <c r="A926" t="inlineStr">
        <is>
          <t>A 11381-2024</t>
        </is>
      </c>
      <c r="B926" s="1" t="n">
        <v>45372</v>
      </c>
      <c r="C926" s="1" t="n">
        <v>45793</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11389-2024</t>
        </is>
      </c>
      <c r="B927" s="1" t="n">
        <v>45372</v>
      </c>
      <c r="C927" s="1" t="n">
        <v>45793</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11378-2024</t>
        </is>
      </c>
      <c r="B928" s="1" t="n">
        <v>45372</v>
      </c>
      <c r="C928" s="1" t="n">
        <v>45793</v>
      </c>
      <c r="D928" t="inlineStr">
        <is>
          <t>VÄSTMANLANDS LÄN</t>
        </is>
      </c>
      <c r="E928" t="inlineStr">
        <is>
          <t>SALA</t>
        </is>
      </c>
      <c r="G928" t="n">
        <v>2.9</v>
      </c>
      <c r="H928" t="n">
        <v>0</v>
      </c>
      <c r="I928" t="n">
        <v>0</v>
      </c>
      <c r="J928" t="n">
        <v>0</v>
      </c>
      <c r="K928" t="n">
        <v>0</v>
      </c>
      <c r="L928" t="n">
        <v>0</v>
      </c>
      <c r="M928" t="n">
        <v>0</v>
      </c>
      <c r="N928" t="n">
        <v>0</v>
      </c>
      <c r="O928" t="n">
        <v>0</v>
      </c>
      <c r="P928" t="n">
        <v>0</v>
      </c>
      <c r="Q928" t="n">
        <v>0</v>
      </c>
      <c r="R928" s="2" t="inlineStr"/>
    </row>
    <row r="929" ht="15" customHeight="1">
      <c r="A929" t="inlineStr">
        <is>
          <t>A 11492-2024</t>
        </is>
      </c>
      <c r="B929" s="1" t="n">
        <v>45372</v>
      </c>
      <c r="C929" s="1" t="n">
        <v>45793</v>
      </c>
      <c r="D929" t="inlineStr">
        <is>
          <t>VÄSTMANLANDS LÄN</t>
        </is>
      </c>
      <c r="E929" t="inlineStr">
        <is>
          <t>SALA</t>
        </is>
      </c>
      <c r="G929" t="n">
        <v>6.9</v>
      </c>
      <c r="H929" t="n">
        <v>0</v>
      </c>
      <c r="I929" t="n">
        <v>0</v>
      </c>
      <c r="J929" t="n">
        <v>0</v>
      </c>
      <c r="K929" t="n">
        <v>0</v>
      </c>
      <c r="L929" t="n">
        <v>0</v>
      </c>
      <c r="M929" t="n">
        <v>0</v>
      </c>
      <c r="N929" t="n">
        <v>0</v>
      </c>
      <c r="O929" t="n">
        <v>0</v>
      </c>
      <c r="P929" t="n">
        <v>0</v>
      </c>
      <c r="Q929" t="n">
        <v>0</v>
      </c>
      <c r="R929" s="2" t="inlineStr"/>
    </row>
    <row r="930" ht="15" customHeight="1">
      <c r="A930" t="inlineStr">
        <is>
          <t>A 11847-2024</t>
        </is>
      </c>
      <c r="B930" s="1" t="n">
        <v>45376</v>
      </c>
      <c r="C930" s="1" t="n">
        <v>45793</v>
      </c>
      <c r="D930" t="inlineStr">
        <is>
          <t>VÄSTMANLANDS LÄN</t>
        </is>
      </c>
      <c r="E930" t="inlineStr">
        <is>
          <t>SALA</t>
        </is>
      </c>
      <c r="G930" t="n">
        <v>7.1</v>
      </c>
      <c r="H930" t="n">
        <v>0</v>
      </c>
      <c r="I930" t="n">
        <v>0</v>
      </c>
      <c r="J930" t="n">
        <v>0</v>
      </c>
      <c r="K930" t="n">
        <v>0</v>
      </c>
      <c r="L930" t="n">
        <v>0</v>
      </c>
      <c r="M930" t="n">
        <v>0</v>
      </c>
      <c r="N930" t="n">
        <v>0</v>
      </c>
      <c r="O930" t="n">
        <v>0</v>
      </c>
      <c r="P930" t="n">
        <v>0</v>
      </c>
      <c r="Q930" t="n">
        <v>0</v>
      </c>
      <c r="R930" s="2" t="inlineStr"/>
    </row>
    <row r="931" ht="15" customHeight="1">
      <c r="A931" t="inlineStr">
        <is>
          <t>A 12236-2024</t>
        </is>
      </c>
      <c r="B931" s="1" t="n">
        <v>45378</v>
      </c>
      <c r="C931" s="1" t="n">
        <v>45793</v>
      </c>
      <c r="D931" t="inlineStr">
        <is>
          <t>VÄSTMANLANDS LÄN</t>
        </is>
      </c>
      <c r="E931" t="inlineStr">
        <is>
          <t>SALA</t>
        </is>
      </c>
      <c r="F931" t="inlineStr">
        <is>
          <t>Kommuner</t>
        </is>
      </c>
      <c r="G931" t="n">
        <v>4.4</v>
      </c>
      <c r="H931" t="n">
        <v>0</v>
      </c>
      <c r="I931" t="n">
        <v>0</v>
      </c>
      <c r="J931" t="n">
        <v>0</v>
      </c>
      <c r="K931" t="n">
        <v>0</v>
      </c>
      <c r="L931" t="n">
        <v>0</v>
      </c>
      <c r="M931" t="n">
        <v>0</v>
      </c>
      <c r="N931" t="n">
        <v>0</v>
      </c>
      <c r="O931" t="n">
        <v>0</v>
      </c>
      <c r="P931" t="n">
        <v>0</v>
      </c>
      <c r="Q931" t="n">
        <v>0</v>
      </c>
      <c r="R931" s="2" t="inlineStr"/>
    </row>
    <row r="932" ht="15" customHeight="1">
      <c r="A932" t="inlineStr">
        <is>
          <t>A 12244-2024</t>
        </is>
      </c>
      <c r="B932" s="1" t="n">
        <v>45378</v>
      </c>
      <c r="C932" s="1" t="n">
        <v>45793</v>
      </c>
      <c r="D932" t="inlineStr">
        <is>
          <t>VÄSTMANLANDS LÄN</t>
        </is>
      </c>
      <c r="E932" t="inlineStr">
        <is>
          <t>SALA</t>
        </is>
      </c>
      <c r="G932" t="n">
        <v>3.6</v>
      </c>
      <c r="H932" t="n">
        <v>0</v>
      </c>
      <c r="I932" t="n">
        <v>0</v>
      </c>
      <c r="J932" t="n">
        <v>0</v>
      </c>
      <c r="K932" t="n">
        <v>0</v>
      </c>
      <c r="L932" t="n">
        <v>0</v>
      </c>
      <c r="M932" t="n">
        <v>0</v>
      </c>
      <c r="N932" t="n">
        <v>0</v>
      </c>
      <c r="O932" t="n">
        <v>0</v>
      </c>
      <c r="P932" t="n">
        <v>0</v>
      </c>
      <c r="Q932" t="n">
        <v>0</v>
      </c>
      <c r="R932" s="2" t="inlineStr"/>
    </row>
    <row r="933" ht="15" customHeight="1">
      <c r="A933" t="inlineStr">
        <is>
          <t>A 12237-2024</t>
        </is>
      </c>
      <c r="B933" s="1" t="n">
        <v>45378</v>
      </c>
      <c r="C933" s="1" t="n">
        <v>45793</v>
      </c>
      <c r="D933" t="inlineStr">
        <is>
          <t>VÄSTMANLANDS LÄN</t>
        </is>
      </c>
      <c r="E933" t="inlineStr">
        <is>
          <t>SALA</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12242-2024</t>
        </is>
      </c>
      <c r="B934" s="1" t="n">
        <v>45378</v>
      </c>
      <c r="C934" s="1" t="n">
        <v>45793</v>
      </c>
      <c r="D934" t="inlineStr">
        <is>
          <t>VÄSTMANLANDS LÄN</t>
        </is>
      </c>
      <c r="E934" t="inlineStr">
        <is>
          <t>SALA</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12463-2024</t>
        </is>
      </c>
      <c r="B935" s="1" t="n">
        <v>45378</v>
      </c>
      <c r="C935" s="1" t="n">
        <v>45793</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12485-2024</t>
        </is>
      </c>
      <c r="B936" s="1" t="n">
        <v>45379</v>
      </c>
      <c r="C936" s="1" t="n">
        <v>45793</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13106-2024</t>
        </is>
      </c>
      <c r="B937" s="1" t="n">
        <v>45385</v>
      </c>
      <c r="C937" s="1" t="n">
        <v>45793</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13110-2024</t>
        </is>
      </c>
      <c r="B938" s="1" t="n">
        <v>45385</v>
      </c>
      <c r="C938" s="1" t="n">
        <v>45793</v>
      </c>
      <c r="D938" t="inlineStr">
        <is>
          <t>VÄSTMANLANDS LÄN</t>
        </is>
      </c>
      <c r="E938" t="inlineStr">
        <is>
          <t>SALA</t>
        </is>
      </c>
      <c r="G938" t="n">
        <v>3</v>
      </c>
      <c r="H938" t="n">
        <v>0</v>
      </c>
      <c r="I938" t="n">
        <v>0</v>
      </c>
      <c r="J938" t="n">
        <v>0</v>
      </c>
      <c r="K938" t="n">
        <v>0</v>
      </c>
      <c r="L938" t="n">
        <v>0</v>
      </c>
      <c r="M938" t="n">
        <v>0</v>
      </c>
      <c r="N938" t="n">
        <v>0</v>
      </c>
      <c r="O938" t="n">
        <v>0</v>
      </c>
      <c r="P938" t="n">
        <v>0</v>
      </c>
      <c r="Q938" t="n">
        <v>0</v>
      </c>
      <c r="R938" s="2" t="inlineStr"/>
    </row>
    <row r="939" ht="15" customHeight="1">
      <c r="A939" t="inlineStr">
        <is>
          <t>A 14001-2024</t>
        </is>
      </c>
      <c r="B939" s="1" t="n">
        <v>45392</v>
      </c>
      <c r="C939" s="1" t="n">
        <v>45793</v>
      </c>
      <c r="D939" t="inlineStr">
        <is>
          <t>VÄSTMANLANDS LÄN</t>
        </is>
      </c>
      <c r="E939" t="inlineStr">
        <is>
          <t>SALA</t>
        </is>
      </c>
      <c r="G939" t="n">
        <v>2.2</v>
      </c>
      <c r="H939" t="n">
        <v>0</v>
      </c>
      <c r="I939" t="n">
        <v>0</v>
      </c>
      <c r="J939" t="n">
        <v>0</v>
      </c>
      <c r="K939" t="n">
        <v>0</v>
      </c>
      <c r="L939" t="n">
        <v>0</v>
      </c>
      <c r="M939" t="n">
        <v>0</v>
      </c>
      <c r="N939" t="n">
        <v>0</v>
      </c>
      <c r="O939" t="n">
        <v>0</v>
      </c>
      <c r="P939" t="n">
        <v>0</v>
      </c>
      <c r="Q939" t="n">
        <v>0</v>
      </c>
      <c r="R939" s="2" t="inlineStr"/>
    </row>
    <row r="940" ht="15" customHeight="1">
      <c r="A940" t="inlineStr">
        <is>
          <t>A 14115-2024</t>
        </is>
      </c>
      <c r="B940" s="1" t="n">
        <v>45392</v>
      </c>
      <c r="C940" s="1" t="n">
        <v>45793</v>
      </c>
      <c r="D940" t="inlineStr">
        <is>
          <t>VÄSTMANLANDS LÄN</t>
        </is>
      </c>
      <c r="E940" t="inlineStr">
        <is>
          <t>SALA</t>
        </is>
      </c>
      <c r="G940" t="n">
        <v>5</v>
      </c>
      <c r="H940" t="n">
        <v>0</v>
      </c>
      <c r="I940" t="n">
        <v>0</v>
      </c>
      <c r="J940" t="n">
        <v>0</v>
      </c>
      <c r="K940" t="n">
        <v>0</v>
      </c>
      <c r="L940" t="n">
        <v>0</v>
      </c>
      <c r="M940" t="n">
        <v>0</v>
      </c>
      <c r="N940" t="n">
        <v>0</v>
      </c>
      <c r="O940" t="n">
        <v>0</v>
      </c>
      <c r="P940" t="n">
        <v>0</v>
      </c>
      <c r="Q940" t="n">
        <v>0</v>
      </c>
      <c r="R940" s="2" t="inlineStr"/>
    </row>
    <row r="941" ht="15" customHeight="1">
      <c r="A941" t="inlineStr">
        <is>
          <t>A 14181-2024</t>
        </is>
      </c>
      <c r="B941" s="1" t="n">
        <v>45393</v>
      </c>
      <c r="C941" s="1" t="n">
        <v>45793</v>
      </c>
      <c r="D941" t="inlineStr">
        <is>
          <t>VÄSTMANLANDS LÄN</t>
        </is>
      </c>
      <c r="E941" t="inlineStr">
        <is>
          <t>SALA</t>
        </is>
      </c>
      <c r="G941" t="n">
        <v>6.4</v>
      </c>
      <c r="H941" t="n">
        <v>0</v>
      </c>
      <c r="I941" t="n">
        <v>0</v>
      </c>
      <c r="J941" t="n">
        <v>0</v>
      </c>
      <c r="K941" t="n">
        <v>0</v>
      </c>
      <c r="L941" t="n">
        <v>0</v>
      </c>
      <c r="M941" t="n">
        <v>0</v>
      </c>
      <c r="N941" t="n">
        <v>0</v>
      </c>
      <c r="O941" t="n">
        <v>0</v>
      </c>
      <c r="P941" t="n">
        <v>0</v>
      </c>
      <c r="Q941" t="n">
        <v>0</v>
      </c>
      <c r="R941" s="2" t="inlineStr"/>
    </row>
    <row r="942" ht="15" customHeight="1">
      <c r="A942" t="inlineStr">
        <is>
          <t>A 15972-2024</t>
        </is>
      </c>
      <c r="B942" s="1" t="n">
        <v>45405</v>
      </c>
      <c r="C942" s="1" t="n">
        <v>45793</v>
      </c>
      <c r="D942" t="inlineStr">
        <is>
          <t>VÄSTMANLANDS LÄN</t>
        </is>
      </c>
      <c r="E942" t="inlineStr">
        <is>
          <t>SALA</t>
        </is>
      </c>
      <c r="G942" t="n">
        <v>1.8</v>
      </c>
      <c r="H942" t="n">
        <v>0</v>
      </c>
      <c r="I942" t="n">
        <v>0</v>
      </c>
      <c r="J942" t="n">
        <v>0</v>
      </c>
      <c r="K942" t="n">
        <v>0</v>
      </c>
      <c r="L942" t="n">
        <v>0</v>
      </c>
      <c r="M942" t="n">
        <v>0</v>
      </c>
      <c r="N942" t="n">
        <v>0</v>
      </c>
      <c r="O942" t="n">
        <v>0</v>
      </c>
      <c r="P942" t="n">
        <v>0</v>
      </c>
      <c r="Q942" t="n">
        <v>0</v>
      </c>
      <c r="R942" s="2" t="inlineStr"/>
    </row>
    <row r="943" ht="15" customHeight="1">
      <c r="A943" t="inlineStr">
        <is>
          <t>A 15968-2024</t>
        </is>
      </c>
      <c r="B943" s="1" t="n">
        <v>45405</v>
      </c>
      <c r="C943" s="1" t="n">
        <v>45793</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15965-2024</t>
        </is>
      </c>
      <c r="B944" s="1" t="n">
        <v>45405</v>
      </c>
      <c r="C944" s="1" t="n">
        <v>45793</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16159-2024</t>
        </is>
      </c>
      <c r="B945" s="1" t="n">
        <v>45406</v>
      </c>
      <c r="C945" s="1" t="n">
        <v>45793</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16163-2024</t>
        </is>
      </c>
      <c r="B946" s="1" t="n">
        <v>45406</v>
      </c>
      <c r="C946" s="1" t="n">
        <v>45793</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16148-2024</t>
        </is>
      </c>
      <c r="B947" s="1" t="n">
        <v>45406</v>
      </c>
      <c r="C947" s="1" t="n">
        <v>45793</v>
      </c>
      <c r="D947" t="inlineStr">
        <is>
          <t>VÄSTMANLANDS LÄN</t>
        </is>
      </c>
      <c r="E947" t="inlineStr">
        <is>
          <t>SALA</t>
        </is>
      </c>
      <c r="G947" t="n">
        <v>5.1</v>
      </c>
      <c r="H947" t="n">
        <v>0</v>
      </c>
      <c r="I947" t="n">
        <v>0</v>
      </c>
      <c r="J947" t="n">
        <v>0</v>
      </c>
      <c r="K947" t="n">
        <v>0</v>
      </c>
      <c r="L947" t="n">
        <v>0</v>
      </c>
      <c r="M947" t="n">
        <v>0</v>
      </c>
      <c r="N947" t="n">
        <v>0</v>
      </c>
      <c r="O947" t="n">
        <v>0</v>
      </c>
      <c r="P947" t="n">
        <v>0</v>
      </c>
      <c r="Q947" t="n">
        <v>0</v>
      </c>
      <c r="R947" s="2" t="inlineStr"/>
    </row>
    <row r="948" ht="15" customHeight="1">
      <c r="A948" t="inlineStr">
        <is>
          <t>A 16160-2024</t>
        </is>
      </c>
      <c r="B948" s="1" t="n">
        <v>45406</v>
      </c>
      <c r="C948" s="1" t="n">
        <v>45793</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16767-2024</t>
        </is>
      </c>
      <c r="B949" s="1" t="n">
        <v>45411</v>
      </c>
      <c r="C949" s="1" t="n">
        <v>45793</v>
      </c>
      <c r="D949" t="inlineStr">
        <is>
          <t>VÄSTMANLANDS LÄN</t>
        </is>
      </c>
      <c r="E949" t="inlineStr">
        <is>
          <t>SALA</t>
        </is>
      </c>
      <c r="G949" t="n">
        <v>2.5</v>
      </c>
      <c r="H949" t="n">
        <v>0</v>
      </c>
      <c r="I949" t="n">
        <v>0</v>
      </c>
      <c r="J949" t="n">
        <v>0</v>
      </c>
      <c r="K949" t="n">
        <v>0</v>
      </c>
      <c r="L949" t="n">
        <v>0</v>
      </c>
      <c r="M949" t="n">
        <v>0</v>
      </c>
      <c r="N949" t="n">
        <v>0</v>
      </c>
      <c r="O949" t="n">
        <v>0</v>
      </c>
      <c r="P949" t="n">
        <v>0</v>
      </c>
      <c r="Q949" t="n">
        <v>0</v>
      </c>
      <c r="R949" s="2" t="inlineStr"/>
    </row>
    <row r="950" ht="15" customHeight="1">
      <c r="A950" t="inlineStr">
        <is>
          <t>A 16760-2024</t>
        </is>
      </c>
      <c r="B950" s="1" t="n">
        <v>45411</v>
      </c>
      <c r="C950" s="1" t="n">
        <v>45793</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16769-2024</t>
        </is>
      </c>
      <c r="B951" s="1" t="n">
        <v>45411</v>
      </c>
      <c r="C951" s="1" t="n">
        <v>45793</v>
      </c>
      <c r="D951" t="inlineStr">
        <is>
          <t>VÄSTMANLANDS LÄN</t>
        </is>
      </c>
      <c r="E951" t="inlineStr">
        <is>
          <t>SALA</t>
        </is>
      </c>
      <c r="G951" t="n">
        <v>12</v>
      </c>
      <c r="H951" t="n">
        <v>0</v>
      </c>
      <c r="I951" t="n">
        <v>0</v>
      </c>
      <c r="J951" t="n">
        <v>0</v>
      </c>
      <c r="K951" t="n">
        <v>0</v>
      </c>
      <c r="L951" t="n">
        <v>0</v>
      </c>
      <c r="M951" t="n">
        <v>0</v>
      </c>
      <c r="N951" t="n">
        <v>0</v>
      </c>
      <c r="O951" t="n">
        <v>0</v>
      </c>
      <c r="P951" t="n">
        <v>0</v>
      </c>
      <c r="Q951" t="n">
        <v>0</v>
      </c>
      <c r="R951" s="2" t="inlineStr"/>
    </row>
    <row r="952" ht="15" customHeight="1">
      <c r="A952" t="inlineStr">
        <is>
          <t>A 17455-2024</t>
        </is>
      </c>
      <c r="B952" s="1" t="n">
        <v>45415</v>
      </c>
      <c r="C952" s="1" t="n">
        <v>45793</v>
      </c>
      <c r="D952" t="inlineStr">
        <is>
          <t>VÄSTMANLANDS LÄN</t>
        </is>
      </c>
      <c r="E952" t="inlineStr">
        <is>
          <t>SALA</t>
        </is>
      </c>
      <c r="G952" t="n">
        <v>2.8</v>
      </c>
      <c r="H952" t="n">
        <v>0</v>
      </c>
      <c r="I952" t="n">
        <v>0</v>
      </c>
      <c r="J952" t="n">
        <v>0</v>
      </c>
      <c r="K952" t="n">
        <v>0</v>
      </c>
      <c r="L952" t="n">
        <v>0</v>
      </c>
      <c r="M952" t="n">
        <v>0</v>
      </c>
      <c r="N952" t="n">
        <v>0</v>
      </c>
      <c r="O952" t="n">
        <v>0</v>
      </c>
      <c r="P952" t="n">
        <v>0</v>
      </c>
      <c r="Q952" t="n">
        <v>0</v>
      </c>
      <c r="R952" s="2" t="inlineStr"/>
    </row>
    <row r="953" ht="15" customHeight="1">
      <c r="A953" t="inlineStr">
        <is>
          <t>A 17495-2024</t>
        </is>
      </c>
      <c r="B953" s="1" t="n">
        <v>45415</v>
      </c>
      <c r="C953" s="1" t="n">
        <v>45793</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17457-2024</t>
        </is>
      </c>
      <c r="B954" s="1" t="n">
        <v>45415</v>
      </c>
      <c r="C954" s="1" t="n">
        <v>45793</v>
      </c>
      <c r="D954" t="inlineStr">
        <is>
          <t>VÄSTMANLANDS LÄN</t>
        </is>
      </c>
      <c r="E954" t="inlineStr">
        <is>
          <t>SALA</t>
        </is>
      </c>
      <c r="G954" t="n">
        <v>0.8</v>
      </c>
      <c r="H954" t="n">
        <v>0</v>
      </c>
      <c r="I954" t="n">
        <v>0</v>
      </c>
      <c r="J954" t="n">
        <v>0</v>
      </c>
      <c r="K954" t="n">
        <v>0</v>
      </c>
      <c r="L954" t="n">
        <v>0</v>
      </c>
      <c r="M954" t="n">
        <v>0</v>
      </c>
      <c r="N954" t="n">
        <v>0</v>
      </c>
      <c r="O954" t="n">
        <v>0</v>
      </c>
      <c r="P954" t="n">
        <v>0</v>
      </c>
      <c r="Q954" t="n">
        <v>0</v>
      </c>
      <c r="R954" s="2" t="inlineStr"/>
    </row>
    <row r="955" ht="15" customHeight="1">
      <c r="A955" t="inlineStr">
        <is>
          <t>A 17458-2024</t>
        </is>
      </c>
      <c r="B955" s="1" t="n">
        <v>45415</v>
      </c>
      <c r="C955" s="1" t="n">
        <v>45793</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17496-2024</t>
        </is>
      </c>
      <c r="B956" s="1" t="n">
        <v>45415</v>
      </c>
      <c r="C956" s="1" t="n">
        <v>45793</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17918-2024</t>
        </is>
      </c>
      <c r="B957" s="1" t="n">
        <v>45419</v>
      </c>
      <c r="C957" s="1" t="n">
        <v>45793</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18461-2024</t>
        </is>
      </c>
      <c r="B958" s="1" t="n">
        <v>45425</v>
      </c>
      <c r="C958" s="1" t="n">
        <v>45793</v>
      </c>
      <c r="D958" t="inlineStr">
        <is>
          <t>VÄSTMANLANDS LÄN</t>
        </is>
      </c>
      <c r="E958" t="inlineStr">
        <is>
          <t>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18522-2024</t>
        </is>
      </c>
      <c r="B959" s="1" t="n">
        <v>45425</v>
      </c>
      <c r="C959" s="1" t="n">
        <v>45793</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18750-2024</t>
        </is>
      </c>
      <c r="B960" s="1" t="n">
        <v>45426</v>
      </c>
      <c r="C960" s="1" t="n">
        <v>45793</v>
      </c>
      <c r="D960" t="inlineStr">
        <is>
          <t>VÄSTMANLANDS LÄN</t>
        </is>
      </c>
      <c r="E960" t="inlineStr">
        <is>
          <t>SALA</t>
        </is>
      </c>
      <c r="G960" t="n">
        <v>5.5</v>
      </c>
      <c r="H960" t="n">
        <v>0</v>
      </c>
      <c r="I960" t="n">
        <v>0</v>
      </c>
      <c r="J960" t="n">
        <v>0</v>
      </c>
      <c r="K960" t="n">
        <v>0</v>
      </c>
      <c r="L960" t="n">
        <v>0</v>
      </c>
      <c r="M960" t="n">
        <v>0</v>
      </c>
      <c r="N960" t="n">
        <v>0</v>
      </c>
      <c r="O960" t="n">
        <v>0</v>
      </c>
      <c r="P960" t="n">
        <v>0</v>
      </c>
      <c r="Q960" t="n">
        <v>0</v>
      </c>
      <c r="R960" s="2" t="inlineStr"/>
    </row>
    <row r="961" ht="15" customHeight="1">
      <c r="A961" t="inlineStr">
        <is>
          <t>A 18762-2024</t>
        </is>
      </c>
      <c r="B961" s="1" t="n">
        <v>45426</v>
      </c>
      <c r="C961" s="1" t="n">
        <v>45793</v>
      </c>
      <c r="D961" t="inlineStr">
        <is>
          <t>VÄSTMANLANDS LÄN</t>
        </is>
      </c>
      <c r="E961" t="inlineStr">
        <is>
          <t>SALA</t>
        </is>
      </c>
      <c r="G961" t="n">
        <v>6.2</v>
      </c>
      <c r="H961" t="n">
        <v>0</v>
      </c>
      <c r="I961" t="n">
        <v>0</v>
      </c>
      <c r="J961" t="n">
        <v>0</v>
      </c>
      <c r="K961" t="n">
        <v>0</v>
      </c>
      <c r="L961" t="n">
        <v>0</v>
      </c>
      <c r="M961" t="n">
        <v>0</v>
      </c>
      <c r="N961" t="n">
        <v>0</v>
      </c>
      <c r="O961" t="n">
        <v>0</v>
      </c>
      <c r="P961" t="n">
        <v>0</v>
      </c>
      <c r="Q961" t="n">
        <v>0</v>
      </c>
      <c r="R961" s="2" t="inlineStr"/>
    </row>
    <row r="962" ht="15" customHeight="1">
      <c r="A962" t="inlineStr">
        <is>
          <t>A 19224-2024</t>
        </is>
      </c>
      <c r="B962" s="1" t="n">
        <v>45428</v>
      </c>
      <c r="C962" s="1" t="n">
        <v>45793</v>
      </c>
      <c r="D962" t="inlineStr">
        <is>
          <t>VÄSTMANLANDS LÄN</t>
        </is>
      </c>
      <c r="E962" t="inlineStr">
        <is>
          <t>SALA</t>
        </is>
      </c>
      <c r="G962" t="n">
        <v>1.5</v>
      </c>
      <c r="H962" t="n">
        <v>0</v>
      </c>
      <c r="I962" t="n">
        <v>0</v>
      </c>
      <c r="J962" t="n">
        <v>0</v>
      </c>
      <c r="K962" t="n">
        <v>0</v>
      </c>
      <c r="L962" t="n">
        <v>0</v>
      </c>
      <c r="M962" t="n">
        <v>0</v>
      </c>
      <c r="N962" t="n">
        <v>0</v>
      </c>
      <c r="O962" t="n">
        <v>0</v>
      </c>
      <c r="P962" t="n">
        <v>0</v>
      </c>
      <c r="Q962" t="n">
        <v>0</v>
      </c>
      <c r="R962" s="2" t="inlineStr"/>
    </row>
    <row r="963" ht="15" customHeight="1">
      <c r="A963" t="inlineStr">
        <is>
          <t>A 19803-2024</t>
        </is>
      </c>
      <c r="B963" s="1" t="n">
        <v>45432</v>
      </c>
      <c r="C963" s="1" t="n">
        <v>45793</v>
      </c>
      <c r="D963" t="inlineStr">
        <is>
          <t>VÄSTMANLANDS LÄN</t>
        </is>
      </c>
      <c r="E963" t="inlineStr">
        <is>
          <t>SALA</t>
        </is>
      </c>
      <c r="G963" t="n">
        <v>3.1</v>
      </c>
      <c r="H963" t="n">
        <v>0</v>
      </c>
      <c r="I963" t="n">
        <v>0</v>
      </c>
      <c r="J963" t="n">
        <v>0</v>
      </c>
      <c r="K963" t="n">
        <v>0</v>
      </c>
      <c r="L963" t="n">
        <v>0</v>
      </c>
      <c r="M963" t="n">
        <v>0</v>
      </c>
      <c r="N963" t="n">
        <v>0</v>
      </c>
      <c r="O963" t="n">
        <v>0</v>
      </c>
      <c r="P963" t="n">
        <v>0</v>
      </c>
      <c r="Q963" t="n">
        <v>0</v>
      </c>
      <c r="R963" s="2" t="inlineStr"/>
    </row>
    <row r="964" ht="15" customHeight="1">
      <c r="A964" t="inlineStr">
        <is>
          <t>A 19860-2024</t>
        </is>
      </c>
      <c r="B964" s="1" t="n">
        <v>45433</v>
      </c>
      <c r="C964" s="1" t="n">
        <v>45793</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19969-2024</t>
        </is>
      </c>
      <c r="B965" s="1" t="n">
        <v>45433</v>
      </c>
      <c r="C965" s="1" t="n">
        <v>45793</v>
      </c>
      <c r="D965" t="inlineStr">
        <is>
          <t>VÄSTMANLANDS LÄN</t>
        </is>
      </c>
      <c r="E965" t="inlineStr">
        <is>
          <t>SALA</t>
        </is>
      </c>
      <c r="G965" t="n">
        <v>4.7</v>
      </c>
      <c r="H965" t="n">
        <v>0</v>
      </c>
      <c r="I965" t="n">
        <v>0</v>
      </c>
      <c r="J965" t="n">
        <v>0</v>
      </c>
      <c r="K965" t="n">
        <v>0</v>
      </c>
      <c r="L965" t="n">
        <v>0</v>
      </c>
      <c r="M965" t="n">
        <v>0</v>
      </c>
      <c r="N965" t="n">
        <v>0</v>
      </c>
      <c r="O965" t="n">
        <v>0</v>
      </c>
      <c r="P965" t="n">
        <v>0</v>
      </c>
      <c r="Q965" t="n">
        <v>0</v>
      </c>
      <c r="R965" s="2" t="inlineStr"/>
    </row>
    <row r="966" ht="15" customHeight="1">
      <c r="A966" t="inlineStr">
        <is>
          <t>A 21234-2024</t>
        </is>
      </c>
      <c r="B966" s="1" t="n">
        <v>45440</v>
      </c>
      <c r="C966" s="1" t="n">
        <v>45793</v>
      </c>
      <c r="D966" t="inlineStr">
        <is>
          <t>VÄSTMANLANDS LÄN</t>
        </is>
      </c>
      <c r="E966" t="inlineStr">
        <is>
          <t>SALA</t>
        </is>
      </c>
      <c r="G966" t="n">
        <v>4.9</v>
      </c>
      <c r="H966" t="n">
        <v>0</v>
      </c>
      <c r="I966" t="n">
        <v>0</v>
      </c>
      <c r="J966" t="n">
        <v>0</v>
      </c>
      <c r="K966" t="n">
        <v>0</v>
      </c>
      <c r="L966" t="n">
        <v>0</v>
      </c>
      <c r="M966" t="n">
        <v>0</v>
      </c>
      <c r="N966" t="n">
        <v>0</v>
      </c>
      <c r="O966" t="n">
        <v>0</v>
      </c>
      <c r="P966" t="n">
        <v>0</v>
      </c>
      <c r="Q966" t="n">
        <v>0</v>
      </c>
      <c r="R966" s="2" t="inlineStr"/>
    </row>
    <row r="967" ht="15" customHeight="1">
      <c r="A967" t="inlineStr">
        <is>
          <t>A 21225-2024</t>
        </is>
      </c>
      <c r="B967" s="1" t="n">
        <v>45440</v>
      </c>
      <c r="C967" s="1" t="n">
        <v>45793</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21968-2024</t>
        </is>
      </c>
      <c r="B968" s="1" t="n">
        <v>45443</v>
      </c>
      <c r="C968" s="1" t="n">
        <v>45793</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23317-2024</t>
        </is>
      </c>
      <c r="B969" s="1" t="n">
        <v>45453</v>
      </c>
      <c r="C969" s="1" t="n">
        <v>45793</v>
      </c>
      <c r="D969" t="inlineStr">
        <is>
          <t>VÄSTMANLANDS LÄN</t>
        </is>
      </c>
      <c r="E969" t="inlineStr">
        <is>
          <t>SALA</t>
        </is>
      </c>
      <c r="G969" t="n">
        <v>6.5</v>
      </c>
      <c r="H969" t="n">
        <v>0</v>
      </c>
      <c r="I969" t="n">
        <v>0</v>
      </c>
      <c r="J969" t="n">
        <v>0</v>
      </c>
      <c r="K969" t="n">
        <v>0</v>
      </c>
      <c r="L969" t="n">
        <v>0</v>
      </c>
      <c r="M969" t="n">
        <v>0</v>
      </c>
      <c r="N969" t="n">
        <v>0</v>
      </c>
      <c r="O969" t="n">
        <v>0</v>
      </c>
      <c r="P969" t="n">
        <v>0</v>
      </c>
      <c r="Q969" t="n">
        <v>0</v>
      </c>
      <c r="R969" s="2" t="inlineStr"/>
    </row>
    <row r="970" ht="15" customHeight="1">
      <c r="A970" t="inlineStr">
        <is>
          <t>A 23406-2024</t>
        </is>
      </c>
      <c r="B970" s="1" t="n">
        <v>45453</v>
      </c>
      <c r="C970" s="1" t="n">
        <v>45793</v>
      </c>
      <c r="D970" t="inlineStr">
        <is>
          <t>VÄSTMANLANDS LÄN</t>
        </is>
      </c>
      <c r="E970" t="inlineStr">
        <is>
          <t>SALA</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23431-2024</t>
        </is>
      </c>
      <c r="B971" s="1" t="n">
        <v>45453</v>
      </c>
      <c r="C971" s="1" t="n">
        <v>45793</v>
      </c>
      <c r="D971" t="inlineStr">
        <is>
          <t>VÄSTMANLANDS LÄN</t>
        </is>
      </c>
      <c r="E971" t="inlineStr">
        <is>
          <t>SALA</t>
        </is>
      </c>
      <c r="G971" t="n">
        <v>1.6</v>
      </c>
      <c r="H971" t="n">
        <v>0</v>
      </c>
      <c r="I971" t="n">
        <v>0</v>
      </c>
      <c r="J971" t="n">
        <v>0</v>
      </c>
      <c r="K971" t="n">
        <v>0</v>
      </c>
      <c r="L971" t="n">
        <v>0</v>
      </c>
      <c r="M971" t="n">
        <v>0</v>
      </c>
      <c r="N971" t="n">
        <v>0</v>
      </c>
      <c r="O971" t="n">
        <v>0</v>
      </c>
      <c r="P971" t="n">
        <v>0</v>
      </c>
      <c r="Q971" t="n">
        <v>0</v>
      </c>
      <c r="R971" s="2" t="inlineStr"/>
    </row>
    <row r="972" ht="15" customHeight="1">
      <c r="A972" t="inlineStr">
        <is>
          <t>A 23433-2024</t>
        </is>
      </c>
      <c r="B972" s="1" t="n">
        <v>45453</v>
      </c>
      <c r="C972" s="1" t="n">
        <v>45793</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23322-2024</t>
        </is>
      </c>
      <c r="B973" s="1" t="n">
        <v>45453</v>
      </c>
      <c r="C973" s="1" t="n">
        <v>45793</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23621-2024</t>
        </is>
      </c>
      <c r="B974" s="1" t="n">
        <v>45454</v>
      </c>
      <c r="C974" s="1" t="n">
        <v>45793</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24039-2024</t>
        </is>
      </c>
      <c r="B975" s="1" t="n">
        <v>45456</v>
      </c>
      <c r="C975" s="1" t="n">
        <v>45793</v>
      </c>
      <c r="D975" t="inlineStr">
        <is>
          <t>VÄSTMANLANDS LÄN</t>
        </is>
      </c>
      <c r="E975" t="inlineStr">
        <is>
          <t>SALA</t>
        </is>
      </c>
      <c r="G975" t="n">
        <v>1.2</v>
      </c>
      <c r="H975" t="n">
        <v>0</v>
      </c>
      <c r="I975" t="n">
        <v>0</v>
      </c>
      <c r="J975" t="n">
        <v>0</v>
      </c>
      <c r="K975" t="n">
        <v>0</v>
      </c>
      <c r="L975" t="n">
        <v>0</v>
      </c>
      <c r="M975" t="n">
        <v>0</v>
      </c>
      <c r="N975" t="n">
        <v>0</v>
      </c>
      <c r="O975" t="n">
        <v>0</v>
      </c>
      <c r="P975" t="n">
        <v>0</v>
      </c>
      <c r="Q975" t="n">
        <v>0</v>
      </c>
      <c r="R975" s="2" t="inlineStr"/>
    </row>
    <row r="976" ht="15" customHeight="1">
      <c r="A976" t="inlineStr">
        <is>
          <t>A 24037-2024</t>
        </is>
      </c>
      <c r="B976" s="1" t="n">
        <v>45456</v>
      </c>
      <c r="C976" s="1" t="n">
        <v>45793</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24175-2024</t>
        </is>
      </c>
      <c r="B977" s="1" t="n">
        <v>45456</v>
      </c>
      <c r="C977" s="1" t="n">
        <v>45793</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24337-2024</t>
        </is>
      </c>
      <c r="B978" s="1" t="n">
        <v>45457</v>
      </c>
      <c r="C978" s="1" t="n">
        <v>45793</v>
      </c>
      <c r="D978" t="inlineStr">
        <is>
          <t>VÄSTMANLANDS LÄN</t>
        </is>
      </c>
      <c r="E978" t="inlineStr">
        <is>
          <t>SALA</t>
        </is>
      </c>
      <c r="G978" t="n">
        <v>2.9</v>
      </c>
      <c r="H978" t="n">
        <v>0</v>
      </c>
      <c r="I978" t="n">
        <v>0</v>
      </c>
      <c r="J978" t="n">
        <v>0</v>
      </c>
      <c r="K978" t="n">
        <v>0</v>
      </c>
      <c r="L978" t="n">
        <v>0</v>
      </c>
      <c r="M978" t="n">
        <v>0</v>
      </c>
      <c r="N978" t="n">
        <v>0</v>
      </c>
      <c r="O978" t="n">
        <v>0</v>
      </c>
      <c r="P978" t="n">
        <v>0</v>
      </c>
      <c r="Q978" t="n">
        <v>0</v>
      </c>
      <c r="R978" s="2" t="inlineStr"/>
    </row>
    <row r="979" ht="15" customHeight="1">
      <c r="A979" t="inlineStr">
        <is>
          <t>A 24375-2024</t>
        </is>
      </c>
      <c r="B979" s="1" t="n">
        <v>45457</v>
      </c>
      <c r="C979" s="1" t="n">
        <v>45793</v>
      </c>
      <c r="D979" t="inlineStr">
        <is>
          <t>VÄSTMANLANDS LÄN</t>
        </is>
      </c>
      <c r="E979" t="inlineStr">
        <is>
          <t>SALA</t>
        </is>
      </c>
      <c r="G979" t="n">
        <v>6.3</v>
      </c>
      <c r="H979" t="n">
        <v>0</v>
      </c>
      <c r="I979" t="n">
        <v>0</v>
      </c>
      <c r="J979" t="n">
        <v>0</v>
      </c>
      <c r="K979" t="n">
        <v>0</v>
      </c>
      <c r="L979" t="n">
        <v>0</v>
      </c>
      <c r="M979" t="n">
        <v>0</v>
      </c>
      <c r="N979" t="n">
        <v>0</v>
      </c>
      <c r="O979" t="n">
        <v>0</v>
      </c>
      <c r="P979" t="n">
        <v>0</v>
      </c>
      <c r="Q979" t="n">
        <v>0</v>
      </c>
      <c r="R979" s="2" t="inlineStr"/>
    </row>
    <row r="980" ht="15" customHeight="1">
      <c r="A980" t="inlineStr">
        <is>
          <t>A 24866-2024</t>
        </is>
      </c>
      <c r="B980" s="1" t="n">
        <v>45461</v>
      </c>
      <c r="C980" s="1" t="n">
        <v>45793</v>
      </c>
      <c r="D980" t="inlineStr">
        <is>
          <t>VÄSTMANLANDS LÄN</t>
        </is>
      </c>
      <c r="E980" t="inlineStr">
        <is>
          <t>SALA</t>
        </is>
      </c>
      <c r="G980" t="n">
        <v>2.8</v>
      </c>
      <c r="H980" t="n">
        <v>0</v>
      </c>
      <c r="I980" t="n">
        <v>0</v>
      </c>
      <c r="J980" t="n">
        <v>0</v>
      </c>
      <c r="K980" t="n">
        <v>0</v>
      </c>
      <c r="L980" t="n">
        <v>0</v>
      </c>
      <c r="M980" t="n">
        <v>0</v>
      </c>
      <c r="N980" t="n">
        <v>0</v>
      </c>
      <c r="O980" t="n">
        <v>0</v>
      </c>
      <c r="P980" t="n">
        <v>0</v>
      </c>
      <c r="Q980" t="n">
        <v>0</v>
      </c>
      <c r="R980" s="2" t="inlineStr"/>
    </row>
    <row r="981" ht="15" customHeight="1">
      <c r="A981" t="inlineStr">
        <is>
          <t>A 24900-2024</t>
        </is>
      </c>
      <c r="B981" s="1" t="n">
        <v>45461</v>
      </c>
      <c r="C981" s="1" t="n">
        <v>45793</v>
      </c>
      <c r="D981" t="inlineStr">
        <is>
          <t>VÄSTMANLANDS LÄN</t>
        </is>
      </c>
      <c r="E981" t="inlineStr">
        <is>
          <t>SALA</t>
        </is>
      </c>
      <c r="G981" t="n">
        <v>5.8</v>
      </c>
      <c r="H981" t="n">
        <v>0</v>
      </c>
      <c r="I981" t="n">
        <v>0</v>
      </c>
      <c r="J981" t="n">
        <v>0</v>
      </c>
      <c r="K981" t="n">
        <v>0</v>
      </c>
      <c r="L981" t="n">
        <v>0</v>
      </c>
      <c r="M981" t="n">
        <v>0</v>
      </c>
      <c r="N981" t="n">
        <v>0</v>
      </c>
      <c r="O981" t="n">
        <v>0</v>
      </c>
      <c r="P981" t="n">
        <v>0</v>
      </c>
      <c r="Q981" t="n">
        <v>0</v>
      </c>
      <c r="R981" s="2" t="inlineStr"/>
    </row>
    <row r="982" ht="15" customHeight="1">
      <c r="A982" t="inlineStr">
        <is>
          <t>A 24864-2024</t>
        </is>
      </c>
      <c r="B982" s="1" t="n">
        <v>45461</v>
      </c>
      <c r="C982" s="1" t="n">
        <v>45793</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25541-2024</t>
        </is>
      </c>
      <c r="B983" s="1" t="n">
        <v>45463</v>
      </c>
      <c r="C983" s="1" t="n">
        <v>45793</v>
      </c>
      <c r="D983" t="inlineStr">
        <is>
          <t>VÄSTMANLANDS LÄN</t>
        </is>
      </c>
      <c r="E983" t="inlineStr">
        <is>
          <t>SALA</t>
        </is>
      </c>
      <c r="G983" t="n">
        <v>0.5</v>
      </c>
      <c r="H983" t="n">
        <v>0</v>
      </c>
      <c r="I983" t="n">
        <v>0</v>
      </c>
      <c r="J983" t="n">
        <v>0</v>
      </c>
      <c r="K983" t="n">
        <v>0</v>
      </c>
      <c r="L983" t="n">
        <v>0</v>
      </c>
      <c r="M983" t="n">
        <v>0</v>
      </c>
      <c r="N983" t="n">
        <v>0</v>
      </c>
      <c r="O983" t="n">
        <v>0</v>
      </c>
      <c r="P983" t="n">
        <v>0</v>
      </c>
      <c r="Q983" t="n">
        <v>0</v>
      </c>
      <c r="R983" s="2" t="inlineStr"/>
    </row>
    <row r="984" ht="15" customHeight="1">
      <c r="A984" t="inlineStr">
        <is>
          <t>A 25860-2024</t>
        </is>
      </c>
      <c r="B984" s="1" t="n">
        <v>45467</v>
      </c>
      <c r="C984" s="1" t="n">
        <v>45793</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25897-2024</t>
        </is>
      </c>
      <c r="B985" s="1" t="n">
        <v>45467</v>
      </c>
      <c r="C985" s="1" t="n">
        <v>45793</v>
      </c>
      <c r="D985" t="inlineStr">
        <is>
          <t>VÄSTMANLANDS LÄN</t>
        </is>
      </c>
      <c r="E985" t="inlineStr">
        <is>
          <t>SALA</t>
        </is>
      </c>
      <c r="G985" t="n">
        <v>9.9</v>
      </c>
      <c r="H985" t="n">
        <v>0</v>
      </c>
      <c r="I985" t="n">
        <v>0</v>
      </c>
      <c r="J985" t="n">
        <v>0</v>
      </c>
      <c r="K985" t="n">
        <v>0</v>
      </c>
      <c r="L985" t="n">
        <v>0</v>
      </c>
      <c r="M985" t="n">
        <v>0</v>
      </c>
      <c r="N985" t="n">
        <v>0</v>
      </c>
      <c r="O985" t="n">
        <v>0</v>
      </c>
      <c r="P985" t="n">
        <v>0</v>
      </c>
      <c r="Q985" t="n">
        <v>0</v>
      </c>
      <c r="R985" s="2" t="inlineStr"/>
    </row>
    <row r="986" ht="15" customHeight="1">
      <c r="A986" t="inlineStr">
        <is>
          <t>A 25891-2024</t>
        </is>
      </c>
      <c r="B986" s="1" t="n">
        <v>45467</v>
      </c>
      <c r="C986" s="1" t="n">
        <v>45793</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25868-2024</t>
        </is>
      </c>
      <c r="B987" s="1" t="n">
        <v>45467</v>
      </c>
      <c r="C987" s="1" t="n">
        <v>45793</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26854-2024</t>
        </is>
      </c>
      <c r="B988" s="1" t="n">
        <v>45470</v>
      </c>
      <c r="C988" s="1" t="n">
        <v>45793</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26848-2024</t>
        </is>
      </c>
      <c r="B989" s="1" t="n">
        <v>45470</v>
      </c>
      <c r="C989" s="1" t="n">
        <v>45793</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26844-2024</t>
        </is>
      </c>
      <c r="B990" s="1" t="n">
        <v>45470</v>
      </c>
      <c r="C990" s="1" t="n">
        <v>45793</v>
      </c>
      <c r="D990" t="inlineStr">
        <is>
          <t>VÄSTMANLANDS LÄN</t>
        </is>
      </c>
      <c r="E990" t="inlineStr">
        <is>
          <t>SALA</t>
        </is>
      </c>
      <c r="G990" t="n">
        <v>2.6</v>
      </c>
      <c r="H990" t="n">
        <v>0</v>
      </c>
      <c r="I990" t="n">
        <v>0</v>
      </c>
      <c r="J990" t="n">
        <v>0</v>
      </c>
      <c r="K990" t="n">
        <v>0</v>
      </c>
      <c r="L990" t="n">
        <v>0</v>
      </c>
      <c r="M990" t="n">
        <v>0</v>
      </c>
      <c r="N990" t="n">
        <v>0</v>
      </c>
      <c r="O990" t="n">
        <v>0</v>
      </c>
      <c r="P990" t="n">
        <v>0</v>
      </c>
      <c r="Q990" t="n">
        <v>0</v>
      </c>
      <c r="R990" s="2" t="inlineStr"/>
    </row>
    <row r="991" ht="15" customHeight="1">
      <c r="A991" t="inlineStr">
        <is>
          <t>A 27097-2024</t>
        </is>
      </c>
      <c r="B991" s="1" t="n">
        <v>45471</v>
      </c>
      <c r="C991" s="1" t="n">
        <v>45793</v>
      </c>
      <c r="D991" t="inlineStr">
        <is>
          <t>VÄSTMANLANDS LÄN</t>
        </is>
      </c>
      <c r="E991" t="inlineStr">
        <is>
          <t>SALA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27262-2024</t>
        </is>
      </c>
      <c r="B992" s="1" t="n">
        <v>45471</v>
      </c>
      <c r="C992" s="1" t="n">
        <v>45793</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27261-2024</t>
        </is>
      </c>
      <c r="B993" s="1" t="n">
        <v>45471</v>
      </c>
      <c r="C993" s="1" t="n">
        <v>45793</v>
      </c>
      <c r="D993" t="inlineStr">
        <is>
          <t>VÄSTMANLANDS LÄN</t>
        </is>
      </c>
      <c r="E993" t="inlineStr">
        <is>
          <t>SALA</t>
        </is>
      </c>
      <c r="G993" t="n">
        <v>6.1</v>
      </c>
      <c r="H993" t="n">
        <v>0</v>
      </c>
      <c r="I993" t="n">
        <v>0</v>
      </c>
      <c r="J993" t="n">
        <v>0</v>
      </c>
      <c r="K993" t="n">
        <v>0</v>
      </c>
      <c r="L993" t="n">
        <v>0</v>
      </c>
      <c r="M993" t="n">
        <v>0</v>
      </c>
      <c r="N993" t="n">
        <v>0</v>
      </c>
      <c r="O993" t="n">
        <v>0</v>
      </c>
      <c r="P993" t="n">
        <v>0</v>
      </c>
      <c r="Q993" t="n">
        <v>0</v>
      </c>
      <c r="R993" s="2" t="inlineStr"/>
    </row>
    <row r="994" ht="15" customHeight="1">
      <c r="A994" t="inlineStr">
        <is>
          <t>A 28082-2024</t>
        </is>
      </c>
      <c r="B994" s="1" t="n">
        <v>45476</v>
      </c>
      <c r="C994" s="1" t="n">
        <v>45793</v>
      </c>
      <c r="D994" t="inlineStr">
        <is>
          <t>VÄSTMANLANDS LÄN</t>
        </is>
      </c>
      <c r="E994" t="inlineStr">
        <is>
          <t>SALA</t>
        </is>
      </c>
      <c r="G994" t="n">
        <v>4.7</v>
      </c>
      <c r="H994" t="n">
        <v>0</v>
      </c>
      <c r="I994" t="n">
        <v>0</v>
      </c>
      <c r="J994" t="n">
        <v>0</v>
      </c>
      <c r="K994" t="n">
        <v>0</v>
      </c>
      <c r="L994" t="n">
        <v>0</v>
      </c>
      <c r="M994" t="n">
        <v>0</v>
      </c>
      <c r="N994" t="n">
        <v>0</v>
      </c>
      <c r="O994" t="n">
        <v>0</v>
      </c>
      <c r="P994" t="n">
        <v>0</v>
      </c>
      <c r="Q994" t="n">
        <v>0</v>
      </c>
      <c r="R994" s="2" t="inlineStr"/>
    </row>
    <row r="995" ht="15" customHeight="1">
      <c r="A995" t="inlineStr">
        <is>
          <t>A 28093-2024</t>
        </is>
      </c>
      <c r="B995" s="1" t="n">
        <v>45476</v>
      </c>
      <c r="C995" s="1" t="n">
        <v>45793</v>
      </c>
      <c r="D995" t="inlineStr">
        <is>
          <t>VÄSTMANLANDS LÄN</t>
        </is>
      </c>
      <c r="E995" t="inlineStr">
        <is>
          <t>SALA</t>
        </is>
      </c>
      <c r="G995" t="n">
        <v>4.2</v>
      </c>
      <c r="H995" t="n">
        <v>0</v>
      </c>
      <c r="I995" t="n">
        <v>0</v>
      </c>
      <c r="J995" t="n">
        <v>0</v>
      </c>
      <c r="K995" t="n">
        <v>0</v>
      </c>
      <c r="L995" t="n">
        <v>0</v>
      </c>
      <c r="M995" t="n">
        <v>0</v>
      </c>
      <c r="N995" t="n">
        <v>0</v>
      </c>
      <c r="O995" t="n">
        <v>0</v>
      </c>
      <c r="P995" t="n">
        <v>0</v>
      </c>
      <c r="Q995" t="n">
        <v>0</v>
      </c>
      <c r="R995" s="2" t="inlineStr"/>
    </row>
    <row r="996" ht="15" customHeight="1">
      <c r="A996" t="inlineStr">
        <is>
          <t>A 28439-2024</t>
        </is>
      </c>
      <c r="B996" s="1" t="n">
        <v>45477</v>
      </c>
      <c r="C996" s="1" t="n">
        <v>45793</v>
      </c>
      <c r="D996" t="inlineStr">
        <is>
          <t>VÄSTMANLANDS LÄN</t>
        </is>
      </c>
      <c r="E996" t="inlineStr">
        <is>
          <t>SALA</t>
        </is>
      </c>
      <c r="G996" t="n">
        <v>9.5</v>
      </c>
      <c r="H996" t="n">
        <v>0</v>
      </c>
      <c r="I996" t="n">
        <v>0</v>
      </c>
      <c r="J996" t="n">
        <v>0</v>
      </c>
      <c r="K996" t="n">
        <v>0</v>
      </c>
      <c r="L996" t="n">
        <v>0</v>
      </c>
      <c r="M996" t="n">
        <v>0</v>
      </c>
      <c r="N996" t="n">
        <v>0</v>
      </c>
      <c r="O996" t="n">
        <v>0</v>
      </c>
      <c r="P996" t="n">
        <v>0</v>
      </c>
      <c r="Q996" t="n">
        <v>0</v>
      </c>
      <c r="R996" s="2" t="inlineStr"/>
    </row>
    <row r="997" ht="15" customHeight="1">
      <c r="A997" t="inlineStr">
        <is>
          <t>A 28614-2024</t>
        </is>
      </c>
      <c r="B997" s="1" t="n">
        <v>45478</v>
      </c>
      <c r="C997" s="1" t="n">
        <v>45793</v>
      </c>
      <c r="D997" t="inlineStr">
        <is>
          <t>VÄSTMANLANDS LÄN</t>
        </is>
      </c>
      <c r="E997" t="inlineStr">
        <is>
          <t>SALA</t>
        </is>
      </c>
      <c r="G997" t="n">
        <v>1.4</v>
      </c>
      <c r="H997" t="n">
        <v>0</v>
      </c>
      <c r="I997" t="n">
        <v>0</v>
      </c>
      <c r="J997" t="n">
        <v>0</v>
      </c>
      <c r="K997" t="n">
        <v>0</v>
      </c>
      <c r="L997" t="n">
        <v>0</v>
      </c>
      <c r="M997" t="n">
        <v>0</v>
      </c>
      <c r="N997" t="n">
        <v>0</v>
      </c>
      <c r="O997" t="n">
        <v>0</v>
      </c>
      <c r="P997" t="n">
        <v>0</v>
      </c>
      <c r="Q997" t="n">
        <v>0</v>
      </c>
      <c r="R997" s="2" t="inlineStr"/>
    </row>
    <row r="998" ht="15" customHeight="1">
      <c r="A998" t="inlineStr">
        <is>
          <t>A 28661-2024</t>
        </is>
      </c>
      <c r="B998" s="1" t="n">
        <v>45478</v>
      </c>
      <c r="C998" s="1" t="n">
        <v>45793</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29019-2024</t>
        </is>
      </c>
      <c r="B999" s="1" t="n">
        <v>45481</v>
      </c>
      <c r="C999" s="1" t="n">
        <v>45793</v>
      </c>
      <c r="D999" t="inlineStr">
        <is>
          <t>VÄSTMANLANDS LÄN</t>
        </is>
      </c>
      <c r="E999" t="inlineStr">
        <is>
          <t>SALA</t>
        </is>
      </c>
      <c r="G999" t="n">
        <v>7.4</v>
      </c>
      <c r="H999" t="n">
        <v>0</v>
      </c>
      <c r="I999" t="n">
        <v>0</v>
      </c>
      <c r="J999" t="n">
        <v>0</v>
      </c>
      <c r="K999" t="n">
        <v>0</v>
      </c>
      <c r="L999" t="n">
        <v>0</v>
      </c>
      <c r="M999" t="n">
        <v>0</v>
      </c>
      <c r="N999" t="n">
        <v>0</v>
      </c>
      <c r="O999" t="n">
        <v>0</v>
      </c>
      <c r="P999" t="n">
        <v>0</v>
      </c>
      <c r="Q999" t="n">
        <v>0</v>
      </c>
      <c r="R999" s="2" t="inlineStr"/>
    </row>
    <row r="1000" ht="15" customHeight="1">
      <c r="A1000" t="inlineStr">
        <is>
          <t>A 30028-2024</t>
        </is>
      </c>
      <c r="B1000" s="1" t="n">
        <v>45485</v>
      </c>
      <c r="C1000" s="1" t="n">
        <v>45793</v>
      </c>
      <c r="D1000" t="inlineStr">
        <is>
          <t>VÄSTMANLANDS LÄN</t>
        </is>
      </c>
      <c r="E1000" t="inlineStr">
        <is>
          <t>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29929-2024</t>
        </is>
      </c>
      <c r="B1001" s="1" t="n">
        <v>45488</v>
      </c>
      <c r="C1001" s="1" t="n">
        <v>45793</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30613-2024</t>
        </is>
      </c>
      <c r="B1002" s="1" t="n">
        <v>45495</v>
      </c>
      <c r="C1002" s="1" t="n">
        <v>45793</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31235-2024</t>
        </is>
      </c>
      <c r="B1003" s="1" t="n">
        <v>45503</v>
      </c>
      <c r="C1003" s="1" t="n">
        <v>45793</v>
      </c>
      <c r="D1003" t="inlineStr">
        <is>
          <t>VÄSTMANLANDS LÄN</t>
        </is>
      </c>
      <c r="E1003" t="inlineStr">
        <is>
          <t>SALA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31405-2024</t>
        </is>
      </c>
      <c r="B1004" s="1" t="n">
        <v>45505</v>
      </c>
      <c r="C1004" s="1" t="n">
        <v>45793</v>
      </c>
      <c r="D1004" t="inlineStr">
        <is>
          <t>VÄSTMANLANDS LÄN</t>
        </is>
      </c>
      <c r="E1004" t="inlineStr">
        <is>
          <t>SALA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31599-2024</t>
        </is>
      </c>
      <c r="B1005" s="1" t="n">
        <v>45506</v>
      </c>
      <c r="C1005" s="1" t="n">
        <v>45793</v>
      </c>
      <c r="D1005" t="inlineStr">
        <is>
          <t>VÄSTMANLANDS LÄN</t>
        </is>
      </c>
      <c r="E1005" t="inlineStr">
        <is>
          <t>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31608-2024</t>
        </is>
      </c>
      <c r="B1006" s="1" t="n">
        <v>45506</v>
      </c>
      <c r="C1006" s="1" t="n">
        <v>45793</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31601-2024</t>
        </is>
      </c>
      <c r="B1007" s="1" t="n">
        <v>45506</v>
      </c>
      <c r="C1007" s="1" t="n">
        <v>45793</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31609-2024</t>
        </is>
      </c>
      <c r="B1008" s="1" t="n">
        <v>45506</v>
      </c>
      <c r="C1008" s="1" t="n">
        <v>45793</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31597-2024</t>
        </is>
      </c>
      <c r="B1009" s="1" t="n">
        <v>45506</v>
      </c>
      <c r="C1009" s="1" t="n">
        <v>45793</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31655-2024</t>
        </is>
      </c>
      <c r="B1010" s="1" t="n">
        <v>45506</v>
      </c>
      <c r="C1010" s="1" t="n">
        <v>45793</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31612-2024</t>
        </is>
      </c>
      <c r="B1011" s="1" t="n">
        <v>45506</v>
      </c>
      <c r="C1011" s="1" t="n">
        <v>45793</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31941-2024</t>
        </is>
      </c>
      <c r="B1012" s="1" t="n">
        <v>45510</v>
      </c>
      <c r="C1012" s="1" t="n">
        <v>45793</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32372-2024</t>
        </is>
      </c>
      <c r="B1013" s="1" t="n">
        <v>45512</v>
      </c>
      <c r="C1013" s="1" t="n">
        <v>45793</v>
      </c>
      <c r="D1013" t="inlineStr">
        <is>
          <t>VÄSTMANLANDS LÄN</t>
        </is>
      </c>
      <c r="E1013" t="inlineStr">
        <is>
          <t>SALA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32303-2024</t>
        </is>
      </c>
      <c r="B1014" s="1" t="n">
        <v>45512</v>
      </c>
      <c r="C1014" s="1" t="n">
        <v>45793</v>
      </c>
      <c r="D1014" t="inlineStr">
        <is>
          <t>VÄSTMANLANDS LÄN</t>
        </is>
      </c>
      <c r="E1014" t="inlineStr">
        <is>
          <t>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32484-2024</t>
        </is>
      </c>
      <c r="B1015" s="1" t="n">
        <v>45513</v>
      </c>
      <c r="C1015" s="1" t="n">
        <v>45793</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34419-2024</t>
        </is>
      </c>
      <c r="B1016" s="1" t="n">
        <v>45525</v>
      </c>
      <c r="C1016" s="1" t="n">
        <v>45793</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34412-2024</t>
        </is>
      </c>
      <c r="B1017" s="1" t="n">
        <v>45525</v>
      </c>
      <c r="C1017" s="1" t="n">
        <v>45793</v>
      </c>
      <c r="D1017" t="inlineStr">
        <is>
          <t>VÄSTMANLANDS LÄN</t>
        </is>
      </c>
      <c r="E1017" t="inlineStr">
        <is>
          <t>SALA</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34416-2024</t>
        </is>
      </c>
      <c r="B1018" s="1" t="n">
        <v>45525</v>
      </c>
      <c r="C1018" s="1" t="n">
        <v>45793</v>
      </c>
      <c r="D1018" t="inlineStr">
        <is>
          <t>VÄSTMANLANDS LÄN</t>
        </is>
      </c>
      <c r="E1018" t="inlineStr">
        <is>
          <t>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35003-2024</t>
        </is>
      </c>
      <c r="B1019" s="1" t="n">
        <v>45527</v>
      </c>
      <c r="C1019" s="1" t="n">
        <v>45793</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35016-2024</t>
        </is>
      </c>
      <c r="B1020" s="1" t="n">
        <v>45527</v>
      </c>
      <c r="C1020" s="1" t="n">
        <v>45793</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35010-2024</t>
        </is>
      </c>
      <c r="B1021" s="1" t="n">
        <v>45527</v>
      </c>
      <c r="C1021" s="1" t="n">
        <v>45793</v>
      </c>
      <c r="D1021" t="inlineStr">
        <is>
          <t>VÄSTMANLANDS LÄN</t>
        </is>
      </c>
      <c r="E1021" t="inlineStr">
        <is>
          <t>SALA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35462-2024</t>
        </is>
      </c>
      <c r="B1022" s="1" t="n">
        <v>45531</v>
      </c>
      <c r="C1022" s="1" t="n">
        <v>45793</v>
      </c>
      <c r="D1022" t="inlineStr">
        <is>
          <t>VÄSTMANLANDS LÄN</t>
        </is>
      </c>
      <c r="E1022" t="inlineStr">
        <is>
          <t>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35499-2024</t>
        </is>
      </c>
      <c r="B1023" s="1" t="n">
        <v>45531</v>
      </c>
      <c r="C1023" s="1" t="n">
        <v>45793</v>
      </c>
      <c r="D1023" t="inlineStr">
        <is>
          <t>VÄSTMANLANDS LÄN</t>
        </is>
      </c>
      <c r="E1023" t="inlineStr">
        <is>
          <t>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35529-2024</t>
        </is>
      </c>
      <c r="B1024" s="1" t="n">
        <v>45531</v>
      </c>
      <c r="C1024" s="1" t="n">
        <v>45793</v>
      </c>
      <c r="D1024" t="inlineStr">
        <is>
          <t>VÄSTMANLANDS LÄN</t>
        </is>
      </c>
      <c r="E1024" t="inlineStr">
        <is>
          <t>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35558-2024</t>
        </is>
      </c>
      <c r="B1025" s="1" t="n">
        <v>45531</v>
      </c>
      <c r="C1025" s="1" t="n">
        <v>45793</v>
      </c>
      <c r="D1025" t="inlineStr">
        <is>
          <t>VÄSTMANLANDS LÄN</t>
        </is>
      </c>
      <c r="E1025" t="inlineStr">
        <is>
          <t>SALA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35519-2024</t>
        </is>
      </c>
      <c r="B1026" s="1" t="n">
        <v>45531</v>
      </c>
      <c r="C1026" s="1" t="n">
        <v>45793</v>
      </c>
      <c r="D1026" t="inlineStr">
        <is>
          <t>VÄSTMANLANDS LÄN</t>
        </is>
      </c>
      <c r="E1026" t="inlineStr">
        <is>
          <t>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35528-2024</t>
        </is>
      </c>
      <c r="B1027" s="1" t="n">
        <v>45531</v>
      </c>
      <c r="C1027" s="1" t="n">
        <v>45793</v>
      </c>
      <c r="D1027" t="inlineStr">
        <is>
          <t>VÄSTMANLANDS LÄN</t>
        </is>
      </c>
      <c r="E1027" t="inlineStr">
        <is>
          <t>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35573-2024</t>
        </is>
      </c>
      <c r="B1028" s="1" t="n">
        <v>45531</v>
      </c>
      <c r="C1028" s="1" t="n">
        <v>45793</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36075-2024</t>
        </is>
      </c>
      <c r="B1029" s="1" t="n">
        <v>45533</v>
      </c>
      <c r="C1029" s="1" t="n">
        <v>45793</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v>
      </c>
      <c r="C1030" s="1" t="n">
        <v>45793</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36073-2024</t>
        </is>
      </c>
      <c r="B1031" s="1" t="n">
        <v>45533</v>
      </c>
      <c r="C1031" s="1" t="n">
        <v>45793</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37137-2024</t>
        </is>
      </c>
      <c r="B1032" s="1" t="n">
        <v>45539</v>
      </c>
      <c r="C1032" s="1" t="n">
        <v>45793</v>
      </c>
      <c r="D1032" t="inlineStr">
        <is>
          <t>VÄSTMANLANDS LÄN</t>
        </is>
      </c>
      <c r="E1032" t="inlineStr">
        <is>
          <t>SALA</t>
        </is>
      </c>
      <c r="F1032" t="inlineStr">
        <is>
          <t>Kommuner</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37183-2024</t>
        </is>
      </c>
      <c r="B1033" s="1" t="n">
        <v>45539</v>
      </c>
      <c r="C1033" s="1" t="n">
        <v>45793</v>
      </c>
      <c r="D1033" t="inlineStr">
        <is>
          <t>VÄSTMANLANDS LÄN</t>
        </is>
      </c>
      <c r="E1033" t="inlineStr">
        <is>
          <t>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37185-2024</t>
        </is>
      </c>
      <c r="B1034" s="1" t="n">
        <v>45539</v>
      </c>
      <c r="C1034" s="1" t="n">
        <v>45793</v>
      </c>
      <c r="D1034" t="inlineStr">
        <is>
          <t>VÄSTMANLANDS LÄN</t>
        </is>
      </c>
      <c r="E1034" t="inlineStr">
        <is>
          <t>SALA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37224-2024</t>
        </is>
      </c>
      <c r="B1035" s="1" t="n">
        <v>45539</v>
      </c>
      <c r="C1035" s="1" t="n">
        <v>45793</v>
      </c>
      <c r="D1035" t="inlineStr">
        <is>
          <t>VÄSTMANLANDS LÄN</t>
        </is>
      </c>
      <c r="E1035" t="inlineStr">
        <is>
          <t>SALA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37190-2024</t>
        </is>
      </c>
      <c r="B1036" s="1" t="n">
        <v>45539</v>
      </c>
      <c r="C1036" s="1" t="n">
        <v>45793</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37251-2024</t>
        </is>
      </c>
      <c r="B1037" s="1" t="n">
        <v>45540</v>
      </c>
      <c r="C1037" s="1" t="n">
        <v>45793</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37332-2024</t>
        </is>
      </c>
      <c r="B1038" s="1" t="n">
        <v>45540</v>
      </c>
      <c r="C1038" s="1" t="n">
        <v>45793</v>
      </c>
      <c r="D1038" t="inlineStr">
        <is>
          <t>VÄSTMANLANDS LÄN</t>
        </is>
      </c>
      <c r="E1038" t="inlineStr">
        <is>
          <t>SALA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37337-2024</t>
        </is>
      </c>
      <c r="B1039" s="1" t="n">
        <v>45540</v>
      </c>
      <c r="C1039" s="1" t="n">
        <v>45793</v>
      </c>
      <c r="D1039" t="inlineStr">
        <is>
          <t>VÄSTMANLANDS LÄN</t>
        </is>
      </c>
      <c r="E1039" t="inlineStr">
        <is>
          <t>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37602-2024</t>
        </is>
      </c>
      <c r="B1040" s="1" t="n">
        <v>45541</v>
      </c>
      <c r="C1040" s="1" t="n">
        <v>45793</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37587-2024</t>
        </is>
      </c>
      <c r="B1041" s="1" t="n">
        <v>45541</v>
      </c>
      <c r="C1041" s="1" t="n">
        <v>45793</v>
      </c>
      <c r="D1041" t="inlineStr">
        <is>
          <t>VÄSTMANLANDS LÄN</t>
        </is>
      </c>
      <c r="E1041" t="inlineStr">
        <is>
          <t>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37612-2024</t>
        </is>
      </c>
      <c r="B1042" s="1" t="n">
        <v>45541</v>
      </c>
      <c r="C1042" s="1" t="n">
        <v>45793</v>
      </c>
      <c r="D1042" t="inlineStr">
        <is>
          <t>VÄSTMANLANDS LÄN</t>
        </is>
      </c>
      <c r="E1042" t="inlineStr">
        <is>
          <t>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37624-2024</t>
        </is>
      </c>
      <c r="B1043" s="1" t="n">
        <v>45541</v>
      </c>
      <c r="C1043" s="1" t="n">
        <v>45793</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37615-2024</t>
        </is>
      </c>
      <c r="B1044" s="1" t="n">
        <v>45541</v>
      </c>
      <c r="C1044" s="1" t="n">
        <v>45793</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37958-2024</t>
        </is>
      </c>
      <c r="B1045" s="1" t="n">
        <v>45544</v>
      </c>
      <c r="C1045" s="1" t="n">
        <v>45793</v>
      </c>
      <c r="D1045" t="inlineStr">
        <is>
          <t>VÄSTMANLANDS LÄN</t>
        </is>
      </c>
      <c r="E1045" t="inlineStr">
        <is>
          <t>SALA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38434-2024</t>
        </is>
      </c>
      <c r="B1046" s="1" t="n">
        <v>45546</v>
      </c>
      <c r="C1046" s="1" t="n">
        <v>45793</v>
      </c>
      <c r="D1046" t="inlineStr">
        <is>
          <t>VÄSTMANLANDS LÄN</t>
        </is>
      </c>
      <c r="E1046" t="inlineStr">
        <is>
          <t>SALA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39364-2024</t>
        </is>
      </c>
      <c r="B1047" s="1" t="n">
        <v>45551</v>
      </c>
      <c r="C1047" s="1" t="n">
        <v>45793</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40272-2024</t>
        </is>
      </c>
      <c r="B1048" s="1" t="n">
        <v>45554</v>
      </c>
      <c r="C1048" s="1" t="n">
        <v>45793</v>
      </c>
      <c r="D1048" t="inlineStr">
        <is>
          <t>VÄSTMANLANDS LÄN</t>
        </is>
      </c>
      <c r="E1048" t="inlineStr">
        <is>
          <t>SALA</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40085-2024</t>
        </is>
      </c>
      <c r="B1049" s="1" t="n">
        <v>45554</v>
      </c>
      <c r="C1049" s="1" t="n">
        <v>45793</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40757-2024</t>
        </is>
      </c>
      <c r="B1050" s="1" t="n">
        <v>45558</v>
      </c>
      <c r="C1050" s="1" t="n">
        <v>45793</v>
      </c>
      <c r="D1050" t="inlineStr">
        <is>
          <t>VÄSTMANLANDS LÄN</t>
        </is>
      </c>
      <c r="E1050" t="inlineStr">
        <is>
          <t>SALA</t>
        </is>
      </c>
      <c r="F1050" t="inlineStr">
        <is>
          <t>Kommuner</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41247-2024</t>
        </is>
      </c>
      <c r="B1051" s="1" t="n">
        <v>45559</v>
      </c>
      <c r="C1051" s="1" t="n">
        <v>45793</v>
      </c>
      <c r="D1051" t="inlineStr">
        <is>
          <t>VÄSTMANLANDS LÄN</t>
        </is>
      </c>
      <c r="E1051" t="inlineStr">
        <is>
          <t>SALA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41748-2024</t>
        </is>
      </c>
      <c r="B1052" s="1" t="n">
        <v>45561</v>
      </c>
      <c r="C1052" s="1" t="n">
        <v>45793</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42617-2024</t>
        </is>
      </c>
      <c r="B1053" s="1" t="n">
        <v>45565</v>
      </c>
      <c r="C1053" s="1" t="n">
        <v>45793</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42684-2024</t>
        </is>
      </c>
      <c r="B1054" s="1" t="n">
        <v>45565</v>
      </c>
      <c r="C1054" s="1" t="n">
        <v>45793</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43196-2024</t>
        </is>
      </c>
      <c r="B1055" s="1" t="n">
        <v>45567</v>
      </c>
      <c r="C1055" s="1" t="n">
        <v>45793</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43108-2024</t>
        </is>
      </c>
      <c r="B1056" s="1" t="n">
        <v>45567</v>
      </c>
      <c r="C1056" s="1" t="n">
        <v>45793</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43359-2024</t>
        </is>
      </c>
      <c r="B1057" s="1" t="n">
        <v>45568</v>
      </c>
      <c r="C1057" s="1" t="n">
        <v>45793</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43600-2024</t>
        </is>
      </c>
      <c r="B1058" s="1" t="n">
        <v>45569</v>
      </c>
      <c r="C1058" s="1" t="n">
        <v>45793</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43596-2024</t>
        </is>
      </c>
      <c r="B1059" s="1" t="n">
        <v>45569</v>
      </c>
      <c r="C1059" s="1" t="n">
        <v>45793</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v>
      </c>
      <c r="C1060" s="1" t="n">
        <v>45793</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44746-2024</t>
        </is>
      </c>
      <c r="B1061" s="1" t="n">
        <v>45574</v>
      </c>
      <c r="C1061" s="1" t="n">
        <v>45793</v>
      </c>
      <c r="D1061" t="inlineStr">
        <is>
          <t>VÄSTMANLANDS LÄN</t>
        </is>
      </c>
      <c r="E1061" t="inlineStr">
        <is>
          <t>SALA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45185-2024</t>
        </is>
      </c>
      <c r="B1062" s="1" t="n">
        <v>45575</v>
      </c>
      <c r="C1062" s="1" t="n">
        <v>45793</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45187-2024</t>
        </is>
      </c>
      <c r="B1063" s="1" t="n">
        <v>45575</v>
      </c>
      <c r="C1063" s="1" t="n">
        <v>45793</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45313-2024</t>
        </is>
      </c>
      <c r="B1064" s="1" t="n">
        <v>45576</v>
      </c>
      <c r="C1064" s="1" t="n">
        <v>45793</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45737-2024</t>
        </is>
      </c>
      <c r="B1065" s="1" t="n">
        <v>45579</v>
      </c>
      <c r="C1065" s="1" t="n">
        <v>45793</v>
      </c>
      <c r="D1065" t="inlineStr">
        <is>
          <t>VÄSTMANLANDS LÄN</t>
        </is>
      </c>
      <c r="E1065" t="inlineStr">
        <is>
          <t>SALA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45738-2024</t>
        </is>
      </c>
      <c r="B1066" s="1" t="n">
        <v>45579</v>
      </c>
      <c r="C1066" s="1" t="n">
        <v>45793</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45765-2024</t>
        </is>
      </c>
      <c r="B1067" s="1" t="n">
        <v>45579</v>
      </c>
      <c r="C1067" s="1" t="n">
        <v>45793</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45761-2024</t>
        </is>
      </c>
      <c r="B1068" s="1" t="n">
        <v>45579</v>
      </c>
      <c r="C1068" s="1" t="n">
        <v>45793</v>
      </c>
      <c r="D1068" t="inlineStr">
        <is>
          <t>VÄSTMANLANDS LÄN</t>
        </is>
      </c>
      <c r="E1068" t="inlineStr">
        <is>
          <t>SALA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45931-2024</t>
        </is>
      </c>
      <c r="B1069" s="1" t="n">
        <v>45580</v>
      </c>
      <c r="C1069" s="1" t="n">
        <v>45793</v>
      </c>
      <c r="D1069" t="inlineStr">
        <is>
          <t>VÄSTMANLANDS LÄN</t>
        </is>
      </c>
      <c r="E1069" t="inlineStr">
        <is>
          <t>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46861-2024</t>
        </is>
      </c>
      <c r="B1070" s="1" t="n">
        <v>45583</v>
      </c>
      <c r="C1070" s="1" t="n">
        <v>45793</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46682-2024</t>
        </is>
      </c>
      <c r="B1071" s="1" t="n">
        <v>45583</v>
      </c>
      <c r="C1071" s="1" t="n">
        <v>45793</v>
      </c>
      <c r="D1071" t="inlineStr">
        <is>
          <t>VÄSTMANLANDS LÄN</t>
        </is>
      </c>
      <c r="E1071" t="inlineStr">
        <is>
          <t>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47061-2024</t>
        </is>
      </c>
      <c r="B1072" s="1" t="n">
        <v>45586</v>
      </c>
      <c r="C1072" s="1" t="n">
        <v>45793</v>
      </c>
      <c r="D1072" t="inlineStr">
        <is>
          <t>VÄSTMANLANDS LÄN</t>
        </is>
      </c>
      <c r="E1072" t="inlineStr">
        <is>
          <t>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47038-2024</t>
        </is>
      </c>
      <c r="B1073" s="1" t="n">
        <v>45586</v>
      </c>
      <c r="C1073" s="1" t="n">
        <v>45793</v>
      </c>
      <c r="D1073" t="inlineStr">
        <is>
          <t>VÄSTMANLANDS LÄN</t>
        </is>
      </c>
      <c r="E1073" t="inlineStr">
        <is>
          <t>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47479-2024</t>
        </is>
      </c>
      <c r="B1074" s="1" t="n">
        <v>45587</v>
      </c>
      <c r="C1074" s="1" t="n">
        <v>45793</v>
      </c>
      <c r="D1074" t="inlineStr">
        <is>
          <t>VÄSTMANLANDS LÄN</t>
        </is>
      </c>
      <c r="E1074" t="inlineStr">
        <is>
          <t>SALA</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47474-2024</t>
        </is>
      </c>
      <c r="B1075" s="1" t="n">
        <v>45587</v>
      </c>
      <c r="C1075" s="1" t="n">
        <v>45793</v>
      </c>
      <c r="D1075" t="inlineStr">
        <is>
          <t>VÄSTMANLANDS LÄN</t>
        </is>
      </c>
      <c r="E1075" t="inlineStr">
        <is>
          <t>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47294-2024</t>
        </is>
      </c>
      <c r="B1076" s="1" t="n">
        <v>45587</v>
      </c>
      <c r="C1076" s="1" t="n">
        <v>45793</v>
      </c>
      <c r="D1076" t="inlineStr">
        <is>
          <t>VÄSTMANLANDS LÄN</t>
        </is>
      </c>
      <c r="E1076" t="inlineStr">
        <is>
          <t>SALA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47468-2024</t>
        </is>
      </c>
      <c r="B1077" s="1" t="n">
        <v>45587</v>
      </c>
      <c r="C1077" s="1" t="n">
        <v>45793</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47351-2024</t>
        </is>
      </c>
      <c r="B1078" s="1" t="n">
        <v>45587</v>
      </c>
      <c r="C1078" s="1" t="n">
        <v>45793</v>
      </c>
      <c r="D1078" t="inlineStr">
        <is>
          <t>VÄSTMANLANDS LÄN</t>
        </is>
      </c>
      <c r="E1078" t="inlineStr">
        <is>
          <t>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48114-2024</t>
        </is>
      </c>
      <c r="B1079" s="1" t="n">
        <v>45589</v>
      </c>
      <c r="C1079" s="1" t="n">
        <v>45793</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48117-2024</t>
        </is>
      </c>
      <c r="B1080" s="1" t="n">
        <v>45589</v>
      </c>
      <c r="C1080" s="1" t="n">
        <v>45793</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48104-2024</t>
        </is>
      </c>
      <c r="B1081" s="1" t="n">
        <v>45589</v>
      </c>
      <c r="C1081" s="1" t="n">
        <v>45793</v>
      </c>
      <c r="D1081" t="inlineStr">
        <is>
          <t>VÄSTMANLANDS LÄN</t>
        </is>
      </c>
      <c r="E1081" t="inlineStr">
        <is>
          <t>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48124-2024</t>
        </is>
      </c>
      <c r="B1082" s="1" t="n">
        <v>45589</v>
      </c>
      <c r="C1082" s="1" t="n">
        <v>45793</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48569-2024</t>
        </is>
      </c>
      <c r="B1083" s="1" t="n">
        <v>45591</v>
      </c>
      <c r="C1083" s="1" t="n">
        <v>45793</v>
      </c>
      <c r="D1083" t="inlineStr">
        <is>
          <t>VÄSTMANLANDS LÄN</t>
        </is>
      </c>
      <c r="E1083" t="inlineStr">
        <is>
          <t>SALA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48570-2024</t>
        </is>
      </c>
      <c r="B1084" s="1" t="n">
        <v>45591</v>
      </c>
      <c r="C1084" s="1" t="n">
        <v>45793</v>
      </c>
      <c r="D1084" t="inlineStr">
        <is>
          <t>VÄSTMANLANDS LÄN</t>
        </is>
      </c>
      <c r="E1084" t="inlineStr">
        <is>
          <t>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49512-2024</t>
        </is>
      </c>
      <c r="B1085" s="1" t="n">
        <v>45591</v>
      </c>
      <c r="C1085" s="1" t="n">
        <v>45793</v>
      </c>
      <c r="D1085" t="inlineStr">
        <is>
          <t>VÄSTMANLANDS LÄN</t>
        </is>
      </c>
      <c r="E1085" t="inlineStr">
        <is>
          <t>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48571-2024</t>
        </is>
      </c>
      <c r="B1086" s="1" t="n">
        <v>45591</v>
      </c>
      <c r="C1086" s="1" t="n">
        <v>45793</v>
      </c>
      <c r="D1086" t="inlineStr">
        <is>
          <t>VÄSTMANLANDS LÄN</t>
        </is>
      </c>
      <c r="E1086" t="inlineStr">
        <is>
          <t>SALA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48688-2024</t>
        </is>
      </c>
      <c r="B1087" s="1" t="n">
        <v>45593</v>
      </c>
      <c r="C1087" s="1" t="n">
        <v>45793</v>
      </c>
      <c r="D1087" t="inlineStr">
        <is>
          <t>VÄSTMANLANDS LÄN</t>
        </is>
      </c>
      <c r="E1087" t="inlineStr">
        <is>
          <t>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48810-2024</t>
        </is>
      </c>
      <c r="B1088" s="1" t="n">
        <v>45593</v>
      </c>
      <c r="C1088" s="1" t="n">
        <v>45793</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48710-2024</t>
        </is>
      </c>
      <c r="B1089" s="1" t="n">
        <v>45593</v>
      </c>
      <c r="C1089" s="1" t="n">
        <v>45793</v>
      </c>
      <c r="D1089" t="inlineStr">
        <is>
          <t>VÄSTMANLANDS LÄN</t>
        </is>
      </c>
      <c r="E1089" t="inlineStr">
        <is>
          <t>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48789-2024</t>
        </is>
      </c>
      <c r="B1090" s="1" t="n">
        <v>45593</v>
      </c>
      <c r="C1090" s="1" t="n">
        <v>45793</v>
      </c>
      <c r="D1090" t="inlineStr">
        <is>
          <t>VÄSTMANLANDS LÄN</t>
        </is>
      </c>
      <c r="E1090" t="inlineStr">
        <is>
          <t>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49661-2024</t>
        </is>
      </c>
      <c r="B1091" s="1" t="n">
        <v>45596</v>
      </c>
      <c r="C1091" s="1" t="n">
        <v>45793</v>
      </c>
      <c r="D1091" t="inlineStr">
        <is>
          <t>VÄSTMANLANDS LÄN</t>
        </is>
      </c>
      <c r="E1091" t="inlineStr">
        <is>
          <t>SALA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49619-2024</t>
        </is>
      </c>
      <c r="B1092" s="1" t="n">
        <v>45596</v>
      </c>
      <c r="C1092" s="1" t="n">
        <v>45793</v>
      </c>
      <c r="D1092" t="inlineStr">
        <is>
          <t>VÄSTMANLANDS LÄN</t>
        </is>
      </c>
      <c r="E1092" t="inlineStr">
        <is>
          <t>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49745-2024</t>
        </is>
      </c>
      <c r="B1093" s="1" t="n">
        <v>45596</v>
      </c>
      <c r="C1093" s="1" t="n">
        <v>45793</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49744-2024</t>
        </is>
      </c>
      <c r="B1094" s="1" t="n">
        <v>45596</v>
      </c>
      <c r="C1094" s="1" t="n">
        <v>45793</v>
      </c>
      <c r="D1094" t="inlineStr">
        <is>
          <t>VÄSTMANLANDS LÄN</t>
        </is>
      </c>
      <c r="E1094" t="inlineStr">
        <is>
          <t>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49555-2024</t>
        </is>
      </c>
      <c r="B1095" s="1" t="n">
        <v>45596</v>
      </c>
      <c r="C1095" s="1" t="n">
        <v>45793</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50652-2024</t>
        </is>
      </c>
      <c r="B1096" s="1" t="n">
        <v>45601</v>
      </c>
      <c r="C1096" s="1" t="n">
        <v>45793</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51464-2024</t>
        </is>
      </c>
      <c r="B1097" s="1" t="n">
        <v>45604</v>
      </c>
      <c r="C1097" s="1" t="n">
        <v>45793</v>
      </c>
      <c r="D1097" t="inlineStr">
        <is>
          <t>VÄSTMANLANDS LÄN</t>
        </is>
      </c>
      <c r="E1097" t="inlineStr">
        <is>
          <t>SALA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51775-2024</t>
        </is>
      </c>
      <c r="B1098" s="1" t="n">
        <v>45607</v>
      </c>
      <c r="C1098" s="1" t="n">
        <v>45793</v>
      </c>
      <c r="D1098" t="inlineStr">
        <is>
          <t>VÄSTMANLANDS LÄN</t>
        </is>
      </c>
      <c r="E1098" t="inlineStr">
        <is>
          <t>SALA</t>
        </is>
      </c>
      <c r="F1098" t="inlineStr">
        <is>
          <t>Övriga Aktiebolag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52177-2024</t>
        </is>
      </c>
      <c r="B1099" s="1" t="n">
        <v>45608</v>
      </c>
      <c r="C1099" s="1" t="n">
        <v>45793</v>
      </c>
      <c r="D1099" t="inlineStr">
        <is>
          <t>VÄSTMANLANDS LÄN</t>
        </is>
      </c>
      <c r="E1099" t="inlineStr">
        <is>
          <t>SALA</t>
        </is>
      </c>
      <c r="F1099" t="inlineStr">
        <is>
          <t>Naturvårdsverket</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52184-2024</t>
        </is>
      </c>
      <c r="B1100" s="1" t="n">
        <v>45608</v>
      </c>
      <c r="C1100" s="1" t="n">
        <v>45793</v>
      </c>
      <c r="D1100" t="inlineStr">
        <is>
          <t>VÄSTMANLANDS LÄN</t>
        </is>
      </c>
      <c r="E1100" t="inlineStr">
        <is>
          <t>SALA</t>
        </is>
      </c>
      <c r="F1100" t="inlineStr">
        <is>
          <t>Naturvårdsverket</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52500-2024</t>
        </is>
      </c>
      <c r="B1101" s="1" t="n">
        <v>45609</v>
      </c>
      <c r="C1101" s="1" t="n">
        <v>45793</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52503-2024</t>
        </is>
      </c>
      <c r="B1102" s="1" t="n">
        <v>45609</v>
      </c>
      <c r="C1102" s="1" t="n">
        <v>45793</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52821-2024</t>
        </is>
      </c>
      <c r="B1103" s="1" t="n">
        <v>45610</v>
      </c>
      <c r="C1103" s="1" t="n">
        <v>45793</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52799-2024</t>
        </is>
      </c>
      <c r="B1104" s="1" t="n">
        <v>45610</v>
      </c>
      <c r="C1104" s="1" t="n">
        <v>45793</v>
      </c>
      <c r="D1104" t="inlineStr">
        <is>
          <t>VÄSTMANLANDS LÄN</t>
        </is>
      </c>
      <c r="E1104" t="inlineStr">
        <is>
          <t>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52827-2024</t>
        </is>
      </c>
      <c r="B1105" s="1" t="n">
        <v>45610</v>
      </c>
      <c r="C1105" s="1" t="n">
        <v>45793</v>
      </c>
      <c r="D1105" t="inlineStr">
        <is>
          <t>VÄSTMANLANDS LÄN</t>
        </is>
      </c>
      <c r="E1105" t="inlineStr">
        <is>
          <t>SALA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v>
      </c>
      <c r="C1106" s="1" t="n">
        <v>45793</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53166-2024</t>
        </is>
      </c>
      <c r="B1107" s="1" t="n">
        <v>45611</v>
      </c>
      <c r="C1107" s="1" t="n">
        <v>45793</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54043-2024</t>
        </is>
      </c>
      <c r="B1108" s="1" t="n">
        <v>45616</v>
      </c>
      <c r="C1108" s="1" t="n">
        <v>45793</v>
      </c>
      <c r="D1108" t="inlineStr">
        <is>
          <t>VÄSTMANLANDS LÄN</t>
        </is>
      </c>
      <c r="E1108" t="inlineStr">
        <is>
          <t>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54199-2024</t>
        </is>
      </c>
      <c r="B1109" s="1" t="n">
        <v>45616</v>
      </c>
      <c r="C1109" s="1" t="n">
        <v>45793</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54329-2024</t>
        </is>
      </c>
      <c r="B1110" s="1" t="n">
        <v>45617</v>
      </c>
      <c r="C1110" s="1" t="n">
        <v>45793</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54603-2024</t>
        </is>
      </c>
      <c r="B1111" s="1" t="n">
        <v>45617</v>
      </c>
      <c r="C1111" s="1" t="n">
        <v>45793</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54347-2024</t>
        </is>
      </c>
      <c r="B1112" s="1" t="n">
        <v>45617</v>
      </c>
      <c r="C1112" s="1" t="n">
        <v>45793</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54774-2024</t>
        </is>
      </c>
      <c r="B1113" s="1" t="n">
        <v>45618</v>
      </c>
      <c r="C1113" s="1" t="n">
        <v>45793</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54782-2024</t>
        </is>
      </c>
      <c r="B1114" s="1" t="n">
        <v>45618</v>
      </c>
      <c r="C1114" s="1" t="n">
        <v>45793</v>
      </c>
      <c r="D1114" t="inlineStr">
        <is>
          <t>VÄSTMANLANDS LÄN</t>
        </is>
      </c>
      <c r="E1114" t="inlineStr">
        <is>
          <t>SALA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54835-2024</t>
        </is>
      </c>
      <c r="B1115" s="1" t="n">
        <v>45618</v>
      </c>
      <c r="C1115" s="1" t="n">
        <v>45793</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55065-2024</t>
        </is>
      </c>
      <c r="B1116" s="1" t="n">
        <v>45618</v>
      </c>
      <c r="C1116" s="1" t="n">
        <v>45793</v>
      </c>
      <c r="D1116" t="inlineStr">
        <is>
          <t>VÄSTMANLANDS LÄN</t>
        </is>
      </c>
      <c r="E1116" t="inlineStr">
        <is>
          <t>SALA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54836-2024</t>
        </is>
      </c>
      <c r="B1117" s="1" t="n">
        <v>45618</v>
      </c>
      <c r="C1117" s="1" t="n">
        <v>45793</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55101-2024</t>
        </is>
      </c>
      <c r="B1118" s="1" t="n">
        <v>45618</v>
      </c>
      <c r="C1118" s="1" t="n">
        <v>45793</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54771-2024</t>
        </is>
      </c>
      <c r="B1119" s="1" t="n">
        <v>45618</v>
      </c>
      <c r="C1119" s="1" t="n">
        <v>45793</v>
      </c>
      <c r="D1119" t="inlineStr">
        <is>
          <t>VÄSTMANLANDS LÄN</t>
        </is>
      </c>
      <c r="E1119" t="inlineStr">
        <is>
          <t>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55107-2024</t>
        </is>
      </c>
      <c r="B1120" s="1" t="n">
        <v>45618</v>
      </c>
      <c r="C1120" s="1" t="n">
        <v>45793</v>
      </c>
      <c r="D1120" t="inlineStr">
        <is>
          <t>VÄSTMANLANDS LÄN</t>
        </is>
      </c>
      <c r="E1120" t="inlineStr">
        <is>
          <t>SALA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54768-2024</t>
        </is>
      </c>
      <c r="B1121" s="1" t="n">
        <v>45618</v>
      </c>
      <c r="C1121" s="1" t="n">
        <v>45793</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54959-2024</t>
        </is>
      </c>
      <c r="B1122" s="1" t="n">
        <v>45619</v>
      </c>
      <c r="C1122" s="1" t="n">
        <v>45793</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54960-2024</t>
        </is>
      </c>
      <c r="B1123" s="1" t="n">
        <v>45619</v>
      </c>
      <c r="C1123" s="1" t="n">
        <v>45793</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55784-2024</t>
        </is>
      </c>
      <c r="B1124" s="1" t="n">
        <v>45623</v>
      </c>
      <c r="C1124" s="1" t="n">
        <v>45793</v>
      </c>
      <c r="D1124" t="inlineStr">
        <is>
          <t>VÄSTMANLANDS LÄN</t>
        </is>
      </c>
      <c r="E1124" t="inlineStr">
        <is>
          <t>SALA</t>
        </is>
      </c>
      <c r="F1124" t="inlineStr">
        <is>
          <t>Bergvik skog öst AB</t>
        </is>
      </c>
      <c r="G1124" t="n">
        <v>28.4</v>
      </c>
      <c r="H1124" t="n">
        <v>0</v>
      </c>
      <c r="I1124" t="n">
        <v>0</v>
      </c>
      <c r="J1124" t="n">
        <v>0</v>
      </c>
      <c r="K1124" t="n">
        <v>0</v>
      </c>
      <c r="L1124" t="n">
        <v>0</v>
      </c>
      <c r="M1124" t="n">
        <v>0</v>
      </c>
      <c r="N1124" t="n">
        <v>0</v>
      </c>
      <c r="O1124" t="n">
        <v>0</v>
      </c>
      <c r="P1124" t="n">
        <v>0</v>
      </c>
      <c r="Q1124" t="n">
        <v>0</v>
      </c>
      <c r="R1124" s="2" t="inlineStr"/>
    </row>
    <row r="1125" ht="15" customHeight="1">
      <c r="A1125" t="inlineStr">
        <is>
          <t>A 56150-2024</t>
        </is>
      </c>
      <c r="B1125" s="1" t="n">
        <v>45624</v>
      </c>
      <c r="C1125" s="1" t="n">
        <v>45793</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56540-2024</t>
        </is>
      </c>
      <c r="B1126" s="1" t="n">
        <v>45625</v>
      </c>
      <c r="C1126" s="1" t="n">
        <v>45793</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56548-2024</t>
        </is>
      </c>
      <c r="B1127" s="1" t="n">
        <v>45625</v>
      </c>
      <c r="C1127" s="1" t="n">
        <v>45793</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56543-2024</t>
        </is>
      </c>
      <c r="B1128" s="1" t="n">
        <v>45625</v>
      </c>
      <c r="C1128" s="1" t="n">
        <v>45793</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56688-2024</t>
        </is>
      </c>
      <c r="B1129" s="1" t="n">
        <v>45627</v>
      </c>
      <c r="C1129" s="1" t="n">
        <v>45793</v>
      </c>
      <c r="D1129" t="inlineStr">
        <is>
          <t>VÄSTMANLANDS LÄN</t>
        </is>
      </c>
      <c r="E1129" t="inlineStr">
        <is>
          <t>SALA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56687-2024</t>
        </is>
      </c>
      <c r="B1130" s="1" t="n">
        <v>45627</v>
      </c>
      <c r="C1130" s="1" t="n">
        <v>45793</v>
      </c>
      <c r="D1130" t="inlineStr">
        <is>
          <t>VÄSTMANLANDS LÄN</t>
        </is>
      </c>
      <c r="E1130" t="inlineStr">
        <is>
          <t>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56689-2024</t>
        </is>
      </c>
      <c r="B1131" s="1" t="n">
        <v>45627</v>
      </c>
      <c r="C1131" s="1" t="n">
        <v>45793</v>
      </c>
      <c r="D1131" t="inlineStr">
        <is>
          <t>VÄSTMANLANDS LÄN</t>
        </is>
      </c>
      <c r="E1131" t="inlineStr">
        <is>
          <t>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56814-2024</t>
        </is>
      </c>
      <c r="B1132" s="1" t="n">
        <v>45628</v>
      </c>
      <c r="C1132" s="1" t="n">
        <v>45793</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57404-2024</t>
        </is>
      </c>
      <c r="B1133" s="1" t="n">
        <v>45629</v>
      </c>
      <c r="C1133" s="1" t="n">
        <v>45793</v>
      </c>
      <c r="D1133" t="inlineStr">
        <is>
          <t>VÄSTMANLANDS LÄN</t>
        </is>
      </c>
      <c r="E1133" t="inlineStr">
        <is>
          <t>SALA</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57650-2024</t>
        </is>
      </c>
      <c r="B1134" s="1" t="n">
        <v>45630</v>
      </c>
      <c r="C1134" s="1" t="n">
        <v>45793</v>
      </c>
      <c r="D1134" t="inlineStr">
        <is>
          <t>VÄSTMANLANDS LÄN</t>
        </is>
      </c>
      <c r="E1134" t="inlineStr">
        <is>
          <t>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57883-2024</t>
        </is>
      </c>
      <c r="B1135" s="1" t="n">
        <v>45630</v>
      </c>
      <c r="C1135" s="1" t="n">
        <v>45793</v>
      </c>
      <c r="D1135" t="inlineStr">
        <is>
          <t>VÄSTMANLANDS LÄN</t>
        </is>
      </c>
      <c r="E1135" t="inlineStr">
        <is>
          <t>SALA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57895-2024</t>
        </is>
      </c>
      <c r="B1136" s="1" t="n">
        <v>45631</v>
      </c>
      <c r="C1136" s="1" t="n">
        <v>45793</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57948-2024</t>
        </is>
      </c>
      <c r="B1137" s="1" t="n">
        <v>45631</v>
      </c>
      <c r="C1137" s="1" t="n">
        <v>45793</v>
      </c>
      <c r="D1137" t="inlineStr">
        <is>
          <t>VÄSTMANLANDS LÄN</t>
        </is>
      </c>
      <c r="E1137" t="inlineStr">
        <is>
          <t>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58126-2024</t>
        </is>
      </c>
      <c r="B1138" s="1" t="n">
        <v>45632</v>
      </c>
      <c r="C1138" s="1" t="n">
        <v>45793</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58651-2024</t>
        </is>
      </c>
      <c r="B1139" s="1" t="n">
        <v>45635</v>
      </c>
      <c r="C1139" s="1" t="n">
        <v>45793</v>
      </c>
      <c r="D1139" t="inlineStr">
        <is>
          <t>VÄSTMANLANDS LÄN</t>
        </is>
      </c>
      <c r="E1139" t="inlineStr">
        <is>
          <t>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58655-2024</t>
        </is>
      </c>
      <c r="B1140" s="1" t="n">
        <v>45635</v>
      </c>
      <c r="C1140" s="1" t="n">
        <v>45793</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59860-2024</t>
        </is>
      </c>
      <c r="B1141" s="1" t="n">
        <v>45638</v>
      </c>
      <c r="C1141" s="1" t="n">
        <v>45793</v>
      </c>
      <c r="D1141" t="inlineStr">
        <is>
          <t>VÄSTMANLANDS LÄN</t>
        </is>
      </c>
      <c r="E1141" t="inlineStr">
        <is>
          <t>SALA</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59909-2024</t>
        </is>
      </c>
      <c r="B1142" s="1" t="n">
        <v>45641</v>
      </c>
      <c r="C1142" s="1" t="n">
        <v>45793</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60036-2024</t>
        </is>
      </c>
      <c r="B1143" s="1" t="n">
        <v>45642</v>
      </c>
      <c r="C1143" s="1" t="n">
        <v>45793</v>
      </c>
      <c r="D1143" t="inlineStr">
        <is>
          <t>VÄSTMANLANDS LÄN</t>
        </is>
      </c>
      <c r="E1143" t="inlineStr">
        <is>
          <t>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60034-2024</t>
        </is>
      </c>
      <c r="B1144" s="1" t="n">
        <v>45642</v>
      </c>
      <c r="C1144" s="1" t="n">
        <v>45793</v>
      </c>
      <c r="D1144" t="inlineStr">
        <is>
          <t>VÄSTMANLANDS LÄN</t>
        </is>
      </c>
      <c r="E1144" t="inlineStr">
        <is>
          <t>SALA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60328-2024</t>
        </is>
      </c>
      <c r="B1145" s="1" t="n">
        <v>45643</v>
      </c>
      <c r="C1145" s="1" t="n">
        <v>45793</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60550-2024</t>
        </is>
      </c>
      <c r="B1146" s="1" t="n">
        <v>45643</v>
      </c>
      <c r="C1146" s="1" t="n">
        <v>45793</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60548-2024</t>
        </is>
      </c>
      <c r="B1147" s="1" t="n">
        <v>45643</v>
      </c>
      <c r="C1147" s="1" t="n">
        <v>45793</v>
      </c>
      <c r="D1147" t="inlineStr">
        <is>
          <t>VÄSTMANLANDS LÄN</t>
        </is>
      </c>
      <c r="E1147" t="inlineStr">
        <is>
          <t>SALA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60547-2024</t>
        </is>
      </c>
      <c r="B1148" s="1" t="n">
        <v>45643</v>
      </c>
      <c r="C1148" s="1" t="n">
        <v>45793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60541-2024</t>
        </is>
      </c>
      <c r="B1149" s="1" t="n">
        <v>45643</v>
      </c>
      <c r="C1149" s="1" t="n">
        <v>45793</v>
      </c>
      <c r="D1149" t="inlineStr">
        <is>
          <t>VÄSTMANLANDS LÄN</t>
        </is>
      </c>
      <c r="E1149" t="inlineStr">
        <is>
          <t>SALA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60545-2024</t>
        </is>
      </c>
      <c r="B1150" s="1" t="n">
        <v>45643</v>
      </c>
      <c r="C1150" s="1" t="n">
        <v>45793</v>
      </c>
      <c r="D1150" t="inlineStr">
        <is>
          <t>VÄSTMANLANDS LÄN</t>
        </is>
      </c>
      <c r="E1150" t="inlineStr">
        <is>
          <t>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60818-2024</t>
        </is>
      </c>
      <c r="B1151" s="1" t="n">
        <v>45644</v>
      </c>
      <c r="C1151" s="1" t="n">
        <v>45793</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60823-2024</t>
        </is>
      </c>
      <c r="B1152" s="1" t="n">
        <v>45644</v>
      </c>
      <c r="C1152" s="1" t="n">
        <v>45793</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61517-2024</t>
        </is>
      </c>
      <c r="B1153" s="1" t="n">
        <v>45645</v>
      </c>
      <c r="C1153" s="1" t="n">
        <v>45793</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61444-2024</t>
        </is>
      </c>
      <c r="B1154" s="1" t="n">
        <v>45646</v>
      </c>
      <c r="C1154" s="1" t="n">
        <v>45793</v>
      </c>
      <c r="D1154" t="inlineStr">
        <is>
          <t>VÄSTMANLANDS LÄN</t>
        </is>
      </c>
      <c r="E1154" t="inlineStr">
        <is>
          <t>SALA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61681-2024</t>
        </is>
      </c>
      <c r="B1155" s="1" t="n">
        <v>45647</v>
      </c>
      <c r="C1155" s="1" t="n">
        <v>45793</v>
      </c>
      <c r="D1155" t="inlineStr">
        <is>
          <t>VÄSTMANLANDS LÄN</t>
        </is>
      </c>
      <c r="E1155" t="inlineStr">
        <is>
          <t>SALA</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61683-2024</t>
        </is>
      </c>
      <c r="B1156" s="1" t="n">
        <v>45647</v>
      </c>
      <c r="C1156" s="1" t="n">
        <v>45793</v>
      </c>
      <c r="D1156" t="inlineStr">
        <is>
          <t>VÄSTMANLANDS LÄN</t>
        </is>
      </c>
      <c r="E1156" t="inlineStr">
        <is>
          <t>SALA</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61715-2024</t>
        </is>
      </c>
      <c r="B1157" s="1" t="n">
        <v>45648</v>
      </c>
      <c r="C1157" s="1" t="n">
        <v>45793</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61717-2024</t>
        </is>
      </c>
      <c r="B1158" s="1" t="n">
        <v>45648</v>
      </c>
      <c r="C1158" s="1" t="n">
        <v>45793</v>
      </c>
      <c r="D1158" t="inlineStr">
        <is>
          <t>VÄSTMANLANDS LÄN</t>
        </is>
      </c>
      <c r="E1158" t="inlineStr">
        <is>
          <t>SALA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191-2025</t>
        </is>
      </c>
      <c r="B1159" s="1" t="n">
        <v>45649</v>
      </c>
      <c r="C1159" s="1" t="n">
        <v>45793</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327-2025</t>
        </is>
      </c>
      <c r="B1160" s="1" t="n">
        <v>45657</v>
      </c>
      <c r="C1160" s="1" t="n">
        <v>45793</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876-2025</t>
        </is>
      </c>
      <c r="B1161" s="1" t="n">
        <v>45665</v>
      </c>
      <c r="C1161" s="1" t="n">
        <v>45793</v>
      </c>
      <c r="D1161" t="inlineStr">
        <is>
          <t>VÄSTMANLANDS LÄN</t>
        </is>
      </c>
      <c r="E1161" t="inlineStr">
        <is>
          <t>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922-2025</t>
        </is>
      </c>
      <c r="B1162" s="1" t="n">
        <v>45665</v>
      </c>
      <c r="C1162" s="1" t="n">
        <v>45793</v>
      </c>
      <c r="D1162" t="inlineStr">
        <is>
          <t>VÄSTMANLANDS LÄN</t>
        </is>
      </c>
      <c r="E1162" t="inlineStr">
        <is>
          <t>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1128-2025</t>
        </is>
      </c>
      <c r="B1163" s="1" t="n">
        <v>45666</v>
      </c>
      <c r="C1163" s="1" t="n">
        <v>45793</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996-2025</t>
        </is>
      </c>
      <c r="B1164" s="1" t="n">
        <v>45666</v>
      </c>
      <c r="C1164" s="1" t="n">
        <v>45793</v>
      </c>
      <c r="D1164" t="inlineStr">
        <is>
          <t>VÄSTMANLANDS LÄN</t>
        </is>
      </c>
      <c r="E1164" t="inlineStr">
        <is>
          <t>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988-2025</t>
        </is>
      </c>
      <c r="B1165" s="1" t="n">
        <v>45666</v>
      </c>
      <c r="C1165" s="1" t="n">
        <v>45793</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1569-2025</t>
        </is>
      </c>
      <c r="B1166" s="1" t="n">
        <v>45670</v>
      </c>
      <c r="C1166" s="1" t="n">
        <v>45793</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1770-2025</t>
        </is>
      </c>
      <c r="B1167" s="1" t="n">
        <v>45671</v>
      </c>
      <c r="C1167" s="1" t="n">
        <v>45793</v>
      </c>
      <c r="D1167" t="inlineStr">
        <is>
          <t>VÄSTMANLANDS LÄN</t>
        </is>
      </c>
      <c r="E1167" t="inlineStr">
        <is>
          <t>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2271-2025</t>
        </is>
      </c>
      <c r="B1168" s="1" t="n">
        <v>45673</v>
      </c>
      <c r="C1168" s="1" t="n">
        <v>45793</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2521-2025</t>
        </is>
      </c>
      <c r="B1169" s="1" t="n">
        <v>45674</v>
      </c>
      <c r="C1169" s="1" t="n">
        <v>45793</v>
      </c>
      <c r="D1169" t="inlineStr">
        <is>
          <t>VÄSTMANLANDS LÄN</t>
        </is>
      </c>
      <c r="E1169" t="inlineStr">
        <is>
          <t>SALA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3546-2025</t>
        </is>
      </c>
      <c r="B1170" s="1" t="n">
        <v>45680</v>
      </c>
      <c r="C1170" s="1" t="n">
        <v>45793</v>
      </c>
      <c r="D1170" t="inlineStr">
        <is>
          <t>VÄSTMANLANDS LÄN</t>
        </is>
      </c>
      <c r="E1170" t="inlineStr">
        <is>
          <t>SALA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4389-2025</t>
        </is>
      </c>
      <c r="B1171" s="1" t="n">
        <v>45686</v>
      </c>
      <c r="C1171" s="1" t="n">
        <v>45793</v>
      </c>
      <c r="D1171" t="inlineStr">
        <is>
          <t>VÄSTMANLANDS LÄN</t>
        </is>
      </c>
      <c r="E1171" t="inlineStr">
        <is>
          <t>SALA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5032-2025</t>
        </is>
      </c>
      <c r="B1172" s="1" t="n">
        <v>45691</v>
      </c>
      <c r="C1172" s="1" t="n">
        <v>45793</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5823-2025</t>
        </is>
      </c>
      <c r="B1173" s="1" t="n">
        <v>45694</v>
      </c>
      <c r="C1173" s="1" t="n">
        <v>45793</v>
      </c>
      <c r="D1173" t="inlineStr">
        <is>
          <t>VÄSTMANLANDS LÄN</t>
        </is>
      </c>
      <c r="E1173" t="inlineStr">
        <is>
          <t>SALA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5824-2025</t>
        </is>
      </c>
      <c r="B1174" s="1" t="n">
        <v>45694</v>
      </c>
      <c r="C1174" s="1" t="n">
        <v>45793</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6032-2025</t>
        </is>
      </c>
      <c r="B1175" s="1" t="n">
        <v>45695</v>
      </c>
      <c r="C1175" s="1" t="n">
        <v>45793</v>
      </c>
      <c r="D1175" t="inlineStr">
        <is>
          <t>VÄSTMANLANDS LÄN</t>
        </is>
      </c>
      <c r="E1175" t="inlineStr">
        <is>
          <t>SALA</t>
        </is>
      </c>
      <c r="F1175" t="inlineStr">
        <is>
          <t>Bergvik skog öst AB</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45793</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45793</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45793</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45793</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6136-2025</t>
        </is>
      </c>
      <c r="B1180" s="1" t="n">
        <v>45698</v>
      </c>
      <c r="C1180" s="1" t="n">
        <v>45793</v>
      </c>
      <c r="D1180" t="inlineStr">
        <is>
          <t>VÄSTMANLANDS LÄN</t>
        </is>
      </c>
      <c r="E1180" t="inlineStr">
        <is>
          <t>SALA</t>
        </is>
      </c>
      <c r="F1180" t="inlineStr">
        <is>
          <t>Bergvik skog öst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6132-2025</t>
        </is>
      </c>
      <c r="B1181" s="1" t="n">
        <v>45698</v>
      </c>
      <c r="C1181" s="1" t="n">
        <v>45793</v>
      </c>
      <c r="D1181" t="inlineStr">
        <is>
          <t>VÄSTMANLANDS LÄN</t>
        </is>
      </c>
      <c r="E1181" t="inlineStr">
        <is>
          <t>SALA</t>
        </is>
      </c>
      <c r="F1181" t="inlineStr">
        <is>
          <t>Bergvik skog öst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6127-2025</t>
        </is>
      </c>
      <c r="B1182" s="1" t="n">
        <v>45698</v>
      </c>
      <c r="C1182" s="1" t="n">
        <v>45793</v>
      </c>
      <c r="D1182" t="inlineStr">
        <is>
          <t>VÄSTMANLANDS LÄN</t>
        </is>
      </c>
      <c r="E1182" t="inlineStr">
        <is>
          <t>SALA</t>
        </is>
      </c>
      <c r="F1182" t="inlineStr">
        <is>
          <t>Bergvik skog öst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6691-2025</t>
        </is>
      </c>
      <c r="B1183" s="1" t="n">
        <v>45700</v>
      </c>
      <c r="C1183" s="1" t="n">
        <v>45793</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7197-2025</t>
        </is>
      </c>
      <c r="B1184" s="1" t="n">
        <v>45702</v>
      </c>
      <c r="C1184" s="1" t="n">
        <v>45793</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7196-2025</t>
        </is>
      </c>
      <c r="B1185" s="1" t="n">
        <v>45702</v>
      </c>
      <c r="C1185" s="1" t="n">
        <v>45793</v>
      </c>
      <c r="D1185" t="inlineStr">
        <is>
          <t>VÄSTMANLANDS LÄN</t>
        </is>
      </c>
      <c r="E1185" t="inlineStr">
        <is>
          <t>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7166-2025</t>
        </is>
      </c>
      <c r="B1186" s="1" t="n">
        <v>45702</v>
      </c>
      <c r="C1186" s="1" t="n">
        <v>45793</v>
      </c>
      <c r="D1186" t="inlineStr">
        <is>
          <t>VÄSTMANLANDS LÄN</t>
        </is>
      </c>
      <c r="E1186" t="inlineStr">
        <is>
          <t>SALA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7469-2025</t>
        </is>
      </c>
      <c r="B1187" s="1" t="n">
        <v>45705</v>
      </c>
      <c r="C1187" s="1" t="n">
        <v>45793</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7459-2025</t>
        </is>
      </c>
      <c r="B1188" s="1" t="n">
        <v>45705</v>
      </c>
      <c r="C1188" s="1" t="n">
        <v>45793</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7703-2025</t>
        </is>
      </c>
      <c r="B1189" s="1" t="n">
        <v>45706</v>
      </c>
      <c r="C1189" s="1" t="n">
        <v>45793</v>
      </c>
      <c r="D1189" t="inlineStr">
        <is>
          <t>VÄSTMANLANDS LÄN</t>
        </is>
      </c>
      <c r="E1189" t="inlineStr">
        <is>
          <t>SALA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7950-2025</t>
        </is>
      </c>
      <c r="B1190" s="1" t="n">
        <v>45707</v>
      </c>
      <c r="C1190" s="1" t="n">
        <v>45793</v>
      </c>
      <c r="D1190" t="inlineStr">
        <is>
          <t>VÄSTMANLANDS LÄN</t>
        </is>
      </c>
      <c r="E1190" t="inlineStr">
        <is>
          <t>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8285-2025</t>
        </is>
      </c>
      <c r="B1191" s="1" t="n">
        <v>45708</v>
      </c>
      <c r="C1191" s="1" t="n">
        <v>45793</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9095-2025</t>
        </is>
      </c>
      <c r="B1192" s="1" t="n">
        <v>45713</v>
      </c>
      <c r="C1192" s="1" t="n">
        <v>45793</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9006-2025</t>
        </is>
      </c>
      <c r="B1193" s="1" t="n">
        <v>45713</v>
      </c>
      <c r="C1193" s="1" t="n">
        <v>45793</v>
      </c>
      <c r="D1193" t="inlineStr">
        <is>
          <t>VÄSTMANLANDS LÄN</t>
        </is>
      </c>
      <c r="E1193" t="inlineStr">
        <is>
          <t>SALA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9962-2025</t>
        </is>
      </c>
      <c r="B1194" s="1" t="n">
        <v>45719</v>
      </c>
      <c r="C1194" s="1" t="n">
        <v>45793</v>
      </c>
      <c r="D1194" t="inlineStr">
        <is>
          <t>VÄSTMANLANDS LÄN</t>
        </is>
      </c>
      <c r="E1194" t="inlineStr">
        <is>
          <t>SALA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10248-2025</t>
        </is>
      </c>
      <c r="B1195" s="1" t="n">
        <v>45720</v>
      </c>
      <c r="C1195" s="1" t="n">
        <v>45793</v>
      </c>
      <c r="D1195" t="inlineStr">
        <is>
          <t>VÄSTMANLANDS LÄN</t>
        </is>
      </c>
      <c r="E1195" t="inlineStr">
        <is>
          <t>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10250-2025</t>
        </is>
      </c>
      <c r="B1196" s="1" t="n">
        <v>45720</v>
      </c>
      <c r="C1196" s="1" t="n">
        <v>45793</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10508-2025</t>
        </is>
      </c>
      <c r="B1197" s="1" t="n">
        <v>45721</v>
      </c>
      <c r="C1197" s="1" t="n">
        <v>45793</v>
      </c>
      <c r="D1197" t="inlineStr">
        <is>
          <t>VÄSTMANLANDS LÄN</t>
        </is>
      </c>
      <c r="E1197" t="inlineStr">
        <is>
          <t>SALA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10824-2025</t>
        </is>
      </c>
      <c r="B1198" s="1" t="n">
        <v>45722</v>
      </c>
      <c r="C1198" s="1" t="n">
        <v>45793</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10913-2025</t>
        </is>
      </c>
      <c r="B1199" s="1" t="n">
        <v>45722</v>
      </c>
      <c r="C1199" s="1" t="n">
        <v>45793</v>
      </c>
      <c r="D1199" t="inlineStr">
        <is>
          <t>VÄSTMANLANDS LÄN</t>
        </is>
      </c>
      <c r="E1199" t="inlineStr">
        <is>
          <t>SALA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11153-2025</t>
        </is>
      </c>
      <c r="B1200" s="1" t="n">
        <v>45723</v>
      </c>
      <c r="C1200" s="1" t="n">
        <v>45793</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11210-2025</t>
        </is>
      </c>
      <c r="B1201" s="1" t="n">
        <v>45726</v>
      </c>
      <c r="C1201" s="1" t="n">
        <v>45793</v>
      </c>
      <c r="D1201" t="inlineStr">
        <is>
          <t>VÄSTMANLANDS LÄN</t>
        </is>
      </c>
      <c r="E1201" t="inlineStr">
        <is>
          <t>SALA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11696-2025</t>
        </is>
      </c>
      <c r="B1202" s="1" t="n">
        <v>45727</v>
      </c>
      <c r="C1202" s="1" t="n">
        <v>45793</v>
      </c>
      <c r="D1202" t="inlineStr">
        <is>
          <t>VÄSTMANLANDS LÄN</t>
        </is>
      </c>
      <c r="E1202" t="inlineStr">
        <is>
          <t>SALA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11927-2025</t>
        </is>
      </c>
      <c r="B1203" s="1" t="n">
        <v>45728</v>
      </c>
      <c r="C1203" s="1" t="n">
        <v>45793</v>
      </c>
      <c r="D1203" t="inlineStr">
        <is>
          <t>VÄSTMANLANDS LÄN</t>
        </is>
      </c>
      <c r="E1203" t="inlineStr">
        <is>
          <t>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12293-2025</t>
        </is>
      </c>
      <c r="B1204" s="1" t="n">
        <v>45729</v>
      </c>
      <c r="C1204" s="1" t="n">
        <v>45793</v>
      </c>
      <c r="D1204" t="inlineStr">
        <is>
          <t>VÄSTMANLANDS LÄN</t>
        </is>
      </c>
      <c r="E1204" t="inlineStr">
        <is>
          <t>SALA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12756-2025</t>
        </is>
      </c>
      <c r="B1205" s="1" t="n">
        <v>45733</v>
      </c>
      <c r="C1205" s="1" t="n">
        <v>45793</v>
      </c>
      <c r="D1205" t="inlineStr">
        <is>
          <t>VÄSTMANLANDS LÄN</t>
        </is>
      </c>
      <c r="E1205" t="inlineStr">
        <is>
          <t>SALA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12918-2025</t>
        </is>
      </c>
      <c r="B1206" s="1" t="n">
        <v>45733</v>
      </c>
      <c r="C1206" s="1" t="n">
        <v>45793</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13127-2025</t>
        </is>
      </c>
      <c r="B1207" s="1" t="n">
        <v>45734</v>
      </c>
      <c r="C1207" s="1" t="n">
        <v>45793</v>
      </c>
      <c r="D1207" t="inlineStr">
        <is>
          <t>VÄSTMANLANDS LÄN</t>
        </is>
      </c>
      <c r="E1207" t="inlineStr">
        <is>
          <t>SALA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45793</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45793</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45793</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45793</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13129-2025</t>
        </is>
      </c>
      <c r="B1212" s="1" t="n">
        <v>45734</v>
      </c>
      <c r="C1212" s="1" t="n">
        <v>45793</v>
      </c>
      <c r="D1212" t="inlineStr">
        <is>
          <t>VÄSTMANLANDS LÄN</t>
        </is>
      </c>
      <c r="E1212" t="inlineStr">
        <is>
          <t>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13130-2025</t>
        </is>
      </c>
      <c r="B1213" s="1" t="n">
        <v>45734</v>
      </c>
      <c r="C1213" s="1" t="n">
        <v>45793</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13188-2025</t>
        </is>
      </c>
      <c r="B1214" s="1" t="n">
        <v>45735</v>
      </c>
      <c r="C1214" s="1" t="n">
        <v>45793</v>
      </c>
      <c r="D1214" t="inlineStr">
        <is>
          <t>VÄSTMANLANDS LÄN</t>
        </is>
      </c>
      <c r="E1214" t="inlineStr">
        <is>
          <t>SALA</t>
        </is>
      </c>
      <c r="F1214" t="inlineStr">
        <is>
          <t>Naturvårdsverket</t>
        </is>
      </c>
      <c r="G1214" t="n">
        <v>18.4</v>
      </c>
      <c r="H1214" t="n">
        <v>0</v>
      </c>
      <c r="I1214" t="n">
        <v>0</v>
      </c>
      <c r="J1214" t="n">
        <v>0</v>
      </c>
      <c r="K1214" t="n">
        <v>0</v>
      </c>
      <c r="L1214" t="n">
        <v>0</v>
      </c>
      <c r="M1214" t="n">
        <v>0</v>
      </c>
      <c r="N1214" t="n">
        <v>0</v>
      </c>
      <c r="O1214" t="n">
        <v>0</v>
      </c>
      <c r="P1214" t="n">
        <v>0</v>
      </c>
      <c r="Q1214" t="n">
        <v>0</v>
      </c>
      <c r="R1214" s="2" t="inlineStr"/>
    </row>
    <row r="1215" ht="15" customHeight="1">
      <c r="A1215" t="inlineStr">
        <is>
          <t>A 13471-2025</t>
        </is>
      </c>
      <c r="B1215" s="1" t="n">
        <v>45736</v>
      </c>
      <c r="C1215" s="1" t="n">
        <v>45793</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45793</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13746-2025</t>
        </is>
      </c>
      <c r="B1217" s="1" t="n">
        <v>45737</v>
      </c>
      <c r="C1217" s="1" t="n">
        <v>45793</v>
      </c>
      <c r="D1217" t="inlineStr">
        <is>
          <t>VÄSTMANLANDS LÄN</t>
        </is>
      </c>
      <c r="E1217" t="inlineStr">
        <is>
          <t>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13749-2025</t>
        </is>
      </c>
      <c r="B1218" s="1" t="n">
        <v>45737</v>
      </c>
      <c r="C1218" s="1" t="n">
        <v>45793</v>
      </c>
      <c r="D1218" t="inlineStr">
        <is>
          <t>VÄSTMANLANDS LÄN</t>
        </is>
      </c>
      <c r="E1218" t="inlineStr">
        <is>
          <t>SALA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14271-2025</t>
        </is>
      </c>
      <c r="B1219" s="1" t="n">
        <v>45740</v>
      </c>
      <c r="C1219" s="1" t="n">
        <v>45793</v>
      </c>
      <c r="D1219" t="inlineStr">
        <is>
          <t>VÄSTMANLANDS LÄN</t>
        </is>
      </c>
      <c r="E1219" t="inlineStr">
        <is>
          <t>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14024-2025</t>
        </is>
      </c>
      <c r="B1220" s="1" t="n">
        <v>45740</v>
      </c>
      <c r="C1220" s="1" t="n">
        <v>45793</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14268-2025</t>
        </is>
      </c>
      <c r="B1221" s="1" t="n">
        <v>45740</v>
      </c>
      <c r="C1221" s="1" t="n">
        <v>45793</v>
      </c>
      <c r="D1221" t="inlineStr">
        <is>
          <t>VÄSTMANLANDS LÄN</t>
        </is>
      </c>
      <c r="E1221" t="inlineStr">
        <is>
          <t>SALA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14690-2025</t>
        </is>
      </c>
      <c r="B1222" s="1" t="n">
        <v>45742</v>
      </c>
      <c r="C1222" s="1" t="n">
        <v>45793</v>
      </c>
      <c r="D1222" t="inlineStr">
        <is>
          <t>VÄSTMANLANDS LÄN</t>
        </is>
      </c>
      <c r="E1222" t="inlineStr">
        <is>
          <t>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14853-2025</t>
        </is>
      </c>
      <c r="B1223" s="1" t="n">
        <v>45743</v>
      </c>
      <c r="C1223" s="1" t="n">
        <v>45793</v>
      </c>
      <c r="D1223" t="inlineStr">
        <is>
          <t>VÄSTMANLANDS LÄN</t>
        </is>
      </c>
      <c r="E1223" t="inlineStr">
        <is>
          <t>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14919-2025</t>
        </is>
      </c>
      <c r="B1224" s="1" t="n">
        <v>45743</v>
      </c>
      <c r="C1224" s="1" t="n">
        <v>45793</v>
      </c>
      <c r="D1224" t="inlineStr">
        <is>
          <t>VÄSTMANLANDS LÄN</t>
        </is>
      </c>
      <c r="E1224" t="inlineStr">
        <is>
          <t>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15000-2025</t>
        </is>
      </c>
      <c r="B1225" s="1" t="n">
        <v>45743</v>
      </c>
      <c r="C1225" s="1" t="n">
        <v>45793</v>
      </c>
      <c r="D1225" t="inlineStr">
        <is>
          <t>VÄSTMANLANDS LÄN</t>
        </is>
      </c>
      <c r="E1225" t="inlineStr">
        <is>
          <t>SALA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14920-2025</t>
        </is>
      </c>
      <c r="B1226" s="1" t="n">
        <v>45743</v>
      </c>
      <c r="C1226" s="1" t="n">
        <v>45793</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15193-2025</t>
        </is>
      </c>
      <c r="B1227" s="1" t="n">
        <v>45744</v>
      </c>
      <c r="C1227" s="1" t="n">
        <v>45793</v>
      </c>
      <c r="D1227" t="inlineStr">
        <is>
          <t>VÄSTMANLANDS LÄN</t>
        </is>
      </c>
      <c r="E1227" t="inlineStr">
        <is>
          <t>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15099-2025</t>
        </is>
      </c>
      <c r="B1228" s="1" t="n">
        <v>45744</v>
      </c>
      <c r="C1228" s="1" t="n">
        <v>45793</v>
      </c>
      <c r="D1228" t="inlineStr">
        <is>
          <t>VÄSTMANLANDS LÄN</t>
        </is>
      </c>
      <c r="E1228" t="inlineStr">
        <is>
          <t>SALA</t>
        </is>
      </c>
      <c r="F1228" t="inlineStr">
        <is>
          <t>Sveaskog</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15272-2025</t>
        </is>
      </c>
      <c r="B1229" s="1" t="n">
        <v>45744</v>
      </c>
      <c r="C1229" s="1" t="n">
        <v>45793</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45793</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15681-2025</t>
        </is>
      </c>
      <c r="B1231" s="1" t="n">
        <v>45748</v>
      </c>
      <c r="C1231" s="1" t="n">
        <v>45793</v>
      </c>
      <c r="D1231" t="inlineStr">
        <is>
          <t>VÄSTMANLANDS LÄN</t>
        </is>
      </c>
      <c r="E1231" t="inlineStr">
        <is>
          <t>SALA</t>
        </is>
      </c>
      <c r="F1231" t="inlineStr">
        <is>
          <t>Bergvik skog öst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15650-2025</t>
        </is>
      </c>
      <c r="B1232" s="1" t="n">
        <v>45748</v>
      </c>
      <c r="C1232" s="1" t="n">
        <v>45793</v>
      </c>
      <c r="D1232" t="inlineStr">
        <is>
          <t>VÄSTMANLANDS LÄN</t>
        </is>
      </c>
      <c r="E1232" t="inlineStr">
        <is>
          <t>SALA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16133-2025</t>
        </is>
      </c>
      <c r="B1233" s="1" t="n">
        <v>45750</v>
      </c>
      <c r="C1233" s="1" t="n">
        <v>45793</v>
      </c>
      <c r="D1233" t="inlineStr">
        <is>
          <t>VÄSTMANLANDS LÄN</t>
        </is>
      </c>
      <c r="E1233" t="inlineStr">
        <is>
          <t>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16328-2025</t>
        </is>
      </c>
      <c r="B1234" s="1" t="n">
        <v>45751</v>
      </c>
      <c r="C1234" s="1" t="n">
        <v>45793</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16641-2025</t>
        </is>
      </c>
      <c r="B1235" s="1" t="n">
        <v>45754</v>
      </c>
      <c r="C1235" s="1" t="n">
        <v>45793</v>
      </c>
      <c r="D1235" t="inlineStr">
        <is>
          <t>VÄSTMANLANDS LÄN</t>
        </is>
      </c>
      <c r="E1235" t="inlineStr">
        <is>
          <t>SALA</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17051-2025</t>
        </is>
      </c>
      <c r="B1236" s="1" t="n">
        <v>45755</v>
      </c>
      <c r="C1236" s="1" t="n">
        <v>45793</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17316-2025</t>
        </is>
      </c>
      <c r="B1237" s="1" t="n">
        <v>45756</v>
      </c>
      <c r="C1237" s="1" t="n">
        <v>45793</v>
      </c>
      <c r="D1237" t="inlineStr">
        <is>
          <t>VÄSTMANLANDS LÄN</t>
        </is>
      </c>
      <c r="E1237" t="inlineStr">
        <is>
          <t>SALA</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17320-2025</t>
        </is>
      </c>
      <c r="B1238" s="1" t="n">
        <v>45756</v>
      </c>
      <c r="C1238" s="1" t="n">
        <v>45793</v>
      </c>
      <c r="D1238" t="inlineStr">
        <is>
          <t>VÄSTMANLANDS LÄN</t>
        </is>
      </c>
      <c r="E1238" t="inlineStr">
        <is>
          <t>SALA</t>
        </is>
      </c>
      <c r="F1238" t="inlineStr">
        <is>
          <t>Kommuner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45793</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45793</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45793</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45793</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17722-2025</t>
        </is>
      </c>
      <c r="B1243" s="1" t="n">
        <v>45758</v>
      </c>
      <c r="C1243" s="1" t="n">
        <v>45793</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45793</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17985-2025</t>
        </is>
      </c>
      <c r="B1245" s="1" t="n">
        <v>45761</v>
      </c>
      <c r="C1245" s="1" t="n">
        <v>45793</v>
      </c>
      <c r="D1245" t="inlineStr">
        <is>
          <t>VÄSTMANLANDS LÄN</t>
        </is>
      </c>
      <c r="E1245" t="inlineStr">
        <is>
          <t>SALA</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18340-2025</t>
        </is>
      </c>
      <c r="B1246" s="1" t="n">
        <v>45762</v>
      </c>
      <c r="C1246" s="1" t="n">
        <v>45793</v>
      </c>
      <c r="D1246" t="inlineStr">
        <is>
          <t>VÄSTMANLANDS LÄN</t>
        </is>
      </c>
      <c r="E1246" t="inlineStr">
        <is>
          <t>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18713-2025</t>
        </is>
      </c>
      <c r="B1247" s="1" t="n">
        <v>45763</v>
      </c>
      <c r="C1247" s="1" t="n">
        <v>45793</v>
      </c>
      <c r="D1247" t="inlineStr">
        <is>
          <t>VÄSTMANLANDS LÄN</t>
        </is>
      </c>
      <c r="E1247" t="inlineStr">
        <is>
          <t>SALA</t>
        </is>
      </c>
      <c r="F1247" t="inlineStr">
        <is>
          <t>Bergvik skog öst AB</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19033-2025</t>
        </is>
      </c>
      <c r="B1248" s="1" t="n">
        <v>45764</v>
      </c>
      <c r="C1248" s="1" t="n">
        <v>45793</v>
      </c>
      <c r="D1248" t="inlineStr">
        <is>
          <t>VÄSTMANLANDS LÄN</t>
        </is>
      </c>
      <c r="E1248" t="inlineStr">
        <is>
          <t>SALA</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19243-2025</t>
        </is>
      </c>
      <c r="B1249" s="1" t="n">
        <v>45769</v>
      </c>
      <c r="C1249" s="1" t="n">
        <v>45793</v>
      </c>
      <c r="D1249" t="inlineStr">
        <is>
          <t>VÄSTMANLANDS LÄN</t>
        </is>
      </c>
      <c r="E1249" t="inlineStr">
        <is>
          <t>SALA</t>
        </is>
      </c>
      <c r="F1249" t="inlineStr">
        <is>
          <t>Bergvik skog öst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19297-2025</t>
        </is>
      </c>
      <c r="B1250" s="1" t="n">
        <v>45769</v>
      </c>
      <c r="C1250" s="1" t="n">
        <v>45793</v>
      </c>
      <c r="D1250" t="inlineStr">
        <is>
          <t>VÄSTMANLANDS LÄN</t>
        </is>
      </c>
      <c r="E1250" t="inlineStr">
        <is>
          <t>SALA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19222-2025</t>
        </is>
      </c>
      <c r="B1251" s="1" t="n">
        <v>45769</v>
      </c>
      <c r="C1251" s="1" t="n">
        <v>45793</v>
      </c>
      <c r="D1251" t="inlineStr">
        <is>
          <t>VÄSTMANLANDS LÄN</t>
        </is>
      </c>
      <c r="E1251" t="inlineStr">
        <is>
          <t>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19304-2025</t>
        </is>
      </c>
      <c r="B1252" s="1" t="n">
        <v>45769</v>
      </c>
      <c r="C1252" s="1" t="n">
        <v>45793</v>
      </c>
      <c r="D1252" t="inlineStr">
        <is>
          <t>VÄSTMANLANDS LÄN</t>
        </is>
      </c>
      <c r="E1252" t="inlineStr">
        <is>
          <t>SALA</t>
        </is>
      </c>
      <c r="F1252" t="inlineStr">
        <is>
          <t>Bergvik skog öst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19396-2025</t>
        </is>
      </c>
      <c r="B1253" s="1" t="n">
        <v>45769</v>
      </c>
      <c r="C1253" s="1" t="n">
        <v>45793</v>
      </c>
      <c r="D1253" t="inlineStr">
        <is>
          <t>VÄSTMANLANDS LÄN</t>
        </is>
      </c>
      <c r="E1253" t="inlineStr">
        <is>
          <t>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19241-2025</t>
        </is>
      </c>
      <c r="B1254" s="1" t="n">
        <v>45769</v>
      </c>
      <c r="C1254" s="1" t="n">
        <v>45793</v>
      </c>
      <c r="D1254" t="inlineStr">
        <is>
          <t>VÄSTMANLANDS LÄN</t>
        </is>
      </c>
      <c r="E1254" t="inlineStr">
        <is>
          <t>SALA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19398-2025</t>
        </is>
      </c>
      <c r="B1255" s="1" t="n">
        <v>45769</v>
      </c>
      <c r="C1255" s="1" t="n">
        <v>45793</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19381-2025</t>
        </is>
      </c>
      <c r="B1256" s="1" t="n">
        <v>45769</v>
      </c>
      <c r="C1256" s="1" t="n">
        <v>45793</v>
      </c>
      <c r="D1256" t="inlineStr">
        <is>
          <t>VÄSTMANLANDS LÄN</t>
        </is>
      </c>
      <c r="E1256" t="inlineStr">
        <is>
          <t>SALA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21168-2025</t>
        </is>
      </c>
      <c r="B1257" s="1" t="n">
        <v>45777</v>
      </c>
      <c r="C1257" s="1" t="n">
        <v>45793</v>
      </c>
      <c r="D1257" t="inlineStr">
        <is>
          <t>VÄSTMANLANDS LÄN</t>
        </is>
      </c>
      <c r="E1257" t="inlineStr">
        <is>
          <t>SALA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45793</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21738-2025</t>
        </is>
      </c>
      <c r="B1259" s="1" t="n">
        <v>45783</v>
      </c>
      <c r="C1259" s="1" t="n">
        <v>45793</v>
      </c>
      <c r="D1259" t="inlineStr">
        <is>
          <t>VÄSTMANLANDS LÄN</t>
        </is>
      </c>
      <c r="E1259" t="inlineStr">
        <is>
          <t>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21751-2025</t>
        </is>
      </c>
      <c r="B1260" s="1" t="n">
        <v>45783</v>
      </c>
      <c r="C1260" s="1" t="n">
        <v>45793</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21721-2025</t>
        </is>
      </c>
      <c r="B1261" s="1" t="n">
        <v>45783</v>
      </c>
      <c r="C1261" s="1" t="n">
        <v>45793</v>
      </c>
      <c r="D1261" t="inlineStr">
        <is>
          <t>VÄSTMANLANDS LÄN</t>
        </is>
      </c>
      <c r="E1261" t="inlineStr">
        <is>
          <t>SALA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22126-2025</t>
        </is>
      </c>
      <c r="B1262" s="1" t="n">
        <v>45785</v>
      </c>
      <c r="C1262" s="1" t="n">
        <v>45793</v>
      </c>
      <c r="D1262" t="inlineStr">
        <is>
          <t>VÄSTMANLANDS LÄN</t>
        </is>
      </c>
      <c r="E1262" t="inlineStr">
        <is>
          <t>SALA</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22353-2025</t>
        </is>
      </c>
      <c r="B1263" s="1" t="n">
        <v>45786</v>
      </c>
      <c r="C1263" s="1" t="n">
        <v>45793</v>
      </c>
      <c r="D1263" t="inlineStr">
        <is>
          <t>VÄSTMANLANDS LÄN</t>
        </is>
      </c>
      <c r="E1263" t="inlineStr">
        <is>
          <t>SALA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22370-2025</t>
        </is>
      </c>
      <c r="B1264" s="1" t="n">
        <v>45786</v>
      </c>
      <c r="C1264" s="1" t="n">
        <v>45793</v>
      </c>
      <c r="D1264" t="inlineStr">
        <is>
          <t>VÄSTMANLANDS LÄN</t>
        </is>
      </c>
      <c r="E1264" t="inlineStr">
        <is>
          <t>SALA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22383-2025</t>
        </is>
      </c>
      <c r="B1265" s="1" t="n">
        <v>45786</v>
      </c>
      <c r="C1265" s="1" t="n">
        <v>45793</v>
      </c>
      <c r="D1265" t="inlineStr">
        <is>
          <t>VÄSTMANLANDS LÄN</t>
        </is>
      </c>
      <c r="E1265" t="inlineStr">
        <is>
          <t>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22624-2025</t>
        </is>
      </c>
      <c r="B1266" s="1" t="n">
        <v>45789</v>
      </c>
      <c r="C1266" s="1" t="n">
        <v>45793</v>
      </c>
      <c r="D1266" t="inlineStr">
        <is>
          <t>VÄSTMANLANDS LÄN</t>
        </is>
      </c>
      <c r="E1266" t="inlineStr">
        <is>
          <t>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22625-2025</t>
        </is>
      </c>
      <c r="B1267" s="1" t="n">
        <v>45789</v>
      </c>
      <c r="C1267" s="1" t="n">
        <v>45793</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c r="A1268" t="inlineStr">
        <is>
          <t>A 22616-2025</t>
        </is>
      </c>
      <c r="B1268" s="1" t="n">
        <v>45789</v>
      </c>
      <c r="C1268" s="1" t="n">
        <v>45793</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2025-05-16T17:45:17Z</dcterms:created>
  <dcterms:modified xmlns:dcterms="http://purl.org/dc/terms/" xmlns:xsi="http://www.w3.org/2001/XMLSchema-instance" xsi:type="dcterms:W3CDTF">2025-05-16T17:45:18Z</dcterms:modified>
</cp:coreProperties>
</file>