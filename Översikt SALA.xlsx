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46040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46040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46040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46040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46040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46040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46040</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46040</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10344-2025</t>
        </is>
      </c>
      <c r="B11" s="1" t="n">
        <v>45720</v>
      </c>
      <c r="C11" s="1" t="n">
        <v>46040</v>
      </c>
      <c r="D11" t="inlineStr">
        <is>
          <t>VÄSTMANLANDS LÄN</t>
        </is>
      </c>
      <c r="E11" t="inlineStr">
        <is>
          <t>SALA</t>
        </is>
      </c>
      <c r="G11" t="n">
        <v>4.2</v>
      </c>
      <c r="H11" t="n">
        <v>2</v>
      </c>
      <c r="I11" t="n">
        <v>1</v>
      </c>
      <c r="J11" t="n">
        <v>1</v>
      </c>
      <c r="K11" t="n">
        <v>2</v>
      </c>
      <c r="L11" t="n">
        <v>0</v>
      </c>
      <c r="M11" t="n">
        <v>0</v>
      </c>
      <c r="N11" t="n">
        <v>0</v>
      </c>
      <c r="O11" t="n">
        <v>3</v>
      </c>
      <c r="P11" t="n">
        <v>2</v>
      </c>
      <c r="Q11" t="n">
        <v>4</v>
      </c>
      <c r="R11" s="2" t="inlineStr">
        <is>
          <t>Knärot
Sprickporing
Spillkråka
Grönpyrola</t>
        </is>
      </c>
      <c r="S11">
        <f>HYPERLINK("https://klasma.github.io/Logging_1981/artfynd/A 10344-2025 artfynd.xlsx", "A 10344-2025")</f>
        <v/>
      </c>
      <c r="T11">
        <f>HYPERLINK("https://klasma.github.io/Logging_1981/kartor/A 10344-2025 karta.png", "A 10344-2025")</f>
        <v/>
      </c>
      <c r="U11">
        <f>HYPERLINK("https://klasma.github.io/Logging_1981/knärot/A 10344-2025 karta knärot.png", "A 10344-2025")</f>
        <v/>
      </c>
      <c r="V11">
        <f>HYPERLINK("https://klasma.github.io/Logging_1981/klagomål/A 10344-2025 FSC-klagomål.docx", "A 10344-2025")</f>
        <v/>
      </c>
      <c r="W11">
        <f>HYPERLINK("https://klasma.github.io/Logging_1981/klagomålsmail/A 10344-2025 FSC-klagomål mail.docx", "A 10344-2025")</f>
        <v/>
      </c>
      <c r="X11">
        <f>HYPERLINK("https://klasma.github.io/Logging_1981/tillsyn/A 10344-2025 tillsynsbegäran.docx", "A 10344-2025")</f>
        <v/>
      </c>
      <c r="Y11">
        <f>HYPERLINK("https://klasma.github.io/Logging_1981/tillsynsmail/A 10344-2025 tillsynsbegäran mail.docx", "A 10344-2025")</f>
        <v/>
      </c>
      <c r="Z11">
        <f>HYPERLINK("https://klasma.github.io/Logging_1981/fåglar/A 10344-2025 prioriterade fågelarter.docx", "A 10344-2025")</f>
        <v/>
      </c>
    </row>
    <row r="12" ht="15" customHeight="1">
      <c r="A12" t="inlineStr">
        <is>
          <t>A 53627-2025</t>
        </is>
      </c>
      <c r="B12" s="1" t="n">
        <v>45960.49180555555</v>
      </c>
      <c r="C12" s="1" t="n">
        <v>46040</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27488-2023</t>
        </is>
      </c>
      <c r="B13" s="1" t="n">
        <v>45097</v>
      </c>
      <c r="C13" s="1" t="n">
        <v>46040</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46040</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46040</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46040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46040</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40895-2025</t>
        </is>
      </c>
      <c r="B18" s="1" t="n">
        <v>45897.61241898148</v>
      </c>
      <c r="C18" s="1" t="n">
        <v>46040</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62768-2021</t>
        </is>
      </c>
      <c r="B19" s="1" t="n">
        <v>44504</v>
      </c>
      <c r="C19" s="1" t="n">
        <v>46040</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46040</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3567-2024</t>
        </is>
      </c>
      <c r="B21" s="1" t="n">
        <v>45320.63706018519</v>
      </c>
      <c r="C21" s="1" t="n">
        <v>46040</v>
      </c>
      <c r="D21" t="inlineStr">
        <is>
          <t>VÄSTMANLANDS LÄN</t>
        </is>
      </c>
      <c r="E21" t="inlineStr">
        <is>
          <t>SALA</t>
        </is>
      </c>
      <c r="F21" t="inlineStr">
        <is>
          <t>Kommuner</t>
        </is>
      </c>
      <c r="G21" t="n">
        <v>4.1</v>
      </c>
      <c r="H21" t="n">
        <v>1</v>
      </c>
      <c r="I21" t="n">
        <v>2</v>
      </c>
      <c r="J21" t="n">
        <v>0</v>
      </c>
      <c r="K21" t="n">
        <v>1</v>
      </c>
      <c r="L21" t="n">
        <v>0</v>
      </c>
      <c r="M21" t="n">
        <v>0</v>
      </c>
      <c r="N21" t="n">
        <v>0</v>
      </c>
      <c r="O21" t="n">
        <v>1</v>
      </c>
      <c r="P21" t="n">
        <v>1</v>
      </c>
      <c r="Q21" t="n">
        <v>3</v>
      </c>
      <c r="R21" s="2" t="inlineStr">
        <is>
          <t>Knärot
Guldlockmossa
Vedticka</t>
        </is>
      </c>
      <c r="S21">
        <f>HYPERLINK("https://klasma.github.io/Logging_1981/artfynd/A 3567-2024 artfynd.xlsx", "A 3567-2024")</f>
        <v/>
      </c>
      <c r="T21">
        <f>HYPERLINK("https://klasma.github.io/Logging_1981/kartor/A 3567-2024 karta.png", "A 3567-2024")</f>
        <v/>
      </c>
      <c r="U21">
        <f>HYPERLINK("https://klasma.github.io/Logging_1981/knärot/A 3567-2024 karta knärot.png", "A 3567-2024")</f>
        <v/>
      </c>
      <c r="V21">
        <f>HYPERLINK("https://klasma.github.io/Logging_1981/klagomål/A 3567-2024 FSC-klagomål.docx", "A 3567-2024")</f>
        <v/>
      </c>
      <c r="W21">
        <f>HYPERLINK("https://klasma.github.io/Logging_1981/klagomålsmail/A 3567-2024 FSC-klagomål mail.docx", "A 3567-2024")</f>
        <v/>
      </c>
      <c r="X21">
        <f>HYPERLINK("https://klasma.github.io/Logging_1981/tillsyn/A 3567-2024 tillsynsbegäran.docx", "A 3567-2024")</f>
        <v/>
      </c>
      <c r="Y21">
        <f>HYPERLINK("https://klasma.github.io/Logging_1981/tillsynsmail/A 3567-2024 tillsynsbegäran mail.docx", "A 3567-2024")</f>
        <v/>
      </c>
    </row>
    <row r="22" ht="15" customHeight="1">
      <c r="A22" t="inlineStr">
        <is>
          <t>A 4264-2024</t>
        </is>
      </c>
      <c r="B22" s="1" t="n">
        <v>45324</v>
      </c>
      <c r="C22" s="1" t="n">
        <v>46040</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46040</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53019-2024</t>
        </is>
      </c>
      <c r="B24" s="1" t="n">
        <v>45610</v>
      </c>
      <c r="C24" s="1" t="n">
        <v>46040</v>
      </c>
      <c r="D24" t="inlineStr">
        <is>
          <t>VÄSTMANLANDS LÄN</t>
        </is>
      </c>
      <c r="E24" t="inlineStr">
        <is>
          <t>SALA</t>
        </is>
      </c>
      <c r="G24" t="n">
        <v>1.1</v>
      </c>
      <c r="H24" t="n">
        <v>2</v>
      </c>
      <c r="I24" t="n">
        <v>0</v>
      </c>
      <c r="J24" t="n">
        <v>1</v>
      </c>
      <c r="K24" t="n">
        <v>1</v>
      </c>
      <c r="L24" t="n">
        <v>0</v>
      </c>
      <c r="M24" t="n">
        <v>0</v>
      </c>
      <c r="N24" t="n">
        <v>0</v>
      </c>
      <c r="O24" t="n">
        <v>2</v>
      </c>
      <c r="P24" t="n">
        <v>1</v>
      </c>
      <c r="Q24" t="n">
        <v>3</v>
      </c>
      <c r="R24" s="2" t="inlineStr">
        <is>
          <t>Knärot
Ullticka
Kungsfågel</t>
        </is>
      </c>
      <c r="S24">
        <f>HYPERLINK("https://klasma.github.io/Logging_1981/artfynd/A 53019-2024 artfynd.xlsx", "A 53019-2024")</f>
        <v/>
      </c>
      <c r="T24">
        <f>HYPERLINK("https://klasma.github.io/Logging_1981/kartor/A 53019-2024 karta.png", "A 53019-2024")</f>
        <v/>
      </c>
      <c r="U24">
        <f>HYPERLINK("https://klasma.github.io/Logging_1981/knärot/A 53019-2024 karta knärot.png", "A 53019-2024")</f>
        <v/>
      </c>
      <c r="V24">
        <f>HYPERLINK("https://klasma.github.io/Logging_1981/klagomål/A 53019-2024 FSC-klagomål.docx", "A 53019-2024")</f>
        <v/>
      </c>
      <c r="W24">
        <f>HYPERLINK("https://klasma.github.io/Logging_1981/klagomålsmail/A 53019-2024 FSC-klagomål mail.docx", "A 53019-2024")</f>
        <v/>
      </c>
      <c r="X24">
        <f>HYPERLINK("https://klasma.github.io/Logging_1981/tillsyn/A 53019-2024 tillsynsbegäran.docx", "A 53019-2024")</f>
        <v/>
      </c>
      <c r="Y24">
        <f>HYPERLINK("https://klasma.github.io/Logging_1981/tillsynsmail/A 53019-2024 tillsynsbegäran mail.docx", "A 53019-2024")</f>
        <v/>
      </c>
      <c r="Z24">
        <f>HYPERLINK("https://klasma.github.io/Logging_1981/fåglar/A 53019-2024 prioriterade fågelarter.docx", "A 53019-2024")</f>
        <v/>
      </c>
    </row>
    <row r="25" ht="15" customHeight="1">
      <c r="A25" t="inlineStr">
        <is>
          <t>A 34065-2025</t>
        </is>
      </c>
      <c r="B25" s="1" t="n">
        <v>45845.42806712963</v>
      </c>
      <c r="C25" s="1" t="n">
        <v>46040</v>
      </c>
      <c r="D25" t="inlineStr">
        <is>
          <t>VÄSTMANLANDS LÄN</t>
        </is>
      </c>
      <c r="E25" t="inlineStr">
        <is>
          <t>SALA</t>
        </is>
      </c>
      <c r="G25" t="n">
        <v>3</v>
      </c>
      <c r="H25" t="n">
        <v>0</v>
      </c>
      <c r="I25" t="n">
        <v>1</v>
      </c>
      <c r="J25" t="n">
        <v>2</v>
      </c>
      <c r="K25" t="n">
        <v>0</v>
      </c>
      <c r="L25" t="n">
        <v>0</v>
      </c>
      <c r="M25" t="n">
        <v>0</v>
      </c>
      <c r="N25" t="n">
        <v>0</v>
      </c>
      <c r="O25" t="n">
        <v>2</v>
      </c>
      <c r="P25" t="n">
        <v>0</v>
      </c>
      <c r="Q25" t="n">
        <v>3</v>
      </c>
      <c r="R25" s="2" t="inlineStr">
        <is>
          <t>Granticka
Leptoporus mollis
Vedticka</t>
        </is>
      </c>
      <c r="S25">
        <f>HYPERLINK("https://klasma.github.io/Logging_1981/artfynd/A 34065-2025 artfynd.xlsx", "A 34065-2025")</f>
        <v/>
      </c>
      <c r="T25">
        <f>HYPERLINK("https://klasma.github.io/Logging_1981/kartor/A 34065-2025 karta.png", "A 34065-2025")</f>
        <v/>
      </c>
      <c r="V25">
        <f>HYPERLINK("https://klasma.github.io/Logging_1981/klagomål/A 34065-2025 FSC-klagomål.docx", "A 34065-2025")</f>
        <v/>
      </c>
      <c r="W25">
        <f>HYPERLINK("https://klasma.github.io/Logging_1981/klagomålsmail/A 34065-2025 FSC-klagomål mail.docx", "A 34065-2025")</f>
        <v/>
      </c>
      <c r="X25">
        <f>HYPERLINK("https://klasma.github.io/Logging_1981/tillsyn/A 34065-2025 tillsynsbegäran.docx", "A 34065-2025")</f>
        <v/>
      </c>
      <c r="Y25">
        <f>HYPERLINK("https://klasma.github.io/Logging_1981/tillsynsmail/A 34065-2025 tillsynsbegäran mail.docx", "A 34065-2025")</f>
        <v/>
      </c>
    </row>
    <row r="26" ht="15" customHeight="1">
      <c r="A26" t="inlineStr">
        <is>
          <t>A 52909-2022</t>
        </is>
      </c>
      <c r="B26" s="1" t="n">
        <v>44875</v>
      </c>
      <c r="C26" s="1" t="n">
        <v>46040</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46040</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46040</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59826-2025</t>
        </is>
      </c>
      <c r="B29" s="1" t="n">
        <v>45992.65416666667</v>
      </c>
      <c r="C29" s="1" t="n">
        <v>46040</v>
      </c>
      <c r="D29" t="inlineStr">
        <is>
          <t>VÄSTMANLANDS LÄN</t>
        </is>
      </c>
      <c r="E29" t="inlineStr">
        <is>
          <t>SALA</t>
        </is>
      </c>
      <c r="G29" t="n">
        <v>2.7</v>
      </c>
      <c r="H29" t="n">
        <v>0</v>
      </c>
      <c r="I29" t="n">
        <v>1</v>
      </c>
      <c r="J29" t="n">
        <v>1</v>
      </c>
      <c r="K29" t="n">
        <v>0</v>
      </c>
      <c r="L29" t="n">
        <v>0</v>
      </c>
      <c r="M29" t="n">
        <v>0</v>
      </c>
      <c r="N29" t="n">
        <v>0</v>
      </c>
      <c r="O29" t="n">
        <v>1</v>
      </c>
      <c r="P29" t="n">
        <v>0</v>
      </c>
      <c r="Q29" t="n">
        <v>2</v>
      </c>
      <c r="R29" s="2" t="inlineStr">
        <is>
          <t>Motaggsvamp
Gullgröppa</t>
        </is>
      </c>
      <c r="S29">
        <f>HYPERLINK("https://klasma.github.io/Logging_1981/artfynd/A 59826-2025 artfynd.xlsx", "A 59826-2025")</f>
        <v/>
      </c>
      <c r="T29">
        <f>HYPERLINK("https://klasma.github.io/Logging_1981/kartor/A 59826-2025 karta.png", "A 59826-2025")</f>
        <v/>
      </c>
      <c r="V29">
        <f>HYPERLINK("https://klasma.github.io/Logging_1981/klagomål/A 59826-2025 FSC-klagomål.docx", "A 59826-2025")</f>
        <v/>
      </c>
      <c r="W29">
        <f>HYPERLINK("https://klasma.github.io/Logging_1981/klagomålsmail/A 59826-2025 FSC-klagomål mail.docx", "A 59826-2025")</f>
        <v/>
      </c>
      <c r="X29">
        <f>HYPERLINK("https://klasma.github.io/Logging_1981/tillsyn/A 59826-2025 tillsynsbegäran.docx", "A 59826-2025")</f>
        <v/>
      </c>
      <c r="Y29">
        <f>HYPERLINK("https://klasma.github.io/Logging_1981/tillsynsmail/A 59826-2025 tillsynsbegäran mail.docx", "A 59826-2025")</f>
        <v/>
      </c>
    </row>
    <row r="30" ht="15" customHeight="1">
      <c r="A30" t="inlineStr">
        <is>
          <t>A 1500-2022</t>
        </is>
      </c>
      <c r="B30" s="1" t="n">
        <v>44573.54357638889</v>
      </c>
      <c r="C30" s="1" t="n">
        <v>46040</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53048-2025</t>
        </is>
      </c>
      <c r="B31" s="1" t="n">
        <v>45958.36018518519</v>
      </c>
      <c r="C31" s="1" t="n">
        <v>46040</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15102-2025</t>
        </is>
      </c>
      <c r="B32" s="1" t="n">
        <v>45744.34585648148</v>
      </c>
      <c r="C32" s="1" t="n">
        <v>46040</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63584-2025</t>
        </is>
      </c>
      <c r="B33" s="1" t="n">
        <v>46013.77002314815</v>
      </c>
      <c r="C33" s="1" t="n">
        <v>46040</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12444-2024</t>
        </is>
      </c>
      <c r="B34" s="1" t="n">
        <v>45379.46285879629</v>
      </c>
      <c r="C34" s="1" t="n">
        <v>46040</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13029-2023</t>
        </is>
      </c>
      <c r="B35" s="1" t="n">
        <v>45001</v>
      </c>
      <c r="C35" s="1" t="n">
        <v>46040</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24872-2025</t>
        </is>
      </c>
      <c r="B36" s="1" t="n">
        <v>45799.49038194444</v>
      </c>
      <c r="C36" s="1" t="n">
        <v>46040</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44970-2021</t>
        </is>
      </c>
      <c r="B37" s="1" t="n">
        <v>44438.74399305556</v>
      </c>
      <c r="C37" s="1" t="n">
        <v>46040</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46040</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46040</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38255-2025</t>
        </is>
      </c>
      <c r="B40" s="1" t="n">
        <v>45883.38020833334</v>
      </c>
      <c r="C40" s="1" t="n">
        <v>46040</v>
      </c>
      <c r="D40" t="inlineStr">
        <is>
          <t>VÄSTMANLANDS LÄN</t>
        </is>
      </c>
      <c r="E40" t="inlineStr">
        <is>
          <t>SALA</t>
        </is>
      </c>
      <c r="G40" t="n">
        <v>0.9</v>
      </c>
      <c r="H40" t="n">
        <v>1</v>
      </c>
      <c r="I40" t="n">
        <v>0</v>
      </c>
      <c r="J40" t="n">
        <v>0</v>
      </c>
      <c r="K40" t="n">
        <v>1</v>
      </c>
      <c r="L40" t="n">
        <v>0</v>
      </c>
      <c r="M40" t="n">
        <v>0</v>
      </c>
      <c r="N40" t="n">
        <v>0</v>
      </c>
      <c r="O40" t="n">
        <v>1</v>
      </c>
      <c r="P40" t="n">
        <v>1</v>
      </c>
      <c r="Q40" t="n">
        <v>1</v>
      </c>
      <c r="R40" s="2" t="inlineStr">
        <is>
          <t>Knärot</t>
        </is>
      </c>
      <c r="S40">
        <f>HYPERLINK("https://klasma.github.io/Logging_1981/artfynd/A 38255-2025 artfynd.xlsx", "A 38255-2025")</f>
        <v/>
      </c>
      <c r="T40">
        <f>HYPERLINK("https://klasma.github.io/Logging_1981/kartor/A 38255-2025 karta.png", "A 38255-2025")</f>
        <v/>
      </c>
      <c r="U40">
        <f>HYPERLINK("https://klasma.github.io/Logging_1981/knärot/A 38255-2025 karta knärot.png", "A 38255-2025")</f>
        <v/>
      </c>
      <c r="V40">
        <f>HYPERLINK("https://klasma.github.io/Logging_1981/klagomål/A 38255-2025 FSC-klagomål.docx", "A 38255-2025")</f>
        <v/>
      </c>
      <c r="W40">
        <f>HYPERLINK("https://klasma.github.io/Logging_1981/klagomålsmail/A 38255-2025 FSC-klagomål mail.docx", "A 38255-2025")</f>
        <v/>
      </c>
      <c r="X40">
        <f>HYPERLINK("https://klasma.github.io/Logging_1981/tillsyn/A 38255-2025 tillsynsbegäran.docx", "A 38255-2025")</f>
        <v/>
      </c>
      <c r="Y40">
        <f>HYPERLINK("https://klasma.github.io/Logging_1981/tillsynsmail/A 38255-2025 tillsynsbegäran mail.docx", "A 38255-2025")</f>
        <v/>
      </c>
    </row>
    <row r="41" ht="15" customHeight="1">
      <c r="A41" t="inlineStr">
        <is>
          <t>A 14775-2023</t>
        </is>
      </c>
      <c r="B41" s="1" t="n">
        <v>45014</v>
      </c>
      <c r="C41" s="1" t="n">
        <v>46040</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14775-2023 artfynd.xlsx", "A 14775-2023")</f>
        <v/>
      </c>
      <c r="T41">
        <f>HYPERLINK("https://klasma.github.io/Logging_1981/kartor/A 14775-2023 karta.png", "A 14775-2023")</f>
        <v/>
      </c>
      <c r="U41">
        <f>HYPERLINK("https://klasma.github.io/Logging_1981/knärot/A 14775-2023 karta knärot.png", "A 14775-2023")</f>
        <v/>
      </c>
      <c r="V41">
        <f>HYPERLINK("https://klasma.github.io/Logging_1981/klagomål/A 14775-2023 FSC-klagomål.docx", "A 14775-2023")</f>
        <v/>
      </c>
      <c r="W41">
        <f>HYPERLINK("https://klasma.github.io/Logging_1981/klagomålsmail/A 14775-2023 FSC-klagomål mail.docx", "A 14775-2023")</f>
        <v/>
      </c>
      <c r="X41">
        <f>HYPERLINK("https://klasma.github.io/Logging_1981/tillsyn/A 14775-2023 tillsynsbegäran.docx", "A 14775-2023")</f>
        <v/>
      </c>
      <c r="Y41">
        <f>HYPERLINK("https://klasma.github.io/Logging_1981/tillsynsmail/A 14775-2023 tillsynsbegäran mail.docx", "A 14775-2023")</f>
        <v/>
      </c>
    </row>
    <row r="42" ht="15" customHeight="1">
      <c r="A42" t="inlineStr">
        <is>
          <t>A 60852-2024</t>
        </is>
      </c>
      <c r="B42" s="1" t="n">
        <v>45644</v>
      </c>
      <c r="C42" s="1" t="n">
        <v>46040</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19361-2025</t>
        </is>
      </c>
      <c r="B43" s="1" t="n">
        <v>45769.63357638889</v>
      </c>
      <c r="C43" s="1" t="n">
        <v>46040</v>
      </c>
      <c r="D43" t="inlineStr">
        <is>
          <t>VÄSTMANLANDS LÄN</t>
        </is>
      </c>
      <c r="E43" t="inlineStr">
        <is>
          <t>SALA</t>
        </is>
      </c>
      <c r="F43" t="inlineStr">
        <is>
          <t>Bergvik skog öst AB</t>
        </is>
      </c>
      <c r="G43" t="n">
        <v>8.9</v>
      </c>
      <c r="H43" t="n">
        <v>0</v>
      </c>
      <c r="I43" t="n">
        <v>0</v>
      </c>
      <c r="J43" t="n">
        <v>1</v>
      </c>
      <c r="K43" t="n">
        <v>0</v>
      </c>
      <c r="L43" t="n">
        <v>0</v>
      </c>
      <c r="M43" t="n">
        <v>0</v>
      </c>
      <c r="N43" t="n">
        <v>0</v>
      </c>
      <c r="O43" t="n">
        <v>1</v>
      </c>
      <c r="P43" t="n">
        <v>0</v>
      </c>
      <c r="Q43" t="n">
        <v>1</v>
      </c>
      <c r="R43" s="2" t="inlineStr">
        <is>
          <t>Garnlav</t>
        </is>
      </c>
      <c r="S43">
        <f>HYPERLINK("https://klasma.github.io/Logging_1981/artfynd/A 19361-2025 artfynd.xlsx", "A 19361-2025")</f>
        <v/>
      </c>
      <c r="T43">
        <f>HYPERLINK("https://klasma.github.io/Logging_1981/kartor/A 19361-2025 karta.png", "A 19361-2025")</f>
        <v/>
      </c>
      <c r="V43">
        <f>HYPERLINK("https://klasma.github.io/Logging_1981/klagomål/A 19361-2025 FSC-klagomål.docx", "A 19361-2025")</f>
        <v/>
      </c>
      <c r="W43">
        <f>HYPERLINK("https://klasma.github.io/Logging_1981/klagomålsmail/A 19361-2025 FSC-klagomål mail.docx", "A 19361-2025")</f>
        <v/>
      </c>
      <c r="X43">
        <f>HYPERLINK("https://klasma.github.io/Logging_1981/tillsyn/A 19361-2025 tillsynsbegäran.docx", "A 19361-2025")</f>
        <v/>
      </c>
      <c r="Y43">
        <f>HYPERLINK("https://klasma.github.io/Logging_1981/tillsynsmail/A 19361-2025 tillsynsbegäran mail.docx", "A 19361-2025")</f>
        <v/>
      </c>
    </row>
    <row r="44" ht="15" customHeight="1">
      <c r="A44" t="inlineStr">
        <is>
          <t>A 41570-2021</t>
        </is>
      </c>
      <c r="B44" s="1" t="n">
        <v>44425</v>
      </c>
      <c r="C44" s="1" t="n">
        <v>46040</v>
      </c>
      <c r="D44" t="inlineStr">
        <is>
          <t>VÄSTMANLANDS LÄN</t>
        </is>
      </c>
      <c r="E44" t="inlineStr">
        <is>
          <t>SALA</t>
        </is>
      </c>
      <c r="G44" t="n">
        <v>1.4</v>
      </c>
      <c r="H44" t="n">
        <v>0</v>
      </c>
      <c r="I44" t="n">
        <v>0</v>
      </c>
      <c r="J44" t="n">
        <v>1</v>
      </c>
      <c r="K44" t="n">
        <v>0</v>
      </c>
      <c r="L44" t="n">
        <v>0</v>
      </c>
      <c r="M44" t="n">
        <v>0</v>
      </c>
      <c r="N44" t="n">
        <v>0</v>
      </c>
      <c r="O44" t="n">
        <v>1</v>
      </c>
      <c r="P44" t="n">
        <v>0</v>
      </c>
      <c r="Q44" t="n">
        <v>1</v>
      </c>
      <c r="R44" s="2" t="inlineStr">
        <is>
          <t>Vedtrappmossa</t>
        </is>
      </c>
      <c r="S44">
        <f>HYPERLINK("https://klasma.github.io/Logging_1981/artfynd/A 41570-2021 artfynd.xlsx", "A 41570-2021")</f>
        <v/>
      </c>
      <c r="T44">
        <f>HYPERLINK("https://klasma.github.io/Logging_1981/kartor/A 41570-2021 karta.png", "A 41570-2021")</f>
        <v/>
      </c>
      <c r="V44">
        <f>HYPERLINK("https://klasma.github.io/Logging_1981/klagomål/A 41570-2021 FSC-klagomål.docx", "A 41570-2021")</f>
        <v/>
      </c>
      <c r="W44">
        <f>HYPERLINK("https://klasma.github.io/Logging_1981/klagomålsmail/A 41570-2021 FSC-klagomål mail.docx", "A 41570-2021")</f>
        <v/>
      </c>
      <c r="X44">
        <f>HYPERLINK("https://klasma.github.io/Logging_1981/tillsyn/A 41570-2021 tillsynsbegäran.docx", "A 41570-2021")</f>
        <v/>
      </c>
      <c r="Y44">
        <f>HYPERLINK("https://klasma.github.io/Logging_1981/tillsynsmail/A 41570-2021 tillsynsbegäran mail.docx", "A 41570-2021")</f>
        <v/>
      </c>
    </row>
    <row r="45" ht="15" customHeight="1">
      <c r="A45" t="inlineStr">
        <is>
          <t>A 56704-2022</t>
        </is>
      </c>
      <c r="B45" s="1" t="n">
        <v>44893.78075231481</v>
      </c>
      <c r="C45" s="1" t="n">
        <v>46040</v>
      </c>
      <c r="D45" t="inlineStr">
        <is>
          <t>VÄSTMANLANDS LÄN</t>
        </is>
      </c>
      <c r="E45" t="inlineStr">
        <is>
          <t>SALA</t>
        </is>
      </c>
      <c r="G45" t="n">
        <v>3.2</v>
      </c>
      <c r="H45" t="n">
        <v>1</v>
      </c>
      <c r="I45" t="n">
        <v>0</v>
      </c>
      <c r="J45" t="n">
        <v>0</v>
      </c>
      <c r="K45" t="n">
        <v>1</v>
      </c>
      <c r="L45" t="n">
        <v>0</v>
      </c>
      <c r="M45" t="n">
        <v>0</v>
      </c>
      <c r="N45" t="n">
        <v>0</v>
      </c>
      <c r="O45" t="n">
        <v>1</v>
      </c>
      <c r="P45" t="n">
        <v>1</v>
      </c>
      <c r="Q45" t="n">
        <v>1</v>
      </c>
      <c r="R45" s="2" t="inlineStr">
        <is>
          <t>Knärot</t>
        </is>
      </c>
      <c r="S45">
        <f>HYPERLINK("https://klasma.github.io/Logging_1981/artfynd/A 56704-2022 artfynd.xlsx", "A 56704-2022")</f>
        <v/>
      </c>
      <c r="T45">
        <f>HYPERLINK("https://klasma.github.io/Logging_1981/kartor/A 56704-2022 karta.png", "A 56704-2022")</f>
        <v/>
      </c>
      <c r="U45">
        <f>HYPERLINK("https://klasma.github.io/Logging_1981/knärot/A 56704-2022 karta knärot.png", "A 56704-2022")</f>
        <v/>
      </c>
      <c r="V45">
        <f>HYPERLINK("https://klasma.github.io/Logging_1981/klagomål/A 56704-2022 FSC-klagomål.docx", "A 56704-2022")</f>
        <v/>
      </c>
      <c r="W45">
        <f>HYPERLINK("https://klasma.github.io/Logging_1981/klagomålsmail/A 56704-2022 FSC-klagomål mail.docx", "A 56704-2022")</f>
        <v/>
      </c>
      <c r="X45">
        <f>HYPERLINK("https://klasma.github.io/Logging_1981/tillsyn/A 56704-2022 tillsynsbegäran.docx", "A 56704-2022")</f>
        <v/>
      </c>
      <c r="Y45">
        <f>HYPERLINK("https://klasma.github.io/Logging_1981/tillsynsmail/A 56704-2022 tillsynsbegäran mail.docx", "A 56704-2022")</f>
        <v/>
      </c>
    </row>
    <row r="46" ht="15" customHeight="1">
      <c r="A46" t="inlineStr">
        <is>
          <t>A 37166-2024</t>
        </is>
      </c>
      <c r="B46" s="1" t="n">
        <v>45539</v>
      </c>
      <c r="C46" s="1" t="n">
        <v>46040</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48705-2025</t>
        </is>
      </c>
      <c r="B47" s="1" t="n">
        <v>45936.62290509259</v>
      </c>
      <c r="C47" s="1" t="n">
        <v>46040</v>
      </c>
      <c r="D47" t="inlineStr">
        <is>
          <t>VÄSTMANLANDS LÄN</t>
        </is>
      </c>
      <c r="E47" t="inlineStr">
        <is>
          <t>SALA</t>
        </is>
      </c>
      <c r="G47" t="n">
        <v>4.4</v>
      </c>
      <c r="H47" t="n">
        <v>1</v>
      </c>
      <c r="I47" t="n">
        <v>1</v>
      </c>
      <c r="J47" t="n">
        <v>0</v>
      </c>
      <c r="K47" t="n">
        <v>0</v>
      </c>
      <c r="L47" t="n">
        <v>0</v>
      </c>
      <c r="M47" t="n">
        <v>0</v>
      </c>
      <c r="N47" t="n">
        <v>0</v>
      </c>
      <c r="O47" t="n">
        <v>0</v>
      </c>
      <c r="P47" t="n">
        <v>0</v>
      </c>
      <c r="Q47" t="n">
        <v>1</v>
      </c>
      <c r="R47" s="2" t="inlineStr">
        <is>
          <t>Plattlummer</t>
        </is>
      </c>
      <c r="S47">
        <f>HYPERLINK("https://klasma.github.io/Logging_1981/artfynd/A 48705-2025 artfynd.xlsx", "A 48705-2025")</f>
        <v/>
      </c>
      <c r="T47">
        <f>HYPERLINK("https://klasma.github.io/Logging_1981/kartor/A 48705-2025 karta.png", "A 48705-2025")</f>
        <v/>
      </c>
      <c r="V47">
        <f>HYPERLINK("https://klasma.github.io/Logging_1981/klagomål/A 48705-2025 FSC-klagomål.docx", "A 48705-2025")</f>
        <v/>
      </c>
      <c r="W47">
        <f>HYPERLINK("https://klasma.github.io/Logging_1981/klagomålsmail/A 48705-2025 FSC-klagomål mail.docx", "A 48705-2025")</f>
        <v/>
      </c>
      <c r="X47">
        <f>HYPERLINK("https://klasma.github.io/Logging_1981/tillsyn/A 48705-2025 tillsynsbegäran.docx", "A 48705-2025")</f>
        <v/>
      </c>
      <c r="Y47">
        <f>HYPERLINK("https://klasma.github.io/Logging_1981/tillsynsmail/A 48705-2025 tillsynsbegäran mail.docx", "A 48705-2025")</f>
        <v/>
      </c>
    </row>
    <row r="48" ht="15" customHeight="1">
      <c r="A48" t="inlineStr">
        <is>
          <t>A 50268-2025</t>
        </is>
      </c>
      <c r="B48" s="1" t="n">
        <v>45944.35162037037</v>
      </c>
      <c r="C48" s="1" t="n">
        <v>46040</v>
      </c>
      <c r="D48" t="inlineStr">
        <is>
          <t>VÄSTMANLANDS LÄN</t>
        </is>
      </c>
      <c r="E48" t="inlineStr">
        <is>
          <t>SALA</t>
        </is>
      </c>
      <c r="G48" t="n">
        <v>0.7</v>
      </c>
      <c r="H48" t="n">
        <v>1</v>
      </c>
      <c r="I48" t="n">
        <v>0</v>
      </c>
      <c r="J48" t="n">
        <v>0</v>
      </c>
      <c r="K48" t="n">
        <v>0</v>
      </c>
      <c r="L48" t="n">
        <v>0</v>
      </c>
      <c r="M48" t="n">
        <v>0</v>
      </c>
      <c r="N48" t="n">
        <v>0</v>
      </c>
      <c r="O48" t="n">
        <v>0</v>
      </c>
      <c r="P48" t="n">
        <v>0</v>
      </c>
      <c r="Q48" t="n">
        <v>1</v>
      </c>
      <c r="R48" s="2" t="inlineStr">
        <is>
          <t>Fläcknycklar</t>
        </is>
      </c>
      <c r="S48">
        <f>HYPERLINK("https://klasma.github.io/Logging_1981/artfynd/A 50268-2025 artfynd.xlsx", "A 50268-2025")</f>
        <v/>
      </c>
      <c r="T48">
        <f>HYPERLINK("https://klasma.github.io/Logging_1981/kartor/A 50268-2025 karta.png", "A 50268-2025")</f>
        <v/>
      </c>
      <c r="V48">
        <f>HYPERLINK("https://klasma.github.io/Logging_1981/klagomål/A 50268-2025 FSC-klagomål.docx", "A 50268-2025")</f>
        <v/>
      </c>
      <c r="W48">
        <f>HYPERLINK("https://klasma.github.io/Logging_1981/klagomålsmail/A 50268-2025 FSC-klagomål mail.docx", "A 50268-2025")</f>
        <v/>
      </c>
      <c r="X48">
        <f>HYPERLINK("https://klasma.github.io/Logging_1981/tillsyn/A 50268-2025 tillsynsbegäran.docx", "A 50268-2025")</f>
        <v/>
      </c>
      <c r="Y48">
        <f>HYPERLINK("https://klasma.github.io/Logging_1981/tillsynsmail/A 50268-2025 tillsynsbegäran mail.docx", "A 50268-2025")</f>
        <v/>
      </c>
    </row>
    <row r="49" ht="15" customHeight="1">
      <c r="A49" t="inlineStr">
        <is>
          <t>A 53052-2025</t>
        </is>
      </c>
      <c r="B49" s="1" t="n">
        <v>45958.36266203703</v>
      </c>
      <c r="C49" s="1" t="n">
        <v>46040</v>
      </c>
      <c r="D49" t="inlineStr">
        <is>
          <t>VÄSTMANLANDS LÄN</t>
        </is>
      </c>
      <c r="E49" t="inlineStr">
        <is>
          <t>SALA</t>
        </is>
      </c>
      <c r="F49" t="inlineStr">
        <is>
          <t>Sveaskog</t>
        </is>
      </c>
      <c r="G49" t="n">
        <v>1.1</v>
      </c>
      <c r="H49" t="n">
        <v>0</v>
      </c>
      <c r="I49" t="n">
        <v>0</v>
      </c>
      <c r="J49" t="n">
        <v>1</v>
      </c>
      <c r="K49" t="n">
        <v>0</v>
      </c>
      <c r="L49" t="n">
        <v>0</v>
      </c>
      <c r="M49" t="n">
        <v>0</v>
      </c>
      <c r="N49" t="n">
        <v>0</v>
      </c>
      <c r="O49" t="n">
        <v>1</v>
      </c>
      <c r="P49" t="n">
        <v>0</v>
      </c>
      <c r="Q49" t="n">
        <v>1</v>
      </c>
      <c r="R49" s="2" t="inlineStr">
        <is>
          <t>Motaggsvamp</t>
        </is>
      </c>
      <c r="S49">
        <f>HYPERLINK("https://klasma.github.io/Logging_1981/artfynd/A 53052-2025 artfynd.xlsx", "A 53052-2025")</f>
        <v/>
      </c>
      <c r="T49">
        <f>HYPERLINK("https://klasma.github.io/Logging_1981/kartor/A 53052-2025 karta.png", "A 53052-2025")</f>
        <v/>
      </c>
      <c r="V49">
        <f>HYPERLINK("https://klasma.github.io/Logging_1981/klagomål/A 53052-2025 FSC-klagomål.docx", "A 53052-2025")</f>
        <v/>
      </c>
      <c r="W49">
        <f>HYPERLINK("https://klasma.github.io/Logging_1981/klagomålsmail/A 53052-2025 FSC-klagomål mail.docx", "A 53052-2025")</f>
        <v/>
      </c>
      <c r="X49">
        <f>HYPERLINK("https://klasma.github.io/Logging_1981/tillsyn/A 53052-2025 tillsynsbegäran.docx", "A 53052-2025")</f>
        <v/>
      </c>
      <c r="Y49">
        <f>HYPERLINK("https://klasma.github.io/Logging_1981/tillsynsmail/A 53052-2025 tillsynsbegäran mail.docx", "A 53052-2025")</f>
        <v/>
      </c>
    </row>
    <row r="50" ht="15" customHeight="1">
      <c r="A50" t="inlineStr">
        <is>
          <t>A 29985-2022</t>
        </is>
      </c>
      <c r="B50" s="1" t="n">
        <v>44756</v>
      </c>
      <c r="C50" s="1" t="n">
        <v>46040</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43175-2023</t>
        </is>
      </c>
      <c r="B51" s="1" t="n">
        <v>45183</v>
      </c>
      <c r="C51" s="1" t="n">
        <v>46040</v>
      </c>
      <c r="D51" t="inlineStr">
        <is>
          <t>VÄSTMANLANDS LÄN</t>
        </is>
      </c>
      <c r="E51" t="inlineStr">
        <is>
          <t>SALA</t>
        </is>
      </c>
      <c r="G51" t="n">
        <v>5.6</v>
      </c>
      <c r="H51" t="n">
        <v>0</v>
      </c>
      <c r="I51" t="n">
        <v>1</v>
      </c>
      <c r="J51" t="n">
        <v>0</v>
      </c>
      <c r="K51" t="n">
        <v>0</v>
      </c>
      <c r="L51" t="n">
        <v>0</v>
      </c>
      <c r="M51" t="n">
        <v>0</v>
      </c>
      <c r="N51" t="n">
        <v>0</v>
      </c>
      <c r="O51" t="n">
        <v>0</v>
      </c>
      <c r="P51" t="n">
        <v>0</v>
      </c>
      <c r="Q51" t="n">
        <v>1</v>
      </c>
      <c r="R51" s="2" t="inlineStr">
        <is>
          <t>Grönpyrola</t>
        </is>
      </c>
      <c r="S51">
        <f>HYPERLINK("https://klasma.github.io/Logging_1981/artfynd/A 43175-2023 artfynd.xlsx", "A 43175-2023")</f>
        <v/>
      </c>
      <c r="T51">
        <f>HYPERLINK("https://klasma.github.io/Logging_1981/kartor/A 43175-2023 karta.png", "A 43175-2023")</f>
        <v/>
      </c>
      <c r="V51">
        <f>HYPERLINK("https://klasma.github.io/Logging_1981/klagomål/A 43175-2023 FSC-klagomål.docx", "A 43175-2023")</f>
        <v/>
      </c>
      <c r="W51">
        <f>HYPERLINK("https://klasma.github.io/Logging_1981/klagomålsmail/A 43175-2023 FSC-klagomål mail.docx", "A 43175-2023")</f>
        <v/>
      </c>
      <c r="X51">
        <f>HYPERLINK("https://klasma.github.io/Logging_1981/tillsyn/A 43175-2023 tillsynsbegäran.docx", "A 43175-2023")</f>
        <v/>
      </c>
      <c r="Y51">
        <f>HYPERLINK("https://klasma.github.io/Logging_1981/tillsynsmail/A 43175-2023 tillsynsbegäran mail.docx", "A 43175-2023")</f>
        <v/>
      </c>
    </row>
    <row r="52" ht="15" customHeight="1">
      <c r="A52" t="inlineStr">
        <is>
          <t>A 7919-2022</t>
        </is>
      </c>
      <c r="B52" s="1" t="n">
        <v>44608</v>
      </c>
      <c r="C52" s="1" t="n">
        <v>46040</v>
      </c>
      <c r="D52" t="inlineStr">
        <is>
          <t>VÄSTMANLANDS LÄN</t>
        </is>
      </c>
      <c r="E52" t="inlineStr">
        <is>
          <t>SALA</t>
        </is>
      </c>
      <c r="F52" t="inlineStr">
        <is>
          <t>Bergvik skog öst AB</t>
        </is>
      </c>
      <c r="G52" t="n">
        <v>4.5</v>
      </c>
      <c r="H52" t="n">
        <v>1</v>
      </c>
      <c r="I52" t="n">
        <v>0</v>
      </c>
      <c r="J52" t="n">
        <v>1</v>
      </c>
      <c r="K52" t="n">
        <v>0</v>
      </c>
      <c r="L52" t="n">
        <v>0</v>
      </c>
      <c r="M52" t="n">
        <v>0</v>
      </c>
      <c r="N52" t="n">
        <v>0</v>
      </c>
      <c r="O52" t="n">
        <v>1</v>
      </c>
      <c r="P52" t="n">
        <v>0</v>
      </c>
      <c r="Q52" t="n">
        <v>1</v>
      </c>
      <c r="R52" s="2" t="inlineStr">
        <is>
          <t>Ävjepilört</t>
        </is>
      </c>
      <c r="S52">
        <f>HYPERLINK("https://klasma.github.io/Logging_1981/artfynd/A 7919-2022 artfynd.xlsx", "A 7919-2022")</f>
        <v/>
      </c>
      <c r="T52">
        <f>HYPERLINK("https://klasma.github.io/Logging_1981/kartor/A 7919-2022 karta.png", "A 7919-2022")</f>
        <v/>
      </c>
      <c r="V52">
        <f>HYPERLINK("https://klasma.github.io/Logging_1981/klagomål/A 7919-2022 FSC-klagomål.docx", "A 7919-2022")</f>
        <v/>
      </c>
      <c r="W52">
        <f>HYPERLINK("https://klasma.github.io/Logging_1981/klagomålsmail/A 7919-2022 FSC-klagomål mail.docx", "A 7919-2022")</f>
        <v/>
      </c>
      <c r="X52">
        <f>HYPERLINK("https://klasma.github.io/Logging_1981/tillsyn/A 7919-2022 tillsynsbegäran.docx", "A 7919-2022")</f>
        <v/>
      </c>
      <c r="Y52">
        <f>HYPERLINK("https://klasma.github.io/Logging_1981/tillsynsmail/A 7919-2022 tillsynsbegäran mail.docx", "A 7919-2022")</f>
        <v/>
      </c>
    </row>
    <row r="53" ht="15" customHeight="1">
      <c r="A53" t="inlineStr">
        <is>
          <t>A 55995-2025</t>
        </is>
      </c>
      <c r="B53" s="1" t="n">
        <v>45973.56733796297</v>
      </c>
      <c r="C53" s="1" t="n">
        <v>46040</v>
      </c>
      <c r="D53" t="inlineStr">
        <is>
          <t>VÄSTMANLANDS LÄN</t>
        </is>
      </c>
      <c r="E53" t="inlineStr">
        <is>
          <t>SALA</t>
        </is>
      </c>
      <c r="F53" t="inlineStr">
        <is>
          <t>Sveaskog</t>
        </is>
      </c>
      <c r="G53" t="n">
        <v>4.5</v>
      </c>
      <c r="H53" t="n">
        <v>1</v>
      </c>
      <c r="I53" t="n">
        <v>0</v>
      </c>
      <c r="J53" t="n">
        <v>0</v>
      </c>
      <c r="K53" t="n">
        <v>0</v>
      </c>
      <c r="L53" t="n">
        <v>0</v>
      </c>
      <c r="M53" t="n">
        <v>0</v>
      </c>
      <c r="N53" t="n">
        <v>0</v>
      </c>
      <c r="O53" t="n">
        <v>0</v>
      </c>
      <c r="P53" t="n">
        <v>0</v>
      </c>
      <c r="Q53" t="n">
        <v>1</v>
      </c>
      <c r="R53" s="2" t="inlineStr">
        <is>
          <t>Fläcknycklar</t>
        </is>
      </c>
      <c r="S53">
        <f>HYPERLINK("https://klasma.github.io/Logging_1981/artfynd/A 55995-2025 artfynd.xlsx", "A 55995-2025")</f>
        <v/>
      </c>
      <c r="T53">
        <f>HYPERLINK("https://klasma.github.io/Logging_1981/kartor/A 55995-2025 karta.png", "A 55995-2025")</f>
        <v/>
      </c>
      <c r="V53">
        <f>HYPERLINK("https://klasma.github.io/Logging_1981/klagomål/A 55995-2025 FSC-klagomål.docx", "A 55995-2025")</f>
        <v/>
      </c>
      <c r="W53">
        <f>HYPERLINK("https://klasma.github.io/Logging_1981/klagomålsmail/A 55995-2025 FSC-klagomål mail.docx", "A 55995-2025")</f>
        <v/>
      </c>
      <c r="X53">
        <f>HYPERLINK("https://klasma.github.io/Logging_1981/tillsyn/A 55995-2025 tillsynsbegäran.docx", "A 55995-2025")</f>
        <v/>
      </c>
      <c r="Y53">
        <f>HYPERLINK("https://klasma.github.io/Logging_1981/tillsynsmail/A 55995-2025 tillsynsbegäran mail.docx", "A 55995-2025")</f>
        <v/>
      </c>
    </row>
    <row r="54" ht="15" customHeight="1">
      <c r="A54" t="inlineStr">
        <is>
          <t>A 41270-2024</t>
        </is>
      </c>
      <c r="B54" s="1" t="n">
        <v>45559</v>
      </c>
      <c r="C54" s="1" t="n">
        <v>46040</v>
      </c>
      <c r="D54" t="inlineStr">
        <is>
          <t>VÄSTMANLANDS LÄN</t>
        </is>
      </c>
      <c r="E54" t="inlineStr">
        <is>
          <t>SALA</t>
        </is>
      </c>
      <c r="G54" t="n">
        <v>15.2</v>
      </c>
      <c r="H54" t="n">
        <v>1</v>
      </c>
      <c r="I54" t="n">
        <v>0</v>
      </c>
      <c r="J54" t="n">
        <v>1</v>
      </c>
      <c r="K54" t="n">
        <v>0</v>
      </c>
      <c r="L54" t="n">
        <v>0</v>
      </c>
      <c r="M54" t="n">
        <v>0</v>
      </c>
      <c r="N54" t="n">
        <v>0</v>
      </c>
      <c r="O54" t="n">
        <v>1</v>
      </c>
      <c r="P54" t="n">
        <v>0</v>
      </c>
      <c r="Q54" t="n">
        <v>1</v>
      </c>
      <c r="R54" s="2" t="inlineStr">
        <is>
          <t>Havsörn</t>
        </is>
      </c>
      <c r="S54">
        <f>HYPERLINK("https://klasma.github.io/Logging_1981/artfynd/A 41270-2024 artfynd.xlsx", "A 41270-2024")</f>
        <v/>
      </c>
      <c r="T54">
        <f>HYPERLINK("https://klasma.github.io/Logging_1981/kartor/A 41270-2024 karta.png", "A 41270-2024")</f>
        <v/>
      </c>
      <c r="V54">
        <f>HYPERLINK("https://klasma.github.io/Logging_1981/klagomål/A 41270-2024 FSC-klagomål.docx", "A 41270-2024")</f>
        <v/>
      </c>
      <c r="W54">
        <f>HYPERLINK("https://klasma.github.io/Logging_1981/klagomålsmail/A 41270-2024 FSC-klagomål mail.docx", "A 41270-2024")</f>
        <v/>
      </c>
      <c r="X54">
        <f>HYPERLINK("https://klasma.github.io/Logging_1981/tillsyn/A 41270-2024 tillsynsbegäran.docx", "A 41270-2024")</f>
        <v/>
      </c>
      <c r="Y54">
        <f>HYPERLINK("https://klasma.github.io/Logging_1981/tillsynsmail/A 41270-2024 tillsynsbegäran mail.docx", "A 41270-2024")</f>
        <v/>
      </c>
      <c r="Z54">
        <f>HYPERLINK("https://klasma.github.io/Logging_1981/fåglar/A 41270-2024 prioriterade fågelarter.docx", "A 41270-2024")</f>
        <v/>
      </c>
    </row>
    <row r="55" ht="15" customHeight="1">
      <c r="A55" t="inlineStr">
        <is>
          <t>A 29727-2023</t>
        </is>
      </c>
      <c r="B55" s="1" t="n">
        <v>45107</v>
      </c>
      <c r="C55" s="1" t="n">
        <v>46040</v>
      </c>
      <c r="D55" t="inlineStr">
        <is>
          <t>VÄSTMANLANDS LÄN</t>
        </is>
      </c>
      <c r="E55" t="inlineStr">
        <is>
          <t>SALA</t>
        </is>
      </c>
      <c r="G55" t="n">
        <v>1.9</v>
      </c>
      <c r="H55" t="n">
        <v>0</v>
      </c>
      <c r="I55" t="n">
        <v>0</v>
      </c>
      <c r="J55" t="n">
        <v>1</v>
      </c>
      <c r="K55" t="n">
        <v>0</v>
      </c>
      <c r="L55" t="n">
        <v>0</v>
      </c>
      <c r="M55" t="n">
        <v>0</v>
      </c>
      <c r="N55" t="n">
        <v>0</v>
      </c>
      <c r="O55" t="n">
        <v>1</v>
      </c>
      <c r="P55" t="n">
        <v>0</v>
      </c>
      <c r="Q55" t="n">
        <v>1</v>
      </c>
      <c r="R55" s="2" t="inlineStr">
        <is>
          <t>Vedtrappmossa</t>
        </is>
      </c>
      <c r="S55">
        <f>HYPERLINK("https://klasma.github.io/Logging_1981/artfynd/A 29727-2023 artfynd.xlsx", "A 29727-2023")</f>
        <v/>
      </c>
      <c r="T55">
        <f>HYPERLINK("https://klasma.github.io/Logging_1981/kartor/A 29727-2023 karta.png", "A 29727-2023")</f>
        <v/>
      </c>
      <c r="V55">
        <f>HYPERLINK("https://klasma.github.io/Logging_1981/klagomål/A 29727-2023 FSC-klagomål.docx", "A 29727-2023")</f>
        <v/>
      </c>
      <c r="W55">
        <f>HYPERLINK("https://klasma.github.io/Logging_1981/klagomålsmail/A 29727-2023 FSC-klagomål mail.docx", "A 29727-2023")</f>
        <v/>
      </c>
      <c r="X55">
        <f>HYPERLINK("https://klasma.github.io/Logging_1981/tillsyn/A 29727-2023 tillsynsbegäran.docx", "A 29727-2023")</f>
        <v/>
      </c>
      <c r="Y55">
        <f>HYPERLINK("https://klasma.github.io/Logging_1981/tillsynsmail/A 29727-2023 tillsynsbegäran mail.docx", "A 29727-2023")</f>
        <v/>
      </c>
    </row>
    <row r="56" ht="15" customHeight="1">
      <c r="A56" t="inlineStr">
        <is>
          <t>A 43068-2024</t>
        </is>
      </c>
      <c r="B56" s="1" t="n">
        <v>45567</v>
      </c>
      <c r="C56" s="1" t="n">
        <v>46040</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7731-2023</t>
        </is>
      </c>
      <c r="B57" s="1" t="n">
        <v>44973</v>
      </c>
      <c r="C57" s="1" t="n">
        <v>46040</v>
      </c>
      <c r="D57" t="inlineStr">
        <is>
          <t>VÄSTMANLANDS LÄN</t>
        </is>
      </c>
      <c r="E57" t="inlineStr">
        <is>
          <t>SALA</t>
        </is>
      </c>
      <c r="F57" t="inlineStr">
        <is>
          <t>Bergvik skog öst AB</t>
        </is>
      </c>
      <c r="G57" t="n">
        <v>1.7</v>
      </c>
      <c r="H57" t="n">
        <v>1</v>
      </c>
      <c r="I57" t="n">
        <v>0</v>
      </c>
      <c r="J57" t="n">
        <v>1</v>
      </c>
      <c r="K57" t="n">
        <v>0</v>
      </c>
      <c r="L57" t="n">
        <v>0</v>
      </c>
      <c r="M57" t="n">
        <v>0</v>
      </c>
      <c r="N57" t="n">
        <v>0</v>
      </c>
      <c r="O57" t="n">
        <v>1</v>
      </c>
      <c r="P57" t="n">
        <v>0</v>
      </c>
      <c r="Q57" t="n">
        <v>1</v>
      </c>
      <c r="R57" s="2" t="inlineStr">
        <is>
          <t>Ävjepilört</t>
        </is>
      </c>
      <c r="S57">
        <f>HYPERLINK("https://klasma.github.io/Logging_1981/artfynd/A 7731-2023 artfynd.xlsx", "A 7731-2023")</f>
        <v/>
      </c>
      <c r="T57">
        <f>HYPERLINK("https://klasma.github.io/Logging_1981/kartor/A 7731-2023 karta.png", "A 7731-2023")</f>
        <v/>
      </c>
      <c r="V57">
        <f>HYPERLINK("https://klasma.github.io/Logging_1981/klagomål/A 7731-2023 FSC-klagomål.docx", "A 7731-2023")</f>
        <v/>
      </c>
      <c r="W57">
        <f>HYPERLINK("https://klasma.github.io/Logging_1981/klagomålsmail/A 7731-2023 FSC-klagomål mail.docx", "A 7731-2023")</f>
        <v/>
      </c>
      <c r="X57">
        <f>HYPERLINK("https://klasma.github.io/Logging_1981/tillsyn/A 7731-2023 tillsynsbegäran.docx", "A 7731-2023")</f>
        <v/>
      </c>
      <c r="Y57">
        <f>HYPERLINK("https://klasma.github.io/Logging_1981/tillsynsmail/A 7731-2023 tillsynsbegäran mail.docx", "A 7731-2023")</f>
        <v/>
      </c>
    </row>
    <row r="58" ht="15" customHeight="1">
      <c r="A58" t="inlineStr">
        <is>
          <t>A 12509-2023</t>
        </is>
      </c>
      <c r="B58" s="1" t="n">
        <v>44999.95988425926</v>
      </c>
      <c r="C58" s="1" t="n">
        <v>46040</v>
      </c>
      <c r="D58" t="inlineStr">
        <is>
          <t>VÄSTMANLANDS LÄN</t>
        </is>
      </c>
      <c r="E58" t="inlineStr">
        <is>
          <t>SALA</t>
        </is>
      </c>
      <c r="G58" t="n">
        <v>13.9</v>
      </c>
      <c r="H58" t="n">
        <v>1</v>
      </c>
      <c r="I58" t="n">
        <v>0</v>
      </c>
      <c r="J58" t="n">
        <v>0</v>
      </c>
      <c r="K58" t="n">
        <v>0</v>
      </c>
      <c r="L58" t="n">
        <v>0</v>
      </c>
      <c r="M58" t="n">
        <v>0</v>
      </c>
      <c r="N58" t="n">
        <v>0</v>
      </c>
      <c r="O58" t="n">
        <v>0</v>
      </c>
      <c r="P58" t="n">
        <v>0</v>
      </c>
      <c r="Q58" t="n">
        <v>1</v>
      </c>
      <c r="R58" s="2" t="inlineStr">
        <is>
          <t>Grönvit nattviol</t>
        </is>
      </c>
      <c r="S58">
        <f>HYPERLINK("https://klasma.github.io/Logging_1981/artfynd/A 12509-2023 artfynd.xlsx", "A 12509-2023")</f>
        <v/>
      </c>
      <c r="T58">
        <f>HYPERLINK("https://klasma.github.io/Logging_1981/kartor/A 12509-2023 karta.png", "A 12509-2023")</f>
        <v/>
      </c>
      <c r="V58">
        <f>HYPERLINK("https://klasma.github.io/Logging_1981/klagomål/A 12509-2023 FSC-klagomål.docx", "A 12509-2023")</f>
        <v/>
      </c>
      <c r="W58">
        <f>HYPERLINK("https://klasma.github.io/Logging_1981/klagomålsmail/A 12509-2023 FSC-klagomål mail.docx", "A 12509-2023")</f>
        <v/>
      </c>
      <c r="X58">
        <f>HYPERLINK("https://klasma.github.io/Logging_1981/tillsyn/A 12509-2023 tillsynsbegäran.docx", "A 12509-2023")</f>
        <v/>
      </c>
      <c r="Y58">
        <f>HYPERLINK("https://klasma.github.io/Logging_1981/tillsynsmail/A 12509-2023 tillsynsbegäran mail.docx", "A 12509-2023")</f>
        <v/>
      </c>
    </row>
    <row r="59" ht="15" customHeight="1">
      <c r="A59" t="inlineStr">
        <is>
          <t>A 55550-2023</t>
        </is>
      </c>
      <c r="B59" s="1" t="n">
        <v>45232</v>
      </c>
      <c r="C59" s="1" t="n">
        <v>46040</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21738-2025</t>
        </is>
      </c>
      <c r="B60" s="1" t="n">
        <v>45783.59173611111</v>
      </c>
      <c r="C60" s="1" t="n">
        <v>46040</v>
      </c>
      <c r="D60" t="inlineStr">
        <is>
          <t>VÄSTMANLANDS LÄN</t>
        </is>
      </c>
      <c r="E60" t="inlineStr">
        <is>
          <t>SALA</t>
        </is>
      </c>
      <c r="G60" t="n">
        <v>2.1</v>
      </c>
      <c r="H60" t="n">
        <v>0</v>
      </c>
      <c r="I60" t="n">
        <v>0</v>
      </c>
      <c r="J60" t="n">
        <v>1</v>
      </c>
      <c r="K60" t="n">
        <v>0</v>
      </c>
      <c r="L60" t="n">
        <v>0</v>
      </c>
      <c r="M60" t="n">
        <v>0</v>
      </c>
      <c r="N60" t="n">
        <v>0</v>
      </c>
      <c r="O60" t="n">
        <v>1</v>
      </c>
      <c r="P60" t="n">
        <v>0</v>
      </c>
      <c r="Q60" t="n">
        <v>1</v>
      </c>
      <c r="R60" s="2" t="inlineStr">
        <is>
          <t>Motaggsvamp</t>
        </is>
      </c>
      <c r="S60">
        <f>HYPERLINK("https://klasma.github.io/Logging_1981/artfynd/A 21738-2025 artfynd.xlsx", "A 21738-2025")</f>
        <v/>
      </c>
      <c r="T60">
        <f>HYPERLINK("https://klasma.github.io/Logging_1981/kartor/A 21738-2025 karta.png", "A 21738-2025")</f>
        <v/>
      </c>
      <c r="V60">
        <f>HYPERLINK("https://klasma.github.io/Logging_1981/klagomål/A 21738-2025 FSC-klagomål.docx", "A 21738-2025")</f>
        <v/>
      </c>
      <c r="W60">
        <f>HYPERLINK("https://klasma.github.io/Logging_1981/klagomålsmail/A 21738-2025 FSC-klagomål mail.docx", "A 21738-2025")</f>
        <v/>
      </c>
      <c r="X60">
        <f>HYPERLINK("https://klasma.github.io/Logging_1981/tillsyn/A 21738-2025 tillsynsbegäran.docx", "A 21738-2025")</f>
        <v/>
      </c>
      <c r="Y60">
        <f>HYPERLINK("https://klasma.github.io/Logging_1981/tillsynsmail/A 21738-2025 tillsynsbegäran mail.docx", "A 21738-2025")</f>
        <v/>
      </c>
    </row>
    <row r="61" ht="15" customHeight="1">
      <c r="A61" t="inlineStr">
        <is>
          <t>A 22950-2025</t>
        </is>
      </c>
      <c r="B61" s="1" t="n">
        <v>45790.50728009259</v>
      </c>
      <c r="C61" s="1" t="n">
        <v>46040</v>
      </c>
      <c r="D61" t="inlineStr">
        <is>
          <t>VÄSTMANLANDS LÄN</t>
        </is>
      </c>
      <c r="E61" t="inlineStr">
        <is>
          <t>SALA</t>
        </is>
      </c>
      <c r="G61" t="n">
        <v>6.2</v>
      </c>
      <c r="H61" t="n">
        <v>1</v>
      </c>
      <c r="I61" t="n">
        <v>0</v>
      </c>
      <c r="J61" t="n">
        <v>1</v>
      </c>
      <c r="K61" t="n">
        <v>0</v>
      </c>
      <c r="L61" t="n">
        <v>0</v>
      </c>
      <c r="M61" t="n">
        <v>0</v>
      </c>
      <c r="N61" t="n">
        <v>0</v>
      </c>
      <c r="O61" t="n">
        <v>1</v>
      </c>
      <c r="P61" t="n">
        <v>0</v>
      </c>
      <c r="Q61" t="n">
        <v>1</v>
      </c>
      <c r="R61" s="2" t="inlineStr">
        <is>
          <t>Svartvit flugsnappare</t>
        </is>
      </c>
      <c r="S61">
        <f>HYPERLINK("https://klasma.github.io/Logging_1981/artfynd/A 22950-2025 artfynd.xlsx", "A 22950-2025")</f>
        <v/>
      </c>
      <c r="T61">
        <f>HYPERLINK("https://klasma.github.io/Logging_1981/kartor/A 22950-2025 karta.png", "A 22950-2025")</f>
        <v/>
      </c>
      <c r="V61">
        <f>HYPERLINK("https://klasma.github.io/Logging_1981/klagomål/A 22950-2025 FSC-klagomål.docx", "A 22950-2025")</f>
        <v/>
      </c>
      <c r="W61">
        <f>HYPERLINK("https://klasma.github.io/Logging_1981/klagomålsmail/A 22950-2025 FSC-klagomål mail.docx", "A 22950-2025")</f>
        <v/>
      </c>
      <c r="X61">
        <f>HYPERLINK("https://klasma.github.io/Logging_1981/tillsyn/A 22950-2025 tillsynsbegäran.docx", "A 22950-2025")</f>
        <v/>
      </c>
      <c r="Y61">
        <f>HYPERLINK("https://klasma.github.io/Logging_1981/tillsynsmail/A 22950-2025 tillsynsbegäran mail.docx", "A 22950-2025")</f>
        <v/>
      </c>
      <c r="Z61">
        <f>HYPERLINK("https://klasma.github.io/Logging_1981/fåglar/A 22950-2025 prioriterade fågelarter.docx", "A 22950-2025")</f>
        <v/>
      </c>
    </row>
    <row r="62" ht="15" customHeight="1">
      <c r="A62" t="inlineStr">
        <is>
          <t>A 32594-2025</t>
        </is>
      </c>
      <c r="B62" s="1" t="n">
        <v>45838</v>
      </c>
      <c r="C62" s="1" t="n">
        <v>46040</v>
      </c>
      <c r="D62" t="inlineStr">
        <is>
          <t>VÄSTMANLANDS LÄN</t>
        </is>
      </c>
      <c r="E62" t="inlineStr">
        <is>
          <t>SALA</t>
        </is>
      </c>
      <c r="F62" t="inlineStr">
        <is>
          <t>Bergvik skog öst AB</t>
        </is>
      </c>
      <c r="G62" t="n">
        <v>0.9</v>
      </c>
      <c r="H62" t="n">
        <v>1</v>
      </c>
      <c r="I62" t="n">
        <v>0</v>
      </c>
      <c r="J62" t="n">
        <v>0</v>
      </c>
      <c r="K62" t="n">
        <v>0</v>
      </c>
      <c r="L62" t="n">
        <v>0</v>
      </c>
      <c r="M62" t="n">
        <v>0</v>
      </c>
      <c r="N62" t="n">
        <v>0</v>
      </c>
      <c r="O62" t="n">
        <v>0</v>
      </c>
      <c r="P62" t="n">
        <v>0</v>
      </c>
      <c r="Q62" t="n">
        <v>1</v>
      </c>
      <c r="R62" s="2" t="inlineStr">
        <is>
          <t>Blåsippa</t>
        </is>
      </c>
      <c r="S62">
        <f>HYPERLINK("https://klasma.github.io/Logging_1981/artfynd/A 32594-2025 artfynd.xlsx", "A 32594-2025")</f>
        <v/>
      </c>
      <c r="T62">
        <f>HYPERLINK("https://klasma.github.io/Logging_1981/kartor/A 32594-2025 karta.png", "A 32594-2025")</f>
        <v/>
      </c>
      <c r="V62">
        <f>HYPERLINK("https://klasma.github.io/Logging_1981/klagomål/A 32594-2025 FSC-klagomål.docx", "A 32594-2025")</f>
        <v/>
      </c>
      <c r="W62">
        <f>HYPERLINK("https://klasma.github.io/Logging_1981/klagomålsmail/A 32594-2025 FSC-klagomål mail.docx", "A 32594-2025")</f>
        <v/>
      </c>
      <c r="X62">
        <f>HYPERLINK("https://klasma.github.io/Logging_1981/tillsyn/A 32594-2025 tillsynsbegäran.docx", "A 32594-2025")</f>
        <v/>
      </c>
      <c r="Y62">
        <f>HYPERLINK("https://klasma.github.io/Logging_1981/tillsynsmail/A 32594-2025 tillsynsbegäran mail.docx", "A 32594-2025")</f>
        <v/>
      </c>
    </row>
    <row r="63" ht="15" customHeight="1">
      <c r="A63" t="inlineStr">
        <is>
          <t>A 22350-2024</t>
        </is>
      </c>
      <c r="B63" s="1" t="n">
        <v>45446</v>
      </c>
      <c r="C63" s="1" t="n">
        <v>46040</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Blåsippa</t>
        </is>
      </c>
      <c r="S63">
        <f>HYPERLINK("https://klasma.github.io/Logging_1981/artfynd/A 22350-2024 artfynd.xlsx", "A 22350-2024")</f>
        <v/>
      </c>
      <c r="T63">
        <f>HYPERLINK("https://klasma.github.io/Logging_1981/kartor/A 22350-2024 karta.png", "A 22350-2024")</f>
        <v/>
      </c>
      <c r="V63">
        <f>HYPERLINK("https://klasma.github.io/Logging_1981/klagomål/A 22350-2024 FSC-klagomål.docx", "A 22350-2024")</f>
        <v/>
      </c>
      <c r="W63">
        <f>HYPERLINK("https://klasma.github.io/Logging_1981/klagomålsmail/A 22350-2024 FSC-klagomål mail.docx", "A 22350-2024")</f>
        <v/>
      </c>
      <c r="X63">
        <f>HYPERLINK("https://klasma.github.io/Logging_1981/tillsyn/A 22350-2024 tillsynsbegäran.docx", "A 22350-2024")</f>
        <v/>
      </c>
      <c r="Y63">
        <f>HYPERLINK("https://klasma.github.io/Logging_1981/tillsynsmail/A 22350-2024 tillsynsbegäran mail.docx", "A 22350-2024")</f>
        <v/>
      </c>
    </row>
    <row r="64" ht="15" customHeight="1">
      <c r="A64" t="inlineStr">
        <is>
          <t>A 73124-2021</t>
        </is>
      </c>
      <c r="B64" s="1" t="n">
        <v>44550</v>
      </c>
      <c r="C64" s="1" t="n">
        <v>46040</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46040</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46040</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46040</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46040</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66561-2021</t>
        </is>
      </c>
      <c r="B69" s="1" t="n">
        <v>44519.41648148148</v>
      </c>
      <c r="C69" s="1" t="n">
        <v>46040</v>
      </c>
      <c r="D69" t="inlineStr">
        <is>
          <t>VÄSTMANLANDS LÄN</t>
        </is>
      </c>
      <c r="E69" t="inlineStr">
        <is>
          <t>SALA</t>
        </is>
      </c>
      <c r="G69" t="n">
        <v>0.3</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46040</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46040</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46040</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46040</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46040</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46040</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3050-2022</t>
        </is>
      </c>
      <c r="B76" s="1" t="n">
        <v>44582</v>
      </c>
      <c r="C76" s="1" t="n">
        <v>46040</v>
      </c>
      <c r="D76" t="inlineStr">
        <is>
          <t>VÄSTMANLANDS LÄN</t>
        </is>
      </c>
      <c r="E76" t="inlineStr">
        <is>
          <t>SALA</t>
        </is>
      </c>
      <c r="G76" t="n">
        <v>0.5</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46040</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46040</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46040</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46040</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46040</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46040</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46040</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46040</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46040</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46040</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46040</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46040</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46040</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55733-2022</t>
        </is>
      </c>
      <c r="B90" s="1" t="n">
        <v>44888.58435185185</v>
      </c>
      <c r="C90" s="1" t="n">
        <v>46040</v>
      </c>
      <c r="D90" t="inlineStr">
        <is>
          <t>VÄSTMANLANDS LÄN</t>
        </is>
      </c>
      <c r="E90" t="inlineStr">
        <is>
          <t>SALA</t>
        </is>
      </c>
      <c r="G90" t="n">
        <v>0.4</v>
      </c>
      <c r="H90" t="n">
        <v>0</v>
      </c>
      <c r="I90" t="n">
        <v>0</v>
      </c>
      <c r="J90" t="n">
        <v>0</v>
      </c>
      <c r="K90" t="n">
        <v>0</v>
      </c>
      <c r="L90" t="n">
        <v>0</v>
      </c>
      <c r="M90" t="n">
        <v>0</v>
      </c>
      <c r="N90" t="n">
        <v>0</v>
      </c>
      <c r="O90" t="n">
        <v>0</v>
      </c>
      <c r="P90" t="n">
        <v>0</v>
      </c>
      <c r="Q90" t="n">
        <v>0</v>
      </c>
      <c r="R90" s="2" t="inlineStr"/>
    </row>
    <row r="91" ht="15" customHeight="1">
      <c r="A91" t="inlineStr">
        <is>
          <t>A 19058-2022</t>
        </is>
      </c>
      <c r="B91" s="1" t="n">
        <v>44691.4336574074</v>
      </c>
      <c r="C91" s="1" t="n">
        <v>46040</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73663-2021</t>
        </is>
      </c>
      <c r="B92" s="1" t="n">
        <v>44552.45675925926</v>
      </c>
      <c r="C92" s="1" t="n">
        <v>46040</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29228-2022</t>
        </is>
      </c>
      <c r="B93" s="1" t="n">
        <v>44750</v>
      </c>
      <c r="C93" s="1" t="n">
        <v>46040</v>
      </c>
      <c r="D93" t="inlineStr">
        <is>
          <t>VÄSTMANLANDS LÄN</t>
        </is>
      </c>
      <c r="E93" t="inlineStr">
        <is>
          <t>SALA</t>
        </is>
      </c>
      <c r="G93" t="n">
        <v>0.5</v>
      </c>
      <c r="H93" t="n">
        <v>0</v>
      </c>
      <c r="I93" t="n">
        <v>0</v>
      </c>
      <c r="J93" t="n">
        <v>0</v>
      </c>
      <c r="K93" t="n">
        <v>0</v>
      </c>
      <c r="L93" t="n">
        <v>0</v>
      </c>
      <c r="M93" t="n">
        <v>0</v>
      </c>
      <c r="N93" t="n">
        <v>0</v>
      </c>
      <c r="O93" t="n">
        <v>0</v>
      </c>
      <c r="P93" t="n">
        <v>0</v>
      </c>
      <c r="Q93" t="n">
        <v>0</v>
      </c>
      <c r="R93" s="2" t="inlineStr"/>
    </row>
    <row r="94" ht="15" customHeight="1">
      <c r="A94" t="inlineStr">
        <is>
          <t>A 939-2022</t>
        </is>
      </c>
      <c r="B94" s="1" t="n">
        <v>44571</v>
      </c>
      <c r="C94" s="1" t="n">
        <v>46040</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6667-2022</t>
        </is>
      </c>
      <c r="B95" s="1" t="n">
        <v>44602.38149305555</v>
      </c>
      <c r="C95" s="1" t="n">
        <v>46040</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19760-2022</t>
        </is>
      </c>
      <c r="B96" s="1" t="n">
        <v>44694.63438657407</v>
      </c>
      <c r="C96" s="1" t="n">
        <v>46040</v>
      </c>
      <c r="D96" t="inlineStr">
        <is>
          <t>VÄSTMANLANDS LÄN</t>
        </is>
      </c>
      <c r="E96" t="inlineStr">
        <is>
          <t>SALA</t>
        </is>
      </c>
      <c r="G96" t="n">
        <v>0.9</v>
      </c>
      <c r="H96" t="n">
        <v>0</v>
      </c>
      <c r="I96" t="n">
        <v>0</v>
      </c>
      <c r="J96" t="n">
        <v>0</v>
      </c>
      <c r="K96" t="n">
        <v>0</v>
      </c>
      <c r="L96" t="n">
        <v>0</v>
      </c>
      <c r="M96" t="n">
        <v>0</v>
      </c>
      <c r="N96" t="n">
        <v>0</v>
      </c>
      <c r="O96" t="n">
        <v>0</v>
      </c>
      <c r="P96" t="n">
        <v>0</v>
      </c>
      <c r="Q96" t="n">
        <v>0</v>
      </c>
      <c r="R96" s="2" t="inlineStr"/>
    </row>
    <row r="97" ht="15" customHeight="1">
      <c r="A97" t="inlineStr">
        <is>
          <t>A 42976-2021</t>
        </is>
      </c>
      <c r="B97" s="1" t="n">
        <v>44431</v>
      </c>
      <c r="C97" s="1" t="n">
        <v>46040</v>
      </c>
      <c r="D97" t="inlineStr">
        <is>
          <t>VÄSTMANLANDS LÄN</t>
        </is>
      </c>
      <c r="E97" t="inlineStr">
        <is>
          <t>SALA</t>
        </is>
      </c>
      <c r="G97" t="n">
        <v>1.1</v>
      </c>
      <c r="H97" t="n">
        <v>0</v>
      </c>
      <c r="I97" t="n">
        <v>0</v>
      </c>
      <c r="J97" t="n">
        <v>0</v>
      </c>
      <c r="K97" t="n">
        <v>0</v>
      </c>
      <c r="L97" t="n">
        <v>0</v>
      </c>
      <c r="M97" t="n">
        <v>0</v>
      </c>
      <c r="N97" t="n">
        <v>0</v>
      </c>
      <c r="O97" t="n">
        <v>0</v>
      </c>
      <c r="P97" t="n">
        <v>0</v>
      </c>
      <c r="Q97" t="n">
        <v>0</v>
      </c>
      <c r="R97" s="2" t="inlineStr"/>
    </row>
    <row r="98" ht="15" customHeight="1">
      <c r="A98" t="inlineStr">
        <is>
          <t>A 73687-2021</t>
        </is>
      </c>
      <c r="B98" s="1" t="n">
        <v>44552</v>
      </c>
      <c r="C98" s="1" t="n">
        <v>46040</v>
      </c>
      <c r="D98" t="inlineStr">
        <is>
          <t>VÄSTMANLANDS LÄN</t>
        </is>
      </c>
      <c r="E98" t="inlineStr">
        <is>
          <t>SALA</t>
        </is>
      </c>
      <c r="G98" t="n">
        <v>5.6</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46040</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46040</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46040</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46040</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46040</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46040</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46040</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46040</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46040</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46040</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46040</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46040</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46040</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46040</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46040</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46040</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46040</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46040</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46040</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46040</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46040</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46040</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46040</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46040</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46040</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46040</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46040</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46040</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46040</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46040</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46040</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46040</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46040</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46040</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46040</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46040</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46040</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46040</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46040</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46040</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46040</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46040</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46040</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46040</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46040</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46040</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46040</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46040</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46040</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46040</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46040</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46040</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46040</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46040</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46040</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46040</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46040</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46040</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46040</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46040</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46040</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46040</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46040</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46040</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46040</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46040</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46040</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46040</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46040</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46040</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46040</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46040</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13746-2025</t>
        </is>
      </c>
      <c r="B171" s="1" t="n">
        <v>45737.40944444444</v>
      </c>
      <c r="C171" s="1" t="n">
        <v>46040</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36032-2025</t>
        </is>
      </c>
      <c r="B172" s="1" t="n">
        <v>45865.48740740741</v>
      </c>
      <c r="C172" s="1" t="n">
        <v>46040</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36043-2025</t>
        </is>
      </c>
      <c r="B173" s="1" t="n">
        <v>45866.35333333333</v>
      </c>
      <c r="C173" s="1" t="n">
        <v>46040</v>
      </c>
      <c r="D173" t="inlineStr">
        <is>
          <t>VÄSTMANLANDS LÄN</t>
        </is>
      </c>
      <c r="E173" t="inlineStr">
        <is>
          <t>SALA</t>
        </is>
      </c>
      <c r="F173" t="inlineStr">
        <is>
          <t>Kommuner</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36045-2025</t>
        </is>
      </c>
      <c r="B174" s="1" t="n">
        <v>45866.36200231482</v>
      </c>
      <c r="C174" s="1" t="n">
        <v>46040</v>
      </c>
      <c r="D174" t="inlineStr">
        <is>
          <t>VÄSTMANLANDS LÄN</t>
        </is>
      </c>
      <c r="E174" t="inlineStr">
        <is>
          <t>SALA</t>
        </is>
      </c>
      <c r="F174" t="inlineStr">
        <is>
          <t>Kommuner</t>
        </is>
      </c>
      <c r="G174" t="n">
        <v>1.7</v>
      </c>
      <c r="H174" t="n">
        <v>0</v>
      </c>
      <c r="I174" t="n">
        <v>0</v>
      </c>
      <c r="J174" t="n">
        <v>0</v>
      </c>
      <c r="K174" t="n">
        <v>0</v>
      </c>
      <c r="L174" t="n">
        <v>0</v>
      </c>
      <c r="M174" t="n">
        <v>0</v>
      </c>
      <c r="N174" t="n">
        <v>0</v>
      </c>
      <c r="O174" t="n">
        <v>0</v>
      </c>
      <c r="P174" t="n">
        <v>0</v>
      </c>
      <c r="Q174" t="n">
        <v>0</v>
      </c>
      <c r="R174" s="2" t="inlineStr"/>
    </row>
    <row r="175" ht="15" customHeight="1">
      <c r="A175" t="inlineStr">
        <is>
          <t>A 73673-2021</t>
        </is>
      </c>
      <c r="B175" s="1" t="n">
        <v>44552.46501157407</v>
      </c>
      <c r="C175" s="1" t="n">
        <v>46040</v>
      </c>
      <c r="D175" t="inlineStr">
        <is>
          <t>VÄSTMANLANDS LÄN</t>
        </is>
      </c>
      <c r="E175" t="inlineStr">
        <is>
          <t>SALA</t>
        </is>
      </c>
      <c r="G175" t="n">
        <v>11.4</v>
      </c>
      <c r="H175" t="n">
        <v>0</v>
      </c>
      <c r="I175" t="n">
        <v>0</v>
      </c>
      <c r="J175" t="n">
        <v>0</v>
      </c>
      <c r="K175" t="n">
        <v>0</v>
      </c>
      <c r="L175" t="n">
        <v>0</v>
      </c>
      <c r="M175" t="n">
        <v>0</v>
      </c>
      <c r="N175" t="n">
        <v>0</v>
      </c>
      <c r="O175" t="n">
        <v>0</v>
      </c>
      <c r="P175" t="n">
        <v>0</v>
      </c>
      <c r="Q175" t="n">
        <v>0</v>
      </c>
      <c r="R175" s="2" t="inlineStr"/>
    </row>
    <row r="176" ht="15" customHeight="1">
      <c r="A176" t="inlineStr">
        <is>
          <t>A 38574-2025</t>
        </is>
      </c>
      <c r="B176" s="1" t="n">
        <v>45884.46390046296</v>
      </c>
      <c r="C176" s="1" t="n">
        <v>46040</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25897-2024</t>
        </is>
      </c>
      <c r="B177" s="1" t="n">
        <v>45467.54435185185</v>
      </c>
      <c r="C177" s="1" t="n">
        <v>46040</v>
      </c>
      <c r="D177" t="inlineStr">
        <is>
          <t>VÄSTMANLANDS LÄN</t>
        </is>
      </c>
      <c r="E177" t="inlineStr">
        <is>
          <t>SALA</t>
        </is>
      </c>
      <c r="G177" t="n">
        <v>9.9</v>
      </c>
      <c r="H177" t="n">
        <v>0</v>
      </c>
      <c r="I177" t="n">
        <v>0</v>
      </c>
      <c r="J177" t="n">
        <v>0</v>
      </c>
      <c r="K177" t="n">
        <v>0</v>
      </c>
      <c r="L177" t="n">
        <v>0</v>
      </c>
      <c r="M177" t="n">
        <v>0</v>
      </c>
      <c r="N177" t="n">
        <v>0</v>
      </c>
      <c r="O177" t="n">
        <v>0</v>
      </c>
      <c r="P177" t="n">
        <v>0</v>
      </c>
      <c r="Q177" t="n">
        <v>0</v>
      </c>
      <c r="R177" s="2" t="inlineStr"/>
    </row>
    <row r="178" ht="15" customHeight="1">
      <c r="A178" t="inlineStr">
        <is>
          <t>A 16651-2021</t>
        </is>
      </c>
      <c r="B178" s="1" t="n">
        <v>44294.50096064815</v>
      </c>
      <c r="C178" s="1" t="n">
        <v>46040</v>
      </c>
      <c r="D178" t="inlineStr">
        <is>
          <t>VÄSTMANLANDS LÄN</t>
        </is>
      </c>
      <c r="E178" t="inlineStr">
        <is>
          <t>SALA</t>
        </is>
      </c>
      <c r="G178" t="n">
        <v>7.7</v>
      </c>
      <c r="H178" t="n">
        <v>0</v>
      </c>
      <c r="I178" t="n">
        <v>0</v>
      </c>
      <c r="J178" t="n">
        <v>0</v>
      </c>
      <c r="K178" t="n">
        <v>0</v>
      </c>
      <c r="L178" t="n">
        <v>0</v>
      </c>
      <c r="M178" t="n">
        <v>0</v>
      </c>
      <c r="N178" t="n">
        <v>0</v>
      </c>
      <c r="O178" t="n">
        <v>0</v>
      </c>
      <c r="P178" t="n">
        <v>0</v>
      </c>
      <c r="Q178" t="n">
        <v>0</v>
      </c>
      <c r="R178" s="2" t="inlineStr"/>
    </row>
    <row r="179" ht="15" customHeight="1">
      <c r="A179" t="inlineStr">
        <is>
          <t>A 23222-2023</t>
        </is>
      </c>
      <c r="B179" s="1" t="n">
        <v>45075</v>
      </c>
      <c r="C179" s="1" t="n">
        <v>46040</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23224-2023</t>
        </is>
      </c>
      <c r="B180" s="1" t="n">
        <v>45075.65040509259</v>
      </c>
      <c r="C180" s="1" t="n">
        <v>46040</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38294-2025</t>
        </is>
      </c>
      <c r="B181" s="1" t="n">
        <v>45883.44854166666</v>
      </c>
      <c r="C181" s="1" t="n">
        <v>46040</v>
      </c>
      <c r="D181" t="inlineStr">
        <is>
          <t>VÄSTMANLANDS LÄN</t>
        </is>
      </c>
      <c r="E181" t="inlineStr">
        <is>
          <t>SALA</t>
        </is>
      </c>
      <c r="G181" t="n">
        <v>1.5</v>
      </c>
      <c r="H181" t="n">
        <v>0</v>
      </c>
      <c r="I181" t="n">
        <v>0</v>
      </c>
      <c r="J181" t="n">
        <v>0</v>
      </c>
      <c r="K181" t="n">
        <v>0</v>
      </c>
      <c r="L181" t="n">
        <v>0</v>
      </c>
      <c r="M181" t="n">
        <v>0</v>
      </c>
      <c r="N181" t="n">
        <v>0</v>
      </c>
      <c r="O181" t="n">
        <v>0</v>
      </c>
      <c r="P181" t="n">
        <v>0</v>
      </c>
      <c r="Q181" t="n">
        <v>0</v>
      </c>
      <c r="R181" s="2" t="inlineStr"/>
    </row>
    <row r="182" ht="15" customHeight="1">
      <c r="A182" t="inlineStr">
        <is>
          <t>A 50479-2022</t>
        </is>
      </c>
      <c r="B182" s="1" t="n">
        <v>44861</v>
      </c>
      <c r="C182" s="1" t="n">
        <v>46040</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41876-2022</t>
        </is>
      </c>
      <c r="B183" s="1" t="n">
        <v>44829.97008101852</v>
      </c>
      <c r="C183" s="1" t="n">
        <v>46040</v>
      </c>
      <c r="D183" t="inlineStr">
        <is>
          <t>VÄSTMANLANDS LÄN</t>
        </is>
      </c>
      <c r="E183" t="inlineStr">
        <is>
          <t>SALA</t>
        </is>
      </c>
      <c r="G183" t="n">
        <v>3.6</v>
      </c>
      <c r="H183" t="n">
        <v>0</v>
      </c>
      <c r="I183" t="n">
        <v>0</v>
      </c>
      <c r="J183" t="n">
        <v>0</v>
      </c>
      <c r="K183" t="n">
        <v>0</v>
      </c>
      <c r="L183" t="n">
        <v>0</v>
      </c>
      <c r="M183" t="n">
        <v>0</v>
      </c>
      <c r="N183" t="n">
        <v>0</v>
      </c>
      <c r="O183" t="n">
        <v>0</v>
      </c>
      <c r="P183" t="n">
        <v>0</v>
      </c>
      <c r="Q183" t="n">
        <v>0</v>
      </c>
      <c r="R183" s="2" t="inlineStr"/>
    </row>
    <row r="184" ht="15" customHeight="1">
      <c r="A184" t="inlineStr">
        <is>
          <t>A 67958-2021</t>
        </is>
      </c>
      <c r="B184" s="1" t="n">
        <v>44525</v>
      </c>
      <c r="C184" s="1" t="n">
        <v>46040</v>
      </c>
      <c r="D184" t="inlineStr">
        <is>
          <t>VÄSTMANLANDS LÄN</t>
        </is>
      </c>
      <c r="E184" t="inlineStr">
        <is>
          <t>SALA</t>
        </is>
      </c>
      <c r="G184" t="n">
        <v>0.6</v>
      </c>
      <c r="H184" t="n">
        <v>0</v>
      </c>
      <c r="I184" t="n">
        <v>0</v>
      </c>
      <c r="J184" t="n">
        <v>0</v>
      </c>
      <c r="K184" t="n">
        <v>0</v>
      </c>
      <c r="L184" t="n">
        <v>0</v>
      </c>
      <c r="M184" t="n">
        <v>0</v>
      </c>
      <c r="N184" t="n">
        <v>0</v>
      </c>
      <c r="O184" t="n">
        <v>0</v>
      </c>
      <c r="P184" t="n">
        <v>0</v>
      </c>
      <c r="Q184" t="n">
        <v>0</v>
      </c>
      <c r="R184" s="2" t="inlineStr"/>
    </row>
    <row r="185" ht="15" customHeight="1">
      <c r="A185" t="inlineStr">
        <is>
          <t>A 67965-2021</t>
        </is>
      </c>
      <c r="B185" s="1" t="n">
        <v>44525</v>
      </c>
      <c r="C185" s="1" t="n">
        <v>46040</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17985-2025</t>
        </is>
      </c>
      <c r="B186" s="1" t="n">
        <v>45761</v>
      </c>
      <c r="C186" s="1" t="n">
        <v>46040</v>
      </c>
      <c r="D186" t="inlineStr">
        <is>
          <t>VÄSTMANLANDS LÄN</t>
        </is>
      </c>
      <c r="E186" t="inlineStr">
        <is>
          <t>SALA</t>
        </is>
      </c>
      <c r="G186" t="n">
        <v>12.5</v>
      </c>
      <c r="H186" t="n">
        <v>0</v>
      </c>
      <c r="I186" t="n">
        <v>0</v>
      </c>
      <c r="J186" t="n">
        <v>0</v>
      </c>
      <c r="K186" t="n">
        <v>0</v>
      </c>
      <c r="L186" t="n">
        <v>0</v>
      </c>
      <c r="M186" t="n">
        <v>0</v>
      </c>
      <c r="N186" t="n">
        <v>0</v>
      </c>
      <c r="O186" t="n">
        <v>0</v>
      </c>
      <c r="P186" t="n">
        <v>0</v>
      </c>
      <c r="Q186" t="n">
        <v>0</v>
      </c>
      <c r="R186" s="2" t="inlineStr"/>
    </row>
    <row r="187" ht="15" customHeight="1">
      <c r="A187" t="inlineStr">
        <is>
          <t>A 31869-2025</t>
        </is>
      </c>
      <c r="B187" s="1" t="n">
        <v>45834.64555555556</v>
      </c>
      <c r="C187" s="1" t="n">
        <v>46040</v>
      </c>
      <c r="D187" t="inlineStr">
        <is>
          <t>VÄSTMANLANDS LÄN</t>
        </is>
      </c>
      <c r="E187" t="inlineStr">
        <is>
          <t>SALA</t>
        </is>
      </c>
      <c r="G187" t="n">
        <v>17.5</v>
      </c>
      <c r="H187" t="n">
        <v>0</v>
      </c>
      <c r="I187" t="n">
        <v>0</v>
      </c>
      <c r="J187" t="n">
        <v>0</v>
      </c>
      <c r="K187" t="n">
        <v>0</v>
      </c>
      <c r="L187" t="n">
        <v>0</v>
      </c>
      <c r="M187" t="n">
        <v>0</v>
      </c>
      <c r="N187" t="n">
        <v>0</v>
      </c>
      <c r="O187" t="n">
        <v>0</v>
      </c>
      <c r="P187" t="n">
        <v>0</v>
      </c>
      <c r="Q187" t="n">
        <v>0</v>
      </c>
      <c r="R187" s="2" t="inlineStr"/>
    </row>
    <row r="188" ht="15" customHeight="1">
      <c r="A188" t="inlineStr">
        <is>
          <t>A 31863-2025</t>
        </is>
      </c>
      <c r="B188" s="1" t="n">
        <v>45834.63303240741</v>
      </c>
      <c r="C188" s="1" t="n">
        <v>46040</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17766-2025</t>
        </is>
      </c>
      <c r="B189" s="1" t="n">
        <v>45758</v>
      </c>
      <c r="C189" s="1" t="n">
        <v>46040</v>
      </c>
      <c r="D189" t="inlineStr">
        <is>
          <t>VÄSTMANLANDS LÄN</t>
        </is>
      </c>
      <c r="E189" t="inlineStr">
        <is>
          <t>SALA</t>
        </is>
      </c>
      <c r="G189" t="n">
        <v>16.5</v>
      </c>
      <c r="H189" t="n">
        <v>0</v>
      </c>
      <c r="I189" t="n">
        <v>0</v>
      </c>
      <c r="J189" t="n">
        <v>0</v>
      </c>
      <c r="K189" t="n">
        <v>0</v>
      </c>
      <c r="L189" t="n">
        <v>0</v>
      </c>
      <c r="M189" t="n">
        <v>0</v>
      </c>
      <c r="N189" t="n">
        <v>0</v>
      </c>
      <c r="O189" t="n">
        <v>0</v>
      </c>
      <c r="P189" t="n">
        <v>0</v>
      </c>
      <c r="Q189" t="n">
        <v>0</v>
      </c>
      <c r="R189" s="2" t="inlineStr"/>
    </row>
    <row r="190" ht="15" customHeight="1">
      <c r="A190" t="inlineStr">
        <is>
          <t>A 14919-2025</t>
        </is>
      </c>
      <c r="B190" s="1" t="n">
        <v>45743.54256944444</v>
      </c>
      <c r="C190" s="1" t="n">
        <v>46040</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45015-2022</t>
        </is>
      </c>
      <c r="B191" s="1" t="n">
        <v>44841.63766203704</v>
      </c>
      <c r="C191" s="1" t="n">
        <v>46040</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14920-2025</t>
        </is>
      </c>
      <c r="B192" s="1" t="n">
        <v>45743</v>
      </c>
      <c r="C192" s="1" t="n">
        <v>46040</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7664-2023</t>
        </is>
      </c>
      <c r="B193" s="1" t="n">
        <v>44972</v>
      </c>
      <c r="C193" s="1" t="n">
        <v>46040</v>
      </c>
      <c r="D193" t="inlineStr">
        <is>
          <t>VÄSTMANLANDS LÄN</t>
        </is>
      </c>
      <c r="E193" t="inlineStr">
        <is>
          <t>SALA</t>
        </is>
      </c>
      <c r="G193" t="n">
        <v>1.4</v>
      </c>
      <c r="H193" t="n">
        <v>0</v>
      </c>
      <c r="I193" t="n">
        <v>0</v>
      </c>
      <c r="J193" t="n">
        <v>0</v>
      </c>
      <c r="K193" t="n">
        <v>0</v>
      </c>
      <c r="L193" t="n">
        <v>0</v>
      </c>
      <c r="M193" t="n">
        <v>0</v>
      </c>
      <c r="N193" t="n">
        <v>0</v>
      </c>
      <c r="O193" t="n">
        <v>0</v>
      </c>
      <c r="P193" t="n">
        <v>0</v>
      </c>
      <c r="Q193" t="n">
        <v>0</v>
      </c>
      <c r="R193" s="2" t="inlineStr"/>
    </row>
    <row r="194" ht="15" customHeight="1">
      <c r="A194" t="inlineStr">
        <is>
          <t>A 3546-2025</t>
        </is>
      </c>
      <c r="B194" s="1" t="n">
        <v>45680</v>
      </c>
      <c r="C194" s="1" t="n">
        <v>46040</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10168-2022</t>
        </is>
      </c>
      <c r="B195" s="1" t="n">
        <v>44622.37693287037</v>
      </c>
      <c r="C195" s="1" t="n">
        <v>46040</v>
      </c>
      <c r="D195" t="inlineStr">
        <is>
          <t>VÄSTMANLANDS LÄN</t>
        </is>
      </c>
      <c r="E195" t="inlineStr">
        <is>
          <t>SALA</t>
        </is>
      </c>
      <c r="G195" t="n">
        <v>2.1</v>
      </c>
      <c r="H195" t="n">
        <v>0</v>
      </c>
      <c r="I195" t="n">
        <v>0</v>
      </c>
      <c r="J195" t="n">
        <v>0</v>
      </c>
      <c r="K195" t="n">
        <v>0</v>
      </c>
      <c r="L195" t="n">
        <v>0</v>
      </c>
      <c r="M195" t="n">
        <v>0</v>
      </c>
      <c r="N195" t="n">
        <v>0</v>
      </c>
      <c r="O195" t="n">
        <v>0</v>
      </c>
      <c r="P195" t="n">
        <v>0</v>
      </c>
      <c r="Q195" t="n">
        <v>0</v>
      </c>
      <c r="R195" s="2" t="inlineStr"/>
    </row>
    <row r="196" ht="15" customHeight="1">
      <c r="A196" t="inlineStr">
        <is>
          <t>A 13855-2023</t>
        </is>
      </c>
      <c r="B196" s="1" t="n">
        <v>45007</v>
      </c>
      <c r="C196" s="1" t="n">
        <v>46040</v>
      </c>
      <c r="D196" t="inlineStr">
        <is>
          <t>VÄSTMANLANDS LÄN</t>
        </is>
      </c>
      <c r="E196" t="inlineStr">
        <is>
          <t>SALA</t>
        </is>
      </c>
      <c r="G196" t="n">
        <v>2.9</v>
      </c>
      <c r="H196" t="n">
        <v>0</v>
      </c>
      <c r="I196" t="n">
        <v>0</v>
      </c>
      <c r="J196" t="n">
        <v>0</v>
      </c>
      <c r="K196" t="n">
        <v>0</v>
      </c>
      <c r="L196" t="n">
        <v>0</v>
      </c>
      <c r="M196" t="n">
        <v>0</v>
      </c>
      <c r="N196" t="n">
        <v>0</v>
      </c>
      <c r="O196" t="n">
        <v>0</v>
      </c>
      <c r="P196" t="n">
        <v>0</v>
      </c>
      <c r="Q196" t="n">
        <v>0</v>
      </c>
      <c r="R196" s="2" t="inlineStr"/>
    </row>
    <row r="197" ht="15" customHeight="1">
      <c r="A197" t="inlineStr">
        <is>
          <t>A 18877-2023</t>
        </is>
      </c>
      <c r="B197" s="1" t="n">
        <v>45044</v>
      </c>
      <c r="C197" s="1" t="n">
        <v>46040</v>
      </c>
      <c r="D197" t="inlineStr">
        <is>
          <t>VÄSTMANLANDS LÄN</t>
        </is>
      </c>
      <c r="E197" t="inlineStr">
        <is>
          <t>SALA</t>
        </is>
      </c>
      <c r="F197" t="inlineStr">
        <is>
          <t>Kommuner</t>
        </is>
      </c>
      <c r="G197" t="n">
        <v>4.4</v>
      </c>
      <c r="H197" t="n">
        <v>0</v>
      </c>
      <c r="I197" t="n">
        <v>0</v>
      </c>
      <c r="J197" t="n">
        <v>0</v>
      </c>
      <c r="K197" t="n">
        <v>0</v>
      </c>
      <c r="L197" t="n">
        <v>0</v>
      </c>
      <c r="M197" t="n">
        <v>0</v>
      </c>
      <c r="N197" t="n">
        <v>0</v>
      </c>
      <c r="O197" t="n">
        <v>0</v>
      </c>
      <c r="P197" t="n">
        <v>0</v>
      </c>
      <c r="Q197" t="n">
        <v>0</v>
      </c>
      <c r="R197" s="2" t="inlineStr"/>
    </row>
    <row r="198" ht="15" customHeight="1">
      <c r="A198" t="inlineStr">
        <is>
          <t>A 55556-2023</t>
        </is>
      </c>
      <c r="B198" s="1" t="n">
        <v>45232</v>
      </c>
      <c r="C198" s="1" t="n">
        <v>46040</v>
      </c>
      <c r="D198" t="inlineStr">
        <is>
          <t>VÄSTMANLANDS LÄN</t>
        </is>
      </c>
      <c r="E198" t="inlineStr">
        <is>
          <t>SALA</t>
        </is>
      </c>
      <c r="G198" t="n">
        <v>1.3</v>
      </c>
      <c r="H198" t="n">
        <v>0</v>
      </c>
      <c r="I198" t="n">
        <v>0</v>
      </c>
      <c r="J198" t="n">
        <v>0</v>
      </c>
      <c r="K198" t="n">
        <v>0</v>
      </c>
      <c r="L198" t="n">
        <v>0</v>
      </c>
      <c r="M198" t="n">
        <v>0</v>
      </c>
      <c r="N198" t="n">
        <v>0</v>
      </c>
      <c r="O198" t="n">
        <v>0</v>
      </c>
      <c r="P198" t="n">
        <v>0</v>
      </c>
      <c r="Q198" t="n">
        <v>0</v>
      </c>
      <c r="R198" s="2" t="inlineStr"/>
    </row>
    <row r="199" ht="15" customHeight="1">
      <c r="A199" t="inlineStr">
        <is>
          <t>A 34494-2023</t>
        </is>
      </c>
      <c r="B199" s="1" t="n">
        <v>45133</v>
      </c>
      <c r="C199" s="1" t="n">
        <v>46040</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57000-2021</t>
        </is>
      </c>
      <c r="B200" s="1" t="n">
        <v>44482.46760416667</v>
      </c>
      <c r="C200" s="1" t="n">
        <v>46040</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39182-2025</t>
        </is>
      </c>
      <c r="B201" s="1" t="n">
        <v>45888.66204861111</v>
      </c>
      <c r="C201" s="1" t="n">
        <v>46040</v>
      </c>
      <c r="D201" t="inlineStr">
        <is>
          <t>VÄSTMANLANDS LÄN</t>
        </is>
      </c>
      <c r="E201" t="inlineStr">
        <is>
          <t>SALA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37017-2025</t>
        </is>
      </c>
      <c r="B202" s="1" t="n">
        <v>45874</v>
      </c>
      <c r="C202" s="1" t="n">
        <v>46040</v>
      </c>
      <c r="D202" t="inlineStr">
        <is>
          <t>VÄSTMANLANDS LÄN</t>
        </is>
      </c>
      <c r="E202" t="inlineStr">
        <is>
          <t>SALA</t>
        </is>
      </c>
      <c r="G202" t="n">
        <v>11.1</v>
      </c>
      <c r="H202" t="n">
        <v>0</v>
      </c>
      <c r="I202" t="n">
        <v>0</v>
      </c>
      <c r="J202" t="n">
        <v>0</v>
      </c>
      <c r="K202" t="n">
        <v>0</v>
      </c>
      <c r="L202" t="n">
        <v>0</v>
      </c>
      <c r="M202" t="n">
        <v>0</v>
      </c>
      <c r="N202" t="n">
        <v>0</v>
      </c>
      <c r="O202" t="n">
        <v>0</v>
      </c>
      <c r="P202" t="n">
        <v>0</v>
      </c>
      <c r="Q202" t="n">
        <v>0</v>
      </c>
      <c r="R202" s="2" t="inlineStr"/>
    </row>
    <row r="203" ht="15" customHeight="1">
      <c r="A203" t="inlineStr">
        <is>
          <t>A 13752-2025</t>
        </is>
      </c>
      <c r="B203" s="1" t="n">
        <v>45737.41416666667</v>
      </c>
      <c r="C203" s="1" t="n">
        <v>46040</v>
      </c>
      <c r="D203" t="inlineStr">
        <is>
          <t>VÄSTMANLANDS LÄN</t>
        </is>
      </c>
      <c r="E203" t="inlineStr">
        <is>
          <t>SALA</t>
        </is>
      </c>
      <c r="G203" t="n">
        <v>0.4</v>
      </c>
      <c r="H203" t="n">
        <v>0</v>
      </c>
      <c r="I203" t="n">
        <v>0</v>
      </c>
      <c r="J203" t="n">
        <v>0</v>
      </c>
      <c r="K203" t="n">
        <v>0</v>
      </c>
      <c r="L203" t="n">
        <v>0</v>
      </c>
      <c r="M203" t="n">
        <v>0</v>
      </c>
      <c r="N203" t="n">
        <v>0</v>
      </c>
      <c r="O203" t="n">
        <v>0</v>
      </c>
      <c r="P203" t="n">
        <v>0</v>
      </c>
      <c r="Q203" t="n">
        <v>0</v>
      </c>
      <c r="R203" s="2" t="inlineStr"/>
    </row>
    <row r="204" ht="15" customHeight="1">
      <c r="A204" t="inlineStr">
        <is>
          <t>A 26579-2021</t>
        </is>
      </c>
      <c r="B204" s="1" t="n">
        <v>44348</v>
      </c>
      <c r="C204" s="1" t="n">
        <v>46040</v>
      </c>
      <c r="D204" t="inlineStr">
        <is>
          <t>VÄSTMANLANDS LÄN</t>
        </is>
      </c>
      <c r="E204" t="inlineStr">
        <is>
          <t>SALA</t>
        </is>
      </c>
      <c r="G204" t="n">
        <v>1.6</v>
      </c>
      <c r="H204" t="n">
        <v>0</v>
      </c>
      <c r="I204" t="n">
        <v>0</v>
      </c>
      <c r="J204" t="n">
        <v>0</v>
      </c>
      <c r="K204" t="n">
        <v>0</v>
      </c>
      <c r="L204" t="n">
        <v>0</v>
      </c>
      <c r="M204" t="n">
        <v>0</v>
      </c>
      <c r="N204" t="n">
        <v>0</v>
      </c>
      <c r="O204" t="n">
        <v>0</v>
      </c>
      <c r="P204" t="n">
        <v>0</v>
      </c>
      <c r="Q204" t="n">
        <v>0</v>
      </c>
      <c r="R204" s="2" t="inlineStr"/>
    </row>
    <row r="205" ht="15" customHeight="1">
      <c r="A205" t="inlineStr">
        <is>
          <t>A 37103-2025</t>
        </is>
      </c>
      <c r="B205" s="1" t="n">
        <v>45875.47743055555</v>
      </c>
      <c r="C205" s="1" t="n">
        <v>46040</v>
      </c>
      <c r="D205" t="inlineStr">
        <is>
          <t>VÄSTMANLANDS LÄN</t>
        </is>
      </c>
      <c r="E205" t="inlineStr">
        <is>
          <t>SALA</t>
        </is>
      </c>
      <c r="G205" t="n">
        <v>1.9</v>
      </c>
      <c r="H205" t="n">
        <v>0</v>
      </c>
      <c r="I205" t="n">
        <v>0</v>
      </c>
      <c r="J205" t="n">
        <v>0</v>
      </c>
      <c r="K205" t="n">
        <v>0</v>
      </c>
      <c r="L205" t="n">
        <v>0</v>
      </c>
      <c r="M205" t="n">
        <v>0</v>
      </c>
      <c r="N205" t="n">
        <v>0</v>
      </c>
      <c r="O205" t="n">
        <v>0</v>
      </c>
      <c r="P205" t="n">
        <v>0</v>
      </c>
      <c r="Q205" t="n">
        <v>0</v>
      </c>
      <c r="R205" s="2" t="inlineStr"/>
    </row>
    <row r="206" ht="15" customHeight="1">
      <c r="A206" t="inlineStr">
        <is>
          <t>A 37246-2025</t>
        </is>
      </c>
      <c r="B206" s="1" t="n">
        <v>45876.39435185185</v>
      </c>
      <c r="C206" s="1" t="n">
        <v>46040</v>
      </c>
      <c r="D206" t="inlineStr">
        <is>
          <t>VÄSTMANLANDS LÄN</t>
        </is>
      </c>
      <c r="E206" t="inlineStr">
        <is>
          <t>SALA</t>
        </is>
      </c>
      <c r="G206" t="n">
        <v>2.3</v>
      </c>
      <c r="H206" t="n">
        <v>0</v>
      </c>
      <c r="I206" t="n">
        <v>0</v>
      </c>
      <c r="J206" t="n">
        <v>0</v>
      </c>
      <c r="K206" t="n">
        <v>0</v>
      </c>
      <c r="L206" t="n">
        <v>0</v>
      </c>
      <c r="M206" t="n">
        <v>0</v>
      </c>
      <c r="N206" t="n">
        <v>0</v>
      </c>
      <c r="O206" t="n">
        <v>0</v>
      </c>
      <c r="P206" t="n">
        <v>0</v>
      </c>
      <c r="Q206" t="n">
        <v>0</v>
      </c>
      <c r="R206" s="2" t="inlineStr"/>
    </row>
    <row r="207" ht="15" customHeight="1">
      <c r="A207" t="inlineStr">
        <is>
          <t>A 19398-2025</t>
        </is>
      </c>
      <c r="B207" s="1" t="n">
        <v>45769</v>
      </c>
      <c r="C207" s="1" t="n">
        <v>46040</v>
      </c>
      <c r="D207" t="inlineStr">
        <is>
          <t>VÄSTMANLANDS LÄN</t>
        </is>
      </c>
      <c r="E207" t="inlineStr">
        <is>
          <t>SALA</t>
        </is>
      </c>
      <c r="G207" t="n">
        <v>0.4</v>
      </c>
      <c r="H207" t="n">
        <v>0</v>
      </c>
      <c r="I207" t="n">
        <v>0</v>
      </c>
      <c r="J207" t="n">
        <v>0</v>
      </c>
      <c r="K207" t="n">
        <v>0</v>
      </c>
      <c r="L207" t="n">
        <v>0</v>
      </c>
      <c r="M207" t="n">
        <v>0</v>
      </c>
      <c r="N207" t="n">
        <v>0</v>
      </c>
      <c r="O207" t="n">
        <v>0</v>
      </c>
      <c r="P207" t="n">
        <v>0</v>
      </c>
      <c r="Q207" t="n">
        <v>0</v>
      </c>
      <c r="R207" s="2" t="inlineStr"/>
    </row>
    <row r="208" ht="15" customHeight="1">
      <c r="A208" t="inlineStr">
        <is>
          <t>A 17722-2025</t>
        </is>
      </c>
      <c r="B208" s="1" t="n">
        <v>45758</v>
      </c>
      <c r="C208" s="1" t="n">
        <v>46040</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64932-2021</t>
        </is>
      </c>
      <c r="B209" s="1" t="n">
        <v>44512</v>
      </c>
      <c r="C209" s="1" t="n">
        <v>46040</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37590-2025</t>
        </is>
      </c>
      <c r="B210" s="1" t="n">
        <v>45880.41138888889</v>
      </c>
      <c r="C210" s="1" t="n">
        <v>46040</v>
      </c>
      <c r="D210" t="inlineStr">
        <is>
          <t>VÄSTMANLANDS LÄN</t>
        </is>
      </c>
      <c r="E210" t="inlineStr">
        <is>
          <t>SALA</t>
        </is>
      </c>
      <c r="G210" t="n">
        <v>2.2</v>
      </c>
      <c r="H210" t="n">
        <v>0</v>
      </c>
      <c r="I210" t="n">
        <v>0</v>
      </c>
      <c r="J210" t="n">
        <v>0</v>
      </c>
      <c r="K210" t="n">
        <v>0</v>
      </c>
      <c r="L210" t="n">
        <v>0</v>
      </c>
      <c r="M210" t="n">
        <v>0</v>
      </c>
      <c r="N210" t="n">
        <v>0</v>
      </c>
      <c r="O210" t="n">
        <v>0</v>
      </c>
      <c r="P210" t="n">
        <v>0</v>
      </c>
      <c r="Q210" t="n">
        <v>0</v>
      </c>
      <c r="R210" s="2" t="inlineStr"/>
    </row>
    <row r="211" ht="15" customHeight="1">
      <c r="A211" t="inlineStr">
        <is>
          <t>A 37593-2025</t>
        </is>
      </c>
      <c r="B211" s="1" t="n">
        <v>45880.41325231481</v>
      </c>
      <c r="C211" s="1" t="n">
        <v>46040</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22921-2023</t>
        </is>
      </c>
      <c r="B212" s="1" t="n">
        <v>45070</v>
      </c>
      <c r="C212" s="1" t="n">
        <v>46040</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16133-2025</t>
        </is>
      </c>
      <c r="B213" s="1" t="n">
        <v>45750</v>
      </c>
      <c r="C213" s="1" t="n">
        <v>46040</v>
      </c>
      <c r="D213" t="inlineStr">
        <is>
          <t>VÄSTMANLANDS LÄN</t>
        </is>
      </c>
      <c r="E213" t="inlineStr">
        <is>
          <t>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46279-2021</t>
        </is>
      </c>
      <c r="B214" s="1" t="n">
        <v>44442.57797453704</v>
      </c>
      <c r="C214" s="1" t="n">
        <v>46040</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43359-2024</t>
        </is>
      </c>
      <c r="B215" s="1" t="n">
        <v>45568.57724537037</v>
      </c>
      <c r="C215" s="1" t="n">
        <v>46040</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29972-2025</t>
        </is>
      </c>
      <c r="B216" s="1" t="n">
        <v>45826</v>
      </c>
      <c r="C216" s="1" t="n">
        <v>46040</v>
      </c>
      <c r="D216" t="inlineStr">
        <is>
          <t>VÄSTMANLANDS LÄN</t>
        </is>
      </c>
      <c r="E216" t="inlineStr">
        <is>
          <t>SALA</t>
        </is>
      </c>
      <c r="G216" t="n">
        <v>2.7</v>
      </c>
      <c r="H216" t="n">
        <v>0</v>
      </c>
      <c r="I216" t="n">
        <v>0</v>
      </c>
      <c r="J216" t="n">
        <v>0</v>
      </c>
      <c r="K216" t="n">
        <v>0</v>
      </c>
      <c r="L216" t="n">
        <v>0</v>
      </c>
      <c r="M216" t="n">
        <v>0</v>
      </c>
      <c r="N216" t="n">
        <v>0</v>
      </c>
      <c r="O216" t="n">
        <v>0</v>
      </c>
      <c r="P216" t="n">
        <v>0</v>
      </c>
      <c r="Q216" t="n">
        <v>0</v>
      </c>
      <c r="R216" s="2" t="inlineStr"/>
    </row>
    <row r="217" ht="15" customHeight="1">
      <c r="A217" t="inlineStr">
        <is>
          <t>A 31864-2025</t>
        </is>
      </c>
      <c r="B217" s="1" t="n">
        <v>45834.63819444444</v>
      </c>
      <c r="C217" s="1" t="n">
        <v>46040</v>
      </c>
      <c r="D217" t="inlineStr">
        <is>
          <t>VÄSTMANLANDS LÄN</t>
        </is>
      </c>
      <c r="E217" t="inlineStr">
        <is>
          <t>SALA</t>
        </is>
      </c>
      <c r="G217" t="n">
        <v>6.3</v>
      </c>
      <c r="H217" t="n">
        <v>0</v>
      </c>
      <c r="I217" t="n">
        <v>0</v>
      </c>
      <c r="J217" t="n">
        <v>0</v>
      </c>
      <c r="K217" t="n">
        <v>0</v>
      </c>
      <c r="L217" t="n">
        <v>0</v>
      </c>
      <c r="M217" t="n">
        <v>0</v>
      </c>
      <c r="N217" t="n">
        <v>0</v>
      </c>
      <c r="O217" t="n">
        <v>0</v>
      </c>
      <c r="P217" t="n">
        <v>0</v>
      </c>
      <c r="Q217" t="n">
        <v>0</v>
      </c>
      <c r="R217" s="2" t="inlineStr"/>
    </row>
    <row r="218" ht="15" customHeight="1">
      <c r="A218" t="inlineStr">
        <is>
          <t>A 6127-2025</t>
        </is>
      </c>
      <c r="B218" s="1" t="n">
        <v>45698</v>
      </c>
      <c r="C218" s="1" t="n">
        <v>46040</v>
      </c>
      <c r="D218" t="inlineStr">
        <is>
          <t>VÄSTMANLANDS LÄN</t>
        </is>
      </c>
      <c r="E218" t="inlineStr">
        <is>
          <t>SALA</t>
        </is>
      </c>
      <c r="F218" t="inlineStr">
        <is>
          <t>Bergvik skog öst AB</t>
        </is>
      </c>
      <c r="G218" t="n">
        <v>4.3</v>
      </c>
      <c r="H218" t="n">
        <v>0</v>
      </c>
      <c r="I218" t="n">
        <v>0</v>
      </c>
      <c r="J218" t="n">
        <v>0</v>
      </c>
      <c r="K218" t="n">
        <v>0</v>
      </c>
      <c r="L218" t="n">
        <v>0</v>
      </c>
      <c r="M218" t="n">
        <v>0</v>
      </c>
      <c r="N218" t="n">
        <v>0</v>
      </c>
      <c r="O218" t="n">
        <v>0</v>
      </c>
      <c r="P218" t="n">
        <v>0</v>
      </c>
      <c r="Q218" t="n">
        <v>0</v>
      </c>
      <c r="R218" s="2" t="inlineStr"/>
    </row>
    <row r="219" ht="15" customHeight="1">
      <c r="A219" t="inlineStr">
        <is>
          <t>A 15272-2025</t>
        </is>
      </c>
      <c r="B219" s="1" t="n">
        <v>45744</v>
      </c>
      <c r="C219" s="1" t="n">
        <v>46040</v>
      </c>
      <c r="D219" t="inlineStr">
        <is>
          <t>VÄSTMANLANDS LÄN</t>
        </is>
      </c>
      <c r="E219" t="inlineStr">
        <is>
          <t>SALA</t>
        </is>
      </c>
      <c r="G219" t="n">
        <v>0.7</v>
      </c>
      <c r="H219" t="n">
        <v>0</v>
      </c>
      <c r="I219" t="n">
        <v>0</v>
      </c>
      <c r="J219" t="n">
        <v>0</v>
      </c>
      <c r="K219" t="n">
        <v>0</v>
      </c>
      <c r="L219" t="n">
        <v>0</v>
      </c>
      <c r="M219" t="n">
        <v>0</v>
      </c>
      <c r="N219" t="n">
        <v>0</v>
      </c>
      <c r="O219" t="n">
        <v>0</v>
      </c>
      <c r="P219" t="n">
        <v>0</v>
      </c>
      <c r="Q219" t="n">
        <v>0</v>
      </c>
      <c r="R219" s="2" t="inlineStr"/>
    </row>
    <row r="220" ht="15" customHeight="1">
      <c r="A220" t="inlineStr">
        <is>
          <t>A 39167-2025</t>
        </is>
      </c>
      <c r="B220" s="1" t="n">
        <v>45888</v>
      </c>
      <c r="C220" s="1" t="n">
        <v>46040</v>
      </c>
      <c r="D220" t="inlineStr">
        <is>
          <t>VÄSTMANLANDS LÄN</t>
        </is>
      </c>
      <c r="E220" t="inlineStr">
        <is>
          <t>SALA</t>
        </is>
      </c>
      <c r="G220" t="n">
        <v>5.5</v>
      </c>
      <c r="H220" t="n">
        <v>0</v>
      </c>
      <c r="I220" t="n">
        <v>0</v>
      </c>
      <c r="J220" t="n">
        <v>0</v>
      </c>
      <c r="K220" t="n">
        <v>0</v>
      </c>
      <c r="L220" t="n">
        <v>0</v>
      </c>
      <c r="M220" t="n">
        <v>0</v>
      </c>
      <c r="N220" t="n">
        <v>0</v>
      </c>
      <c r="O220" t="n">
        <v>0</v>
      </c>
      <c r="P220" t="n">
        <v>0</v>
      </c>
      <c r="Q220" t="n">
        <v>0</v>
      </c>
      <c r="R220" s="2" t="inlineStr"/>
    </row>
    <row r="221" ht="15" customHeight="1">
      <c r="A221" t="inlineStr">
        <is>
          <t>A 56688-2024</t>
        </is>
      </c>
      <c r="B221" s="1" t="n">
        <v>45627.66478009259</v>
      </c>
      <c r="C221" s="1" t="n">
        <v>46040</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24248-2023</t>
        </is>
      </c>
      <c r="B222" s="1" t="n">
        <v>45079</v>
      </c>
      <c r="C222" s="1" t="n">
        <v>46040</v>
      </c>
      <c r="D222" t="inlineStr">
        <is>
          <t>VÄSTMANLANDS LÄN</t>
        </is>
      </c>
      <c r="E222" t="inlineStr">
        <is>
          <t>SALA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38195-2021</t>
        </is>
      </c>
      <c r="B223" s="1" t="n">
        <v>44405</v>
      </c>
      <c r="C223" s="1" t="n">
        <v>46040</v>
      </c>
      <c r="D223" t="inlineStr">
        <is>
          <t>VÄSTMANLANDS LÄN</t>
        </is>
      </c>
      <c r="E223" t="inlineStr">
        <is>
          <t>SALA</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27228-2023</t>
        </is>
      </c>
      <c r="B224" s="1" t="n">
        <v>45096.59189814814</v>
      </c>
      <c r="C224" s="1" t="n">
        <v>46040</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27261-2024</t>
        </is>
      </c>
      <c r="B225" s="1" t="n">
        <v>45471</v>
      </c>
      <c r="C225" s="1" t="n">
        <v>46040</v>
      </c>
      <c r="D225" t="inlineStr">
        <is>
          <t>VÄSTMANLANDS LÄN</t>
        </is>
      </c>
      <c r="E225" t="inlineStr">
        <is>
          <t>SALA</t>
        </is>
      </c>
      <c r="G225" t="n">
        <v>6.1</v>
      </c>
      <c r="H225" t="n">
        <v>0</v>
      </c>
      <c r="I225" t="n">
        <v>0</v>
      </c>
      <c r="J225" t="n">
        <v>0</v>
      </c>
      <c r="K225" t="n">
        <v>0</v>
      </c>
      <c r="L225" t="n">
        <v>0</v>
      </c>
      <c r="M225" t="n">
        <v>0</v>
      </c>
      <c r="N225" t="n">
        <v>0</v>
      </c>
      <c r="O225" t="n">
        <v>0</v>
      </c>
      <c r="P225" t="n">
        <v>0</v>
      </c>
      <c r="Q225" t="n">
        <v>0</v>
      </c>
      <c r="R225" s="2" t="inlineStr"/>
    </row>
    <row r="226" ht="15" customHeight="1">
      <c r="A226" t="inlineStr">
        <is>
          <t>A 18713-2025</t>
        </is>
      </c>
      <c r="B226" s="1" t="n">
        <v>45763</v>
      </c>
      <c r="C226" s="1" t="n">
        <v>46040</v>
      </c>
      <c r="D226" t="inlineStr">
        <is>
          <t>VÄSTMANLANDS LÄN</t>
        </is>
      </c>
      <c r="E226" t="inlineStr">
        <is>
          <t>SALA</t>
        </is>
      </c>
      <c r="F226" t="inlineStr">
        <is>
          <t>Bergvik skog öst AB</t>
        </is>
      </c>
      <c r="G226" t="n">
        <v>11.6</v>
      </c>
      <c r="H226" t="n">
        <v>0</v>
      </c>
      <c r="I226" t="n">
        <v>0</v>
      </c>
      <c r="J226" t="n">
        <v>0</v>
      </c>
      <c r="K226" t="n">
        <v>0</v>
      </c>
      <c r="L226" t="n">
        <v>0</v>
      </c>
      <c r="M226" t="n">
        <v>0</v>
      </c>
      <c r="N226" t="n">
        <v>0</v>
      </c>
      <c r="O226" t="n">
        <v>0</v>
      </c>
      <c r="P226" t="n">
        <v>0</v>
      </c>
      <c r="Q226" t="n">
        <v>0</v>
      </c>
      <c r="R226" s="2" t="inlineStr"/>
    </row>
    <row r="227" ht="15" customHeight="1">
      <c r="A227" t="inlineStr">
        <is>
          <t>A 54959-2024</t>
        </is>
      </c>
      <c r="B227" s="1" t="n">
        <v>45619</v>
      </c>
      <c r="C227" s="1" t="n">
        <v>46040</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52498-2022</t>
        </is>
      </c>
      <c r="B228" s="1" t="n">
        <v>44874.50152777778</v>
      </c>
      <c r="C228" s="1" t="n">
        <v>46040</v>
      </c>
      <c r="D228" t="inlineStr">
        <is>
          <t>VÄSTMANLANDS LÄN</t>
        </is>
      </c>
      <c r="E228" t="inlineStr">
        <is>
          <t>SALA</t>
        </is>
      </c>
      <c r="G228" t="n">
        <v>2.1</v>
      </c>
      <c r="H228" t="n">
        <v>0</v>
      </c>
      <c r="I228" t="n">
        <v>0</v>
      </c>
      <c r="J228" t="n">
        <v>0</v>
      </c>
      <c r="K228" t="n">
        <v>0</v>
      </c>
      <c r="L228" t="n">
        <v>0</v>
      </c>
      <c r="M228" t="n">
        <v>0</v>
      </c>
      <c r="N228" t="n">
        <v>0</v>
      </c>
      <c r="O228" t="n">
        <v>0</v>
      </c>
      <c r="P228" t="n">
        <v>0</v>
      </c>
      <c r="Q228" t="n">
        <v>0</v>
      </c>
      <c r="R228" s="2" t="inlineStr"/>
    </row>
    <row r="229" ht="15" customHeight="1">
      <c r="A229" t="inlineStr">
        <is>
          <t>A 53838-2022</t>
        </is>
      </c>
      <c r="B229" s="1" t="n">
        <v>44880.59363425926</v>
      </c>
      <c r="C229" s="1" t="n">
        <v>46040</v>
      </c>
      <c r="D229" t="inlineStr">
        <is>
          <t>VÄSTMANLANDS LÄN</t>
        </is>
      </c>
      <c r="E229" t="inlineStr">
        <is>
          <t>SALA</t>
        </is>
      </c>
      <c r="G229" t="n">
        <v>3.9</v>
      </c>
      <c r="H229" t="n">
        <v>0</v>
      </c>
      <c r="I229" t="n">
        <v>0</v>
      </c>
      <c r="J229" t="n">
        <v>0</v>
      </c>
      <c r="K229" t="n">
        <v>0</v>
      </c>
      <c r="L229" t="n">
        <v>0</v>
      </c>
      <c r="M229" t="n">
        <v>0</v>
      </c>
      <c r="N229" t="n">
        <v>0</v>
      </c>
      <c r="O229" t="n">
        <v>0</v>
      </c>
      <c r="P229" t="n">
        <v>0</v>
      </c>
      <c r="Q229" t="n">
        <v>0</v>
      </c>
      <c r="R229" s="2" t="inlineStr"/>
    </row>
    <row r="230" ht="15" customHeight="1">
      <c r="A230" t="inlineStr">
        <is>
          <t>A 27486-2022</t>
        </is>
      </c>
      <c r="B230" s="1" t="n">
        <v>44742.60846064815</v>
      </c>
      <c r="C230" s="1" t="n">
        <v>46040</v>
      </c>
      <c r="D230" t="inlineStr">
        <is>
          <t>VÄSTMANLANDS LÄN</t>
        </is>
      </c>
      <c r="E230" t="inlineStr">
        <is>
          <t>SALA</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16651-2021</t>
        </is>
      </c>
      <c r="B231" s="1" t="n">
        <v>44294.50096064815</v>
      </c>
      <c r="C231" s="1" t="n">
        <v>46040</v>
      </c>
      <c r="D231" t="inlineStr">
        <is>
          <t>VÄSTMANLANDS LÄN</t>
        </is>
      </c>
      <c r="E231" t="inlineStr">
        <is>
          <t>SALA</t>
        </is>
      </c>
      <c r="G231" t="n">
        <v>7.7</v>
      </c>
      <c r="H231" t="n">
        <v>0</v>
      </c>
      <c r="I231" t="n">
        <v>0</v>
      </c>
      <c r="J231" t="n">
        <v>0</v>
      </c>
      <c r="K231" t="n">
        <v>0</v>
      </c>
      <c r="L231" t="n">
        <v>0</v>
      </c>
      <c r="M231" t="n">
        <v>0</v>
      </c>
      <c r="N231" t="n">
        <v>0</v>
      </c>
      <c r="O231" t="n">
        <v>0</v>
      </c>
      <c r="P231" t="n">
        <v>0</v>
      </c>
      <c r="Q231" t="n">
        <v>0</v>
      </c>
      <c r="R231" s="2" t="inlineStr"/>
    </row>
    <row r="232" ht="15" customHeight="1">
      <c r="A232" t="inlineStr">
        <is>
          <t>A 6134-2024</t>
        </is>
      </c>
      <c r="B232" s="1" t="n">
        <v>45337</v>
      </c>
      <c r="C232" s="1" t="n">
        <v>46040</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25260-2023</t>
        </is>
      </c>
      <c r="B233" s="1" t="n">
        <v>45086</v>
      </c>
      <c r="C233" s="1" t="n">
        <v>46040</v>
      </c>
      <c r="D233" t="inlineStr">
        <is>
          <t>VÄSTMANLANDS LÄN</t>
        </is>
      </c>
      <c r="E233" t="inlineStr">
        <is>
          <t>SALA</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15354-2021</t>
        </is>
      </c>
      <c r="B234" s="1" t="n">
        <v>44284</v>
      </c>
      <c r="C234" s="1" t="n">
        <v>46040</v>
      </c>
      <c r="D234" t="inlineStr">
        <is>
          <t>VÄSTMANLANDS LÄN</t>
        </is>
      </c>
      <c r="E234" t="inlineStr">
        <is>
          <t>SALA</t>
        </is>
      </c>
      <c r="F234" t="inlineStr">
        <is>
          <t>Kyrkan</t>
        </is>
      </c>
      <c r="G234" t="n">
        <v>8.5</v>
      </c>
      <c r="H234" t="n">
        <v>0</v>
      </c>
      <c r="I234" t="n">
        <v>0</v>
      </c>
      <c r="J234" t="n">
        <v>0</v>
      </c>
      <c r="K234" t="n">
        <v>0</v>
      </c>
      <c r="L234" t="n">
        <v>0</v>
      </c>
      <c r="M234" t="n">
        <v>0</v>
      </c>
      <c r="N234" t="n">
        <v>0</v>
      </c>
      <c r="O234" t="n">
        <v>0</v>
      </c>
      <c r="P234" t="n">
        <v>0</v>
      </c>
      <c r="Q234" t="n">
        <v>0</v>
      </c>
      <c r="R234" s="2" t="inlineStr"/>
    </row>
    <row r="235" ht="15" customHeight="1">
      <c r="A235" t="inlineStr">
        <is>
          <t>A 16769-2024</t>
        </is>
      </c>
      <c r="B235" s="1" t="n">
        <v>45411.38738425926</v>
      </c>
      <c r="C235" s="1" t="n">
        <v>46040</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40556-2025</t>
        </is>
      </c>
      <c r="B236" s="1" t="n">
        <v>45896.44944444444</v>
      </c>
      <c r="C236" s="1" t="n">
        <v>46040</v>
      </c>
      <c r="D236" t="inlineStr">
        <is>
          <t>VÄSTMANLANDS LÄN</t>
        </is>
      </c>
      <c r="E236" t="inlineStr">
        <is>
          <t>SALA</t>
        </is>
      </c>
      <c r="G236" t="n">
        <v>1.9</v>
      </c>
      <c r="H236" t="n">
        <v>0</v>
      </c>
      <c r="I236" t="n">
        <v>0</v>
      </c>
      <c r="J236" t="n">
        <v>0</v>
      </c>
      <c r="K236" t="n">
        <v>0</v>
      </c>
      <c r="L236" t="n">
        <v>0</v>
      </c>
      <c r="M236" t="n">
        <v>0</v>
      </c>
      <c r="N236" t="n">
        <v>0</v>
      </c>
      <c r="O236" t="n">
        <v>0</v>
      </c>
      <c r="P236" t="n">
        <v>0</v>
      </c>
      <c r="Q236" t="n">
        <v>0</v>
      </c>
      <c r="R236" s="2" t="inlineStr"/>
    </row>
    <row r="237" ht="15" customHeight="1">
      <c r="A237" t="inlineStr">
        <is>
          <t>A 40559-2025</t>
        </is>
      </c>
      <c r="B237" s="1" t="n">
        <v>45896.45037037037</v>
      </c>
      <c r="C237" s="1" t="n">
        <v>46040</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60249-2023</t>
        </is>
      </c>
      <c r="B238" s="1" t="n">
        <v>45258</v>
      </c>
      <c r="C238" s="1" t="n">
        <v>46040</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14271-2025</t>
        </is>
      </c>
      <c r="B239" s="1" t="n">
        <v>45740.64129629629</v>
      </c>
      <c r="C239" s="1" t="n">
        <v>46040</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40620-2025</t>
        </is>
      </c>
      <c r="B240" s="1" t="n">
        <v>45896.58609953704</v>
      </c>
      <c r="C240" s="1" t="n">
        <v>46040</v>
      </c>
      <c r="D240" t="inlineStr">
        <is>
          <t>VÄSTMANLANDS LÄN</t>
        </is>
      </c>
      <c r="E240" t="inlineStr">
        <is>
          <t>SALA</t>
        </is>
      </c>
      <c r="G240" t="n">
        <v>6.7</v>
      </c>
      <c r="H240" t="n">
        <v>0</v>
      </c>
      <c r="I240" t="n">
        <v>0</v>
      </c>
      <c r="J240" t="n">
        <v>0</v>
      </c>
      <c r="K240" t="n">
        <v>0</v>
      </c>
      <c r="L240" t="n">
        <v>0</v>
      </c>
      <c r="M240" t="n">
        <v>0</v>
      </c>
      <c r="N240" t="n">
        <v>0</v>
      </c>
      <c r="O240" t="n">
        <v>0</v>
      </c>
      <c r="P240" t="n">
        <v>0</v>
      </c>
      <c r="Q240" t="n">
        <v>0</v>
      </c>
      <c r="R240" s="2" t="inlineStr"/>
    </row>
    <row r="241" ht="15" customHeight="1">
      <c r="A241" t="inlineStr">
        <is>
          <t>A 69232-2021</t>
        </is>
      </c>
      <c r="B241" s="1" t="n">
        <v>44531.39696759259</v>
      </c>
      <c r="C241" s="1" t="n">
        <v>46040</v>
      </c>
      <c r="D241" t="inlineStr">
        <is>
          <t>VÄSTMANLANDS LÄN</t>
        </is>
      </c>
      <c r="E241" t="inlineStr">
        <is>
          <t>SALA</t>
        </is>
      </c>
      <c r="G241" t="n">
        <v>2.3</v>
      </c>
      <c r="H241" t="n">
        <v>0</v>
      </c>
      <c r="I241" t="n">
        <v>0</v>
      </c>
      <c r="J241" t="n">
        <v>0</v>
      </c>
      <c r="K241" t="n">
        <v>0</v>
      </c>
      <c r="L241" t="n">
        <v>0</v>
      </c>
      <c r="M241" t="n">
        <v>0</v>
      </c>
      <c r="N241" t="n">
        <v>0</v>
      </c>
      <c r="O241" t="n">
        <v>0</v>
      </c>
      <c r="P241" t="n">
        <v>0</v>
      </c>
      <c r="Q241" t="n">
        <v>0</v>
      </c>
      <c r="R241" s="2" t="inlineStr"/>
    </row>
    <row r="242" ht="15" customHeight="1">
      <c r="A242" t="inlineStr">
        <is>
          <t>A 57014-2025</t>
        </is>
      </c>
      <c r="B242" s="1" t="n">
        <v>45978</v>
      </c>
      <c r="C242" s="1" t="n">
        <v>46040</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56502-2025</t>
        </is>
      </c>
      <c r="B243" s="1" t="n">
        <v>45975</v>
      </c>
      <c r="C243" s="1" t="n">
        <v>46040</v>
      </c>
      <c r="D243" t="inlineStr">
        <is>
          <t>VÄSTMANLANDS LÄN</t>
        </is>
      </c>
      <c r="E243" t="inlineStr">
        <is>
          <t>SALA</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28328-2023</t>
        </is>
      </c>
      <c r="B244" s="1" t="n">
        <v>45099.71063657408</v>
      </c>
      <c r="C244" s="1" t="n">
        <v>46040</v>
      </c>
      <c r="D244" t="inlineStr">
        <is>
          <t>VÄSTMANLANDS LÄN</t>
        </is>
      </c>
      <c r="E244" t="inlineStr">
        <is>
          <t>SALA</t>
        </is>
      </c>
      <c r="G244" t="n">
        <v>1.8</v>
      </c>
      <c r="H244" t="n">
        <v>0</v>
      </c>
      <c r="I244" t="n">
        <v>0</v>
      </c>
      <c r="J244" t="n">
        <v>0</v>
      </c>
      <c r="K244" t="n">
        <v>0</v>
      </c>
      <c r="L244" t="n">
        <v>0</v>
      </c>
      <c r="M244" t="n">
        <v>0</v>
      </c>
      <c r="N244" t="n">
        <v>0</v>
      </c>
      <c r="O244" t="n">
        <v>0</v>
      </c>
      <c r="P244" t="n">
        <v>0</v>
      </c>
      <c r="Q244" t="n">
        <v>0</v>
      </c>
      <c r="R244" s="2" t="inlineStr"/>
    </row>
    <row r="245" ht="15" customHeight="1">
      <c r="A245" t="inlineStr">
        <is>
          <t>A 56593-2025</t>
        </is>
      </c>
      <c r="B245" s="1" t="n">
        <v>45975</v>
      </c>
      <c r="C245" s="1" t="n">
        <v>46040</v>
      </c>
      <c r="D245" t="inlineStr">
        <is>
          <t>VÄSTMANLANDS LÄN</t>
        </is>
      </c>
      <c r="E245" t="inlineStr">
        <is>
          <t>SALA</t>
        </is>
      </c>
      <c r="F245" t="inlineStr">
        <is>
          <t>Kyrkan</t>
        </is>
      </c>
      <c r="G245" t="n">
        <v>0.1</v>
      </c>
      <c r="H245" t="n">
        <v>0</v>
      </c>
      <c r="I245" t="n">
        <v>0</v>
      </c>
      <c r="J245" t="n">
        <v>0</v>
      </c>
      <c r="K245" t="n">
        <v>0</v>
      </c>
      <c r="L245" t="n">
        <v>0</v>
      </c>
      <c r="M245" t="n">
        <v>0</v>
      </c>
      <c r="N245" t="n">
        <v>0</v>
      </c>
      <c r="O245" t="n">
        <v>0</v>
      </c>
      <c r="P245" t="n">
        <v>0</v>
      </c>
      <c r="Q245" t="n">
        <v>0</v>
      </c>
      <c r="R245" s="2" t="inlineStr"/>
    </row>
    <row r="246" ht="15" customHeight="1">
      <c r="A246" t="inlineStr">
        <is>
          <t>A 63749-2025</t>
        </is>
      </c>
      <c r="B246" s="1" t="n">
        <v>46017.75243055556</v>
      </c>
      <c r="C246" s="1" t="n">
        <v>46040</v>
      </c>
      <c r="D246" t="inlineStr">
        <is>
          <t>VÄSTMANLANDS LÄN</t>
        </is>
      </c>
      <c r="E246" t="inlineStr">
        <is>
          <t>SALA</t>
        </is>
      </c>
      <c r="G246" t="n">
        <v>1.5</v>
      </c>
      <c r="H246" t="n">
        <v>0</v>
      </c>
      <c r="I246" t="n">
        <v>0</v>
      </c>
      <c r="J246" t="n">
        <v>0</v>
      </c>
      <c r="K246" t="n">
        <v>0</v>
      </c>
      <c r="L246" t="n">
        <v>0</v>
      </c>
      <c r="M246" t="n">
        <v>0</v>
      </c>
      <c r="N246" t="n">
        <v>0</v>
      </c>
      <c r="O246" t="n">
        <v>0</v>
      </c>
      <c r="P246" t="n">
        <v>0</v>
      </c>
      <c r="Q246" t="n">
        <v>0</v>
      </c>
      <c r="R246" s="2" t="inlineStr"/>
    </row>
    <row r="247" ht="15" customHeight="1">
      <c r="A247" t="inlineStr">
        <is>
          <t>A 56645-2025</t>
        </is>
      </c>
      <c r="B247" s="1" t="n">
        <v>45975.63063657407</v>
      </c>
      <c r="C247" s="1" t="n">
        <v>46040</v>
      </c>
      <c r="D247" t="inlineStr">
        <is>
          <t>VÄSTMANLANDS LÄN</t>
        </is>
      </c>
      <c r="E247" t="inlineStr">
        <is>
          <t>SALA</t>
        </is>
      </c>
      <c r="F247" t="inlineStr">
        <is>
          <t>Bergvik skog öst AB</t>
        </is>
      </c>
      <c r="G247" t="n">
        <v>5.3</v>
      </c>
      <c r="H247" t="n">
        <v>0</v>
      </c>
      <c r="I247" t="n">
        <v>0</v>
      </c>
      <c r="J247" t="n">
        <v>0</v>
      </c>
      <c r="K247" t="n">
        <v>0</v>
      </c>
      <c r="L247" t="n">
        <v>0</v>
      </c>
      <c r="M247" t="n">
        <v>0</v>
      </c>
      <c r="N247" t="n">
        <v>0</v>
      </c>
      <c r="O247" t="n">
        <v>0</v>
      </c>
      <c r="P247" t="n">
        <v>0</v>
      </c>
      <c r="Q247" t="n">
        <v>0</v>
      </c>
      <c r="R247" s="2" t="inlineStr"/>
    </row>
    <row r="248" ht="15" customHeight="1">
      <c r="A248" t="inlineStr">
        <is>
          <t>A 63748-2025</t>
        </is>
      </c>
      <c r="B248" s="1" t="n">
        <v>46017.71640046296</v>
      </c>
      <c r="C248" s="1" t="n">
        <v>46040</v>
      </c>
      <c r="D248" t="inlineStr">
        <is>
          <t>VÄSTMANLANDS LÄN</t>
        </is>
      </c>
      <c r="E248" t="inlineStr">
        <is>
          <t>SALA</t>
        </is>
      </c>
      <c r="G248" t="n">
        <v>1.6</v>
      </c>
      <c r="H248" t="n">
        <v>0</v>
      </c>
      <c r="I248" t="n">
        <v>0</v>
      </c>
      <c r="J248" t="n">
        <v>0</v>
      </c>
      <c r="K248" t="n">
        <v>0</v>
      </c>
      <c r="L248" t="n">
        <v>0</v>
      </c>
      <c r="M248" t="n">
        <v>0</v>
      </c>
      <c r="N248" t="n">
        <v>0</v>
      </c>
      <c r="O248" t="n">
        <v>0</v>
      </c>
      <c r="P248" t="n">
        <v>0</v>
      </c>
      <c r="Q248" t="n">
        <v>0</v>
      </c>
      <c r="R248" s="2" t="inlineStr"/>
    </row>
    <row r="249" ht="15" customHeight="1">
      <c r="A249" t="inlineStr">
        <is>
          <t>A 40085-2024</t>
        </is>
      </c>
      <c r="B249" s="1" t="n">
        <v>45554</v>
      </c>
      <c r="C249" s="1" t="n">
        <v>46040</v>
      </c>
      <c r="D249" t="inlineStr">
        <is>
          <t>VÄSTMANLANDS LÄN</t>
        </is>
      </c>
      <c r="E249" t="inlineStr">
        <is>
          <t>SALA</t>
        </is>
      </c>
      <c r="G249" t="n">
        <v>2.8</v>
      </c>
      <c r="H249" t="n">
        <v>0</v>
      </c>
      <c r="I249" t="n">
        <v>0</v>
      </c>
      <c r="J249" t="n">
        <v>0</v>
      </c>
      <c r="K249" t="n">
        <v>0</v>
      </c>
      <c r="L249" t="n">
        <v>0</v>
      </c>
      <c r="M249" t="n">
        <v>0</v>
      </c>
      <c r="N249" t="n">
        <v>0</v>
      </c>
      <c r="O249" t="n">
        <v>0</v>
      </c>
      <c r="P249" t="n">
        <v>0</v>
      </c>
      <c r="Q249" t="n">
        <v>0</v>
      </c>
      <c r="R249" s="2" t="inlineStr"/>
    </row>
    <row r="250" ht="15" customHeight="1">
      <c r="A250" t="inlineStr">
        <is>
          <t>A 18158-2025</t>
        </is>
      </c>
      <c r="B250" s="1" t="n">
        <v>45761</v>
      </c>
      <c r="C250" s="1" t="n">
        <v>46040</v>
      </c>
      <c r="D250" t="inlineStr">
        <is>
          <t>VÄSTMANLANDS LÄN</t>
        </is>
      </c>
      <c r="E250" t="inlineStr">
        <is>
          <t>SALA</t>
        </is>
      </c>
      <c r="F250" t="inlineStr">
        <is>
          <t>Bergvik skog öst AB</t>
        </is>
      </c>
      <c r="G250" t="n">
        <v>1.6</v>
      </c>
      <c r="H250" t="n">
        <v>0</v>
      </c>
      <c r="I250" t="n">
        <v>0</v>
      </c>
      <c r="J250" t="n">
        <v>0</v>
      </c>
      <c r="K250" t="n">
        <v>0</v>
      </c>
      <c r="L250" t="n">
        <v>0</v>
      </c>
      <c r="M250" t="n">
        <v>0</v>
      </c>
      <c r="N250" t="n">
        <v>0</v>
      </c>
      <c r="O250" t="n">
        <v>0</v>
      </c>
      <c r="P250" t="n">
        <v>0</v>
      </c>
      <c r="Q250" t="n">
        <v>0</v>
      </c>
      <c r="R250" s="2" t="inlineStr"/>
    </row>
    <row r="251" ht="15" customHeight="1">
      <c r="A251" t="inlineStr">
        <is>
          <t>A 49661-2024</t>
        </is>
      </c>
      <c r="B251" s="1" t="n">
        <v>45596</v>
      </c>
      <c r="C251" s="1" t="n">
        <v>46040</v>
      </c>
      <c r="D251" t="inlineStr">
        <is>
          <t>VÄSTMANLANDS LÄN</t>
        </is>
      </c>
      <c r="E251" t="inlineStr">
        <is>
          <t>SALA</t>
        </is>
      </c>
      <c r="G251" t="n">
        <v>6.7</v>
      </c>
      <c r="H251" t="n">
        <v>0</v>
      </c>
      <c r="I251" t="n">
        <v>0</v>
      </c>
      <c r="J251" t="n">
        <v>0</v>
      </c>
      <c r="K251" t="n">
        <v>0</v>
      </c>
      <c r="L251" t="n">
        <v>0</v>
      </c>
      <c r="M251" t="n">
        <v>0</v>
      </c>
      <c r="N251" t="n">
        <v>0</v>
      </c>
      <c r="O251" t="n">
        <v>0</v>
      </c>
      <c r="P251" t="n">
        <v>0</v>
      </c>
      <c r="Q251" t="n">
        <v>0</v>
      </c>
      <c r="R251" s="2" t="inlineStr"/>
    </row>
    <row r="252" ht="15" customHeight="1">
      <c r="A252" t="inlineStr">
        <is>
          <t>A 39597-2022</t>
        </is>
      </c>
      <c r="B252" s="1" t="n">
        <v>44818</v>
      </c>
      <c r="C252" s="1" t="n">
        <v>46040</v>
      </c>
      <c r="D252" t="inlineStr">
        <is>
          <t>VÄSTMANLANDS LÄN</t>
        </is>
      </c>
      <c r="E252" t="inlineStr">
        <is>
          <t>SALA</t>
        </is>
      </c>
      <c r="G252" t="n">
        <v>2.3</v>
      </c>
      <c r="H252" t="n">
        <v>0</v>
      </c>
      <c r="I252" t="n">
        <v>0</v>
      </c>
      <c r="J252" t="n">
        <v>0</v>
      </c>
      <c r="K252" t="n">
        <v>0</v>
      </c>
      <c r="L252" t="n">
        <v>0</v>
      </c>
      <c r="M252" t="n">
        <v>0</v>
      </c>
      <c r="N252" t="n">
        <v>0</v>
      </c>
      <c r="O252" t="n">
        <v>0</v>
      </c>
      <c r="P252" t="n">
        <v>0</v>
      </c>
      <c r="Q252" t="n">
        <v>0</v>
      </c>
      <c r="R252" s="2" t="inlineStr"/>
    </row>
    <row r="253" ht="15" customHeight="1">
      <c r="A253" t="inlineStr">
        <is>
          <t>A 41230-2025</t>
        </is>
      </c>
      <c r="B253" s="1" t="n">
        <v>45898</v>
      </c>
      <c r="C253" s="1" t="n">
        <v>46040</v>
      </c>
      <c r="D253" t="inlineStr">
        <is>
          <t>VÄSTMANLANDS LÄN</t>
        </is>
      </c>
      <c r="E253" t="inlineStr">
        <is>
          <t>SALA</t>
        </is>
      </c>
      <c r="G253" t="n">
        <v>2.3</v>
      </c>
      <c r="H253" t="n">
        <v>0</v>
      </c>
      <c r="I253" t="n">
        <v>0</v>
      </c>
      <c r="J253" t="n">
        <v>0</v>
      </c>
      <c r="K253" t="n">
        <v>0</v>
      </c>
      <c r="L253" t="n">
        <v>0</v>
      </c>
      <c r="M253" t="n">
        <v>0</v>
      </c>
      <c r="N253" t="n">
        <v>0</v>
      </c>
      <c r="O253" t="n">
        <v>0</v>
      </c>
      <c r="P253" t="n">
        <v>0</v>
      </c>
      <c r="Q253" t="n">
        <v>0</v>
      </c>
      <c r="R253" s="2" t="inlineStr"/>
    </row>
    <row r="254" ht="15" customHeight="1">
      <c r="A254" t="inlineStr">
        <is>
          <t>A 57412-2025</t>
        </is>
      </c>
      <c r="B254" s="1" t="n">
        <v>45980.44883101852</v>
      </c>
      <c r="C254" s="1" t="n">
        <v>46040</v>
      </c>
      <c r="D254" t="inlineStr">
        <is>
          <t>VÄSTMANLANDS LÄN</t>
        </is>
      </c>
      <c r="E254" t="inlineStr">
        <is>
          <t>SALA</t>
        </is>
      </c>
      <c r="F254" t="inlineStr">
        <is>
          <t>Bergvik skog öst AB</t>
        </is>
      </c>
      <c r="G254" t="n">
        <v>4.5</v>
      </c>
      <c r="H254" t="n">
        <v>0</v>
      </c>
      <c r="I254" t="n">
        <v>0</v>
      </c>
      <c r="J254" t="n">
        <v>0</v>
      </c>
      <c r="K254" t="n">
        <v>0</v>
      </c>
      <c r="L254" t="n">
        <v>0</v>
      </c>
      <c r="M254" t="n">
        <v>0</v>
      </c>
      <c r="N254" t="n">
        <v>0</v>
      </c>
      <c r="O254" t="n">
        <v>0</v>
      </c>
      <c r="P254" t="n">
        <v>0</v>
      </c>
      <c r="Q254" t="n">
        <v>0</v>
      </c>
      <c r="R254" s="2" t="inlineStr"/>
    </row>
    <row r="255" ht="15" customHeight="1">
      <c r="A255" t="inlineStr">
        <is>
          <t>A 25860-2024</t>
        </is>
      </c>
      <c r="B255" s="1" t="n">
        <v>45467.46278935186</v>
      </c>
      <c r="C255" s="1" t="n">
        <v>46040</v>
      </c>
      <c r="D255" t="inlineStr">
        <is>
          <t>VÄSTMANLANDS LÄN</t>
        </is>
      </c>
      <c r="E255" t="inlineStr">
        <is>
          <t>SALA</t>
        </is>
      </c>
      <c r="G255" t="n">
        <v>0.7</v>
      </c>
      <c r="H255" t="n">
        <v>0</v>
      </c>
      <c r="I255" t="n">
        <v>0</v>
      </c>
      <c r="J255" t="n">
        <v>0</v>
      </c>
      <c r="K255" t="n">
        <v>0</v>
      </c>
      <c r="L255" t="n">
        <v>0</v>
      </c>
      <c r="M255" t="n">
        <v>0</v>
      </c>
      <c r="N255" t="n">
        <v>0</v>
      </c>
      <c r="O255" t="n">
        <v>0</v>
      </c>
      <c r="P255" t="n">
        <v>0</v>
      </c>
      <c r="Q255" t="n">
        <v>0</v>
      </c>
      <c r="R255" s="2" t="inlineStr"/>
    </row>
    <row r="256" ht="15" customHeight="1">
      <c r="A256" t="inlineStr">
        <is>
          <t>A 22026-2021</t>
        </is>
      </c>
      <c r="B256" s="1" t="n">
        <v>44323</v>
      </c>
      <c r="C256" s="1" t="n">
        <v>46040</v>
      </c>
      <c r="D256" t="inlineStr">
        <is>
          <t>VÄSTMANLANDS LÄN</t>
        </is>
      </c>
      <c r="E256" t="inlineStr">
        <is>
          <t>SALA</t>
        </is>
      </c>
      <c r="G256" t="n">
        <v>2.9</v>
      </c>
      <c r="H256" t="n">
        <v>0</v>
      </c>
      <c r="I256" t="n">
        <v>0</v>
      </c>
      <c r="J256" t="n">
        <v>0</v>
      </c>
      <c r="K256" t="n">
        <v>0</v>
      </c>
      <c r="L256" t="n">
        <v>0</v>
      </c>
      <c r="M256" t="n">
        <v>0</v>
      </c>
      <c r="N256" t="n">
        <v>0</v>
      </c>
      <c r="O256" t="n">
        <v>0</v>
      </c>
      <c r="P256" t="n">
        <v>0</v>
      </c>
      <c r="Q256" t="n">
        <v>0</v>
      </c>
      <c r="R256" s="2" t="inlineStr"/>
    </row>
    <row r="257" ht="15" customHeight="1">
      <c r="A257" t="inlineStr">
        <is>
          <t>A 57414-2025</t>
        </is>
      </c>
      <c r="B257" s="1" t="n">
        <v>45980.45003472222</v>
      </c>
      <c r="C257" s="1" t="n">
        <v>46040</v>
      </c>
      <c r="D257" t="inlineStr">
        <is>
          <t>VÄSTMANLANDS LÄN</t>
        </is>
      </c>
      <c r="E257" t="inlineStr">
        <is>
          <t>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57415-2025</t>
        </is>
      </c>
      <c r="B258" s="1" t="n">
        <v>45980.45099537037</v>
      </c>
      <c r="C258" s="1" t="n">
        <v>46040</v>
      </c>
      <c r="D258" t="inlineStr">
        <is>
          <t>VÄSTMANLANDS LÄN</t>
        </is>
      </c>
      <c r="E258" t="inlineStr">
        <is>
          <t>SALA</t>
        </is>
      </c>
      <c r="F258" t="inlineStr">
        <is>
          <t>Bergvik skog öst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41431-2025</t>
        </is>
      </c>
      <c r="B259" s="1" t="n">
        <v>45901.39347222223</v>
      </c>
      <c r="C259" s="1" t="n">
        <v>46040</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35519-2024</t>
        </is>
      </c>
      <c r="B260" s="1" t="n">
        <v>45531</v>
      </c>
      <c r="C260" s="1" t="n">
        <v>46040</v>
      </c>
      <c r="D260" t="inlineStr">
        <is>
          <t>VÄSTMANLANDS LÄN</t>
        </is>
      </c>
      <c r="E260" t="inlineStr">
        <is>
          <t>SALA</t>
        </is>
      </c>
      <c r="G260" t="n">
        <v>1.8</v>
      </c>
      <c r="H260" t="n">
        <v>0</v>
      </c>
      <c r="I260" t="n">
        <v>0</v>
      </c>
      <c r="J260" t="n">
        <v>0</v>
      </c>
      <c r="K260" t="n">
        <v>0</v>
      </c>
      <c r="L260" t="n">
        <v>0</v>
      </c>
      <c r="M260" t="n">
        <v>0</v>
      </c>
      <c r="N260" t="n">
        <v>0</v>
      </c>
      <c r="O260" t="n">
        <v>0</v>
      </c>
      <c r="P260" t="n">
        <v>0</v>
      </c>
      <c r="Q260" t="n">
        <v>0</v>
      </c>
      <c r="R260" s="2" t="inlineStr"/>
    </row>
    <row r="261" ht="15" customHeight="1">
      <c r="A261" t="inlineStr">
        <is>
          <t>A 41414-2025</t>
        </is>
      </c>
      <c r="B261" s="1" t="n">
        <v>45901.360625</v>
      </c>
      <c r="C261" s="1" t="n">
        <v>46040</v>
      </c>
      <c r="D261" t="inlineStr">
        <is>
          <t>VÄSTMANLANDS LÄN</t>
        </is>
      </c>
      <c r="E261" t="inlineStr">
        <is>
          <t>SALA</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53164-2024</t>
        </is>
      </c>
      <c r="B262" s="1" t="n">
        <v>45611.64887731482</v>
      </c>
      <c r="C262" s="1" t="n">
        <v>46040</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54347-2024</t>
        </is>
      </c>
      <c r="B263" s="1" t="n">
        <v>45617.39325231482</v>
      </c>
      <c r="C263" s="1" t="n">
        <v>46040</v>
      </c>
      <c r="D263" t="inlineStr">
        <is>
          <t>VÄSTMANLANDS LÄN</t>
        </is>
      </c>
      <c r="E263" t="inlineStr">
        <is>
          <t>SALA</t>
        </is>
      </c>
      <c r="G263" t="n">
        <v>2</v>
      </c>
      <c r="H263" t="n">
        <v>0</v>
      </c>
      <c r="I263" t="n">
        <v>0</v>
      </c>
      <c r="J263" t="n">
        <v>0</v>
      </c>
      <c r="K263" t="n">
        <v>0</v>
      </c>
      <c r="L263" t="n">
        <v>0</v>
      </c>
      <c r="M263" t="n">
        <v>0</v>
      </c>
      <c r="N263" t="n">
        <v>0</v>
      </c>
      <c r="O263" t="n">
        <v>0</v>
      </c>
      <c r="P263" t="n">
        <v>0</v>
      </c>
      <c r="Q263" t="n">
        <v>0</v>
      </c>
      <c r="R263" s="2" t="inlineStr"/>
    </row>
    <row r="264" ht="15" customHeight="1">
      <c r="A264" t="inlineStr">
        <is>
          <t>A 61717-2024</t>
        </is>
      </c>
      <c r="B264" s="1" t="n">
        <v>45648</v>
      </c>
      <c r="C264" s="1" t="n">
        <v>46040</v>
      </c>
      <c r="D264" t="inlineStr">
        <is>
          <t>VÄSTMANLANDS LÄN</t>
        </is>
      </c>
      <c r="E264" t="inlineStr">
        <is>
          <t>SALA</t>
        </is>
      </c>
      <c r="G264" t="n">
        <v>3.7</v>
      </c>
      <c r="H264" t="n">
        <v>0</v>
      </c>
      <c r="I264" t="n">
        <v>0</v>
      </c>
      <c r="J264" t="n">
        <v>0</v>
      </c>
      <c r="K264" t="n">
        <v>0</v>
      </c>
      <c r="L264" t="n">
        <v>0</v>
      </c>
      <c r="M264" t="n">
        <v>0</v>
      </c>
      <c r="N264" t="n">
        <v>0</v>
      </c>
      <c r="O264" t="n">
        <v>0</v>
      </c>
      <c r="P264" t="n">
        <v>0</v>
      </c>
      <c r="Q264" t="n">
        <v>0</v>
      </c>
      <c r="R264" s="2" t="inlineStr"/>
    </row>
    <row r="265" ht="15" customHeight="1">
      <c r="A265" t="inlineStr">
        <is>
          <t>A 13022-2023</t>
        </is>
      </c>
      <c r="B265" s="1" t="n">
        <v>45002.33291666667</v>
      </c>
      <c r="C265" s="1" t="n">
        <v>46040</v>
      </c>
      <c r="D265" t="inlineStr">
        <is>
          <t>VÄSTMANLANDS LÄN</t>
        </is>
      </c>
      <c r="E265" t="inlineStr">
        <is>
          <t>SALA</t>
        </is>
      </c>
      <c r="G265" t="n">
        <v>1.5</v>
      </c>
      <c r="H265" t="n">
        <v>0</v>
      </c>
      <c r="I265" t="n">
        <v>0</v>
      </c>
      <c r="J265" t="n">
        <v>0</v>
      </c>
      <c r="K265" t="n">
        <v>0</v>
      </c>
      <c r="L265" t="n">
        <v>0</v>
      </c>
      <c r="M265" t="n">
        <v>0</v>
      </c>
      <c r="N265" t="n">
        <v>0</v>
      </c>
      <c r="O265" t="n">
        <v>0</v>
      </c>
      <c r="P265" t="n">
        <v>0</v>
      </c>
      <c r="Q265" t="n">
        <v>0</v>
      </c>
      <c r="R265" s="2" t="inlineStr"/>
    </row>
    <row r="266" ht="15" customHeight="1">
      <c r="A266" t="inlineStr">
        <is>
          <t>A 35003-2024</t>
        </is>
      </c>
      <c r="B266" s="1" t="n">
        <v>45527.56790509259</v>
      </c>
      <c r="C266" s="1" t="n">
        <v>46040</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16160-2024</t>
        </is>
      </c>
      <c r="B267" s="1" t="n">
        <v>45406</v>
      </c>
      <c r="C267" s="1" t="n">
        <v>46040</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40597-2022</t>
        </is>
      </c>
      <c r="B268" s="1" t="n">
        <v>44823.84862268518</v>
      </c>
      <c r="C268" s="1" t="n">
        <v>46040</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58357-2025</t>
        </is>
      </c>
      <c r="B269" s="1" t="n">
        <v>45985.51518518518</v>
      </c>
      <c r="C269" s="1" t="n">
        <v>46040</v>
      </c>
      <c r="D269" t="inlineStr">
        <is>
          <t>VÄSTMANLANDS LÄN</t>
        </is>
      </c>
      <c r="E269" t="inlineStr">
        <is>
          <t>SALA</t>
        </is>
      </c>
      <c r="G269" t="n">
        <v>3</v>
      </c>
      <c r="H269" t="n">
        <v>0</v>
      </c>
      <c r="I269" t="n">
        <v>0</v>
      </c>
      <c r="J269" t="n">
        <v>0</v>
      </c>
      <c r="K269" t="n">
        <v>0</v>
      </c>
      <c r="L269" t="n">
        <v>0</v>
      </c>
      <c r="M269" t="n">
        <v>0</v>
      </c>
      <c r="N269" t="n">
        <v>0</v>
      </c>
      <c r="O269" t="n">
        <v>0</v>
      </c>
      <c r="P269" t="n">
        <v>0</v>
      </c>
      <c r="Q269" t="n">
        <v>0</v>
      </c>
      <c r="R269" s="2" t="inlineStr"/>
    </row>
    <row r="270" ht="15" customHeight="1">
      <c r="A270" t="inlineStr">
        <is>
          <t>A 66307-2021</t>
        </is>
      </c>
      <c r="B270" s="1" t="n">
        <v>44518.48670138889</v>
      </c>
      <c r="C270" s="1" t="n">
        <v>46040</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6030-2024</t>
        </is>
      </c>
      <c r="B271" s="1" t="n">
        <v>45336.62782407407</v>
      </c>
      <c r="C271" s="1" t="n">
        <v>46040</v>
      </c>
      <c r="D271" t="inlineStr">
        <is>
          <t>VÄSTMANLANDS LÄN</t>
        </is>
      </c>
      <c r="E271" t="inlineStr">
        <is>
          <t>SALA</t>
        </is>
      </c>
      <c r="G271" t="n">
        <v>3.9</v>
      </c>
      <c r="H271" t="n">
        <v>0</v>
      </c>
      <c r="I271" t="n">
        <v>0</v>
      </c>
      <c r="J271" t="n">
        <v>0</v>
      </c>
      <c r="K271" t="n">
        <v>0</v>
      </c>
      <c r="L271" t="n">
        <v>0</v>
      </c>
      <c r="M271" t="n">
        <v>0</v>
      </c>
      <c r="N271" t="n">
        <v>0</v>
      </c>
      <c r="O271" t="n">
        <v>0</v>
      </c>
      <c r="P271" t="n">
        <v>0</v>
      </c>
      <c r="Q271" t="n">
        <v>0</v>
      </c>
      <c r="R271" s="2" t="inlineStr"/>
    </row>
    <row r="272" ht="15" customHeight="1">
      <c r="A272" t="inlineStr">
        <is>
          <t>A 55760-2025</t>
        </is>
      </c>
      <c r="B272" s="1" t="n">
        <v>45972</v>
      </c>
      <c r="C272" s="1" t="n">
        <v>46040</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26761-2023</t>
        </is>
      </c>
      <c r="B273" s="1" t="n">
        <v>45093</v>
      </c>
      <c r="C273" s="1" t="n">
        <v>46040</v>
      </c>
      <c r="D273" t="inlineStr">
        <is>
          <t>VÄSTMANLANDS LÄN</t>
        </is>
      </c>
      <c r="E273" t="inlineStr">
        <is>
          <t>SALA</t>
        </is>
      </c>
      <c r="G273" t="n">
        <v>4.3</v>
      </c>
      <c r="H273" t="n">
        <v>0</v>
      </c>
      <c r="I273" t="n">
        <v>0</v>
      </c>
      <c r="J273" t="n">
        <v>0</v>
      </c>
      <c r="K273" t="n">
        <v>0</v>
      </c>
      <c r="L273" t="n">
        <v>0</v>
      </c>
      <c r="M273" t="n">
        <v>0</v>
      </c>
      <c r="N273" t="n">
        <v>0</v>
      </c>
      <c r="O273" t="n">
        <v>0</v>
      </c>
      <c r="P273" t="n">
        <v>0</v>
      </c>
      <c r="Q273" t="n">
        <v>0</v>
      </c>
      <c r="R273" s="2" t="inlineStr"/>
    </row>
    <row r="274" ht="15" customHeight="1">
      <c r="A274" t="inlineStr">
        <is>
          <t>A 58365-2025</t>
        </is>
      </c>
      <c r="B274" s="1" t="n">
        <v>45985.52288194445</v>
      </c>
      <c r="C274" s="1" t="n">
        <v>46040</v>
      </c>
      <c r="D274" t="inlineStr">
        <is>
          <t>VÄSTMANLANDS LÄN</t>
        </is>
      </c>
      <c r="E274" t="inlineStr">
        <is>
          <t>SALA</t>
        </is>
      </c>
      <c r="G274" t="n">
        <v>3.9</v>
      </c>
      <c r="H274" t="n">
        <v>0</v>
      </c>
      <c r="I274" t="n">
        <v>0</v>
      </c>
      <c r="J274" t="n">
        <v>0</v>
      </c>
      <c r="K274" t="n">
        <v>0</v>
      </c>
      <c r="L274" t="n">
        <v>0</v>
      </c>
      <c r="M274" t="n">
        <v>0</v>
      </c>
      <c r="N274" t="n">
        <v>0</v>
      </c>
      <c r="O274" t="n">
        <v>0</v>
      </c>
      <c r="P274" t="n">
        <v>0</v>
      </c>
      <c r="Q274" t="n">
        <v>0</v>
      </c>
      <c r="R274" s="2" t="inlineStr"/>
    </row>
    <row r="275" ht="15" customHeight="1">
      <c r="A275" t="inlineStr">
        <is>
          <t>A 61892-2021</t>
        </is>
      </c>
      <c r="B275" s="1" t="n">
        <v>44502</v>
      </c>
      <c r="C275" s="1" t="n">
        <v>46040</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7196-2025</t>
        </is>
      </c>
      <c r="B276" s="1" t="n">
        <v>45702</v>
      </c>
      <c r="C276" s="1" t="n">
        <v>46040</v>
      </c>
      <c r="D276" t="inlineStr">
        <is>
          <t>VÄSTMANLANDS LÄN</t>
        </is>
      </c>
      <c r="E276" t="inlineStr">
        <is>
          <t>SALA</t>
        </is>
      </c>
      <c r="G276" t="n">
        <v>1.3</v>
      </c>
      <c r="H276" t="n">
        <v>0</v>
      </c>
      <c r="I276" t="n">
        <v>0</v>
      </c>
      <c r="J276" t="n">
        <v>0</v>
      </c>
      <c r="K276" t="n">
        <v>0</v>
      </c>
      <c r="L276" t="n">
        <v>0</v>
      </c>
      <c r="M276" t="n">
        <v>0</v>
      </c>
      <c r="N276" t="n">
        <v>0</v>
      </c>
      <c r="O276" t="n">
        <v>0</v>
      </c>
      <c r="P276" t="n">
        <v>0</v>
      </c>
      <c r="Q276" t="n">
        <v>0</v>
      </c>
      <c r="R276" s="2" t="inlineStr"/>
    </row>
    <row r="277" ht="15" customHeight="1">
      <c r="A277" t="inlineStr">
        <is>
          <t>A 58282-2025</t>
        </is>
      </c>
      <c r="B277" s="1" t="n">
        <v>45985.44309027777</v>
      </c>
      <c r="C277" s="1" t="n">
        <v>46040</v>
      </c>
      <c r="D277" t="inlineStr">
        <is>
          <t>VÄSTMANLANDS LÄN</t>
        </is>
      </c>
      <c r="E277" t="inlineStr">
        <is>
          <t>SALA</t>
        </is>
      </c>
      <c r="G277" t="n">
        <v>8.9</v>
      </c>
      <c r="H277" t="n">
        <v>0</v>
      </c>
      <c r="I277" t="n">
        <v>0</v>
      </c>
      <c r="J277" t="n">
        <v>0</v>
      </c>
      <c r="K277" t="n">
        <v>0</v>
      </c>
      <c r="L277" t="n">
        <v>0</v>
      </c>
      <c r="M277" t="n">
        <v>0</v>
      </c>
      <c r="N277" t="n">
        <v>0</v>
      </c>
      <c r="O277" t="n">
        <v>0</v>
      </c>
      <c r="P277" t="n">
        <v>0</v>
      </c>
      <c r="Q277" t="n">
        <v>0</v>
      </c>
      <c r="R277" s="2" t="inlineStr"/>
    </row>
    <row r="278" ht="15" customHeight="1">
      <c r="A278" t="inlineStr">
        <is>
          <t>A 58359-2025</t>
        </is>
      </c>
      <c r="B278" s="1" t="n">
        <v>45985.51594907408</v>
      </c>
      <c r="C278" s="1" t="n">
        <v>46040</v>
      </c>
      <c r="D278" t="inlineStr">
        <is>
          <t>VÄSTMANLANDS LÄN</t>
        </is>
      </c>
      <c r="E278" t="inlineStr">
        <is>
          <t>SALA</t>
        </is>
      </c>
      <c r="G278" t="n">
        <v>3.7</v>
      </c>
      <c r="H278" t="n">
        <v>0</v>
      </c>
      <c r="I278" t="n">
        <v>0</v>
      </c>
      <c r="J278" t="n">
        <v>0</v>
      </c>
      <c r="K278" t="n">
        <v>0</v>
      </c>
      <c r="L278" t="n">
        <v>0</v>
      </c>
      <c r="M278" t="n">
        <v>0</v>
      </c>
      <c r="N278" t="n">
        <v>0</v>
      </c>
      <c r="O278" t="n">
        <v>0</v>
      </c>
      <c r="P278" t="n">
        <v>0</v>
      </c>
      <c r="Q278" t="n">
        <v>0</v>
      </c>
      <c r="R278" s="2" t="inlineStr"/>
    </row>
    <row r="279" ht="15" customHeight="1">
      <c r="A279" t="inlineStr">
        <is>
          <t>A 58364-2025</t>
        </is>
      </c>
      <c r="B279" s="1" t="n">
        <v>45985.5228125</v>
      </c>
      <c r="C279" s="1" t="n">
        <v>46040</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6183-2025</t>
        </is>
      </c>
      <c r="B280" s="1" t="n">
        <v>45698</v>
      </c>
      <c r="C280" s="1" t="n">
        <v>46040</v>
      </c>
      <c r="D280" t="inlineStr">
        <is>
          <t>VÄSTMANLANDS LÄN</t>
        </is>
      </c>
      <c r="E280" t="inlineStr">
        <is>
          <t>SALA</t>
        </is>
      </c>
      <c r="F280" t="inlineStr">
        <is>
          <t>Bergvik skog öst AB</t>
        </is>
      </c>
      <c r="G280" t="n">
        <v>2.3</v>
      </c>
      <c r="H280" t="n">
        <v>0</v>
      </c>
      <c r="I280" t="n">
        <v>0</v>
      </c>
      <c r="J280" t="n">
        <v>0</v>
      </c>
      <c r="K280" t="n">
        <v>0</v>
      </c>
      <c r="L280" t="n">
        <v>0</v>
      </c>
      <c r="M280" t="n">
        <v>0</v>
      </c>
      <c r="N280" t="n">
        <v>0</v>
      </c>
      <c r="O280" t="n">
        <v>0</v>
      </c>
      <c r="P280" t="n">
        <v>0</v>
      </c>
      <c r="Q280" t="n">
        <v>0</v>
      </c>
      <c r="R280" s="2" t="inlineStr"/>
    </row>
    <row r="281" ht="15" customHeight="1">
      <c r="A281" t="inlineStr">
        <is>
          <t>A 21968-2024</t>
        </is>
      </c>
      <c r="B281" s="1" t="n">
        <v>45443</v>
      </c>
      <c r="C281" s="1" t="n">
        <v>46040</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63269-2025</t>
        </is>
      </c>
      <c r="B282" s="1" t="n">
        <v>46010</v>
      </c>
      <c r="C282" s="1" t="n">
        <v>46040</v>
      </c>
      <c r="D282" t="inlineStr">
        <is>
          <t>VÄSTMANLANDS LÄN</t>
        </is>
      </c>
      <c r="E282" t="inlineStr">
        <is>
          <t>SALA</t>
        </is>
      </c>
      <c r="G282" t="n">
        <v>6.4</v>
      </c>
      <c r="H282" t="n">
        <v>0</v>
      </c>
      <c r="I282" t="n">
        <v>0</v>
      </c>
      <c r="J282" t="n">
        <v>0</v>
      </c>
      <c r="K282" t="n">
        <v>0</v>
      </c>
      <c r="L282" t="n">
        <v>0</v>
      </c>
      <c r="M282" t="n">
        <v>0</v>
      </c>
      <c r="N282" t="n">
        <v>0</v>
      </c>
      <c r="O282" t="n">
        <v>0</v>
      </c>
      <c r="P282" t="n">
        <v>0</v>
      </c>
      <c r="Q282" t="n">
        <v>0</v>
      </c>
      <c r="R282" s="2" t="inlineStr"/>
    </row>
    <row r="283" ht="15" customHeight="1">
      <c r="A283" t="inlineStr">
        <is>
          <t>A 40871-2021</t>
        </is>
      </c>
      <c r="B283" s="1" t="n">
        <v>44421</v>
      </c>
      <c r="C283" s="1" t="n">
        <v>46040</v>
      </c>
      <c r="D283" t="inlineStr">
        <is>
          <t>VÄSTMANLANDS LÄN</t>
        </is>
      </c>
      <c r="E283" t="inlineStr">
        <is>
          <t>SALA</t>
        </is>
      </c>
      <c r="G283" t="n">
        <v>1.4</v>
      </c>
      <c r="H283" t="n">
        <v>0</v>
      </c>
      <c r="I283" t="n">
        <v>0</v>
      </c>
      <c r="J283" t="n">
        <v>0</v>
      </c>
      <c r="K283" t="n">
        <v>0</v>
      </c>
      <c r="L283" t="n">
        <v>0</v>
      </c>
      <c r="M283" t="n">
        <v>0</v>
      </c>
      <c r="N283" t="n">
        <v>0</v>
      </c>
      <c r="O283" t="n">
        <v>0</v>
      </c>
      <c r="P283" t="n">
        <v>0</v>
      </c>
      <c r="Q283" t="n">
        <v>0</v>
      </c>
      <c r="R283" s="2" t="inlineStr"/>
    </row>
    <row r="284" ht="15" customHeight="1">
      <c r="A284" t="inlineStr">
        <is>
          <t>A 19803-2024</t>
        </is>
      </c>
      <c r="B284" s="1" t="n">
        <v>45432</v>
      </c>
      <c r="C284" s="1" t="n">
        <v>46040</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7772-2023</t>
        </is>
      </c>
      <c r="B285" s="1" t="n">
        <v>44973.40076388889</v>
      </c>
      <c r="C285" s="1" t="n">
        <v>46040</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42421-2025</t>
        </is>
      </c>
      <c r="B286" s="1" t="n">
        <v>45905.40067129629</v>
      </c>
      <c r="C286" s="1" t="n">
        <v>46040</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910-2026</t>
        </is>
      </c>
      <c r="B287" s="1" t="n">
        <v>46030.4771412037</v>
      </c>
      <c r="C287" s="1" t="n">
        <v>46040</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43028-2025</t>
        </is>
      </c>
      <c r="B288" s="1" t="n">
        <v>45909.53472222222</v>
      </c>
      <c r="C288" s="1" t="n">
        <v>46040</v>
      </c>
      <c r="D288" t="inlineStr">
        <is>
          <t>VÄSTMANLANDS LÄN</t>
        </is>
      </c>
      <c r="E288" t="inlineStr">
        <is>
          <t>SALA</t>
        </is>
      </c>
      <c r="G288" t="n">
        <v>3.8</v>
      </c>
      <c r="H288" t="n">
        <v>0</v>
      </c>
      <c r="I288" t="n">
        <v>0</v>
      </c>
      <c r="J288" t="n">
        <v>0</v>
      </c>
      <c r="K288" t="n">
        <v>0</v>
      </c>
      <c r="L288" t="n">
        <v>0</v>
      </c>
      <c r="M288" t="n">
        <v>0</v>
      </c>
      <c r="N288" t="n">
        <v>0</v>
      </c>
      <c r="O288" t="n">
        <v>0</v>
      </c>
      <c r="P288" t="n">
        <v>0</v>
      </c>
      <c r="Q288" t="n">
        <v>0</v>
      </c>
      <c r="R288" s="2" t="inlineStr"/>
    </row>
    <row r="289" ht="15" customHeight="1">
      <c r="A289" t="inlineStr">
        <is>
          <t>A 43328-2025</t>
        </is>
      </c>
      <c r="B289" s="1" t="n">
        <v>45910</v>
      </c>
      <c r="C289" s="1" t="n">
        <v>46040</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24864-2024</t>
        </is>
      </c>
      <c r="B290" s="1" t="n">
        <v>45461.48888888889</v>
      </c>
      <c r="C290" s="1" t="n">
        <v>46040</v>
      </c>
      <c r="D290" t="inlineStr">
        <is>
          <t>VÄSTMANLANDS LÄN</t>
        </is>
      </c>
      <c r="E290" t="inlineStr">
        <is>
          <t>SALA</t>
        </is>
      </c>
      <c r="G290" t="n">
        <v>0.6</v>
      </c>
      <c r="H290" t="n">
        <v>0</v>
      </c>
      <c r="I290" t="n">
        <v>0</v>
      </c>
      <c r="J290" t="n">
        <v>0</v>
      </c>
      <c r="K290" t="n">
        <v>0</v>
      </c>
      <c r="L290" t="n">
        <v>0</v>
      </c>
      <c r="M290" t="n">
        <v>0</v>
      </c>
      <c r="N290" t="n">
        <v>0</v>
      </c>
      <c r="O290" t="n">
        <v>0</v>
      </c>
      <c r="P290" t="n">
        <v>0</v>
      </c>
      <c r="Q290" t="n">
        <v>0</v>
      </c>
      <c r="R290" s="2" t="inlineStr"/>
    </row>
    <row r="291" ht="15" customHeight="1">
      <c r="A291" t="inlineStr">
        <is>
          <t>A 1118-2024</t>
        </is>
      </c>
      <c r="B291" s="1" t="n">
        <v>45302</v>
      </c>
      <c r="C291" s="1" t="n">
        <v>46040</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63933-2023</t>
        </is>
      </c>
      <c r="B292" s="1" t="n">
        <v>45278</v>
      </c>
      <c r="C292" s="1" t="n">
        <v>46040</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43031-2025</t>
        </is>
      </c>
      <c r="B293" s="1" t="n">
        <v>45909.53856481481</v>
      </c>
      <c r="C293" s="1" t="n">
        <v>46040</v>
      </c>
      <c r="D293" t="inlineStr">
        <is>
          <t>VÄSTMANLANDS LÄN</t>
        </is>
      </c>
      <c r="E293" t="inlineStr">
        <is>
          <t>SALA</t>
        </is>
      </c>
      <c r="G293" t="n">
        <v>0.2</v>
      </c>
      <c r="H293" t="n">
        <v>0</v>
      </c>
      <c r="I293" t="n">
        <v>0</v>
      </c>
      <c r="J293" t="n">
        <v>0</v>
      </c>
      <c r="K293" t="n">
        <v>0</v>
      </c>
      <c r="L293" t="n">
        <v>0</v>
      </c>
      <c r="M293" t="n">
        <v>0</v>
      </c>
      <c r="N293" t="n">
        <v>0</v>
      </c>
      <c r="O293" t="n">
        <v>0</v>
      </c>
      <c r="P293" t="n">
        <v>0</v>
      </c>
      <c r="Q293" t="n">
        <v>0</v>
      </c>
      <c r="R293" s="2" t="inlineStr"/>
    </row>
    <row r="294" ht="15" customHeight="1">
      <c r="A294" t="inlineStr">
        <is>
          <t>A 42416-2022</t>
        </is>
      </c>
      <c r="B294" s="1" t="n">
        <v>44831</v>
      </c>
      <c r="C294" s="1" t="n">
        <v>46040</v>
      </c>
      <c r="D294" t="inlineStr">
        <is>
          <t>VÄSTMANLANDS LÄN</t>
        </is>
      </c>
      <c r="E294" t="inlineStr">
        <is>
          <t>SALA</t>
        </is>
      </c>
      <c r="G294" t="n">
        <v>2.2</v>
      </c>
      <c r="H294" t="n">
        <v>0</v>
      </c>
      <c r="I294" t="n">
        <v>0</v>
      </c>
      <c r="J294" t="n">
        <v>0</v>
      </c>
      <c r="K294" t="n">
        <v>0</v>
      </c>
      <c r="L294" t="n">
        <v>0</v>
      </c>
      <c r="M294" t="n">
        <v>0</v>
      </c>
      <c r="N294" t="n">
        <v>0</v>
      </c>
      <c r="O294" t="n">
        <v>0</v>
      </c>
      <c r="P294" t="n">
        <v>0</v>
      </c>
      <c r="Q294" t="n">
        <v>0</v>
      </c>
      <c r="R294" s="2" t="inlineStr"/>
    </row>
    <row r="295" ht="15" customHeight="1">
      <c r="A295" t="inlineStr">
        <is>
          <t>A 51247-2025</t>
        </is>
      </c>
      <c r="B295" s="1" t="n">
        <v>45947.86487268518</v>
      </c>
      <c r="C295" s="1" t="n">
        <v>46040</v>
      </c>
      <c r="D295" t="inlineStr">
        <is>
          <t>VÄSTMANLANDS LÄN</t>
        </is>
      </c>
      <c r="E295" t="inlineStr">
        <is>
          <t>SALA</t>
        </is>
      </c>
      <c r="G295" t="n">
        <v>10.4</v>
      </c>
      <c r="H295" t="n">
        <v>0</v>
      </c>
      <c r="I295" t="n">
        <v>0</v>
      </c>
      <c r="J295" t="n">
        <v>0</v>
      </c>
      <c r="K295" t="n">
        <v>0</v>
      </c>
      <c r="L295" t="n">
        <v>0</v>
      </c>
      <c r="M295" t="n">
        <v>0</v>
      </c>
      <c r="N295" t="n">
        <v>0</v>
      </c>
      <c r="O295" t="n">
        <v>0</v>
      </c>
      <c r="P295" t="n">
        <v>0</v>
      </c>
      <c r="Q295" t="n">
        <v>0</v>
      </c>
      <c r="R295" s="2" t="inlineStr"/>
    </row>
    <row r="296" ht="15" customHeight="1">
      <c r="A296" t="inlineStr">
        <is>
          <t>A 17495-2024</t>
        </is>
      </c>
      <c r="B296" s="1" t="n">
        <v>45415</v>
      </c>
      <c r="C296" s="1" t="n">
        <v>46040</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19381-2025</t>
        </is>
      </c>
      <c r="B297" s="1" t="n">
        <v>45769</v>
      </c>
      <c r="C297" s="1" t="n">
        <v>46040</v>
      </c>
      <c r="D297" t="inlineStr">
        <is>
          <t>VÄSTMANLANDS LÄN</t>
        </is>
      </c>
      <c r="E297" t="inlineStr">
        <is>
          <t>SALA</t>
        </is>
      </c>
      <c r="G297" t="n">
        <v>0.6</v>
      </c>
      <c r="H297" t="n">
        <v>0</v>
      </c>
      <c r="I297" t="n">
        <v>0</v>
      </c>
      <c r="J297" t="n">
        <v>0</v>
      </c>
      <c r="K297" t="n">
        <v>0</v>
      </c>
      <c r="L297" t="n">
        <v>0</v>
      </c>
      <c r="M297" t="n">
        <v>0</v>
      </c>
      <c r="N297" t="n">
        <v>0</v>
      </c>
      <c r="O297" t="n">
        <v>0</v>
      </c>
      <c r="P297" t="n">
        <v>0</v>
      </c>
      <c r="Q297" t="n">
        <v>0</v>
      </c>
      <c r="R297" s="2" t="inlineStr"/>
    </row>
    <row r="298" ht="15" customHeight="1">
      <c r="A298" t="inlineStr">
        <is>
          <t>A 37263-2025</t>
        </is>
      </c>
      <c r="B298" s="1" t="n">
        <v>45876.4584837963</v>
      </c>
      <c r="C298" s="1" t="n">
        <v>46040</v>
      </c>
      <c r="D298" t="inlineStr">
        <is>
          <t>VÄSTMANLANDS LÄN</t>
        </is>
      </c>
      <c r="E298" t="inlineStr">
        <is>
          <t>SALA</t>
        </is>
      </c>
      <c r="G298" t="n">
        <v>2.3</v>
      </c>
      <c r="H298" t="n">
        <v>0</v>
      </c>
      <c r="I298" t="n">
        <v>0</v>
      </c>
      <c r="J298" t="n">
        <v>0</v>
      </c>
      <c r="K298" t="n">
        <v>0</v>
      </c>
      <c r="L298" t="n">
        <v>0</v>
      </c>
      <c r="M298" t="n">
        <v>0</v>
      </c>
      <c r="N298" t="n">
        <v>0</v>
      </c>
      <c r="O298" t="n">
        <v>0</v>
      </c>
      <c r="P298" t="n">
        <v>0</v>
      </c>
      <c r="Q298" t="n">
        <v>0</v>
      </c>
      <c r="R298" s="2" t="inlineStr"/>
    </row>
    <row r="299" ht="15" customHeight="1">
      <c r="A299" t="inlineStr">
        <is>
          <t>A 40554-2025</t>
        </is>
      </c>
      <c r="B299" s="1" t="n">
        <v>45896.44506944445</v>
      </c>
      <c r="C299" s="1" t="n">
        <v>46040</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48688-2024</t>
        </is>
      </c>
      <c r="B300" s="1" t="n">
        <v>45593.50541666667</v>
      </c>
      <c r="C300" s="1" t="n">
        <v>46040</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43129-2025</t>
        </is>
      </c>
      <c r="B301" s="1" t="n">
        <v>45909</v>
      </c>
      <c r="C301" s="1" t="n">
        <v>46040</v>
      </c>
      <c r="D301" t="inlineStr">
        <is>
          <t>VÄSTMANLANDS LÄN</t>
        </is>
      </c>
      <c r="E301" t="inlineStr">
        <is>
          <t>SALA</t>
        </is>
      </c>
      <c r="G301" t="n">
        <v>2.4</v>
      </c>
      <c r="H301" t="n">
        <v>0</v>
      </c>
      <c r="I301" t="n">
        <v>0</v>
      </c>
      <c r="J301" t="n">
        <v>0</v>
      </c>
      <c r="K301" t="n">
        <v>0</v>
      </c>
      <c r="L301" t="n">
        <v>0</v>
      </c>
      <c r="M301" t="n">
        <v>0</v>
      </c>
      <c r="N301" t="n">
        <v>0</v>
      </c>
      <c r="O301" t="n">
        <v>0</v>
      </c>
      <c r="P301" t="n">
        <v>0</v>
      </c>
      <c r="Q301" t="n">
        <v>0</v>
      </c>
      <c r="R301" s="2" t="inlineStr"/>
    </row>
    <row r="302" ht="15" customHeight="1">
      <c r="A302" t="inlineStr">
        <is>
          <t>A 43130-2025</t>
        </is>
      </c>
      <c r="B302" s="1" t="n">
        <v>45909</v>
      </c>
      <c r="C302" s="1" t="n">
        <v>46040</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43128-2025</t>
        </is>
      </c>
      <c r="B303" s="1" t="n">
        <v>45909</v>
      </c>
      <c r="C303" s="1" t="n">
        <v>46040</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914-2026</t>
        </is>
      </c>
      <c r="B304" s="1" t="n">
        <v>46030.47952546296</v>
      </c>
      <c r="C304" s="1" t="n">
        <v>46040</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43127-2025</t>
        </is>
      </c>
      <c r="B305" s="1" t="n">
        <v>45909</v>
      </c>
      <c r="C305" s="1" t="n">
        <v>46040</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948-2026</t>
        </is>
      </c>
      <c r="B306" s="1" t="n">
        <v>46030.53986111111</v>
      </c>
      <c r="C306" s="1" t="n">
        <v>46040</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37190-2024</t>
        </is>
      </c>
      <c r="B307" s="1" t="n">
        <v>45539</v>
      </c>
      <c r="C307" s="1" t="n">
        <v>46040</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39439-2021</t>
        </is>
      </c>
      <c r="B308" s="1" t="n">
        <v>44414</v>
      </c>
      <c r="C308" s="1" t="n">
        <v>46040</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11389-2024</t>
        </is>
      </c>
      <c r="B309" s="1" t="n">
        <v>45372.45016203704</v>
      </c>
      <c r="C309" s="1" t="n">
        <v>46040</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56706-2022</t>
        </is>
      </c>
      <c r="B310" s="1" t="n">
        <v>44893.78893518518</v>
      </c>
      <c r="C310" s="1" t="n">
        <v>46040</v>
      </c>
      <c r="D310" t="inlineStr">
        <is>
          <t>VÄSTMANLANDS LÄN</t>
        </is>
      </c>
      <c r="E310" t="inlineStr">
        <is>
          <t>SALA</t>
        </is>
      </c>
      <c r="G310" t="n">
        <v>4.5</v>
      </c>
      <c r="H310" t="n">
        <v>0</v>
      </c>
      <c r="I310" t="n">
        <v>0</v>
      </c>
      <c r="J310" t="n">
        <v>0</v>
      </c>
      <c r="K310" t="n">
        <v>0</v>
      </c>
      <c r="L310" t="n">
        <v>0</v>
      </c>
      <c r="M310" t="n">
        <v>0</v>
      </c>
      <c r="N310" t="n">
        <v>0</v>
      </c>
      <c r="O310" t="n">
        <v>0</v>
      </c>
      <c r="P310" t="n">
        <v>0</v>
      </c>
      <c r="Q310" t="n">
        <v>0</v>
      </c>
      <c r="R310" s="2" t="inlineStr"/>
    </row>
    <row r="311" ht="15" customHeight="1">
      <c r="A311" t="inlineStr">
        <is>
          <t>A 56707-2022</t>
        </is>
      </c>
      <c r="B311" s="1" t="n">
        <v>44893.79412037037</v>
      </c>
      <c r="C311" s="1" t="n">
        <v>46040</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30971-2022</t>
        </is>
      </c>
      <c r="B312" s="1" t="n">
        <v>44768.46725694444</v>
      </c>
      <c r="C312" s="1" t="n">
        <v>46040</v>
      </c>
      <c r="D312" t="inlineStr">
        <is>
          <t>VÄSTMANLANDS LÄN</t>
        </is>
      </c>
      <c r="E312" t="inlineStr">
        <is>
          <t>SALA</t>
        </is>
      </c>
      <c r="G312" t="n">
        <v>2.4</v>
      </c>
      <c r="H312" t="n">
        <v>0</v>
      </c>
      <c r="I312" t="n">
        <v>0</v>
      </c>
      <c r="J312" t="n">
        <v>0</v>
      </c>
      <c r="K312" t="n">
        <v>0</v>
      </c>
      <c r="L312" t="n">
        <v>0</v>
      </c>
      <c r="M312" t="n">
        <v>0</v>
      </c>
      <c r="N312" t="n">
        <v>0</v>
      </c>
      <c r="O312" t="n">
        <v>0</v>
      </c>
      <c r="P312" t="n">
        <v>0</v>
      </c>
      <c r="Q312" t="n">
        <v>0</v>
      </c>
      <c r="R312" s="2" t="inlineStr"/>
    </row>
    <row r="313" ht="15" customHeight="1">
      <c r="A313" t="inlineStr">
        <is>
          <t>A 45187-2024</t>
        </is>
      </c>
      <c r="B313" s="1" t="n">
        <v>45575</v>
      </c>
      <c r="C313" s="1" t="n">
        <v>46040</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15968-2024</t>
        </is>
      </c>
      <c r="B314" s="1" t="n">
        <v>45405.56021990741</v>
      </c>
      <c r="C314" s="1" t="n">
        <v>46040</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3733-2023</t>
        </is>
      </c>
      <c r="B315" s="1" t="n">
        <v>44951.42501157407</v>
      </c>
      <c r="C315" s="1" t="n">
        <v>46040</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44544-2024</t>
        </is>
      </c>
      <c r="B316" s="1" t="n">
        <v>45574.46119212963</v>
      </c>
      <c r="C316" s="1" t="n">
        <v>46040</v>
      </c>
      <c r="D316" t="inlineStr">
        <is>
          <t>VÄSTMANLANDS LÄN</t>
        </is>
      </c>
      <c r="E316" t="inlineStr">
        <is>
          <t>SALA</t>
        </is>
      </c>
      <c r="G316" t="n">
        <v>3.3</v>
      </c>
      <c r="H316" t="n">
        <v>0</v>
      </c>
      <c r="I316" t="n">
        <v>0</v>
      </c>
      <c r="J316" t="n">
        <v>0</v>
      </c>
      <c r="K316" t="n">
        <v>0</v>
      </c>
      <c r="L316" t="n">
        <v>0</v>
      </c>
      <c r="M316" t="n">
        <v>0</v>
      </c>
      <c r="N316" t="n">
        <v>0</v>
      </c>
      <c r="O316" t="n">
        <v>0</v>
      </c>
      <c r="P316" t="n">
        <v>0</v>
      </c>
      <c r="Q316" t="n">
        <v>0</v>
      </c>
      <c r="R316" s="2" t="inlineStr"/>
    </row>
    <row r="317" ht="15" customHeight="1">
      <c r="A317" t="inlineStr">
        <is>
          <t>A 64729-2023</t>
        </is>
      </c>
      <c r="B317" s="1" t="n">
        <v>45281</v>
      </c>
      <c r="C317" s="1" t="n">
        <v>46040</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44100-2025</t>
        </is>
      </c>
      <c r="B318" s="1" t="n">
        <v>45915.56707175926</v>
      </c>
      <c r="C318" s="1" t="n">
        <v>46040</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59817-2025</t>
        </is>
      </c>
      <c r="B319" s="1" t="n">
        <v>45992.63711805556</v>
      </c>
      <c r="C319" s="1" t="n">
        <v>46040</v>
      </c>
      <c r="D319" t="inlineStr">
        <is>
          <t>VÄSTMANLANDS LÄN</t>
        </is>
      </c>
      <c r="E319" t="inlineStr">
        <is>
          <t>SALA</t>
        </is>
      </c>
      <c r="G319" t="n">
        <v>6.9</v>
      </c>
      <c r="H319" t="n">
        <v>0</v>
      </c>
      <c r="I319" t="n">
        <v>0</v>
      </c>
      <c r="J319" t="n">
        <v>0</v>
      </c>
      <c r="K319" t="n">
        <v>0</v>
      </c>
      <c r="L319" t="n">
        <v>0</v>
      </c>
      <c r="M319" t="n">
        <v>0</v>
      </c>
      <c r="N319" t="n">
        <v>0</v>
      </c>
      <c r="O319" t="n">
        <v>0</v>
      </c>
      <c r="P319" t="n">
        <v>0</v>
      </c>
      <c r="Q319" t="n">
        <v>0</v>
      </c>
      <c r="R319" s="2" t="inlineStr"/>
    </row>
    <row r="320" ht="15" customHeight="1">
      <c r="A320" t="inlineStr">
        <is>
          <t>A 68864-2021</t>
        </is>
      </c>
      <c r="B320" s="1" t="n">
        <v>44530</v>
      </c>
      <c r="C320" s="1" t="n">
        <v>46040</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2900-2023</t>
        </is>
      </c>
      <c r="B321" s="1" t="n">
        <v>44943</v>
      </c>
      <c r="C321" s="1" t="n">
        <v>46040</v>
      </c>
      <c r="D321" t="inlineStr">
        <is>
          <t>VÄSTMANLANDS LÄN</t>
        </is>
      </c>
      <c r="E321" t="inlineStr">
        <is>
          <t>SALA</t>
        </is>
      </c>
      <c r="G321" t="n">
        <v>0.5</v>
      </c>
      <c r="H321" t="n">
        <v>0</v>
      </c>
      <c r="I321" t="n">
        <v>0</v>
      </c>
      <c r="J321" t="n">
        <v>0</v>
      </c>
      <c r="K321" t="n">
        <v>0</v>
      </c>
      <c r="L321" t="n">
        <v>0</v>
      </c>
      <c r="M321" t="n">
        <v>0</v>
      </c>
      <c r="N321" t="n">
        <v>0</v>
      </c>
      <c r="O321" t="n">
        <v>0</v>
      </c>
      <c r="P321" t="n">
        <v>0</v>
      </c>
      <c r="Q321" t="n">
        <v>0</v>
      </c>
      <c r="R321" s="2" t="inlineStr"/>
    </row>
    <row r="322" ht="15" customHeight="1">
      <c r="A322" t="inlineStr">
        <is>
          <t>A 59390-2025</t>
        </is>
      </c>
      <c r="B322" s="1" t="n">
        <v>45989.4640162037</v>
      </c>
      <c r="C322" s="1" t="n">
        <v>46040</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59385-2025</t>
        </is>
      </c>
      <c r="B323" s="1" t="n">
        <v>45989.45746527778</v>
      </c>
      <c r="C323" s="1" t="n">
        <v>46040</v>
      </c>
      <c r="D323" t="inlineStr">
        <is>
          <t>VÄSTMANLANDS LÄN</t>
        </is>
      </c>
      <c r="E323" t="inlineStr">
        <is>
          <t>SALA</t>
        </is>
      </c>
      <c r="G323" t="n">
        <v>0.4</v>
      </c>
      <c r="H323" t="n">
        <v>0</v>
      </c>
      <c r="I323" t="n">
        <v>0</v>
      </c>
      <c r="J323" t="n">
        <v>0</v>
      </c>
      <c r="K323" t="n">
        <v>0</v>
      </c>
      <c r="L323" t="n">
        <v>0</v>
      </c>
      <c r="M323" t="n">
        <v>0</v>
      </c>
      <c r="N323" t="n">
        <v>0</v>
      </c>
      <c r="O323" t="n">
        <v>0</v>
      </c>
      <c r="P323" t="n">
        <v>0</v>
      </c>
      <c r="Q323" t="n">
        <v>0</v>
      </c>
      <c r="R323" s="2" t="inlineStr"/>
    </row>
    <row r="324" ht="15" customHeight="1">
      <c r="A324" t="inlineStr">
        <is>
          <t>A 1705-2026</t>
        </is>
      </c>
      <c r="B324" s="1" t="n">
        <v>46034.59930555556</v>
      </c>
      <c r="C324" s="1" t="n">
        <v>46040</v>
      </c>
      <c r="D324" t="inlineStr">
        <is>
          <t>VÄSTMANLANDS LÄN</t>
        </is>
      </c>
      <c r="E324" t="inlineStr">
        <is>
          <t>SALA</t>
        </is>
      </c>
      <c r="G324" t="n">
        <v>0.4</v>
      </c>
      <c r="H324" t="n">
        <v>0</v>
      </c>
      <c r="I324" t="n">
        <v>0</v>
      </c>
      <c r="J324" t="n">
        <v>0</v>
      </c>
      <c r="K324" t="n">
        <v>0</v>
      </c>
      <c r="L324" t="n">
        <v>0</v>
      </c>
      <c r="M324" t="n">
        <v>0</v>
      </c>
      <c r="N324" t="n">
        <v>0</v>
      </c>
      <c r="O324" t="n">
        <v>0</v>
      </c>
      <c r="P324" t="n">
        <v>0</v>
      </c>
      <c r="Q324" t="n">
        <v>0</v>
      </c>
      <c r="R324" s="2" t="inlineStr"/>
    </row>
    <row r="325" ht="15" customHeight="1">
      <c r="A325" t="inlineStr">
        <is>
          <t>A 60730-2023</t>
        </is>
      </c>
      <c r="B325" s="1" t="n">
        <v>45260</v>
      </c>
      <c r="C325" s="1" t="n">
        <v>46040</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60731-2023</t>
        </is>
      </c>
      <c r="B326" s="1" t="n">
        <v>45260</v>
      </c>
      <c r="C326" s="1" t="n">
        <v>46040</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44486-2025</t>
        </is>
      </c>
      <c r="B327" s="1" t="n">
        <v>45916.65517361111</v>
      </c>
      <c r="C327" s="1" t="n">
        <v>46040</v>
      </c>
      <c r="D327" t="inlineStr">
        <is>
          <t>VÄSTMANLANDS LÄN</t>
        </is>
      </c>
      <c r="E327" t="inlineStr">
        <is>
          <t>SALA</t>
        </is>
      </c>
      <c r="G327" t="n">
        <v>1.7</v>
      </c>
      <c r="H327" t="n">
        <v>0</v>
      </c>
      <c r="I327" t="n">
        <v>0</v>
      </c>
      <c r="J327" t="n">
        <v>0</v>
      </c>
      <c r="K327" t="n">
        <v>0</v>
      </c>
      <c r="L327" t="n">
        <v>0</v>
      </c>
      <c r="M327" t="n">
        <v>0</v>
      </c>
      <c r="N327" t="n">
        <v>0</v>
      </c>
      <c r="O327" t="n">
        <v>0</v>
      </c>
      <c r="P327" t="n">
        <v>0</v>
      </c>
      <c r="Q327" t="n">
        <v>0</v>
      </c>
      <c r="R327" s="2" t="inlineStr"/>
    </row>
    <row r="328" ht="15" customHeight="1">
      <c r="A328" t="inlineStr">
        <is>
          <t>A 44524-2025</t>
        </is>
      </c>
      <c r="B328" s="1" t="n">
        <v>45916.72920138889</v>
      </c>
      <c r="C328" s="1" t="n">
        <v>46040</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64925-2023</t>
        </is>
      </c>
      <c r="B329" s="1" t="n">
        <v>45282</v>
      </c>
      <c r="C329" s="1" t="n">
        <v>46040</v>
      </c>
      <c r="D329" t="inlineStr">
        <is>
          <t>VÄSTMANLANDS LÄN</t>
        </is>
      </c>
      <c r="E329" t="inlineStr">
        <is>
          <t>SALA</t>
        </is>
      </c>
      <c r="G329" t="n">
        <v>2.5</v>
      </c>
      <c r="H329" t="n">
        <v>0</v>
      </c>
      <c r="I329" t="n">
        <v>0</v>
      </c>
      <c r="J329" t="n">
        <v>0</v>
      </c>
      <c r="K329" t="n">
        <v>0</v>
      </c>
      <c r="L329" t="n">
        <v>0</v>
      </c>
      <c r="M329" t="n">
        <v>0</v>
      </c>
      <c r="N329" t="n">
        <v>0</v>
      </c>
      <c r="O329" t="n">
        <v>0</v>
      </c>
      <c r="P329" t="n">
        <v>0</v>
      </c>
      <c r="Q329" t="n">
        <v>0</v>
      </c>
      <c r="R329" s="2" t="inlineStr"/>
    </row>
    <row r="330" ht="15" customHeight="1">
      <c r="A330" t="inlineStr">
        <is>
          <t>A 60017-2025</t>
        </is>
      </c>
      <c r="B330" s="1" t="n">
        <v>45993.59998842593</v>
      </c>
      <c r="C330" s="1" t="n">
        <v>46040</v>
      </c>
      <c r="D330" t="inlineStr">
        <is>
          <t>VÄSTMANLANDS LÄN</t>
        </is>
      </c>
      <c r="E330" t="inlineStr">
        <is>
          <t>SALA</t>
        </is>
      </c>
      <c r="G330" t="n">
        <v>4.4</v>
      </c>
      <c r="H330" t="n">
        <v>0</v>
      </c>
      <c r="I330" t="n">
        <v>0</v>
      </c>
      <c r="J330" t="n">
        <v>0</v>
      </c>
      <c r="K330" t="n">
        <v>0</v>
      </c>
      <c r="L330" t="n">
        <v>0</v>
      </c>
      <c r="M330" t="n">
        <v>0</v>
      </c>
      <c r="N330" t="n">
        <v>0</v>
      </c>
      <c r="O330" t="n">
        <v>0</v>
      </c>
      <c r="P330" t="n">
        <v>0</v>
      </c>
      <c r="Q330" t="n">
        <v>0</v>
      </c>
      <c r="R330" s="2" t="inlineStr"/>
    </row>
    <row r="331" ht="15" customHeight="1">
      <c r="A331" t="inlineStr">
        <is>
          <t>A 48570-2024</t>
        </is>
      </c>
      <c r="B331" s="1" t="n">
        <v>45591</v>
      </c>
      <c r="C331" s="1" t="n">
        <v>46040</v>
      </c>
      <c r="D331" t="inlineStr">
        <is>
          <t>VÄSTMANLANDS LÄN</t>
        </is>
      </c>
      <c r="E331" t="inlineStr">
        <is>
          <t>SALA</t>
        </is>
      </c>
      <c r="G331" t="n">
        <v>3</v>
      </c>
      <c r="H331" t="n">
        <v>0</v>
      </c>
      <c r="I331" t="n">
        <v>0</v>
      </c>
      <c r="J331" t="n">
        <v>0</v>
      </c>
      <c r="K331" t="n">
        <v>0</v>
      </c>
      <c r="L331" t="n">
        <v>0</v>
      </c>
      <c r="M331" t="n">
        <v>0</v>
      </c>
      <c r="N331" t="n">
        <v>0</v>
      </c>
      <c r="O331" t="n">
        <v>0</v>
      </c>
      <c r="P331" t="n">
        <v>0</v>
      </c>
      <c r="Q331" t="n">
        <v>0</v>
      </c>
      <c r="R331" s="2" t="inlineStr"/>
    </row>
    <row r="332" ht="15" customHeight="1">
      <c r="A332" t="inlineStr">
        <is>
          <t>A 43122-2025</t>
        </is>
      </c>
      <c r="B332" s="1" t="n">
        <v>45909</v>
      </c>
      <c r="C332" s="1" t="n">
        <v>46040</v>
      </c>
      <c r="D332" t="inlineStr">
        <is>
          <t>VÄSTMANLANDS LÄN</t>
        </is>
      </c>
      <c r="E332" t="inlineStr">
        <is>
          <t>SALA</t>
        </is>
      </c>
      <c r="G332" t="n">
        <v>3.2</v>
      </c>
      <c r="H332" t="n">
        <v>0</v>
      </c>
      <c r="I332" t="n">
        <v>0</v>
      </c>
      <c r="J332" t="n">
        <v>0</v>
      </c>
      <c r="K332" t="n">
        <v>0</v>
      </c>
      <c r="L332" t="n">
        <v>0</v>
      </c>
      <c r="M332" t="n">
        <v>0</v>
      </c>
      <c r="N332" t="n">
        <v>0</v>
      </c>
      <c r="O332" t="n">
        <v>0</v>
      </c>
      <c r="P332" t="n">
        <v>0</v>
      </c>
      <c r="Q332" t="n">
        <v>0</v>
      </c>
      <c r="R332" s="2" t="inlineStr"/>
    </row>
    <row r="333" ht="15" customHeight="1">
      <c r="A333" t="inlineStr">
        <is>
          <t>A 61517-2024</t>
        </is>
      </c>
      <c r="B333" s="1" t="n">
        <v>45645</v>
      </c>
      <c r="C333" s="1" t="n">
        <v>46040</v>
      </c>
      <c r="D333" t="inlineStr">
        <is>
          <t>VÄSTMANLANDS LÄN</t>
        </is>
      </c>
      <c r="E333" t="inlineStr">
        <is>
          <t>SALA</t>
        </is>
      </c>
      <c r="G333" t="n">
        <v>0.6</v>
      </c>
      <c r="H333" t="n">
        <v>0</v>
      </c>
      <c r="I333" t="n">
        <v>0</v>
      </c>
      <c r="J333" t="n">
        <v>0</v>
      </c>
      <c r="K333" t="n">
        <v>0</v>
      </c>
      <c r="L333" t="n">
        <v>0</v>
      </c>
      <c r="M333" t="n">
        <v>0</v>
      </c>
      <c r="N333" t="n">
        <v>0</v>
      </c>
      <c r="O333" t="n">
        <v>0</v>
      </c>
      <c r="P333" t="n">
        <v>0</v>
      </c>
      <c r="Q333" t="n">
        <v>0</v>
      </c>
      <c r="R333" s="2" t="inlineStr"/>
    </row>
    <row r="334" ht="15" customHeight="1">
      <c r="A334" t="inlineStr">
        <is>
          <t>A 60258-2025</t>
        </is>
      </c>
      <c r="B334" s="1" t="n">
        <v>45994.6064699074</v>
      </c>
      <c r="C334" s="1" t="n">
        <v>46040</v>
      </c>
      <c r="D334" t="inlineStr">
        <is>
          <t>VÄSTMANLANDS LÄN</t>
        </is>
      </c>
      <c r="E334" t="inlineStr">
        <is>
          <t>SALA</t>
        </is>
      </c>
      <c r="G334" t="n">
        <v>2.2</v>
      </c>
      <c r="H334" t="n">
        <v>0</v>
      </c>
      <c r="I334" t="n">
        <v>0</v>
      </c>
      <c r="J334" t="n">
        <v>0</v>
      </c>
      <c r="K334" t="n">
        <v>0</v>
      </c>
      <c r="L334" t="n">
        <v>0</v>
      </c>
      <c r="M334" t="n">
        <v>0</v>
      </c>
      <c r="N334" t="n">
        <v>0</v>
      </c>
      <c r="O334" t="n">
        <v>0</v>
      </c>
      <c r="P334" t="n">
        <v>0</v>
      </c>
      <c r="Q334" t="n">
        <v>0</v>
      </c>
      <c r="R334" s="2" t="inlineStr"/>
    </row>
    <row r="335" ht="15" customHeight="1">
      <c r="A335" t="inlineStr">
        <is>
          <t>A 60241-2025</t>
        </is>
      </c>
      <c r="B335" s="1" t="n">
        <v>45994.58454861111</v>
      </c>
      <c r="C335" s="1" t="n">
        <v>46040</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59870-2025</t>
        </is>
      </c>
      <c r="B336" s="1" t="n">
        <v>45992.92226851852</v>
      </c>
      <c r="C336" s="1" t="n">
        <v>46040</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16760-2024</t>
        </is>
      </c>
      <c r="B337" s="1" t="n">
        <v>45411</v>
      </c>
      <c r="C337" s="1" t="n">
        <v>46040</v>
      </c>
      <c r="D337" t="inlineStr">
        <is>
          <t>VÄSTMANLANDS LÄN</t>
        </is>
      </c>
      <c r="E337" t="inlineStr">
        <is>
          <t>SALA</t>
        </is>
      </c>
      <c r="G337" t="n">
        <v>2.6</v>
      </c>
      <c r="H337" t="n">
        <v>0</v>
      </c>
      <c r="I337" t="n">
        <v>0</v>
      </c>
      <c r="J337" t="n">
        <v>0</v>
      </c>
      <c r="K337" t="n">
        <v>0</v>
      </c>
      <c r="L337" t="n">
        <v>0</v>
      </c>
      <c r="M337" t="n">
        <v>0</v>
      </c>
      <c r="N337" t="n">
        <v>0</v>
      </c>
      <c r="O337" t="n">
        <v>0</v>
      </c>
      <c r="P337" t="n">
        <v>0</v>
      </c>
      <c r="Q337" t="n">
        <v>0</v>
      </c>
      <c r="R337" s="2" t="inlineStr"/>
    </row>
    <row r="338" ht="15" customHeight="1">
      <c r="A338" t="inlineStr">
        <is>
          <t>A 60259-2025</t>
        </is>
      </c>
      <c r="B338" s="1" t="n">
        <v>45994.60913194445</v>
      </c>
      <c r="C338" s="1" t="n">
        <v>46040</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60246-2025</t>
        </is>
      </c>
      <c r="B339" s="1" t="n">
        <v>45994.58931712963</v>
      </c>
      <c r="C339" s="1" t="n">
        <v>46040</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54603-2024</t>
        </is>
      </c>
      <c r="B340" s="1" t="n">
        <v>45617.68224537037</v>
      </c>
      <c r="C340" s="1" t="n">
        <v>46040</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60254-2025</t>
        </is>
      </c>
      <c r="B341" s="1" t="n">
        <v>45994.60146990741</v>
      </c>
      <c r="C341" s="1" t="n">
        <v>46040</v>
      </c>
      <c r="D341" t="inlineStr">
        <is>
          <t>VÄSTMANLANDS LÄN</t>
        </is>
      </c>
      <c r="E341" t="inlineStr">
        <is>
          <t>SALA</t>
        </is>
      </c>
      <c r="G341" t="n">
        <v>1.7</v>
      </c>
      <c r="H341" t="n">
        <v>0</v>
      </c>
      <c r="I341" t="n">
        <v>0</v>
      </c>
      <c r="J341" t="n">
        <v>0</v>
      </c>
      <c r="K341" t="n">
        <v>0</v>
      </c>
      <c r="L341" t="n">
        <v>0</v>
      </c>
      <c r="M341" t="n">
        <v>0</v>
      </c>
      <c r="N341" t="n">
        <v>0</v>
      </c>
      <c r="O341" t="n">
        <v>0</v>
      </c>
      <c r="P341" t="n">
        <v>0</v>
      </c>
      <c r="Q341" t="n">
        <v>0</v>
      </c>
      <c r="R341" s="2" t="inlineStr"/>
    </row>
    <row r="342" ht="15" customHeight="1">
      <c r="A342" t="inlineStr">
        <is>
          <t>A 59926-2025</t>
        </is>
      </c>
      <c r="B342" s="1" t="n">
        <v>45993.39221064815</v>
      </c>
      <c r="C342" s="1" t="n">
        <v>46040</v>
      </c>
      <c r="D342" t="inlineStr">
        <is>
          <t>VÄSTMANLANDS LÄN</t>
        </is>
      </c>
      <c r="E342" t="inlineStr">
        <is>
          <t>SALA</t>
        </is>
      </c>
      <c r="G342" t="n">
        <v>7.1</v>
      </c>
      <c r="H342" t="n">
        <v>0</v>
      </c>
      <c r="I342" t="n">
        <v>0</v>
      </c>
      <c r="J342" t="n">
        <v>0</v>
      </c>
      <c r="K342" t="n">
        <v>0</v>
      </c>
      <c r="L342" t="n">
        <v>0</v>
      </c>
      <c r="M342" t="n">
        <v>0</v>
      </c>
      <c r="N342" t="n">
        <v>0</v>
      </c>
      <c r="O342" t="n">
        <v>0</v>
      </c>
      <c r="P342" t="n">
        <v>0</v>
      </c>
      <c r="Q342" t="n">
        <v>0</v>
      </c>
      <c r="R342" s="2" t="inlineStr"/>
    </row>
    <row r="343" ht="15" customHeight="1">
      <c r="A343" t="inlineStr">
        <is>
          <t>A 45371-2025</t>
        </is>
      </c>
      <c r="B343" s="1" t="n">
        <v>45922.39001157408</v>
      </c>
      <c r="C343" s="1" t="n">
        <v>46040</v>
      </c>
      <c r="D343" t="inlineStr">
        <is>
          <t>VÄSTMANLANDS LÄN</t>
        </is>
      </c>
      <c r="E343" t="inlineStr">
        <is>
          <t>SALA</t>
        </is>
      </c>
      <c r="G343" t="n">
        <v>2.1</v>
      </c>
      <c r="H343" t="n">
        <v>0</v>
      </c>
      <c r="I343" t="n">
        <v>0</v>
      </c>
      <c r="J343" t="n">
        <v>0</v>
      </c>
      <c r="K343" t="n">
        <v>0</v>
      </c>
      <c r="L343" t="n">
        <v>0</v>
      </c>
      <c r="M343" t="n">
        <v>0</v>
      </c>
      <c r="N343" t="n">
        <v>0</v>
      </c>
      <c r="O343" t="n">
        <v>0</v>
      </c>
      <c r="P343" t="n">
        <v>0</v>
      </c>
      <c r="Q343" t="n">
        <v>0</v>
      </c>
      <c r="R343" s="2" t="inlineStr"/>
    </row>
    <row r="344" ht="15" customHeight="1">
      <c r="A344" t="inlineStr">
        <is>
          <t>A 45177-2025</t>
        </is>
      </c>
      <c r="B344" s="1" t="n">
        <v>45919.52444444445</v>
      </c>
      <c r="C344" s="1" t="n">
        <v>46040</v>
      </c>
      <c r="D344" t="inlineStr">
        <is>
          <t>VÄSTMANLANDS LÄN</t>
        </is>
      </c>
      <c r="E344" t="inlineStr">
        <is>
          <t>SALA</t>
        </is>
      </c>
      <c r="G344" t="n">
        <v>2.4</v>
      </c>
      <c r="H344" t="n">
        <v>0</v>
      </c>
      <c r="I344" t="n">
        <v>0</v>
      </c>
      <c r="J344" t="n">
        <v>0</v>
      </c>
      <c r="K344" t="n">
        <v>0</v>
      </c>
      <c r="L344" t="n">
        <v>0</v>
      </c>
      <c r="M344" t="n">
        <v>0</v>
      </c>
      <c r="N344" t="n">
        <v>0</v>
      </c>
      <c r="O344" t="n">
        <v>0</v>
      </c>
      <c r="P344" t="n">
        <v>0</v>
      </c>
      <c r="Q344" t="n">
        <v>0</v>
      </c>
      <c r="R344" s="2" t="inlineStr"/>
    </row>
    <row r="345" ht="15" customHeight="1">
      <c r="A345" t="inlineStr">
        <is>
          <t>A 18762-2024</t>
        </is>
      </c>
      <c r="B345" s="1" t="n">
        <v>45426.55240740741</v>
      </c>
      <c r="C345" s="1" t="n">
        <v>46040</v>
      </c>
      <c r="D345" t="inlineStr">
        <is>
          <t>VÄSTMANLANDS LÄN</t>
        </is>
      </c>
      <c r="E345" t="inlineStr">
        <is>
          <t>SALA</t>
        </is>
      </c>
      <c r="G345" t="n">
        <v>6.2</v>
      </c>
      <c r="H345" t="n">
        <v>0</v>
      </c>
      <c r="I345" t="n">
        <v>0</v>
      </c>
      <c r="J345" t="n">
        <v>0</v>
      </c>
      <c r="K345" t="n">
        <v>0</v>
      </c>
      <c r="L345" t="n">
        <v>0</v>
      </c>
      <c r="M345" t="n">
        <v>0</v>
      </c>
      <c r="N345" t="n">
        <v>0</v>
      </c>
      <c r="O345" t="n">
        <v>0</v>
      </c>
      <c r="P345" t="n">
        <v>0</v>
      </c>
      <c r="Q345" t="n">
        <v>0</v>
      </c>
      <c r="R345" s="2" t="inlineStr"/>
    </row>
    <row r="346" ht="15" customHeight="1">
      <c r="A346" t="inlineStr">
        <is>
          <t>A 17120-2023</t>
        </is>
      </c>
      <c r="B346" s="1" t="n">
        <v>45034</v>
      </c>
      <c r="C346" s="1" t="n">
        <v>46040</v>
      </c>
      <c r="D346" t="inlineStr">
        <is>
          <t>VÄSTMANLANDS LÄN</t>
        </is>
      </c>
      <c r="E346" t="inlineStr">
        <is>
          <t>SALA</t>
        </is>
      </c>
      <c r="G346" t="n">
        <v>0.1</v>
      </c>
      <c r="H346" t="n">
        <v>0</v>
      </c>
      <c r="I346" t="n">
        <v>0</v>
      </c>
      <c r="J346" t="n">
        <v>0</v>
      </c>
      <c r="K346" t="n">
        <v>0</v>
      </c>
      <c r="L346" t="n">
        <v>0</v>
      </c>
      <c r="M346" t="n">
        <v>0</v>
      </c>
      <c r="N346" t="n">
        <v>0</v>
      </c>
      <c r="O346" t="n">
        <v>0</v>
      </c>
      <c r="P346" t="n">
        <v>0</v>
      </c>
      <c r="Q346" t="n">
        <v>0</v>
      </c>
      <c r="R346" s="2" t="inlineStr"/>
    </row>
    <row r="347" ht="15" customHeight="1">
      <c r="A347" t="inlineStr">
        <is>
          <t>A 42938-2023</t>
        </is>
      </c>
      <c r="B347" s="1" t="n">
        <v>45179</v>
      </c>
      <c r="C347" s="1" t="n">
        <v>46040</v>
      </c>
      <c r="D347" t="inlineStr">
        <is>
          <t>VÄSTMANLANDS LÄN</t>
        </is>
      </c>
      <c r="E347" t="inlineStr">
        <is>
          <t>SALA</t>
        </is>
      </c>
      <c r="G347" t="n">
        <v>10.9</v>
      </c>
      <c r="H347" t="n">
        <v>0</v>
      </c>
      <c r="I347" t="n">
        <v>0</v>
      </c>
      <c r="J347" t="n">
        <v>0</v>
      </c>
      <c r="K347" t="n">
        <v>0</v>
      </c>
      <c r="L347" t="n">
        <v>0</v>
      </c>
      <c r="M347" t="n">
        <v>0</v>
      </c>
      <c r="N347" t="n">
        <v>0</v>
      </c>
      <c r="O347" t="n">
        <v>0</v>
      </c>
      <c r="P347" t="n">
        <v>0</v>
      </c>
      <c r="Q347" t="n">
        <v>0</v>
      </c>
      <c r="R347" s="2" t="inlineStr"/>
    </row>
    <row r="348" ht="15" customHeight="1">
      <c r="A348" t="inlineStr">
        <is>
          <t>A 42984-2023</t>
        </is>
      </c>
      <c r="B348" s="1" t="n">
        <v>45179</v>
      </c>
      <c r="C348" s="1" t="n">
        <v>46040</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15972-2024</t>
        </is>
      </c>
      <c r="B349" s="1" t="n">
        <v>45405.56498842593</v>
      </c>
      <c r="C349" s="1" t="n">
        <v>46040</v>
      </c>
      <c r="D349" t="inlineStr">
        <is>
          <t>VÄSTMANLANDS LÄN</t>
        </is>
      </c>
      <c r="E349" t="inlineStr">
        <is>
          <t>SALA</t>
        </is>
      </c>
      <c r="G349" t="n">
        <v>1.8</v>
      </c>
      <c r="H349" t="n">
        <v>0</v>
      </c>
      <c r="I349" t="n">
        <v>0</v>
      </c>
      <c r="J349" t="n">
        <v>0</v>
      </c>
      <c r="K349" t="n">
        <v>0</v>
      </c>
      <c r="L349" t="n">
        <v>0</v>
      </c>
      <c r="M349" t="n">
        <v>0</v>
      </c>
      <c r="N349" t="n">
        <v>0</v>
      </c>
      <c r="O349" t="n">
        <v>0</v>
      </c>
      <c r="P349" t="n">
        <v>0</v>
      </c>
      <c r="Q349" t="n">
        <v>0</v>
      </c>
      <c r="R349" s="2" t="inlineStr"/>
    </row>
    <row r="350" ht="15" customHeight="1">
      <c r="A350" t="inlineStr">
        <is>
          <t>A 45914-2025</t>
        </is>
      </c>
      <c r="B350" s="1" t="n">
        <v>45923.82582175926</v>
      </c>
      <c r="C350" s="1" t="n">
        <v>46040</v>
      </c>
      <c r="D350" t="inlineStr">
        <is>
          <t>VÄSTMANLANDS LÄN</t>
        </is>
      </c>
      <c r="E350" t="inlineStr">
        <is>
          <t>SALA</t>
        </is>
      </c>
      <c r="F350" t="inlineStr">
        <is>
          <t>Kommuner</t>
        </is>
      </c>
      <c r="G350" t="n">
        <v>18.2</v>
      </c>
      <c r="H350" t="n">
        <v>0</v>
      </c>
      <c r="I350" t="n">
        <v>0</v>
      </c>
      <c r="J350" t="n">
        <v>0</v>
      </c>
      <c r="K350" t="n">
        <v>0</v>
      </c>
      <c r="L350" t="n">
        <v>0</v>
      </c>
      <c r="M350" t="n">
        <v>0</v>
      </c>
      <c r="N350" t="n">
        <v>0</v>
      </c>
      <c r="O350" t="n">
        <v>0</v>
      </c>
      <c r="P350" t="n">
        <v>0</v>
      </c>
      <c r="Q350" t="n">
        <v>0</v>
      </c>
      <c r="R350" s="2" t="inlineStr"/>
    </row>
    <row r="351" ht="15" customHeight="1">
      <c r="A351" t="inlineStr">
        <is>
          <t>A 45909-2025</t>
        </is>
      </c>
      <c r="B351" s="1" t="n">
        <v>45923.75078703704</v>
      </c>
      <c r="C351" s="1" t="n">
        <v>46040</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39714-2023</t>
        </is>
      </c>
      <c r="B352" s="1" t="n">
        <v>45167.62133101852</v>
      </c>
      <c r="C352" s="1" t="n">
        <v>46040</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46597-2025</t>
        </is>
      </c>
      <c r="B353" s="1" t="n">
        <v>45926.40113425926</v>
      </c>
      <c r="C353" s="1" t="n">
        <v>46040</v>
      </c>
      <c r="D353" t="inlineStr">
        <is>
          <t>VÄSTMANLANDS LÄN</t>
        </is>
      </c>
      <c r="E353" t="inlineStr">
        <is>
          <t>SALA</t>
        </is>
      </c>
      <c r="G353" t="n">
        <v>3.4</v>
      </c>
      <c r="H353" t="n">
        <v>0</v>
      </c>
      <c r="I353" t="n">
        <v>0</v>
      </c>
      <c r="J353" t="n">
        <v>0</v>
      </c>
      <c r="K353" t="n">
        <v>0</v>
      </c>
      <c r="L353" t="n">
        <v>0</v>
      </c>
      <c r="M353" t="n">
        <v>0</v>
      </c>
      <c r="N353" t="n">
        <v>0</v>
      </c>
      <c r="O353" t="n">
        <v>0</v>
      </c>
      <c r="P353" t="n">
        <v>0</v>
      </c>
      <c r="Q353" t="n">
        <v>0</v>
      </c>
      <c r="R353" s="2" t="inlineStr"/>
    </row>
    <row r="354" ht="15" customHeight="1">
      <c r="A354" t="inlineStr">
        <is>
          <t>A 33527-2023</t>
        </is>
      </c>
      <c r="B354" s="1" t="n">
        <v>45131</v>
      </c>
      <c r="C354" s="1" t="n">
        <v>46040</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10913-2025</t>
        </is>
      </c>
      <c r="B355" s="1" t="n">
        <v>45722.73423611111</v>
      </c>
      <c r="C355" s="1" t="n">
        <v>46040</v>
      </c>
      <c r="D355" t="inlineStr">
        <is>
          <t>VÄSTMANLANDS LÄN</t>
        </is>
      </c>
      <c r="E355" t="inlineStr">
        <is>
          <t>SALA</t>
        </is>
      </c>
      <c r="G355" t="n">
        <v>7.6</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46040</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60629-2025</t>
        </is>
      </c>
      <c r="B357" s="1" t="n">
        <v>45996.41972222222</v>
      </c>
      <c r="C357" s="1" t="n">
        <v>46040</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2927-2024</t>
        </is>
      </c>
      <c r="B358" s="1" t="n">
        <v>45315.58989583333</v>
      </c>
      <c r="C358" s="1" t="n">
        <v>46040</v>
      </c>
      <c r="D358" t="inlineStr">
        <is>
          <t>VÄSTMANLANDS LÄN</t>
        </is>
      </c>
      <c r="E358" t="inlineStr">
        <is>
          <t>SALA</t>
        </is>
      </c>
      <c r="G358" t="n">
        <v>2.5</v>
      </c>
      <c r="H358" t="n">
        <v>0</v>
      </c>
      <c r="I358" t="n">
        <v>0</v>
      </c>
      <c r="J358" t="n">
        <v>0</v>
      </c>
      <c r="K358" t="n">
        <v>0</v>
      </c>
      <c r="L358" t="n">
        <v>0</v>
      </c>
      <c r="M358" t="n">
        <v>0</v>
      </c>
      <c r="N358" t="n">
        <v>0</v>
      </c>
      <c r="O358" t="n">
        <v>0</v>
      </c>
      <c r="P358" t="n">
        <v>0</v>
      </c>
      <c r="Q358" t="n">
        <v>0</v>
      </c>
      <c r="R358" s="2" t="inlineStr"/>
    </row>
    <row r="359" ht="15" customHeight="1">
      <c r="A359" t="inlineStr">
        <is>
          <t>A 37183-2024</t>
        </is>
      </c>
      <c r="B359" s="1" t="n">
        <v>45539</v>
      </c>
      <c r="C359" s="1" t="n">
        <v>46040</v>
      </c>
      <c r="D359" t="inlineStr">
        <is>
          <t>VÄSTMANLANDS LÄN</t>
        </is>
      </c>
      <c r="E359" t="inlineStr">
        <is>
          <t>SALA</t>
        </is>
      </c>
      <c r="G359" t="n">
        <v>1.2</v>
      </c>
      <c r="H359" t="n">
        <v>0</v>
      </c>
      <c r="I359" t="n">
        <v>0</v>
      </c>
      <c r="J359" t="n">
        <v>0</v>
      </c>
      <c r="K359" t="n">
        <v>0</v>
      </c>
      <c r="L359" t="n">
        <v>0</v>
      </c>
      <c r="M359" t="n">
        <v>0</v>
      </c>
      <c r="N359" t="n">
        <v>0</v>
      </c>
      <c r="O359" t="n">
        <v>0</v>
      </c>
      <c r="P359" t="n">
        <v>0</v>
      </c>
      <c r="Q359" t="n">
        <v>0</v>
      </c>
      <c r="R359" s="2" t="inlineStr"/>
    </row>
    <row r="360" ht="15" customHeight="1">
      <c r="A360" t="inlineStr">
        <is>
          <t>A 46661-2025</t>
        </is>
      </c>
      <c r="B360" s="1" t="n">
        <v>45926</v>
      </c>
      <c r="C360" s="1" t="n">
        <v>46040</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54199-2024</t>
        </is>
      </c>
      <c r="B361" s="1" t="n">
        <v>45616.64703703704</v>
      </c>
      <c r="C361" s="1" t="n">
        <v>46040</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60548-2024</t>
        </is>
      </c>
      <c r="B362" s="1" t="n">
        <v>45643.80978009259</v>
      </c>
      <c r="C362" s="1" t="n">
        <v>46040</v>
      </c>
      <c r="D362" t="inlineStr">
        <is>
          <t>VÄSTMANLANDS LÄN</t>
        </is>
      </c>
      <c r="E362" t="inlineStr">
        <is>
          <t>SALA</t>
        </is>
      </c>
      <c r="G362" t="n">
        <v>1.6</v>
      </c>
      <c r="H362" t="n">
        <v>0</v>
      </c>
      <c r="I362" t="n">
        <v>0</v>
      </c>
      <c r="J362" t="n">
        <v>0</v>
      </c>
      <c r="K362" t="n">
        <v>0</v>
      </c>
      <c r="L362" t="n">
        <v>0</v>
      </c>
      <c r="M362" t="n">
        <v>0</v>
      </c>
      <c r="N362" t="n">
        <v>0</v>
      </c>
      <c r="O362" t="n">
        <v>0</v>
      </c>
      <c r="P362" t="n">
        <v>0</v>
      </c>
      <c r="Q362" t="n">
        <v>0</v>
      </c>
      <c r="R362" s="2" t="inlineStr"/>
    </row>
    <row r="363" ht="15" customHeight="1">
      <c r="A363" t="inlineStr">
        <is>
          <t>A 46915-2025</t>
        </is>
      </c>
      <c r="B363" s="1" t="n">
        <v>45929.42114583333</v>
      </c>
      <c r="C363" s="1" t="n">
        <v>46040</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48057-2025</t>
        </is>
      </c>
      <c r="B364" s="1" t="n">
        <v>45932.67947916667</v>
      </c>
      <c r="C364" s="1" t="n">
        <v>46040</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47577-2025</t>
        </is>
      </c>
      <c r="B365" s="1" t="n">
        <v>45931.4047337963</v>
      </c>
      <c r="C365" s="1" t="n">
        <v>46040</v>
      </c>
      <c r="D365" t="inlineStr">
        <is>
          <t>VÄSTMANLANDS LÄN</t>
        </is>
      </c>
      <c r="E365" t="inlineStr">
        <is>
          <t>SALA</t>
        </is>
      </c>
      <c r="G365" t="n">
        <v>3.7</v>
      </c>
      <c r="H365" t="n">
        <v>0</v>
      </c>
      <c r="I365" t="n">
        <v>0</v>
      </c>
      <c r="J365" t="n">
        <v>0</v>
      </c>
      <c r="K365" t="n">
        <v>0</v>
      </c>
      <c r="L365" t="n">
        <v>0</v>
      </c>
      <c r="M365" t="n">
        <v>0</v>
      </c>
      <c r="N365" t="n">
        <v>0</v>
      </c>
      <c r="O365" t="n">
        <v>0</v>
      </c>
      <c r="P365" t="n">
        <v>0</v>
      </c>
      <c r="Q365" t="n">
        <v>0</v>
      </c>
      <c r="R365" s="2" t="inlineStr"/>
    </row>
    <row r="366" ht="15" customHeight="1">
      <c r="A366" t="inlineStr">
        <is>
          <t>A 57895-2024</t>
        </is>
      </c>
      <c r="B366" s="1" t="n">
        <v>45631</v>
      </c>
      <c r="C366" s="1" t="n">
        <v>46040</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31597-2024</t>
        </is>
      </c>
      <c r="B367" s="1" t="n">
        <v>45506</v>
      </c>
      <c r="C367" s="1" t="n">
        <v>46040</v>
      </c>
      <c r="D367" t="inlineStr">
        <is>
          <t>VÄSTMANLANDS LÄN</t>
        </is>
      </c>
      <c r="E367" t="inlineStr">
        <is>
          <t>SALA</t>
        </is>
      </c>
      <c r="G367" t="n">
        <v>2.4</v>
      </c>
      <c r="H367" t="n">
        <v>0</v>
      </c>
      <c r="I367" t="n">
        <v>0</v>
      </c>
      <c r="J367" t="n">
        <v>0</v>
      </c>
      <c r="K367" t="n">
        <v>0</v>
      </c>
      <c r="L367" t="n">
        <v>0</v>
      </c>
      <c r="M367" t="n">
        <v>0</v>
      </c>
      <c r="N367" t="n">
        <v>0</v>
      </c>
      <c r="O367" t="n">
        <v>0</v>
      </c>
      <c r="P367" t="n">
        <v>0</v>
      </c>
      <c r="Q367" t="n">
        <v>0</v>
      </c>
      <c r="R367" s="2" t="inlineStr"/>
    </row>
    <row r="368" ht="15" customHeight="1">
      <c r="A368" t="inlineStr">
        <is>
          <t>A 17458-2024</t>
        </is>
      </c>
      <c r="B368" s="1" t="n">
        <v>45415</v>
      </c>
      <c r="C368" s="1" t="n">
        <v>46040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56543-2024</t>
        </is>
      </c>
      <c r="B369" s="1" t="n">
        <v>45625</v>
      </c>
      <c r="C369" s="1" t="n">
        <v>46040</v>
      </c>
      <c r="D369" t="inlineStr">
        <is>
          <t>VÄSTMANLANDS LÄN</t>
        </is>
      </c>
      <c r="E369" t="inlineStr">
        <is>
          <t>SALA</t>
        </is>
      </c>
      <c r="G369" t="n">
        <v>0.7</v>
      </c>
      <c r="H369" t="n">
        <v>0</v>
      </c>
      <c r="I369" t="n">
        <v>0</v>
      </c>
      <c r="J369" t="n">
        <v>0</v>
      </c>
      <c r="K369" t="n">
        <v>0</v>
      </c>
      <c r="L369" t="n">
        <v>0</v>
      </c>
      <c r="M369" t="n">
        <v>0</v>
      </c>
      <c r="N369" t="n">
        <v>0</v>
      </c>
      <c r="O369" t="n">
        <v>0</v>
      </c>
      <c r="P369" t="n">
        <v>0</v>
      </c>
      <c r="Q369" t="n">
        <v>0</v>
      </c>
      <c r="R369" s="2" t="inlineStr"/>
    </row>
    <row r="370" ht="15" customHeight="1">
      <c r="A370" t="inlineStr">
        <is>
          <t>A 48710-2025</t>
        </is>
      </c>
      <c r="B370" s="1" t="n">
        <v>45936.63184027778</v>
      </c>
      <c r="C370" s="1" t="n">
        <v>46040</v>
      </c>
      <c r="D370" t="inlineStr">
        <is>
          <t>VÄSTMANLANDS LÄN</t>
        </is>
      </c>
      <c r="E370" t="inlineStr">
        <is>
          <t>SALA</t>
        </is>
      </c>
      <c r="G370" t="n">
        <v>2.7</v>
      </c>
      <c r="H370" t="n">
        <v>0</v>
      </c>
      <c r="I370" t="n">
        <v>0</v>
      </c>
      <c r="J370" t="n">
        <v>0</v>
      </c>
      <c r="K370" t="n">
        <v>0</v>
      </c>
      <c r="L370" t="n">
        <v>0</v>
      </c>
      <c r="M370" t="n">
        <v>0</v>
      </c>
      <c r="N370" t="n">
        <v>0</v>
      </c>
      <c r="O370" t="n">
        <v>0</v>
      </c>
      <c r="P370" t="n">
        <v>0</v>
      </c>
      <c r="Q370" t="n">
        <v>0</v>
      </c>
      <c r="R370" s="2" t="inlineStr"/>
    </row>
    <row r="371" ht="15" customHeight="1">
      <c r="A371" t="inlineStr">
        <is>
          <t>A 28661-2024</t>
        </is>
      </c>
      <c r="B371" s="1" t="n">
        <v>45478</v>
      </c>
      <c r="C371" s="1" t="n">
        <v>46040</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2529-2022</t>
        </is>
      </c>
      <c r="B372" s="1" t="n">
        <v>44579.86452546297</v>
      </c>
      <c r="C372" s="1" t="n">
        <v>46040</v>
      </c>
      <c r="D372" t="inlineStr">
        <is>
          <t>VÄSTMANLANDS LÄN</t>
        </is>
      </c>
      <c r="E372" t="inlineStr">
        <is>
          <t>SALA</t>
        </is>
      </c>
      <c r="G372" t="n">
        <v>1.7</v>
      </c>
      <c r="H372" t="n">
        <v>0</v>
      </c>
      <c r="I372" t="n">
        <v>0</v>
      </c>
      <c r="J372" t="n">
        <v>0</v>
      </c>
      <c r="K372" t="n">
        <v>0</v>
      </c>
      <c r="L372" t="n">
        <v>0</v>
      </c>
      <c r="M372" t="n">
        <v>0</v>
      </c>
      <c r="N372" t="n">
        <v>0</v>
      </c>
      <c r="O372" t="n">
        <v>0</v>
      </c>
      <c r="P372" t="n">
        <v>0</v>
      </c>
      <c r="Q372" t="n">
        <v>0</v>
      </c>
      <c r="R372" s="2" t="inlineStr"/>
    </row>
    <row r="373" ht="15" customHeight="1">
      <c r="A373" t="inlineStr">
        <is>
          <t>A 56540-2024</t>
        </is>
      </c>
      <c r="B373" s="1" t="n">
        <v>45625</v>
      </c>
      <c r="C373" s="1" t="n">
        <v>46040</v>
      </c>
      <c r="D373" t="inlineStr">
        <is>
          <t>VÄSTMANLANDS LÄN</t>
        </is>
      </c>
      <c r="E373" t="inlineStr">
        <is>
          <t>SALA</t>
        </is>
      </c>
      <c r="G373" t="n">
        <v>1.8</v>
      </c>
      <c r="H373" t="n">
        <v>0</v>
      </c>
      <c r="I373" t="n">
        <v>0</v>
      </c>
      <c r="J373" t="n">
        <v>0</v>
      </c>
      <c r="K373" t="n">
        <v>0</v>
      </c>
      <c r="L373" t="n">
        <v>0</v>
      </c>
      <c r="M373" t="n">
        <v>0</v>
      </c>
      <c r="N373" t="n">
        <v>0</v>
      </c>
      <c r="O373" t="n">
        <v>0</v>
      </c>
      <c r="P373" t="n">
        <v>0</v>
      </c>
      <c r="Q373" t="n">
        <v>0</v>
      </c>
      <c r="R373" s="2" t="inlineStr"/>
    </row>
    <row r="374" ht="15" customHeight="1">
      <c r="A374" t="inlineStr">
        <is>
          <t>A 31599-2024</t>
        </is>
      </c>
      <c r="B374" s="1" t="n">
        <v>45506</v>
      </c>
      <c r="C374" s="1" t="n">
        <v>46040</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31601-2024</t>
        </is>
      </c>
      <c r="B375" s="1" t="n">
        <v>45506</v>
      </c>
      <c r="C375" s="1" t="n">
        <v>46040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31608-2024</t>
        </is>
      </c>
      <c r="B376" s="1" t="n">
        <v>45506</v>
      </c>
      <c r="C376" s="1" t="n">
        <v>46040</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31612-2024</t>
        </is>
      </c>
      <c r="B377" s="1" t="n">
        <v>45506</v>
      </c>
      <c r="C377" s="1" t="n">
        <v>46040</v>
      </c>
      <c r="D377" t="inlineStr">
        <is>
          <t>VÄSTMANLANDS LÄN</t>
        </is>
      </c>
      <c r="E377" t="inlineStr">
        <is>
          <t>SALA</t>
        </is>
      </c>
      <c r="G377" t="n">
        <v>3.2</v>
      </c>
      <c r="H377" t="n">
        <v>0</v>
      </c>
      <c r="I377" t="n">
        <v>0</v>
      </c>
      <c r="J377" t="n">
        <v>0</v>
      </c>
      <c r="K377" t="n">
        <v>0</v>
      </c>
      <c r="L377" t="n">
        <v>0</v>
      </c>
      <c r="M377" t="n">
        <v>0</v>
      </c>
      <c r="N377" t="n">
        <v>0</v>
      </c>
      <c r="O377" t="n">
        <v>0</v>
      </c>
      <c r="P377" t="n">
        <v>0</v>
      </c>
      <c r="Q377" t="n">
        <v>0</v>
      </c>
      <c r="R377" s="2" t="inlineStr"/>
    </row>
    <row r="378" ht="15" customHeight="1">
      <c r="A378" t="inlineStr">
        <is>
          <t>A 10579-2022</t>
        </is>
      </c>
      <c r="B378" s="1" t="n">
        <v>44624</v>
      </c>
      <c r="C378" s="1" t="n">
        <v>46040</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64693-2023</t>
        </is>
      </c>
      <c r="B379" s="1" t="n">
        <v>45281.63850694444</v>
      </c>
      <c r="C379" s="1" t="n">
        <v>46040</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64695-2023</t>
        </is>
      </c>
      <c r="B380" s="1" t="n">
        <v>45281.64099537037</v>
      </c>
      <c r="C380" s="1" t="n">
        <v>46040</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48910-2025</t>
        </is>
      </c>
      <c r="B381" s="1" t="n">
        <v>45937.48649305556</v>
      </c>
      <c r="C381" s="1" t="n">
        <v>46040</v>
      </c>
      <c r="D381" t="inlineStr">
        <is>
          <t>VÄSTMANLANDS LÄN</t>
        </is>
      </c>
      <c r="E381" t="inlineStr">
        <is>
          <t>SALA</t>
        </is>
      </c>
      <c r="G381" t="n">
        <v>7.8</v>
      </c>
      <c r="H381" t="n">
        <v>0</v>
      </c>
      <c r="I381" t="n">
        <v>0</v>
      </c>
      <c r="J381" t="n">
        <v>0</v>
      </c>
      <c r="K381" t="n">
        <v>0</v>
      </c>
      <c r="L381" t="n">
        <v>0</v>
      </c>
      <c r="M381" t="n">
        <v>0</v>
      </c>
      <c r="N381" t="n">
        <v>0</v>
      </c>
      <c r="O381" t="n">
        <v>0</v>
      </c>
      <c r="P381" t="n">
        <v>0</v>
      </c>
      <c r="Q381" t="n">
        <v>0</v>
      </c>
      <c r="R381" s="2" t="inlineStr"/>
    </row>
    <row r="382" ht="15" customHeight="1">
      <c r="A382" t="inlineStr">
        <is>
          <t>A 49640-2025</t>
        </is>
      </c>
      <c r="B382" s="1" t="n">
        <v>45939.61459490741</v>
      </c>
      <c r="C382" s="1" t="n">
        <v>46040</v>
      </c>
      <c r="D382" t="inlineStr">
        <is>
          <t>VÄSTMANLANDS LÄN</t>
        </is>
      </c>
      <c r="E382" t="inlineStr">
        <is>
          <t>SALA</t>
        </is>
      </c>
      <c r="F382" t="inlineStr">
        <is>
          <t>Kommuner</t>
        </is>
      </c>
      <c r="G382" t="n">
        <v>18.8</v>
      </c>
      <c r="H382" t="n">
        <v>0</v>
      </c>
      <c r="I382" t="n">
        <v>0</v>
      </c>
      <c r="J382" t="n">
        <v>0</v>
      </c>
      <c r="K382" t="n">
        <v>0</v>
      </c>
      <c r="L382" t="n">
        <v>0</v>
      </c>
      <c r="M382" t="n">
        <v>0</v>
      </c>
      <c r="N382" t="n">
        <v>0</v>
      </c>
      <c r="O382" t="n">
        <v>0</v>
      </c>
      <c r="P382" t="n">
        <v>0</v>
      </c>
      <c r="Q382" t="n">
        <v>0</v>
      </c>
      <c r="R382" s="2" t="inlineStr"/>
    </row>
    <row r="383" ht="15" customHeight="1">
      <c r="A383" t="inlineStr">
        <is>
          <t>A 55784-2024</t>
        </is>
      </c>
      <c r="B383" s="1" t="n">
        <v>45623</v>
      </c>
      <c r="C383" s="1" t="n">
        <v>46040</v>
      </c>
      <c r="D383" t="inlineStr">
        <is>
          <t>VÄSTMANLANDS LÄN</t>
        </is>
      </c>
      <c r="E383" t="inlineStr">
        <is>
          <t>SALA</t>
        </is>
      </c>
      <c r="F383" t="inlineStr">
        <is>
          <t>Bergvik skog öst AB</t>
        </is>
      </c>
      <c r="G383" t="n">
        <v>28.4</v>
      </c>
      <c r="H383" t="n">
        <v>0</v>
      </c>
      <c r="I383" t="n">
        <v>0</v>
      </c>
      <c r="J383" t="n">
        <v>0</v>
      </c>
      <c r="K383" t="n">
        <v>0</v>
      </c>
      <c r="L383" t="n">
        <v>0</v>
      </c>
      <c r="M383" t="n">
        <v>0</v>
      </c>
      <c r="N383" t="n">
        <v>0</v>
      </c>
      <c r="O383" t="n">
        <v>0</v>
      </c>
      <c r="P383" t="n">
        <v>0</v>
      </c>
      <c r="Q383" t="n">
        <v>0</v>
      </c>
      <c r="R383" s="2" t="inlineStr"/>
    </row>
    <row r="384" ht="15" customHeight="1">
      <c r="A384" t="inlineStr">
        <is>
          <t>A 49585-2025</t>
        </is>
      </c>
      <c r="B384" s="1" t="n">
        <v>45939.5043287037</v>
      </c>
      <c r="C384" s="1" t="n">
        <v>46040</v>
      </c>
      <c r="D384" t="inlineStr">
        <is>
          <t>VÄSTMANLANDS LÄN</t>
        </is>
      </c>
      <c r="E384" t="inlineStr">
        <is>
          <t>SALA</t>
        </is>
      </c>
      <c r="G384" t="n">
        <v>2.2</v>
      </c>
      <c r="H384" t="n">
        <v>0</v>
      </c>
      <c r="I384" t="n">
        <v>0</v>
      </c>
      <c r="J384" t="n">
        <v>0</v>
      </c>
      <c r="K384" t="n">
        <v>0</v>
      </c>
      <c r="L384" t="n">
        <v>0</v>
      </c>
      <c r="M384" t="n">
        <v>0</v>
      </c>
      <c r="N384" t="n">
        <v>0</v>
      </c>
      <c r="O384" t="n">
        <v>0</v>
      </c>
      <c r="P384" t="n">
        <v>0</v>
      </c>
      <c r="Q384" t="n">
        <v>0</v>
      </c>
      <c r="R384" s="2" t="inlineStr"/>
    </row>
    <row r="385" ht="15" customHeight="1">
      <c r="A385" t="inlineStr">
        <is>
          <t>A 29542-2023</t>
        </is>
      </c>
      <c r="B385" s="1" t="n">
        <v>45098</v>
      </c>
      <c r="C385" s="1" t="n">
        <v>46040</v>
      </c>
      <c r="D385" t="inlineStr">
        <is>
          <t>VÄSTMANLANDS LÄN</t>
        </is>
      </c>
      <c r="E385" t="inlineStr">
        <is>
          <t>SALA</t>
        </is>
      </c>
      <c r="G385" t="n">
        <v>4.8</v>
      </c>
      <c r="H385" t="n">
        <v>0</v>
      </c>
      <c r="I385" t="n">
        <v>0</v>
      </c>
      <c r="J385" t="n">
        <v>0</v>
      </c>
      <c r="K385" t="n">
        <v>0</v>
      </c>
      <c r="L385" t="n">
        <v>0</v>
      </c>
      <c r="M385" t="n">
        <v>0</v>
      </c>
      <c r="N385" t="n">
        <v>0</v>
      </c>
      <c r="O385" t="n">
        <v>0</v>
      </c>
      <c r="P385" t="n">
        <v>0</v>
      </c>
      <c r="Q385" t="n">
        <v>0</v>
      </c>
      <c r="R385" s="2" t="inlineStr"/>
    </row>
    <row r="386" ht="15" customHeight="1">
      <c r="A386" t="inlineStr">
        <is>
          <t>A 27038-2023</t>
        </is>
      </c>
      <c r="B386" s="1" t="n">
        <v>45095</v>
      </c>
      <c r="C386" s="1" t="n">
        <v>46040</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50128-2025</t>
        </is>
      </c>
      <c r="B387" s="1" t="n">
        <v>45943.55318287037</v>
      </c>
      <c r="C387" s="1" t="n">
        <v>46040</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35976-2024</t>
        </is>
      </c>
      <c r="B388" s="1" t="n">
        <v>45533.49555555556</v>
      </c>
      <c r="C388" s="1" t="n">
        <v>46040</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50249-2025</t>
        </is>
      </c>
      <c r="B389" s="1" t="n">
        <v>45944.31508101852</v>
      </c>
      <c r="C389" s="1" t="n">
        <v>46040</v>
      </c>
      <c r="D389" t="inlineStr">
        <is>
          <t>VÄSTMANLANDS LÄN</t>
        </is>
      </c>
      <c r="E389" t="inlineStr">
        <is>
          <t>SALA</t>
        </is>
      </c>
      <c r="G389" t="n">
        <v>2.3</v>
      </c>
      <c r="H389" t="n">
        <v>0</v>
      </c>
      <c r="I389" t="n">
        <v>0</v>
      </c>
      <c r="J389" t="n">
        <v>0</v>
      </c>
      <c r="K389" t="n">
        <v>0</v>
      </c>
      <c r="L389" t="n">
        <v>0</v>
      </c>
      <c r="M389" t="n">
        <v>0</v>
      </c>
      <c r="N389" t="n">
        <v>0</v>
      </c>
      <c r="O389" t="n">
        <v>0</v>
      </c>
      <c r="P389" t="n">
        <v>0</v>
      </c>
      <c r="Q389" t="n">
        <v>0</v>
      </c>
      <c r="R389" s="2" t="inlineStr"/>
    </row>
    <row r="390" ht="15" customHeight="1">
      <c r="A390" t="inlineStr">
        <is>
          <t>A 50119-2025</t>
        </is>
      </c>
      <c r="B390" s="1" t="n">
        <v>45943.54883101852</v>
      </c>
      <c r="C390" s="1" t="n">
        <v>46040</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50059-2025</t>
        </is>
      </c>
      <c r="B391" s="1" t="n">
        <v>45943.44125</v>
      </c>
      <c r="C391" s="1" t="n">
        <v>46040</v>
      </c>
      <c r="D391" t="inlineStr">
        <is>
          <t>VÄSTMANLANDS LÄN</t>
        </is>
      </c>
      <c r="E391" t="inlineStr">
        <is>
          <t>SALA</t>
        </is>
      </c>
      <c r="G391" t="n">
        <v>4.4</v>
      </c>
      <c r="H391" t="n">
        <v>0</v>
      </c>
      <c r="I391" t="n">
        <v>0</v>
      </c>
      <c r="J391" t="n">
        <v>0</v>
      </c>
      <c r="K391" t="n">
        <v>0</v>
      </c>
      <c r="L391" t="n">
        <v>0</v>
      </c>
      <c r="M391" t="n">
        <v>0</v>
      </c>
      <c r="N391" t="n">
        <v>0</v>
      </c>
      <c r="O391" t="n">
        <v>0</v>
      </c>
      <c r="P391" t="n">
        <v>0</v>
      </c>
      <c r="Q391" t="n">
        <v>0</v>
      </c>
      <c r="R391" s="2" t="inlineStr"/>
    </row>
    <row r="392" ht="15" customHeight="1">
      <c r="A392" t="inlineStr">
        <is>
          <t>A 17051-2025</t>
        </is>
      </c>
      <c r="B392" s="1" t="n">
        <v>45755</v>
      </c>
      <c r="C392" s="1" t="n">
        <v>46040</v>
      </c>
      <c r="D392" t="inlineStr">
        <is>
          <t>VÄSTMANLANDS LÄN</t>
        </is>
      </c>
      <c r="E392" t="inlineStr">
        <is>
          <t>SALA</t>
        </is>
      </c>
      <c r="G392" t="n">
        <v>2.9</v>
      </c>
      <c r="H392" t="n">
        <v>0</v>
      </c>
      <c r="I392" t="n">
        <v>0</v>
      </c>
      <c r="J392" t="n">
        <v>0</v>
      </c>
      <c r="K392" t="n">
        <v>0</v>
      </c>
      <c r="L392" t="n">
        <v>0</v>
      </c>
      <c r="M392" t="n">
        <v>0</v>
      </c>
      <c r="N392" t="n">
        <v>0</v>
      </c>
      <c r="O392" t="n">
        <v>0</v>
      </c>
      <c r="P392" t="n">
        <v>0</v>
      </c>
      <c r="Q392" t="n">
        <v>0</v>
      </c>
      <c r="R392" s="2" t="inlineStr"/>
    </row>
    <row r="393" ht="15" customHeight="1">
      <c r="A393" t="inlineStr">
        <is>
          <t>A 8285-2025</t>
        </is>
      </c>
      <c r="B393" s="1" t="n">
        <v>45708</v>
      </c>
      <c r="C393" s="1" t="n">
        <v>46040</v>
      </c>
      <c r="D393" t="inlineStr">
        <is>
          <t>VÄSTMANLANDS LÄN</t>
        </is>
      </c>
      <c r="E393" t="inlineStr">
        <is>
          <t>SALA</t>
        </is>
      </c>
      <c r="G393" t="n">
        <v>5.7</v>
      </c>
      <c r="H393" t="n">
        <v>0</v>
      </c>
      <c r="I393" t="n">
        <v>0</v>
      </c>
      <c r="J393" t="n">
        <v>0</v>
      </c>
      <c r="K393" t="n">
        <v>0</v>
      </c>
      <c r="L393" t="n">
        <v>0</v>
      </c>
      <c r="M393" t="n">
        <v>0</v>
      </c>
      <c r="N393" t="n">
        <v>0</v>
      </c>
      <c r="O393" t="n">
        <v>0</v>
      </c>
      <c r="P393" t="n">
        <v>0</v>
      </c>
      <c r="Q393" t="n">
        <v>0</v>
      </c>
      <c r="R393" s="2" t="inlineStr"/>
    </row>
    <row r="394" ht="15" customHeight="1">
      <c r="A394" t="inlineStr">
        <is>
          <t>A 14010-2021</t>
        </is>
      </c>
      <c r="B394" s="1" t="n">
        <v>44277.63396990741</v>
      </c>
      <c r="C394" s="1" t="n">
        <v>46040</v>
      </c>
      <c r="D394" t="inlineStr">
        <is>
          <t>VÄSTMANLANDS LÄN</t>
        </is>
      </c>
      <c r="E394" t="inlineStr">
        <is>
          <t>SALA</t>
        </is>
      </c>
      <c r="G394" t="n">
        <v>3.5</v>
      </c>
      <c r="H394" t="n">
        <v>0</v>
      </c>
      <c r="I394" t="n">
        <v>0</v>
      </c>
      <c r="J394" t="n">
        <v>0</v>
      </c>
      <c r="K394" t="n">
        <v>0</v>
      </c>
      <c r="L394" t="n">
        <v>0</v>
      </c>
      <c r="M394" t="n">
        <v>0</v>
      </c>
      <c r="N394" t="n">
        <v>0</v>
      </c>
      <c r="O394" t="n">
        <v>0</v>
      </c>
      <c r="P394" t="n">
        <v>0</v>
      </c>
      <c r="Q394" t="n">
        <v>0</v>
      </c>
      <c r="R394" s="2" t="inlineStr"/>
    </row>
    <row r="395" ht="15" customHeight="1">
      <c r="A395" t="inlineStr">
        <is>
          <t>A 22019-2021</t>
        </is>
      </c>
      <c r="B395" s="1" t="n">
        <v>44323</v>
      </c>
      <c r="C395" s="1" t="n">
        <v>46040</v>
      </c>
      <c r="D395" t="inlineStr">
        <is>
          <t>VÄSTMANLANDS LÄN</t>
        </is>
      </c>
      <c r="E395" t="inlineStr">
        <is>
          <t>SALA</t>
        </is>
      </c>
      <c r="G395" t="n">
        <v>1.9</v>
      </c>
      <c r="H395" t="n">
        <v>0</v>
      </c>
      <c r="I395" t="n">
        <v>0</v>
      </c>
      <c r="J395" t="n">
        <v>0</v>
      </c>
      <c r="K395" t="n">
        <v>0</v>
      </c>
      <c r="L395" t="n">
        <v>0</v>
      </c>
      <c r="M395" t="n">
        <v>0</v>
      </c>
      <c r="N395" t="n">
        <v>0</v>
      </c>
      <c r="O395" t="n">
        <v>0</v>
      </c>
      <c r="P395" t="n">
        <v>0</v>
      </c>
      <c r="Q395" t="n">
        <v>0</v>
      </c>
      <c r="R395" s="2" t="inlineStr"/>
    </row>
    <row r="396" ht="15" customHeight="1">
      <c r="A396" t="inlineStr">
        <is>
          <t>A 57404-2024</t>
        </is>
      </c>
      <c r="B396" s="1" t="n">
        <v>45629.71967592592</v>
      </c>
      <c r="C396" s="1" t="n">
        <v>46040</v>
      </c>
      <c r="D396" t="inlineStr">
        <is>
          <t>VÄSTMANLANDS LÄN</t>
        </is>
      </c>
      <c r="E396" t="inlineStr">
        <is>
          <t>SALA</t>
        </is>
      </c>
      <c r="G396" t="n">
        <v>0.3</v>
      </c>
      <c r="H396" t="n">
        <v>0</v>
      </c>
      <c r="I396" t="n">
        <v>0</v>
      </c>
      <c r="J396" t="n">
        <v>0</v>
      </c>
      <c r="K396" t="n">
        <v>0</v>
      </c>
      <c r="L396" t="n">
        <v>0</v>
      </c>
      <c r="M396" t="n">
        <v>0</v>
      </c>
      <c r="N396" t="n">
        <v>0</v>
      </c>
      <c r="O396" t="n">
        <v>0</v>
      </c>
      <c r="P396" t="n">
        <v>0</v>
      </c>
      <c r="Q396" t="n">
        <v>0</v>
      </c>
      <c r="R396" s="2" t="inlineStr"/>
    </row>
    <row r="397" ht="15" customHeight="1">
      <c r="A397" t="inlineStr">
        <is>
          <t>A 21777-2022</t>
        </is>
      </c>
      <c r="B397" s="1" t="n">
        <v>44708.48194444444</v>
      </c>
      <c r="C397" s="1" t="n">
        <v>46040</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17866-2025</t>
        </is>
      </c>
      <c r="B398" s="1" t="n">
        <v>45758</v>
      </c>
      <c r="C398" s="1" t="n">
        <v>46040</v>
      </c>
      <c r="D398" t="inlineStr">
        <is>
          <t>VÄSTMANLANDS LÄN</t>
        </is>
      </c>
      <c r="E398" t="inlineStr">
        <is>
          <t>SALA</t>
        </is>
      </c>
      <c r="F398" t="inlineStr">
        <is>
          <t>Bergvik skog öst AB</t>
        </is>
      </c>
      <c r="G398" t="n">
        <v>2.1</v>
      </c>
      <c r="H398" t="n">
        <v>0</v>
      </c>
      <c r="I398" t="n">
        <v>0</v>
      </c>
      <c r="J398" t="n">
        <v>0</v>
      </c>
      <c r="K398" t="n">
        <v>0</v>
      </c>
      <c r="L398" t="n">
        <v>0</v>
      </c>
      <c r="M398" t="n">
        <v>0</v>
      </c>
      <c r="N398" t="n">
        <v>0</v>
      </c>
      <c r="O398" t="n">
        <v>0</v>
      </c>
      <c r="P398" t="n">
        <v>0</v>
      </c>
      <c r="Q398" t="n">
        <v>0</v>
      </c>
      <c r="R398" s="2" t="inlineStr"/>
    </row>
    <row r="399" ht="15" customHeight="1">
      <c r="A399" t="inlineStr">
        <is>
          <t>A 33732-2023</t>
        </is>
      </c>
      <c r="B399" s="1" t="n">
        <v>45133.32409722222</v>
      </c>
      <c r="C399" s="1" t="n">
        <v>46040</v>
      </c>
      <c r="D399" t="inlineStr">
        <is>
          <t>VÄSTMANLANDS LÄN</t>
        </is>
      </c>
      <c r="E399" t="inlineStr">
        <is>
          <t>SALA</t>
        </is>
      </c>
      <c r="G399" t="n">
        <v>2</v>
      </c>
      <c r="H399" t="n">
        <v>0</v>
      </c>
      <c r="I399" t="n">
        <v>0</v>
      </c>
      <c r="J399" t="n">
        <v>0</v>
      </c>
      <c r="K399" t="n">
        <v>0</v>
      </c>
      <c r="L399" t="n">
        <v>0</v>
      </c>
      <c r="M399" t="n">
        <v>0</v>
      </c>
      <c r="N399" t="n">
        <v>0</v>
      </c>
      <c r="O399" t="n">
        <v>0</v>
      </c>
      <c r="P399" t="n">
        <v>0</v>
      </c>
      <c r="Q399" t="n">
        <v>0</v>
      </c>
      <c r="R399" s="2" t="inlineStr"/>
    </row>
    <row r="400" ht="15" customHeight="1">
      <c r="A400" t="inlineStr">
        <is>
          <t>A 51626-2025</t>
        </is>
      </c>
      <c r="B400" s="1" t="n">
        <v>45951.41769675926</v>
      </c>
      <c r="C400" s="1" t="n">
        <v>46040</v>
      </c>
      <c r="D400" t="inlineStr">
        <is>
          <t>VÄSTMANLANDS LÄN</t>
        </is>
      </c>
      <c r="E400" t="inlineStr">
        <is>
          <t>SALA</t>
        </is>
      </c>
      <c r="G400" t="n">
        <v>2.6</v>
      </c>
      <c r="H400" t="n">
        <v>0</v>
      </c>
      <c r="I400" t="n">
        <v>0</v>
      </c>
      <c r="J400" t="n">
        <v>0</v>
      </c>
      <c r="K400" t="n">
        <v>0</v>
      </c>
      <c r="L400" t="n">
        <v>0</v>
      </c>
      <c r="M400" t="n">
        <v>0</v>
      </c>
      <c r="N400" t="n">
        <v>0</v>
      </c>
      <c r="O400" t="n">
        <v>0</v>
      </c>
      <c r="P400" t="n">
        <v>0</v>
      </c>
      <c r="Q400" t="n">
        <v>0</v>
      </c>
      <c r="R400" s="2" t="inlineStr"/>
    </row>
    <row r="401" ht="15" customHeight="1">
      <c r="A401" t="inlineStr">
        <is>
          <t>A 51690-2025</t>
        </is>
      </c>
      <c r="B401" s="1" t="n">
        <v>45951.53462962963</v>
      </c>
      <c r="C401" s="1" t="n">
        <v>46040</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7166-2025</t>
        </is>
      </c>
      <c r="B402" s="1" t="n">
        <v>45702</v>
      </c>
      <c r="C402" s="1" t="n">
        <v>46040</v>
      </c>
      <c r="D402" t="inlineStr">
        <is>
          <t>VÄSTMANLANDS LÄN</t>
        </is>
      </c>
      <c r="E402" t="inlineStr">
        <is>
          <t>SALA</t>
        </is>
      </c>
      <c r="G402" t="n">
        <v>6.1</v>
      </c>
      <c r="H402" t="n">
        <v>0</v>
      </c>
      <c r="I402" t="n">
        <v>0</v>
      </c>
      <c r="J402" t="n">
        <v>0</v>
      </c>
      <c r="K402" t="n">
        <v>0</v>
      </c>
      <c r="L402" t="n">
        <v>0</v>
      </c>
      <c r="M402" t="n">
        <v>0</v>
      </c>
      <c r="N402" t="n">
        <v>0</v>
      </c>
      <c r="O402" t="n">
        <v>0</v>
      </c>
      <c r="P402" t="n">
        <v>0</v>
      </c>
      <c r="Q402" t="n">
        <v>0</v>
      </c>
      <c r="R402" s="2" t="inlineStr"/>
    </row>
    <row r="403" ht="15" customHeight="1">
      <c r="A403" t="inlineStr">
        <is>
          <t>A 44857-2023</t>
        </is>
      </c>
      <c r="B403" s="1" t="n">
        <v>45190.58479166667</v>
      </c>
      <c r="C403" s="1" t="n">
        <v>46040</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46352-2023</t>
        </is>
      </c>
      <c r="B404" s="1" t="n">
        <v>45192</v>
      </c>
      <c r="C404" s="1" t="n">
        <v>46040</v>
      </c>
      <c r="D404" t="inlineStr">
        <is>
          <t>VÄSTMANLANDS LÄN</t>
        </is>
      </c>
      <c r="E404" t="inlineStr">
        <is>
          <t>SALA</t>
        </is>
      </c>
      <c r="G404" t="n">
        <v>1.9</v>
      </c>
      <c r="H404" t="n">
        <v>0</v>
      </c>
      <c r="I404" t="n">
        <v>0</v>
      </c>
      <c r="J404" t="n">
        <v>0</v>
      </c>
      <c r="K404" t="n">
        <v>0</v>
      </c>
      <c r="L404" t="n">
        <v>0</v>
      </c>
      <c r="M404" t="n">
        <v>0</v>
      </c>
      <c r="N404" t="n">
        <v>0</v>
      </c>
      <c r="O404" t="n">
        <v>0</v>
      </c>
      <c r="P404" t="n">
        <v>0</v>
      </c>
      <c r="Q404" t="n">
        <v>0</v>
      </c>
      <c r="R404" s="2" t="inlineStr"/>
    </row>
    <row r="405" ht="15" customHeight="1">
      <c r="A405" t="inlineStr">
        <is>
          <t>A 51809-2025</t>
        </is>
      </c>
      <c r="B405" s="1" t="n">
        <v>45951.80116898148</v>
      </c>
      <c r="C405" s="1" t="n">
        <v>46040</v>
      </c>
      <c r="D405" t="inlineStr">
        <is>
          <t>VÄSTMANLANDS LÄN</t>
        </is>
      </c>
      <c r="E405" t="inlineStr">
        <is>
          <t>SALA</t>
        </is>
      </c>
      <c r="F405" t="inlineStr">
        <is>
          <t>Kommuner</t>
        </is>
      </c>
      <c r="G405" t="n">
        <v>3.5</v>
      </c>
      <c r="H405" t="n">
        <v>0</v>
      </c>
      <c r="I405" t="n">
        <v>0</v>
      </c>
      <c r="J405" t="n">
        <v>0</v>
      </c>
      <c r="K405" t="n">
        <v>0</v>
      </c>
      <c r="L405" t="n">
        <v>0</v>
      </c>
      <c r="M405" t="n">
        <v>0</v>
      </c>
      <c r="N405" t="n">
        <v>0</v>
      </c>
      <c r="O405" t="n">
        <v>0</v>
      </c>
      <c r="P405" t="n">
        <v>0</v>
      </c>
      <c r="Q405" t="n">
        <v>0</v>
      </c>
      <c r="R405" s="2" t="inlineStr"/>
    </row>
    <row r="406" ht="15" customHeight="1">
      <c r="A406" t="inlineStr">
        <is>
          <t>A 22397-2022</t>
        </is>
      </c>
      <c r="B406" s="1" t="n">
        <v>44713</v>
      </c>
      <c r="C406" s="1" t="n">
        <v>46040</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27424-2023</t>
        </is>
      </c>
      <c r="B407" s="1" t="n">
        <v>45097.37690972222</v>
      </c>
      <c r="C407" s="1" t="n">
        <v>46040</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71471-2021</t>
        </is>
      </c>
      <c r="B408" s="1" t="n">
        <v>44540.53421296296</v>
      </c>
      <c r="C408" s="1" t="n">
        <v>46040</v>
      </c>
      <c r="D408" t="inlineStr">
        <is>
          <t>VÄSTMANLANDS LÄN</t>
        </is>
      </c>
      <c r="E408" t="inlineStr">
        <is>
          <t>SALA</t>
        </is>
      </c>
      <c r="G408" t="n">
        <v>13</v>
      </c>
      <c r="H408" t="n">
        <v>0</v>
      </c>
      <c r="I408" t="n">
        <v>0</v>
      </c>
      <c r="J408" t="n">
        <v>0</v>
      </c>
      <c r="K408" t="n">
        <v>0</v>
      </c>
      <c r="L408" t="n">
        <v>0</v>
      </c>
      <c r="M408" t="n">
        <v>0</v>
      </c>
      <c r="N408" t="n">
        <v>0</v>
      </c>
      <c r="O408" t="n">
        <v>0</v>
      </c>
      <c r="P408" t="n">
        <v>0</v>
      </c>
      <c r="Q408" t="n">
        <v>0</v>
      </c>
      <c r="R408" s="2" t="inlineStr"/>
    </row>
    <row r="409" ht="15" customHeight="1">
      <c r="A409" t="inlineStr">
        <is>
          <t>A 51803-2025</t>
        </is>
      </c>
      <c r="B409" s="1" t="n">
        <v>45951.76818287037</v>
      </c>
      <c r="C409" s="1" t="n">
        <v>46040</v>
      </c>
      <c r="D409" t="inlineStr">
        <is>
          <t>VÄSTMANLANDS LÄN</t>
        </is>
      </c>
      <c r="E409" t="inlineStr">
        <is>
          <t>SALA</t>
        </is>
      </c>
      <c r="F409" t="inlineStr">
        <is>
          <t>Kommuner</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51805-2025</t>
        </is>
      </c>
      <c r="B410" s="1" t="n">
        <v>45951.78359953704</v>
      </c>
      <c r="C410" s="1" t="n">
        <v>46040</v>
      </c>
      <c r="D410" t="inlineStr">
        <is>
          <t>VÄSTMANLANDS LÄN</t>
        </is>
      </c>
      <c r="E410" t="inlineStr">
        <is>
          <t>SALA</t>
        </is>
      </c>
      <c r="F410" t="inlineStr">
        <is>
          <t>Kommuner</t>
        </is>
      </c>
      <c r="G410" t="n">
        <v>1.3</v>
      </c>
      <c r="H410" t="n">
        <v>0</v>
      </c>
      <c r="I410" t="n">
        <v>0</v>
      </c>
      <c r="J410" t="n">
        <v>0</v>
      </c>
      <c r="K410" t="n">
        <v>0</v>
      </c>
      <c r="L410" t="n">
        <v>0</v>
      </c>
      <c r="M410" t="n">
        <v>0</v>
      </c>
      <c r="N410" t="n">
        <v>0</v>
      </c>
      <c r="O410" t="n">
        <v>0</v>
      </c>
      <c r="P410" t="n">
        <v>0</v>
      </c>
      <c r="Q410" t="n">
        <v>0</v>
      </c>
      <c r="R410" s="2" t="inlineStr"/>
    </row>
    <row r="411" ht="15" customHeight="1">
      <c r="A411" t="inlineStr">
        <is>
          <t>A 51804-2025</t>
        </is>
      </c>
      <c r="B411" s="1" t="n">
        <v>45951.77697916667</v>
      </c>
      <c r="C411" s="1" t="n">
        <v>46040</v>
      </c>
      <c r="D411" t="inlineStr">
        <is>
          <t>VÄSTMANLANDS LÄN</t>
        </is>
      </c>
      <c r="E411" t="inlineStr">
        <is>
          <t>SALA</t>
        </is>
      </c>
      <c r="F411" t="inlineStr">
        <is>
          <t>Kommuner</t>
        </is>
      </c>
      <c r="G411" t="n">
        <v>2</v>
      </c>
      <c r="H411" t="n">
        <v>0</v>
      </c>
      <c r="I411" t="n">
        <v>0</v>
      </c>
      <c r="J411" t="n">
        <v>0</v>
      </c>
      <c r="K411" t="n">
        <v>0</v>
      </c>
      <c r="L411" t="n">
        <v>0</v>
      </c>
      <c r="M411" t="n">
        <v>0</v>
      </c>
      <c r="N411" t="n">
        <v>0</v>
      </c>
      <c r="O411" t="n">
        <v>0</v>
      </c>
      <c r="P411" t="n">
        <v>0</v>
      </c>
      <c r="Q411" t="n">
        <v>0</v>
      </c>
      <c r="R411" s="2" t="inlineStr"/>
    </row>
    <row r="412" ht="15" customHeight="1">
      <c r="A412" t="inlineStr">
        <is>
          <t>A 51808-2025</t>
        </is>
      </c>
      <c r="B412" s="1" t="n">
        <v>45951.79302083333</v>
      </c>
      <c r="C412" s="1" t="n">
        <v>46040</v>
      </c>
      <c r="D412" t="inlineStr">
        <is>
          <t>VÄSTMANLANDS LÄN</t>
        </is>
      </c>
      <c r="E412" t="inlineStr">
        <is>
          <t>SALA</t>
        </is>
      </c>
      <c r="F412" t="inlineStr">
        <is>
          <t>Kommuner</t>
        </is>
      </c>
      <c r="G412" t="n">
        <v>3</v>
      </c>
      <c r="H412" t="n">
        <v>0</v>
      </c>
      <c r="I412" t="n">
        <v>0</v>
      </c>
      <c r="J412" t="n">
        <v>0</v>
      </c>
      <c r="K412" t="n">
        <v>0</v>
      </c>
      <c r="L412" t="n">
        <v>0</v>
      </c>
      <c r="M412" t="n">
        <v>0</v>
      </c>
      <c r="N412" t="n">
        <v>0</v>
      </c>
      <c r="O412" t="n">
        <v>0</v>
      </c>
      <c r="P412" t="n">
        <v>0</v>
      </c>
      <c r="Q412" t="n">
        <v>0</v>
      </c>
      <c r="R412" s="2" t="inlineStr"/>
    </row>
    <row r="413" ht="15" customHeight="1">
      <c r="A413" t="inlineStr">
        <is>
          <t>A 8775-2024</t>
        </is>
      </c>
      <c r="B413" s="1" t="n">
        <v>45356</v>
      </c>
      <c r="C413" s="1" t="n">
        <v>46040</v>
      </c>
      <c r="D413" t="inlineStr">
        <is>
          <t>VÄSTMANLANDS LÄN</t>
        </is>
      </c>
      <c r="E413" t="inlineStr">
        <is>
          <t>SALA</t>
        </is>
      </c>
      <c r="G413" t="n">
        <v>0.6</v>
      </c>
      <c r="H413" t="n">
        <v>0</v>
      </c>
      <c r="I413" t="n">
        <v>0</v>
      </c>
      <c r="J413" t="n">
        <v>0</v>
      </c>
      <c r="K413" t="n">
        <v>0</v>
      </c>
      <c r="L413" t="n">
        <v>0</v>
      </c>
      <c r="M413" t="n">
        <v>0</v>
      </c>
      <c r="N413" t="n">
        <v>0</v>
      </c>
      <c r="O413" t="n">
        <v>0</v>
      </c>
      <c r="P413" t="n">
        <v>0</v>
      </c>
      <c r="Q413" t="n">
        <v>0</v>
      </c>
      <c r="R413" s="2" t="inlineStr"/>
    </row>
    <row r="414" ht="15" customHeight="1">
      <c r="A414" t="inlineStr">
        <is>
          <t>A 51764-2025</t>
        </is>
      </c>
      <c r="B414" s="1" t="n">
        <v>45951.63636574074</v>
      </c>
      <c r="C414" s="1" t="n">
        <v>46040</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7469-2025</t>
        </is>
      </c>
      <c r="B415" s="1" t="n">
        <v>45705</v>
      </c>
      <c r="C415" s="1" t="n">
        <v>46040</v>
      </c>
      <c r="D415" t="inlineStr">
        <is>
          <t>VÄSTMANLANDS LÄN</t>
        </is>
      </c>
      <c r="E415" t="inlineStr">
        <is>
          <t>SALA</t>
        </is>
      </c>
      <c r="G415" t="n">
        <v>2.1</v>
      </c>
      <c r="H415" t="n">
        <v>0</v>
      </c>
      <c r="I415" t="n">
        <v>0</v>
      </c>
      <c r="J415" t="n">
        <v>0</v>
      </c>
      <c r="K415" t="n">
        <v>0</v>
      </c>
      <c r="L415" t="n">
        <v>0</v>
      </c>
      <c r="M415" t="n">
        <v>0</v>
      </c>
      <c r="N415" t="n">
        <v>0</v>
      </c>
      <c r="O415" t="n">
        <v>0</v>
      </c>
      <c r="P415" t="n">
        <v>0</v>
      </c>
      <c r="Q415" t="n">
        <v>0</v>
      </c>
      <c r="R415" s="2" t="inlineStr"/>
    </row>
    <row r="416" ht="15" customHeight="1">
      <c r="A416" t="inlineStr">
        <is>
          <t>A 6691-2025</t>
        </is>
      </c>
      <c r="B416" s="1" t="n">
        <v>45700.50625</v>
      </c>
      <c r="C416" s="1" t="n">
        <v>46040</v>
      </c>
      <c r="D416" t="inlineStr">
        <is>
          <t>VÄSTMANLANDS LÄN</t>
        </is>
      </c>
      <c r="E416" t="inlineStr">
        <is>
          <t>SALA</t>
        </is>
      </c>
      <c r="G416" t="n">
        <v>2.1</v>
      </c>
      <c r="H416" t="n">
        <v>0</v>
      </c>
      <c r="I416" t="n">
        <v>0</v>
      </c>
      <c r="J416" t="n">
        <v>0</v>
      </c>
      <c r="K416" t="n">
        <v>0</v>
      </c>
      <c r="L416" t="n">
        <v>0</v>
      </c>
      <c r="M416" t="n">
        <v>0</v>
      </c>
      <c r="N416" t="n">
        <v>0</v>
      </c>
      <c r="O416" t="n">
        <v>0</v>
      </c>
      <c r="P416" t="n">
        <v>0</v>
      </c>
      <c r="Q416" t="n">
        <v>0</v>
      </c>
      <c r="R416" s="2" t="inlineStr"/>
    </row>
    <row r="417" ht="15" customHeight="1">
      <c r="A417" t="inlineStr">
        <is>
          <t>A 60036-2024</t>
        </is>
      </c>
      <c r="B417" s="1" t="n">
        <v>45642.46434027778</v>
      </c>
      <c r="C417" s="1" t="n">
        <v>46040</v>
      </c>
      <c r="D417" t="inlineStr">
        <is>
          <t>VÄSTMANLANDS LÄN</t>
        </is>
      </c>
      <c r="E417" t="inlineStr">
        <is>
          <t>SALA</t>
        </is>
      </c>
      <c r="G417" t="n">
        <v>2.5</v>
      </c>
      <c r="H417" t="n">
        <v>0</v>
      </c>
      <c r="I417" t="n">
        <v>0</v>
      </c>
      <c r="J417" t="n">
        <v>0</v>
      </c>
      <c r="K417" t="n">
        <v>0</v>
      </c>
      <c r="L417" t="n">
        <v>0</v>
      </c>
      <c r="M417" t="n">
        <v>0</v>
      </c>
      <c r="N417" t="n">
        <v>0</v>
      </c>
      <c r="O417" t="n">
        <v>0</v>
      </c>
      <c r="P417" t="n">
        <v>0</v>
      </c>
      <c r="Q417" t="n">
        <v>0</v>
      </c>
      <c r="R417" s="2" t="inlineStr"/>
    </row>
    <row r="418" ht="15" customHeight="1">
      <c r="A418" t="inlineStr">
        <is>
          <t>A 43188-2023</t>
        </is>
      </c>
      <c r="B418" s="1" t="n">
        <v>45183</v>
      </c>
      <c r="C418" s="1" t="n">
        <v>46040</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43205-2023</t>
        </is>
      </c>
      <c r="B419" s="1" t="n">
        <v>45183</v>
      </c>
      <c r="C419" s="1" t="n">
        <v>46040</v>
      </c>
      <c r="D419" t="inlineStr">
        <is>
          <t>VÄSTMANLANDS LÄN</t>
        </is>
      </c>
      <c r="E419" t="inlineStr">
        <is>
          <t>SALA</t>
        </is>
      </c>
      <c r="G419" t="n">
        <v>2.1</v>
      </c>
      <c r="H419" t="n">
        <v>0</v>
      </c>
      <c r="I419" t="n">
        <v>0</v>
      </c>
      <c r="J419" t="n">
        <v>0</v>
      </c>
      <c r="K419" t="n">
        <v>0</v>
      </c>
      <c r="L419" t="n">
        <v>0</v>
      </c>
      <c r="M419" t="n">
        <v>0</v>
      </c>
      <c r="N419" t="n">
        <v>0</v>
      </c>
      <c r="O419" t="n">
        <v>0</v>
      </c>
      <c r="P419" t="n">
        <v>0</v>
      </c>
      <c r="Q419" t="n">
        <v>0</v>
      </c>
      <c r="R419" s="2" t="inlineStr"/>
    </row>
    <row r="420" ht="15" customHeight="1">
      <c r="A420" t="inlineStr">
        <is>
          <t>A 28827-2022</t>
        </is>
      </c>
      <c r="B420" s="1" t="n">
        <v>44749.45561342593</v>
      </c>
      <c r="C420" s="1" t="n">
        <v>46040</v>
      </c>
      <c r="D420" t="inlineStr">
        <is>
          <t>VÄSTMANLANDS LÄN</t>
        </is>
      </c>
      <c r="E420" t="inlineStr">
        <is>
          <t>SALA</t>
        </is>
      </c>
      <c r="F420" t="inlineStr">
        <is>
          <t>Kommuner</t>
        </is>
      </c>
      <c r="G420" t="n">
        <v>11.9</v>
      </c>
      <c r="H420" t="n">
        <v>0</v>
      </c>
      <c r="I420" t="n">
        <v>0</v>
      </c>
      <c r="J420" t="n">
        <v>0</v>
      </c>
      <c r="K420" t="n">
        <v>0</v>
      </c>
      <c r="L420" t="n">
        <v>0</v>
      </c>
      <c r="M420" t="n">
        <v>0</v>
      </c>
      <c r="N420" t="n">
        <v>0</v>
      </c>
      <c r="O420" t="n">
        <v>0</v>
      </c>
      <c r="P420" t="n">
        <v>0</v>
      </c>
      <c r="Q420" t="n">
        <v>0</v>
      </c>
      <c r="R420" s="2" t="inlineStr"/>
    </row>
    <row r="421" ht="15" customHeight="1">
      <c r="A421" t="inlineStr">
        <is>
          <t>A 15756-2025</t>
        </is>
      </c>
      <c r="B421" s="1" t="n">
        <v>45748.56810185185</v>
      </c>
      <c r="C421" s="1" t="n">
        <v>46040</v>
      </c>
      <c r="D421" t="inlineStr">
        <is>
          <t>VÄSTMANLANDS LÄN</t>
        </is>
      </c>
      <c r="E421" t="inlineStr">
        <is>
          <t>SALA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39011-2023</t>
        </is>
      </c>
      <c r="B422" s="1" t="n">
        <v>45162</v>
      </c>
      <c r="C422" s="1" t="n">
        <v>46040</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19243-2025</t>
        </is>
      </c>
      <c r="B423" s="1" t="n">
        <v>45769</v>
      </c>
      <c r="C423" s="1" t="n">
        <v>46040</v>
      </c>
      <c r="D423" t="inlineStr">
        <is>
          <t>VÄSTMANLANDS LÄN</t>
        </is>
      </c>
      <c r="E423" t="inlineStr">
        <is>
          <t>SALA</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59297-2023</t>
        </is>
      </c>
      <c r="B424" s="1" t="n">
        <v>45253</v>
      </c>
      <c r="C424" s="1" t="n">
        <v>46040</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6136-2025</t>
        </is>
      </c>
      <c r="B425" s="1" t="n">
        <v>45698.37601851852</v>
      </c>
      <c r="C425" s="1" t="n">
        <v>46040</v>
      </c>
      <c r="D425" t="inlineStr">
        <is>
          <t>VÄSTMANLANDS LÄN</t>
        </is>
      </c>
      <c r="E425" t="inlineStr">
        <is>
          <t>SALA</t>
        </is>
      </c>
      <c r="F425" t="inlineStr">
        <is>
          <t>Bergvik skog öst AB</t>
        </is>
      </c>
      <c r="G425" t="n">
        <v>2.2</v>
      </c>
      <c r="H425" t="n">
        <v>0</v>
      </c>
      <c r="I425" t="n">
        <v>0</v>
      </c>
      <c r="J425" t="n">
        <v>0</v>
      </c>
      <c r="K425" t="n">
        <v>0</v>
      </c>
      <c r="L425" t="n">
        <v>0</v>
      </c>
      <c r="M425" t="n">
        <v>0</v>
      </c>
      <c r="N425" t="n">
        <v>0</v>
      </c>
      <c r="O425" t="n">
        <v>0</v>
      </c>
      <c r="P425" t="n">
        <v>0</v>
      </c>
      <c r="Q425" t="n">
        <v>0</v>
      </c>
      <c r="R425" s="2" t="inlineStr"/>
    </row>
    <row r="426" ht="15" customHeight="1">
      <c r="A426" t="inlineStr">
        <is>
          <t>A 6190-2025</t>
        </is>
      </c>
      <c r="B426" s="1" t="n">
        <v>45698</v>
      </c>
      <c r="C426" s="1" t="n">
        <v>46040</v>
      </c>
      <c r="D426" t="inlineStr">
        <is>
          <t>VÄSTMANLANDS LÄN</t>
        </is>
      </c>
      <c r="E426" t="inlineStr">
        <is>
          <t>SALA</t>
        </is>
      </c>
      <c r="F426" t="inlineStr">
        <is>
          <t>Bergvik skog öst AB</t>
        </is>
      </c>
      <c r="G426" t="n">
        <v>4.6</v>
      </c>
      <c r="H426" t="n">
        <v>0</v>
      </c>
      <c r="I426" t="n">
        <v>0</v>
      </c>
      <c r="J426" t="n">
        <v>0</v>
      </c>
      <c r="K426" t="n">
        <v>0</v>
      </c>
      <c r="L426" t="n">
        <v>0</v>
      </c>
      <c r="M426" t="n">
        <v>0</v>
      </c>
      <c r="N426" t="n">
        <v>0</v>
      </c>
      <c r="O426" t="n">
        <v>0</v>
      </c>
      <c r="P426" t="n">
        <v>0</v>
      </c>
      <c r="Q426" t="n">
        <v>0</v>
      </c>
      <c r="R426" s="2" t="inlineStr"/>
    </row>
    <row r="427" ht="15" customHeight="1">
      <c r="A427" t="inlineStr">
        <is>
          <t>A 56547-2022</t>
        </is>
      </c>
      <c r="B427" s="1" t="n">
        <v>44893.48284722222</v>
      </c>
      <c r="C427" s="1" t="n">
        <v>46040</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28863-2022</t>
        </is>
      </c>
      <c r="B428" s="1" t="n">
        <v>44749.50649305555</v>
      </c>
      <c r="C428" s="1" t="n">
        <v>46040</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25541-2024</t>
        </is>
      </c>
      <c r="B429" s="1" t="n">
        <v>45463.56337962963</v>
      </c>
      <c r="C429" s="1" t="n">
        <v>46040</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56916-2022</t>
        </is>
      </c>
      <c r="B430" s="1" t="n">
        <v>44888</v>
      </c>
      <c r="C430" s="1" t="n">
        <v>46040</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29213-2022</t>
        </is>
      </c>
      <c r="B431" s="1" t="n">
        <v>44750.57474537037</v>
      </c>
      <c r="C431" s="1" t="n">
        <v>46040</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56964-2023</t>
        </is>
      </c>
      <c r="B432" s="1" t="n">
        <v>45244.63140046296</v>
      </c>
      <c r="C432" s="1" t="n">
        <v>46040</v>
      </c>
      <c r="D432" t="inlineStr">
        <is>
          <t>VÄSTMANLANDS LÄN</t>
        </is>
      </c>
      <c r="E432" t="inlineStr">
        <is>
          <t>SALA</t>
        </is>
      </c>
      <c r="G432" t="n">
        <v>4.6</v>
      </c>
      <c r="H432" t="n">
        <v>0</v>
      </c>
      <c r="I432" t="n">
        <v>0</v>
      </c>
      <c r="J432" t="n">
        <v>0</v>
      </c>
      <c r="K432" t="n">
        <v>0</v>
      </c>
      <c r="L432" t="n">
        <v>0</v>
      </c>
      <c r="M432" t="n">
        <v>0</v>
      </c>
      <c r="N432" t="n">
        <v>0</v>
      </c>
      <c r="O432" t="n">
        <v>0</v>
      </c>
      <c r="P432" t="n">
        <v>0</v>
      </c>
      <c r="Q432" t="n">
        <v>0</v>
      </c>
      <c r="R432" s="2" t="inlineStr"/>
    </row>
    <row r="433" ht="15" customHeight="1">
      <c r="A433" t="inlineStr">
        <is>
          <t>A 53744-2025</t>
        </is>
      </c>
      <c r="B433" s="1" t="n">
        <v>45960.64863425926</v>
      </c>
      <c r="C433" s="1" t="n">
        <v>46040</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53725-2025</t>
        </is>
      </c>
      <c r="B434" s="1" t="n">
        <v>45960.63394675926</v>
      </c>
      <c r="C434" s="1" t="n">
        <v>46040</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61522-2025</t>
        </is>
      </c>
      <c r="B435" s="1" t="n">
        <v>46001.68684027778</v>
      </c>
      <c r="C435" s="1" t="n">
        <v>46040</v>
      </c>
      <c r="D435" t="inlineStr">
        <is>
          <t>VÄSTMANLANDS LÄN</t>
        </is>
      </c>
      <c r="E435" t="inlineStr">
        <is>
          <t>SALA</t>
        </is>
      </c>
      <c r="G435" t="n">
        <v>5.7</v>
      </c>
      <c r="H435" t="n">
        <v>0</v>
      </c>
      <c r="I435" t="n">
        <v>0</v>
      </c>
      <c r="J435" t="n">
        <v>0</v>
      </c>
      <c r="K435" t="n">
        <v>0</v>
      </c>
      <c r="L435" t="n">
        <v>0</v>
      </c>
      <c r="M435" t="n">
        <v>0</v>
      </c>
      <c r="N435" t="n">
        <v>0</v>
      </c>
      <c r="O435" t="n">
        <v>0</v>
      </c>
      <c r="P435" t="n">
        <v>0</v>
      </c>
      <c r="Q435" t="n">
        <v>0</v>
      </c>
      <c r="R435" s="2" t="inlineStr"/>
    </row>
    <row r="436" ht="15" customHeight="1">
      <c r="A436" t="inlineStr">
        <is>
          <t>A 1555-2024</t>
        </is>
      </c>
      <c r="B436" s="1" t="n">
        <v>45306</v>
      </c>
      <c r="C436" s="1" t="n">
        <v>46040</v>
      </c>
      <c r="D436" t="inlineStr">
        <is>
          <t>VÄSTMANLANDS LÄN</t>
        </is>
      </c>
      <c r="E436" t="inlineStr">
        <is>
          <t>SALA</t>
        </is>
      </c>
      <c r="G436" t="n">
        <v>1.3</v>
      </c>
      <c r="H436" t="n">
        <v>0</v>
      </c>
      <c r="I436" t="n">
        <v>0</v>
      </c>
      <c r="J436" t="n">
        <v>0</v>
      </c>
      <c r="K436" t="n">
        <v>0</v>
      </c>
      <c r="L436" t="n">
        <v>0</v>
      </c>
      <c r="M436" t="n">
        <v>0</v>
      </c>
      <c r="N436" t="n">
        <v>0</v>
      </c>
      <c r="O436" t="n">
        <v>0</v>
      </c>
      <c r="P436" t="n">
        <v>0</v>
      </c>
      <c r="Q436" t="n">
        <v>0</v>
      </c>
      <c r="R436" s="2" t="inlineStr"/>
    </row>
    <row r="437" ht="15" customHeight="1">
      <c r="A437" t="inlineStr">
        <is>
          <t>A 13188-2025</t>
        </is>
      </c>
      <c r="B437" s="1" t="n">
        <v>45735.39246527778</v>
      </c>
      <c r="C437" s="1" t="n">
        <v>46040</v>
      </c>
      <c r="D437" t="inlineStr">
        <is>
          <t>VÄSTMANLANDS LÄN</t>
        </is>
      </c>
      <c r="E437" t="inlineStr">
        <is>
          <t>SALA</t>
        </is>
      </c>
      <c r="F437" t="inlineStr">
        <is>
          <t>Naturvårdsverket</t>
        </is>
      </c>
      <c r="G437" t="n">
        <v>18.4</v>
      </c>
      <c r="H437" t="n">
        <v>0</v>
      </c>
      <c r="I437" t="n">
        <v>0</v>
      </c>
      <c r="J437" t="n">
        <v>0</v>
      </c>
      <c r="K437" t="n">
        <v>0</v>
      </c>
      <c r="L437" t="n">
        <v>0</v>
      </c>
      <c r="M437" t="n">
        <v>0</v>
      </c>
      <c r="N437" t="n">
        <v>0</v>
      </c>
      <c r="O437" t="n">
        <v>0</v>
      </c>
      <c r="P437" t="n">
        <v>0</v>
      </c>
      <c r="Q437" t="n">
        <v>0</v>
      </c>
      <c r="R437" s="2" t="inlineStr"/>
    </row>
    <row r="438" ht="15" customHeight="1">
      <c r="A438" t="inlineStr">
        <is>
          <t>A 53724-2025</t>
        </is>
      </c>
      <c r="B438" s="1" t="n">
        <v>45960.63174768518</v>
      </c>
      <c r="C438" s="1" t="n">
        <v>46040</v>
      </c>
      <c r="D438" t="inlineStr">
        <is>
          <t>VÄSTMANLANDS LÄN</t>
        </is>
      </c>
      <c r="E438" t="inlineStr">
        <is>
          <t>SALA</t>
        </is>
      </c>
      <c r="G438" t="n">
        <v>2.8</v>
      </c>
      <c r="H438" t="n">
        <v>0</v>
      </c>
      <c r="I438" t="n">
        <v>0</v>
      </c>
      <c r="J438" t="n">
        <v>0</v>
      </c>
      <c r="K438" t="n">
        <v>0</v>
      </c>
      <c r="L438" t="n">
        <v>0</v>
      </c>
      <c r="M438" t="n">
        <v>0</v>
      </c>
      <c r="N438" t="n">
        <v>0</v>
      </c>
      <c r="O438" t="n">
        <v>0</v>
      </c>
      <c r="P438" t="n">
        <v>0</v>
      </c>
      <c r="Q438" t="n">
        <v>0</v>
      </c>
      <c r="R438" s="2" t="inlineStr"/>
    </row>
    <row r="439" ht="15" customHeight="1">
      <c r="A439" t="inlineStr">
        <is>
          <t>A 7197-2025</t>
        </is>
      </c>
      <c r="B439" s="1" t="n">
        <v>45702</v>
      </c>
      <c r="C439" s="1" t="n">
        <v>46040</v>
      </c>
      <c r="D439" t="inlineStr">
        <is>
          <t>VÄSTMANLANDS LÄN</t>
        </is>
      </c>
      <c r="E439" t="inlineStr">
        <is>
          <t>SALA</t>
        </is>
      </c>
      <c r="G439" t="n">
        <v>0.5</v>
      </c>
      <c r="H439" t="n">
        <v>0</v>
      </c>
      <c r="I439" t="n">
        <v>0</v>
      </c>
      <c r="J439" t="n">
        <v>0</v>
      </c>
      <c r="K439" t="n">
        <v>0</v>
      </c>
      <c r="L439" t="n">
        <v>0</v>
      </c>
      <c r="M439" t="n">
        <v>0</v>
      </c>
      <c r="N439" t="n">
        <v>0</v>
      </c>
      <c r="O439" t="n">
        <v>0</v>
      </c>
      <c r="P439" t="n">
        <v>0</v>
      </c>
      <c r="Q439" t="n">
        <v>0</v>
      </c>
      <c r="R439" s="2" t="inlineStr"/>
    </row>
    <row r="440" ht="15" customHeight="1">
      <c r="A440" t="inlineStr">
        <is>
          <t>A 38636-2024</t>
        </is>
      </c>
      <c r="B440" s="1" t="n">
        <v>45546</v>
      </c>
      <c r="C440" s="1" t="n">
        <v>46040</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15099-2025</t>
        </is>
      </c>
      <c r="B441" s="1" t="n">
        <v>45744.3434837963</v>
      </c>
      <c r="C441" s="1" t="n">
        <v>46040</v>
      </c>
      <c r="D441" t="inlineStr">
        <is>
          <t>VÄSTMANLANDS LÄN</t>
        </is>
      </c>
      <c r="E441" t="inlineStr">
        <is>
          <t>SALA</t>
        </is>
      </c>
      <c r="F441" t="inlineStr">
        <is>
          <t>Sveaskog</t>
        </is>
      </c>
      <c r="G441" t="n">
        <v>14.4</v>
      </c>
      <c r="H441" t="n">
        <v>0</v>
      </c>
      <c r="I441" t="n">
        <v>0</v>
      </c>
      <c r="J441" t="n">
        <v>0</v>
      </c>
      <c r="K441" t="n">
        <v>0</v>
      </c>
      <c r="L441" t="n">
        <v>0</v>
      </c>
      <c r="M441" t="n">
        <v>0</v>
      </c>
      <c r="N441" t="n">
        <v>0</v>
      </c>
      <c r="O441" t="n">
        <v>0</v>
      </c>
      <c r="P441" t="n">
        <v>0</v>
      </c>
      <c r="Q441" t="n">
        <v>0</v>
      </c>
      <c r="R441" s="2" t="inlineStr"/>
    </row>
    <row r="442" ht="15" customHeight="1">
      <c r="A442" t="inlineStr">
        <is>
          <t>A 45313-2024</t>
        </is>
      </c>
      <c r="B442" s="1" t="n">
        <v>45576</v>
      </c>
      <c r="C442" s="1" t="n">
        <v>46040</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2928-2024</t>
        </is>
      </c>
      <c r="B443" s="1" t="n">
        <v>45315.59041666667</v>
      </c>
      <c r="C443" s="1" t="n">
        <v>46040</v>
      </c>
      <c r="D443" t="inlineStr">
        <is>
          <t>VÄSTMANLANDS LÄN</t>
        </is>
      </c>
      <c r="E443" t="inlineStr">
        <is>
          <t>SALA</t>
        </is>
      </c>
      <c r="G443" t="n">
        <v>1.4</v>
      </c>
      <c r="H443" t="n">
        <v>0</v>
      </c>
      <c r="I443" t="n">
        <v>0</v>
      </c>
      <c r="J443" t="n">
        <v>0</v>
      </c>
      <c r="K443" t="n">
        <v>0</v>
      </c>
      <c r="L443" t="n">
        <v>0</v>
      </c>
      <c r="M443" t="n">
        <v>0</v>
      </c>
      <c r="N443" t="n">
        <v>0</v>
      </c>
      <c r="O443" t="n">
        <v>0</v>
      </c>
      <c r="P443" t="n">
        <v>0</v>
      </c>
      <c r="Q443" t="n">
        <v>0</v>
      </c>
      <c r="R443" s="2" t="inlineStr"/>
    </row>
    <row r="444" ht="15" customHeight="1">
      <c r="A444" t="inlineStr">
        <is>
          <t>A 56535-2022</t>
        </is>
      </c>
      <c r="B444" s="1" t="n">
        <v>44893.47173611111</v>
      </c>
      <c r="C444" s="1" t="n">
        <v>46040</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54201-2025</t>
        </is>
      </c>
      <c r="B445" s="1" t="n">
        <v>45964.58055555556</v>
      </c>
      <c r="C445" s="1" t="n">
        <v>46040</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47909-2022</t>
        </is>
      </c>
      <c r="B446" s="1" t="n">
        <v>44855</v>
      </c>
      <c r="C446" s="1" t="n">
        <v>46040</v>
      </c>
      <c r="D446" t="inlineStr">
        <is>
          <t>VÄSTMANLANDS LÄN</t>
        </is>
      </c>
      <c r="E446" t="inlineStr">
        <is>
          <t>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52630-2022</t>
        </is>
      </c>
      <c r="B447" s="1" t="n">
        <v>44874</v>
      </c>
      <c r="C447" s="1" t="n">
        <v>46040</v>
      </c>
      <c r="D447" t="inlineStr">
        <is>
          <t>VÄSTMANLANDS LÄN</t>
        </is>
      </c>
      <c r="E447" t="inlineStr">
        <is>
          <t>SALA</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9962-2025</t>
        </is>
      </c>
      <c r="B448" s="1" t="n">
        <v>45719.37072916667</v>
      </c>
      <c r="C448" s="1" t="n">
        <v>46040</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14024-2025</t>
        </is>
      </c>
      <c r="B449" s="1" t="n">
        <v>45740.34650462963</v>
      </c>
      <c r="C449" s="1" t="n">
        <v>46040</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56687-2024</t>
        </is>
      </c>
      <c r="B450" s="1" t="n">
        <v>45627.63271990741</v>
      </c>
      <c r="C450" s="1" t="n">
        <v>46040</v>
      </c>
      <c r="D450" t="inlineStr">
        <is>
          <t>VÄSTMANLANDS LÄN</t>
        </is>
      </c>
      <c r="E450" t="inlineStr">
        <is>
          <t>SALA</t>
        </is>
      </c>
      <c r="G450" t="n">
        <v>1.2</v>
      </c>
      <c r="H450" t="n">
        <v>0</v>
      </c>
      <c r="I450" t="n">
        <v>0</v>
      </c>
      <c r="J450" t="n">
        <v>0</v>
      </c>
      <c r="K450" t="n">
        <v>0</v>
      </c>
      <c r="L450" t="n">
        <v>0</v>
      </c>
      <c r="M450" t="n">
        <v>0</v>
      </c>
      <c r="N450" t="n">
        <v>0</v>
      </c>
      <c r="O450" t="n">
        <v>0</v>
      </c>
      <c r="P450" t="n">
        <v>0</v>
      </c>
      <c r="Q450" t="n">
        <v>0</v>
      </c>
      <c r="R450" s="2" t="inlineStr"/>
    </row>
    <row r="451" ht="15" customHeight="1">
      <c r="A451" t="inlineStr">
        <is>
          <t>A 3551-2024</t>
        </is>
      </c>
      <c r="B451" s="1" t="n">
        <v>45320.61099537037</v>
      </c>
      <c r="C451" s="1" t="n">
        <v>46040</v>
      </c>
      <c r="D451" t="inlineStr">
        <is>
          <t>VÄSTMANLANDS LÄN</t>
        </is>
      </c>
      <c r="E451" t="inlineStr">
        <is>
          <t>SALA</t>
        </is>
      </c>
      <c r="F451" t="inlineStr">
        <is>
          <t>Kommuner</t>
        </is>
      </c>
      <c r="G451" t="n">
        <v>6</v>
      </c>
      <c r="H451" t="n">
        <v>0</v>
      </c>
      <c r="I451" t="n">
        <v>0</v>
      </c>
      <c r="J451" t="n">
        <v>0</v>
      </c>
      <c r="K451" t="n">
        <v>0</v>
      </c>
      <c r="L451" t="n">
        <v>0</v>
      </c>
      <c r="M451" t="n">
        <v>0</v>
      </c>
      <c r="N451" t="n">
        <v>0</v>
      </c>
      <c r="O451" t="n">
        <v>0</v>
      </c>
      <c r="P451" t="n">
        <v>0</v>
      </c>
      <c r="Q451" t="n">
        <v>0</v>
      </c>
      <c r="R451" s="2" t="inlineStr"/>
    </row>
    <row r="452" ht="15" customHeight="1">
      <c r="A452" t="inlineStr">
        <is>
          <t>A 62635-2022</t>
        </is>
      </c>
      <c r="B452" s="1" t="n">
        <v>44917</v>
      </c>
      <c r="C452" s="1" t="n">
        <v>46040</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54344-2025</t>
        </is>
      </c>
      <c r="B453" s="1" t="n">
        <v>45965.36462962963</v>
      </c>
      <c r="C453" s="1" t="n">
        <v>46040</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61715-2024</t>
        </is>
      </c>
      <c r="B454" s="1" t="n">
        <v>45648.89519675926</v>
      </c>
      <c r="C454" s="1" t="n">
        <v>46040</v>
      </c>
      <c r="D454" t="inlineStr">
        <is>
          <t>VÄSTMANLANDS LÄN</t>
        </is>
      </c>
      <c r="E454" t="inlineStr">
        <is>
          <t>SALA</t>
        </is>
      </c>
      <c r="G454" t="n">
        <v>2.5</v>
      </c>
      <c r="H454" t="n">
        <v>0</v>
      </c>
      <c r="I454" t="n">
        <v>0</v>
      </c>
      <c r="J454" t="n">
        <v>0</v>
      </c>
      <c r="K454" t="n">
        <v>0</v>
      </c>
      <c r="L454" t="n">
        <v>0</v>
      </c>
      <c r="M454" t="n">
        <v>0</v>
      </c>
      <c r="N454" t="n">
        <v>0</v>
      </c>
      <c r="O454" t="n">
        <v>0</v>
      </c>
      <c r="P454" t="n">
        <v>0</v>
      </c>
      <c r="Q454" t="n">
        <v>0</v>
      </c>
      <c r="R454" s="2" t="inlineStr"/>
    </row>
    <row r="455" ht="15" customHeight="1">
      <c r="A455" t="inlineStr">
        <is>
          <t>A 19304-2025</t>
        </is>
      </c>
      <c r="B455" s="1" t="n">
        <v>45769</v>
      </c>
      <c r="C455" s="1" t="n">
        <v>46040</v>
      </c>
      <c r="D455" t="inlineStr">
        <is>
          <t>VÄSTMANLANDS LÄN</t>
        </is>
      </c>
      <c r="E455" t="inlineStr">
        <is>
          <t>SALA</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56057-2023</t>
        </is>
      </c>
      <c r="B456" s="1" t="n">
        <v>45233</v>
      </c>
      <c r="C456" s="1" t="n">
        <v>46040</v>
      </c>
      <c r="D456" t="inlineStr">
        <is>
          <t>VÄSTMANLANDS LÄN</t>
        </is>
      </c>
      <c r="E456" t="inlineStr">
        <is>
          <t>SALA</t>
        </is>
      </c>
      <c r="G456" t="n">
        <v>0.6</v>
      </c>
      <c r="H456" t="n">
        <v>0</v>
      </c>
      <c r="I456" t="n">
        <v>0</v>
      </c>
      <c r="J456" t="n">
        <v>0</v>
      </c>
      <c r="K456" t="n">
        <v>0</v>
      </c>
      <c r="L456" t="n">
        <v>0</v>
      </c>
      <c r="M456" t="n">
        <v>0</v>
      </c>
      <c r="N456" t="n">
        <v>0</v>
      </c>
      <c r="O456" t="n">
        <v>0</v>
      </c>
      <c r="P456" t="n">
        <v>0</v>
      </c>
      <c r="Q456" t="n">
        <v>0</v>
      </c>
      <c r="R456" s="2" t="inlineStr"/>
    </row>
    <row r="457" ht="15" customHeight="1">
      <c r="A457" t="inlineStr">
        <is>
          <t>A 62523-2025</t>
        </is>
      </c>
      <c r="B457" s="1" t="n">
        <v>46007.61512731481</v>
      </c>
      <c r="C457" s="1" t="n">
        <v>46040</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54590-2025</t>
        </is>
      </c>
      <c r="B458" s="1" t="n">
        <v>45965.74199074074</v>
      </c>
      <c r="C458" s="1" t="n">
        <v>46040</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55024-2023</t>
        </is>
      </c>
      <c r="B459" s="1" t="n">
        <v>45229</v>
      </c>
      <c r="C459" s="1" t="n">
        <v>46040</v>
      </c>
      <c r="D459" t="inlineStr">
        <is>
          <t>VÄSTMANLANDS LÄN</t>
        </is>
      </c>
      <c r="E459" t="inlineStr">
        <is>
          <t>SALA</t>
        </is>
      </c>
      <c r="G459" t="n">
        <v>0.9</v>
      </c>
      <c r="H459" t="n">
        <v>0</v>
      </c>
      <c r="I459" t="n">
        <v>0</v>
      </c>
      <c r="J459" t="n">
        <v>0</v>
      </c>
      <c r="K459" t="n">
        <v>0</v>
      </c>
      <c r="L459" t="n">
        <v>0</v>
      </c>
      <c r="M459" t="n">
        <v>0</v>
      </c>
      <c r="N459" t="n">
        <v>0</v>
      </c>
      <c r="O459" t="n">
        <v>0</v>
      </c>
      <c r="P459" t="n">
        <v>0</v>
      </c>
      <c r="Q459" t="n">
        <v>0</v>
      </c>
      <c r="R459" s="2" t="inlineStr"/>
    </row>
    <row r="460" ht="15" customHeight="1">
      <c r="A460" t="inlineStr">
        <is>
          <t>A 55032-2023</t>
        </is>
      </c>
      <c r="B460" s="1" t="n">
        <v>45229</v>
      </c>
      <c r="C460" s="1" t="n">
        <v>46040</v>
      </c>
      <c r="D460" t="inlineStr">
        <is>
          <t>VÄSTMANLANDS LÄN</t>
        </is>
      </c>
      <c r="E460" t="inlineStr">
        <is>
          <t>SALA</t>
        </is>
      </c>
      <c r="G460" t="n">
        <v>1.5</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46040</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29248-2022</t>
        </is>
      </c>
      <c r="B462" s="1" t="n">
        <v>44750</v>
      </c>
      <c r="C462" s="1" t="n">
        <v>46040</v>
      </c>
      <c r="D462" t="inlineStr">
        <is>
          <t>VÄSTMANLANDS LÄN</t>
        </is>
      </c>
      <c r="E462" t="inlineStr">
        <is>
          <t>SALA</t>
        </is>
      </c>
      <c r="G462" t="n">
        <v>1.6</v>
      </c>
      <c r="H462" t="n">
        <v>0</v>
      </c>
      <c r="I462" t="n">
        <v>0</v>
      </c>
      <c r="J462" t="n">
        <v>0</v>
      </c>
      <c r="K462" t="n">
        <v>0</v>
      </c>
      <c r="L462" t="n">
        <v>0</v>
      </c>
      <c r="M462" t="n">
        <v>0</v>
      </c>
      <c r="N462" t="n">
        <v>0</v>
      </c>
      <c r="O462" t="n">
        <v>0</v>
      </c>
      <c r="P462" t="n">
        <v>0</v>
      </c>
      <c r="Q462" t="n">
        <v>0</v>
      </c>
      <c r="R462" s="2" t="inlineStr"/>
    </row>
    <row r="463" ht="15" customHeight="1">
      <c r="A463" t="inlineStr">
        <is>
          <t>A 59175-2022</t>
        </is>
      </c>
      <c r="B463" s="1" t="n">
        <v>44904.48502314815</v>
      </c>
      <c r="C463" s="1" t="n">
        <v>46040</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39451-2022</t>
        </is>
      </c>
      <c r="B464" s="1" t="n">
        <v>44818.36606481481</v>
      </c>
      <c r="C464" s="1" t="n">
        <v>46040</v>
      </c>
      <c r="D464" t="inlineStr">
        <is>
          <t>VÄSTMANLANDS LÄN</t>
        </is>
      </c>
      <c r="E464" t="inlineStr">
        <is>
          <t>SALA</t>
        </is>
      </c>
      <c r="G464" t="n">
        <v>9.4</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46040</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63046-2025</t>
        </is>
      </c>
      <c r="B466" s="1" t="n">
        <v>46009.62373842593</v>
      </c>
      <c r="C466" s="1" t="n">
        <v>46040</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10559-2024</t>
        </is>
      </c>
      <c r="B467" s="1" t="n">
        <v>45366</v>
      </c>
      <c r="C467" s="1" t="n">
        <v>46040</v>
      </c>
      <c r="D467" t="inlineStr">
        <is>
          <t>VÄSTMANLANDS LÄN</t>
        </is>
      </c>
      <c r="E467" t="inlineStr">
        <is>
          <t>SALA</t>
        </is>
      </c>
      <c r="G467" t="n">
        <v>0.3</v>
      </c>
      <c r="H467" t="n">
        <v>0</v>
      </c>
      <c r="I467" t="n">
        <v>0</v>
      </c>
      <c r="J467" t="n">
        <v>0</v>
      </c>
      <c r="K467" t="n">
        <v>0</v>
      </c>
      <c r="L467" t="n">
        <v>0</v>
      </c>
      <c r="M467" t="n">
        <v>0</v>
      </c>
      <c r="N467" t="n">
        <v>0</v>
      </c>
      <c r="O467" t="n">
        <v>0</v>
      </c>
      <c r="P467" t="n">
        <v>0</v>
      </c>
      <c r="Q467" t="n">
        <v>0</v>
      </c>
      <c r="R467" s="2" t="inlineStr"/>
    </row>
    <row r="468" ht="15" customHeight="1">
      <c r="A468" t="inlineStr">
        <is>
          <t>A 11631-2023</t>
        </is>
      </c>
      <c r="B468" s="1" t="n">
        <v>44994.44001157407</v>
      </c>
      <c r="C468" s="1" t="n">
        <v>46040</v>
      </c>
      <c r="D468" t="inlineStr">
        <is>
          <t>VÄSTMANLANDS LÄN</t>
        </is>
      </c>
      <c r="E468" t="inlineStr">
        <is>
          <t>SALA</t>
        </is>
      </c>
      <c r="F468" t="inlineStr">
        <is>
          <t>Kommuner</t>
        </is>
      </c>
      <c r="G468" t="n">
        <v>1.9</v>
      </c>
      <c r="H468" t="n">
        <v>0</v>
      </c>
      <c r="I468" t="n">
        <v>0</v>
      </c>
      <c r="J468" t="n">
        <v>0</v>
      </c>
      <c r="K468" t="n">
        <v>0</v>
      </c>
      <c r="L468" t="n">
        <v>0</v>
      </c>
      <c r="M468" t="n">
        <v>0</v>
      </c>
      <c r="N468" t="n">
        <v>0</v>
      </c>
      <c r="O468" t="n">
        <v>0</v>
      </c>
      <c r="P468" t="n">
        <v>0</v>
      </c>
      <c r="Q468" t="n">
        <v>0</v>
      </c>
      <c r="R468" s="2" t="inlineStr"/>
    </row>
    <row r="469" ht="15" customHeight="1">
      <c r="A469" t="inlineStr">
        <is>
          <t>A 54893-2025</t>
        </is>
      </c>
      <c r="B469" s="1" t="n">
        <v>45967.36383101852</v>
      </c>
      <c r="C469" s="1" t="n">
        <v>46040</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60545-2024</t>
        </is>
      </c>
      <c r="B470" s="1" t="n">
        <v>45643</v>
      </c>
      <c r="C470" s="1" t="n">
        <v>46040</v>
      </c>
      <c r="D470" t="inlineStr">
        <is>
          <t>VÄSTMANLANDS LÄN</t>
        </is>
      </c>
      <c r="E470" t="inlineStr">
        <is>
          <t>SALA</t>
        </is>
      </c>
      <c r="G470" t="n">
        <v>3.3</v>
      </c>
      <c r="H470" t="n">
        <v>0</v>
      </c>
      <c r="I470" t="n">
        <v>0</v>
      </c>
      <c r="J470" t="n">
        <v>0</v>
      </c>
      <c r="K470" t="n">
        <v>0</v>
      </c>
      <c r="L470" t="n">
        <v>0</v>
      </c>
      <c r="M470" t="n">
        <v>0</v>
      </c>
      <c r="N470" t="n">
        <v>0</v>
      </c>
      <c r="O470" t="n">
        <v>0</v>
      </c>
      <c r="P470" t="n">
        <v>0</v>
      </c>
      <c r="Q470" t="n">
        <v>0</v>
      </c>
      <c r="R470" s="2" t="inlineStr"/>
    </row>
    <row r="471" ht="15" customHeight="1">
      <c r="A471" t="inlineStr">
        <is>
          <t>A 60547-2024</t>
        </is>
      </c>
      <c r="B471" s="1" t="n">
        <v>45643</v>
      </c>
      <c r="C471" s="1" t="n">
        <v>46040</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63051-2025</t>
        </is>
      </c>
      <c r="B472" s="1" t="n">
        <v>46009.63134259259</v>
      </c>
      <c r="C472" s="1" t="n">
        <v>46040</v>
      </c>
      <c r="D472" t="inlineStr">
        <is>
          <t>VÄSTMANLANDS LÄN</t>
        </is>
      </c>
      <c r="E472" t="inlineStr">
        <is>
          <t>SALA</t>
        </is>
      </c>
      <c r="G472" t="n">
        <v>1.1</v>
      </c>
      <c r="H472" t="n">
        <v>0</v>
      </c>
      <c r="I472" t="n">
        <v>0</v>
      </c>
      <c r="J472" t="n">
        <v>0</v>
      </c>
      <c r="K472" t="n">
        <v>0</v>
      </c>
      <c r="L472" t="n">
        <v>0</v>
      </c>
      <c r="M472" t="n">
        <v>0</v>
      </c>
      <c r="N472" t="n">
        <v>0</v>
      </c>
      <c r="O472" t="n">
        <v>0</v>
      </c>
      <c r="P472" t="n">
        <v>0</v>
      </c>
      <c r="Q472" t="n">
        <v>0</v>
      </c>
      <c r="R472" s="2" t="inlineStr"/>
    </row>
    <row r="473" ht="15" customHeight="1">
      <c r="A473" t="inlineStr">
        <is>
          <t>A 63055-2025</t>
        </is>
      </c>
      <c r="B473" s="1" t="n">
        <v>46009.63619212963</v>
      </c>
      <c r="C473" s="1" t="n">
        <v>46040</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62648-2022</t>
        </is>
      </c>
      <c r="B474" s="1" t="n">
        <v>44917</v>
      </c>
      <c r="C474" s="1" t="n">
        <v>46040</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63353-2025</t>
        </is>
      </c>
      <c r="B475" s="1" t="n">
        <v>46010.66670138889</v>
      </c>
      <c r="C475" s="1" t="n">
        <v>46040</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15965-2024</t>
        </is>
      </c>
      <c r="B476" s="1" t="n">
        <v>45405.55740740741</v>
      </c>
      <c r="C476" s="1" t="n">
        <v>46040</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1934-2023</t>
        </is>
      </c>
      <c r="B477" s="1" t="n">
        <v>44939.43024305555</v>
      </c>
      <c r="C477" s="1" t="n">
        <v>46040</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11927-2025</t>
        </is>
      </c>
      <c r="B478" s="1" t="n">
        <v>45728.5137962963</v>
      </c>
      <c r="C478" s="1" t="n">
        <v>46040</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60823-2024</t>
        </is>
      </c>
      <c r="B479" s="1" t="n">
        <v>45644</v>
      </c>
      <c r="C479" s="1" t="n">
        <v>46040</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1196-2023</t>
        </is>
      </c>
      <c r="B480" s="1" t="n">
        <v>44935.82290509259</v>
      </c>
      <c r="C480" s="1" t="n">
        <v>46040</v>
      </c>
      <c r="D480" t="inlineStr">
        <is>
          <t>VÄSTMANLANDS LÄN</t>
        </is>
      </c>
      <c r="E480" t="inlineStr">
        <is>
          <t>SALA</t>
        </is>
      </c>
      <c r="G480" t="n">
        <v>4.1</v>
      </c>
      <c r="H480" t="n">
        <v>0</v>
      </c>
      <c r="I480" t="n">
        <v>0</v>
      </c>
      <c r="J480" t="n">
        <v>0</v>
      </c>
      <c r="K480" t="n">
        <v>0</v>
      </c>
      <c r="L480" t="n">
        <v>0</v>
      </c>
      <c r="M480" t="n">
        <v>0</v>
      </c>
      <c r="N480" t="n">
        <v>0</v>
      </c>
      <c r="O480" t="n">
        <v>0</v>
      </c>
      <c r="P480" t="n">
        <v>0</v>
      </c>
      <c r="Q480" t="n">
        <v>0</v>
      </c>
      <c r="R480" s="2" t="inlineStr"/>
    </row>
    <row r="481" ht="15" customHeight="1">
      <c r="A481" t="inlineStr">
        <is>
          <t>A 96-2024</t>
        </is>
      </c>
      <c r="B481" s="1" t="n">
        <v>45293.85872685185</v>
      </c>
      <c r="C481" s="1" t="n">
        <v>46040</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19033-2025</t>
        </is>
      </c>
      <c r="B482" s="1" t="n">
        <v>45764.65796296296</v>
      </c>
      <c r="C482" s="1" t="n">
        <v>46040</v>
      </c>
      <c r="D482" t="inlineStr">
        <is>
          <t>VÄSTMANLANDS LÄN</t>
        </is>
      </c>
      <c r="E482" t="inlineStr">
        <is>
          <t>SALA</t>
        </is>
      </c>
      <c r="F482" t="inlineStr">
        <is>
          <t>Bergvik skog öst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23374-2023</t>
        </is>
      </c>
      <c r="B483" s="1" t="n">
        <v>45076.4399537037</v>
      </c>
      <c r="C483" s="1" t="n">
        <v>46040</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61874-2021</t>
        </is>
      </c>
      <c r="B484" s="1" t="n">
        <v>44502</v>
      </c>
      <c r="C484" s="1" t="n">
        <v>46040</v>
      </c>
      <c r="D484" t="inlineStr">
        <is>
          <t>VÄSTMANLANDS LÄN</t>
        </is>
      </c>
      <c r="E484" t="inlineStr">
        <is>
          <t>SALA</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9856-2022</t>
        </is>
      </c>
      <c r="B485" s="1" t="n">
        <v>44620</v>
      </c>
      <c r="C485" s="1" t="n">
        <v>46040</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62651-2022</t>
        </is>
      </c>
      <c r="B486" s="1" t="n">
        <v>44917</v>
      </c>
      <c r="C486" s="1" t="n">
        <v>46040</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54836-2024</t>
        </is>
      </c>
      <c r="B487" s="1" t="n">
        <v>45618</v>
      </c>
      <c r="C487" s="1" t="n">
        <v>46040</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16159-2024</t>
        </is>
      </c>
      <c r="B488" s="1" t="n">
        <v>45406</v>
      </c>
      <c r="C488" s="1" t="n">
        <v>46040</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13987-2023</t>
        </is>
      </c>
      <c r="B489" s="1" t="n">
        <v>45007</v>
      </c>
      <c r="C489" s="1" t="n">
        <v>46040</v>
      </c>
      <c r="D489" t="inlineStr">
        <is>
          <t>VÄSTMANLANDS LÄN</t>
        </is>
      </c>
      <c r="E489" t="inlineStr">
        <is>
          <t>SALA</t>
        </is>
      </c>
      <c r="G489" t="n">
        <v>3.2</v>
      </c>
      <c r="H489" t="n">
        <v>0</v>
      </c>
      <c r="I489" t="n">
        <v>0</v>
      </c>
      <c r="J489" t="n">
        <v>0</v>
      </c>
      <c r="K489" t="n">
        <v>0</v>
      </c>
      <c r="L489" t="n">
        <v>0</v>
      </c>
      <c r="M489" t="n">
        <v>0</v>
      </c>
      <c r="N489" t="n">
        <v>0</v>
      </c>
      <c r="O489" t="n">
        <v>0</v>
      </c>
      <c r="P489" t="n">
        <v>0</v>
      </c>
      <c r="Q489" t="n">
        <v>0</v>
      </c>
      <c r="R489" s="2" t="inlineStr"/>
    </row>
    <row r="490" ht="15" customHeight="1">
      <c r="A490" t="inlineStr">
        <is>
          <t>A 13990-2023</t>
        </is>
      </c>
      <c r="B490" s="1" t="n">
        <v>45007</v>
      </c>
      <c r="C490" s="1" t="n">
        <v>46040</v>
      </c>
      <c r="D490" t="inlineStr">
        <is>
          <t>VÄSTMANLANDS LÄN</t>
        </is>
      </c>
      <c r="E490" t="inlineStr">
        <is>
          <t>SALA</t>
        </is>
      </c>
      <c r="G490" t="n">
        <v>2.6</v>
      </c>
      <c r="H490" t="n">
        <v>0</v>
      </c>
      <c r="I490" t="n">
        <v>0</v>
      </c>
      <c r="J490" t="n">
        <v>0</v>
      </c>
      <c r="K490" t="n">
        <v>0</v>
      </c>
      <c r="L490" t="n">
        <v>0</v>
      </c>
      <c r="M490" t="n">
        <v>0</v>
      </c>
      <c r="N490" t="n">
        <v>0</v>
      </c>
      <c r="O490" t="n">
        <v>0</v>
      </c>
      <c r="P490" t="n">
        <v>0</v>
      </c>
      <c r="Q490" t="n">
        <v>0</v>
      </c>
      <c r="R490" s="2" t="inlineStr"/>
    </row>
    <row r="491" ht="15" customHeight="1">
      <c r="A491" t="inlineStr">
        <is>
          <t>A 50241-2023</t>
        </is>
      </c>
      <c r="B491" s="1" t="n">
        <v>45216</v>
      </c>
      <c r="C491" s="1" t="n">
        <v>46040</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51464-2024</t>
        </is>
      </c>
      <c r="B492" s="1" t="n">
        <v>45604.49768518518</v>
      </c>
      <c r="C492" s="1" t="n">
        <v>46040</v>
      </c>
      <c r="D492" t="inlineStr">
        <is>
          <t>VÄSTMANLANDS LÄN</t>
        </is>
      </c>
      <c r="E492" t="inlineStr">
        <is>
          <t>SALA</t>
        </is>
      </c>
      <c r="G492" t="n">
        <v>3.9</v>
      </c>
      <c r="H492" t="n">
        <v>0</v>
      </c>
      <c r="I492" t="n">
        <v>0</v>
      </c>
      <c r="J492" t="n">
        <v>0</v>
      </c>
      <c r="K492" t="n">
        <v>0</v>
      </c>
      <c r="L492" t="n">
        <v>0</v>
      </c>
      <c r="M492" t="n">
        <v>0</v>
      </c>
      <c r="N492" t="n">
        <v>0</v>
      </c>
      <c r="O492" t="n">
        <v>0</v>
      </c>
      <c r="P492" t="n">
        <v>0</v>
      </c>
      <c r="Q492" t="n">
        <v>0</v>
      </c>
      <c r="R492" s="2" t="inlineStr"/>
    </row>
    <row r="493" ht="15" customHeight="1">
      <c r="A493" t="inlineStr">
        <is>
          <t>A 55997-2025</t>
        </is>
      </c>
      <c r="B493" s="1" t="n">
        <v>45973.56833333334</v>
      </c>
      <c r="C493" s="1" t="n">
        <v>46040</v>
      </c>
      <c r="D493" t="inlineStr">
        <is>
          <t>VÄSTMANLANDS LÄN</t>
        </is>
      </c>
      <c r="E493" t="inlineStr">
        <is>
          <t>SALA</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3332-2024</t>
        </is>
      </c>
      <c r="B494" s="1" t="n">
        <v>45317</v>
      </c>
      <c r="C494" s="1" t="n">
        <v>46040</v>
      </c>
      <c r="D494" t="inlineStr">
        <is>
          <t>VÄSTMANLANDS LÄN</t>
        </is>
      </c>
      <c r="E494" t="inlineStr">
        <is>
          <t>SALA</t>
        </is>
      </c>
      <c r="G494" t="n">
        <v>2</v>
      </c>
      <c r="H494" t="n">
        <v>0</v>
      </c>
      <c r="I494" t="n">
        <v>0</v>
      </c>
      <c r="J494" t="n">
        <v>0</v>
      </c>
      <c r="K494" t="n">
        <v>0</v>
      </c>
      <c r="L494" t="n">
        <v>0</v>
      </c>
      <c r="M494" t="n">
        <v>0</v>
      </c>
      <c r="N494" t="n">
        <v>0</v>
      </c>
      <c r="O494" t="n">
        <v>0</v>
      </c>
      <c r="P494" t="n">
        <v>0</v>
      </c>
      <c r="Q494" t="n">
        <v>0</v>
      </c>
      <c r="R494" s="2" t="inlineStr"/>
    </row>
    <row r="495" ht="15" customHeight="1">
      <c r="A495" t="inlineStr">
        <is>
          <t>A 1128-2025</t>
        </is>
      </c>
      <c r="B495" s="1" t="n">
        <v>45666.68469907407</v>
      </c>
      <c r="C495" s="1" t="n">
        <v>46040</v>
      </c>
      <c r="D495" t="inlineStr">
        <is>
          <t>VÄSTMANLANDS LÄN</t>
        </is>
      </c>
      <c r="E495" t="inlineStr">
        <is>
          <t>SALA</t>
        </is>
      </c>
      <c r="G495" t="n">
        <v>2.5</v>
      </c>
      <c r="H495" t="n">
        <v>0</v>
      </c>
      <c r="I495" t="n">
        <v>0</v>
      </c>
      <c r="J495" t="n">
        <v>0</v>
      </c>
      <c r="K495" t="n">
        <v>0</v>
      </c>
      <c r="L495" t="n">
        <v>0</v>
      </c>
      <c r="M495" t="n">
        <v>0</v>
      </c>
      <c r="N495" t="n">
        <v>0</v>
      </c>
      <c r="O495" t="n">
        <v>0</v>
      </c>
      <c r="P495" t="n">
        <v>0</v>
      </c>
      <c r="Q495" t="n">
        <v>0</v>
      </c>
      <c r="R495" s="2" t="inlineStr"/>
    </row>
    <row r="496" ht="15" customHeight="1">
      <c r="A496" t="inlineStr">
        <is>
          <t>A 43176-2023</t>
        </is>
      </c>
      <c r="B496" s="1" t="n">
        <v>45183</v>
      </c>
      <c r="C496" s="1" t="n">
        <v>46040</v>
      </c>
      <c r="D496" t="inlineStr">
        <is>
          <t>VÄSTMANLANDS LÄN</t>
        </is>
      </c>
      <c r="E496" t="inlineStr">
        <is>
          <t>SALA</t>
        </is>
      </c>
      <c r="G496" t="n">
        <v>1.2</v>
      </c>
      <c r="H496" t="n">
        <v>0</v>
      </c>
      <c r="I496" t="n">
        <v>0</v>
      </c>
      <c r="J496" t="n">
        <v>0</v>
      </c>
      <c r="K496" t="n">
        <v>0</v>
      </c>
      <c r="L496" t="n">
        <v>0</v>
      </c>
      <c r="M496" t="n">
        <v>0</v>
      </c>
      <c r="N496" t="n">
        <v>0</v>
      </c>
      <c r="O496" t="n">
        <v>0</v>
      </c>
      <c r="P496" t="n">
        <v>0</v>
      </c>
      <c r="Q496" t="n">
        <v>0</v>
      </c>
      <c r="R496" s="2" t="inlineStr"/>
    </row>
    <row r="497" ht="15" customHeight="1">
      <c r="A497" t="inlineStr">
        <is>
          <t>A 35637-2022</t>
        </is>
      </c>
      <c r="B497" s="1" t="n">
        <v>44799.55194444444</v>
      </c>
      <c r="C497" s="1" t="n">
        <v>46040</v>
      </c>
      <c r="D497" t="inlineStr">
        <is>
          <t>VÄSTMANLANDS LÄN</t>
        </is>
      </c>
      <c r="E497" t="inlineStr">
        <is>
          <t>SALA</t>
        </is>
      </c>
      <c r="G497" t="n">
        <v>1</v>
      </c>
      <c r="H497" t="n">
        <v>0</v>
      </c>
      <c r="I497" t="n">
        <v>0</v>
      </c>
      <c r="J497" t="n">
        <v>0</v>
      </c>
      <c r="K497" t="n">
        <v>0</v>
      </c>
      <c r="L497" t="n">
        <v>0</v>
      </c>
      <c r="M497" t="n">
        <v>0</v>
      </c>
      <c r="N497" t="n">
        <v>0</v>
      </c>
      <c r="O497" t="n">
        <v>0</v>
      </c>
      <c r="P497" t="n">
        <v>0</v>
      </c>
      <c r="Q497" t="n">
        <v>0</v>
      </c>
      <c r="R497" s="2" t="inlineStr"/>
    </row>
    <row r="498" ht="15" customHeight="1">
      <c r="A498" t="inlineStr">
        <is>
          <t>A 55714-2025</t>
        </is>
      </c>
      <c r="B498" s="1" t="n">
        <v>45972.49131944445</v>
      </c>
      <c r="C498" s="1" t="n">
        <v>46040</v>
      </c>
      <c r="D498" t="inlineStr">
        <is>
          <t>VÄSTMANLANDS LÄN</t>
        </is>
      </c>
      <c r="E498" t="inlineStr">
        <is>
          <t>SALA</t>
        </is>
      </c>
      <c r="G498" t="n">
        <v>6.6</v>
      </c>
      <c r="H498" t="n">
        <v>0</v>
      </c>
      <c r="I498" t="n">
        <v>0</v>
      </c>
      <c r="J498" t="n">
        <v>0</v>
      </c>
      <c r="K498" t="n">
        <v>0</v>
      </c>
      <c r="L498" t="n">
        <v>0</v>
      </c>
      <c r="M498" t="n">
        <v>0</v>
      </c>
      <c r="N498" t="n">
        <v>0</v>
      </c>
      <c r="O498" t="n">
        <v>0</v>
      </c>
      <c r="P498" t="n">
        <v>0</v>
      </c>
      <c r="Q498" t="n">
        <v>0</v>
      </c>
      <c r="R498" s="2" t="inlineStr"/>
    </row>
    <row r="499" ht="15" customHeight="1">
      <c r="A499" t="inlineStr">
        <is>
          <t>A 73835-2021</t>
        </is>
      </c>
      <c r="B499" s="1" t="n">
        <v>44552.92112268518</v>
      </c>
      <c r="C499" s="1" t="n">
        <v>46040</v>
      </c>
      <c r="D499" t="inlineStr">
        <is>
          <t>VÄSTMANLANDS LÄN</t>
        </is>
      </c>
      <c r="E499" t="inlineStr">
        <is>
          <t>SALA</t>
        </is>
      </c>
      <c r="G499" t="n">
        <v>2</v>
      </c>
      <c r="H499" t="n">
        <v>0</v>
      </c>
      <c r="I499" t="n">
        <v>0</v>
      </c>
      <c r="J499" t="n">
        <v>0</v>
      </c>
      <c r="K499" t="n">
        <v>0</v>
      </c>
      <c r="L499" t="n">
        <v>0</v>
      </c>
      <c r="M499" t="n">
        <v>0</v>
      </c>
      <c r="N499" t="n">
        <v>0</v>
      </c>
      <c r="O499" t="n">
        <v>0</v>
      </c>
      <c r="P499" t="n">
        <v>0</v>
      </c>
      <c r="Q499" t="n">
        <v>0</v>
      </c>
      <c r="R499" s="2" t="inlineStr"/>
    </row>
    <row r="500" ht="15" customHeight="1">
      <c r="A500" t="inlineStr">
        <is>
          <t>A 56614-2025</t>
        </is>
      </c>
      <c r="B500" s="1" t="n">
        <v>45975.59288194445</v>
      </c>
      <c r="C500" s="1" t="n">
        <v>46040</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56611-2025</t>
        </is>
      </c>
      <c r="B501" s="1" t="n">
        <v>45975</v>
      </c>
      <c r="C501" s="1" t="n">
        <v>46040</v>
      </c>
      <c r="D501" t="inlineStr">
        <is>
          <t>VÄSTMANLANDS LÄN</t>
        </is>
      </c>
      <c r="E501" t="inlineStr">
        <is>
          <t>SALA</t>
        </is>
      </c>
      <c r="G501" t="n">
        <v>2.8</v>
      </c>
      <c r="H501" t="n">
        <v>0</v>
      </c>
      <c r="I501" t="n">
        <v>0</v>
      </c>
      <c r="J501" t="n">
        <v>0</v>
      </c>
      <c r="K501" t="n">
        <v>0</v>
      </c>
      <c r="L501" t="n">
        <v>0</v>
      </c>
      <c r="M501" t="n">
        <v>0</v>
      </c>
      <c r="N501" t="n">
        <v>0</v>
      </c>
      <c r="O501" t="n">
        <v>0</v>
      </c>
      <c r="P501" t="n">
        <v>0</v>
      </c>
      <c r="Q501" t="n">
        <v>0</v>
      </c>
      <c r="R501" s="2" t="inlineStr"/>
    </row>
    <row r="502" ht="15" customHeight="1">
      <c r="A502" t="inlineStr">
        <is>
          <t>A 60379-2022</t>
        </is>
      </c>
      <c r="B502" s="1" t="n">
        <v>44910</v>
      </c>
      <c r="C502" s="1" t="n">
        <v>46040</v>
      </c>
      <c r="D502" t="inlineStr">
        <is>
          <t>VÄSTMANLANDS LÄN</t>
        </is>
      </c>
      <c r="E502" t="inlineStr">
        <is>
          <t>SALA</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1638-2023</t>
        </is>
      </c>
      <c r="B503" s="1" t="n">
        <v>44937</v>
      </c>
      <c r="C503" s="1" t="n">
        <v>46040</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7953-2024</t>
        </is>
      </c>
      <c r="B504" s="1" t="n">
        <v>45350</v>
      </c>
      <c r="C504" s="1" t="n">
        <v>46040</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57883-2024</t>
        </is>
      </c>
      <c r="B505" s="1" t="n">
        <v>45630</v>
      </c>
      <c r="C505" s="1" t="n">
        <v>46040</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5477-2024</t>
        </is>
      </c>
      <c r="B506" s="1" t="n">
        <v>45333.67833333334</v>
      </c>
      <c r="C506" s="1" t="n">
        <v>46040</v>
      </c>
      <c r="D506" t="inlineStr">
        <is>
          <t>VÄSTMANLANDS LÄN</t>
        </is>
      </c>
      <c r="E506" t="inlineStr">
        <is>
          <t>SALA</t>
        </is>
      </c>
      <c r="G506" t="n">
        <v>2.3</v>
      </c>
      <c r="H506" t="n">
        <v>0</v>
      </c>
      <c r="I506" t="n">
        <v>0</v>
      </c>
      <c r="J506" t="n">
        <v>0</v>
      </c>
      <c r="K506" t="n">
        <v>0</v>
      </c>
      <c r="L506" t="n">
        <v>0</v>
      </c>
      <c r="M506" t="n">
        <v>0</v>
      </c>
      <c r="N506" t="n">
        <v>0</v>
      </c>
      <c r="O506" t="n">
        <v>0</v>
      </c>
      <c r="P506" t="n">
        <v>0</v>
      </c>
      <c r="Q506" t="n">
        <v>0</v>
      </c>
      <c r="R506" s="2" t="inlineStr"/>
    </row>
    <row r="507" ht="15" customHeight="1">
      <c r="A507" t="inlineStr">
        <is>
          <t>A 50876-2023</t>
        </is>
      </c>
      <c r="B507" s="1" t="n">
        <v>45211</v>
      </c>
      <c r="C507" s="1" t="n">
        <v>46040</v>
      </c>
      <c r="D507" t="inlineStr">
        <is>
          <t>VÄSTMANLANDS LÄN</t>
        </is>
      </c>
      <c r="E507" t="inlineStr">
        <is>
          <t>SALA</t>
        </is>
      </c>
      <c r="G507" t="n">
        <v>1.9</v>
      </c>
      <c r="H507" t="n">
        <v>0</v>
      </c>
      <c r="I507" t="n">
        <v>0</v>
      </c>
      <c r="J507" t="n">
        <v>0</v>
      </c>
      <c r="K507" t="n">
        <v>0</v>
      </c>
      <c r="L507" t="n">
        <v>0</v>
      </c>
      <c r="M507" t="n">
        <v>0</v>
      </c>
      <c r="N507" t="n">
        <v>0</v>
      </c>
      <c r="O507" t="n">
        <v>0</v>
      </c>
      <c r="P507" t="n">
        <v>0</v>
      </c>
      <c r="Q507" t="n">
        <v>0</v>
      </c>
      <c r="R507" s="2" t="inlineStr"/>
    </row>
    <row r="508" ht="15" customHeight="1">
      <c r="A508" t="inlineStr">
        <is>
          <t>A 37624-2024</t>
        </is>
      </c>
      <c r="B508" s="1" t="n">
        <v>45541</v>
      </c>
      <c r="C508" s="1" t="n">
        <v>46040</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26507-2023</t>
        </is>
      </c>
      <c r="B509" s="1" t="n">
        <v>45092</v>
      </c>
      <c r="C509" s="1" t="n">
        <v>46040</v>
      </c>
      <c r="D509" t="inlineStr">
        <is>
          <t>VÄSTMANLANDS LÄN</t>
        </is>
      </c>
      <c r="E509" t="inlineStr">
        <is>
          <t>SALA</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40398-2021</t>
        </is>
      </c>
      <c r="B510" s="1" t="n">
        <v>44419</v>
      </c>
      <c r="C510" s="1" t="n">
        <v>46040</v>
      </c>
      <c r="D510" t="inlineStr">
        <is>
          <t>VÄSTMANLANDS LÄN</t>
        </is>
      </c>
      <c r="E510" t="inlineStr">
        <is>
          <t>SALA</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6032-2025</t>
        </is>
      </c>
      <c r="B511" s="1" t="n">
        <v>45695.6371875</v>
      </c>
      <c r="C511" s="1" t="n">
        <v>46040</v>
      </c>
      <c r="D511" t="inlineStr">
        <is>
          <t>VÄSTMANLANDS LÄN</t>
        </is>
      </c>
      <c r="E511" t="inlineStr">
        <is>
          <t>SALA</t>
        </is>
      </c>
      <c r="F511" t="inlineStr">
        <is>
          <t>Bergvik skog öst AB</t>
        </is>
      </c>
      <c r="G511" t="n">
        <v>8.1</v>
      </c>
      <c r="H511" t="n">
        <v>0</v>
      </c>
      <c r="I511" t="n">
        <v>0</v>
      </c>
      <c r="J511" t="n">
        <v>0</v>
      </c>
      <c r="K511" t="n">
        <v>0</v>
      </c>
      <c r="L511" t="n">
        <v>0</v>
      </c>
      <c r="M511" t="n">
        <v>0</v>
      </c>
      <c r="N511" t="n">
        <v>0</v>
      </c>
      <c r="O511" t="n">
        <v>0</v>
      </c>
      <c r="P511" t="n">
        <v>0</v>
      </c>
      <c r="Q511" t="n">
        <v>0</v>
      </c>
      <c r="R511" s="2" t="inlineStr"/>
    </row>
    <row r="512" ht="15" customHeight="1">
      <c r="A512" t="inlineStr">
        <is>
          <t>A 6351-2023</t>
        </is>
      </c>
      <c r="B512" s="1" t="n">
        <v>44965</v>
      </c>
      <c r="C512" s="1" t="n">
        <v>46040</v>
      </c>
      <c r="D512" t="inlineStr">
        <is>
          <t>VÄSTMANLANDS LÄN</t>
        </is>
      </c>
      <c r="E512" t="inlineStr">
        <is>
          <t>SALA</t>
        </is>
      </c>
      <c r="F512" t="inlineStr">
        <is>
          <t>Kommuner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27262-2024</t>
        </is>
      </c>
      <c r="B513" s="1" t="n">
        <v>45471</v>
      </c>
      <c r="C513" s="1" t="n">
        <v>46040</v>
      </c>
      <c r="D513" t="inlineStr">
        <is>
          <t>VÄSTMANLANDS LÄN</t>
        </is>
      </c>
      <c r="E513" t="inlineStr">
        <is>
          <t>SALA</t>
        </is>
      </c>
      <c r="G513" t="n">
        <v>0.8</v>
      </c>
      <c r="H513" t="n">
        <v>0</v>
      </c>
      <c r="I513" t="n">
        <v>0</v>
      </c>
      <c r="J513" t="n">
        <v>0</v>
      </c>
      <c r="K513" t="n">
        <v>0</v>
      </c>
      <c r="L513" t="n">
        <v>0</v>
      </c>
      <c r="M513" t="n">
        <v>0</v>
      </c>
      <c r="N513" t="n">
        <v>0</v>
      </c>
      <c r="O513" t="n">
        <v>0</v>
      </c>
      <c r="P513" t="n">
        <v>0</v>
      </c>
      <c r="Q513" t="n">
        <v>0</v>
      </c>
      <c r="R513" s="2" t="inlineStr"/>
    </row>
    <row r="514" ht="15" customHeight="1">
      <c r="A514" t="inlineStr">
        <is>
          <t>A 15584-2021</t>
        </is>
      </c>
      <c r="B514" s="1" t="n">
        <v>44285</v>
      </c>
      <c r="C514" s="1" t="n">
        <v>46040</v>
      </c>
      <c r="D514" t="inlineStr">
        <is>
          <t>VÄSTMANLANDS LÄN</t>
        </is>
      </c>
      <c r="E514" t="inlineStr">
        <is>
          <t>SALA</t>
        </is>
      </c>
      <c r="G514" t="n">
        <v>3.4</v>
      </c>
      <c r="H514" t="n">
        <v>0</v>
      </c>
      <c r="I514" t="n">
        <v>0</v>
      </c>
      <c r="J514" t="n">
        <v>0</v>
      </c>
      <c r="K514" t="n">
        <v>0</v>
      </c>
      <c r="L514" t="n">
        <v>0</v>
      </c>
      <c r="M514" t="n">
        <v>0</v>
      </c>
      <c r="N514" t="n">
        <v>0</v>
      </c>
      <c r="O514" t="n">
        <v>0</v>
      </c>
      <c r="P514" t="n">
        <v>0</v>
      </c>
      <c r="Q514" t="n">
        <v>0</v>
      </c>
      <c r="R514" s="2" t="inlineStr"/>
    </row>
    <row r="515" ht="15" customHeight="1">
      <c r="A515" t="inlineStr">
        <is>
          <t>A 34814-2021</t>
        </is>
      </c>
      <c r="B515" s="1" t="n">
        <v>44383</v>
      </c>
      <c r="C515" s="1" t="n">
        <v>46040</v>
      </c>
      <c r="D515" t="inlineStr">
        <is>
          <t>VÄSTMANLANDS LÄN</t>
        </is>
      </c>
      <c r="E515" t="inlineStr">
        <is>
          <t>SALA</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23119-2022</t>
        </is>
      </c>
      <c r="B516" s="1" t="n">
        <v>44719.56697916667</v>
      </c>
      <c r="C516" s="1" t="n">
        <v>46040</v>
      </c>
      <c r="D516" t="inlineStr">
        <is>
          <t>VÄSTMANLANDS LÄN</t>
        </is>
      </c>
      <c r="E516" t="inlineStr">
        <is>
          <t>SALA</t>
        </is>
      </c>
      <c r="G516" t="n">
        <v>7</v>
      </c>
      <c r="H516" t="n">
        <v>0</v>
      </c>
      <c r="I516" t="n">
        <v>0</v>
      </c>
      <c r="J516" t="n">
        <v>0</v>
      </c>
      <c r="K516" t="n">
        <v>0</v>
      </c>
      <c r="L516" t="n">
        <v>0</v>
      </c>
      <c r="M516" t="n">
        <v>0</v>
      </c>
      <c r="N516" t="n">
        <v>0</v>
      </c>
      <c r="O516" t="n">
        <v>0</v>
      </c>
      <c r="P516" t="n">
        <v>0</v>
      </c>
      <c r="Q516" t="n">
        <v>0</v>
      </c>
      <c r="R516" s="2" t="inlineStr"/>
    </row>
    <row r="517" ht="15" customHeight="1">
      <c r="A517" t="inlineStr">
        <is>
          <t>A 43751-2021</t>
        </is>
      </c>
      <c r="B517" s="1" t="n">
        <v>44433</v>
      </c>
      <c r="C517" s="1" t="n">
        <v>46040</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59483-2022</t>
        </is>
      </c>
      <c r="B518" s="1" t="n">
        <v>44907.45679398148</v>
      </c>
      <c r="C518" s="1" t="n">
        <v>46040</v>
      </c>
      <c r="D518" t="inlineStr">
        <is>
          <t>VÄSTMANLANDS LÄN</t>
        </is>
      </c>
      <c r="E518" t="inlineStr">
        <is>
          <t>SALA</t>
        </is>
      </c>
      <c r="G518" t="n">
        <v>5.2</v>
      </c>
      <c r="H518" t="n">
        <v>0</v>
      </c>
      <c r="I518" t="n">
        <v>0</v>
      </c>
      <c r="J518" t="n">
        <v>0</v>
      </c>
      <c r="K518" t="n">
        <v>0</v>
      </c>
      <c r="L518" t="n">
        <v>0</v>
      </c>
      <c r="M518" t="n">
        <v>0</v>
      </c>
      <c r="N518" t="n">
        <v>0</v>
      </c>
      <c r="O518" t="n">
        <v>0</v>
      </c>
      <c r="P518" t="n">
        <v>0</v>
      </c>
      <c r="Q518" t="n">
        <v>0</v>
      </c>
      <c r="R518" s="2" t="inlineStr"/>
    </row>
    <row r="519" ht="15" customHeight="1">
      <c r="A519" t="inlineStr">
        <is>
          <t>A 54118-2023</t>
        </is>
      </c>
      <c r="B519" s="1" t="n">
        <v>45232</v>
      </c>
      <c r="C519" s="1" t="n">
        <v>46040</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35462-2024</t>
        </is>
      </c>
      <c r="B520" s="1" t="n">
        <v>45531</v>
      </c>
      <c r="C520" s="1" t="n">
        <v>46040</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73673-2021</t>
        </is>
      </c>
      <c r="B521" s="1" t="n">
        <v>44552.46501157407</v>
      </c>
      <c r="C521" s="1" t="n">
        <v>46040</v>
      </c>
      <c r="D521" t="inlineStr">
        <is>
          <t>VÄSTMANLANDS LÄN</t>
        </is>
      </c>
      <c r="E521" t="inlineStr">
        <is>
          <t>SALA</t>
        </is>
      </c>
      <c r="G521" t="n">
        <v>11.4</v>
      </c>
      <c r="H521" t="n">
        <v>0</v>
      </c>
      <c r="I521" t="n">
        <v>0</v>
      </c>
      <c r="J521" t="n">
        <v>0</v>
      </c>
      <c r="K521" t="n">
        <v>0</v>
      </c>
      <c r="L521" t="n">
        <v>0</v>
      </c>
      <c r="M521" t="n">
        <v>0</v>
      </c>
      <c r="N521" t="n">
        <v>0</v>
      </c>
      <c r="O521" t="n">
        <v>0</v>
      </c>
      <c r="P521" t="n">
        <v>0</v>
      </c>
      <c r="Q521" t="n">
        <v>0</v>
      </c>
      <c r="R521" s="2" t="inlineStr"/>
    </row>
    <row r="522" ht="15" customHeight="1">
      <c r="A522" t="inlineStr">
        <is>
          <t>A 4853-2023</t>
        </is>
      </c>
      <c r="B522" s="1" t="n">
        <v>44957.73234953704</v>
      </c>
      <c r="C522" s="1" t="n">
        <v>46040</v>
      </c>
      <c r="D522" t="inlineStr">
        <is>
          <t>VÄSTMANLANDS LÄN</t>
        </is>
      </c>
      <c r="E522" t="inlineStr">
        <is>
          <t>SALA</t>
        </is>
      </c>
      <c r="G522" t="n">
        <v>2.7</v>
      </c>
      <c r="H522" t="n">
        <v>0</v>
      </c>
      <c r="I522" t="n">
        <v>0</v>
      </c>
      <c r="J522" t="n">
        <v>0</v>
      </c>
      <c r="K522" t="n">
        <v>0</v>
      </c>
      <c r="L522" t="n">
        <v>0</v>
      </c>
      <c r="M522" t="n">
        <v>0</v>
      </c>
      <c r="N522" t="n">
        <v>0</v>
      </c>
      <c r="O522" t="n">
        <v>0</v>
      </c>
      <c r="P522" t="n">
        <v>0</v>
      </c>
      <c r="Q522" t="n">
        <v>0</v>
      </c>
      <c r="R522" s="2" t="inlineStr"/>
    </row>
    <row r="523" ht="15" customHeight="1">
      <c r="A523" t="inlineStr">
        <is>
          <t>A 1993-2022</t>
        </is>
      </c>
      <c r="B523" s="1" t="n">
        <v>44575</v>
      </c>
      <c r="C523" s="1" t="n">
        <v>46040</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36393-2023</t>
        </is>
      </c>
      <c r="B524" s="1" t="n">
        <v>45152</v>
      </c>
      <c r="C524" s="1" t="n">
        <v>46040</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45790-2023</t>
        </is>
      </c>
      <c r="B525" s="1" t="n">
        <v>45195.45958333334</v>
      </c>
      <c r="C525" s="1" t="n">
        <v>46040</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1793-2023</t>
        </is>
      </c>
      <c r="B526" s="1" t="n">
        <v>44937</v>
      </c>
      <c r="C526" s="1" t="n">
        <v>46040</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56949-2023</t>
        </is>
      </c>
      <c r="B527" s="1" t="n">
        <v>45244.61589120371</v>
      </c>
      <c r="C527" s="1" t="n">
        <v>46040</v>
      </c>
      <c r="D527" t="inlineStr">
        <is>
          <t>VÄSTMANLANDS LÄN</t>
        </is>
      </c>
      <c r="E527" t="inlineStr">
        <is>
          <t>SALA</t>
        </is>
      </c>
      <c r="G527" t="n">
        <v>4.7</v>
      </c>
      <c r="H527" t="n">
        <v>0</v>
      </c>
      <c r="I527" t="n">
        <v>0</v>
      </c>
      <c r="J527" t="n">
        <v>0</v>
      </c>
      <c r="K527" t="n">
        <v>0</v>
      </c>
      <c r="L527" t="n">
        <v>0</v>
      </c>
      <c r="M527" t="n">
        <v>0</v>
      </c>
      <c r="N527" t="n">
        <v>0</v>
      </c>
      <c r="O527" t="n">
        <v>0</v>
      </c>
      <c r="P527" t="n">
        <v>0</v>
      </c>
      <c r="Q527" t="n">
        <v>0</v>
      </c>
      <c r="R527" s="2" t="inlineStr"/>
    </row>
    <row r="528" ht="15" customHeight="1">
      <c r="A528" t="inlineStr">
        <is>
          <t>A 40214-2023</t>
        </is>
      </c>
      <c r="B528" s="1" t="n">
        <v>45169.45173611111</v>
      </c>
      <c r="C528" s="1" t="n">
        <v>46040</v>
      </c>
      <c r="D528" t="inlineStr">
        <is>
          <t>VÄSTMANLANDS LÄN</t>
        </is>
      </c>
      <c r="E528" t="inlineStr">
        <is>
          <t>SALA</t>
        </is>
      </c>
      <c r="G528" t="n">
        <v>5.5</v>
      </c>
      <c r="H528" t="n">
        <v>0</v>
      </c>
      <c r="I528" t="n">
        <v>0</v>
      </c>
      <c r="J528" t="n">
        <v>0</v>
      </c>
      <c r="K528" t="n">
        <v>0</v>
      </c>
      <c r="L528" t="n">
        <v>0</v>
      </c>
      <c r="M528" t="n">
        <v>0</v>
      </c>
      <c r="N528" t="n">
        <v>0</v>
      </c>
      <c r="O528" t="n">
        <v>0</v>
      </c>
      <c r="P528" t="n">
        <v>0</v>
      </c>
      <c r="Q528" t="n">
        <v>0</v>
      </c>
      <c r="R528" s="2" t="inlineStr"/>
    </row>
    <row r="529" ht="15" customHeight="1">
      <c r="A529" t="inlineStr">
        <is>
          <t>A 35016-2024</t>
        </is>
      </c>
      <c r="B529" s="1" t="n">
        <v>45527.59115740741</v>
      </c>
      <c r="C529" s="1" t="n">
        <v>46040</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42447-2022</t>
        </is>
      </c>
      <c r="B530" s="1" t="n">
        <v>44831</v>
      </c>
      <c r="C530" s="1" t="n">
        <v>46040</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37612-2024</t>
        </is>
      </c>
      <c r="B531" s="1" t="n">
        <v>45541</v>
      </c>
      <c r="C531" s="1" t="n">
        <v>46040</v>
      </c>
      <c r="D531" t="inlineStr">
        <is>
          <t>VÄSTMANLANDS LÄN</t>
        </is>
      </c>
      <c r="E531" t="inlineStr">
        <is>
          <t>SALA</t>
        </is>
      </c>
      <c r="G531" t="n">
        <v>2.2</v>
      </c>
      <c r="H531" t="n">
        <v>0</v>
      </c>
      <c r="I531" t="n">
        <v>0</v>
      </c>
      <c r="J531" t="n">
        <v>0</v>
      </c>
      <c r="K531" t="n">
        <v>0</v>
      </c>
      <c r="L531" t="n">
        <v>0</v>
      </c>
      <c r="M531" t="n">
        <v>0</v>
      </c>
      <c r="N531" t="n">
        <v>0</v>
      </c>
      <c r="O531" t="n">
        <v>0</v>
      </c>
      <c r="P531" t="n">
        <v>0</v>
      </c>
      <c r="Q531" t="n">
        <v>0</v>
      </c>
      <c r="R531" s="2" t="inlineStr"/>
    </row>
    <row r="532" ht="15" customHeight="1">
      <c r="A532" t="inlineStr">
        <is>
          <t>A 37615-2024</t>
        </is>
      </c>
      <c r="B532" s="1" t="n">
        <v>45541.50673611111</v>
      </c>
      <c r="C532" s="1" t="n">
        <v>46040</v>
      </c>
      <c r="D532" t="inlineStr">
        <is>
          <t>VÄSTMANLANDS LÄN</t>
        </is>
      </c>
      <c r="E532" t="inlineStr">
        <is>
          <t>SALA</t>
        </is>
      </c>
      <c r="G532" t="n">
        <v>1.1</v>
      </c>
      <c r="H532" t="n">
        <v>0</v>
      </c>
      <c r="I532" t="n">
        <v>0</v>
      </c>
      <c r="J532" t="n">
        <v>0</v>
      </c>
      <c r="K532" t="n">
        <v>0</v>
      </c>
      <c r="L532" t="n">
        <v>0</v>
      </c>
      <c r="M532" t="n">
        <v>0</v>
      </c>
      <c r="N532" t="n">
        <v>0</v>
      </c>
      <c r="O532" t="n">
        <v>0</v>
      </c>
      <c r="P532" t="n">
        <v>0</v>
      </c>
      <c r="Q532" t="n">
        <v>0</v>
      </c>
      <c r="R532" s="2" t="inlineStr"/>
    </row>
    <row r="533" ht="15" customHeight="1">
      <c r="A533" t="inlineStr">
        <is>
          <t>A 5728-2022</t>
        </is>
      </c>
      <c r="B533" s="1" t="n">
        <v>44596.42082175926</v>
      </c>
      <c r="C533" s="1" t="n">
        <v>46040</v>
      </c>
      <c r="D533" t="inlineStr">
        <is>
          <t>VÄSTMANLANDS LÄN</t>
        </is>
      </c>
      <c r="E533" t="inlineStr">
        <is>
          <t>SALA</t>
        </is>
      </c>
      <c r="G533" t="n">
        <v>1.7</v>
      </c>
      <c r="H533" t="n">
        <v>0</v>
      </c>
      <c r="I533" t="n">
        <v>0</v>
      </c>
      <c r="J533" t="n">
        <v>0</v>
      </c>
      <c r="K533" t="n">
        <v>0</v>
      </c>
      <c r="L533" t="n">
        <v>0</v>
      </c>
      <c r="M533" t="n">
        <v>0</v>
      </c>
      <c r="N533" t="n">
        <v>0</v>
      </c>
      <c r="O533" t="n">
        <v>0</v>
      </c>
      <c r="P533" t="n">
        <v>0</v>
      </c>
      <c r="Q533" t="n">
        <v>0</v>
      </c>
      <c r="R533" s="2" t="inlineStr"/>
    </row>
    <row r="534" ht="15" customHeight="1">
      <c r="A534" t="inlineStr">
        <is>
          <t>A 11183-2023</t>
        </is>
      </c>
      <c r="B534" s="1" t="n">
        <v>44992.57782407408</v>
      </c>
      <c r="C534" s="1" t="n">
        <v>46040</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11190-2023</t>
        </is>
      </c>
      <c r="B535" s="1" t="n">
        <v>44992</v>
      </c>
      <c r="C535" s="1" t="n">
        <v>46040</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7681-2021</t>
        </is>
      </c>
      <c r="B536" s="1" t="n">
        <v>44242</v>
      </c>
      <c r="C536" s="1" t="n">
        <v>46040</v>
      </c>
      <c r="D536" t="inlineStr">
        <is>
          <t>VÄSTMANLANDS LÄN</t>
        </is>
      </c>
      <c r="E536" t="inlineStr">
        <is>
          <t>SALA</t>
        </is>
      </c>
      <c r="F536" t="inlineStr">
        <is>
          <t>Sveaskog</t>
        </is>
      </c>
      <c r="G536" t="n">
        <v>16.1</v>
      </c>
      <c r="H536" t="n">
        <v>0</v>
      </c>
      <c r="I536" t="n">
        <v>0</v>
      </c>
      <c r="J536" t="n">
        <v>0</v>
      </c>
      <c r="K536" t="n">
        <v>0</v>
      </c>
      <c r="L536" t="n">
        <v>0</v>
      </c>
      <c r="M536" t="n">
        <v>0</v>
      </c>
      <c r="N536" t="n">
        <v>0</v>
      </c>
      <c r="O536" t="n">
        <v>0</v>
      </c>
      <c r="P536" t="n">
        <v>0</v>
      </c>
      <c r="Q536" t="n">
        <v>0</v>
      </c>
      <c r="R536" s="2" t="inlineStr"/>
    </row>
    <row r="537" ht="15" customHeight="1">
      <c r="A537" t="inlineStr">
        <is>
          <t>A 31950-2023</t>
        </is>
      </c>
      <c r="B537" s="1" t="n">
        <v>45107</v>
      </c>
      <c r="C537" s="1" t="n">
        <v>46040</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19751-2022</t>
        </is>
      </c>
      <c r="B538" s="1" t="n">
        <v>44694</v>
      </c>
      <c r="C538" s="1" t="n">
        <v>46040</v>
      </c>
      <c r="D538" t="inlineStr">
        <is>
          <t>VÄSTMANLANDS LÄN</t>
        </is>
      </c>
      <c r="E538" t="inlineStr">
        <is>
          <t>SALA</t>
        </is>
      </c>
      <c r="G538" t="n">
        <v>2.7</v>
      </c>
      <c r="H538" t="n">
        <v>0</v>
      </c>
      <c r="I538" t="n">
        <v>0</v>
      </c>
      <c r="J538" t="n">
        <v>0</v>
      </c>
      <c r="K538" t="n">
        <v>0</v>
      </c>
      <c r="L538" t="n">
        <v>0</v>
      </c>
      <c r="M538" t="n">
        <v>0</v>
      </c>
      <c r="N538" t="n">
        <v>0</v>
      </c>
      <c r="O538" t="n">
        <v>0</v>
      </c>
      <c r="P538" t="n">
        <v>0</v>
      </c>
      <c r="Q538" t="n">
        <v>0</v>
      </c>
      <c r="R538" s="2" t="inlineStr"/>
    </row>
    <row r="539" ht="15" customHeight="1">
      <c r="A539" t="inlineStr">
        <is>
          <t>A 48710-2024</t>
        </is>
      </c>
      <c r="B539" s="1" t="n">
        <v>45593.53636574074</v>
      </c>
      <c r="C539" s="1" t="n">
        <v>46040</v>
      </c>
      <c r="D539" t="inlineStr">
        <is>
          <t>VÄSTMANLANDS LÄN</t>
        </is>
      </c>
      <c r="E539" t="inlineStr">
        <is>
          <t>SALA</t>
        </is>
      </c>
      <c r="G539" t="n">
        <v>6.5</v>
      </c>
      <c r="H539" t="n">
        <v>0</v>
      </c>
      <c r="I539" t="n">
        <v>0</v>
      </c>
      <c r="J539" t="n">
        <v>0</v>
      </c>
      <c r="K539" t="n">
        <v>0</v>
      </c>
      <c r="L539" t="n">
        <v>0</v>
      </c>
      <c r="M539" t="n">
        <v>0</v>
      </c>
      <c r="N539" t="n">
        <v>0</v>
      </c>
      <c r="O539" t="n">
        <v>0</v>
      </c>
      <c r="P539" t="n">
        <v>0</v>
      </c>
      <c r="Q539" t="n">
        <v>0</v>
      </c>
      <c r="R539" s="2" t="inlineStr"/>
    </row>
    <row r="540" ht="15" customHeight="1">
      <c r="A540" t="inlineStr">
        <is>
          <t>A 23406-2024</t>
        </is>
      </c>
      <c r="B540" s="1" t="n">
        <v>45453.58296296297</v>
      </c>
      <c r="C540" s="1" t="n">
        <v>46040</v>
      </c>
      <c r="D540" t="inlineStr">
        <is>
          <t>VÄSTMANLANDS LÄN</t>
        </is>
      </c>
      <c r="E540" t="inlineStr">
        <is>
          <t>SALA</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12246-2023</t>
        </is>
      </c>
      <c r="B541" s="1" t="n">
        <v>44995</v>
      </c>
      <c r="C541" s="1" t="n">
        <v>46040</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48571-2024</t>
        </is>
      </c>
      <c r="B542" s="1" t="n">
        <v>45591</v>
      </c>
      <c r="C542" s="1" t="n">
        <v>46040</v>
      </c>
      <c r="D542" t="inlineStr">
        <is>
          <t>VÄSTMANLANDS LÄN</t>
        </is>
      </c>
      <c r="E542" t="inlineStr">
        <is>
          <t>SALA</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43362-2023</t>
        </is>
      </c>
      <c r="B543" s="1" t="n">
        <v>45183</v>
      </c>
      <c r="C543" s="1" t="n">
        <v>46040</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6312-2025</t>
        </is>
      </c>
      <c r="B544" s="1" t="n">
        <v>45698</v>
      </c>
      <c r="C544" s="1" t="n">
        <v>46040</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16767-2024</t>
        </is>
      </c>
      <c r="B545" s="1" t="n">
        <v>45411.38171296296</v>
      </c>
      <c r="C545" s="1" t="n">
        <v>46040</v>
      </c>
      <c r="D545" t="inlineStr">
        <is>
          <t>VÄSTMANLANDS LÄN</t>
        </is>
      </c>
      <c r="E545" t="inlineStr">
        <is>
          <t>SALA</t>
        </is>
      </c>
      <c r="G545" t="n">
        <v>2.5</v>
      </c>
      <c r="H545" t="n">
        <v>0</v>
      </c>
      <c r="I545" t="n">
        <v>0</v>
      </c>
      <c r="J545" t="n">
        <v>0</v>
      </c>
      <c r="K545" t="n">
        <v>0</v>
      </c>
      <c r="L545" t="n">
        <v>0</v>
      </c>
      <c r="M545" t="n">
        <v>0</v>
      </c>
      <c r="N545" t="n">
        <v>0</v>
      </c>
      <c r="O545" t="n">
        <v>0</v>
      </c>
      <c r="P545" t="n">
        <v>0</v>
      </c>
      <c r="Q545" t="n">
        <v>0</v>
      </c>
      <c r="R545" s="2" t="inlineStr"/>
    </row>
    <row r="546" ht="15" customHeight="1">
      <c r="A546" t="inlineStr">
        <is>
          <t>A 55035-2023</t>
        </is>
      </c>
      <c r="B546" s="1" t="n">
        <v>45229</v>
      </c>
      <c r="C546" s="1" t="n">
        <v>46040</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4736-2021</t>
        </is>
      </c>
      <c r="B547" s="1" t="n">
        <v>44225</v>
      </c>
      <c r="C547" s="1" t="n">
        <v>46040</v>
      </c>
      <c r="D547" t="inlineStr">
        <is>
          <t>VÄSTMANLANDS LÄN</t>
        </is>
      </c>
      <c r="E547" t="inlineStr">
        <is>
          <t>SALA</t>
        </is>
      </c>
      <c r="G547" t="n">
        <v>4.2</v>
      </c>
      <c r="H547" t="n">
        <v>0</v>
      </c>
      <c r="I547" t="n">
        <v>0</v>
      </c>
      <c r="J547" t="n">
        <v>0</v>
      </c>
      <c r="K547" t="n">
        <v>0</v>
      </c>
      <c r="L547" t="n">
        <v>0</v>
      </c>
      <c r="M547" t="n">
        <v>0</v>
      </c>
      <c r="N547" t="n">
        <v>0</v>
      </c>
      <c r="O547" t="n">
        <v>0</v>
      </c>
      <c r="P547" t="n">
        <v>0</v>
      </c>
      <c r="Q547" t="n">
        <v>0</v>
      </c>
      <c r="R547" s="2" t="inlineStr"/>
    </row>
    <row r="548" ht="15" customHeight="1">
      <c r="A548" t="inlineStr">
        <is>
          <t>A 31470-2021</t>
        </is>
      </c>
      <c r="B548" s="1" t="n">
        <v>44369</v>
      </c>
      <c r="C548" s="1" t="n">
        <v>46040</v>
      </c>
      <c r="D548" t="inlineStr">
        <is>
          <t>VÄSTMANLANDS LÄN</t>
        </is>
      </c>
      <c r="E548" t="inlineStr">
        <is>
          <t>SALA</t>
        </is>
      </c>
      <c r="F548" t="inlineStr">
        <is>
          <t>Sveaskog</t>
        </is>
      </c>
      <c r="G548" t="n">
        <v>2.1</v>
      </c>
      <c r="H548" t="n">
        <v>0</v>
      </c>
      <c r="I548" t="n">
        <v>0</v>
      </c>
      <c r="J548" t="n">
        <v>0</v>
      </c>
      <c r="K548" t="n">
        <v>0</v>
      </c>
      <c r="L548" t="n">
        <v>0</v>
      </c>
      <c r="M548" t="n">
        <v>0</v>
      </c>
      <c r="N548" t="n">
        <v>0</v>
      </c>
      <c r="O548" t="n">
        <v>0</v>
      </c>
      <c r="P548" t="n">
        <v>0</v>
      </c>
      <c r="Q548" t="n">
        <v>0</v>
      </c>
      <c r="R548" s="2" t="inlineStr"/>
    </row>
    <row r="549" ht="15" customHeight="1">
      <c r="A549" t="inlineStr">
        <is>
          <t>A 18461-2024</t>
        </is>
      </c>
      <c r="B549" s="1" t="n">
        <v>45425.47435185185</v>
      </c>
      <c r="C549" s="1" t="n">
        <v>46040</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29230-2022</t>
        </is>
      </c>
      <c r="B550" s="1" t="n">
        <v>44750</v>
      </c>
      <c r="C550" s="1" t="n">
        <v>46040</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9335-2022</t>
        </is>
      </c>
      <c r="B551" s="1" t="n">
        <v>44616.56579861111</v>
      </c>
      <c r="C551" s="1" t="n">
        <v>46040</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52500-2024</t>
        </is>
      </c>
      <c r="B552" s="1" t="n">
        <v>45609</v>
      </c>
      <c r="C552" s="1" t="n">
        <v>46040</v>
      </c>
      <c r="D552" t="inlineStr">
        <is>
          <t>VÄSTMANLANDS LÄN</t>
        </is>
      </c>
      <c r="E552" t="inlineStr">
        <is>
          <t>SALA</t>
        </is>
      </c>
      <c r="G552" t="n">
        <v>1.3</v>
      </c>
      <c r="H552" t="n">
        <v>0</v>
      </c>
      <c r="I552" t="n">
        <v>0</v>
      </c>
      <c r="J552" t="n">
        <v>0</v>
      </c>
      <c r="K552" t="n">
        <v>0</v>
      </c>
      <c r="L552" t="n">
        <v>0</v>
      </c>
      <c r="M552" t="n">
        <v>0</v>
      </c>
      <c r="N552" t="n">
        <v>0</v>
      </c>
      <c r="O552" t="n">
        <v>0</v>
      </c>
      <c r="P552" t="n">
        <v>0</v>
      </c>
      <c r="Q552" t="n">
        <v>0</v>
      </c>
      <c r="R552" s="2" t="inlineStr"/>
    </row>
    <row r="553" ht="15" customHeight="1">
      <c r="A553" t="inlineStr">
        <is>
          <t>A 47479-2024</t>
        </is>
      </c>
      <c r="B553" s="1" t="n">
        <v>45587</v>
      </c>
      <c r="C553" s="1" t="n">
        <v>46040</v>
      </c>
      <c r="D553" t="inlineStr">
        <is>
          <t>VÄSTMANLANDS LÄN</t>
        </is>
      </c>
      <c r="E553" t="inlineStr">
        <is>
          <t>SALA</t>
        </is>
      </c>
      <c r="F553" t="inlineStr">
        <is>
          <t>Kommuner</t>
        </is>
      </c>
      <c r="G553" t="n">
        <v>0.8</v>
      </c>
      <c r="H553" t="n">
        <v>0</v>
      </c>
      <c r="I553" t="n">
        <v>0</v>
      </c>
      <c r="J553" t="n">
        <v>0</v>
      </c>
      <c r="K553" t="n">
        <v>0</v>
      </c>
      <c r="L553" t="n">
        <v>0</v>
      </c>
      <c r="M553" t="n">
        <v>0</v>
      </c>
      <c r="N553" t="n">
        <v>0</v>
      </c>
      <c r="O553" t="n">
        <v>0</v>
      </c>
      <c r="P553" t="n">
        <v>0</v>
      </c>
      <c r="Q553" t="n">
        <v>0</v>
      </c>
      <c r="R553" s="2" t="inlineStr"/>
    </row>
    <row r="554" ht="15" customHeight="1">
      <c r="A554" t="inlineStr">
        <is>
          <t>A 19065-2022</t>
        </is>
      </c>
      <c r="B554" s="1" t="n">
        <v>44691.44309027777</v>
      </c>
      <c r="C554" s="1" t="n">
        <v>46040</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row>
    <row r="555" ht="15" customHeight="1">
      <c r="A555" t="inlineStr">
        <is>
          <t>A 22961-2023</t>
        </is>
      </c>
      <c r="B555" s="1" t="n">
        <v>45072</v>
      </c>
      <c r="C555" s="1" t="n">
        <v>46040</v>
      </c>
      <c r="D555" t="inlineStr">
        <is>
          <t>VÄSTMANLANDS LÄN</t>
        </is>
      </c>
      <c r="E555" t="inlineStr">
        <is>
          <t>SALA</t>
        </is>
      </c>
      <c r="G555" t="n">
        <v>2.7</v>
      </c>
      <c r="H555" t="n">
        <v>0</v>
      </c>
      <c r="I555" t="n">
        <v>0</v>
      </c>
      <c r="J555" t="n">
        <v>0</v>
      </c>
      <c r="K555" t="n">
        <v>0</v>
      </c>
      <c r="L555" t="n">
        <v>0</v>
      </c>
      <c r="M555" t="n">
        <v>0</v>
      </c>
      <c r="N555" t="n">
        <v>0</v>
      </c>
      <c r="O555" t="n">
        <v>0</v>
      </c>
      <c r="P555" t="n">
        <v>0</v>
      </c>
      <c r="Q555" t="n">
        <v>0</v>
      </c>
      <c r="R555" s="2" t="inlineStr"/>
    </row>
    <row r="556" ht="15" customHeight="1">
      <c r="A556" t="inlineStr">
        <is>
          <t>A 22963-2023</t>
        </is>
      </c>
      <c r="B556" s="1" t="n">
        <v>45072</v>
      </c>
      <c r="C556" s="1" t="n">
        <v>46040</v>
      </c>
      <c r="D556" t="inlineStr">
        <is>
          <t>VÄSTMANLANDS LÄN</t>
        </is>
      </c>
      <c r="E556" t="inlineStr">
        <is>
          <t>SALA</t>
        </is>
      </c>
      <c r="G556" t="n">
        <v>1.2</v>
      </c>
      <c r="H556" t="n">
        <v>0</v>
      </c>
      <c r="I556" t="n">
        <v>0</v>
      </c>
      <c r="J556" t="n">
        <v>0</v>
      </c>
      <c r="K556" t="n">
        <v>0</v>
      </c>
      <c r="L556" t="n">
        <v>0</v>
      </c>
      <c r="M556" t="n">
        <v>0</v>
      </c>
      <c r="N556" t="n">
        <v>0</v>
      </c>
      <c r="O556" t="n">
        <v>0</v>
      </c>
      <c r="P556" t="n">
        <v>0</v>
      </c>
      <c r="Q556" t="n">
        <v>0</v>
      </c>
      <c r="R556" s="2" t="inlineStr"/>
    </row>
    <row r="557" ht="15" customHeight="1">
      <c r="A557" t="inlineStr">
        <is>
          <t>A 7950-2025</t>
        </is>
      </c>
      <c r="B557" s="1" t="n">
        <v>45707.41799768519</v>
      </c>
      <c r="C557" s="1" t="n">
        <v>46040</v>
      </c>
      <c r="D557" t="inlineStr">
        <is>
          <t>VÄSTMANLANDS LÄN</t>
        </is>
      </c>
      <c r="E557" t="inlineStr">
        <is>
          <t>SALA</t>
        </is>
      </c>
      <c r="G557" t="n">
        <v>3.2</v>
      </c>
      <c r="H557" t="n">
        <v>0</v>
      </c>
      <c r="I557" t="n">
        <v>0</v>
      </c>
      <c r="J557" t="n">
        <v>0</v>
      </c>
      <c r="K557" t="n">
        <v>0</v>
      </c>
      <c r="L557" t="n">
        <v>0</v>
      </c>
      <c r="M557" t="n">
        <v>0</v>
      </c>
      <c r="N557" t="n">
        <v>0</v>
      </c>
      <c r="O557" t="n">
        <v>0</v>
      </c>
      <c r="P557" t="n">
        <v>0</v>
      </c>
      <c r="Q557" t="n">
        <v>0</v>
      </c>
      <c r="R557" s="2" t="inlineStr"/>
    </row>
    <row r="558" ht="15" customHeight="1">
      <c r="A558" t="inlineStr">
        <is>
          <t>A 10812-2021</t>
        </is>
      </c>
      <c r="B558" s="1" t="n">
        <v>44259</v>
      </c>
      <c r="C558" s="1" t="n">
        <v>46040</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10154-2021</t>
        </is>
      </c>
      <c r="B559" s="1" t="n">
        <v>44256</v>
      </c>
      <c r="C559" s="1" t="n">
        <v>46040</v>
      </c>
      <c r="D559" t="inlineStr">
        <is>
          <t>VÄSTMANLANDS LÄN</t>
        </is>
      </c>
      <c r="E559" t="inlineStr">
        <is>
          <t>SALA</t>
        </is>
      </c>
      <c r="G559" t="n">
        <v>0.8</v>
      </c>
      <c r="H559" t="n">
        <v>0</v>
      </c>
      <c r="I559" t="n">
        <v>0</v>
      </c>
      <c r="J559" t="n">
        <v>0</v>
      </c>
      <c r="K559" t="n">
        <v>0</v>
      </c>
      <c r="L559" t="n">
        <v>0</v>
      </c>
      <c r="M559" t="n">
        <v>0</v>
      </c>
      <c r="N559" t="n">
        <v>0</v>
      </c>
      <c r="O559" t="n">
        <v>0</v>
      </c>
      <c r="P559" t="n">
        <v>0</v>
      </c>
      <c r="Q559" t="n">
        <v>0</v>
      </c>
      <c r="R559" s="2" t="inlineStr"/>
    </row>
    <row r="560" ht="15" customHeight="1">
      <c r="A560" t="inlineStr">
        <is>
          <t>A 10585-2022</t>
        </is>
      </c>
      <c r="B560" s="1" t="n">
        <v>44624</v>
      </c>
      <c r="C560" s="1" t="n">
        <v>46040</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69236-2021</t>
        </is>
      </c>
      <c r="B561" s="1" t="n">
        <v>44531.4047337963</v>
      </c>
      <c r="C561" s="1" t="n">
        <v>46040</v>
      </c>
      <c r="D561" t="inlineStr">
        <is>
          <t>VÄSTMANLANDS LÄN</t>
        </is>
      </c>
      <c r="E561" t="inlineStr">
        <is>
          <t>SALA</t>
        </is>
      </c>
      <c r="G561" t="n">
        <v>2.8</v>
      </c>
      <c r="H561" t="n">
        <v>0</v>
      </c>
      <c r="I561" t="n">
        <v>0</v>
      </c>
      <c r="J561" t="n">
        <v>0</v>
      </c>
      <c r="K561" t="n">
        <v>0</v>
      </c>
      <c r="L561" t="n">
        <v>0</v>
      </c>
      <c r="M561" t="n">
        <v>0</v>
      </c>
      <c r="N561" t="n">
        <v>0</v>
      </c>
      <c r="O561" t="n">
        <v>0</v>
      </c>
      <c r="P561" t="n">
        <v>0</v>
      </c>
      <c r="Q561" t="n">
        <v>0</v>
      </c>
      <c r="R561" s="2" t="inlineStr"/>
    </row>
    <row r="562" ht="15" customHeight="1">
      <c r="A562" t="inlineStr">
        <is>
          <t>A 48117-2024</t>
        </is>
      </c>
      <c r="B562" s="1" t="n">
        <v>45589</v>
      </c>
      <c r="C562" s="1" t="n">
        <v>46040</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12225-2023</t>
        </is>
      </c>
      <c r="B563" s="1" t="n">
        <v>44995</v>
      </c>
      <c r="C563" s="1" t="n">
        <v>46040</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12252-2023</t>
        </is>
      </c>
      <c r="B564" s="1" t="n">
        <v>44995</v>
      </c>
      <c r="C564" s="1" t="n">
        <v>46040</v>
      </c>
      <c r="D564" t="inlineStr">
        <is>
          <t>VÄSTMANLANDS LÄN</t>
        </is>
      </c>
      <c r="E564" t="inlineStr">
        <is>
          <t>SALA</t>
        </is>
      </c>
      <c r="G564" t="n">
        <v>2.6</v>
      </c>
      <c r="H564" t="n">
        <v>0</v>
      </c>
      <c r="I564" t="n">
        <v>0</v>
      </c>
      <c r="J564" t="n">
        <v>0</v>
      </c>
      <c r="K564" t="n">
        <v>0</v>
      </c>
      <c r="L564" t="n">
        <v>0</v>
      </c>
      <c r="M564" t="n">
        <v>0</v>
      </c>
      <c r="N564" t="n">
        <v>0</v>
      </c>
      <c r="O564" t="n">
        <v>0</v>
      </c>
      <c r="P564" t="n">
        <v>0</v>
      </c>
      <c r="Q564" t="n">
        <v>0</v>
      </c>
      <c r="R564" s="2" t="inlineStr"/>
    </row>
    <row r="565" ht="15" customHeight="1">
      <c r="A565" t="inlineStr">
        <is>
          <t>A 16328-2025</t>
        </is>
      </c>
      <c r="B565" s="1" t="n">
        <v>45751</v>
      </c>
      <c r="C565" s="1" t="n">
        <v>46040</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6116-2023</t>
        </is>
      </c>
      <c r="B566" s="1" t="n">
        <v>44964</v>
      </c>
      <c r="C566" s="1" t="n">
        <v>46040</v>
      </c>
      <c r="D566" t="inlineStr">
        <is>
          <t>VÄSTMANLANDS LÄN</t>
        </is>
      </c>
      <c r="E566" t="inlineStr">
        <is>
          <t>SALA</t>
        </is>
      </c>
      <c r="G566" t="n">
        <v>1.9</v>
      </c>
      <c r="H566" t="n">
        <v>0</v>
      </c>
      <c r="I566" t="n">
        <v>0</v>
      </c>
      <c r="J566" t="n">
        <v>0</v>
      </c>
      <c r="K566" t="n">
        <v>0</v>
      </c>
      <c r="L566" t="n">
        <v>0</v>
      </c>
      <c r="M566" t="n">
        <v>0</v>
      </c>
      <c r="N566" t="n">
        <v>0</v>
      </c>
      <c r="O566" t="n">
        <v>0</v>
      </c>
      <c r="P566" t="n">
        <v>0</v>
      </c>
      <c r="Q566" t="n">
        <v>0</v>
      </c>
      <c r="R566" s="2" t="inlineStr"/>
    </row>
    <row r="567" ht="15" customHeight="1">
      <c r="A567" t="inlineStr">
        <is>
          <t>A 18100-2023</t>
        </is>
      </c>
      <c r="B567" s="1" t="n">
        <v>45040</v>
      </c>
      <c r="C567" s="1" t="n">
        <v>46040</v>
      </c>
      <c r="D567" t="inlineStr">
        <is>
          <t>VÄSTMANLANDS LÄN</t>
        </is>
      </c>
      <c r="E567" t="inlineStr">
        <is>
          <t>SALA</t>
        </is>
      </c>
      <c r="G567" t="n">
        <v>1.8</v>
      </c>
      <c r="H567" t="n">
        <v>0</v>
      </c>
      <c r="I567" t="n">
        <v>0</v>
      </c>
      <c r="J567" t="n">
        <v>0</v>
      </c>
      <c r="K567" t="n">
        <v>0</v>
      </c>
      <c r="L567" t="n">
        <v>0</v>
      </c>
      <c r="M567" t="n">
        <v>0</v>
      </c>
      <c r="N567" t="n">
        <v>0</v>
      </c>
      <c r="O567" t="n">
        <v>0</v>
      </c>
      <c r="P567" t="n">
        <v>0</v>
      </c>
      <c r="Q567" t="n">
        <v>0</v>
      </c>
      <c r="R567" s="2" t="inlineStr"/>
    </row>
    <row r="568" ht="15" customHeight="1">
      <c r="A568" t="inlineStr">
        <is>
          <t>A 13471-2025</t>
        </is>
      </c>
      <c r="B568" s="1" t="n">
        <v>45736.40579861111</v>
      </c>
      <c r="C568" s="1" t="n">
        <v>46040</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31609-2024</t>
        </is>
      </c>
      <c r="B569" s="1" t="n">
        <v>45506</v>
      </c>
      <c r="C569" s="1" t="n">
        <v>46040</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26854-2024</t>
        </is>
      </c>
      <c r="B570" s="1" t="n">
        <v>45470</v>
      </c>
      <c r="C570" s="1" t="n">
        <v>46040</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37602-2024</t>
        </is>
      </c>
      <c r="B571" s="1" t="n">
        <v>45541</v>
      </c>
      <c r="C571" s="1" t="n">
        <v>46040</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1985-2022</t>
        </is>
      </c>
      <c r="B572" s="1" t="n">
        <v>44575</v>
      </c>
      <c r="C572" s="1" t="n">
        <v>46040</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6308-2021</t>
        </is>
      </c>
      <c r="B573" s="1" t="n">
        <v>44235</v>
      </c>
      <c r="C573" s="1" t="n">
        <v>46040</v>
      </c>
      <c r="D573" t="inlineStr">
        <is>
          <t>VÄSTMANLANDS LÄN</t>
        </is>
      </c>
      <c r="E573" t="inlineStr">
        <is>
          <t>SALA</t>
        </is>
      </c>
      <c r="G573" t="n">
        <v>1.4</v>
      </c>
      <c r="H573" t="n">
        <v>0</v>
      </c>
      <c r="I573" t="n">
        <v>0</v>
      </c>
      <c r="J573" t="n">
        <v>0</v>
      </c>
      <c r="K573" t="n">
        <v>0</v>
      </c>
      <c r="L573" t="n">
        <v>0</v>
      </c>
      <c r="M573" t="n">
        <v>0</v>
      </c>
      <c r="N573" t="n">
        <v>0</v>
      </c>
      <c r="O573" t="n">
        <v>0</v>
      </c>
      <c r="P573" t="n">
        <v>0</v>
      </c>
      <c r="Q573" t="n">
        <v>0</v>
      </c>
      <c r="R573" s="2" t="inlineStr"/>
    </row>
    <row r="574" ht="15" customHeight="1">
      <c r="A574" t="inlineStr">
        <is>
          <t>A 21455-2023</t>
        </is>
      </c>
      <c r="B574" s="1" t="n">
        <v>45058</v>
      </c>
      <c r="C574" s="1" t="n">
        <v>46040</v>
      </c>
      <c r="D574" t="inlineStr">
        <is>
          <t>VÄSTMANLANDS LÄN</t>
        </is>
      </c>
      <c r="E574" t="inlineStr">
        <is>
          <t>SALA</t>
        </is>
      </c>
      <c r="G574" t="n">
        <v>6.4</v>
      </c>
      <c r="H574" t="n">
        <v>0</v>
      </c>
      <c r="I574" t="n">
        <v>0</v>
      </c>
      <c r="J574" t="n">
        <v>0</v>
      </c>
      <c r="K574" t="n">
        <v>0</v>
      </c>
      <c r="L574" t="n">
        <v>0</v>
      </c>
      <c r="M574" t="n">
        <v>0</v>
      </c>
      <c r="N574" t="n">
        <v>0</v>
      </c>
      <c r="O574" t="n">
        <v>0</v>
      </c>
      <c r="P574" t="n">
        <v>0</v>
      </c>
      <c r="Q574" t="n">
        <v>0</v>
      </c>
      <c r="R574" s="2" t="inlineStr"/>
    </row>
    <row r="575" ht="15" customHeight="1">
      <c r="A575" t="inlineStr">
        <is>
          <t>A 4797-2023</t>
        </is>
      </c>
      <c r="B575" s="1" t="n">
        <v>44957</v>
      </c>
      <c r="C575" s="1" t="n">
        <v>46040</v>
      </c>
      <c r="D575" t="inlineStr">
        <is>
          <t>VÄSTMANLANDS LÄN</t>
        </is>
      </c>
      <c r="E575" t="inlineStr">
        <is>
          <t>SALA</t>
        </is>
      </c>
      <c r="G575" t="n">
        <v>5.7</v>
      </c>
      <c r="H575" t="n">
        <v>0</v>
      </c>
      <c r="I575" t="n">
        <v>0</v>
      </c>
      <c r="J575" t="n">
        <v>0</v>
      </c>
      <c r="K575" t="n">
        <v>0</v>
      </c>
      <c r="L575" t="n">
        <v>0</v>
      </c>
      <c r="M575" t="n">
        <v>0</v>
      </c>
      <c r="N575" t="n">
        <v>0</v>
      </c>
      <c r="O575" t="n">
        <v>0</v>
      </c>
      <c r="P575" t="n">
        <v>0</v>
      </c>
      <c r="Q575" t="n">
        <v>0</v>
      </c>
      <c r="R575" s="2" t="inlineStr"/>
    </row>
    <row r="576" ht="15" customHeight="1">
      <c r="A576" t="inlineStr">
        <is>
          <t>A 4852-2023</t>
        </is>
      </c>
      <c r="B576" s="1" t="n">
        <v>44957.72496527778</v>
      </c>
      <c r="C576" s="1" t="n">
        <v>46040</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36858-2023</t>
        </is>
      </c>
      <c r="B577" s="1" t="n">
        <v>45154.55184027777</v>
      </c>
      <c r="C577" s="1" t="n">
        <v>46040</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35410-2022</t>
        </is>
      </c>
      <c r="B578" s="1" t="n">
        <v>44798.62576388889</v>
      </c>
      <c r="C578" s="1" t="n">
        <v>46040</v>
      </c>
      <c r="D578" t="inlineStr">
        <is>
          <t>VÄSTMANLANDS LÄN</t>
        </is>
      </c>
      <c r="E578" t="inlineStr">
        <is>
          <t>SALA</t>
        </is>
      </c>
      <c r="G578" t="n">
        <v>1.6</v>
      </c>
      <c r="H578" t="n">
        <v>0</v>
      </c>
      <c r="I578" t="n">
        <v>0</v>
      </c>
      <c r="J578" t="n">
        <v>0</v>
      </c>
      <c r="K578" t="n">
        <v>0</v>
      </c>
      <c r="L578" t="n">
        <v>0</v>
      </c>
      <c r="M578" t="n">
        <v>0</v>
      </c>
      <c r="N578" t="n">
        <v>0</v>
      </c>
      <c r="O578" t="n">
        <v>0</v>
      </c>
      <c r="P578" t="n">
        <v>0</v>
      </c>
      <c r="Q578" t="n">
        <v>0</v>
      </c>
      <c r="R578" s="2" t="inlineStr"/>
    </row>
    <row r="579" ht="15" customHeight="1">
      <c r="A579" t="inlineStr">
        <is>
          <t>A 58701-2021</t>
        </is>
      </c>
      <c r="B579" s="1" t="n">
        <v>44489.46454861111</v>
      </c>
      <c r="C579" s="1" t="n">
        <v>46040</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37337-2024</t>
        </is>
      </c>
      <c r="B580" s="1" t="n">
        <v>45540</v>
      </c>
      <c r="C580" s="1" t="n">
        <v>46040</v>
      </c>
      <c r="D580" t="inlineStr">
        <is>
          <t>VÄSTMANLANDS LÄN</t>
        </is>
      </c>
      <c r="E580" t="inlineStr">
        <is>
          <t>SALA</t>
        </is>
      </c>
      <c r="G580" t="n">
        <v>6.5</v>
      </c>
      <c r="H580" t="n">
        <v>0</v>
      </c>
      <c r="I580" t="n">
        <v>0</v>
      </c>
      <c r="J580" t="n">
        <v>0</v>
      </c>
      <c r="K580" t="n">
        <v>0</v>
      </c>
      <c r="L580" t="n">
        <v>0</v>
      </c>
      <c r="M580" t="n">
        <v>0</v>
      </c>
      <c r="N580" t="n">
        <v>0</v>
      </c>
      <c r="O580" t="n">
        <v>0</v>
      </c>
      <c r="P580" t="n">
        <v>0</v>
      </c>
      <c r="Q580" t="n">
        <v>0</v>
      </c>
      <c r="R580" s="2" t="inlineStr"/>
    </row>
    <row r="581" ht="15" customHeight="1">
      <c r="A581" t="inlineStr">
        <is>
          <t>A 21159-2022</t>
        </is>
      </c>
      <c r="B581" s="1" t="n">
        <v>44704</v>
      </c>
      <c r="C581" s="1" t="n">
        <v>46040</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41292-2021</t>
        </is>
      </c>
      <c r="B582" s="1" t="n">
        <v>44424</v>
      </c>
      <c r="C582" s="1" t="n">
        <v>46040</v>
      </c>
      <c r="D582" t="inlineStr">
        <is>
          <t>VÄSTMANLANDS LÄN</t>
        </is>
      </c>
      <c r="E582" t="inlineStr">
        <is>
          <t>SALA</t>
        </is>
      </c>
      <c r="G582" t="n">
        <v>0.3</v>
      </c>
      <c r="H582" t="n">
        <v>0</v>
      </c>
      <c r="I582" t="n">
        <v>0</v>
      </c>
      <c r="J582" t="n">
        <v>0</v>
      </c>
      <c r="K582" t="n">
        <v>0</v>
      </c>
      <c r="L582" t="n">
        <v>0</v>
      </c>
      <c r="M582" t="n">
        <v>0</v>
      </c>
      <c r="N582" t="n">
        <v>0</v>
      </c>
      <c r="O582" t="n">
        <v>0</v>
      </c>
      <c r="P582" t="n">
        <v>0</v>
      </c>
      <c r="Q582" t="n">
        <v>0</v>
      </c>
      <c r="R582" s="2" t="inlineStr"/>
    </row>
    <row r="583" ht="15" customHeight="1">
      <c r="A583" t="inlineStr">
        <is>
          <t>A 60328-2024</t>
        </is>
      </c>
      <c r="B583" s="1" t="n">
        <v>45643.38416666666</v>
      </c>
      <c r="C583" s="1" t="n">
        <v>46040</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6088-2021</t>
        </is>
      </c>
      <c r="B584" s="1" t="n">
        <v>44232</v>
      </c>
      <c r="C584" s="1" t="n">
        <v>46040</v>
      </c>
      <c r="D584" t="inlineStr">
        <is>
          <t>VÄSTMANLANDS LÄN</t>
        </is>
      </c>
      <c r="E584" t="inlineStr">
        <is>
          <t>SALA</t>
        </is>
      </c>
      <c r="G584" t="n">
        <v>0.2</v>
      </c>
      <c r="H584" t="n">
        <v>0</v>
      </c>
      <c r="I584" t="n">
        <v>0</v>
      </c>
      <c r="J584" t="n">
        <v>0</v>
      </c>
      <c r="K584" t="n">
        <v>0</v>
      </c>
      <c r="L584" t="n">
        <v>0</v>
      </c>
      <c r="M584" t="n">
        <v>0</v>
      </c>
      <c r="N584" t="n">
        <v>0</v>
      </c>
      <c r="O584" t="n">
        <v>0</v>
      </c>
      <c r="P584" t="n">
        <v>0</v>
      </c>
      <c r="Q584" t="n">
        <v>0</v>
      </c>
      <c r="R584" s="2" t="inlineStr"/>
    </row>
    <row r="585" ht="15" customHeight="1">
      <c r="A585" t="inlineStr">
        <is>
          <t>A 33273-2023</t>
        </is>
      </c>
      <c r="B585" s="1" t="n">
        <v>45127</v>
      </c>
      <c r="C585" s="1" t="n">
        <v>46040</v>
      </c>
      <c r="D585" t="inlineStr">
        <is>
          <t>VÄSTMANLANDS LÄN</t>
        </is>
      </c>
      <c r="E585" t="inlineStr">
        <is>
          <t>SALA</t>
        </is>
      </c>
      <c r="G585" t="n">
        <v>2.6</v>
      </c>
      <c r="H585" t="n">
        <v>0</v>
      </c>
      <c r="I585" t="n">
        <v>0</v>
      </c>
      <c r="J585" t="n">
        <v>0</v>
      </c>
      <c r="K585" t="n">
        <v>0</v>
      </c>
      <c r="L585" t="n">
        <v>0</v>
      </c>
      <c r="M585" t="n">
        <v>0</v>
      </c>
      <c r="N585" t="n">
        <v>0</v>
      </c>
      <c r="O585" t="n">
        <v>0</v>
      </c>
      <c r="P585" t="n">
        <v>0</v>
      </c>
      <c r="Q585" t="n">
        <v>0</v>
      </c>
      <c r="R585" s="2" t="inlineStr"/>
    </row>
    <row r="586" ht="15" customHeight="1">
      <c r="A586" t="inlineStr">
        <is>
          <t>A 10250-2025</t>
        </is>
      </c>
      <c r="B586" s="1" t="n">
        <v>45720.36165509259</v>
      </c>
      <c r="C586" s="1" t="n">
        <v>46040</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23180-2022</t>
        </is>
      </c>
      <c r="B587" s="1" t="n">
        <v>44719.79344907407</v>
      </c>
      <c r="C587" s="1" t="n">
        <v>46040</v>
      </c>
      <c r="D587" t="inlineStr">
        <is>
          <t>VÄSTMANLANDS LÄN</t>
        </is>
      </c>
      <c r="E587" t="inlineStr">
        <is>
          <t>SALA</t>
        </is>
      </c>
      <c r="G587" t="n">
        <v>1.2</v>
      </c>
      <c r="H587" t="n">
        <v>0</v>
      </c>
      <c r="I587" t="n">
        <v>0</v>
      </c>
      <c r="J587" t="n">
        <v>0</v>
      </c>
      <c r="K587" t="n">
        <v>0</v>
      </c>
      <c r="L587" t="n">
        <v>0</v>
      </c>
      <c r="M587" t="n">
        <v>0</v>
      </c>
      <c r="N587" t="n">
        <v>0</v>
      </c>
      <c r="O587" t="n">
        <v>0</v>
      </c>
      <c r="P587" t="n">
        <v>0</v>
      </c>
      <c r="Q587" t="n">
        <v>0</v>
      </c>
      <c r="R587" s="2" t="inlineStr"/>
    </row>
    <row r="588" ht="15" customHeight="1">
      <c r="A588" t="inlineStr">
        <is>
          <t>A 21053-2022</t>
        </is>
      </c>
      <c r="B588" s="1" t="n">
        <v>44704</v>
      </c>
      <c r="C588" s="1" t="n">
        <v>46040</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18340-2025</t>
        </is>
      </c>
      <c r="B589" s="1" t="n">
        <v>45762</v>
      </c>
      <c r="C589" s="1" t="n">
        <v>46040</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16638-2023</t>
        </is>
      </c>
      <c r="B590" s="1" t="n">
        <v>45027</v>
      </c>
      <c r="C590" s="1" t="n">
        <v>46040</v>
      </c>
      <c r="D590" t="inlineStr">
        <is>
          <t>VÄSTMANLANDS LÄN</t>
        </is>
      </c>
      <c r="E590" t="inlineStr">
        <is>
          <t>SALA</t>
        </is>
      </c>
      <c r="G590" t="n">
        <v>14.8</v>
      </c>
      <c r="H590" t="n">
        <v>0</v>
      </c>
      <c r="I590" t="n">
        <v>0</v>
      </c>
      <c r="J590" t="n">
        <v>0</v>
      </c>
      <c r="K590" t="n">
        <v>0</v>
      </c>
      <c r="L590" t="n">
        <v>0</v>
      </c>
      <c r="M590" t="n">
        <v>0</v>
      </c>
      <c r="N590" t="n">
        <v>0</v>
      </c>
      <c r="O590" t="n">
        <v>0</v>
      </c>
      <c r="P590" t="n">
        <v>0</v>
      </c>
      <c r="Q590" t="n">
        <v>0</v>
      </c>
      <c r="R590" s="2" t="inlineStr"/>
    </row>
    <row r="591" ht="15" customHeight="1">
      <c r="A591" t="inlineStr">
        <is>
          <t>A 52827-2024</t>
        </is>
      </c>
      <c r="B591" s="1" t="n">
        <v>45610</v>
      </c>
      <c r="C591" s="1" t="n">
        <v>46040</v>
      </c>
      <c r="D591" t="inlineStr">
        <is>
          <t>VÄSTMANLANDS LÄN</t>
        </is>
      </c>
      <c r="E591" t="inlineStr">
        <is>
          <t>SALA</t>
        </is>
      </c>
      <c r="G591" t="n">
        <v>0.2</v>
      </c>
      <c r="H591" t="n">
        <v>0</v>
      </c>
      <c r="I591" t="n">
        <v>0</v>
      </c>
      <c r="J591" t="n">
        <v>0</v>
      </c>
      <c r="K591" t="n">
        <v>0</v>
      </c>
      <c r="L591" t="n">
        <v>0</v>
      </c>
      <c r="M591" t="n">
        <v>0</v>
      </c>
      <c r="N591" t="n">
        <v>0</v>
      </c>
      <c r="O591" t="n">
        <v>0</v>
      </c>
      <c r="P591" t="n">
        <v>0</v>
      </c>
      <c r="Q591" t="n">
        <v>0</v>
      </c>
      <c r="R591" s="2" t="inlineStr"/>
    </row>
    <row r="592" ht="15" customHeight="1">
      <c r="A592" t="inlineStr">
        <is>
          <t>A 53166-2024</t>
        </is>
      </c>
      <c r="B592" s="1" t="n">
        <v>45611</v>
      </c>
      <c r="C592" s="1" t="n">
        <v>46040</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11244-2024</t>
        </is>
      </c>
      <c r="B593" s="1" t="n">
        <v>45371</v>
      </c>
      <c r="C593" s="1" t="n">
        <v>46040</v>
      </c>
      <c r="D593" t="inlineStr">
        <is>
          <t>VÄSTMANLANDS LÄN</t>
        </is>
      </c>
      <c r="E593" t="inlineStr">
        <is>
          <t>SALA</t>
        </is>
      </c>
      <c r="G593" t="n">
        <v>1.2</v>
      </c>
      <c r="H593" t="n">
        <v>0</v>
      </c>
      <c r="I593" t="n">
        <v>0</v>
      </c>
      <c r="J593" t="n">
        <v>0</v>
      </c>
      <c r="K593" t="n">
        <v>0</v>
      </c>
      <c r="L593" t="n">
        <v>0</v>
      </c>
      <c r="M593" t="n">
        <v>0</v>
      </c>
      <c r="N593" t="n">
        <v>0</v>
      </c>
      <c r="O593" t="n">
        <v>0</v>
      </c>
      <c r="P593" t="n">
        <v>0</v>
      </c>
      <c r="Q593" t="n">
        <v>0</v>
      </c>
      <c r="R593" s="2" t="inlineStr"/>
    </row>
    <row r="594" ht="15" customHeight="1">
      <c r="A594" t="inlineStr">
        <is>
          <t>A 62654-2022</t>
        </is>
      </c>
      <c r="B594" s="1" t="n">
        <v>44917</v>
      </c>
      <c r="C594" s="1" t="n">
        <v>46040</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6135-2023</t>
        </is>
      </c>
      <c r="B595" s="1" t="n">
        <v>44964.62628472222</v>
      </c>
      <c r="C595" s="1" t="n">
        <v>46040</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53864-2022</t>
        </is>
      </c>
      <c r="B596" s="1" t="n">
        <v>44880.64016203704</v>
      </c>
      <c r="C596" s="1" t="n">
        <v>46040</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27255-2023</t>
        </is>
      </c>
      <c r="B597" s="1" t="n">
        <v>45096</v>
      </c>
      <c r="C597" s="1" t="n">
        <v>46040</v>
      </c>
      <c r="D597" t="inlineStr">
        <is>
          <t>VÄSTMANLANDS LÄN</t>
        </is>
      </c>
      <c r="E597" t="inlineStr">
        <is>
          <t>SALA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17117-2023</t>
        </is>
      </c>
      <c r="B598" s="1" t="n">
        <v>45034</v>
      </c>
      <c r="C598" s="1" t="n">
        <v>46040</v>
      </c>
      <c r="D598" t="inlineStr">
        <is>
          <t>VÄSTMANLANDS LÄN</t>
        </is>
      </c>
      <c r="E598" t="inlineStr">
        <is>
          <t>SALA</t>
        </is>
      </c>
      <c r="G598" t="n">
        <v>0.4</v>
      </c>
      <c r="H598" t="n">
        <v>0</v>
      </c>
      <c r="I598" t="n">
        <v>0</v>
      </c>
      <c r="J598" t="n">
        <v>0</v>
      </c>
      <c r="K598" t="n">
        <v>0</v>
      </c>
      <c r="L598" t="n">
        <v>0</v>
      </c>
      <c r="M598" t="n">
        <v>0</v>
      </c>
      <c r="N598" t="n">
        <v>0</v>
      </c>
      <c r="O598" t="n">
        <v>0</v>
      </c>
      <c r="P598" t="n">
        <v>0</v>
      </c>
      <c r="Q598" t="n">
        <v>0</v>
      </c>
      <c r="R598" s="2" t="inlineStr"/>
    </row>
    <row r="599" ht="15" customHeight="1">
      <c r="A599" t="inlineStr">
        <is>
          <t>A 60034-2024</t>
        </is>
      </c>
      <c r="B599" s="1" t="n">
        <v>45642.46261574074</v>
      </c>
      <c r="C599" s="1" t="n">
        <v>46040</v>
      </c>
      <c r="D599" t="inlineStr">
        <is>
          <t>VÄSTMANLANDS LÄN</t>
        </is>
      </c>
      <c r="E599" t="inlineStr">
        <is>
          <t>SALA</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59909-2024</t>
        </is>
      </c>
      <c r="B600" s="1" t="n">
        <v>45641</v>
      </c>
      <c r="C600" s="1" t="n">
        <v>46040</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44951.60454861111</v>
      </c>
      <c r="C601" s="1" t="n">
        <v>46040</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30028-2024</t>
        </is>
      </c>
      <c r="B602" s="1" t="n">
        <v>45485</v>
      </c>
      <c r="C602" s="1" t="n">
        <v>46040</v>
      </c>
      <c r="D602" t="inlineStr">
        <is>
          <t>VÄSTMANLANDS LÄN</t>
        </is>
      </c>
      <c r="E602" t="inlineStr">
        <is>
          <t>SALA</t>
        </is>
      </c>
      <c r="G602" t="n">
        <v>2.6</v>
      </c>
      <c r="H602" t="n">
        <v>0</v>
      </c>
      <c r="I602" t="n">
        <v>0</v>
      </c>
      <c r="J602" t="n">
        <v>0</v>
      </c>
      <c r="K602" t="n">
        <v>0</v>
      </c>
      <c r="L602" t="n">
        <v>0</v>
      </c>
      <c r="M602" t="n">
        <v>0</v>
      </c>
      <c r="N602" t="n">
        <v>0</v>
      </c>
      <c r="O602" t="n">
        <v>0</v>
      </c>
      <c r="P602" t="n">
        <v>0</v>
      </c>
      <c r="Q602" t="n">
        <v>0</v>
      </c>
      <c r="R602" s="2" t="inlineStr"/>
    </row>
    <row r="603" ht="15" customHeight="1">
      <c r="A603" t="inlineStr">
        <is>
          <t>A 33309-2022</t>
        </is>
      </c>
      <c r="B603" s="1" t="n">
        <v>44788.40986111111</v>
      </c>
      <c r="C603" s="1" t="n">
        <v>46040</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7377-2023</t>
        </is>
      </c>
      <c r="B604" s="1" t="n">
        <v>44971</v>
      </c>
      <c r="C604" s="1" t="n">
        <v>46040</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52503-2024</t>
        </is>
      </c>
      <c r="B605" s="1" t="n">
        <v>45609.58806712963</v>
      </c>
      <c r="C605" s="1" t="n">
        <v>46040</v>
      </c>
      <c r="D605" t="inlineStr">
        <is>
          <t>VÄSTMANLANDS LÄN</t>
        </is>
      </c>
      <c r="E605" t="inlineStr">
        <is>
          <t>SALA</t>
        </is>
      </c>
      <c r="G605" t="n">
        <v>0.8</v>
      </c>
      <c r="H605" t="n">
        <v>0</v>
      </c>
      <c r="I605" t="n">
        <v>0</v>
      </c>
      <c r="J605" t="n">
        <v>0</v>
      </c>
      <c r="K605" t="n">
        <v>0</v>
      </c>
      <c r="L605" t="n">
        <v>0</v>
      </c>
      <c r="M605" t="n">
        <v>0</v>
      </c>
      <c r="N605" t="n">
        <v>0</v>
      </c>
      <c r="O605" t="n">
        <v>0</v>
      </c>
      <c r="P605" t="n">
        <v>0</v>
      </c>
      <c r="Q605" t="n">
        <v>0</v>
      </c>
      <c r="R605" s="2" t="inlineStr"/>
    </row>
    <row r="606" ht="15" customHeight="1">
      <c r="A606" t="inlineStr">
        <is>
          <t>A 27229-2022</t>
        </is>
      </c>
      <c r="B606" s="1" t="n">
        <v>44741</v>
      </c>
      <c r="C606" s="1" t="n">
        <v>46040</v>
      </c>
      <c r="D606" t="inlineStr">
        <is>
          <t>VÄSTMANLANDS LÄN</t>
        </is>
      </c>
      <c r="E606" t="inlineStr">
        <is>
          <t>SALA</t>
        </is>
      </c>
      <c r="F606" t="inlineStr">
        <is>
          <t>Kommuner</t>
        </is>
      </c>
      <c r="G606" t="n">
        <v>1.4</v>
      </c>
      <c r="H606" t="n">
        <v>0</v>
      </c>
      <c r="I606" t="n">
        <v>0</v>
      </c>
      <c r="J606" t="n">
        <v>0</v>
      </c>
      <c r="K606" t="n">
        <v>0</v>
      </c>
      <c r="L606" t="n">
        <v>0</v>
      </c>
      <c r="M606" t="n">
        <v>0</v>
      </c>
      <c r="N606" t="n">
        <v>0</v>
      </c>
      <c r="O606" t="n">
        <v>0</v>
      </c>
      <c r="P606" t="n">
        <v>0</v>
      </c>
      <c r="Q606" t="n">
        <v>0</v>
      </c>
      <c r="R606" s="2" t="inlineStr"/>
    </row>
    <row r="607" ht="15" customHeight="1">
      <c r="A607" t="inlineStr">
        <is>
          <t>A 2521-2025</t>
        </is>
      </c>
      <c r="B607" s="1" t="n">
        <v>45674</v>
      </c>
      <c r="C607" s="1" t="n">
        <v>46040</v>
      </c>
      <c r="D607" t="inlineStr">
        <is>
          <t>VÄSTMANLANDS LÄN</t>
        </is>
      </c>
      <c r="E607" t="inlineStr">
        <is>
          <t>SALA</t>
        </is>
      </c>
      <c r="G607" t="n">
        <v>3.5</v>
      </c>
      <c r="H607" t="n">
        <v>0</v>
      </c>
      <c r="I607" t="n">
        <v>0</v>
      </c>
      <c r="J607" t="n">
        <v>0</v>
      </c>
      <c r="K607" t="n">
        <v>0</v>
      </c>
      <c r="L607" t="n">
        <v>0</v>
      </c>
      <c r="M607" t="n">
        <v>0</v>
      </c>
      <c r="N607" t="n">
        <v>0</v>
      </c>
      <c r="O607" t="n">
        <v>0</v>
      </c>
      <c r="P607" t="n">
        <v>0</v>
      </c>
      <c r="Q607" t="n">
        <v>0</v>
      </c>
      <c r="R607" s="2" t="inlineStr"/>
    </row>
    <row r="608" ht="15" customHeight="1">
      <c r="A608" t="inlineStr">
        <is>
          <t>A 31000-2022</t>
        </is>
      </c>
      <c r="B608" s="1" t="n">
        <v>44768</v>
      </c>
      <c r="C608" s="1" t="n">
        <v>46040</v>
      </c>
      <c r="D608" t="inlineStr">
        <is>
          <t>VÄSTMANLANDS LÄN</t>
        </is>
      </c>
      <c r="E608" t="inlineStr">
        <is>
          <t>SALA</t>
        </is>
      </c>
      <c r="G608" t="n">
        <v>5.7</v>
      </c>
      <c r="H608" t="n">
        <v>0</v>
      </c>
      <c r="I608" t="n">
        <v>0</v>
      </c>
      <c r="J608" t="n">
        <v>0</v>
      </c>
      <c r="K608" t="n">
        <v>0</v>
      </c>
      <c r="L608" t="n">
        <v>0</v>
      </c>
      <c r="M608" t="n">
        <v>0</v>
      </c>
      <c r="N608" t="n">
        <v>0</v>
      </c>
      <c r="O608" t="n">
        <v>0</v>
      </c>
      <c r="P608" t="n">
        <v>0</v>
      </c>
      <c r="Q608" t="n">
        <v>0</v>
      </c>
      <c r="R608" s="2" t="inlineStr"/>
    </row>
    <row r="609" ht="15" customHeight="1">
      <c r="A609" t="inlineStr">
        <is>
          <t>A 24755-2021</t>
        </is>
      </c>
      <c r="B609" s="1" t="n">
        <v>44340</v>
      </c>
      <c r="C609" s="1" t="n">
        <v>46040</v>
      </c>
      <c r="D609" t="inlineStr">
        <is>
          <t>VÄSTMANLANDS LÄN</t>
        </is>
      </c>
      <c r="E609" t="inlineStr">
        <is>
          <t>SALA</t>
        </is>
      </c>
      <c r="G609" t="n">
        <v>1.2</v>
      </c>
      <c r="H609" t="n">
        <v>0</v>
      </c>
      <c r="I609" t="n">
        <v>0</v>
      </c>
      <c r="J609" t="n">
        <v>0</v>
      </c>
      <c r="K609" t="n">
        <v>0</v>
      </c>
      <c r="L609" t="n">
        <v>0</v>
      </c>
      <c r="M609" t="n">
        <v>0</v>
      </c>
      <c r="N609" t="n">
        <v>0</v>
      </c>
      <c r="O609" t="n">
        <v>0</v>
      </c>
      <c r="P609" t="n">
        <v>0</v>
      </c>
      <c r="Q609" t="n">
        <v>0</v>
      </c>
      <c r="R609" s="2" t="inlineStr"/>
    </row>
    <row r="610" ht="15" customHeight="1">
      <c r="A610" t="inlineStr">
        <is>
          <t>A 34867-2023</t>
        </is>
      </c>
      <c r="B610" s="1" t="n">
        <v>45142.33481481481</v>
      </c>
      <c r="C610" s="1" t="n">
        <v>46040</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25748-2022</t>
        </is>
      </c>
      <c r="B611" s="1" t="n">
        <v>44732</v>
      </c>
      <c r="C611" s="1" t="n">
        <v>46040</v>
      </c>
      <c r="D611" t="inlineStr">
        <is>
          <t>VÄSTMANLANDS LÄN</t>
        </is>
      </c>
      <c r="E611" t="inlineStr">
        <is>
          <t>SALA</t>
        </is>
      </c>
      <c r="G611" t="n">
        <v>7.7</v>
      </c>
      <c r="H611" t="n">
        <v>0</v>
      </c>
      <c r="I611" t="n">
        <v>0</v>
      </c>
      <c r="J611" t="n">
        <v>0</v>
      </c>
      <c r="K611" t="n">
        <v>0</v>
      </c>
      <c r="L611" t="n">
        <v>0</v>
      </c>
      <c r="M611" t="n">
        <v>0</v>
      </c>
      <c r="N611" t="n">
        <v>0</v>
      </c>
      <c r="O611" t="n">
        <v>0</v>
      </c>
      <c r="P611" t="n">
        <v>0</v>
      </c>
      <c r="Q611" t="n">
        <v>0</v>
      </c>
      <c r="R611" s="2" t="inlineStr"/>
    </row>
    <row r="612" ht="15" customHeight="1">
      <c r="A612" t="inlineStr">
        <is>
          <t>A 31950-2023</t>
        </is>
      </c>
      <c r="B612" s="1" t="n">
        <v>45107</v>
      </c>
      <c r="C612" s="1" t="n">
        <v>46040</v>
      </c>
      <c r="D612" t="inlineStr">
        <is>
          <t>VÄSTMANLANDS LÄN</t>
        </is>
      </c>
      <c r="E612" t="inlineStr">
        <is>
          <t>SALA</t>
        </is>
      </c>
      <c r="G612" t="n">
        <v>0.1</v>
      </c>
      <c r="H612" t="n">
        <v>0</v>
      </c>
      <c r="I612" t="n">
        <v>0</v>
      </c>
      <c r="J612" t="n">
        <v>0</v>
      </c>
      <c r="K612" t="n">
        <v>0</v>
      </c>
      <c r="L612" t="n">
        <v>0</v>
      </c>
      <c r="M612" t="n">
        <v>0</v>
      </c>
      <c r="N612" t="n">
        <v>0</v>
      </c>
      <c r="O612" t="n">
        <v>0</v>
      </c>
      <c r="P612" t="n">
        <v>0</v>
      </c>
      <c r="Q612" t="n">
        <v>0</v>
      </c>
      <c r="R612" s="2" t="inlineStr"/>
    </row>
    <row r="613" ht="15" customHeight="1">
      <c r="A613" t="inlineStr">
        <is>
          <t>A 49512-2024</t>
        </is>
      </c>
      <c r="B613" s="1" t="n">
        <v>45591</v>
      </c>
      <c r="C613" s="1" t="n">
        <v>46040</v>
      </c>
      <c r="D613" t="inlineStr">
        <is>
          <t>VÄSTMANLANDS LÄN</t>
        </is>
      </c>
      <c r="E613" t="inlineStr">
        <is>
          <t>SALA</t>
        </is>
      </c>
      <c r="G613" t="n">
        <v>8.1</v>
      </c>
      <c r="H613" t="n">
        <v>0</v>
      </c>
      <c r="I613" t="n">
        <v>0</v>
      </c>
      <c r="J613" t="n">
        <v>0</v>
      </c>
      <c r="K613" t="n">
        <v>0</v>
      </c>
      <c r="L613" t="n">
        <v>0</v>
      </c>
      <c r="M613" t="n">
        <v>0</v>
      </c>
      <c r="N613" t="n">
        <v>0</v>
      </c>
      <c r="O613" t="n">
        <v>0</v>
      </c>
      <c r="P613" t="n">
        <v>0</v>
      </c>
      <c r="Q613" t="n">
        <v>0</v>
      </c>
      <c r="R613" s="2" t="inlineStr"/>
    </row>
    <row r="614" ht="15" customHeight="1">
      <c r="A614" t="inlineStr">
        <is>
          <t>A 16693-2023</t>
        </is>
      </c>
      <c r="B614" s="1" t="n">
        <v>45028</v>
      </c>
      <c r="C614" s="1" t="n">
        <v>46040</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23182-2022</t>
        </is>
      </c>
      <c r="B615" s="1" t="n">
        <v>44719.79707175926</v>
      </c>
      <c r="C615" s="1" t="n">
        <v>46040</v>
      </c>
      <c r="D615" t="inlineStr">
        <is>
          <t>VÄSTMANLANDS LÄN</t>
        </is>
      </c>
      <c r="E615" t="inlineStr">
        <is>
          <t>SALA</t>
        </is>
      </c>
      <c r="G615" t="n">
        <v>1.2</v>
      </c>
      <c r="H615" t="n">
        <v>0</v>
      </c>
      <c r="I615" t="n">
        <v>0</v>
      </c>
      <c r="J615" t="n">
        <v>0</v>
      </c>
      <c r="K615" t="n">
        <v>0</v>
      </c>
      <c r="L615" t="n">
        <v>0</v>
      </c>
      <c r="M615" t="n">
        <v>0</v>
      </c>
      <c r="N615" t="n">
        <v>0</v>
      </c>
      <c r="O615" t="n">
        <v>0</v>
      </c>
      <c r="P615" t="n">
        <v>0</v>
      </c>
      <c r="Q615" t="n">
        <v>0</v>
      </c>
      <c r="R615" s="2" t="inlineStr"/>
    </row>
    <row r="616" ht="15" customHeight="1">
      <c r="A616" t="inlineStr">
        <is>
          <t>A 13128-2023</t>
        </is>
      </c>
      <c r="B616" s="1" t="n">
        <v>45002</v>
      </c>
      <c r="C616" s="1" t="n">
        <v>46040</v>
      </c>
      <c r="D616" t="inlineStr">
        <is>
          <t>VÄSTMANLANDS LÄN</t>
        </is>
      </c>
      <c r="E616" t="inlineStr">
        <is>
          <t>SALA</t>
        </is>
      </c>
      <c r="G616" t="n">
        <v>7.9</v>
      </c>
      <c r="H616" t="n">
        <v>0</v>
      </c>
      <c r="I616" t="n">
        <v>0</v>
      </c>
      <c r="J616" t="n">
        <v>0</v>
      </c>
      <c r="K616" t="n">
        <v>0</v>
      </c>
      <c r="L616" t="n">
        <v>0</v>
      </c>
      <c r="M616" t="n">
        <v>0</v>
      </c>
      <c r="N616" t="n">
        <v>0</v>
      </c>
      <c r="O616" t="n">
        <v>0</v>
      </c>
      <c r="P616" t="n">
        <v>0</v>
      </c>
      <c r="Q616" t="n">
        <v>0</v>
      </c>
      <c r="R616" s="2" t="inlineStr"/>
    </row>
    <row r="617" ht="15" customHeight="1">
      <c r="A617" t="inlineStr">
        <is>
          <t>A 37958-2024</t>
        </is>
      </c>
      <c r="B617" s="1" t="n">
        <v>45544</v>
      </c>
      <c r="C617" s="1" t="n">
        <v>46040</v>
      </c>
      <c r="D617" t="inlineStr">
        <is>
          <t>VÄSTMANLANDS LÄN</t>
        </is>
      </c>
      <c r="E617" t="inlineStr">
        <is>
          <t>SALA</t>
        </is>
      </c>
      <c r="G617" t="n">
        <v>5.6</v>
      </c>
      <c r="H617" t="n">
        <v>0</v>
      </c>
      <c r="I617" t="n">
        <v>0</v>
      </c>
      <c r="J617" t="n">
        <v>0</v>
      </c>
      <c r="K617" t="n">
        <v>0</v>
      </c>
      <c r="L617" t="n">
        <v>0</v>
      </c>
      <c r="M617" t="n">
        <v>0</v>
      </c>
      <c r="N617" t="n">
        <v>0</v>
      </c>
      <c r="O617" t="n">
        <v>0</v>
      </c>
      <c r="P617" t="n">
        <v>0</v>
      </c>
      <c r="Q617" t="n">
        <v>0</v>
      </c>
      <c r="R617" s="2" t="inlineStr"/>
    </row>
    <row r="618" ht="15" customHeight="1">
      <c r="A618" t="inlineStr">
        <is>
          <t>A 57371-2022</t>
        </is>
      </c>
      <c r="B618" s="1" t="n">
        <v>44896.43832175926</v>
      </c>
      <c r="C618" s="1" t="n">
        <v>46040</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18431-2023</t>
        </is>
      </c>
      <c r="B619" s="1" t="n">
        <v>45042</v>
      </c>
      <c r="C619" s="1" t="n">
        <v>46040</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57650-2024</t>
        </is>
      </c>
      <c r="B620" s="1" t="n">
        <v>45630</v>
      </c>
      <c r="C620" s="1" t="n">
        <v>46040</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56548-2024</t>
        </is>
      </c>
      <c r="B621" s="1" t="n">
        <v>45625</v>
      </c>
      <c r="C621" s="1" t="n">
        <v>46040</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47086-2022</t>
        </is>
      </c>
      <c r="B622" s="1" t="n">
        <v>44852</v>
      </c>
      <c r="C622" s="1" t="n">
        <v>46040</v>
      </c>
      <c r="D622" t="inlineStr">
        <is>
          <t>VÄSTMANLANDS LÄN</t>
        </is>
      </c>
      <c r="E622" t="inlineStr">
        <is>
          <t>SALA</t>
        </is>
      </c>
      <c r="G622" t="n">
        <v>12.5</v>
      </c>
      <c r="H622" t="n">
        <v>0</v>
      </c>
      <c r="I622" t="n">
        <v>0</v>
      </c>
      <c r="J622" t="n">
        <v>0</v>
      </c>
      <c r="K622" t="n">
        <v>0</v>
      </c>
      <c r="L622" t="n">
        <v>0</v>
      </c>
      <c r="M622" t="n">
        <v>0</v>
      </c>
      <c r="N622" t="n">
        <v>0</v>
      </c>
      <c r="O622" t="n">
        <v>0</v>
      </c>
      <c r="P622" t="n">
        <v>0</v>
      </c>
      <c r="Q622" t="n">
        <v>0</v>
      </c>
      <c r="R622" s="2" t="inlineStr"/>
    </row>
    <row r="623" ht="15" customHeight="1">
      <c r="A623" t="inlineStr">
        <is>
          <t>A 10255-2024</t>
        </is>
      </c>
      <c r="B623" s="1" t="n">
        <v>45365</v>
      </c>
      <c r="C623" s="1" t="n">
        <v>46040</v>
      </c>
      <c r="D623" t="inlineStr">
        <is>
          <t>VÄSTMANLANDS LÄN</t>
        </is>
      </c>
      <c r="E623" t="inlineStr">
        <is>
          <t>SALA</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28696-2023</t>
        </is>
      </c>
      <c r="B624" s="1" t="n">
        <v>45103.71759259259</v>
      </c>
      <c r="C624" s="1" t="n">
        <v>46040</v>
      </c>
      <c r="D624" t="inlineStr">
        <is>
          <t>VÄSTMANLANDS LÄN</t>
        </is>
      </c>
      <c r="E624" t="inlineStr">
        <is>
          <t>SALA</t>
        </is>
      </c>
      <c r="F624" t="inlineStr">
        <is>
          <t>Kommuner</t>
        </is>
      </c>
      <c r="G624" t="n">
        <v>5.9</v>
      </c>
      <c r="H624" t="n">
        <v>0</v>
      </c>
      <c r="I624" t="n">
        <v>0</v>
      </c>
      <c r="J624" t="n">
        <v>0</v>
      </c>
      <c r="K624" t="n">
        <v>0</v>
      </c>
      <c r="L624" t="n">
        <v>0</v>
      </c>
      <c r="M624" t="n">
        <v>0</v>
      </c>
      <c r="N624" t="n">
        <v>0</v>
      </c>
      <c r="O624" t="n">
        <v>0</v>
      </c>
      <c r="P624" t="n">
        <v>0</v>
      </c>
      <c r="Q624" t="n">
        <v>0</v>
      </c>
      <c r="R624" s="2" t="inlineStr"/>
    </row>
    <row r="625" ht="15" customHeight="1">
      <c r="A625" t="inlineStr">
        <is>
          <t>A 31072-2021</t>
        </is>
      </c>
      <c r="B625" s="1" t="n">
        <v>44368</v>
      </c>
      <c r="C625" s="1" t="n">
        <v>46040</v>
      </c>
      <c r="D625" t="inlineStr">
        <is>
          <t>VÄSTMANLANDS LÄN</t>
        </is>
      </c>
      <c r="E625" t="inlineStr">
        <is>
          <t>SALA</t>
        </is>
      </c>
      <c r="G625" t="n">
        <v>1.1</v>
      </c>
      <c r="H625" t="n">
        <v>0</v>
      </c>
      <c r="I625" t="n">
        <v>0</v>
      </c>
      <c r="J625" t="n">
        <v>0</v>
      </c>
      <c r="K625" t="n">
        <v>0</v>
      </c>
      <c r="L625" t="n">
        <v>0</v>
      </c>
      <c r="M625" t="n">
        <v>0</v>
      </c>
      <c r="N625" t="n">
        <v>0</v>
      </c>
      <c r="O625" t="n">
        <v>0</v>
      </c>
      <c r="P625" t="n">
        <v>0</v>
      </c>
      <c r="Q625" t="n">
        <v>0</v>
      </c>
      <c r="R625" s="2" t="inlineStr"/>
    </row>
    <row r="626" ht="15" customHeight="1">
      <c r="A626" t="inlineStr">
        <is>
          <t>A 16543-2023</t>
        </is>
      </c>
      <c r="B626" s="1" t="n">
        <v>45029</v>
      </c>
      <c r="C626" s="1" t="n">
        <v>46040</v>
      </c>
      <c r="D626" t="inlineStr">
        <is>
          <t>VÄSTMANLANDS LÄN</t>
        </is>
      </c>
      <c r="E626" t="inlineStr">
        <is>
          <t>SALA</t>
        </is>
      </c>
      <c r="F626" t="inlineStr">
        <is>
          <t>Sveaskog</t>
        </is>
      </c>
      <c r="G626" t="n">
        <v>1.9</v>
      </c>
      <c r="H626" t="n">
        <v>0</v>
      </c>
      <c r="I626" t="n">
        <v>0</v>
      </c>
      <c r="J626" t="n">
        <v>0</v>
      </c>
      <c r="K626" t="n">
        <v>0</v>
      </c>
      <c r="L626" t="n">
        <v>0</v>
      </c>
      <c r="M626" t="n">
        <v>0</v>
      </c>
      <c r="N626" t="n">
        <v>0</v>
      </c>
      <c r="O626" t="n">
        <v>0</v>
      </c>
      <c r="P626" t="n">
        <v>0</v>
      </c>
      <c r="Q626" t="n">
        <v>0</v>
      </c>
      <c r="R626" s="2" t="inlineStr"/>
    </row>
    <row r="627" ht="15" customHeight="1">
      <c r="A627" t="inlineStr">
        <is>
          <t>A 988-2025</t>
        </is>
      </c>
      <c r="B627" s="1" t="n">
        <v>45666.44038194444</v>
      </c>
      <c r="C627" s="1" t="n">
        <v>46040</v>
      </c>
      <c r="D627" t="inlineStr">
        <is>
          <t>VÄSTMANLANDS LÄN</t>
        </is>
      </c>
      <c r="E627" t="inlineStr">
        <is>
          <t>SALA</t>
        </is>
      </c>
      <c r="G627" t="n">
        <v>1.3</v>
      </c>
      <c r="H627" t="n">
        <v>0</v>
      </c>
      <c r="I627" t="n">
        <v>0</v>
      </c>
      <c r="J627" t="n">
        <v>0</v>
      </c>
      <c r="K627" t="n">
        <v>0</v>
      </c>
      <c r="L627" t="n">
        <v>0</v>
      </c>
      <c r="M627" t="n">
        <v>0</v>
      </c>
      <c r="N627" t="n">
        <v>0</v>
      </c>
      <c r="O627" t="n">
        <v>0</v>
      </c>
      <c r="P627" t="n">
        <v>0</v>
      </c>
      <c r="Q627" t="n">
        <v>0</v>
      </c>
      <c r="R627" s="2" t="inlineStr"/>
    </row>
    <row r="628" ht="15" customHeight="1">
      <c r="A628" t="inlineStr">
        <is>
          <t>A 22523-2023</t>
        </is>
      </c>
      <c r="B628" s="1" t="n">
        <v>45069</v>
      </c>
      <c r="C628" s="1" t="n">
        <v>46040</v>
      </c>
      <c r="D628" t="inlineStr">
        <is>
          <t>VÄSTMANLANDS LÄN</t>
        </is>
      </c>
      <c r="E628" t="inlineStr">
        <is>
          <t>SALA</t>
        </is>
      </c>
      <c r="G628" t="n">
        <v>2.4</v>
      </c>
      <c r="H628" t="n">
        <v>0</v>
      </c>
      <c r="I628" t="n">
        <v>0</v>
      </c>
      <c r="J628" t="n">
        <v>0</v>
      </c>
      <c r="K628" t="n">
        <v>0</v>
      </c>
      <c r="L628" t="n">
        <v>0</v>
      </c>
      <c r="M628" t="n">
        <v>0</v>
      </c>
      <c r="N628" t="n">
        <v>0</v>
      </c>
      <c r="O628" t="n">
        <v>0</v>
      </c>
      <c r="P628" t="n">
        <v>0</v>
      </c>
      <c r="Q628" t="n">
        <v>0</v>
      </c>
      <c r="R628" s="2" t="inlineStr"/>
    </row>
    <row r="629" ht="15" customHeight="1">
      <c r="A629" t="inlineStr">
        <is>
          <t>A 5032-2025</t>
        </is>
      </c>
      <c r="B629" s="1" t="n">
        <v>45691</v>
      </c>
      <c r="C629" s="1" t="n">
        <v>46040</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4663-2022</t>
        </is>
      </c>
      <c r="B630" s="1" t="n">
        <v>44592.45429398148</v>
      </c>
      <c r="C630" s="1" t="n">
        <v>46040</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6132-2025</t>
        </is>
      </c>
      <c r="B631" s="1" t="n">
        <v>45698</v>
      </c>
      <c r="C631" s="1" t="n">
        <v>46040</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31859-2023</t>
        </is>
      </c>
      <c r="B632" s="1" t="n">
        <v>45118</v>
      </c>
      <c r="C632" s="1" t="n">
        <v>46040</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c r="U632">
        <f>HYPERLINK("https://klasma.github.io/Logging_1981/knärot/A 31859-2023 karta knärot.png", "A 31859-2023")</f>
        <v/>
      </c>
      <c r="V632">
        <f>HYPERLINK("https://klasma.github.io/Logging_1981/klagomål/A 31859-2023 FSC-klagomål.docx", "A 31859-2023")</f>
        <v/>
      </c>
      <c r="W632">
        <f>HYPERLINK("https://klasma.github.io/Logging_1981/klagomålsmail/A 31859-2023 FSC-klagomål mail.docx", "A 31859-2023")</f>
        <v/>
      </c>
      <c r="X632">
        <f>HYPERLINK("https://klasma.github.io/Logging_1981/tillsyn/A 31859-2023 tillsynsbegäran.docx", "A 31859-2023")</f>
        <v/>
      </c>
      <c r="Y632">
        <f>HYPERLINK("https://klasma.github.io/Logging_1981/tillsynsmail/A 31859-2023 tillsynsbegäran mail.docx", "A 31859-2023")</f>
        <v/>
      </c>
    </row>
    <row r="633" ht="15" customHeight="1">
      <c r="A633" t="inlineStr">
        <is>
          <t>A 66908-2021</t>
        </is>
      </c>
      <c r="B633" s="1" t="n">
        <v>44522</v>
      </c>
      <c r="C633" s="1" t="n">
        <v>46040</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61681-2024</t>
        </is>
      </c>
      <c r="B634" s="1" t="n">
        <v>45647</v>
      </c>
      <c r="C634" s="1" t="n">
        <v>46040</v>
      </c>
      <c r="D634" t="inlineStr">
        <is>
          <t>VÄSTMANLANDS LÄN</t>
        </is>
      </c>
      <c r="E634" t="inlineStr">
        <is>
          <t>SALA</t>
        </is>
      </c>
      <c r="F634" t="inlineStr">
        <is>
          <t>Kommuner</t>
        </is>
      </c>
      <c r="G634" t="n">
        <v>1</v>
      </c>
      <c r="H634" t="n">
        <v>0</v>
      </c>
      <c r="I634" t="n">
        <v>0</v>
      </c>
      <c r="J634" t="n">
        <v>0</v>
      </c>
      <c r="K634" t="n">
        <v>0</v>
      </c>
      <c r="L634" t="n">
        <v>0</v>
      </c>
      <c r="M634" t="n">
        <v>0</v>
      </c>
      <c r="N634" t="n">
        <v>0</v>
      </c>
      <c r="O634" t="n">
        <v>0</v>
      </c>
      <c r="P634" t="n">
        <v>0</v>
      </c>
      <c r="Q634" t="n">
        <v>0</v>
      </c>
      <c r="R634" s="2" t="inlineStr"/>
    </row>
    <row r="635" ht="15" customHeight="1">
      <c r="A635" t="inlineStr">
        <is>
          <t>A 54960-2024</t>
        </is>
      </c>
      <c r="B635" s="1" t="n">
        <v>45619.85208333333</v>
      </c>
      <c r="C635" s="1" t="n">
        <v>46040</v>
      </c>
      <c r="D635" t="inlineStr">
        <is>
          <t>VÄSTMANLANDS LÄN</t>
        </is>
      </c>
      <c r="E635" t="inlineStr">
        <is>
          <t>SALA</t>
        </is>
      </c>
      <c r="G635" t="n">
        <v>2.6</v>
      </c>
      <c r="H635" t="n">
        <v>0</v>
      </c>
      <c r="I635" t="n">
        <v>0</v>
      </c>
      <c r="J635" t="n">
        <v>0</v>
      </c>
      <c r="K635" t="n">
        <v>0</v>
      </c>
      <c r="L635" t="n">
        <v>0</v>
      </c>
      <c r="M635" t="n">
        <v>0</v>
      </c>
      <c r="N635" t="n">
        <v>0</v>
      </c>
      <c r="O635" t="n">
        <v>0</v>
      </c>
      <c r="P635" t="n">
        <v>0</v>
      </c>
      <c r="Q635" t="n">
        <v>0</v>
      </c>
      <c r="R635" s="2" t="inlineStr"/>
    </row>
    <row r="636" ht="15" customHeight="1">
      <c r="A636" t="inlineStr">
        <is>
          <t>A 11696-2025</t>
        </is>
      </c>
      <c r="B636" s="1" t="n">
        <v>45727</v>
      </c>
      <c r="C636" s="1" t="n">
        <v>46040</v>
      </c>
      <c r="D636" t="inlineStr">
        <is>
          <t>VÄSTMANLANDS LÄN</t>
        </is>
      </c>
      <c r="E636" t="inlineStr">
        <is>
          <t>SALA</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31082-2021</t>
        </is>
      </c>
      <c r="B637" s="1" t="n">
        <v>44368</v>
      </c>
      <c r="C637" s="1" t="n">
        <v>46040</v>
      </c>
      <c r="D637" t="inlineStr">
        <is>
          <t>VÄSTMANLANDS LÄN</t>
        </is>
      </c>
      <c r="E637" t="inlineStr">
        <is>
          <t>SALA</t>
        </is>
      </c>
      <c r="G637" t="n">
        <v>2</v>
      </c>
      <c r="H637" t="n">
        <v>0</v>
      </c>
      <c r="I637" t="n">
        <v>0</v>
      </c>
      <c r="J637" t="n">
        <v>0</v>
      </c>
      <c r="K637" t="n">
        <v>0</v>
      </c>
      <c r="L637" t="n">
        <v>0</v>
      </c>
      <c r="M637" t="n">
        <v>0</v>
      </c>
      <c r="N637" t="n">
        <v>0</v>
      </c>
      <c r="O637" t="n">
        <v>0</v>
      </c>
      <c r="P637" t="n">
        <v>0</v>
      </c>
      <c r="Q637" t="n">
        <v>0</v>
      </c>
      <c r="R637" s="2" t="inlineStr"/>
    </row>
    <row r="638" ht="15" customHeight="1">
      <c r="A638" t="inlineStr">
        <is>
          <t>A 20352-2022</t>
        </is>
      </c>
      <c r="B638" s="1" t="n">
        <v>44699.37318287037</v>
      </c>
      <c r="C638" s="1" t="n">
        <v>46040</v>
      </c>
      <c r="D638" t="inlineStr">
        <is>
          <t>VÄSTMANLANDS LÄN</t>
        </is>
      </c>
      <c r="E638" t="inlineStr">
        <is>
          <t>SALA</t>
        </is>
      </c>
      <c r="G638" t="n">
        <v>1.3</v>
      </c>
      <c r="H638" t="n">
        <v>0</v>
      </c>
      <c r="I638" t="n">
        <v>0</v>
      </c>
      <c r="J638" t="n">
        <v>0</v>
      </c>
      <c r="K638" t="n">
        <v>0</v>
      </c>
      <c r="L638" t="n">
        <v>0</v>
      </c>
      <c r="M638" t="n">
        <v>0</v>
      </c>
      <c r="N638" t="n">
        <v>0</v>
      </c>
      <c r="O638" t="n">
        <v>0</v>
      </c>
      <c r="P638" t="n">
        <v>0</v>
      </c>
      <c r="Q638" t="n">
        <v>0</v>
      </c>
      <c r="R638" s="2" t="inlineStr"/>
    </row>
    <row r="639" ht="15" customHeight="1">
      <c r="A639" t="inlineStr">
        <is>
          <t>A 43509-2021</t>
        </is>
      </c>
      <c r="B639" s="1" t="n">
        <v>44433</v>
      </c>
      <c r="C639" s="1" t="n">
        <v>46040</v>
      </c>
      <c r="D639" t="inlineStr">
        <is>
          <t>VÄSTMANLANDS LÄN</t>
        </is>
      </c>
      <c r="E639" t="inlineStr">
        <is>
          <t>SALA</t>
        </is>
      </c>
      <c r="G639" t="n">
        <v>0.8</v>
      </c>
      <c r="H639" t="n">
        <v>0</v>
      </c>
      <c r="I639" t="n">
        <v>0</v>
      </c>
      <c r="J639" t="n">
        <v>0</v>
      </c>
      <c r="K639" t="n">
        <v>0</v>
      </c>
      <c r="L639" t="n">
        <v>0</v>
      </c>
      <c r="M639" t="n">
        <v>0</v>
      </c>
      <c r="N639" t="n">
        <v>0</v>
      </c>
      <c r="O639" t="n">
        <v>0</v>
      </c>
      <c r="P639" t="n">
        <v>0</v>
      </c>
      <c r="Q639" t="n">
        <v>0</v>
      </c>
      <c r="R639" s="2" t="inlineStr"/>
    </row>
    <row r="640" ht="15" customHeight="1">
      <c r="A640" t="inlineStr">
        <is>
          <t>A 27657-2023</t>
        </is>
      </c>
      <c r="B640" s="1" t="n">
        <v>45097.76631944445</v>
      </c>
      <c r="C640" s="1" t="n">
        <v>46040</v>
      </c>
      <c r="D640" t="inlineStr">
        <is>
          <t>VÄSTMANLANDS LÄN</t>
        </is>
      </c>
      <c r="E640" t="inlineStr">
        <is>
          <t>SALA</t>
        </is>
      </c>
      <c r="G640" t="n">
        <v>0.1</v>
      </c>
      <c r="H640" t="n">
        <v>0</v>
      </c>
      <c r="I640" t="n">
        <v>0</v>
      </c>
      <c r="J640" t="n">
        <v>0</v>
      </c>
      <c r="K640" t="n">
        <v>0</v>
      </c>
      <c r="L640" t="n">
        <v>0</v>
      </c>
      <c r="M640" t="n">
        <v>0</v>
      </c>
      <c r="N640" t="n">
        <v>0</v>
      </c>
      <c r="O640" t="n">
        <v>0</v>
      </c>
      <c r="P640" t="n">
        <v>0</v>
      </c>
      <c r="Q640" t="n">
        <v>0</v>
      </c>
      <c r="R640" s="2" t="inlineStr"/>
    </row>
    <row r="641" ht="15" customHeight="1">
      <c r="A641" t="inlineStr">
        <is>
          <t>A 2766-2024</t>
        </is>
      </c>
      <c r="B641" s="1" t="n">
        <v>45314.60950231482</v>
      </c>
      <c r="C641" s="1" t="n">
        <v>46040</v>
      </c>
      <c r="D641" t="inlineStr">
        <is>
          <t>VÄSTMANLANDS LÄN</t>
        </is>
      </c>
      <c r="E641" t="inlineStr">
        <is>
          <t>SALA</t>
        </is>
      </c>
      <c r="G641" t="n">
        <v>2.8</v>
      </c>
      <c r="H641" t="n">
        <v>0</v>
      </c>
      <c r="I641" t="n">
        <v>0</v>
      </c>
      <c r="J641" t="n">
        <v>0</v>
      </c>
      <c r="K641" t="n">
        <v>0</v>
      </c>
      <c r="L641" t="n">
        <v>0</v>
      </c>
      <c r="M641" t="n">
        <v>0</v>
      </c>
      <c r="N641" t="n">
        <v>0</v>
      </c>
      <c r="O641" t="n">
        <v>0</v>
      </c>
      <c r="P641" t="n">
        <v>0</v>
      </c>
      <c r="Q641" t="n">
        <v>0</v>
      </c>
      <c r="R641" s="2" t="inlineStr"/>
    </row>
    <row r="642" ht="15" customHeight="1">
      <c r="A642" t="inlineStr">
        <is>
          <t>A 60550-2024</t>
        </is>
      </c>
      <c r="B642" s="1" t="n">
        <v>45643</v>
      </c>
      <c r="C642" s="1" t="n">
        <v>46040</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14690-2025</t>
        </is>
      </c>
      <c r="B643" s="1" t="n">
        <v>45742.58212962963</v>
      </c>
      <c r="C643" s="1" t="n">
        <v>46040</v>
      </c>
      <c r="D643" t="inlineStr">
        <is>
          <t>VÄSTMANLANDS LÄN</t>
        </is>
      </c>
      <c r="E643" t="inlineStr">
        <is>
          <t>SALA</t>
        </is>
      </c>
      <c r="G643" t="n">
        <v>3.4</v>
      </c>
      <c r="H643" t="n">
        <v>0</v>
      </c>
      <c r="I643" t="n">
        <v>0</v>
      </c>
      <c r="J643" t="n">
        <v>0</v>
      </c>
      <c r="K643" t="n">
        <v>0</v>
      </c>
      <c r="L643" t="n">
        <v>0</v>
      </c>
      <c r="M643" t="n">
        <v>0</v>
      </c>
      <c r="N643" t="n">
        <v>0</v>
      </c>
      <c r="O643" t="n">
        <v>0</v>
      </c>
      <c r="P643" t="n">
        <v>0</v>
      </c>
      <c r="Q643" t="n">
        <v>0</v>
      </c>
      <c r="R643" s="2" t="inlineStr"/>
    </row>
    <row r="644" ht="15" customHeight="1">
      <c r="A644" t="inlineStr">
        <is>
          <t>A 24175-2024</t>
        </is>
      </c>
      <c r="B644" s="1" t="n">
        <v>45456</v>
      </c>
      <c r="C644" s="1" t="n">
        <v>46040</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62449-2023</t>
        </is>
      </c>
      <c r="B645" s="1" t="n">
        <v>45268.49008101852</v>
      </c>
      <c r="C645" s="1" t="n">
        <v>46040</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54910-2023</t>
        </is>
      </c>
      <c r="B646" s="1" t="n">
        <v>45229</v>
      </c>
      <c r="C646" s="1" t="n">
        <v>46040</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19222-2025</t>
        </is>
      </c>
      <c r="B647" s="1" t="n">
        <v>45769</v>
      </c>
      <c r="C647" s="1" t="n">
        <v>46040</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19241-2025</t>
        </is>
      </c>
      <c r="B648" s="1" t="n">
        <v>45769</v>
      </c>
      <c r="C648" s="1" t="n">
        <v>46040</v>
      </c>
      <c r="D648" t="inlineStr">
        <is>
          <t>VÄSTMANLANDS LÄN</t>
        </is>
      </c>
      <c r="E648" t="inlineStr">
        <is>
          <t>SALA</t>
        </is>
      </c>
      <c r="G648" t="n">
        <v>3.6</v>
      </c>
      <c r="H648" t="n">
        <v>0</v>
      </c>
      <c r="I648" t="n">
        <v>0</v>
      </c>
      <c r="J648" t="n">
        <v>0</v>
      </c>
      <c r="K648" t="n">
        <v>0</v>
      </c>
      <c r="L648" t="n">
        <v>0</v>
      </c>
      <c r="M648" t="n">
        <v>0</v>
      </c>
      <c r="N648" t="n">
        <v>0</v>
      </c>
      <c r="O648" t="n">
        <v>0</v>
      </c>
      <c r="P648" t="n">
        <v>0</v>
      </c>
      <c r="Q648" t="n">
        <v>0</v>
      </c>
      <c r="R648" s="2" t="inlineStr"/>
    </row>
    <row r="649" ht="15" customHeight="1">
      <c r="A649" t="inlineStr">
        <is>
          <t>A 26416-2023</t>
        </is>
      </c>
      <c r="B649" s="1" t="n">
        <v>45092.38087962963</v>
      </c>
      <c r="C649" s="1" t="n">
        <v>46040</v>
      </c>
      <c r="D649" t="inlineStr">
        <is>
          <t>VÄSTMANLANDS LÄN</t>
        </is>
      </c>
      <c r="E649" t="inlineStr">
        <is>
          <t>SALA</t>
        </is>
      </c>
      <c r="G649" t="n">
        <v>2.9</v>
      </c>
      <c r="H649" t="n">
        <v>0</v>
      </c>
      <c r="I649" t="n">
        <v>0</v>
      </c>
      <c r="J649" t="n">
        <v>0</v>
      </c>
      <c r="K649" t="n">
        <v>0</v>
      </c>
      <c r="L649" t="n">
        <v>0</v>
      </c>
      <c r="M649" t="n">
        <v>0</v>
      </c>
      <c r="N649" t="n">
        <v>0</v>
      </c>
      <c r="O649" t="n">
        <v>0</v>
      </c>
      <c r="P649" t="n">
        <v>0</v>
      </c>
      <c r="Q649" t="n">
        <v>0</v>
      </c>
      <c r="R649" s="2" t="inlineStr"/>
    </row>
    <row r="650" ht="15" customHeight="1">
      <c r="A650" t="inlineStr">
        <is>
          <t>A 26692-2023</t>
        </is>
      </c>
      <c r="B650" s="1" t="n">
        <v>45093.360625</v>
      </c>
      <c r="C650" s="1" t="n">
        <v>46040</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15681-2025</t>
        </is>
      </c>
      <c r="B651" s="1" t="n">
        <v>45748.45454861111</v>
      </c>
      <c r="C651" s="1" t="n">
        <v>46040</v>
      </c>
      <c r="D651" t="inlineStr">
        <is>
          <t>VÄSTMANLANDS LÄN</t>
        </is>
      </c>
      <c r="E651" t="inlineStr">
        <is>
          <t>SALA</t>
        </is>
      </c>
      <c r="F651" t="inlineStr">
        <is>
          <t>Bergvik skog öst AB</t>
        </is>
      </c>
      <c r="G651" t="n">
        <v>4.3</v>
      </c>
      <c r="H651" t="n">
        <v>0</v>
      </c>
      <c r="I651" t="n">
        <v>0</v>
      </c>
      <c r="J651" t="n">
        <v>0</v>
      </c>
      <c r="K651" t="n">
        <v>0</v>
      </c>
      <c r="L651" t="n">
        <v>0</v>
      </c>
      <c r="M651" t="n">
        <v>0</v>
      </c>
      <c r="N651" t="n">
        <v>0</v>
      </c>
      <c r="O651" t="n">
        <v>0</v>
      </c>
      <c r="P651" t="n">
        <v>0</v>
      </c>
      <c r="Q651" t="n">
        <v>0</v>
      </c>
      <c r="R651" s="2" t="inlineStr"/>
    </row>
    <row r="652" ht="15" customHeight="1">
      <c r="A652" t="inlineStr">
        <is>
          <t>A 2925-2024</t>
        </is>
      </c>
      <c r="B652" s="1" t="n">
        <v>45315.58909722222</v>
      </c>
      <c r="C652" s="1" t="n">
        <v>46040</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44746-2024</t>
        </is>
      </c>
      <c r="B653" s="1" t="n">
        <v>45574.59813657407</v>
      </c>
      <c r="C653" s="1" t="n">
        <v>46040</v>
      </c>
      <c r="D653" t="inlineStr">
        <is>
          <t>VÄSTMANLANDS LÄN</t>
        </is>
      </c>
      <c r="E653" t="inlineStr">
        <is>
          <t>SALA</t>
        </is>
      </c>
      <c r="G653" t="n">
        <v>6.7</v>
      </c>
      <c r="H653" t="n">
        <v>0</v>
      </c>
      <c r="I653" t="n">
        <v>0</v>
      </c>
      <c r="J653" t="n">
        <v>0</v>
      </c>
      <c r="K653" t="n">
        <v>0</v>
      </c>
      <c r="L653" t="n">
        <v>0</v>
      </c>
      <c r="M653" t="n">
        <v>0</v>
      </c>
      <c r="N653" t="n">
        <v>0</v>
      </c>
      <c r="O653" t="n">
        <v>0</v>
      </c>
      <c r="P653" t="n">
        <v>0</v>
      </c>
      <c r="Q653" t="n">
        <v>0</v>
      </c>
      <c r="R653" s="2" t="inlineStr"/>
    </row>
    <row r="654" ht="15" customHeight="1">
      <c r="A654" t="inlineStr">
        <is>
          <t>A 44713-2023</t>
        </is>
      </c>
      <c r="B654" s="1" t="n">
        <v>45184</v>
      </c>
      <c r="C654" s="1" t="n">
        <v>46040</v>
      </c>
      <c r="D654" t="inlineStr">
        <is>
          <t>VÄSTMANLANDS LÄN</t>
        </is>
      </c>
      <c r="E654" t="inlineStr">
        <is>
          <t>SALA</t>
        </is>
      </c>
      <c r="F654" t="inlineStr">
        <is>
          <t>Kyrkan</t>
        </is>
      </c>
      <c r="G654" t="n">
        <v>7.6</v>
      </c>
      <c r="H654" t="n">
        <v>0</v>
      </c>
      <c r="I654" t="n">
        <v>0</v>
      </c>
      <c r="J654" t="n">
        <v>0</v>
      </c>
      <c r="K654" t="n">
        <v>0</v>
      </c>
      <c r="L654" t="n">
        <v>0</v>
      </c>
      <c r="M654" t="n">
        <v>0</v>
      </c>
      <c r="N654" t="n">
        <v>0</v>
      </c>
      <c r="O654" t="n">
        <v>0</v>
      </c>
      <c r="P654" t="n">
        <v>0</v>
      </c>
      <c r="Q654" t="n">
        <v>0</v>
      </c>
      <c r="R654" s="2" t="inlineStr"/>
    </row>
    <row r="655" ht="15" customHeight="1">
      <c r="A655" t="inlineStr">
        <is>
          <t>A 23431-2024</t>
        </is>
      </c>
      <c r="B655" s="1" t="n">
        <v>45453</v>
      </c>
      <c r="C655" s="1" t="n">
        <v>46040</v>
      </c>
      <c r="D655" t="inlineStr">
        <is>
          <t>VÄSTMANLANDS LÄN</t>
        </is>
      </c>
      <c r="E655" t="inlineStr">
        <is>
          <t>SALA</t>
        </is>
      </c>
      <c r="G655" t="n">
        <v>1.6</v>
      </c>
      <c r="H655" t="n">
        <v>0</v>
      </c>
      <c r="I655" t="n">
        <v>0</v>
      </c>
      <c r="J655" t="n">
        <v>0</v>
      </c>
      <c r="K655" t="n">
        <v>0</v>
      </c>
      <c r="L655" t="n">
        <v>0</v>
      </c>
      <c r="M655" t="n">
        <v>0</v>
      </c>
      <c r="N655" t="n">
        <v>0</v>
      </c>
      <c r="O655" t="n">
        <v>0</v>
      </c>
      <c r="P655" t="n">
        <v>0</v>
      </c>
      <c r="Q655" t="n">
        <v>0</v>
      </c>
      <c r="R655" s="2" t="inlineStr"/>
    </row>
    <row r="656" ht="15" customHeight="1">
      <c r="A656" t="inlineStr">
        <is>
          <t>A 21168-2025</t>
        </is>
      </c>
      <c r="B656" s="1" t="n">
        <v>45777</v>
      </c>
      <c r="C656" s="1" t="n">
        <v>46040</v>
      </c>
      <c r="D656" t="inlineStr">
        <is>
          <t>VÄSTMANLANDS LÄN</t>
        </is>
      </c>
      <c r="E656" t="inlineStr">
        <is>
          <t>SALA</t>
        </is>
      </c>
      <c r="G656" t="n">
        <v>4.5</v>
      </c>
      <c r="H656" t="n">
        <v>0</v>
      </c>
      <c r="I656" t="n">
        <v>0</v>
      </c>
      <c r="J656" t="n">
        <v>0</v>
      </c>
      <c r="K656" t="n">
        <v>0</v>
      </c>
      <c r="L656" t="n">
        <v>0</v>
      </c>
      <c r="M656" t="n">
        <v>0</v>
      </c>
      <c r="N656" t="n">
        <v>0</v>
      </c>
      <c r="O656" t="n">
        <v>0</v>
      </c>
      <c r="P656" t="n">
        <v>0</v>
      </c>
      <c r="Q656" t="n">
        <v>0</v>
      </c>
      <c r="R656" s="2" t="inlineStr"/>
    </row>
    <row r="657" ht="15" customHeight="1">
      <c r="A657" t="inlineStr">
        <is>
          <t>A 21751-2025</t>
        </is>
      </c>
      <c r="B657" s="1" t="n">
        <v>45783.61372685185</v>
      </c>
      <c r="C657" s="1" t="n">
        <v>46040</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21754-2025</t>
        </is>
      </c>
      <c r="B658" s="1" t="n">
        <v>45783.61837962963</v>
      </c>
      <c r="C658" s="1" t="n">
        <v>46040</v>
      </c>
      <c r="D658" t="inlineStr">
        <is>
          <t>VÄSTMANLANDS LÄN</t>
        </is>
      </c>
      <c r="E658" t="inlineStr">
        <is>
          <t>SALA</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37587-2024</t>
        </is>
      </c>
      <c r="B659" s="1" t="n">
        <v>45541</v>
      </c>
      <c r="C659" s="1" t="n">
        <v>46040</v>
      </c>
      <c r="D659" t="inlineStr">
        <is>
          <t>VÄSTMANLANDS LÄN</t>
        </is>
      </c>
      <c r="E659" t="inlineStr">
        <is>
          <t>SALA</t>
        </is>
      </c>
      <c r="G659" t="n">
        <v>1.2</v>
      </c>
      <c r="H659" t="n">
        <v>0</v>
      </c>
      <c r="I659" t="n">
        <v>0</v>
      </c>
      <c r="J659" t="n">
        <v>0</v>
      </c>
      <c r="K659" t="n">
        <v>0</v>
      </c>
      <c r="L659" t="n">
        <v>0</v>
      </c>
      <c r="M659" t="n">
        <v>0</v>
      </c>
      <c r="N659" t="n">
        <v>0</v>
      </c>
      <c r="O659" t="n">
        <v>0</v>
      </c>
      <c r="P659" t="n">
        <v>0</v>
      </c>
      <c r="Q659" t="n">
        <v>0</v>
      </c>
      <c r="R659" s="2" t="inlineStr"/>
    </row>
    <row r="660" ht="15" customHeight="1">
      <c r="A660" t="inlineStr">
        <is>
          <t>A 22353-2025</t>
        </is>
      </c>
      <c r="B660" s="1" t="n">
        <v>45786</v>
      </c>
      <c r="C660" s="1" t="n">
        <v>46040</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64724-2023</t>
        </is>
      </c>
      <c r="B661" s="1" t="n">
        <v>45281.7602662037</v>
      </c>
      <c r="C661" s="1" t="n">
        <v>46040</v>
      </c>
      <c r="D661" t="inlineStr">
        <is>
          <t>VÄSTMANLANDS LÄN</t>
        </is>
      </c>
      <c r="E661" t="inlineStr">
        <is>
          <t>SALA</t>
        </is>
      </c>
      <c r="G661" t="n">
        <v>2.3</v>
      </c>
      <c r="H661" t="n">
        <v>0</v>
      </c>
      <c r="I661" t="n">
        <v>0</v>
      </c>
      <c r="J661" t="n">
        <v>0</v>
      </c>
      <c r="K661" t="n">
        <v>0</v>
      </c>
      <c r="L661" t="n">
        <v>0</v>
      </c>
      <c r="M661" t="n">
        <v>0</v>
      </c>
      <c r="N661" t="n">
        <v>0</v>
      </c>
      <c r="O661" t="n">
        <v>0</v>
      </c>
      <c r="P661" t="n">
        <v>0</v>
      </c>
      <c r="Q661" t="n">
        <v>0</v>
      </c>
      <c r="R661" s="2" t="inlineStr"/>
    </row>
    <row r="662" ht="15" customHeight="1">
      <c r="A662" t="inlineStr">
        <is>
          <t>A 22370-2025</t>
        </is>
      </c>
      <c r="B662" s="1" t="n">
        <v>45786</v>
      </c>
      <c r="C662" s="1" t="n">
        <v>46040</v>
      </c>
      <c r="D662" t="inlineStr">
        <is>
          <t>VÄSTMANLANDS LÄN</t>
        </is>
      </c>
      <c r="E662" t="inlineStr">
        <is>
          <t>SALA</t>
        </is>
      </c>
      <c r="G662" t="n">
        <v>3.2</v>
      </c>
      <c r="H662" t="n">
        <v>0</v>
      </c>
      <c r="I662" t="n">
        <v>0</v>
      </c>
      <c r="J662" t="n">
        <v>0</v>
      </c>
      <c r="K662" t="n">
        <v>0</v>
      </c>
      <c r="L662" t="n">
        <v>0</v>
      </c>
      <c r="M662" t="n">
        <v>0</v>
      </c>
      <c r="N662" t="n">
        <v>0</v>
      </c>
      <c r="O662" t="n">
        <v>0</v>
      </c>
      <c r="P662" t="n">
        <v>0</v>
      </c>
      <c r="Q662" t="n">
        <v>0</v>
      </c>
      <c r="R662" s="2" t="inlineStr"/>
    </row>
    <row r="663" ht="15" customHeight="1">
      <c r="A663" t="inlineStr">
        <is>
          <t>A 22383-2025</t>
        </is>
      </c>
      <c r="B663" s="1" t="n">
        <v>45786</v>
      </c>
      <c r="C663" s="1" t="n">
        <v>46040</v>
      </c>
      <c r="D663" t="inlineStr">
        <is>
          <t>VÄSTMANLANDS LÄN</t>
        </is>
      </c>
      <c r="E663" t="inlineStr">
        <is>
          <t>SALA</t>
        </is>
      </c>
      <c r="G663" t="n">
        <v>2.2</v>
      </c>
      <c r="H663" t="n">
        <v>0</v>
      </c>
      <c r="I663" t="n">
        <v>0</v>
      </c>
      <c r="J663" t="n">
        <v>0</v>
      </c>
      <c r="K663" t="n">
        <v>0</v>
      </c>
      <c r="L663" t="n">
        <v>0</v>
      </c>
      <c r="M663" t="n">
        <v>0</v>
      </c>
      <c r="N663" t="n">
        <v>0</v>
      </c>
      <c r="O663" t="n">
        <v>0</v>
      </c>
      <c r="P663" t="n">
        <v>0</v>
      </c>
      <c r="Q663" t="n">
        <v>0</v>
      </c>
      <c r="R663" s="2" t="inlineStr"/>
    </row>
    <row r="664" ht="15" customHeight="1">
      <c r="A664" t="inlineStr">
        <is>
          <t>A 7176-2023</t>
        </is>
      </c>
      <c r="B664" s="1" t="n">
        <v>44970</v>
      </c>
      <c r="C664" s="1" t="n">
        <v>46040</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22624-2025</t>
        </is>
      </c>
      <c r="B665" s="1" t="n">
        <v>45789.43327546296</v>
      </c>
      <c r="C665" s="1" t="n">
        <v>46040</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31405-2024</t>
        </is>
      </c>
      <c r="B666" s="1" t="n">
        <v>45505.5490625</v>
      </c>
      <c r="C666" s="1" t="n">
        <v>46040</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22616-2025</t>
        </is>
      </c>
      <c r="B667" s="1" t="n">
        <v>45789.42752314815</v>
      </c>
      <c r="C667" s="1" t="n">
        <v>46040</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43600-2024</t>
        </is>
      </c>
      <c r="B668" s="1" t="n">
        <v>45569</v>
      </c>
      <c r="C668" s="1" t="n">
        <v>46040</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13130-2025</t>
        </is>
      </c>
      <c r="B669" s="1" t="n">
        <v>45734</v>
      </c>
      <c r="C669" s="1" t="n">
        <v>46040</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24169-2025</t>
        </is>
      </c>
      <c r="B670" s="1" t="n">
        <v>45796</v>
      </c>
      <c r="C670" s="1" t="n">
        <v>46040</v>
      </c>
      <c r="D670" t="inlineStr">
        <is>
          <t>VÄSTMANLANDS LÄN</t>
        </is>
      </c>
      <c r="E670" t="inlineStr">
        <is>
          <t>SALA</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22126-2025</t>
        </is>
      </c>
      <c r="B671" s="1" t="n">
        <v>45785</v>
      </c>
      <c r="C671" s="1" t="n">
        <v>46040</v>
      </c>
      <c r="D671" t="inlineStr">
        <is>
          <t>VÄSTMANLANDS LÄN</t>
        </is>
      </c>
      <c r="E671" t="inlineStr">
        <is>
          <t>SALA</t>
        </is>
      </c>
      <c r="G671" t="n">
        <v>10.6</v>
      </c>
      <c r="H671" t="n">
        <v>0</v>
      </c>
      <c r="I671" t="n">
        <v>0</v>
      </c>
      <c r="J671" t="n">
        <v>0</v>
      </c>
      <c r="K671" t="n">
        <v>0</v>
      </c>
      <c r="L671" t="n">
        <v>0</v>
      </c>
      <c r="M671" t="n">
        <v>0</v>
      </c>
      <c r="N671" t="n">
        <v>0</v>
      </c>
      <c r="O671" t="n">
        <v>0</v>
      </c>
      <c r="P671" t="n">
        <v>0</v>
      </c>
      <c r="Q671" t="n">
        <v>0</v>
      </c>
      <c r="R671" s="2" t="inlineStr"/>
    </row>
    <row r="672" ht="15" customHeight="1">
      <c r="A672" t="inlineStr">
        <is>
          <t>A 23810-2025</t>
        </is>
      </c>
      <c r="B672" s="1" t="n">
        <v>45793.56989583333</v>
      </c>
      <c r="C672" s="1" t="n">
        <v>46040</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24944-2023</t>
        </is>
      </c>
      <c r="B673" s="1" t="n">
        <v>45085</v>
      </c>
      <c r="C673" s="1" t="n">
        <v>46040</v>
      </c>
      <c r="D673" t="inlineStr">
        <is>
          <t>VÄSTMANLANDS LÄN</t>
        </is>
      </c>
      <c r="E673" t="inlineStr">
        <is>
          <t>SALA</t>
        </is>
      </c>
      <c r="G673" t="n">
        <v>3.8</v>
      </c>
      <c r="H673" t="n">
        <v>0</v>
      </c>
      <c r="I673" t="n">
        <v>0</v>
      </c>
      <c r="J673" t="n">
        <v>0</v>
      </c>
      <c r="K673" t="n">
        <v>0</v>
      </c>
      <c r="L673" t="n">
        <v>0</v>
      </c>
      <c r="M673" t="n">
        <v>0</v>
      </c>
      <c r="N673" t="n">
        <v>0</v>
      </c>
      <c r="O673" t="n">
        <v>0</v>
      </c>
      <c r="P673" t="n">
        <v>0</v>
      </c>
      <c r="Q673" t="n">
        <v>0</v>
      </c>
      <c r="R673" s="2" t="inlineStr"/>
    </row>
    <row r="674" ht="15" customHeight="1">
      <c r="A674" t="inlineStr">
        <is>
          <t>A 23804-2025</t>
        </is>
      </c>
      <c r="B674" s="1" t="n">
        <v>45793.55995370371</v>
      </c>
      <c r="C674" s="1" t="n">
        <v>46040</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11210-2025</t>
        </is>
      </c>
      <c r="B675" s="1" t="n">
        <v>45726</v>
      </c>
      <c r="C675" s="1" t="n">
        <v>46040</v>
      </c>
      <c r="D675" t="inlineStr">
        <is>
          <t>VÄSTMANLANDS LÄN</t>
        </is>
      </c>
      <c r="E675" t="inlineStr">
        <is>
          <t>SALA</t>
        </is>
      </c>
      <c r="G675" t="n">
        <v>4.1</v>
      </c>
      <c r="H675" t="n">
        <v>0</v>
      </c>
      <c r="I675" t="n">
        <v>0</v>
      </c>
      <c r="J675" t="n">
        <v>0</v>
      </c>
      <c r="K675" t="n">
        <v>0</v>
      </c>
      <c r="L675" t="n">
        <v>0</v>
      </c>
      <c r="M675" t="n">
        <v>0</v>
      </c>
      <c r="N675" t="n">
        <v>0</v>
      </c>
      <c r="O675" t="n">
        <v>0</v>
      </c>
      <c r="P675" t="n">
        <v>0</v>
      </c>
      <c r="Q675" t="n">
        <v>0</v>
      </c>
      <c r="R675" s="2" t="inlineStr"/>
    </row>
    <row r="676" ht="15" customHeight="1">
      <c r="A676" t="inlineStr">
        <is>
          <t>A 19297-2025</t>
        </is>
      </c>
      <c r="B676" s="1" t="n">
        <v>45769.56261574074</v>
      </c>
      <c r="C676" s="1" t="n">
        <v>46040</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24460-2025</t>
        </is>
      </c>
      <c r="B677" s="1" t="n">
        <v>45798</v>
      </c>
      <c r="C677" s="1" t="n">
        <v>46040</v>
      </c>
      <c r="D677" t="inlineStr">
        <is>
          <t>VÄSTMANLANDS LÄN</t>
        </is>
      </c>
      <c r="E677" t="inlineStr">
        <is>
          <t>SALA</t>
        </is>
      </c>
      <c r="F677" t="inlineStr">
        <is>
          <t>Bergvik skog öst AB</t>
        </is>
      </c>
      <c r="G677" t="n">
        <v>2.6</v>
      </c>
      <c r="H677" t="n">
        <v>0</v>
      </c>
      <c r="I677" t="n">
        <v>0</v>
      </c>
      <c r="J677" t="n">
        <v>0</v>
      </c>
      <c r="K677" t="n">
        <v>0</v>
      </c>
      <c r="L677" t="n">
        <v>0</v>
      </c>
      <c r="M677" t="n">
        <v>0</v>
      </c>
      <c r="N677" t="n">
        <v>0</v>
      </c>
      <c r="O677" t="n">
        <v>0</v>
      </c>
      <c r="P677" t="n">
        <v>0</v>
      </c>
      <c r="Q677" t="n">
        <v>0</v>
      </c>
      <c r="R677" s="2" t="inlineStr"/>
    </row>
    <row r="678" ht="15" customHeight="1">
      <c r="A678" t="inlineStr">
        <is>
          <t>A 55065-2024</t>
        </is>
      </c>
      <c r="B678" s="1" t="n">
        <v>45618</v>
      </c>
      <c r="C678" s="1" t="n">
        <v>46040</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24463-2025</t>
        </is>
      </c>
      <c r="B679" s="1" t="n">
        <v>45798</v>
      </c>
      <c r="C679" s="1" t="n">
        <v>46040</v>
      </c>
      <c r="D679" t="inlineStr">
        <is>
          <t>VÄSTMANLANDS LÄN</t>
        </is>
      </c>
      <c r="E679" t="inlineStr">
        <is>
          <t>SALA</t>
        </is>
      </c>
      <c r="F679" t="inlineStr">
        <is>
          <t>Bergvik skog öst AB</t>
        </is>
      </c>
      <c r="G679" t="n">
        <v>1.5</v>
      </c>
      <c r="H679" t="n">
        <v>0</v>
      </c>
      <c r="I679" t="n">
        <v>0</v>
      </c>
      <c r="J679" t="n">
        <v>0</v>
      </c>
      <c r="K679" t="n">
        <v>0</v>
      </c>
      <c r="L679" t="n">
        <v>0</v>
      </c>
      <c r="M679" t="n">
        <v>0</v>
      </c>
      <c r="N679" t="n">
        <v>0</v>
      </c>
      <c r="O679" t="n">
        <v>0</v>
      </c>
      <c r="P679" t="n">
        <v>0</v>
      </c>
      <c r="Q679" t="n">
        <v>0</v>
      </c>
      <c r="R679" s="2" t="inlineStr"/>
    </row>
    <row r="680" ht="15" customHeight="1">
      <c r="A680" t="inlineStr">
        <is>
          <t>A 24907-2025</t>
        </is>
      </c>
      <c r="B680" s="1" t="n">
        <v>45799</v>
      </c>
      <c r="C680" s="1" t="n">
        <v>46040</v>
      </c>
      <c r="D680" t="inlineStr">
        <is>
          <t>VÄSTMANLANDS LÄN</t>
        </is>
      </c>
      <c r="E680" t="inlineStr">
        <is>
          <t>SALA</t>
        </is>
      </c>
      <c r="G680" t="n">
        <v>3.5</v>
      </c>
      <c r="H680" t="n">
        <v>0</v>
      </c>
      <c r="I680" t="n">
        <v>0</v>
      </c>
      <c r="J680" t="n">
        <v>0</v>
      </c>
      <c r="K680" t="n">
        <v>0</v>
      </c>
      <c r="L680" t="n">
        <v>0</v>
      </c>
      <c r="M680" t="n">
        <v>0</v>
      </c>
      <c r="N680" t="n">
        <v>0</v>
      </c>
      <c r="O680" t="n">
        <v>0</v>
      </c>
      <c r="P680" t="n">
        <v>0</v>
      </c>
      <c r="Q680" t="n">
        <v>0</v>
      </c>
      <c r="R680" s="2" t="inlineStr"/>
    </row>
    <row r="681" ht="15" customHeight="1">
      <c r="A681" t="inlineStr">
        <is>
          <t>A 24910-2025</t>
        </is>
      </c>
      <c r="B681" s="1" t="n">
        <v>45799.53775462963</v>
      </c>
      <c r="C681" s="1" t="n">
        <v>46040</v>
      </c>
      <c r="D681" t="inlineStr">
        <is>
          <t>VÄSTMANLANDS LÄN</t>
        </is>
      </c>
      <c r="E681" t="inlineStr">
        <is>
          <t>SALA</t>
        </is>
      </c>
      <c r="G681" t="n">
        <v>3.5</v>
      </c>
      <c r="H681" t="n">
        <v>0</v>
      </c>
      <c r="I681" t="n">
        <v>0</v>
      </c>
      <c r="J681" t="n">
        <v>0</v>
      </c>
      <c r="K681" t="n">
        <v>0</v>
      </c>
      <c r="L681" t="n">
        <v>0</v>
      </c>
      <c r="M681" t="n">
        <v>0</v>
      </c>
      <c r="N681" t="n">
        <v>0</v>
      </c>
      <c r="O681" t="n">
        <v>0</v>
      </c>
      <c r="P681" t="n">
        <v>0</v>
      </c>
      <c r="Q681" t="n">
        <v>0</v>
      </c>
      <c r="R681" s="2" t="inlineStr"/>
    </row>
    <row r="682" ht="15" customHeight="1">
      <c r="A682" t="inlineStr">
        <is>
          <t>A 10909-2024</t>
        </is>
      </c>
      <c r="B682" s="1" t="n">
        <v>45370</v>
      </c>
      <c r="C682" s="1" t="n">
        <v>46040</v>
      </c>
      <c r="D682" t="inlineStr">
        <is>
          <t>VÄSTMANLANDS LÄN</t>
        </is>
      </c>
      <c r="E682" t="inlineStr">
        <is>
          <t>SALA</t>
        </is>
      </c>
      <c r="G682" t="n">
        <v>3.3</v>
      </c>
      <c r="H682" t="n">
        <v>0</v>
      </c>
      <c r="I682" t="n">
        <v>0</v>
      </c>
      <c r="J682" t="n">
        <v>0</v>
      </c>
      <c r="K682" t="n">
        <v>0</v>
      </c>
      <c r="L682" t="n">
        <v>0</v>
      </c>
      <c r="M682" t="n">
        <v>0</v>
      </c>
      <c r="N682" t="n">
        <v>0</v>
      </c>
      <c r="O682" t="n">
        <v>0</v>
      </c>
      <c r="P682" t="n">
        <v>0</v>
      </c>
      <c r="Q682" t="n">
        <v>0</v>
      </c>
      <c r="R682" s="2" t="inlineStr"/>
    </row>
    <row r="683" ht="15" customHeight="1">
      <c r="A683" t="inlineStr">
        <is>
          <t>A 26661-2025</t>
        </is>
      </c>
      <c r="B683" s="1" t="n">
        <v>45810</v>
      </c>
      <c r="C683" s="1" t="n">
        <v>46040</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28193-2025</t>
        </is>
      </c>
      <c r="B684" s="1" t="n">
        <v>45818.425625</v>
      </c>
      <c r="C684" s="1" t="n">
        <v>46040</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27981-2025</t>
        </is>
      </c>
      <c r="B685" s="1" t="n">
        <v>45817.57471064815</v>
      </c>
      <c r="C685" s="1" t="n">
        <v>46040</v>
      </c>
      <c r="D685" t="inlineStr">
        <is>
          <t>VÄSTMANLANDS LÄN</t>
        </is>
      </c>
      <c r="E685" t="inlineStr">
        <is>
          <t>SALA</t>
        </is>
      </c>
      <c r="G685" t="n">
        <v>1.7</v>
      </c>
      <c r="H685" t="n">
        <v>0</v>
      </c>
      <c r="I685" t="n">
        <v>0</v>
      </c>
      <c r="J685" t="n">
        <v>0</v>
      </c>
      <c r="K685" t="n">
        <v>0</v>
      </c>
      <c r="L685" t="n">
        <v>0</v>
      </c>
      <c r="M685" t="n">
        <v>0</v>
      </c>
      <c r="N685" t="n">
        <v>0</v>
      </c>
      <c r="O685" t="n">
        <v>0</v>
      </c>
      <c r="P685" t="n">
        <v>0</v>
      </c>
      <c r="Q685" t="n">
        <v>0</v>
      </c>
      <c r="R685" s="2" t="inlineStr"/>
    </row>
    <row r="686" ht="15" customHeight="1">
      <c r="A686" t="inlineStr">
        <is>
          <t>A 28278-2025</t>
        </is>
      </c>
      <c r="B686" s="1" t="n">
        <v>45818.58454861111</v>
      </c>
      <c r="C686" s="1" t="n">
        <v>46040</v>
      </c>
      <c r="D686" t="inlineStr">
        <is>
          <t>VÄSTMANLANDS LÄN</t>
        </is>
      </c>
      <c r="E686" t="inlineStr">
        <is>
          <t>SALA</t>
        </is>
      </c>
      <c r="G686" t="n">
        <v>7.6</v>
      </c>
      <c r="H686" t="n">
        <v>0</v>
      </c>
      <c r="I686" t="n">
        <v>0</v>
      </c>
      <c r="J686" t="n">
        <v>0</v>
      </c>
      <c r="K686" t="n">
        <v>0</v>
      </c>
      <c r="L686" t="n">
        <v>0</v>
      </c>
      <c r="M686" t="n">
        <v>0</v>
      </c>
      <c r="N686" t="n">
        <v>0</v>
      </c>
      <c r="O686" t="n">
        <v>0</v>
      </c>
      <c r="P686" t="n">
        <v>0</v>
      </c>
      <c r="Q686" t="n">
        <v>0</v>
      </c>
      <c r="R686" s="2" t="inlineStr"/>
    </row>
    <row r="687" ht="15" customHeight="1">
      <c r="A687" t="inlineStr">
        <is>
          <t>A 27989-2025</t>
        </is>
      </c>
      <c r="B687" s="1" t="n">
        <v>45817.58716435185</v>
      </c>
      <c r="C687" s="1" t="n">
        <v>46040</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28284-2025</t>
        </is>
      </c>
      <c r="B688" s="1" t="n">
        <v>45818.58893518519</v>
      </c>
      <c r="C688" s="1" t="n">
        <v>46040</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28632-2025</t>
        </is>
      </c>
      <c r="B689" s="1" t="n">
        <v>45819.62344907408</v>
      </c>
      <c r="C689" s="1" t="n">
        <v>46040</v>
      </c>
      <c r="D689" t="inlineStr">
        <is>
          <t>VÄSTMANLANDS LÄN</t>
        </is>
      </c>
      <c r="E689" t="inlineStr">
        <is>
          <t>SALA</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28628-2025</t>
        </is>
      </c>
      <c r="B690" s="1" t="n">
        <v>45819.62158564815</v>
      </c>
      <c r="C690" s="1" t="n">
        <v>46040</v>
      </c>
      <c r="D690" t="inlineStr">
        <is>
          <t>VÄSTMANLANDS LÄN</t>
        </is>
      </c>
      <c r="E690" t="inlineStr">
        <is>
          <t>SALA</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28630-2025</t>
        </is>
      </c>
      <c r="B691" s="1" t="n">
        <v>45819.62274305556</v>
      </c>
      <c r="C691" s="1" t="n">
        <v>46040</v>
      </c>
      <c r="D691" t="inlineStr">
        <is>
          <t>VÄSTMANLANDS LÄN</t>
        </is>
      </c>
      <c r="E691" t="inlineStr">
        <is>
          <t>SALA</t>
        </is>
      </c>
      <c r="F691" t="inlineStr">
        <is>
          <t>Sveaskog</t>
        </is>
      </c>
      <c r="G691" t="n">
        <v>9</v>
      </c>
      <c r="H691" t="n">
        <v>0</v>
      </c>
      <c r="I691" t="n">
        <v>0</v>
      </c>
      <c r="J691" t="n">
        <v>0</v>
      </c>
      <c r="K691" t="n">
        <v>0</v>
      </c>
      <c r="L691" t="n">
        <v>0</v>
      </c>
      <c r="M691" t="n">
        <v>0</v>
      </c>
      <c r="N691" t="n">
        <v>0</v>
      </c>
      <c r="O691" t="n">
        <v>0</v>
      </c>
      <c r="P691" t="n">
        <v>0</v>
      </c>
      <c r="Q691" t="n">
        <v>0</v>
      </c>
      <c r="R691" s="2" t="inlineStr"/>
    </row>
    <row r="692" ht="15" customHeight="1">
      <c r="A692" t="inlineStr">
        <is>
          <t>A 28837-2025</t>
        </is>
      </c>
      <c r="B692" s="1" t="n">
        <v>45820.56243055555</v>
      </c>
      <c r="C692" s="1" t="n">
        <v>46040</v>
      </c>
      <c r="D692" t="inlineStr">
        <is>
          <t>VÄSTMANLANDS LÄN</t>
        </is>
      </c>
      <c r="E692" t="inlineStr">
        <is>
          <t>SALA</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28849-2025</t>
        </is>
      </c>
      <c r="B693" s="1" t="n">
        <v>45820</v>
      </c>
      <c r="C693" s="1" t="n">
        <v>46040</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29085-2025</t>
        </is>
      </c>
      <c r="B694" s="1" t="n">
        <v>45821</v>
      </c>
      <c r="C694" s="1" t="n">
        <v>46040</v>
      </c>
      <c r="D694" t="inlineStr">
        <is>
          <t>VÄSTMANLANDS LÄN</t>
        </is>
      </c>
      <c r="E694" t="inlineStr">
        <is>
          <t>SALA</t>
        </is>
      </c>
      <c r="G694" t="n">
        <v>3.5</v>
      </c>
      <c r="H694" t="n">
        <v>0</v>
      </c>
      <c r="I694" t="n">
        <v>0</v>
      </c>
      <c r="J694" t="n">
        <v>0</v>
      </c>
      <c r="K694" t="n">
        <v>0</v>
      </c>
      <c r="L694" t="n">
        <v>0</v>
      </c>
      <c r="M694" t="n">
        <v>0</v>
      </c>
      <c r="N694" t="n">
        <v>0</v>
      </c>
      <c r="O694" t="n">
        <v>0</v>
      </c>
      <c r="P694" t="n">
        <v>0</v>
      </c>
      <c r="Q694" t="n">
        <v>0</v>
      </c>
      <c r="R694" s="2" t="inlineStr"/>
    </row>
    <row r="695" ht="15" customHeight="1">
      <c r="A695" t="inlineStr">
        <is>
          <t>A 60541-2024</t>
        </is>
      </c>
      <c r="B695" s="1" t="n">
        <v>45643</v>
      </c>
      <c r="C695" s="1" t="n">
        <v>46040</v>
      </c>
      <c r="D695" t="inlineStr">
        <is>
          <t>VÄSTMANLANDS LÄN</t>
        </is>
      </c>
      <c r="E695" t="inlineStr">
        <is>
          <t>SALA</t>
        </is>
      </c>
      <c r="G695" t="n">
        <v>10.6</v>
      </c>
      <c r="H695" t="n">
        <v>0</v>
      </c>
      <c r="I695" t="n">
        <v>0</v>
      </c>
      <c r="J695" t="n">
        <v>0</v>
      </c>
      <c r="K695" t="n">
        <v>0</v>
      </c>
      <c r="L695" t="n">
        <v>0</v>
      </c>
      <c r="M695" t="n">
        <v>0</v>
      </c>
      <c r="N695" t="n">
        <v>0</v>
      </c>
      <c r="O695" t="n">
        <v>0</v>
      </c>
      <c r="P695" t="n">
        <v>0</v>
      </c>
      <c r="Q695" t="n">
        <v>0</v>
      </c>
      <c r="R695" s="2" t="inlineStr"/>
    </row>
    <row r="696" ht="15" customHeight="1">
      <c r="A696" t="inlineStr">
        <is>
          <t>A 29826-2025</t>
        </is>
      </c>
      <c r="B696" s="1" t="n">
        <v>45825.85761574074</v>
      </c>
      <c r="C696" s="1" t="n">
        <v>46040</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29691-2025</t>
        </is>
      </c>
      <c r="B697" s="1" t="n">
        <v>45825.53645833334</v>
      </c>
      <c r="C697" s="1" t="n">
        <v>46040</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30874-2025</t>
        </is>
      </c>
      <c r="B698" s="1" t="n">
        <v>45832.34430555555</v>
      </c>
      <c r="C698" s="1" t="n">
        <v>46040</v>
      </c>
      <c r="D698" t="inlineStr">
        <is>
          <t>VÄSTMANLANDS LÄN</t>
        </is>
      </c>
      <c r="E698" t="inlineStr">
        <is>
          <t>SALA</t>
        </is>
      </c>
      <c r="G698" t="n">
        <v>8.4</v>
      </c>
      <c r="H698" t="n">
        <v>0</v>
      </c>
      <c r="I698" t="n">
        <v>0</v>
      </c>
      <c r="J698" t="n">
        <v>0</v>
      </c>
      <c r="K698" t="n">
        <v>0</v>
      </c>
      <c r="L698" t="n">
        <v>0</v>
      </c>
      <c r="M698" t="n">
        <v>0</v>
      </c>
      <c r="N698" t="n">
        <v>0</v>
      </c>
      <c r="O698" t="n">
        <v>0</v>
      </c>
      <c r="P698" t="n">
        <v>0</v>
      </c>
      <c r="Q698" t="n">
        <v>0</v>
      </c>
      <c r="R698" s="2" t="inlineStr"/>
    </row>
    <row r="699" ht="15" customHeight="1">
      <c r="A699" t="inlineStr">
        <is>
          <t>A 30899-2025</t>
        </is>
      </c>
      <c r="B699" s="1" t="n">
        <v>45832.35767361111</v>
      </c>
      <c r="C699" s="1" t="n">
        <v>46040</v>
      </c>
      <c r="D699" t="inlineStr">
        <is>
          <t>VÄSTMANLANDS LÄN</t>
        </is>
      </c>
      <c r="E699" t="inlineStr">
        <is>
          <t>SALA</t>
        </is>
      </c>
      <c r="G699" t="n">
        <v>3.1</v>
      </c>
      <c r="H699" t="n">
        <v>0</v>
      </c>
      <c r="I699" t="n">
        <v>0</v>
      </c>
      <c r="J699" t="n">
        <v>0</v>
      </c>
      <c r="K699" t="n">
        <v>0</v>
      </c>
      <c r="L699" t="n">
        <v>0</v>
      </c>
      <c r="M699" t="n">
        <v>0</v>
      </c>
      <c r="N699" t="n">
        <v>0</v>
      </c>
      <c r="O699" t="n">
        <v>0</v>
      </c>
      <c r="P699" t="n">
        <v>0</v>
      </c>
      <c r="Q699" t="n">
        <v>0</v>
      </c>
      <c r="R699" s="2" t="inlineStr"/>
    </row>
    <row r="700" ht="15" customHeight="1">
      <c r="A700" t="inlineStr">
        <is>
          <t>A 30866-2025</t>
        </is>
      </c>
      <c r="B700" s="1" t="n">
        <v>45832.3246875</v>
      </c>
      <c r="C700" s="1" t="n">
        <v>46040</v>
      </c>
      <c r="D700" t="inlineStr">
        <is>
          <t>VÄSTMANLANDS LÄN</t>
        </is>
      </c>
      <c r="E700" t="inlineStr">
        <is>
          <t>SALA</t>
        </is>
      </c>
      <c r="G700" t="n">
        <v>14.3</v>
      </c>
      <c r="H700" t="n">
        <v>0</v>
      </c>
      <c r="I700" t="n">
        <v>0</v>
      </c>
      <c r="J700" t="n">
        <v>0</v>
      </c>
      <c r="K700" t="n">
        <v>0</v>
      </c>
      <c r="L700" t="n">
        <v>0</v>
      </c>
      <c r="M700" t="n">
        <v>0</v>
      </c>
      <c r="N700" t="n">
        <v>0</v>
      </c>
      <c r="O700" t="n">
        <v>0</v>
      </c>
      <c r="P700" t="n">
        <v>0</v>
      </c>
      <c r="Q700" t="n">
        <v>0</v>
      </c>
      <c r="R700" s="2" t="inlineStr"/>
    </row>
    <row r="701" ht="15" customHeight="1">
      <c r="A701" t="inlineStr">
        <is>
          <t>A 31065-2025</t>
        </is>
      </c>
      <c r="B701" s="1" t="n">
        <v>45832.57571759259</v>
      </c>
      <c r="C701" s="1" t="n">
        <v>46040</v>
      </c>
      <c r="D701" t="inlineStr">
        <is>
          <t>VÄSTMANLANDS LÄN</t>
        </is>
      </c>
      <c r="E701" t="inlineStr">
        <is>
          <t>SALA</t>
        </is>
      </c>
      <c r="G701" t="n">
        <v>1.1</v>
      </c>
      <c r="H701" t="n">
        <v>0</v>
      </c>
      <c r="I701" t="n">
        <v>0</v>
      </c>
      <c r="J701" t="n">
        <v>0</v>
      </c>
      <c r="K701" t="n">
        <v>0</v>
      </c>
      <c r="L701" t="n">
        <v>0</v>
      </c>
      <c r="M701" t="n">
        <v>0</v>
      </c>
      <c r="N701" t="n">
        <v>0</v>
      </c>
      <c r="O701" t="n">
        <v>0</v>
      </c>
      <c r="P701" t="n">
        <v>0</v>
      </c>
      <c r="Q701" t="n">
        <v>0</v>
      </c>
      <c r="R701" s="2" t="inlineStr"/>
    </row>
    <row r="702" ht="15" customHeight="1">
      <c r="A702" t="inlineStr">
        <is>
          <t>A 31612-2025</t>
        </is>
      </c>
      <c r="B702" s="1" t="n">
        <v>45833.80056712963</v>
      </c>
      <c r="C702" s="1" t="n">
        <v>46040</v>
      </c>
      <c r="D702" t="inlineStr">
        <is>
          <t>VÄSTMANLANDS LÄN</t>
        </is>
      </c>
      <c r="E702" t="inlineStr">
        <is>
          <t>SALA</t>
        </is>
      </c>
      <c r="G702" t="n">
        <v>6.3</v>
      </c>
      <c r="H702" t="n">
        <v>0</v>
      </c>
      <c r="I702" t="n">
        <v>0</v>
      </c>
      <c r="J702" t="n">
        <v>0</v>
      </c>
      <c r="K702" t="n">
        <v>0</v>
      </c>
      <c r="L702" t="n">
        <v>0</v>
      </c>
      <c r="M702" t="n">
        <v>0</v>
      </c>
      <c r="N702" t="n">
        <v>0</v>
      </c>
      <c r="O702" t="n">
        <v>0</v>
      </c>
      <c r="P702" t="n">
        <v>0</v>
      </c>
      <c r="Q702" t="n">
        <v>0</v>
      </c>
      <c r="R702" s="2" t="inlineStr"/>
    </row>
    <row r="703" ht="15" customHeight="1">
      <c r="A703" t="inlineStr">
        <is>
          <t>A 31748-2025</t>
        </is>
      </c>
      <c r="B703" s="1" t="n">
        <v>45834</v>
      </c>
      <c r="C703" s="1" t="n">
        <v>46040</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31288-2025</t>
        </is>
      </c>
      <c r="B704" s="1" t="n">
        <v>45833</v>
      </c>
      <c r="C704" s="1" t="n">
        <v>46040</v>
      </c>
      <c r="D704" t="inlineStr">
        <is>
          <t>VÄSTMANLANDS LÄN</t>
        </is>
      </c>
      <c r="E704" t="inlineStr">
        <is>
          <t>SALA</t>
        </is>
      </c>
      <c r="G704" t="n">
        <v>3.1</v>
      </c>
      <c r="H704" t="n">
        <v>0</v>
      </c>
      <c r="I704" t="n">
        <v>0</v>
      </c>
      <c r="J704" t="n">
        <v>0</v>
      </c>
      <c r="K704" t="n">
        <v>0</v>
      </c>
      <c r="L704" t="n">
        <v>0</v>
      </c>
      <c r="M704" t="n">
        <v>0</v>
      </c>
      <c r="N704" t="n">
        <v>0</v>
      </c>
      <c r="O704" t="n">
        <v>0</v>
      </c>
      <c r="P704" t="n">
        <v>0</v>
      </c>
      <c r="Q704" t="n">
        <v>0</v>
      </c>
      <c r="R704" s="2" t="inlineStr"/>
    </row>
    <row r="705" ht="15" customHeight="1">
      <c r="A705" t="inlineStr">
        <is>
          <t>A 31771-2025</t>
        </is>
      </c>
      <c r="B705" s="1" t="n">
        <v>45834.50910879629</v>
      </c>
      <c r="C705" s="1" t="n">
        <v>46040</v>
      </c>
      <c r="D705" t="inlineStr">
        <is>
          <t>VÄSTMANLANDS LÄN</t>
        </is>
      </c>
      <c r="E705" t="inlineStr">
        <is>
          <t>SALA</t>
        </is>
      </c>
      <c r="G705" t="n">
        <v>5.1</v>
      </c>
      <c r="H705" t="n">
        <v>0</v>
      </c>
      <c r="I705" t="n">
        <v>0</v>
      </c>
      <c r="J705" t="n">
        <v>0</v>
      </c>
      <c r="K705" t="n">
        <v>0</v>
      </c>
      <c r="L705" t="n">
        <v>0</v>
      </c>
      <c r="M705" t="n">
        <v>0</v>
      </c>
      <c r="N705" t="n">
        <v>0</v>
      </c>
      <c r="O705" t="n">
        <v>0</v>
      </c>
      <c r="P705" t="n">
        <v>0</v>
      </c>
      <c r="Q705" t="n">
        <v>0</v>
      </c>
      <c r="R705" s="2" t="inlineStr"/>
    </row>
    <row r="706" ht="15" customHeight="1">
      <c r="A706" t="inlineStr">
        <is>
          <t>A 31554-2025</t>
        </is>
      </c>
      <c r="B706" s="1" t="n">
        <v>45833</v>
      </c>
      <c r="C706" s="1" t="n">
        <v>46040</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31762-2025</t>
        </is>
      </c>
      <c r="B707" s="1" t="n">
        <v>45834.49288194445</v>
      </c>
      <c r="C707" s="1" t="n">
        <v>46040</v>
      </c>
      <c r="D707" t="inlineStr">
        <is>
          <t>VÄSTMANLANDS LÄN</t>
        </is>
      </c>
      <c r="E707" t="inlineStr">
        <is>
          <t>SALA</t>
        </is>
      </c>
      <c r="G707" t="n">
        <v>5.9</v>
      </c>
      <c r="H707" t="n">
        <v>0</v>
      </c>
      <c r="I707" t="n">
        <v>0</v>
      </c>
      <c r="J707" t="n">
        <v>0</v>
      </c>
      <c r="K707" t="n">
        <v>0</v>
      </c>
      <c r="L707" t="n">
        <v>0</v>
      </c>
      <c r="M707" t="n">
        <v>0</v>
      </c>
      <c r="N707" t="n">
        <v>0</v>
      </c>
      <c r="O707" t="n">
        <v>0</v>
      </c>
      <c r="P707" t="n">
        <v>0</v>
      </c>
      <c r="Q707" t="n">
        <v>0</v>
      </c>
      <c r="R707" s="2" t="inlineStr"/>
    </row>
    <row r="708" ht="15" customHeight="1">
      <c r="A708" t="inlineStr">
        <is>
          <t>A 31608-2025</t>
        </is>
      </c>
      <c r="B708" s="1" t="n">
        <v>45833</v>
      </c>
      <c r="C708" s="1" t="n">
        <v>46040</v>
      </c>
      <c r="D708" t="inlineStr">
        <is>
          <t>VÄSTMANLANDS LÄN</t>
        </is>
      </c>
      <c r="E708" t="inlineStr">
        <is>
          <t>SALA</t>
        </is>
      </c>
      <c r="G708" t="n">
        <v>6.1</v>
      </c>
      <c r="H708" t="n">
        <v>0</v>
      </c>
      <c r="I708" t="n">
        <v>0</v>
      </c>
      <c r="J708" t="n">
        <v>0</v>
      </c>
      <c r="K708" t="n">
        <v>0</v>
      </c>
      <c r="L708" t="n">
        <v>0</v>
      </c>
      <c r="M708" t="n">
        <v>0</v>
      </c>
      <c r="N708" t="n">
        <v>0</v>
      </c>
      <c r="O708" t="n">
        <v>0</v>
      </c>
      <c r="P708" t="n">
        <v>0</v>
      </c>
      <c r="Q708" t="n">
        <v>0</v>
      </c>
      <c r="R708" s="2" t="inlineStr"/>
    </row>
    <row r="709" ht="15" customHeight="1">
      <c r="A709" t="inlineStr">
        <is>
          <t>A 31610-2025</t>
        </is>
      </c>
      <c r="B709" s="1" t="n">
        <v>45833.78650462963</v>
      </c>
      <c r="C709" s="1" t="n">
        <v>46040</v>
      </c>
      <c r="D709" t="inlineStr">
        <is>
          <t>VÄSTMANLANDS LÄN</t>
        </is>
      </c>
      <c r="E709" t="inlineStr">
        <is>
          <t>SALA</t>
        </is>
      </c>
      <c r="G709" t="n">
        <v>8</v>
      </c>
      <c r="H709" t="n">
        <v>0</v>
      </c>
      <c r="I709" t="n">
        <v>0</v>
      </c>
      <c r="J709" t="n">
        <v>0</v>
      </c>
      <c r="K709" t="n">
        <v>0</v>
      </c>
      <c r="L709" t="n">
        <v>0</v>
      </c>
      <c r="M709" t="n">
        <v>0</v>
      </c>
      <c r="N709" t="n">
        <v>0</v>
      </c>
      <c r="O709" t="n">
        <v>0</v>
      </c>
      <c r="P709" t="n">
        <v>0</v>
      </c>
      <c r="Q709" t="n">
        <v>0</v>
      </c>
      <c r="R709" s="2" t="inlineStr"/>
    </row>
    <row r="710" ht="15" customHeight="1">
      <c r="A710" t="inlineStr">
        <is>
          <t>A 31296-2025</t>
        </is>
      </c>
      <c r="B710" s="1" t="n">
        <v>45833.36765046296</v>
      </c>
      <c r="C710" s="1" t="n">
        <v>46040</v>
      </c>
      <c r="D710" t="inlineStr">
        <is>
          <t>VÄSTMANLANDS LÄN</t>
        </is>
      </c>
      <c r="E710" t="inlineStr">
        <is>
          <t>SALA</t>
        </is>
      </c>
      <c r="G710" t="n">
        <v>3.7</v>
      </c>
      <c r="H710" t="n">
        <v>0</v>
      </c>
      <c r="I710" t="n">
        <v>0</v>
      </c>
      <c r="J710" t="n">
        <v>0</v>
      </c>
      <c r="K710" t="n">
        <v>0</v>
      </c>
      <c r="L710" t="n">
        <v>0</v>
      </c>
      <c r="M710" t="n">
        <v>0</v>
      </c>
      <c r="N710" t="n">
        <v>0</v>
      </c>
      <c r="O710" t="n">
        <v>0</v>
      </c>
      <c r="P710" t="n">
        <v>0</v>
      </c>
      <c r="Q710" t="n">
        <v>0</v>
      </c>
      <c r="R710" s="2" t="inlineStr"/>
    </row>
    <row r="711" ht="15" customHeight="1">
      <c r="A711" t="inlineStr">
        <is>
          <t>A 31573-2025</t>
        </is>
      </c>
      <c r="B711" s="1" t="n">
        <v>45833</v>
      </c>
      <c r="C711" s="1" t="n">
        <v>46040</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32201-2025</t>
        </is>
      </c>
      <c r="B712" s="1" t="n">
        <v>45835</v>
      </c>
      <c r="C712" s="1" t="n">
        <v>46040</v>
      </c>
      <c r="D712" t="inlineStr">
        <is>
          <t>VÄSTMANLANDS LÄN</t>
        </is>
      </c>
      <c r="E712" t="inlineStr">
        <is>
          <t>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32205-2025</t>
        </is>
      </c>
      <c r="B713" s="1" t="n">
        <v>45835</v>
      </c>
      <c r="C713" s="1" t="n">
        <v>46040</v>
      </c>
      <c r="D713" t="inlineStr">
        <is>
          <t>VÄSTMANLANDS LÄN</t>
        </is>
      </c>
      <c r="E713" t="inlineStr">
        <is>
          <t>SALA</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32210-2025</t>
        </is>
      </c>
      <c r="B714" s="1" t="n">
        <v>45835</v>
      </c>
      <c r="C714" s="1" t="n">
        <v>46040</v>
      </c>
      <c r="D714" t="inlineStr">
        <is>
          <t>VÄSTMANLANDS LÄN</t>
        </is>
      </c>
      <c r="E714" t="inlineStr">
        <is>
          <t>SALA</t>
        </is>
      </c>
      <c r="F714" t="inlineStr">
        <is>
          <t>Bergvik skog öst AB</t>
        </is>
      </c>
      <c r="G714" t="n">
        <v>1.5</v>
      </c>
      <c r="H714" t="n">
        <v>0</v>
      </c>
      <c r="I714" t="n">
        <v>0</v>
      </c>
      <c r="J714" t="n">
        <v>0</v>
      </c>
      <c r="K714" t="n">
        <v>0</v>
      </c>
      <c r="L714" t="n">
        <v>0</v>
      </c>
      <c r="M714" t="n">
        <v>0</v>
      </c>
      <c r="N714" t="n">
        <v>0</v>
      </c>
      <c r="O714" t="n">
        <v>0</v>
      </c>
      <c r="P714" t="n">
        <v>0</v>
      </c>
      <c r="Q714" t="n">
        <v>0</v>
      </c>
      <c r="R714" s="2" t="inlineStr"/>
    </row>
    <row r="715" ht="15" customHeight="1">
      <c r="A715" t="inlineStr">
        <is>
          <t>A 32286-2025</t>
        </is>
      </c>
      <c r="B715" s="1" t="n">
        <v>45835</v>
      </c>
      <c r="C715" s="1" t="n">
        <v>46040</v>
      </c>
      <c r="D715" t="inlineStr">
        <is>
          <t>VÄSTMANLANDS LÄN</t>
        </is>
      </c>
      <c r="E715" t="inlineStr">
        <is>
          <t>SALA</t>
        </is>
      </c>
      <c r="G715" t="n">
        <v>6.4</v>
      </c>
      <c r="H715" t="n">
        <v>0</v>
      </c>
      <c r="I715" t="n">
        <v>0</v>
      </c>
      <c r="J715" t="n">
        <v>0</v>
      </c>
      <c r="K715" t="n">
        <v>0</v>
      </c>
      <c r="L715" t="n">
        <v>0</v>
      </c>
      <c r="M715" t="n">
        <v>0</v>
      </c>
      <c r="N715" t="n">
        <v>0</v>
      </c>
      <c r="O715" t="n">
        <v>0</v>
      </c>
      <c r="P715" t="n">
        <v>0</v>
      </c>
      <c r="Q715" t="n">
        <v>0</v>
      </c>
      <c r="R715" s="2" t="inlineStr"/>
    </row>
    <row r="716" ht="15" customHeight="1">
      <c r="A716" t="inlineStr">
        <is>
          <t>A 32207-2025</t>
        </is>
      </c>
      <c r="B716" s="1" t="n">
        <v>45835</v>
      </c>
      <c r="C716" s="1" t="n">
        <v>46040</v>
      </c>
      <c r="D716" t="inlineStr">
        <is>
          <t>VÄSTMANLANDS LÄN</t>
        </is>
      </c>
      <c r="E716" t="inlineStr">
        <is>
          <t>SALA</t>
        </is>
      </c>
      <c r="F716" t="inlineStr">
        <is>
          <t>Bergvik skog öst AB</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32902-2025</t>
        </is>
      </c>
      <c r="B717" s="1" t="n">
        <v>45839</v>
      </c>
      <c r="C717" s="1" t="n">
        <v>46040</v>
      </c>
      <c r="D717" t="inlineStr">
        <is>
          <t>VÄSTMANLANDS LÄN</t>
        </is>
      </c>
      <c r="E717" t="inlineStr">
        <is>
          <t>SALA</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34069-2025</t>
        </is>
      </c>
      <c r="B718" s="1" t="n">
        <v>45845.43560185185</v>
      </c>
      <c r="C718" s="1" t="n">
        <v>46040</v>
      </c>
      <c r="D718" t="inlineStr">
        <is>
          <t>VÄSTMANLANDS LÄN</t>
        </is>
      </c>
      <c r="E718" t="inlineStr">
        <is>
          <t>SALA</t>
        </is>
      </c>
      <c r="G718" t="n">
        <v>0.5</v>
      </c>
      <c r="H718" t="n">
        <v>0</v>
      </c>
      <c r="I718" t="n">
        <v>0</v>
      </c>
      <c r="J718" t="n">
        <v>0</v>
      </c>
      <c r="K718" t="n">
        <v>0</v>
      </c>
      <c r="L718" t="n">
        <v>0</v>
      </c>
      <c r="M718" t="n">
        <v>0</v>
      </c>
      <c r="N718" t="n">
        <v>0</v>
      </c>
      <c r="O718" t="n">
        <v>0</v>
      </c>
      <c r="P718" t="n">
        <v>0</v>
      </c>
      <c r="Q718" t="n">
        <v>0</v>
      </c>
      <c r="R718" s="2" t="inlineStr"/>
      <c r="U718">
        <f>HYPERLINK("https://klasma.github.io/Logging_1981/knärot/A 34069-2025 karta knärot.png", "A 34069-2025")</f>
        <v/>
      </c>
      <c r="V718">
        <f>HYPERLINK("https://klasma.github.io/Logging_1981/klagomål/A 34069-2025 FSC-klagomål.docx", "A 34069-2025")</f>
        <v/>
      </c>
      <c r="W718">
        <f>HYPERLINK("https://klasma.github.io/Logging_1981/klagomålsmail/A 34069-2025 FSC-klagomål mail.docx", "A 34069-2025")</f>
        <v/>
      </c>
      <c r="X718">
        <f>HYPERLINK("https://klasma.github.io/Logging_1981/tillsyn/A 34069-2025 tillsynsbegäran.docx", "A 34069-2025")</f>
        <v/>
      </c>
      <c r="Y718">
        <f>HYPERLINK("https://klasma.github.io/Logging_1981/tillsynsmail/A 34069-2025 tillsynsbegäran mail.docx", "A 34069-2025")</f>
        <v/>
      </c>
    </row>
    <row r="719" ht="15" customHeight="1">
      <c r="A719" t="inlineStr">
        <is>
          <t>A 15744-2025</t>
        </is>
      </c>
      <c r="B719" s="1" t="n">
        <v>45748</v>
      </c>
      <c r="C719" s="1" t="n">
        <v>46040</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35715-2025</t>
        </is>
      </c>
      <c r="B720" s="1" t="n">
        <v>45860.42148148148</v>
      </c>
      <c r="C720" s="1" t="n">
        <v>46040</v>
      </c>
      <c r="D720" t="inlineStr">
        <is>
          <t>VÄSTMANLANDS LÄN</t>
        </is>
      </c>
      <c r="E720" t="inlineStr">
        <is>
          <t>SALA</t>
        </is>
      </c>
      <c r="G720" t="n">
        <v>3.8</v>
      </c>
      <c r="H720" t="n">
        <v>0</v>
      </c>
      <c r="I720" t="n">
        <v>0</v>
      </c>
      <c r="J720" t="n">
        <v>0</v>
      </c>
      <c r="K720" t="n">
        <v>0</v>
      </c>
      <c r="L720" t="n">
        <v>0</v>
      </c>
      <c r="M720" t="n">
        <v>0</v>
      </c>
      <c r="N720" t="n">
        <v>0</v>
      </c>
      <c r="O720" t="n">
        <v>0</v>
      </c>
      <c r="P720" t="n">
        <v>0</v>
      </c>
      <c r="Q720" t="n">
        <v>0</v>
      </c>
      <c r="R720" s="2" t="inlineStr"/>
    </row>
    <row r="721" ht="15" customHeight="1">
      <c r="A721" t="inlineStr">
        <is>
          <t>A 35651-2025</t>
        </is>
      </c>
      <c r="B721" s="1" t="n">
        <v>45859.52435185185</v>
      </c>
      <c r="C721" s="1" t="n">
        <v>46040</v>
      </c>
      <c r="D721" t="inlineStr">
        <is>
          <t>VÄSTMANLANDS LÄN</t>
        </is>
      </c>
      <c r="E721" t="inlineStr">
        <is>
          <t>SALA</t>
        </is>
      </c>
      <c r="G721" t="n">
        <v>6.3</v>
      </c>
      <c r="H721" t="n">
        <v>0</v>
      </c>
      <c r="I721" t="n">
        <v>0</v>
      </c>
      <c r="J721" t="n">
        <v>0</v>
      </c>
      <c r="K721" t="n">
        <v>0</v>
      </c>
      <c r="L721" t="n">
        <v>0</v>
      </c>
      <c r="M721" t="n">
        <v>0</v>
      </c>
      <c r="N721" t="n">
        <v>0</v>
      </c>
      <c r="O721" t="n">
        <v>0</v>
      </c>
      <c r="P721" t="n">
        <v>0</v>
      </c>
      <c r="Q721" t="n">
        <v>0</v>
      </c>
      <c r="R721" s="2" t="inlineStr"/>
    </row>
    <row r="722" ht="15" customHeight="1">
      <c r="A722" t="inlineStr">
        <is>
          <t>A 35775-2025</t>
        </is>
      </c>
      <c r="B722" s="1" t="n">
        <v>45860</v>
      </c>
      <c r="C722" s="1" t="n">
        <v>46040</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35774-2025</t>
        </is>
      </c>
      <c r="B723" s="1" t="n">
        <v>45860.68780092592</v>
      </c>
      <c r="C723" s="1" t="n">
        <v>46040</v>
      </c>
      <c r="D723" t="inlineStr">
        <is>
          <t>VÄSTMANLANDS LÄN</t>
        </is>
      </c>
      <c r="E723" t="inlineStr">
        <is>
          <t>SALA</t>
        </is>
      </c>
      <c r="G723" t="n">
        <v>6.5</v>
      </c>
      <c r="H723" t="n">
        <v>0</v>
      </c>
      <c r="I723" t="n">
        <v>0</v>
      </c>
      <c r="J723" t="n">
        <v>0</v>
      </c>
      <c r="K723" t="n">
        <v>0</v>
      </c>
      <c r="L723" t="n">
        <v>0</v>
      </c>
      <c r="M723" t="n">
        <v>0</v>
      </c>
      <c r="N723" t="n">
        <v>0</v>
      </c>
      <c r="O723" t="n">
        <v>0</v>
      </c>
      <c r="P723" t="n">
        <v>0</v>
      </c>
      <c r="Q723" t="n">
        <v>0</v>
      </c>
      <c r="R723" s="2" t="inlineStr"/>
    </row>
    <row r="724" ht="15" customHeight="1">
      <c r="A724" t="inlineStr">
        <is>
          <t>A 35776-2025</t>
        </is>
      </c>
      <c r="B724" s="1" t="n">
        <v>45860.69211805556</v>
      </c>
      <c r="C724" s="1" t="n">
        <v>46040</v>
      </c>
      <c r="D724" t="inlineStr">
        <is>
          <t>VÄSTMANLANDS LÄN</t>
        </is>
      </c>
      <c r="E724" t="inlineStr">
        <is>
          <t>SALA</t>
        </is>
      </c>
      <c r="G724" t="n">
        <v>14.2</v>
      </c>
      <c r="H724" t="n">
        <v>0</v>
      </c>
      <c r="I724" t="n">
        <v>0</v>
      </c>
      <c r="J724" t="n">
        <v>0</v>
      </c>
      <c r="K724" t="n">
        <v>0</v>
      </c>
      <c r="L724" t="n">
        <v>0</v>
      </c>
      <c r="M724" t="n">
        <v>0</v>
      </c>
      <c r="N724" t="n">
        <v>0</v>
      </c>
      <c r="O724" t="n">
        <v>0</v>
      </c>
      <c r="P724" t="n">
        <v>0</v>
      </c>
      <c r="Q724" t="n">
        <v>0</v>
      </c>
      <c r="R724" s="2" t="inlineStr"/>
    </row>
    <row r="725" ht="15" customHeight="1">
      <c r="A725" t="inlineStr">
        <is>
          <t>A 35779-2025</t>
        </is>
      </c>
      <c r="B725" s="1" t="n">
        <v>45860.69495370371</v>
      </c>
      <c r="C725" s="1" t="n">
        <v>46040</v>
      </c>
      <c r="D725" t="inlineStr">
        <is>
          <t>VÄSTMANLANDS LÄN</t>
        </is>
      </c>
      <c r="E725" t="inlineStr">
        <is>
          <t>SALA</t>
        </is>
      </c>
      <c r="G725" t="n">
        <v>2.4</v>
      </c>
      <c r="H725" t="n">
        <v>0</v>
      </c>
      <c r="I725" t="n">
        <v>0</v>
      </c>
      <c r="J725" t="n">
        <v>0</v>
      </c>
      <c r="K725" t="n">
        <v>0</v>
      </c>
      <c r="L725" t="n">
        <v>0</v>
      </c>
      <c r="M725" t="n">
        <v>0</v>
      </c>
      <c r="N725" t="n">
        <v>0</v>
      </c>
      <c r="O725" t="n">
        <v>0</v>
      </c>
      <c r="P725" t="n">
        <v>0</v>
      </c>
      <c r="Q725" t="n">
        <v>0</v>
      </c>
      <c r="R725" s="2" t="inlineStr"/>
    </row>
    <row r="726" ht="15" customHeight="1">
      <c r="A726" t="inlineStr">
        <is>
          <t>A 36049-2025</t>
        </is>
      </c>
      <c r="B726" s="1" t="n">
        <v>45866.37065972222</v>
      </c>
      <c r="C726" s="1" t="n">
        <v>46040</v>
      </c>
      <c r="D726" t="inlineStr">
        <is>
          <t>VÄSTMANLANDS LÄN</t>
        </is>
      </c>
      <c r="E726" t="inlineStr">
        <is>
          <t>SALA</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36031-2025</t>
        </is>
      </c>
      <c r="B727" s="1" t="n">
        <v>45865.46111111111</v>
      </c>
      <c r="C727" s="1" t="n">
        <v>46040</v>
      </c>
      <c r="D727" t="inlineStr">
        <is>
          <t>VÄSTMANLANDS LÄN</t>
        </is>
      </c>
      <c r="E727" t="inlineStr">
        <is>
          <t>SALA</t>
        </is>
      </c>
      <c r="G727" t="n">
        <v>7.2</v>
      </c>
      <c r="H727" t="n">
        <v>0</v>
      </c>
      <c r="I727" t="n">
        <v>0</v>
      </c>
      <c r="J727" t="n">
        <v>0</v>
      </c>
      <c r="K727" t="n">
        <v>0</v>
      </c>
      <c r="L727" t="n">
        <v>0</v>
      </c>
      <c r="M727" t="n">
        <v>0</v>
      </c>
      <c r="N727" t="n">
        <v>0</v>
      </c>
      <c r="O727" t="n">
        <v>0</v>
      </c>
      <c r="P727" t="n">
        <v>0</v>
      </c>
      <c r="Q727" t="n">
        <v>0</v>
      </c>
      <c r="R727" s="2" t="inlineStr"/>
    </row>
    <row r="728">
      <c r="A728" t="inlineStr">
        <is>
          <t>A 36060-2025</t>
        </is>
      </c>
      <c r="B728" s="1" t="n">
        <v>45866.39469907407</v>
      </c>
      <c r="C728" s="1" t="n">
        <v>46040</v>
      </c>
      <c r="D728" t="inlineStr">
        <is>
          <t>VÄSTMANLANDS LÄN</t>
        </is>
      </c>
      <c r="E728" t="inlineStr">
        <is>
          <t>SALA</t>
        </is>
      </c>
      <c r="F728" t="inlineStr">
        <is>
          <t>Kommuner</t>
        </is>
      </c>
      <c r="G728" t="n">
        <v>4.3</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2026-01-18T10:58:12Z</dcterms:created>
  <dcterms:modified xmlns:dcterms="http://purl.org/dc/terms/" xmlns:xsi="http://www.w3.org/2001/XMLSchema-instance" xsi:type="dcterms:W3CDTF">2026-01-18T10:58:12Z</dcterms:modified>
</cp:coreProperties>
</file>