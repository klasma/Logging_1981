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46038</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53009-2024</t>
        </is>
      </c>
      <c r="B12" s="1" t="n">
        <v>45610</v>
      </c>
      <c r="C12" s="1" t="n">
        <v>46038</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46038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46038</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34752-2023</t>
        </is>
      </c>
      <c r="B15" s="1" t="n">
        <v>45141</v>
      </c>
      <c r="C15" s="1" t="n">
        <v>46038</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46038</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40493-2024</t>
        </is>
      </c>
      <c r="B18" s="1" t="n">
        <v>45555</v>
      </c>
      <c r="C18" s="1" t="n">
        <v>46038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46038</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3567-2024</t>
        </is>
      </c>
      <c r="B20" s="1" t="n">
        <v>45320.63706018519</v>
      </c>
      <c r="C20" s="1" t="n">
        <v>46038</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4264-2024</t>
        </is>
      </c>
      <c r="B21" s="1" t="n">
        <v>45324</v>
      </c>
      <c r="C21" s="1" t="n">
        <v>46038</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35461-2024</t>
        </is>
      </c>
      <c r="B22" s="1" t="n">
        <v>45531</v>
      </c>
      <c r="C22" s="1" t="n">
        <v>46038</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62768-2021</t>
        </is>
      </c>
      <c r="B23" s="1" t="n">
        <v>44504</v>
      </c>
      <c r="C23" s="1" t="n">
        <v>46038</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34065-2025</t>
        </is>
      </c>
      <c r="B24" s="1" t="n">
        <v>45845.42806712963</v>
      </c>
      <c r="C24" s="1" t="n">
        <v>46038</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46038</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46038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1500-2022</t>
        </is>
      </c>
      <c r="B28" s="1" t="n">
        <v>44573.54357638889</v>
      </c>
      <c r="C28" s="1" t="n">
        <v>46038</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15102-2025</t>
        </is>
      </c>
      <c r="B29" s="1" t="n">
        <v>45744.34585648148</v>
      </c>
      <c r="C29" s="1" t="n">
        <v>46038</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13029-2023</t>
        </is>
      </c>
      <c r="B30" s="1" t="n">
        <v>45001</v>
      </c>
      <c r="C30" s="1" t="n">
        <v>46038</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11846-2024</t>
        </is>
      </c>
      <c r="B31" s="1" t="n">
        <v>45376.4047337963</v>
      </c>
      <c r="C31" s="1" t="n">
        <v>46038</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53048-2025</t>
        </is>
      </c>
      <c r="B32" s="1" t="n">
        <v>45958.36018518519</v>
      </c>
      <c r="C32" s="1" t="n">
        <v>46038</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46038</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12444-2024</t>
        </is>
      </c>
      <c r="B34" s="1" t="n">
        <v>45379.46285879629</v>
      </c>
      <c r="C34" s="1" t="n">
        <v>46038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59826-2025</t>
        </is>
      </c>
      <c r="B35" s="1" t="n">
        <v>45992.65416666667</v>
      </c>
      <c r="C35" s="1" t="n">
        <v>46038</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24872-2025</t>
        </is>
      </c>
      <c r="B36" s="1" t="n">
        <v>45799.49038194444</v>
      </c>
      <c r="C36" s="1" t="n">
        <v>46038</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46038</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46038</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46038</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29727-2023</t>
        </is>
      </c>
      <c r="B40" s="1" t="n">
        <v>45107</v>
      </c>
      <c r="C40" s="1" t="n">
        <v>46038</v>
      </c>
      <c r="D40" t="inlineStr">
        <is>
          <t>VÄSTMANLANDS LÄN</t>
        </is>
      </c>
      <c r="E40" t="inlineStr">
        <is>
          <t>SALA</t>
        </is>
      </c>
      <c r="G40" t="n">
        <v>1.9</v>
      </c>
      <c r="H40" t="n">
        <v>0</v>
      </c>
      <c r="I40" t="n">
        <v>0</v>
      </c>
      <c r="J40" t="n">
        <v>1</v>
      </c>
      <c r="K40" t="n">
        <v>0</v>
      </c>
      <c r="L40" t="n">
        <v>0</v>
      </c>
      <c r="M40" t="n">
        <v>0</v>
      </c>
      <c r="N40" t="n">
        <v>0</v>
      </c>
      <c r="O40" t="n">
        <v>1</v>
      </c>
      <c r="P40" t="n">
        <v>0</v>
      </c>
      <c r="Q40" t="n">
        <v>1</v>
      </c>
      <c r="R40" s="2" t="inlineStr">
        <is>
          <t>Vedtrappmossa</t>
        </is>
      </c>
      <c r="S40">
        <f>HYPERLINK("https://klasma.github.io/Logging_1981/artfynd/A 29727-2023 artfynd.xlsx", "A 29727-2023")</f>
        <v/>
      </c>
      <c r="T40">
        <f>HYPERLINK("https://klasma.github.io/Logging_1981/kartor/A 29727-2023 karta.png", "A 29727-2023")</f>
        <v/>
      </c>
      <c r="V40">
        <f>HYPERLINK("https://klasma.github.io/Logging_1981/klagomål/A 29727-2023 FSC-klagomål.docx", "A 29727-2023")</f>
        <v/>
      </c>
      <c r="W40">
        <f>HYPERLINK("https://klasma.github.io/Logging_1981/klagomålsmail/A 29727-2023 FSC-klagomål mail.docx", "A 29727-2023")</f>
        <v/>
      </c>
      <c r="X40">
        <f>HYPERLINK("https://klasma.github.io/Logging_1981/tillsyn/A 29727-2023 tillsynsbegäran.docx", "A 29727-2023")</f>
        <v/>
      </c>
      <c r="Y40">
        <f>HYPERLINK("https://klasma.github.io/Logging_1981/tillsynsmail/A 29727-2023 tillsynsbegäran mail.docx", "A 29727-2023")</f>
        <v/>
      </c>
    </row>
    <row r="41" ht="15" customHeight="1">
      <c r="A41" t="inlineStr">
        <is>
          <t>A 14775-2023</t>
        </is>
      </c>
      <c r="B41" s="1" t="n">
        <v>45014</v>
      </c>
      <c r="C41" s="1" t="n">
        <v>46038</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12509-2023</t>
        </is>
      </c>
      <c r="B42" s="1" t="n">
        <v>44999.95988425926</v>
      </c>
      <c r="C42" s="1" t="n">
        <v>46038</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37166-2024</t>
        </is>
      </c>
      <c r="B43" s="1" t="n">
        <v>45539</v>
      </c>
      <c r="C43" s="1" t="n">
        <v>46038</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19361-2025</t>
        </is>
      </c>
      <c r="B44" s="1" t="n">
        <v>45769.63357638889</v>
      </c>
      <c r="C44" s="1" t="n">
        <v>46038</v>
      </c>
      <c r="D44" t="inlineStr">
        <is>
          <t>VÄSTMANLANDS LÄN</t>
        </is>
      </c>
      <c r="E44" t="inlineStr">
        <is>
          <t>SALA</t>
        </is>
      </c>
      <c r="F44" t="inlineStr">
        <is>
          <t>Bergvik skog öst AB</t>
        </is>
      </c>
      <c r="G44" t="n">
        <v>8.9</v>
      </c>
      <c r="H44" t="n">
        <v>0</v>
      </c>
      <c r="I44" t="n">
        <v>0</v>
      </c>
      <c r="J44" t="n">
        <v>1</v>
      </c>
      <c r="K44" t="n">
        <v>0</v>
      </c>
      <c r="L44" t="n">
        <v>0</v>
      </c>
      <c r="M44" t="n">
        <v>0</v>
      </c>
      <c r="N44" t="n">
        <v>0</v>
      </c>
      <c r="O44" t="n">
        <v>1</v>
      </c>
      <c r="P44" t="n">
        <v>0</v>
      </c>
      <c r="Q44" t="n">
        <v>1</v>
      </c>
      <c r="R44" s="2" t="inlineStr">
        <is>
          <t>Garnlav</t>
        </is>
      </c>
      <c r="S44">
        <f>HYPERLINK("https://klasma.github.io/Logging_1981/artfynd/A 19361-2025 artfynd.xlsx", "A 19361-2025")</f>
        <v/>
      </c>
      <c r="T44">
        <f>HYPERLINK("https://klasma.github.io/Logging_1981/kartor/A 19361-2025 karta.png", "A 19361-2025")</f>
        <v/>
      </c>
      <c r="V44">
        <f>HYPERLINK("https://klasma.github.io/Logging_1981/klagomål/A 19361-2025 FSC-klagomål.docx", "A 19361-2025")</f>
        <v/>
      </c>
      <c r="W44">
        <f>HYPERLINK("https://klasma.github.io/Logging_1981/klagomålsmail/A 19361-2025 FSC-klagomål mail.docx", "A 19361-2025")</f>
        <v/>
      </c>
      <c r="X44">
        <f>HYPERLINK("https://klasma.github.io/Logging_1981/tillsyn/A 19361-2025 tillsynsbegäran.docx", "A 19361-2025")</f>
        <v/>
      </c>
      <c r="Y44">
        <f>HYPERLINK("https://klasma.github.io/Logging_1981/tillsynsmail/A 19361-2025 tillsynsbegäran mail.docx", "A 19361-2025")</f>
        <v/>
      </c>
    </row>
    <row r="45" ht="15" customHeight="1">
      <c r="A45" t="inlineStr">
        <is>
          <t>A 41570-2021</t>
        </is>
      </c>
      <c r="B45" s="1" t="n">
        <v>44425</v>
      </c>
      <c r="C45" s="1" t="n">
        <v>46038</v>
      </c>
      <c r="D45" t="inlineStr">
        <is>
          <t>VÄSTMANLANDS LÄN</t>
        </is>
      </c>
      <c r="E45" t="inlineStr">
        <is>
          <t>SALA</t>
        </is>
      </c>
      <c r="G45" t="n">
        <v>1.4</v>
      </c>
      <c r="H45" t="n">
        <v>0</v>
      </c>
      <c r="I45" t="n">
        <v>0</v>
      </c>
      <c r="J45" t="n">
        <v>1</v>
      </c>
      <c r="K45" t="n">
        <v>0</v>
      </c>
      <c r="L45" t="n">
        <v>0</v>
      </c>
      <c r="M45" t="n">
        <v>0</v>
      </c>
      <c r="N45" t="n">
        <v>0</v>
      </c>
      <c r="O45" t="n">
        <v>1</v>
      </c>
      <c r="P45" t="n">
        <v>0</v>
      </c>
      <c r="Q45" t="n">
        <v>1</v>
      </c>
      <c r="R45" s="2" t="inlineStr">
        <is>
          <t>Vedtrappmossa</t>
        </is>
      </c>
      <c r="S45">
        <f>HYPERLINK("https://klasma.github.io/Logging_1981/artfynd/A 41570-2021 artfynd.xlsx", "A 41570-2021")</f>
        <v/>
      </c>
      <c r="T45">
        <f>HYPERLINK("https://klasma.github.io/Logging_1981/kartor/A 41570-2021 karta.png", "A 41570-2021")</f>
        <v/>
      </c>
      <c r="V45">
        <f>HYPERLINK("https://klasma.github.io/Logging_1981/klagomål/A 41570-2021 FSC-klagomål.docx", "A 41570-2021")</f>
        <v/>
      </c>
      <c r="W45">
        <f>HYPERLINK("https://klasma.github.io/Logging_1981/klagomålsmail/A 41570-2021 FSC-klagomål mail.docx", "A 41570-2021")</f>
        <v/>
      </c>
      <c r="X45">
        <f>HYPERLINK("https://klasma.github.io/Logging_1981/tillsyn/A 41570-2021 tillsynsbegäran.docx", "A 41570-2021")</f>
        <v/>
      </c>
      <c r="Y45">
        <f>HYPERLINK("https://klasma.github.io/Logging_1981/tillsynsmail/A 41570-2021 tillsynsbegäran mail.docx", "A 41570-2021")</f>
        <v/>
      </c>
    </row>
    <row r="46" ht="15" customHeight="1">
      <c r="A46" t="inlineStr">
        <is>
          <t>A 60852-2024</t>
        </is>
      </c>
      <c r="B46" s="1" t="n">
        <v>45644</v>
      </c>
      <c r="C46" s="1" t="n">
        <v>46038</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43175-2023</t>
        </is>
      </c>
      <c r="B47" s="1" t="n">
        <v>45183</v>
      </c>
      <c r="C47" s="1" t="n">
        <v>46038</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55550-2023</t>
        </is>
      </c>
      <c r="B48" s="1" t="n">
        <v>45232</v>
      </c>
      <c r="C48" s="1" t="n">
        <v>46038</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48705-2025</t>
        </is>
      </c>
      <c r="B49" s="1" t="n">
        <v>45936.62290509259</v>
      </c>
      <c r="C49" s="1" t="n">
        <v>46038</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41270-2024</t>
        </is>
      </c>
      <c r="B50" s="1" t="n">
        <v>45559</v>
      </c>
      <c r="C50" s="1" t="n">
        <v>46038</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50268-2025</t>
        </is>
      </c>
      <c r="B51" s="1" t="n">
        <v>45944.35162037037</v>
      </c>
      <c r="C51" s="1" t="n">
        <v>46038</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53052-2025</t>
        </is>
      </c>
      <c r="B52" s="1" t="n">
        <v>45958.36266203703</v>
      </c>
      <c r="C52" s="1" t="n">
        <v>46038</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55995-2025</t>
        </is>
      </c>
      <c r="B53" s="1" t="n">
        <v>45973.56733796297</v>
      </c>
      <c r="C53" s="1" t="n">
        <v>46038</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43068-2024</t>
        </is>
      </c>
      <c r="B54" s="1" t="n">
        <v>45567</v>
      </c>
      <c r="C54" s="1" t="n">
        <v>46038</v>
      </c>
      <c r="D54" t="inlineStr">
        <is>
          <t>VÄSTMANLANDS LÄN</t>
        </is>
      </c>
      <c r="E54" t="inlineStr">
        <is>
          <t>SALA</t>
        </is>
      </c>
      <c r="G54" t="n">
        <v>1.1</v>
      </c>
      <c r="H54" t="n">
        <v>0</v>
      </c>
      <c r="I54" t="n">
        <v>1</v>
      </c>
      <c r="J54" t="n">
        <v>0</v>
      </c>
      <c r="K54" t="n">
        <v>0</v>
      </c>
      <c r="L54" t="n">
        <v>0</v>
      </c>
      <c r="M54" t="n">
        <v>0</v>
      </c>
      <c r="N54" t="n">
        <v>0</v>
      </c>
      <c r="O54" t="n">
        <v>0</v>
      </c>
      <c r="P54" t="n">
        <v>0</v>
      </c>
      <c r="Q54" t="n">
        <v>1</v>
      </c>
      <c r="R54" s="2" t="inlineStr">
        <is>
          <t>Vedticka</t>
        </is>
      </c>
      <c r="S54">
        <f>HYPERLINK("https://klasma.github.io/Logging_1981/artfynd/A 43068-2024 artfynd.xlsx", "A 43068-2024")</f>
        <v/>
      </c>
      <c r="T54">
        <f>HYPERLINK("https://klasma.github.io/Logging_1981/kartor/A 43068-2024 karta.png", "A 43068-2024")</f>
        <v/>
      </c>
      <c r="V54">
        <f>HYPERLINK("https://klasma.github.io/Logging_1981/klagomål/A 43068-2024 FSC-klagomål.docx", "A 43068-2024")</f>
        <v/>
      </c>
      <c r="W54">
        <f>HYPERLINK("https://klasma.github.io/Logging_1981/klagomålsmail/A 43068-2024 FSC-klagomål mail.docx", "A 43068-2024")</f>
        <v/>
      </c>
      <c r="X54">
        <f>HYPERLINK("https://klasma.github.io/Logging_1981/tillsyn/A 43068-2024 tillsynsbegäran.docx", "A 43068-2024")</f>
        <v/>
      </c>
      <c r="Y54">
        <f>HYPERLINK("https://klasma.github.io/Logging_1981/tillsynsmail/A 43068-2024 tillsynsbegäran mail.docx", "A 43068-2024")</f>
        <v/>
      </c>
    </row>
    <row r="55" ht="15" customHeight="1">
      <c r="A55" t="inlineStr">
        <is>
          <t>A 7919-2022</t>
        </is>
      </c>
      <c r="B55" s="1" t="n">
        <v>44608</v>
      </c>
      <c r="C55" s="1" t="n">
        <v>46038</v>
      </c>
      <c r="D55" t="inlineStr">
        <is>
          <t>VÄSTMANLANDS LÄN</t>
        </is>
      </c>
      <c r="E55" t="inlineStr">
        <is>
          <t>SALA</t>
        </is>
      </c>
      <c r="F55" t="inlineStr">
        <is>
          <t>Bergvik skog öst AB</t>
        </is>
      </c>
      <c r="G55" t="n">
        <v>4.5</v>
      </c>
      <c r="H55" t="n">
        <v>1</v>
      </c>
      <c r="I55" t="n">
        <v>0</v>
      </c>
      <c r="J55" t="n">
        <v>1</v>
      </c>
      <c r="K55" t="n">
        <v>0</v>
      </c>
      <c r="L55" t="n">
        <v>0</v>
      </c>
      <c r="M55" t="n">
        <v>0</v>
      </c>
      <c r="N55" t="n">
        <v>0</v>
      </c>
      <c r="O55" t="n">
        <v>1</v>
      </c>
      <c r="P55" t="n">
        <v>0</v>
      </c>
      <c r="Q55" t="n">
        <v>1</v>
      </c>
      <c r="R55" s="2" t="inlineStr">
        <is>
          <t>Ävjepilört</t>
        </is>
      </c>
      <c r="S55">
        <f>HYPERLINK("https://klasma.github.io/Logging_1981/artfynd/A 7919-2022 artfynd.xlsx", "A 7919-2022")</f>
        <v/>
      </c>
      <c r="T55">
        <f>HYPERLINK("https://klasma.github.io/Logging_1981/kartor/A 7919-2022 karta.png", "A 7919-2022")</f>
        <v/>
      </c>
      <c r="V55">
        <f>HYPERLINK("https://klasma.github.io/Logging_1981/klagomål/A 7919-2022 FSC-klagomål.docx", "A 7919-2022")</f>
        <v/>
      </c>
      <c r="W55">
        <f>HYPERLINK("https://klasma.github.io/Logging_1981/klagomålsmail/A 7919-2022 FSC-klagomål mail.docx", "A 7919-2022")</f>
        <v/>
      </c>
      <c r="X55">
        <f>HYPERLINK("https://klasma.github.io/Logging_1981/tillsyn/A 7919-2022 tillsynsbegäran.docx", "A 7919-2022")</f>
        <v/>
      </c>
      <c r="Y55">
        <f>HYPERLINK("https://klasma.github.io/Logging_1981/tillsynsmail/A 7919-2022 tillsynsbegäran mail.docx", "A 7919-2022")</f>
        <v/>
      </c>
    </row>
    <row r="56" ht="15" customHeight="1">
      <c r="A56" t="inlineStr">
        <is>
          <t>A 29985-2022</t>
        </is>
      </c>
      <c r="B56" s="1" t="n">
        <v>44756</v>
      </c>
      <c r="C56" s="1" t="n">
        <v>46038</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7731-2023</t>
        </is>
      </c>
      <c r="B57" s="1" t="n">
        <v>44973</v>
      </c>
      <c r="C57" s="1" t="n">
        <v>46038</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56704-2022</t>
        </is>
      </c>
      <c r="B58" s="1" t="n">
        <v>44893.78075231481</v>
      </c>
      <c r="C58" s="1" t="n">
        <v>46038</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21738-2025</t>
        </is>
      </c>
      <c r="B59" s="1" t="n">
        <v>45783.59173611111</v>
      </c>
      <c r="C59" s="1" t="n">
        <v>46038</v>
      </c>
      <c r="D59" t="inlineStr">
        <is>
          <t>VÄSTMANLANDS LÄN</t>
        </is>
      </c>
      <c r="E59" t="inlineStr">
        <is>
          <t>SALA</t>
        </is>
      </c>
      <c r="G59" t="n">
        <v>2.1</v>
      </c>
      <c r="H59" t="n">
        <v>0</v>
      </c>
      <c r="I59" t="n">
        <v>0</v>
      </c>
      <c r="J59" t="n">
        <v>1</v>
      </c>
      <c r="K59" t="n">
        <v>0</v>
      </c>
      <c r="L59" t="n">
        <v>0</v>
      </c>
      <c r="M59" t="n">
        <v>0</v>
      </c>
      <c r="N59" t="n">
        <v>0</v>
      </c>
      <c r="O59" t="n">
        <v>1</v>
      </c>
      <c r="P59" t="n">
        <v>0</v>
      </c>
      <c r="Q59" t="n">
        <v>1</v>
      </c>
      <c r="R59" s="2" t="inlineStr">
        <is>
          <t>Motaggsvamp</t>
        </is>
      </c>
      <c r="S59">
        <f>HYPERLINK("https://klasma.github.io/Logging_1981/artfynd/A 21738-2025 artfynd.xlsx", "A 21738-2025")</f>
        <v/>
      </c>
      <c r="T59">
        <f>HYPERLINK("https://klasma.github.io/Logging_1981/kartor/A 21738-2025 karta.png", "A 21738-2025")</f>
        <v/>
      </c>
      <c r="V59">
        <f>HYPERLINK("https://klasma.github.io/Logging_1981/klagomål/A 21738-2025 FSC-klagomål.docx", "A 21738-2025")</f>
        <v/>
      </c>
      <c r="W59">
        <f>HYPERLINK("https://klasma.github.io/Logging_1981/klagomålsmail/A 21738-2025 FSC-klagomål mail.docx", "A 21738-2025")</f>
        <v/>
      </c>
      <c r="X59">
        <f>HYPERLINK("https://klasma.github.io/Logging_1981/tillsyn/A 21738-2025 tillsynsbegäran.docx", "A 21738-2025")</f>
        <v/>
      </c>
      <c r="Y59">
        <f>HYPERLINK("https://klasma.github.io/Logging_1981/tillsynsmail/A 21738-2025 tillsynsbegäran mail.docx", "A 21738-2025")</f>
        <v/>
      </c>
    </row>
    <row r="60" ht="15" customHeight="1">
      <c r="A60" t="inlineStr">
        <is>
          <t>A 22950-2025</t>
        </is>
      </c>
      <c r="B60" s="1" t="n">
        <v>45790.50728009259</v>
      </c>
      <c r="C60" s="1" t="n">
        <v>46038</v>
      </c>
      <c r="D60" t="inlineStr">
        <is>
          <t>VÄSTMANLANDS LÄN</t>
        </is>
      </c>
      <c r="E60" t="inlineStr">
        <is>
          <t>SALA</t>
        </is>
      </c>
      <c r="G60" t="n">
        <v>6.2</v>
      </c>
      <c r="H60" t="n">
        <v>1</v>
      </c>
      <c r="I60" t="n">
        <v>0</v>
      </c>
      <c r="J60" t="n">
        <v>1</v>
      </c>
      <c r="K60" t="n">
        <v>0</v>
      </c>
      <c r="L60" t="n">
        <v>0</v>
      </c>
      <c r="M60" t="n">
        <v>0</v>
      </c>
      <c r="N60" t="n">
        <v>0</v>
      </c>
      <c r="O60" t="n">
        <v>1</v>
      </c>
      <c r="P60" t="n">
        <v>0</v>
      </c>
      <c r="Q60" t="n">
        <v>1</v>
      </c>
      <c r="R60" s="2" t="inlineStr">
        <is>
          <t>Svartvit flugsnappare</t>
        </is>
      </c>
      <c r="S60">
        <f>HYPERLINK("https://klasma.github.io/Logging_1981/artfynd/A 22950-2025 artfynd.xlsx", "A 22950-2025")</f>
        <v/>
      </c>
      <c r="T60">
        <f>HYPERLINK("https://klasma.github.io/Logging_1981/kartor/A 22950-2025 karta.png", "A 22950-2025")</f>
        <v/>
      </c>
      <c r="V60">
        <f>HYPERLINK("https://klasma.github.io/Logging_1981/klagomål/A 22950-2025 FSC-klagomål.docx", "A 22950-2025")</f>
        <v/>
      </c>
      <c r="W60">
        <f>HYPERLINK("https://klasma.github.io/Logging_1981/klagomålsmail/A 22950-2025 FSC-klagomål mail.docx", "A 22950-2025")</f>
        <v/>
      </c>
      <c r="X60">
        <f>HYPERLINK("https://klasma.github.io/Logging_1981/tillsyn/A 22950-2025 tillsynsbegäran.docx", "A 22950-2025")</f>
        <v/>
      </c>
      <c r="Y60">
        <f>HYPERLINK("https://klasma.github.io/Logging_1981/tillsynsmail/A 22950-2025 tillsynsbegäran mail.docx", "A 22950-2025")</f>
        <v/>
      </c>
      <c r="Z60">
        <f>HYPERLINK("https://klasma.github.io/Logging_1981/fåglar/A 22950-2025 prioriterade fågelarter.docx", "A 22950-2025")</f>
        <v/>
      </c>
    </row>
    <row r="61" ht="15" customHeight="1">
      <c r="A61" t="inlineStr">
        <is>
          <t>A 32594-2025</t>
        </is>
      </c>
      <c r="B61" s="1" t="n">
        <v>45838</v>
      </c>
      <c r="C61" s="1" t="n">
        <v>46038</v>
      </c>
      <c r="D61" t="inlineStr">
        <is>
          <t>VÄSTMANLANDS LÄN</t>
        </is>
      </c>
      <c r="E61" t="inlineStr">
        <is>
          <t>SALA</t>
        </is>
      </c>
      <c r="F61" t="inlineStr">
        <is>
          <t>Bergvik skog öst AB</t>
        </is>
      </c>
      <c r="G61" t="n">
        <v>0.9</v>
      </c>
      <c r="H61" t="n">
        <v>1</v>
      </c>
      <c r="I61" t="n">
        <v>0</v>
      </c>
      <c r="J61" t="n">
        <v>0</v>
      </c>
      <c r="K61" t="n">
        <v>0</v>
      </c>
      <c r="L61" t="n">
        <v>0</v>
      </c>
      <c r="M61" t="n">
        <v>0</v>
      </c>
      <c r="N61" t="n">
        <v>0</v>
      </c>
      <c r="O61" t="n">
        <v>0</v>
      </c>
      <c r="P61" t="n">
        <v>0</v>
      </c>
      <c r="Q61" t="n">
        <v>1</v>
      </c>
      <c r="R61" s="2" t="inlineStr">
        <is>
          <t>Blåsippa</t>
        </is>
      </c>
      <c r="S61">
        <f>HYPERLINK("https://klasma.github.io/Logging_1981/artfynd/A 32594-2025 artfynd.xlsx", "A 32594-2025")</f>
        <v/>
      </c>
      <c r="T61">
        <f>HYPERLINK("https://klasma.github.io/Logging_1981/kartor/A 32594-2025 karta.png", "A 32594-2025")</f>
        <v/>
      </c>
      <c r="V61">
        <f>HYPERLINK("https://klasma.github.io/Logging_1981/klagomål/A 32594-2025 FSC-klagomål.docx", "A 32594-2025")</f>
        <v/>
      </c>
      <c r="W61">
        <f>HYPERLINK("https://klasma.github.io/Logging_1981/klagomålsmail/A 32594-2025 FSC-klagomål mail.docx", "A 32594-2025")</f>
        <v/>
      </c>
      <c r="X61">
        <f>HYPERLINK("https://klasma.github.io/Logging_1981/tillsyn/A 32594-2025 tillsynsbegäran.docx", "A 32594-2025")</f>
        <v/>
      </c>
      <c r="Y61">
        <f>HYPERLINK("https://klasma.github.io/Logging_1981/tillsynsmail/A 32594-2025 tillsynsbegäran mail.docx", "A 32594-2025")</f>
        <v/>
      </c>
    </row>
    <row r="62" ht="15" customHeight="1">
      <c r="A62" t="inlineStr">
        <is>
          <t>A 22350-2024</t>
        </is>
      </c>
      <c r="B62" s="1" t="n">
        <v>45446</v>
      </c>
      <c r="C62" s="1" t="n">
        <v>46038</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Blåsippa</t>
        </is>
      </c>
      <c r="S62">
        <f>HYPERLINK("https://klasma.github.io/Logging_1981/artfynd/A 22350-2024 artfynd.xlsx", "A 22350-2024")</f>
        <v/>
      </c>
      <c r="T62">
        <f>HYPERLINK("https://klasma.github.io/Logging_1981/kartor/A 22350-2024 karta.png", "A 22350-2024")</f>
        <v/>
      </c>
      <c r="V62">
        <f>HYPERLINK("https://klasma.github.io/Logging_1981/klagomål/A 22350-2024 FSC-klagomål.docx", "A 22350-2024")</f>
        <v/>
      </c>
      <c r="W62">
        <f>HYPERLINK("https://klasma.github.io/Logging_1981/klagomålsmail/A 22350-2024 FSC-klagomål mail.docx", "A 22350-2024")</f>
        <v/>
      </c>
      <c r="X62">
        <f>HYPERLINK("https://klasma.github.io/Logging_1981/tillsyn/A 22350-2024 tillsynsbegäran.docx", "A 22350-2024")</f>
        <v/>
      </c>
      <c r="Y62">
        <f>HYPERLINK("https://klasma.github.io/Logging_1981/tillsynsmail/A 22350-2024 tillsynsbegäran mail.docx", "A 22350-2024")</f>
        <v/>
      </c>
    </row>
    <row r="63" ht="15" customHeight="1">
      <c r="A63" t="inlineStr">
        <is>
          <t>A 38255-2025</t>
        </is>
      </c>
      <c r="B63" s="1" t="n">
        <v>45883.38020833334</v>
      </c>
      <c r="C63" s="1" t="n">
        <v>46038</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66561-2021</t>
        </is>
      </c>
      <c r="B64" s="1" t="n">
        <v>44519.41648148148</v>
      </c>
      <c r="C64" s="1" t="n">
        <v>46038</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46038</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46038</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46038</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46038</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46038</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46038</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46038</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73668-2021</t>
        </is>
      </c>
      <c r="B72" s="1" t="n">
        <v>44552.461875</v>
      </c>
      <c r="C72" s="1" t="n">
        <v>46038</v>
      </c>
      <c r="D72" t="inlineStr">
        <is>
          <t>VÄSTMANLANDS LÄN</t>
        </is>
      </c>
      <c r="E72" t="inlineStr">
        <is>
          <t>SALA</t>
        </is>
      </c>
      <c r="G72" t="n">
        <v>1</v>
      </c>
      <c r="H72" t="n">
        <v>0</v>
      </c>
      <c r="I72" t="n">
        <v>0</v>
      </c>
      <c r="J72" t="n">
        <v>0</v>
      </c>
      <c r="K72" t="n">
        <v>0</v>
      </c>
      <c r="L72" t="n">
        <v>0</v>
      </c>
      <c r="M72" t="n">
        <v>0</v>
      </c>
      <c r="N72" t="n">
        <v>0</v>
      </c>
      <c r="O72" t="n">
        <v>0</v>
      </c>
      <c r="P72" t="n">
        <v>0</v>
      </c>
      <c r="Q72" t="n">
        <v>0</v>
      </c>
      <c r="R72" s="2" t="inlineStr"/>
    </row>
    <row r="73" ht="15" customHeight="1">
      <c r="A73" t="inlineStr">
        <is>
          <t>A 49086-2022</t>
        </is>
      </c>
      <c r="B73" s="1" t="n">
        <v>44860</v>
      </c>
      <c r="C73" s="1" t="n">
        <v>46038</v>
      </c>
      <c r="D73" t="inlineStr">
        <is>
          <t>VÄSTMANLANDS LÄN</t>
        </is>
      </c>
      <c r="E73" t="inlineStr">
        <is>
          <t>SALA</t>
        </is>
      </c>
      <c r="G73" t="n">
        <v>0.9</v>
      </c>
      <c r="H73" t="n">
        <v>0</v>
      </c>
      <c r="I73" t="n">
        <v>0</v>
      </c>
      <c r="J73" t="n">
        <v>0</v>
      </c>
      <c r="K73" t="n">
        <v>0</v>
      </c>
      <c r="L73" t="n">
        <v>0</v>
      </c>
      <c r="M73" t="n">
        <v>0</v>
      </c>
      <c r="N73" t="n">
        <v>0</v>
      </c>
      <c r="O73" t="n">
        <v>0</v>
      </c>
      <c r="P73" t="n">
        <v>0</v>
      </c>
      <c r="Q73" t="n">
        <v>0</v>
      </c>
      <c r="R73" s="2" t="inlineStr"/>
    </row>
    <row r="74" ht="15" customHeight="1">
      <c r="A74" t="inlineStr">
        <is>
          <t>A 17897-2022</t>
        </is>
      </c>
      <c r="B74" s="1" t="n">
        <v>44683</v>
      </c>
      <c r="C74" s="1" t="n">
        <v>46038</v>
      </c>
      <c r="D74" t="inlineStr">
        <is>
          <t>VÄSTMANLANDS LÄN</t>
        </is>
      </c>
      <c r="E74" t="inlineStr">
        <is>
          <t>SALA</t>
        </is>
      </c>
      <c r="G74" t="n">
        <v>1.2</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46038</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46038</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46038</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46038</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46038</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43103-2022</t>
        </is>
      </c>
      <c r="B80" s="1" t="n">
        <v>44833.68795138889</v>
      </c>
      <c r="C80" s="1" t="n">
        <v>46038</v>
      </c>
      <c r="D80" t="inlineStr">
        <is>
          <t>VÄSTMANLANDS LÄN</t>
        </is>
      </c>
      <c r="E80" t="inlineStr">
        <is>
          <t>SALA</t>
        </is>
      </c>
      <c r="G80" t="n">
        <v>0.6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46038</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4281-2022</t>
        </is>
      </c>
      <c r="B82" s="1" t="n">
        <v>44588</v>
      </c>
      <c r="C82" s="1" t="n">
        <v>46038</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47701-2021</t>
        </is>
      </c>
      <c r="B83" s="1" t="n">
        <v>44448</v>
      </c>
      <c r="C83" s="1" t="n">
        <v>46038</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46038</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46038</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46038</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55733-2022</t>
        </is>
      </c>
      <c r="B87" s="1" t="n">
        <v>44888.58435185185</v>
      </c>
      <c r="C87" s="1" t="n">
        <v>46038</v>
      </c>
      <c r="D87" t="inlineStr">
        <is>
          <t>VÄSTMANLANDS LÄN</t>
        </is>
      </c>
      <c r="E87" t="inlineStr">
        <is>
          <t>SALA</t>
        </is>
      </c>
      <c r="G87" t="n">
        <v>0.4</v>
      </c>
      <c r="H87" t="n">
        <v>0</v>
      </c>
      <c r="I87" t="n">
        <v>0</v>
      </c>
      <c r="J87" t="n">
        <v>0</v>
      </c>
      <c r="K87" t="n">
        <v>0</v>
      </c>
      <c r="L87" t="n">
        <v>0</v>
      </c>
      <c r="M87" t="n">
        <v>0</v>
      </c>
      <c r="N87" t="n">
        <v>0</v>
      </c>
      <c r="O87" t="n">
        <v>0</v>
      </c>
      <c r="P87" t="n">
        <v>0</v>
      </c>
      <c r="Q87" t="n">
        <v>0</v>
      </c>
      <c r="R87" s="2" t="inlineStr"/>
    </row>
    <row r="88" ht="15" customHeight="1">
      <c r="A88" t="inlineStr">
        <is>
          <t>A 54520-2021</t>
        </is>
      </c>
      <c r="B88" s="1" t="n">
        <v>44473</v>
      </c>
      <c r="C88" s="1" t="n">
        <v>46038</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19058-2022</t>
        </is>
      </c>
      <c r="B89" s="1" t="n">
        <v>44691.4336574074</v>
      </c>
      <c r="C89" s="1" t="n">
        <v>46038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46038</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29228-2022</t>
        </is>
      </c>
      <c r="B91" s="1" t="n">
        <v>44750</v>
      </c>
      <c r="C91" s="1" t="n">
        <v>46038</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939-2022</t>
        </is>
      </c>
      <c r="B92" s="1" t="n">
        <v>44571</v>
      </c>
      <c r="C92" s="1" t="n">
        <v>46038</v>
      </c>
      <c r="D92" t="inlineStr">
        <is>
          <t>VÄSTMANLANDS LÄN</t>
        </is>
      </c>
      <c r="E92" t="inlineStr">
        <is>
          <t>SALA</t>
        </is>
      </c>
      <c r="G92" t="n">
        <v>0.5</v>
      </c>
      <c r="H92" t="n">
        <v>0</v>
      </c>
      <c r="I92" t="n">
        <v>0</v>
      </c>
      <c r="J92" t="n">
        <v>0</v>
      </c>
      <c r="K92" t="n">
        <v>0</v>
      </c>
      <c r="L92" t="n">
        <v>0</v>
      </c>
      <c r="M92" t="n">
        <v>0</v>
      </c>
      <c r="N92" t="n">
        <v>0</v>
      </c>
      <c r="O92" t="n">
        <v>0</v>
      </c>
      <c r="P92" t="n">
        <v>0</v>
      </c>
      <c r="Q92" t="n">
        <v>0</v>
      </c>
      <c r="R92" s="2" t="inlineStr"/>
    </row>
    <row r="93" ht="15" customHeight="1">
      <c r="A93" t="inlineStr">
        <is>
          <t>A 6667-2022</t>
        </is>
      </c>
      <c r="B93" s="1" t="n">
        <v>44602.38149305555</v>
      </c>
      <c r="C93" s="1" t="n">
        <v>46038</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46038</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40153-2021</t>
        </is>
      </c>
      <c r="B95" s="1" t="n">
        <v>44418</v>
      </c>
      <c r="C95" s="1" t="n">
        <v>46038</v>
      </c>
      <c r="D95" t="inlineStr">
        <is>
          <t>VÄSTMANLANDS LÄN</t>
        </is>
      </c>
      <c r="E95" t="inlineStr">
        <is>
          <t>SALA</t>
        </is>
      </c>
      <c r="G95" t="n">
        <v>2.8</v>
      </c>
      <c r="H95" t="n">
        <v>0</v>
      </c>
      <c r="I95" t="n">
        <v>0</v>
      </c>
      <c r="J95" t="n">
        <v>0</v>
      </c>
      <c r="K95" t="n">
        <v>0</v>
      </c>
      <c r="L95" t="n">
        <v>0</v>
      </c>
      <c r="M95" t="n">
        <v>0</v>
      </c>
      <c r="N95" t="n">
        <v>0</v>
      </c>
      <c r="O95" t="n">
        <v>0</v>
      </c>
      <c r="P95" t="n">
        <v>0</v>
      </c>
      <c r="Q95" t="n">
        <v>0</v>
      </c>
      <c r="R95" s="2" t="inlineStr"/>
    </row>
    <row r="96" ht="15" customHeight="1">
      <c r="A96" t="inlineStr">
        <is>
          <t>A 40157-2021</t>
        </is>
      </c>
      <c r="B96" s="1" t="n">
        <v>44418.65399305556</v>
      </c>
      <c r="C96" s="1" t="n">
        <v>46038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46038</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8513-2021</t>
        </is>
      </c>
      <c r="B98" s="1" t="n">
        <v>44244</v>
      </c>
      <c r="C98" s="1" t="n">
        <v>46038</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4237-2022</t>
        </is>
      </c>
      <c r="B99" s="1" t="n">
        <v>44588.64377314815</v>
      </c>
      <c r="C99" s="1" t="n">
        <v>46038</v>
      </c>
      <c r="D99" t="inlineStr">
        <is>
          <t>VÄSTMANLANDS LÄN</t>
        </is>
      </c>
      <c r="E99" t="inlineStr">
        <is>
          <t>SALA</t>
        </is>
      </c>
      <c r="G99" t="n">
        <v>1.2</v>
      </c>
      <c r="H99" t="n">
        <v>0</v>
      </c>
      <c r="I99" t="n">
        <v>0</v>
      </c>
      <c r="J99" t="n">
        <v>0</v>
      </c>
      <c r="K99" t="n">
        <v>0</v>
      </c>
      <c r="L99" t="n">
        <v>0</v>
      </c>
      <c r="M99" t="n">
        <v>0</v>
      </c>
      <c r="N99" t="n">
        <v>0</v>
      </c>
      <c r="O99" t="n">
        <v>0</v>
      </c>
      <c r="P99" t="n">
        <v>0</v>
      </c>
      <c r="Q99" t="n">
        <v>0</v>
      </c>
      <c r="R99" s="2" t="inlineStr"/>
    </row>
    <row r="100" ht="15" customHeight="1">
      <c r="A100" t="inlineStr">
        <is>
          <t>A 7955-2021</t>
        </is>
      </c>
      <c r="B100" s="1" t="n">
        <v>44243</v>
      </c>
      <c r="C100" s="1" t="n">
        <v>46038</v>
      </c>
      <c r="D100" t="inlineStr">
        <is>
          <t>VÄSTMANLANDS LÄN</t>
        </is>
      </c>
      <c r="E100" t="inlineStr">
        <is>
          <t>SALA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51377-2022</t>
        </is>
      </c>
      <c r="B101" s="1" t="n">
        <v>44866</v>
      </c>
      <c r="C101" s="1" t="n">
        <v>46038</v>
      </c>
      <c r="D101" t="inlineStr">
        <is>
          <t>VÄSTMANLANDS LÄN</t>
        </is>
      </c>
      <c r="E101" t="inlineStr">
        <is>
          <t>SALA</t>
        </is>
      </c>
      <c r="G101" t="n">
        <v>6.3</v>
      </c>
      <c r="H101" t="n">
        <v>0</v>
      </c>
      <c r="I101" t="n">
        <v>0</v>
      </c>
      <c r="J101" t="n">
        <v>0</v>
      </c>
      <c r="K101" t="n">
        <v>0</v>
      </c>
      <c r="L101" t="n">
        <v>0</v>
      </c>
      <c r="M101" t="n">
        <v>0</v>
      </c>
      <c r="N101" t="n">
        <v>0</v>
      </c>
      <c r="O101" t="n">
        <v>0</v>
      </c>
      <c r="P101" t="n">
        <v>0</v>
      </c>
      <c r="Q101" t="n">
        <v>0</v>
      </c>
      <c r="R101" s="2" t="inlineStr"/>
    </row>
    <row r="102" ht="15" customHeight="1">
      <c r="A102" t="inlineStr">
        <is>
          <t>A 68355-2021</t>
        </is>
      </c>
      <c r="B102" s="1" t="n">
        <v>44528</v>
      </c>
      <c r="C102" s="1" t="n">
        <v>46038</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46038</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44318-2022</t>
        </is>
      </c>
      <c r="B104" s="1" t="n">
        <v>44839.64516203704</v>
      </c>
      <c r="C104" s="1" t="n">
        <v>46038</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46038</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15850-2022</t>
        </is>
      </c>
      <c r="B106" s="1" t="n">
        <v>44664.43082175926</v>
      </c>
      <c r="C106" s="1" t="n">
        <v>46038</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1043-2022</t>
        </is>
      </c>
      <c r="B107" s="1" t="n">
        <v>44571.66552083333</v>
      </c>
      <c r="C107" s="1" t="n">
        <v>46038</v>
      </c>
      <c r="D107" t="inlineStr">
        <is>
          <t>VÄSTMANLANDS LÄN</t>
        </is>
      </c>
      <c r="E107" t="inlineStr">
        <is>
          <t>SALA</t>
        </is>
      </c>
      <c r="G107" t="n">
        <v>1.1</v>
      </c>
      <c r="H107" t="n">
        <v>0</v>
      </c>
      <c r="I107" t="n">
        <v>0</v>
      </c>
      <c r="J107" t="n">
        <v>0</v>
      </c>
      <c r="K107" t="n">
        <v>0</v>
      </c>
      <c r="L107" t="n">
        <v>0</v>
      </c>
      <c r="M107" t="n">
        <v>0</v>
      </c>
      <c r="N107" t="n">
        <v>0</v>
      </c>
      <c r="O107" t="n">
        <v>0</v>
      </c>
      <c r="P107" t="n">
        <v>0</v>
      </c>
      <c r="Q107" t="n">
        <v>0</v>
      </c>
      <c r="R107" s="2" t="inlineStr"/>
    </row>
    <row r="108" ht="15" customHeight="1">
      <c r="A108" t="inlineStr">
        <is>
          <t>A 18378-2021</t>
        </is>
      </c>
      <c r="B108" s="1" t="n">
        <v>44305</v>
      </c>
      <c r="C108" s="1" t="n">
        <v>46038</v>
      </c>
      <c r="D108" t="inlineStr">
        <is>
          <t>VÄSTMANLANDS LÄN</t>
        </is>
      </c>
      <c r="E108" t="inlineStr">
        <is>
          <t>SALA</t>
        </is>
      </c>
      <c r="F108" t="inlineStr">
        <is>
          <t>Kommuner</t>
        </is>
      </c>
      <c r="G108" t="n">
        <v>0.9</v>
      </c>
      <c r="H108" t="n">
        <v>0</v>
      </c>
      <c r="I108" t="n">
        <v>0</v>
      </c>
      <c r="J108" t="n">
        <v>0</v>
      </c>
      <c r="K108" t="n">
        <v>0</v>
      </c>
      <c r="L108" t="n">
        <v>0</v>
      </c>
      <c r="M108" t="n">
        <v>0</v>
      </c>
      <c r="N108" t="n">
        <v>0</v>
      </c>
      <c r="O108" t="n">
        <v>0</v>
      </c>
      <c r="P108" t="n">
        <v>0</v>
      </c>
      <c r="Q108" t="n">
        <v>0</v>
      </c>
      <c r="R108" s="2" t="inlineStr"/>
    </row>
    <row r="109" ht="15" customHeight="1">
      <c r="A109" t="inlineStr">
        <is>
          <t>A 18189-2021</t>
        </is>
      </c>
      <c r="B109" s="1" t="n">
        <v>44302.67659722222</v>
      </c>
      <c r="C109" s="1" t="n">
        <v>46038</v>
      </c>
      <c r="D109" t="inlineStr">
        <is>
          <t>VÄSTMANLANDS LÄN</t>
        </is>
      </c>
      <c r="E109" t="inlineStr">
        <is>
          <t>SALA</t>
        </is>
      </c>
      <c r="G109" t="n">
        <v>0.7</v>
      </c>
      <c r="H109" t="n">
        <v>0</v>
      </c>
      <c r="I109" t="n">
        <v>0</v>
      </c>
      <c r="J109" t="n">
        <v>0</v>
      </c>
      <c r="K109" t="n">
        <v>0</v>
      </c>
      <c r="L109" t="n">
        <v>0</v>
      </c>
      <c r="M109" t="n">
        <v>0</v>
      </c>
      <c r="N109" t="n">
        <v>0</v>
      </c>
      <c r="O109" t="n">
        <v>0</v>
      </c>
      <c r="P109" t="n">
        <v>0</v>
      </c>
      <c r="Q109" t="n">
        <v>0</v>
      </c>
      <c r="R109" s="2" t="inlineStr"/>
    </row>
    <row r="110" ht="15" customHeight="1">
      <c r="A110" t="inlineStr">
        <is>
          <t>A 18951-2021</t>
        </is>
      </c>
      <c r="B110" s="1" t="n">
        <v>44308</v>
      </c>
      <c r="C110" s="1" t="n">
        <v>46038</v>
      </c>
      <c r="D110" t="inlineStr">
        <is>
          <t>VÄSTMANLANDS LÄN</t>
        </is>
      </c>
      <c r="E110" t="inlineStr">
        <is>
          <t>SALA</t>
        </is>
      </c>
      <c r="G110" t="n">
        <v>0.3</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46038</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37856-2021</t>
        </is>
      </c>
      <c r="B112" s="1" t="n">
        <v>44403</v>
      </c>
      <c r="C112" s="1" t="n">
        <v>46038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37872-2021</t>
        </is>
      </c>
      <c r="B113" s="1" t="n">
        <v>44403</v>
      </c>
      <c r="C113" s="1" t="n">
        <v>46038</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65835-2021</t>
        </is>
      </c>
      <c r="B114" s="1" t="n">
        <v>44517</v>
      </c>
      <c r="C114" s="1" t="n">
        <v>46038</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46038</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46038</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30170-2021</t>
        </is>
      </c>
      <c r="B117" s="1" t="n">
        <v>44363</v>
      </c>
      <c r="C117" s="1" t="n">
        <v>46038</v>
      </c>
      <c r="D117" t="inlineStr">
        <is>
          <t>VÄSTMANLANDS LÄN</t>
        </is>
      </c>
      <c r="E117" t="inlineStr">
        <is>
          <t>SALA</t>
        </is>
      </c>
      <c r="G117" t="n">
        <v>7.2</v>
      </c>
      <c r="H117" t="n">
        <v>0</v>
      </c>
      <c r="I117" t="n">
        <v>0</v>
      </c>
      <c r="J117" t="n">
        <v>0</v>
      </c>
      <c r="K117" t="n">
        <v>0</v>
      </c>
      <c r="L117" t="n">
        <v>0</v>
      </c>
      <c r="M117" t="n">
        <v>0</v>
      </c>
      <c r="N117" t="n">
        <v>0</v>
      </c>
      <c r="O117" t="n">
        <v>0</v>
      </c>
      <c r="P117" t="n">
        <v>0</v>
      </c>
      <c r="Q117" t="n">
        <v>0</v>
      </c>
      <c r="R117" s="2" t="inlineStr"/>
    </row>
    <row r="118" ht="15" customHeight="1">
      <c r="A118" t="inlineStr">
        <is>
          <t>A 53432-2022</t>
        </is>
      </c>
      <c r="B118" s="1" t="n">
        <v>44879</v>
      </c>
      <c r="C118" s="1" t="n">
        <v>46038</v>
      </c>
      <c r="D118" t="inlineStr">
        <is>
          <t>VÄSTMANLANDS LÄN</t>
        </is>
      </c>
      <c r="E118" t="inlineStr">
        <is>
          <t>SALA</t>
        </is>
      </c>
      <c r="G118" t="n">
        <v>1</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46038</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23757-2022</t>
        </is>
      </c>
      <c r="B121" s="1" t="n">
        <v>44722.37339120371</v>
      </c>
      <c r="C121" s="1" t="n">
        <v>46038</v>
      </c>
      <c r="D121" t="inlineStr">
        <is>
          <t>VÄSTMANLANDS LÄN</t>
        </is>
      </c>
      <c r="E121" t="inlineStr">
        <is>
          <t>SALA</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46038</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46038</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46038</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46038</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46038</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8130-2022</t>
        </is>
      </c>
      <c r="B127" s="1" t="n">
        <v>44609.5984837963</v>
      </c>
      <c r="C127" s="1" t="n">
        <v>46038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46038</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65818-2021</t>
        </is>
      </c>
      <c r="B129" s="1" t="n">
        <v>44517</v>
      </c>
      <c r="C129" s="1" t="n">
        <v>46038</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46038</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46038</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51596-2022</t>
        </is>
      </c>
      <c r="B132" s="1" t="n">
        <v>44871</v>
      </c>
      <c r="C132" s="1" t="n">
        <v>46038</v>
      </c>
      <c r="D132" t="inlineStr">
        <is>
          <t>VÄSTMANLANDS LÄN</t>
        </is>
      </c>
      <c r="E132" t="inlineStr">
        <is>
          <t>SALA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46038</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46038</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46038</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18385-2021</t>
        </is>
      </c>
      <c r="B136" s="1" t="n">
        <v>44305</v>
      </c>
      <c r="C136" s="1" t="n">
        <v>46038</v>
      </c>
      <c r="D136" t="inlineStr">
        <is>
          <t>VÄSTMANLANDS LÄN</t>
        </is>
      </c>
      <c r="E136" t="inlineStr">
        <is>
          <t>SALA</t>
        </is>
      </c>
      <c r="F136" t="inlineStr">
        <is>
          <t>Kommuner</t>
        </is>
      </c>
      <c r="G136" t="n">
        <v>0.6</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46038</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46038</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46038</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46038</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46038</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46038</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46038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25603-2022</t>
        </is>
      </c>
      <c r="B144" s="1" t="n">
        <v>44732</v>
      </c>
      <c r="C144" s="1" t="n">
        <v>46038</v>
      </c>
      <c r="D144" t="inlineStr">
        <is>
          <t>VÄSTMANLANDS LÄN</t>
        </is>
      </c>
      <c r="E144" t="inlineStr">
        <is>
          <t>SALA</t>
        </is>
      </c>
      <c r="G144" t="n">
        <v>2</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46038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46038</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46038</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46038</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46038</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46038</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46038</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46038</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22575-2022</t>
        </is>
      </c>
      <c r="B153" s="1" t="n">
        <v>44713</v>
      </c>
      <c r="C153" s="1" t="n">
        <v>46038</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46038</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40094-2022</t>
        </is>
      </c>
      <c r="B155" s="1" t="n">
        <v>44819</v>
      </c>
      <c r="C155" s="1" t="n">
        <v>46038</v>
      </c>
      <c r="D155" t="inlineStr">
        <is>
          <t>VÄSTMANLANDS LÄN</t>
        </is>
      </c>
      <c r="E155" t="inlineStr">
        <is>
          <t>SALA</t>
        </is>
      </c>
      <c r="G155" t="n">
        <v>1.7</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46038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46038</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46038</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46038</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14047-2021</t>
        </is>
      </c>
      <c r="B160" s="1" t="n">
        <v>44277</v>
      </c>
      <c r="C160" s="1" t="n">
        <v>46038</v>
      </c>
      <c r="D160" t="inlineStr">
        <is>
          <t>VÄSTMANLANDS LÄN</t>
        </is>
      </c>
      <c r="E160" t="inlineStr">
        <is>
          <t>SALA</t>
        </is>
      </c>
      <c r="F160" t="inlineStr">
        <is>
          <t>Kyrkan</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46038</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46038</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46038</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46038</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40113-2022</t>
        </is>
      </c>
      <c r="B165" s="1" t="n">
        <v>44819</v>
      </c>
      <c r="C165" s="1" t="n">
        <v>46038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29233-2022</t>
        </is>
      </c>
      <c r="B166" s="1" t="n">
        <v>44750</v>
      </c>
      <c r="C166" s="1" t="n">
        <v>46038</v>
      </c>
      <c r="D166" t="inlineStr">
        <is>
          <t>VÄSTMANLANDS LÄN</t>
        </is>
      </c>
      <c r="E166" t="inlineStr">
        <is>
          <t>SALA</t>
        </is>
      </c>
      <c r="G166" t="n">
        <v>2.4</v>
      </c>
      <c r="H166" t="n">
        <v>0</v>
      </c>
      <c r="I166" t="n">
        <v>0</v>
      </c>
      <c r="J166" t="n">
        <v>0</v>
      </c>
      <c r="K166" t="n">
        <v>0</v>
      </c>
      <c r="L166" t="n">
        <v>0</v>
      </c>
      <c r="M166" t="n">
        <v>0</v>
      </c>
      <c r="N166" t="n">
        <v>0</v>
      </c>
      <c r="O166" t="n">
        <v>0</v>
      </c>
      <c r="P166" t="n">
        <v>0</v>
      </c>
      <c r="Q166" t="n">
        <v>0</v>
      </c>
      <c r="R166" s="2" t="inlineStr"/>
    </row>
    <row r="167" ht="15" customHeight="1">
      <c r="A167" t="inlineStr">
        <is>
          <t>A 45015-2022</t>
        </is>
      </c>
      <c r="B167" s="1" t="n">
        <v>44841.63766203704</v>
      </c>
      <c r="C167" s="1" t="n">
        <v>46038</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46038</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10168-2022</t>
        </is>
      </c>
      <c r="B169" s="1" t="n">
        <v>44622.37693287037</v>
      </c>
      <c r="C169" s="1" t="n">
        <v>46038</v>
      </c>
      <c r="D169" t="inlineStr">
        <is>
          <t>VÄSTMANLANDS LÄN</t>
        </is>
      </c>
      <c r="E169" t="inlineStr">
        <is>
          <t>SALA</t>
        </is>
      </c>
      <c r="G169" t="n">
        <v>2.1</v>
      </c>
      <c r="H169" t="n">
        <v>0</v>
      </c>
      <c r="I169" t="n">
        <v>0</v>
      </c>
      <c r="J169" t="n">
        <v>0</v>
      </c>
      <c r="K169" t="n">
        <v>0</v>
      </c>
      <c r="L169" t="n">
        <v>0</v>
      </c>
      <c r="M169" t="n">
        <v>0</v>
      </c>
      <c r="N169" t="n">
        <v>0</v>
      </c>
      <c r="O169" t="n">
        <v>0</v>
      </c>
      <c r="P169" t="n">
        <v>0</v>
      </c>
      <c r="Q169" t="n">
        <v>0</v>
      </c>
      <c r="R169" s="2" t="inlineStr"/>
    </row>
    <row r="170" ht="15" customHeight="1">
      <c r="A170" t="inlineStr">
        <is>
          <t>A 41876-2022</t>
        </is>
      </c>
      <c r="B170" s="1" t="n">
        <v>44829.97008101852</v>
      </c>
      <c r="C170" s="1" t="n">
        <v>46038</v>
      </c>
      <c r="D170" t="inlineStr">
        <is>
          <t>VÄSTMANLANDS LÄN</t>
        </is>
      </c>
      <c r="E170" t="inlineStr">
        <is>
          <t>SALA</t>
        </is>
      </c>
      <c r="G170" t="n">
        <v>3.6</v>
      </c>
      <c r="H170" t="n">
        <v>0</v>
      </c>
      <c r="I170" t="n">
        <v>0</v>
      </c>
      <c r="J170" t="n">
        <v>0</v>
      </c>
      <c r="K170" t="n">
        <v>0</v>
      </c>
      <c r="L170" t="n">
        <v>0</v>
      </c>
      <c r="M170" t="n">
        <v>0</v>
      </c>
      <c r="N170" t="n">
        <v>0</v>
      </c>
      <c r="O170" t="n">
        <v>0</v>
      </c>
      <c r="P170" t="n">
        <v>0</v>
      </c>
      <c r="Q170" t="n">
        <v>0</v>
      </c>
      <c r="R170" s="2" t="inlineStr"/>
    </row>
    <row r="171" ht="15" customHeight="1">
      <c r="A171" t="inlineStr">
        <is>
          <t>A 67958-2021</t>
        </is>
      </c>
      <c r="B171" s="1" t="n">
        <v>44525</v>
      </c>
      <c r="C171" s="1" t="n">
        <v>46038</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46038</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37881-2021</t>
        </is>
      </c>
      <c r="B173" s="1" t="n">
        <v>44403</v>
      </c>
      <c r="C173" s="1" t="n">
        <v>46038</v>
      </c>
      <c r="D173" t="inlineStr">
        <is>
          <t>VÄSTMANLANDS LÄN</t>
        </is>
      </c>
      <c r="E173" t="inlineStr">
        <is>
          <t>SALA</t>
        </is>
      </c>
      <c r="G173" t="n">
        <v>4.6</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46038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46038</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72805-2021</t>
        </is>
      </c>
      <c r="B176" s="1" t="n">
        <v>44546</v>
      </c>
      <c r="C176" s="1" t="n">
        <v>46038</v>
      </c>
      <c r="D176" t="inlineStr">
        <is>
          <t>VÄSTMANLANDS LÄN</t>
        </is>
      </c>
      <c r="E176" t="inlineStr">
        <is>
          <t>SALA</t>
        </is>
      </c>
      <c r="G176" t="n">
        <v>7.8</v>
      </c>
      <c r="H176" t="n">
        <v>0</v>
      </c>
      <c r="I176" t="n">
        <v>0</v>
      </c>
      <c r="J176" t="n">
        <v>0</v>
      </c>
      <c r="K176" t="n">
        <v>0</v>
      </c>
      <c r="L176" t="n">
        <v>0</v>
      </c>
      <c r="M176" t="n">
        <v>0</v>
      </c>
      <c r="N176" t="n">
        <v>0</v>
      </c>
      <c r="O176" t="n">
        <v>0</v>
      </c>
      <c r="P176" t="n">
        <v>0</v>
      </c>
      <c r="Q176" t="n">
        <v>0</v>
      </c>
      <c r="R176" s="2" t="inlineStr"/>
    </row>
    <row r="177" ht="15" customHeight="1">
      <c r="A177" t="inlineStr">
        <is>
          <t>A 72808-2021</t>
        </is>
      </c>
      <c r="B177" s="1" t="n">
        <v>44546</v>
      </c>
      <c r="C177" s="1" t="n">
        <v>46038</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13022-2023</t>
        </is>
      </c>
      <c r="B178" s="1" t="n">
        <v>45002.33291666667</v>
      </c>
      <c r="C178" s="1" t="n">
        <v>46038</v>
      </c>
      <c r="D178" t="inlineStr">
        <is>
          <t>VÄSTMANLANDS LÄN</t>
        </is>
      </c>
      <c r="E178" t="inlineStr">
        <is>
          <t>SALA</t>
        </is>
      </c>
      <c r="G178" t="n">
        <v>1.5</v>
      </c>
      <c r="H178" t="n">
        <v>0</v>
      </c>
      <c r="I178" t="n">
        <v>0</v>
      </c>
      <c r="J178" t="n">
        <v>0</v>
      </c>
      <c r="K178" t="n">
        <v>0</v>
      </c>
      <c r="L178" t="n">
        <v>0</v>
      </c>
      <c r="M178" t="n">
        <v>0</v>
      </c>
      <c r="N178" t="n">
        <v>0</v>
      </c>
      <c r="O178" t="n">
        <v>0</v>
      </c>
      <c r="P178" t="n">
        <v>0</v>
      </c>
      <c r="Q178" t="n">
        <v>0</v>
      </c>
      <c r="R178" s="2" t="inlineStr"/>
    </row>
    <row r="179" ht="15" customHeight="1">
      <c r="A179" t="inlineStr">
        <is>
          <t>A 4853-2023</t>
        </is>
      </c>
      <c r="B179" s="1" t="n">
        <v>44957.73234953704</v>
      </c>
      <c r="C179" s="1" t="n">
        <v>46038</v>
      </c>
      <c r="D179" t="inlineStr">
        <is>
          <t>VÄSTMANLANDS LÄN</t>
        </is>
      </c>
      <c r="E179" t="inlineStr">
        <is>
          <t>SALA</t>
        </is>
      </c>
      <c r="G179" t="n">
        <v>2.7</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46038</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12246-2023</t>
        </is>
      </c>
      <c r="B181" s="1" t="n">
        <v>44995</v>
      </c>
      <c r="C181" s="1" t="n">
        <v>46038</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46038</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6127-2025</t>
        </is>
      </c>
      <c r="B183" s="1" t="n">
        <v>45698</v>
      </c>
      <c r="C183" s="1" t="n">
        <v>46038</v>
      </c>
      <c r="D183" t="inlineStr">
        <is>
          <t>VÄSTMANLANDS LÄN</t>
        </is>
      </c>
      <c r="E183" t="inlineStr">
        <is>
          <t>SALA</t>
        </is>
      </c>
      <c r="F183" t="inlineStr">
        <is>
          <t>Bergvik skog öst AB</t>
        </is>
      </c>
      <c r="G183" t="n">
        <v>4.3</v>
      </c>
      <c r="H183" t="n">
        <v>0</v>
      </c>
      <c r="I183" t="n">
        <v>0</v>
      </c>
      <c r="J183" t="n">
        <v>0</v>
      </c>
      <c r="K183" t="n">
        <v>0</v>
      </c>
      <c r="L183" t="n">
        <v>0</v>
      </c>
      <c r="M183" t="n">
        <v>0</v>
      </c>
      <c r="N183" t="n">
        <v>0</v>
      </c>
      <c r="O183" t="n">
        <v>0</v>
      </c>
      <c r="P183" t="n">
        <v>0</v>
      </c>
      <c r="Q183" t="n">
        <v>0</v>
      </c>
      <c r="R183" s="2" t="inlineStr"/>
    </row>
    <row r="184" ht="15" customHeight="1">
      <c r="A184" t="inlineStr">
        <is>
          <t>A 42447-2022</t>
        </is>
      </c>
      <c r="B184" s="1" t="n">
        <v>44831</v>
      </c>
      <c r="C184" s="1" t="n">
        <v>46038</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35462-2024</t>
        </is>
      </c>
      <c r="B185" s="1" t="n">
        <v>45531</v>
      </c>
      <c r="C185" s="1" t="n">
        <v>46038</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14024-2025</t>
        </is>
      </c>
      <c r="B186" s="1" t="n">
        <v>45740.34650462963</v>
      </c>
      <c r="C186" s="1" t="n">
        <v>46038</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26692-2023</t>
        </is>
      </c>
      <c r="B187" s="1" t="n">
        <v>45093.360625</v>
      </c>
      <c r="C187" s="1" t="n">
        <v>46038</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33732-2023</t>
        </is>
      </c>
      <c r="B188" s="1" t="n">
        <v>45133.32409722222</v>
      </c>
      <c r="C188" s="1" t="n">
        <v>46038</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54910-2023</t>
        </is>
      </c>
      <c r="B189" s="1" t="n">
        <v>45229</v>
      </c>
      <c r="C189" s="1" t="n">
        <v>46038</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988-2025</t>
        </is>
      </c>
      <c r="B190" s="1" t="n">
        <v>45666.44038194444</v>
      </c>
      <c r="C190" s="1" t="n">
        <v>46038</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59909-2024</t>
        </is>
      </c>
      <c r="B191" s="1" t="n">
        <v>45641</v>
      </c>
      <c r="C191" s="1" t="n">
        <v>46038</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62449-2023</t>
        </is>
      </c>
      <c r="B192" s="1" t="n">
        <v>45268.49008101852</v>
      </c>
      <c r="C192" s="1" t="n">
        <v>46038</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17458-2024</t>
        </is>
      </c>
      <c r="B193" s="1" t="n">
        <v>45415</v>
      </c>
      <c r="C193" s="1" t="n">
        <v>46038</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60328-2024</t>
        </is>
      </c>
      <c r="B194" s="1" t="n">
        <v>45643.38416666666</v>
      </c>
      <c r="C194" s="1" t="n">
        <v>46038</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46038</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35016-2024</t>
        </is>
      </c>
      <c r="B196" s="1" t="n">
        <v>45527.59115740741</v>
      </c>
      <c r="C196" s="1" t="n">
        <v>46038</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56543-2024</t>
        </is>
      </c>
      <c r="B197" s="1" t="n">
        <v>45625</v>
      </c>
      <c r="C197" s="1" t="n">
        <v>46038</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31950-2023</t>
        </is>
      </c>
      <c r="B198" s="1" t="n">
        <v>45107</v>
      </c>
      <c r="C198" s="1" t="n">
        <v>46038</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25897-2024</t>
        </is>
      </c>
      <c r="B199" s="1" t="n">
        <v>45467.54435185185</v>
      </c>
      <c r="C199" s="1" t="n">
        <v>46038</v>
      </c>
      <c r="D199" t="inlineStr">
        <is>
          <t>VÄSTMANLANDS LÄN</t>
        </is>
      </c>
      <c r="E199" t="inlineStr">
        <is>
          <t>SALA</t>
        </is>
      </c>
      <c r="G199" t="n">
        <v>9.9</v>
      </c>
      <c r="H199" t="n">
        <v>0</v>
      </c>
      <c r="I199" t="n">
        <v>0</v>
      </c>
      <c r="J199" t="n">
        <v>0</v>
      </c>
      <c r="K199" t="n">
        <v>0</v>
      </c>
      <c r="L199" t="n">
        <v>0</v>
      </c>
      <c r="M199" t="n">
        <v>0</v>
      </c>
      <c r="N199" t="n">
        <v>0</v>
      </c>
      <c r="O199" t="n">
        <v>0</v>
      </c>
      <c r="P199" t="n">
        <v>0</v>
      </c>
      <c r="Q199" t="n">
        <v>0</v>
      </c>
      <c r="R199" s="2" t="inlineStr"/>
    </row>
    <row r="200" ht="15" customHeight="1">
      <c r="A200" t="inlineStr">
        <is>
          <t>A 31072-2021</t>
        </is>
      </c>
      <c r="B200" s="1" t="n">
        <v>44368</v>
      </c>
      <c r="C200" s="1" t="n">
        <v>46038</v>
      </c>
      <c r="D200" t="inlineStr">
        <is>
          <t>VÄSTMANLANDS LÄN</t>
        </is>
      </c>
      <c r="E200" t="inlineStr">
        <is>
          <t>SALA</t>
        </is>
      </c>
      <c r="G200" t="n">
        <v>1.1</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46038</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46038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69232-2021</t>
        </is>
      </c>
      <c r="B203" s="1" t="n">
        <v>44531.39696759259</v>
      </c>
      <c r="C203" s="1" t="n">
        <v>46038</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57371-2022</t>
        </is>
      </c>
      <c r="B204" s="1" t="n">
        <v>44896.43832175926</v>
      </c>
      <c r="C204" s="1" t="n">
        <v>46038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22019-2021</t>
        </is>
      </c>
      <c r="B205" s="1" t="n">
        <v>44323</v>
      </c>
      <c r="C205" s="1" t="n">
        <v>46038</v>
      </c>
      <c r="D205" t="inlineStr">
        <is>
          <t>VÄSTMANLANDS LÄN</t>
        </is>
      </c>
      <c r="E205" t="inlineStr">
        <is>
          <t>SALA</t>
        </is>
      </c>
      <c r="G205" t="n">
        <v>1.9</v>
      </c>
      <c r="H205" t="n">
        <v>0</v>
      </c>
      <c r="I205" t="n">
        <v>0</v>
      </c>
      <c r="J205" t="n">
        <v>0</v>
      </c>
      <c r="K205" t="n">
        <v>0</v>
      </c>
      <c r="L205" t="n">
        <v>0</v>
      </c>
      <c r="M205" t="n">
        <v>0</v>
      </c>
      <c r="N205" t="n">
        <v>0</v>
      </c>
      <c r="O205" t="n">
        <v>0</v>
      </c>
      <c r="P205" t="n">
        <v>0</v>
      </c>
      <c r="Q205" t="n">
        <v>0</v>
      </c>
      <c r="R205" s="2" t="inlineStr"/>
    </row>
    <row r="206" ht="15" customHeight="1">
      <c r="A206" t="inlineStr">
        <is>
          <t>A 16767-2024</t>
        </is>
      </c>
      <c r="B206" s="1" t="n">
        <v>45411.38171296296</v>
      </c>
      <c r="C206" s="1" t="n">
        <v>46038</v>
      </c>
      <c r="D206" t="inlineStr">
        <is>
          <t>VÄSTMANLANDS LÄN</t>
        </is>
      </c>
      <c r="E206" t="inlineStr">
        <is>
          <t>SALA</t>
        </is>
      </c>
      <c r="G206" t="n">
        <v>2.5</v>
      </c>
      <c r="H206" t="n">
        <v>0</v>
      </c>
      <c r="I206" t="n">
        <v>0</v>
      </c>
      <c r="J206" t="n">
        <v>0</v>
      </c>
      <c r="K206" t="n">
        <v>0</v>
      </c>
      <c r="L206" t="n">
        <v>0</v>
      </c>
      <c r="M206" t="n">
        <v>0</v>
      </c>
      <c r="N206" t="n">
        <v>0</v>
      </c>
      <c r="O206" t="n">
        <v>0</v>
      </c>
      <c r="P206" t="n">
        <v>0</v>
      </c>
      <c r="Q206" t="n">
        <v>0</v>
      </c>
      <c r="R206" s="2" t="inlineStr"/>
    </row>
    <row r="207" ht="15" customHeight="1">
      <c r="A207" t="inlineStr">
        <is>
          <t>A 55784-2024</t>
        </is>
      </c>
      <c r="B207" s="1" t="n">
        <v>45623</v>
      </c>
      <c r="C207" s="1" t="n">
        <v>46038</v>
      </c>
      <c r="D207" t="inlineStr">
        <is>
          <t>VÄSTMANLANDS LÄN</t>
        </is>
      </c>
      <c r="E207" t="inlineStr">
        <is>
          <t>SALA</t>
        </is>
      </c>
      <c r="F207" t="inlineStr">
        <is>
          <t>Bergvik skog öst AB</t>
        </is>
      </c>
      <c r="G207" t="n">
        <v>28.4</v>
      </c>
      <c r="H207" t="n">
        <v>0</v>
      </c>
      <c r="I207" t="n">
        <v>0</v>
      </c>
      <c r="J207" t="n">
        <v>0</v>
      </c>
      <c r="K207" t="n">
        <v>0</v>
      </c>
      <c r="L207" t="n">
        <v>0</v>
      </c>
      <c r="M207" t="n">
        <v>0</v>
      </c>
      <c r="N207" t="n">
        <v>0</v>
      </c>
      <c r="O207" t="n">
        <v>0</v>
      </c>
      <c r="P207" t="n">
        <v>0</v>
      </c>
      <c r="Q207" t="n">
        <v>0</v>
      </c>
      <c r="R207" s="2" t="inlineStr"/>
    </row>
    <row r="208" ht="15" customHeight="1">
      <c r="A208" t="inlineStr">
        <is>
          <t>A 19398-2025</t>
        </is>
      </c>
      <c r="B208" s="1" t="n">
        <v>45769</v>
      </c>
      <c r="C208" s="1" t="n">
        <v>46038</v>
      </c>
      <c r="D208" t="inlineStr">
        <is>
          <t>VÄSTMANLANDS LÄN</t>
        </is>
      </c>
      <c r="E208" t="inlineStr">
        <is>
          <t>SALA</t>
        </is>
      </c>
      <c r="G208" t="n">
        <v>0.4</v>
      </c>
      <c r="H208" t="n">
        <v>0</v>
      </c>
      <c r="I208" t="n">
        <v>0</v>
      </c>
      <c r="J208" t="n">
        <v>0</v>
      </c>
      <c r="K208" t="n">
        <v>0</v>
      </c>
      <c r="L208" t="n">
        <v>0</v>
      </c>
      <c r="M208" t="n">
        <v>0</v>
      </c>
      <c r="N208" t="n">
        <v>0</v>
      </c>
      <c r="O208" t="n">
        <v>0</v>
      </c>
      <c r="P208" t="n">
        <v>0</v>
      </c>
      <c r="Q208" t="n">
        <v>0</v>
      </c>
      <c r="R208" s="2" t="inlineStr"/>
    </row>
    <row r="209" ht="15" customHeight="1">
      <c r="A209" t="inlineStr">
        <is>
          <t>A 6097-2022</t>
        </is>
      </c>
      <c r="B209" s="1" t="n">
        <v>44599</v>
      </c>
      <c r="C209" s="1" t="n">
        <v>46038</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16651-2021</t>
        </is>
      </c>
      <c r="B210" s="1" t="n">
        <v>44294.50096064815</v>
      </c>
      <c r="C210" s="1" t="n">
        <v>46038</v>
      </c>
      <c r="D210" t="inlineStr">
        <is>
          <t>VÄSTMANLANDS LÄN</t>
        </is>
      </c>
      <c r="E210" t="inlineStr">
        <is>
          <t>SALA</t>
        </is>
      </c>
      <c r="G210" t="n">
        <v>7.7</v>
      </c>
      <c r="H210" t="n">
        <v>0</v>
      </c>
      <c r="I210" t="n">
        <v>0</v>
      </c>
      <c r="J210" t="n">
        <v>0</v>
      </c>
      <c r="K210" t="n">
        <v>0</v>
      </c>
      <c r="L210" t="n">
        <v>0</v>
      </c>
      <c r="M210" t="n">
        <v>0</v>
      </c>
      <c r="N210" t="n">
        <v>0</v>
      </c>
      <c r="O210" t="n">
        <v>0</v>
      </c>
      <c r="P210" t="n">
        <v>0</v>
      </c>
      <c r="Q210" t="n">
        <v>0</v>
      </c>
      <c r="R210" s="2" t="inlineStr"/>
    </row>
    <row r="211" ht="15" customHeight="1">
      <c r="A211" t="inlineStr">
        <is>
          <t>A 4797-2023</t>
        </is>
      </c>
      <c r="B211" s="1" t="n">
        <v>44957</v>
      </c>
      <c r="C211" s="1" t="n">
        <v>46038</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61517-2024</t>
        </is>
      </c>
      <c r="B212" s="1" t="n">
        <v>45645</v>
      </c>
      <c r="C212" s="1" t="n">
        <v>46038</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19803-2024</t>
        </is>
      </c>
      <c r="B213" s="1" t="n">
        <v>45432</v>
      </c>
      <c r="C213" s="1" t="n">
        <v>46038</v>
      </c>
      <c r="D213" t="inlineStr">
        <is>
          <t>VÄSTMANLANDS LÄN</t>
        </is>
      </c>
      <c r="E213" t="inlineStr">
        <is>
          <t>SALA</t>
        </is>
      </c>
      <c r="G213" t="n">
        <v>3.1</v>
      </c>
      <c r="H213" t="n">
        <v>0</v>
      </c>
      <c r="I213" t="n">
        <v>0</v>
      </c>
      <c r="J213" t="n">
        <v>0</v>
      </c>
      <c r="K213" t="n">
        <v>0</v>
      </c>
      <c r="L213" t="n">
        <v>0</v>
      </c>
      <c r="M213" t="n">
        <v>0</v>
      </c>
      <c r="N213" t="n">
        <v>0</v>
      </c>
      <c r="O213" t="n">
        <v>0</v>
      </c>
      <c r="P213" t="n">
        <v>0</v>
      </c>
      <c r="Q213" t="n">
        <v>0</v>
      </c>
      <c r="R213" s="2" t="inlineStr"/>
    </row>
    <row r="214" ht="15" customHeight="1">
      <c r="A214" t="inlineStr">
        <is>
          <t>A 1638-2023</t>
        </is>
      </c>
      <c r="B214" s="1" t="n">
        <v>44937</v>
      </c>
      <c r="C214" s="1" t="n">
        <v>46038</v>
      </c>
      <c r="D214" t="inlineStr">
        <is>
          <t>VÄSTMANLANDS LÄN</t>
        </is>
      </c>
      <c r="E214" t="inlineStr">
        <is>
          <t>SALA</t>
        </is>
      </c>
      <c r="G214" t="n">
        <v>3.1</v>
      </c>
      <c r="H214" t="n">
        <v>0</v>
      </c>
      <c r="I214" t="n">
        <v>0</v>
      </c>
      <c r="J214" t="n">
        <v>0</v>
      </c>
      <c r="K214" t="n">
        <v>0</v>
      </c>
      <c r="L214" t="n">
        <v>0</v>
      </c>
      <c r="M214" t="n">
        <v>0</v>
      </c>
      <c r="N214" t="n">
        <v>0</v>
      </c>
      <c r="O214" t="n">
        <v>0</v>
      </c>
      <c r="P214" t="n">
        <v>0</v>
      </c>
      <c r="Q214" t="n">
        <v>0</v>
      </c>
      <c r="R214" s="2" t="inlineStr"/>
    </row>
    <row r="215" ht="15" customHeight="1">
      <c r="A215" t="inlineStr">
        <is>
          <t>A 25260-2023</t>
        </is>
      </c>
      <c r="B215" s="1" t="n">
        <v>45086</v>
      </c>
      <c r="C215" s="1" t="n">
        <v>46038</v>
      </c>
      <c r="D215" t="inlineStr">
        <is>
          <t>VÄSTMANLANDS LÄN</t>
        </is>
      </c>
      <c r="E215" t="inlineStr">
        <is>
          <t>SALA</t>
        </is>
      </c>
      <c r="F215" t="inlineStr">
        <is>
          <t>Sveaskog</t>
        </is>
      </c>
      <c r="G215" t="n">
        <v>3.2</v>
      </c>
      <c r="H215" t="n">
        <v>0</v>
      </c>
      <c r="I215" t="n">
        <v>0</v>
      </c>
      <c r="J215" t="n">
        <v>0</v>
      </c>
      <c r="K215" t="n">
        <v>0</v>
      </c>
      <c r="L215" t="n">
        <v>0</v>
      </c>
      <c r="M215" t="n">
        <v>0</v>
      </c>
      <c r="N215" t="n">
        <v>0</v>
      </c>
      <c r="O215" t="n">
        <v>0</v>
      </c>
      <c r="P215" t="n">
        <v>0</v>
      </c>
      <c r="Q215" t="n">
        <v>0</v>
      </c>
      <c r="R215" s="2" t="inlineStr"/>
    </row>
    <row r="216" ht="15" customHeight="1">
      <c r="A216" t="inlineStr">
        <is>
          <t>A 57404-2024</t>
        </is>
      </c>
      <c r="B216" s="1" t="n">
        <v>45629.71967592592</v>
      </c>
      <c r="C216" s="1" t="n">
        <v>46038</v>
      </c>
      <c r="D216" t="inlineStr">
        <is>
          <t>VÄSTMANLANDS LÄN</t>
        </is>
      </c>
      <c r="E216" t="inlineStr">
        <is>
          <t>SALA</t>
        </is>
      </c>
      <c r="G216" t="n">
        <v>0.3</v>
      </c>
      <c r="H216" t="n">
        <v>0</v>
      </c>
      <c r="I216" t="n">
        <v>0</v>
      </c>
      <c r="J216" t="n">
        <v>0</v>
      </c>
      <c r="K216" t="n">
        <v>0</v>
      </c>
      <c r="L216" t="n">
        <v>0</v>
      </c>
      <c r="M216" t="n">
        <v>0</v>
      </c>
      <c r="N216" t="n">
        <v>0</v>
      </c>
      <c r="O216" t="n">
        <v>0</v>
      </c>
      <c r="P216" t="n">
        <v>0</v>
      </c>
      <c r="Q216" t="n">
        <v>0</v>
      </c>
      <c r="R216" s="2" t="inlineStr"/>
    </row>
    <row r="217" ht="15" customHeight="1">
      <c r="A217" t="inlineStr">
        <is>
          <t>A 7196-2025</t>
        </is>
      </c>
      <c r="B217" s="1" t="n">
        <v>45702</v>
      </c>
      <c r="C217" s="1" t="n">
        <v>46038</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40597-2022</t>
        </is>
      </c>
      <c r="B218" s="1" t="n">
        <v>44823.84862268518</v>
      </c>
      <c r="C218" s="1" t="n">
        <v>46038</v>
      </c>
      <c r="D218" t="inlineStr">
        <is>
          <t>VÄSTMANLANDS LÄN</t>
        </is>
      </c>
      <c r="E218" t="inlineStr">
        <is>
          <t>SALA</t>
        </is>
      </c>
      <c r="G218" t="n">
        <v>3.5</v>
      </c>
      <c r="H218" t="n">
        <v>0</v>
      </c>
      <c r="I218" t="n">
        <v>0</v>
      </c>
      <c r="J218" t="n">
        <v>0</v>
      </c>
      <c r="K218" t="n">
        <v>0</v>
      </c>
      <c r="L218" t="n">
        <v>0</v>
      </c>
      <c r="M218" t="n">
        <v>0</v>
      </c>
      <c r="N218" t="n">
        <v>0</v>
      </c>
      <c r="O218" t="n">
        <v>0</v>
      </c>
      <c r="P218" t="n">
        <v>0</v>
      </c>
      <c r="Q218" t="n">
        <v>0</v>
      </c>
      <c r="R218" s="2" t="inlineStr"/>
    </row>
    <row r="219" ht="15" customHeight="1">
      <c r="A219" t="inlineStr">
        <is>
          <t>A 15972-2024</t>
        </is>
      </c>
      <c r="B219" s="1" t="n">
        <v>45405.56498842593</v>
      </c>
      <c r="C219" s="1" t="n">
        <v>46038</v>
      </c>
      <c r="D219" t="inlineStr">
        <is>
          <t>VÄSTMANLANDS LÄN</t>
        </is>
      </c>
      <c r="E219" t="inlineStr">
        <is>
          <t>SALA</t>
        </is>
      </c>
      <c r="G219" t="n">
        <v>1.8</v>
      </c>
      <c r="H219" t="n">
        <v>0</v>
      </c>
      <c r="I219" t="n">
        <v>0</v>
      </c>
      <c r="J219" t="n">
        <v>0</v>
      </c>
      <c r="K219" t="n">
        <v>0</v>
      </c>
      <c r="L219" t="n">
        <v>0</v>
      </c>
      <c r="M219" t="n">
        <v>0</v>
      </c>
      <c r="N219" t="n">
        <v>0</v>
      </c>
      <c r="O219" t="n">
        <v>0</v>
      </c>
      <c r="P219" t="n">
        <v>0</v>
      </c>
      <c r="Q219" t="n">
        <v>0</v>
      </c>
      <c r="R219" s="2" t="inlineStr"/>
    </row>
    <row r="220" ht="15" customHeight="1">
      <c r="A220" t="inlineStr">
        <is>
          <t>A 13128-2023</t>
        </is>
      </c>
      <c r="B220" s="1" t="n">
        <v>45002</v>
      </c>
      <c r="C220" s="1" t="n">
        <v>46038</v>
      </c>
      <c r="D220" t="inlineStr">
        <is>
          <t>VÄSTMANLANDS LÄN</t>
        </is>
      </c>
      <c r="E220" t="inlineStr">
        <is>
          <t>SALA</t>
        </is>
      </c>
      <c r="G220" t="n">
        <v>7.9</v>
      </c>
      <c r="H220" t="n">
        <v>0</v>
      </c>
      <c r="I220" t="n">
        <v>0</v>
      </c>
      <c r="J220" t="n">
        <v>0</v>
      </c>
      <c r="K220" t="n">
        <v>0</v>
      </c>
      <c r="L220" t="n">
        <v>0</v>
      </c>
      <c r="M220" t="n">
        <v>0</v>
      </c>
      <c r="N220" t="n">
        <v>0</v>
      </c>
      <c r="O220" t="n">
        <v>0</v>
      </c>
      <c r="P220" t="n">
        <v>0</v>
      </c>
      <c r="Q220" t="n">
        <v>0</v>
      </c>
      <c r="R220" s="2" t="inlineStr"/>
    </row>
    <row r="221" ht="15" customHeight="1">
      <c r="A221" t="inlineStr">
        <is>
          <t>A 37958-2024</t>
        </is>
      </c>
      <c r="B221" s="1" t="n">
        <v>45544</v>
      </c>
      <c r="C221" s="1" t="n">
        <v>46038</v>
      </c>
      <c r="D221" t="inlineStr">
        <is>
          <t>VÄSTMANLANDS LÄN</t>
        </is>
      </c>
      <c r="E221" t="inlineStr">
        <is>
          <t>SALA</t>
        </is>
      </c>
      <c r="G221" t="n">
        <v>5.6</v>
      </c>
      <c r="H221" t="n">
        <v>0</v>
      </c>
      <c r="I221" t="n">
        <v>0</v>
      </c>
      <c r="J221" t="n">
        <v>0</v>
      </c>
      <c r="K221" t="n">
        <v>0</v>
      </c>
      <c r="L221" t="n">
        <v>0</v>
      </c>
      <c r="M221" t="n">
        <v>0</v>
      </c>
      <c r="N221" t="n">
        <v>0</v>
      </c>
      <c r="O221" t="n">
        <v>0</v>
      </c>
      <c r="P221" t="n">
        <v>0</v>
      </c>
      <c r="Q221" t="n">
        <v>0</v>
      </c>
      <c r="R221" s="2" t="inlineStr"/>
    </row>
    <row r="222" ht="15" customHeight="1">
      <c r="A222" t="inlineStr">
        <is>
          <t>A 7681-2021</t>
        </is>
      </c>
      <c r="B222" s="1" t="n">
        <v>44242</v>
      </c>
      <c r="C222" s="1" t="n">
        <v>46038</v>
      </c>
      <c r="D222" t="inlineStr">
        <is>
          <t>VÄSTMANLANDS LÄN</t>
        </is>
      </c>
      <c r="E222" t="inlineStr">
        <is>
          <t>SALA</t>
        </is>
      </c>
      <c r="F222" t="inlineStr">
        <is>
          <t>Sveaskog</t>
        </is>
      </c>
      <c r="G222" t="n">
        <v>16.1</v>
      </c>
      <c r="H222" t="n">
        <v>0</v>
      </c>
      <c r="I222" t="n">
        <v>0</v>
      </c>
      <c r="J222" t="n">
        <v>0</v>
      </c>
      <c r="K222" t="n">
        <v>0</v>
      </c>
      <c r="L222" t="n">
        <v>0</v>
      </c>
      <c r="M222" t="n">
        <v>0</v>
      </c>
      <c r="N222" t="n">
        <v>0</v>
      </c>
      <c r="O222" t="n">
        <v>0</v>
      </c>
      <c r="P222" t="n">
        <v>0</v>
      </c>
      <c r="Q222" t="n">
        <v>0</v>
      </c>
      <c r="R222" s="2" t="inlineStr"/>
    </row>
    <row r="223" ht="15" customHeight="1">
      <c r="A223" t="inlineStr">
        <is>
          <t>A 14919-2025</t>
        </is>
      </c>
      <c r="B223" s="1" t="n">
        <v>45743.54256944444</v>
      </c>
      <c r="C223" s="1" t="n">
        <v>46038</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14920-2025</t>
        </is>
      </c>
      <c r="B224" s="1" t="n">
        <v>45743</v>
      </c>
      <c r="C224" s="1" t="n">
        <v>46038</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1555-2024</t>
        </is>
      </c>
      <c r="B225" s="1" t="n">
        <v>45306</v>
      </c>
      <c r="C225" s="1" t="n">
        <v>46038</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24864-2024</t>
        </is>
      </c>
      <c r="B226" s="1" t="n">
        <v>45461.48888888889</v>
      </c>
      <c r="C226" s="1" t="n">
        <v>46038</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40398-2021</t>
        </is>
      </c>
      <c r="B227" s="1" t="n">
        <v>44419</v>
      </c>
      <c r="C227" s="1" t="n">
        <v>46038</v>
      </c>
      <c r="D227" t="inlineStr">
        <is>
          <t>VÄSTMANLANDS LÄN</t>
        </is>
      </c>
      <c r="E227" t="inlineStr">
        <is>
          <t>SALA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64925-2023</t>
        </is>
      </c>
      <c r="B228" s="1" t="n">
        <v>45282</v>
      </c>
      <c r="C228" s="1" t="n">
        <v>46038</v>
      </c>
      <c r="D228" t="inlineStr">
        <is>
          <t>VÄSTMANLANDS LÄN</t>
        </is>
      </c>
      <c r="E228" t="inlineStr">
        <is>
          <t>SALA</t>
        </is>
      </c>
      <c r="G228" t="n">
        <v>2.5</v>
      </c>
      <c r="H228" t="n">
        <v>0</v>
      </c>
      <c r="I228" t="n">
        <v>0</v>
      </c>
      <c r="J228" t="n">
        <v>0</v>
      </c>
      <c r="K228" t="n">
        <v>0</v>
      </c>
      <c r="L228" t="n">
        <v>0</v>
      </c>
      <c r="M228" t="n">
        <v>0</v>
      </c>
      <c r="N228" t="n">
        <v>0</v>
      </c>
      <c r="O228" t="n">
        <v>0</v>
      </c>
      <c r="P228" t="n">
        <v>0</v>
      </c>
      <c r="Q228" t="n">
        <v>0</v>
      </c>
      <c r="R228" s="2" t="inlineStr"/>
    </row>
    <row r="229" ht="15" customHeight="1">
      <c r="A229" t="inlineStr">
        <is>
          <t>A 23406-2024</t>
        </is>
      </c>
      <c r="B229" s="1" t="n">
        <v>45453.58296296297</v>
      </c>
      <c r="C229" s="1" t="n">
        <v>46038</v>
      </c>
      <c r="D229" t="inlineStr">
        <is>
          <t>VÄSTMANLANDS LÄN</t>
        </is>
      </c>
      <c r="E229" t="inlineStr">
        <is>
          <t>SALA</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16133-2025</t>
        </is>
      </c>
      <c r="B230" s="1" t="n">
        <v>45750</v>
      </c>
      <c r="C230" s="1" t="n">
        <v>46038</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24755-2021</t>
        </is>
      </c>
      <c r="B231" s="1" t="n">
        <v>44340</v>
      </c>
      <c r="C231" s="1" t="n">
        <v>46038</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15099-2025</t>
        </is>
      </c>
      <c r="B232" s="1" t="n">
        <v>45744.3434837963</v>
      </c>
      <c r="C232" s="1" t="n">
        <v>46038</v>
      </c>
      <c r="D232" t="inlineStr">
        <is>
          <t>VÄSTMANLANDS LÄN</t>
        </is>
      </c>
      <c r="E232" t="inlineStr">
        <is>
          <t>SALA</t>
        </is>
      </c>
      <c r="F232" t="inlineStr">
        <is>
          <t>Sveaskog</t>
        </is>
      </c>
      <c r="G232" t="n">
        <v>14.4</v>
      </c>
      <c r="H232" t="n">
        <v>0</v>
      </c>
      <c r="I232" t="n">
        <v>0</v>
      </c>
      <c r="J232" t="n">
        <v>0</v>
      </c>
      <c r="K232" t="n">
        <v>0</v>
      </c>
      <c r="L232" t="n">
        <v>0</v>
      </c>
      <c r="M232" t="n">
        <v>0</v>
      </c>
      <c r="N232" t="n">
        <v>0</v>
      </c>
      <c r="O232" t="n">
        <v>0</v>
      </c>
      <c r="P232" t="n">
        <v>0</v>
      </c>
      <c r="Q232" t="n">
        <v>0</v>
      </c>
      <c r="R232" s="2" t="inlineStr"/>
    </row>
    <row r="233" ht="15" customHeight="1">
      <c r="A233" t="inlineStr">
        <is>
          <t>A 15756-2025</t>
        </is>
      </c>
      <c r="B233" s="1" t="n">
        <v>45748.56810185185</v>
      </c>
      <c r="C233" s="1" t="n">
        <v>46038</v>
      </c>
      <c r="D233" t="inlineStr">
        <is>
          <t>VÄSTMANLANDS LÄN</t>
        </is>
      </c>
      <c r="E233" t="inlineStr">
        <is>
          <t>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31000-2022</t>
        </is>
      </c>
      <c r="B234" s="1" t="n">
        <v>44768</v>
      </c>
      <c r="C234" s="1" t="n">
        <v>46038</v>
      </c>
      <c r="D234" t="inlineStr">
        <is>
          <t>VÄSTMANLANDS LÄN</t>
        </is>
      </c>
      <c r="E234" t="inlineStr">
        <is>
          <t>SALA</t>
        </is>
      </c>
      <c r="G234" t="n">
        <v>5.7</v>
      </c>
      <c r="H234" t="n">
        <v>0</v>
      </c>
      <c r="I234" t="n">
        <v>0</v>
      </c>
      <c r="J234" t="n">
        <v>0</v>
      </c>
      <c r="K234" t="n">
        <v>0</v>
      </c>
      <c r="L234" t="n">
        <v>0</v>
      </c>
      <c r="M234" t="n">
        <v>0</v>
      </c>
      <c r="N234" t="n">
        <v>0</v>
      </c>
      <c r="O234" t="n">
        <v>0</v>
      </c>
      <c r="P234" t="n">
        <v>0</v>
      </c>
      <c r="Q234" t="n">
        <v>0</v>
      </c>
      <c r="R234" s="2" t="inlineStr"/>
    </row>
    <row r="235" ht="15" customHeight="1">
      <c r="A235" t="inlineStr">
        <is>
          <t>A 60036-2024</t>
        </is>
      </c>
      <c r="B235" s="1" t="n">
        <v>45642.46434027778</v>
      </c>
      <c r="C235" s="1" t="n">
        <v>46038</v>
      </c>
      <c r="D235" t="inlineStr">
        <is>
          <t>VÄSTMANLANDS LÄN</t>
        </is>
      </c>
      <c r="E235" t="inlineStr">
        <is>
          <t>SALA</t>
        </is>
      </c>
      <c r="G235" t="n">
        <v>2.5</v>
      </c>
      <c r="H235" t="n">
        <v>0</v>
      </c>
      <c r="I235" t="n">
        <v>0</v>
      </c>
      <c r="J235" t="n">
        <v>0</v>
      </c>
      <c r="K235" t="n">
        <v>0</v>
      </c>
      <c r="L235" t="n">
        <v>0</v>
      </c>
      <c r="M235" t="n">
        <v>0</v>
      </c>
      <c r="N235" t="n">
        <v>0</v>
      </c>
      <c r="O235" t="n">
        <v>0</v>
      </c>
      <c r="P235" t="n">
        <v>0</v>
      </c>
      <c r="Q235" t="n">
        <v>0</v>
      </c>
      <c r="R235" s="2" t="inlineStr"/>
    </row>
    <row r="236" ht="15" customHeight="1">
      <c r="A236" t="inlineStr">
        <is>
          <t>A 37183-2024</t>
        </is>
      </c>
      <c r="B236" s="1" t="n">
        <v>45539</v>
      </c>
      <c r="C236" s="1" t="n">
        <v>46038</v>
      </c>
      <c r="D236" t="inlineStr">
        <is>
          <t>VÄSTMANLANDS LÄN</t>
        </is>
      </c>
      <c r="E236" t="inlineStr">
        <is>
          <t>SALA</t>
        </is>
      </c>
      <c r="G236" t="n">
        <v>1.2</v>
      </c>
      <c r="H236" t="n">
        <v>0</v>
      </c>
      <c r="I236" t="n">
        <v>0</v>
      </c>
      <c r="J236" t="n">
        <v>0</v>
      </c>
      <c r="K236" t="n">
        <v>0</v>
      </c>
      <c r="L236" t="n">
        <v>0</v>
      </c>
      <c r="M236" t="n">
        <v>0</v>
      </c>
      <c r="N236" t="n">
        <v>0</v>
      </c>
      <c r="O236" t="n">
        <v>0</v>
      </c>
      <c r="P236" t="n">
        <v>0</v>
      </c>
      <c r="Q236" t="n">
        <v>0</v>
      </c>
      <c r="R236" s="2" t="inlineStr"/>
    </row>
    <row r="237" ht="15" customHeight="1">
      <c r="A237" t="inlineStr">
        <is>
          <t>A 52827-2024</t>
        </is>
      </c>
      <c r="B237" s="1" t="n">
        <v>45610</v>
      </c>
      <c r="C237" s="1" t="n">
        <v>46038</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27229-2022</t>
        </is>
      </c>
      <c r="B238" s="1" t="n">
        <v>44741</v>
      </c>
      <c r="C238" s="1" t="n">
        <v>46038</v>
      </c>
      <c r="D238" t="inlineStr">
        <is>
          <t>VÄSTMANLANDS LÄN</t>
        </is>
      </c>
      <c r="E238" t="inlineStr">
        <is>
          <t>SALA</t>
        </is>
      </c>
      <c r="F238" t="inlineStr">
        <is>
          <t>Kommuner</t>
        </is>
      </c>
      <c r="G238" t="n">
        <v>1.4</v>
      </c>
      <c r="H238" t="n">
        <v>0</v>
      </c>
      <c r="I238" t="n">
        <v>0</v>
      </c>
      <c r="J238" t="n">
        <v>0</v>
      </c>
      <c r="K238" t="n">
        <v>0</v>
      </c>
      <c r="L238" t="n">
        <v>0</v>
      </c>
      <c r="M238" t="n">
        <v>0</v>
      </c>
      <c r="N238" t="n">
        <v>0</v>
      </c>
      <c r="O238" t="n">
        <v>0</v>
      </c>
      <c r="P238" t="n">
        <v>0</v>
      </c>
      <c r="Q238" t="n">
        <v>0</v>
      </c>
      <c r="R238" s="2" t="inlineStr"/>
    </row>
    <row r="239" ht="15" customHeight="1">
      <c r="A239" t="inlineStr">
        <is>
          <t>A 16328-2025</t>
        </is>
      </c>
      <c r="B239" s="1" t="n">
        <v>45751</v>
      </c>
      <c r="C239" s="1" t="n">
        <v>46038</v>
      </c>
      <c r="D239" t="inlineStr">
        <is>
          <t>VÄSTMANLANDS LÄN</t>
        </is>
      </c>
      <c r="E239" t="inlineStr">
        <is>
          <t>SALA</t>
        </is>
      </c>
      <c r="G239" t="n">
        <v>2.9</v>
      </c>
      <c r="H239" t="n">
        <v>0</v>
      </c>
      <c r="I239" t="n">
        <v>0</v>
      </c>
      <c r="J239" t="n">
        <v>0</v>
      </c>
      <c r="K239" t="n">
        <v>0</v>
      </c>
      <c r="L239" t="n">
        <v>0</v>
      </c>
      <c r="M239" t="n">
        <v>0</v>
      </c>
      <c r="N239" t="n">
        <v>0</v>
      </c>
      <c r="O239" t="n">
        <v>0</v>
      </c>
      <c r="P239" t="n">
        <v>0</v>
      </c>
      <c r="Q239" t="n">
        <v>0</v>
      </c>
      <c r="R239" s="2" t="inlineStr"/>
    </row>
    <row r="240" ht="15" customHeight="1">
      <c r="A240" t="inlineStr">
        <is>
          <t>A 43362-2023</t>
        </is>
      </c>
      <c r="B240" s="1" t="n">
        <v>45183</v>
      </c>
      <c r="C240" s="1" t="n">
        <v>46038</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1793-2023</t>
        </is>
      </c>
      <c r="B241" s="1" t="n">
        <v>44937</v>
      </c>
      <c r="C241" s="1" t="n">
        <v>46038</v>
      </c>
      <c r="D241" t="inlineStr">
        <is>
          <t>VÄSTMANLANDS LÄN</t>
        </is>
      </c>
      <c r="E241" t="inlineStr">
        <is>
          <t>SALA</t>
        </is>
      </c>
      <c r="G241" t="n">
        <v>2.6</v>
      </c>
      <c r="H241" t="n">
        <v>0</v>
      </c>
      <c r="I241" t="n">
        <v>0</v>
      </c>
      <c r="J241" t="n">
        <v>0</v>
      </c>
      <c r="K241" t="n">
        <v>0</v>
      </c>
      <c r="L241" t="n">
        <v>0</v>
      </c>
      <c r="M241" t="n">
        <v>0</v>
      </c>
      <c r="N241" t="n">
        <v>0</v>
      </c>
      <c r="O241" t="n">
        <v>0</v>
      </c>
      <c r="P241" t="n">
        <v>0</v>
      </c>
      <c r="Q241" t="n">
        <v>0</v>
      </c>
      <c r="R241" s="2" t="inlineStr"/>
    </row>
    <row r="242" ht="15" customHeight="1">
      <c r="A242" t="inlineStr">
        <is>
          <t>A 29248-2022</t>
        </is>
      </c>
      <c r="B242" s="1" t="n">
        <v>44750</v>
      </c>
      <c r="C242" s="1" t="n">
        <v>46038</v>
      </c>
      <c r="D242" t="inlineStr">
        <is>
          <t>VÄSTMANLANDS LÄN</t>
        </is>
      </c>
      <c r="E242" t="inlineStr">
        <is>
          <t>SALA</t>
        </is>
      </c>
      <c r="G242" t="n">
        <v>1.6</v>
      </c>
      <c r="H242" t="n">
        <v>0</v>
      </c>
      <c r="I242" t="n">
        <v>0</v>
      </c>
      <c r="J242" t="n">
        <v>0</v>
      </c>
      <c r="K242" t="n">
        <v>0</v>
      </c>
      <c r="L242" t="n">
        <v>0</v>
      </c>
      <c r="M242" t="n">
        <v>0</v>
      </c>
      <c r="N242" t="n">
        <v>0</v>
      </c>
      <c r="O242" t="n">
        <v>0</v>
      </c>
      <c r="P242" t="n">
        <v>0</v>
      </c>
      <c r="Q242" t="n">
        <v>0</v>
      </c>
      <c r="R242" s="2" t="inlineStr"/>
    </row>
    <row r="243" ht="15" customHeight="1">
      <c r="A243" t="inlineStr">
        <is>
          <t>A 28696-2023</t>
        </is>
      </c>
      <c r="B243" s="1" t="n">
        <v>45103.71759259259</v>
      </c>
      <c r="C243" s="1" t="n">
        <v>46038</v>
      </c>
      <c r="D243" t="inlineStr">
        <is>
          <t>VÄSTMANLANDS LÄN</t>
        </is>
      </c>
      <c r="E243" t="inlineStr">
        <is>
          <t>SALA</t>
        </is>
      </c>
      <c r="F243" t="inlineStr">
        <is>
          <t>Kommuner</t>
        </is>
      </c>
      <c r="G243" t="n">
        <v>5.9</v>
      </c>
      <c r="H243" t="n">
        <v>0</v>
      </c>
      <c r="I243" t="n">
        <v>0</v>
      </c>
      <c r="J243" t="n">
        <v>0</v>
      </c>
      <c r="K243" t="n">
        <v>0</v>
      </c>
      <c r="L243" t="n">
        <v>0</v>
      </c>
      <c r="M243" t="n">
        <v>0</v>
      </c>
      <c r="N243" t="n">
        <v>0</v>
      </c>
      <c r="O243" t="n">
        <v>0</v>
      </c>
      <c r="P243" t="n">
        <v>0</v>
      </c>
      <c r="Q243" t="n">
        <v>0</v>
      </c>
      <c r="R243" s="2" t="inlineStr"/>
    </row>
    <row r="244" ht="15" customHeight="1">
      <c r="A244" t="inlineStr">
        <is>
          <t>A 6691-2025</t>
        </is>
      </c>
      <c r="B244" s="1" t="n">
        <v>45700.50625</v>
      </c>
      <c r="C244" s="1" t="n">
        <v>46038</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22397-2022</t>
        </is>
      </c>
      <c r="B245" s="1" t="n">
        <v>44713</v>
      </c>
      <c r="C245" s="1" t="n">
        <v>46038</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1934-2023</t>
        </is>
      </c>
      <c r="B246" s="1" t="n">
        <v>44939.43024305555</v>
      </c>
      <c r="C246" s="1" t="n">
        <v>46038</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35519-2024</t>
        </is>
      </c>
      <c r="B247" s="1" t="n">
        <v>45531</v>
      </c>
      <c r="C247" s="1" t="n">
        <v>46038</v>
      </c>
      <c r="D247" t="inlineStr">
        <is>
          <t>VÄSTMANLANDS LÄN</t>
        </is>
      </c>
      <c r="E247" t="inlineStr">
        <is>
          <t>SALA</t>
        </is>
      </c>
      <c r="G247" t="n">
        <v>1.8</v>
      </c>
      <c r="H247" t="n">
        <v>0</v>
      </c>
      <c r="I247" t="n">
        <v>0</v>
      </c>
      <c r="J247" t="n">
        <v>0</v>
      </c>
      <c r="K247" t="n">
        <v>0</v>
      </c>
      <c r="L247" t="n">
        <v>0</v>
      </c>
      <c r="M247" t="n">
        <v>0</v>
      </c>
      <c r="N247" t="n">
        <v>0</v>
      </c>
      <c r="O247" t="n">
        <v>0</v>
      </c>
      <c r="P247" t="n">
        <v>0</v>
      </c>
      <c r="Q247" t="n">
        <v>0</v>
      </c>
      <c r="R247" s="2" t="inlineStr"/>
    </row>
    <row r="248" ht="15" customHeight="1">
      <c r="A248" t="inlineStr">
        <is>
          <t>A 28863-2022</t>
        </is>
      </c>
      <c r="B248" s="1" t="n">
        <v>44749.50649305555</v>
      </c>
      <c r="C248" s="1" t="n">
        <v>46038</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66908-2021</t>
        </is>
      </c>
      <c r="B249" s="1" t="n">
        <v>44522</v>
      </c>
      <c r="C249" s="1" t="n">
        <v>46038</v>
      </c>
      <c r="D249" t="inlineStr">
        <is>
          <t>VÄSTMANLANDS LÄN</t>
        </is>
      </c>
      <c r="E249" t="inlineStr">
        <is>
          <t>SALA</t>
        </is>
      </c>
      <c r="G249" t="n">
        <v>2.6</v>
      </c>
      <c r="H249" t="n">
        <v>0</v>
      </c>
      <c r="I249" t="n">
        <v>0</v>
      </c>
      <c r="J249" t="n">
        <v>0</v>
      </c>
      <c r="K249" t="n">
        <v>0</v>
      </c>
      <c r="L249" t="n">
        <v>0</v>
      </c>
      <c r="M249" t="n">
        <v>0</v>
      </c>
      <c r="N249" t="n">
        <v>0</v>
      </c>
      <c r="O249" t="n">
        <v>0</v>
      </c>
      <c r="P249" t="n">
        <v>0</v>
      </c>
      <c r="Q249" t="n">
        <v>0</v>
      </c>
      <c r="R249" s="2" t="inlineStr"/>
    </row>
    <row r="250" ht="15" customHeight="1">
      <c r="A250" t="inlineStr">
        <is>
          <t>A 73835-2021</t>
        </is>
      </c>
      <c r="B250" s="1" t="n">
        <v>44552.92112268518</v>
      </c>
      <c r="C250" s="1" t="n">
        <v>46038</v>
      </c>
      <c r="D250" t="inlineStr">
        <is>
          <t>VÄSTMANLANDS LÄN</t>
        </is>
      </c>
      <c r="E250" t="inlineStr">
        <is>
          <t>SALA</t>
        </is>
      </c>
      <c r="G250" t="n">
        <v>2</v>
      </c>
      <c r="H250" t="n">
        <v>0</v>
      </c>
      <c r="I250" t="n">
        <v>0</v>
      </c>
      <c r="J250" t="n">
        <v>0</v>
      </c>
      <c r="K250" t="n">
        <v>0</v>
      </c>
      <c r="L250" t="n">
        <v>0</v>
      </c>
      <c r="M250" t="n">
        <v>0</v>
      </c>
      <c r="N250" t="n">
        <v>0</v>
      </c>
      <c r="O250" t="n">
        <v>0</v>
      </c>
      <c r="P250" t="n">
        <v>0</v>
      </c>
      <c r="Q250" t="n">
        <v>0</v>
      </c>
      <c r="R250" s="2" t="inlineStr"/>
    </row>
    <row r="251" ht="15" customHeight="1">
      <c r="A251" t="inlineStr">
        <is>
          <t>A 48710-2024</t>
        </is>
      </c>
      <c r="B251" s="1" t="n">
        <v>45593.53636574074</v>
      </c>
      <c r="C251" s="1" t="n">
        <v>46038</v>
      </c>
      <c r="D251" t="inlineStr">
        <is>
          <t>VÄSTMANLANDS LÄN</t>
        </is>
      </c>
      <c r="E251" t="inlineStr">
        <is>
          <t>SALA</t>
        </is>
      </c>
      <c r="G251" t="n">
        <v>6.5</v>
      </c>
      <c r="H251" t="n">
        <v>0</v>
      </c>
      <c r="I251" t="n">
        <v>0</v>
      </c>
      <c r="J251" t="n">
        <v>0</v>
      </c>
      <c r="K251" t="n">
        <v>0</v>
      </c>
      <c r="L251" t="n">
        <v>0</v>
      </c>
      <c r="M251" t="n">
        <v>0</v>
      </c>
      <c r="N251" t="n">
        <v>0</v>
      </c>
      <c r="O251" t="n">
        <v>0</v>
      </c>
      <c r="P251" t="n">
        <v>0</v>
      </c>
      <c r="Q251" t="n">
        <v>0</v>
      </c>
      <c r="R251" s="2" t="inlineStr"/>
    </row>
    <row r="252" ht="15" customHeight="1">
      <c r="A252" t="inlineStr">
        <is>
          <t>A 16404-2022</t>
        </is>
      </c>
      <c r="B252" s="1" t="n">
        <v>44671</v>
      </c>
      <c r="C252" s="1" t="n">
        <v>46038</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3810-2023</t>
        </is>
      </c>
      <c r="B253" s="1" t="n">
        <v>44951.60454861111</v>
      </c>
      <c r="C253" s="1" t="n">
        <v>46038</v>
      </c>
      <c r="D253" t="inlineStr">
        <is>
          <t>VÄSTMANLANDS LÄN</t>
        </is>
      </c>
      <c r="E253" t="inlineStr">
        <is>
          <t>SALA</t>
        </is>
      </c>
      <c r="G253" t="n">
        <v>4.2</v>
      </c>
      <c r="H253" t="n">
        <v>0</v>
      </c>
      <c r="I253" t="n">
        <v>0</v>
      </c>
      <c r="J253" t="n">
        <v>0</v>
      </c>
      <c r="K253" t="n">
        <v>0</v>
      </c>
      <c r="L253" t="n">
        <v>0</v>
      </c>
      <c r="M253" t="n">
        <v>0</v>
      </c>
      <c r="N253" t="n">
        <v>0</v>
      </c>
      <c r="O253" t="n">
        <v>0</v>
      </c>
      <c r="P253" t="n">
        <v>0</v>
      </c>
      <c r="Q253" t="n">
        <v>0</v>
      </c>
      <c r="R253" s="2" t="inlineStr"/>
    </row>
    <row r="254" ht="15" customHeight="1">
      <c r="A254" t="inlineStr">
        <is>
          <t>A 50241-2023</t>
        </is>
      </c>
      <c r="B254" s="1" t="n">
        <v>45216</v>
      </c>
      <c r="C254" s="1" t="n">
        <v>46038</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30971-2022</t>
        </is>
      </c>
      <c r="B255" s="1" t="n">
        <v>44768.46725694444</v>
      </c>
      <c r="C255" s="1" t="n">
        <v>46038</v>
      </c>
      <c r="D255" t="inlineStr">
        <is>
          <t>VÄSTMANLANDS LÄN</t>
        </is>
      </c>
      <c r="E255" t="inlineStr">
        <is>
          <t>SALA</t>
        </is>
      </c>
      <c r="G255" t="n">
        <v>2.4</v>
      </c>
      <c r="H255" t="n">
        <v>0</v>
      </c>
      <c r="I255" t="n">
        <v>0</v>
      </c>
      <c r="J255" t="n">
        <v>0</v>
      </c>
      <c r="K255" t="n">
        <v>0</v>
      </c>
      <c r="L255" t="n">
        <v>0</v>
      </c>
      <c r="M255" t="n">
        <v>0</v>
      </c>
      <c r="N255" t="n">
        <v>0</v>
      </c>
      <c r="O255" t="n">
        <v>0</v>
      </c>
      <c r="P255" t="n">
        <v>0</v>
      </c>
      <c r="Q255" t="n">
        <v>0</v>
      </c>
      <c r="R255" s="2" t="inlineStr"/>
    </row>
    <row r="256" ht="15" customHeight="1">
      <c r="A256" t="inlineStr">
        <is>
          <t>A 24248-2023</t>
        </is>
      </c>
      <c r="B256" s="1" t="n">
        <v>45079</v>
      </c>
      <c r="C256" s="1" t="n">
        <v>46038</v>
      </c>
      <c r="D256" t="inlineStr">
        <is>
          <t>VÄSTMANLANDS LÄN</t>
        </is>
      </c>
      <c r="E256" t="inlineStr">
        <is>
          <t>SALA</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35637-2022</t>
        </is>
      </c>
      <c r="B257" s="1" t="n">
        <v>44799.55194444444</v>
      </c>
      <c r="C257" s="1" t="n">
        <v>46038</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19304-2025</t>
        </is>
      </c>
      <c r="B258" s="1" t="n">
        <v>45769</v>
      </c>
      <c r="C258" s="1" t="n">
        <v>46038</v>
      </c>
      <c r="D258" t="inlineStr">
        <is>
          <t>VÄSTMANLANDS LÄN</t>
        </is>
      </c>
      <c r="E258" t="inlineStr">
        <is>
          <t>SALA</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27038-2023</t>
        </is>
      </c>
      <c r="B259" s="1" t="n">
        <v>45095</v>
      </c>
      <c r="C259" s="1" t="n">
        <v>46038</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12252-2023</t>
        </is>
      </c>
      <c r="B260" s="1" t="n">
        <v>44995</v>
      </c>
      <c r="C260" s="1" t="n">
        <v>46038</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23182-2022</t>
        </is>
      </c>
      <c r="B261" s="1" t="n">
        <v>44719.79707175926</v>
      </c>
      <c r="C261" s="1" t="n">
        <v>46038</v>
      </c>
      <c r="D261" t="inlineStr">
        <is>
          <t>VÄSTMANLANDS LÄN</t>
        </is>
      </c>
      <c r="E261" t="inlineStr">
        <is>
          <t>SALA</t>
        </is>
      </c>
      <c r="G261" t="n">
        <v>1.2</v>
      </c>
      <c r="H261" t="n">
        <v>0</v>
      </c>
      <c r="I261" t="n">
        <v>0</v>
      </c>
      <c r="J261" t="n">
        <v>0</v>
      </c>
      <c r="K261" t="n">
        <v>0</v>
      </c>
      <c r="L261" t="n">
        <v>0</v>
      </c>
      <c r="M261" t="n">
        <v>0</v>
      </c>
      <c r="N261" t="n">
        <v>0</v>
      </c>
      <c r="O261" t="n">
        <v>0</v>
      </c>
      <c r="P261" t="n">
        <v>0</v>
      </c>
      <c r="Q261" t="n">
        <v>0</v>
      </c>
      <c r="R261" s="2" t="inlineStr"/>
    </row>
    <row r="262" ht="15" customHeight="1">
      <c r="A262" t="inlineStr">
        <is>
          <t>A 10559-2024</t>
        </is>
      </c>
      <c r="B262" s="1" t="n">
        <v>45366</v>
      </c>
      <c r="C262" s="1" t="n">
        <v>46038</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2900-2023</t>
        </is>
      </c>
      <c r="B263" s="1" t="n">
        <v>44943</v>
      </c>
      <c r="C263" s="1" t="n">
        <v>46038</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40214-2023</t>
        </is>
      </c>
      <c r="B264" s="1" t="n">
        <v>45169.45173611111</v>
      </c>
      <c r="C264" s="1" t="n">
        <v>46038</v>
      </c>
      <c r="D264" t="inlineStr">
        <is>
          <t>VÄSTMANLANDS LÄN</t>
        </is>
      </c>
      <c r="E264" t="inlineStr">
        <is>
          <t>SALA</t>
        </is>
      </c>
      <c r="G264" t="n">
        <v>5.5</v>
      </c>
      <c r="H264" t="n">
        <v>0</v>
      </c>
      <c r="I264" t="n">
        <v>0</v>
      </c>
      <c r="J264" t="n">
        <v>0</v>
      </c>
      <c r="K264" t="n">
        <v>0</v>
      </c>
      <c r="L264" t="n">
        <v>0</v>
      </c>
      <c r="M264" t="n">
        <v>0</v>
      </c>
      <c r="N264" t="n">
        <v>0</v>
      </c>
      <c r="O264" t="n">
        <v>0</v>
      </c>
      <c r="P264" t="n">
        <v>0</v>
      </c>
      <c r="Q264" t="n">
        <v>0</v>
      </c>
      <c r="R264" s="2" t="inlineStr"/>
    </row>
    <row r="265" ht="15" customHeight="1">
      <c r="A265" t="inlineStr">
        <is>
          <t>A 9856-2022</t>
        </is>
      </c>
      <c r="B265" s="1" t="n">
        <v>44620</v>
      </c>
      <c r="C265" s="1" t="n">
        <v>46038</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18100-2023</t>
        </is>
      </c>
      <c r="B266" s="1" t="n">
        <v>45040</v>
      </c>
      <c r="C266" s="1" t="n">
        <v>46038</v>
      </c>
      <c r="D266" t="inlineStr">
        <is>
          <t>VÄSTMANLANDS LÄN</t>
        </is>
      </c>
      <c r="E266" t="inlineStr">
        <is>
          <t>SALA</t>
        </is>
      </c>
      <c r="G266" t="n">
        <v>1.8</v>
      </c>
      <c r="H266" t="n">
        <v>0</v>
      </c>
      <c r="I266" t="n">
        <v>0</v>
      </c>
      <c r="J266" t="n">
        <v>0</v>
      </c>
      <c r="K266" t="n">
        <v>0</v>
      </c>
      <c r="L266" t="n">
        <v>0</v>
      </c>
      <c r="M266" t="n">
        <v>0</v>
      </c>
      <c r="N266" t="n">
        <v>0</v>
      </c>
      <c r="O266" t="n">
        <v>0</v>
      </c>
      <c r="P266" t="n">
        <v>0</v>
      </c>
      <c r="Q266" t="n">
        <v>0</v>
      </c>
      <c r="R266" s="2" t="inlineStr"/>
    </row>
    <row r="267" ht="15" customHeight="1">
      <c r="A267" t="inlineStr">
        <is>
          <t>A 6030-2024</t>
        </is>
      </c>
      <c r="B267" s="1" t="n">
        <v>45336.62782407407</v>
      </c>
      <c r="C267" s="1" t="n">
        <v>46038</v>
      </c>
      <c r="D267" t="inlineStr">
        <is>
          <t>VÄSTMANLANDS LÄN</t>
        </is>
      </c>
      <c r="E267" t="inlineStr">
        <is>
          <t>SALA</t>
        </is>
      </c>
      <c r="G267" t="n">
        <v>3.9</v>
      </c>
      <c r="H267" t="n">
        <v>0</v>
      </c>
      <c r="I267" t="n">
        <v>0</v>
      </c>
      <c r="J267" t="n">
        <v>0</v>
      </c>
      <c r="K267" t="n">
        <v>0</v>
      </c>
      <c r="L267" t="n">
        <v>0</v>
      </c>
      <c r="M267" t="n">
        <v>0</v>
      </c>
      <c r="N267" t="n">
        <v>0</v>
      </c>
      <c r="O267" t="n">
        <v>0</v>
      </c>
      <c r="P267" t="n">
        <v>0</v>
      </c>
      <c r="Q267" t="n">
        <v>0</v>
      </c>
      <c r="R267" s="2" t="inlineStr"/>
    </row>
    <row r="268" ht="15" customHeight="1">
      <c r="A268" t="inlineStr">
        <is>
          <t>A 15968-2024</t>
        </is>
      </c>
      <c r="B268" s="1" t="n">
        <v>45405.56021990741</v>
      </c>
      <c r="C268" s="1" t="n">
        <v>46038</v>
      </c>
      <c r="D268" t="inlineStr">
        <is>
          <t>VÄSTMANLANDS LÄN</t>
        </is>
      </c>
      <c r="E268" t="inlineStr">
        <is>
          <t>SALA</t>
        </is>
      </c>
      <c r="G268" t="n">
        <v>0.7</v>
      </c>
      <c r="H268" t="n">
        <v>0</v>
      </c>
      <c r="I268" t="n">
        <v>0</v>
      </c>
      <c r="J268" t="n">
        <v>0</v>
      </c>
      <c r="K268" t="n">
        <v>0</v>
      </c>
      <c r="L268" t="n">
        <v>0</v>
      </c>
      <c r="M268" t="n">
        <v>0</v>
      </c>
      <c r="N268" t="n">
        <v>0</v>
      </c>
      <c r="O268" t="n">
        <v>0</v>
      </c>
      <c r="P268" t="n">
        <v>0</v>
      </c>
      <c r="Q268" t="n">
        <v>0</v>
      </c>
      <c r="R268" s="2" t="inlineStr"/>
    </row>
    <row r="269" ht="15" customHeight="1">
      <c r="A269" t="inlineStr">
        <is>
          <t>A 31859-2023</t>
        </is>
      </c>
      <c r="B269" s="1" t="n">
        <v>45118</v>
      </c>
      <c r="C269" s="1" t="n">
        <v>46038</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c r="U269">
        <f>HYPERLINK("https://klasma.github.io/Logging_1981/knärot/A 31859-2023 karta knärot.png", "A 31859-2023")</f>
        <v/>
      </c>
      <c r="V269">
        <f>HYPERLINK("https://klasma.github.io/Logging_1981/klagomål/A 31859-2023 FSC-klagomål.docx", "A 31859-2023")</f>
        <v/>
      </c>
      <c r="W269">
        <f>HYPERLINK("https://klasma.github.io/Logging_1981/klagomålsmail/A 31859-2023 FSC-klagomål mail.docx", "A 31859-2023")</f>
        <v/>
      </c>
      <c r="X269">
        <f>HYPERLINK("https://klasma.github.io/Logging_1981/tillsyn/A 31859-2023 tillsynsbegäran.docx", "A 31859-2023")</f>
        <v/>
      </c>
      <c r="Y269">
        <f>HYPERLINK("https://klasma.github.io/Logging_1981/tillsynsmail/A 31859-2023 tillsynsbegäran mail.docx", "A 31859-2023")</f>
        <v/>
      </c>
    </row>
    <row r="270" ht="15" customHeight="1">
      <c r="A270" t="inlineStr">
        <is>
          <t>A 60730-2023</t>
        </is>
      </c>
      <c r="B270" s="1" t="n">
        <v>45260</v>
      </c>
      <c r="C270" s="1" t="n">
        <v>46038</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60731-2023</t>
        </is>
      </c>
      <c r="B271" s="1" t="n">
        <v>45260</v>
      </c>
      <c r="C271" s="1" t="n">
        <v>46038</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7469-2025</t>
        </is>
      </c>
      <c r="B272" s="1" t="n">
        <v>45705</v>
      </c>
      <c r="C272" s="1" t="n">
        <v>46038</v>
      </c>
      <c r="D272" t="inlineStr">
        <is>
          <t>VÄSTMANLANDS LÄN</t>
        </is>
      </c>
      <c r="E272" t="inlineStr">
        <is>
          <t>SALA</t>
        </is>
      </c>
      <c r="G272" t="n">
        <v>2.1</v>
      </c>
      <c r="H272" t="n">
        <v>0</v>
      </c>
      <c r="I272" t="n">
        <v>0</v>
      </c>
      <c r="J272" t="n">
        <v>0</v>
      </c>
      <c r="K272" t="n">
        <v>0</v>
      </c>
      <c r="L272" t="n">
        <v>0</v>
      </c>
      <c r="M272" t="n">
        <v>0</v>
      </c>
      <c r="N272" t="n">
        <v>0</v>
      </c>
      <c r="O272" t="n">
        <v>0</v>
      </c>
      <c r="P272" t="n">
        <v>0</v>
      </c>
      <c r="Q272" t="n">
        <v>0</v>
      </c>
      <c r="R272" s="2" t="inlineStr"/>
    </row>
    <row r="273" ht="15" customHeight="1">
      <c r="A273" t="inlineStr">
        <is>
          <t>A 23374-2023</t>
        </is>
      </c>
      <c r="B273" s="1" t="n">
        <v>45076.4399537037</v>
      </c>
      <c r="C273" s="1" t="n">
        <v>46038</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60034-2024</t>
        </is>
      </c>
      <c r="B274" s="1" t="n">
        <v>45642.46261574074</v>
      </c>
      <c r="C274" s="1" t="n">
        <v>46038</v>
      </c>
      <c r="D274" t="inlineStr">
        <is>
          <t>VÄSTMANLANDS LÄN</t>
        </is>
      </c>
      <c r="E274" t="inlineStr">
        <is>
          <t>SALA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18461-2024</t>
        </is>
      </c>
      <c r="B275" s="1" t="n">
        <v>45425.47435185185</v>
      </c>
      <c r="C275" s="1" t="n">
        <v>46038</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4663-2022</t>
        </is>
      </c>
      <c r="B276" s="1" t="n">
        <v>44592.45429398148</v>
      </c>
      <c r="C276" s="1" t="n">
        <v>46038</v>
      </c>
      <c r="D276" t="inlineStr">
        <is>
          <t>VÄSTMANLANDS LÄN</t>
        </is>
      </c>
      <c r="E276" t="inlineStr">
        <is>
          <t>SALA</t>
        </is>
      </c>
      <c r="G276" t="n">
        <v>2.5</v>
      </c>
      <c r="H276" t="n">
        <v>0</v>
      </c>
      <c r="I276" t="n">
        <v>0</v>
      </c>
      <c r="J276" t="n">
        <v>0</v>
      </c>
      <c r="K276" t="n">
        <v>0</v>
      </c>
      <c r="L276" t="n">
        <v>0</v>
      </c>
      <c r="M276" t="n">
        <v>0</v>
      </c>
      <c r="N276" t="n">
        <v>0</v>
      </c>
      <c r="O276" t="n">
        <v>0</v>
      </c>
      <c r="P276" t="n">
        <v>0</v>
      </c>
      <c r="Q276" t="n">
        <v>0</v>
      </c>
      <c r="R276" s="2" t="inlineStr"/>
    </row>
    <row r="277" ht="15" customHeight="1">
      <c r="A277" t="inlineStr">
        <is>
          <t>A 6134-2024</t>
        </is>
      </c>
      <c r="B277" s="1" t="n">
        <v>45337</v>
      </c>
      <c r="C277" s="1" t="n">
        <v>46038</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48117-2024</t>
        </is>
      </c>
      <c r="B278" s="1" t="n">
        <v>45589</v>
      </c>
      <c r="C278" s="1" t="n">
        <v>46038</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52630-2022</t>
        </is>
      </c>
      <c r="B279" s="1" t="n">
        <v>44874</v>
      </c>
      <c r="C279" s="1" t="n">
        <v>46038</v>
      </c>
      <c r="D279" t="inlineStr">
        <is>
          <t>VÄSTMANLANDS LÄN</t>
        </is>
      </c>
      <c r="E279" t="inlineStr">
        <is>
          <t>SALA</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31082-2021</t>
        </is>
      </c>
      <c r="B280" s="1" t="n">
        <v>44368</v>
      </c>
      <c r="C280" s="1" t="n">
        <v>46038</v>
      </c>
      <c r="D280" t="inlineStr">
        <is>
          <t>VÄSTMANLANDS LÄN</t>
        </is>
      </c>
      <c r="E280" t="inlineStr">
        <is>
          <t>SALA</t>
        </is>
      </c>
      <c r="G280" t="n">
        <v>2</v>
      </c>
      <c r="H280" t="n">
        <v>0</v>
      </c>
      <c r="I280" t="n">
        <v>0</v>
      </c>
      <c r="J280" t="n">
        <v>0</v>
      </c>
      <c r="K280" t="n">
        <v>0</v>
      </c>
      <c r="L280" t="n">
        <v>0</v>
      </c>
      <c r="M280" t="n">
        <v>0</v>
      </c>
      <c r="N280" t="n">
        <v>0</v>
      </c>
      <c r="O280" t="n">
        <v>0</v>
      </c>
      <c r="P280" t="n">
        <v>0</v>
      </c>
      <c r="Q280" t="n">
        <v>0</v>
      </c>
      <c r="R280" s="2" t="inlineStr"/>
    </row>
    <row r="281" ht="15" customHeight="1">
      <c r="A281" t="inlineStr">
        <is>
          <t>A 6032-2025</t>
        </is>
      </c>
      <c r="B281" s="1" t="n">
        <v>45695.6371875</v>
      </c>
      <c r="C281" s="1" t="n">
        <v>46038</v>
      </c>
      <c r="D281" t="inlineStr">
        <is>
          <t>VÄSTMANLANDS LÄN</t>
        </is>
      </c>
      <c r="E281" t="inlineStr">
        <is>
          <t>SALA</t>
        </is>
      </c>
      <c r="F281" t="inlineStr">
        <is>
          <t>Bergvik skog öst AB</t>
        </is>
      </c>
      <c r="G281" t="n">
        <v>8.1</v>
      </c>
      <c r="H281" t="n">
        <v>0</v>
      </c>
      <c r="I281" t="n">
        <v>0</v>
      </c>
      <c r="J281" t="n">
        <v>0</v>
      </c>
      <c r="K281" t="n">
        <v>0</v>
      </c>
      <c r="L281" t="n">
        <v>0</v>
      </c>
      <c r="M281" t="n">
        <v>0</v>
      </c>
      <c r="N281" t="n">
        <v>0</v>
      </c>
      <c r="O281" t="n">
        <v>0</v>
      </c>
      <c r="P281" t="n">
        <v>0</v>
      </c>
      <c r="Q281" t="n">
        <v>0</v>
      </c>
      <c r="R281" s="2" t="inlineStr"/>
    </row>
    <row r="282" ht="15" customHeight="1">
      <c r="A282" t="inlineStr">
        <is>
          <t>A 34867-2023</t>
        </is>
      </c>
      <c r="B282" s="1" t="n">
        <v>45142.33481481481</v>
      </c>
      <c r="C282" s="1" t="n">
        <v>46038</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11631-2023</t>
        </is>
      </c>
      <c r="B283" s="1" t="n">
        <v>44994.44001157407</v>
      </c>
      <c r="C283" s="1" t="n">
        <v>46038</v>
      </c>
      <c r="D283" t="inlineStr">
        <is>
          <t>VÄSTMANLANDS LÄN</t>
        </is>
      </c>
      <c r="E283" t="inlineStr">
        <is>
          <t>SALA</t>
        </is>
      </c>
      <c r="F283" t="inlineStr">
        <is>
          <t>Kommuner</t>
        </is>
      </c>
      <c r="G283" t="n">
        <v>1.9</v>
      </c>
      <c r="H283" t="n">
        <v>0</v>
      </c>
      <c r="I283" t="n">
        <v>0</v>
      </c>
      <c r="J283" t="n">
        <v>0</v>
      </c>
      <c r="K283" t="n">
        <v>0</v>
      </c>
      <c r="L283" t="n">
        <v>0</v>
      </c>
      <c r="M283" t="n">
        <v>0</v>
      </c>
      <c r="N283" t="n">
        <v>0</v>
      </c>
      <c r="O283" t="n">
        <v>0</v>
      </c>
      <c r="P283" t="n">
        <v>0</v>
      </c>
      <c r="Q283" t="n">
        <v>0</v>
      </c>
      <c r="R283" s="2" t="inlineStr"/>
    </row>
    <row r="284" ht="15" customHeight="1">
      <c r="A284" t="inlineStr">
        <is>
          <t>A 31470-2021</t>
        </is>
      </c>
      <c r="B284" s="1" t="n">
        <v>44369</v>
      </c>
      <c r="C284" s="1" t="n">
        <v>46038</v>
      </c>
      <c r="D284" t="inlineStr">
        <is>
          <t>VÄSTMANLANDS LÄN</t>
        </is>
      </c>
      <c r="E284" t="inlineStr">
        <is>
          <t>SALA</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24175-2024</t>
        </is>
      </c>
      <c r="B285" s="1" t="n">
        <v>45456</v>
      </c>
      <c r="C285" s="1" t="n">
        <v>46038</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28328-2023</t>
        </is>
      </c>
      <c r="B286" s="1" t="n">
        <v>45099.71063657408</v>
      </c>
      <c r="C286" s="1" t="n">
        <v>46038</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2766-2024</t>
        </is>
      </c>
      <c r="B287" s="1" t="n">
        <v>45314.60950231482</v>
      </c>
      <c r="C287" s="1" t="n">
        <v>46038</v>
      </c>
      <c r="D287" t="inlineStr">
        <is>
          <t>VÄSTMANLANDS LÄN</t>
        </is>
      </c>
      <c r="E287" t="inlineStr">
        <is>
          <t>SALA</t>
        </is>
      </c>
      <c r="G287" t="n">
        <v>2.8</v>
      </c>
      <c r="H287" t="n">
        <v>0</v>
      </c>
      <c r="I287" t="n">
        <v>0</v>
      </c>
      <c r="J287" t="n">
        <v>0</v>
      </c>
      <c r="K287" t="n">
        <v>0</v>
      </c>
      <c r="L287" t="n">
        <v>0</v>
      </c>
      <c r="M287" t="n">
        <v>0</v>
      </c>
      <c r="N287" t="n">
        <v>0</v>
      </c>
      <c r="O287" t="n">
        <v>0</v>
      </c>
      <c r="P287" t="n">
        <v>0</v>
      </c>
      <c r="Q287" t="n">
        <v>0</v>
      </c>
      <c r="R287" s="2" t="inlineStr"/>
    </row>
    <row r="288" ht="15" customHeight="1">
      <c r="A288" t="inlineStr">
        <is>
          <t>A 14690-2025</t>
        </is>
      </c>
      <c r="B288" s="1" t="n">
        <v>45742.58212962963</v>
      </c>
      <c r="C288" s="1" t="n">
        <v>46038</v>
      </c>
      <c r="D288" t="inlineStr">
        <is>
          <t>VÄSTMANLANDS LÄN</t>
        </is>
      </c>
      <c r="E288" t="inlineStr">
        <is>
          <t>SALA</t>
        </is>
      </c>
      <c r="G288" t="n">
        <v>3.4</v>
      </c>
      <c r="H288" t="n">
        <v>0</v>
      </c>
      <c r="I288" t="n">
        <v>0</v>
      </c>
      <c r="J288" t="n">
        <v>0</v>
      </c>
      <c r="K288" t="n">
        <v>0</v>
      </c>
      <c r="L288" t="n">
        <v>0</v>
      </c>
      <c r="M288" t="n">
        <v>0</v>
      </c>
      <c r="N288" t="n">
        <v>0</v>
      </c>
      <c r="O288" t="n">
        <v>0</v>
      </c>
      <c r="P288" t="n">
        <v>0</v>
      </c>
      <c r="Q288" t="n">
        <v>0</v>
      </c>
      <c r="R288" s="2" t="inlineStr"/>
    </row>
    <row r="289" ht="15" customHeight="1">
      <c r="A289" t="inlineStr">
        <is>
          <t>A 8775-2024</t>
        </is>
      </c>
      <c r="B289" s="1" t="n">
        <v>45356</v>
      </c>
      <c r="C289" s="1" t="n">
        <v>46038</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61715-2024</t>
        </is>
      </c>
      <c r="B290" s="1" t="n">
        <v>45648.89519675926</v>
      </c>
      <c r="C290" s="1" t="n">
        <v>46038</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6351-2023</t>
        </is>
      </c>
      <c r="B291" s="1" t="n">
        <v>44965</v>
      </c>
      <c r="C291" s="1" t="n">
        <v>46038</v>
      </c>
      <c r="D291" t="inlineStr">
        <is>
          <t>VÄSTMANLANDS LÄN</t>
        </is>
      </c>
      <c r="E291" t="inlineStr">
        <is>
          <t>SALA</t>
        </is>
      </c>
      <c r="F291" t="inlineStr">
        <is>
          <t>Kommuner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38195-2021</t>
        </is>
      </c>
      <c r="B292" s="1" t="n">
        <v>44405</v>
      </c>
      <c r="C292" s="1" t="n">
        <v>46038</v>
      </c>
      <c r="D292" t="inlineStr">
        <is>
          <t>VÄSTMANLANDS LÄN</t>
        </is>
      </c>
      <c r="E292" t="inlineStr">
        <is>
          <t>SALA</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45187-2024</t>
        </is>
      </c>
      <c r="B293" s="1" t="n">
        <v>45575</v>
      </c>
      <c r="C293" s="1" t="n">
        <v>46038</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46279-2021</t>
        </is>
      </c>
      <c r="B294" s="1" t="n">
        <v>44442.57797453704</v>
      </c>
      <c r="C294" s="1" t="n">
        <v>46038</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6132-2025</t>
        </is>
      </c>
      <c r="B295" s="1" t="n">
        <v>45698</v>
      </c>
      <c r="C295" s="1" t="n">
        <v>46038</v>
      </c>
      <c r="D295" t="inlineStr">
        <is>
          <t>VÄSTMANLANDS LÄN</t>
        </is>
      </c>
      <c r="E295" t="inlineStr">
        <is>
          <t>SALA</t>
        </is>
      </c>
      <c r="F295" t="inlineStr">
        <is>
          <t>Bergvik skog öst AB</t>
        </is>
      </c>
      <c r="G295" t="n">
        <v>1.5</v>
      </c>
      <c r="H295" t="n">
        <v>0</v>
      </c>
      <c r="I295" t="n">
        <v>0</v>
      </c>
      <c r="J295" t="n">
        <v>0</v>
      </c>
      <c r="K295" t="n">
        <v>0</v>
      </c>
      <c r="L295" t="n">
        <v>0</v>
      </c>
      <c r="M295" t="n">
        <v>0</v>
      </c>
      <c r="N295" t="n">
        <v>0</v>
      </c>
      <c r="O295" t="n">
        <v>0</v>
      </c>
      <c r="P295" t="n">
        <v>0</v>
      </c>
      <c r="Q295" t="n">
        <v>0</v>
      </c>
      <c r="R295" s="2" t="inlineStr"/>
    </row>
    <row r="296" ht="15" customHeight="1">
      <c r="A296" t="inlineStr">
        <is>
          <t>A 2521-2025</t>
        </is>
      </c>
      <c r="B296" s="1" t="n">
        <v>45674</v>
      </c>
      <c r="C296" s="1" t="n">
        <v>46038</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21777-2022</t>
        </is>
      </c>
      <c r="B297" s="1" t="n">
        <v>44708.48194444444</v>
      </c>
      <c r="C297" s="1" t="n">
        <v>46038</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45372.45016203704</v>
      </c>
      <c r="C298" s="1" t="n">
        <v>46038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33527-2023</t>
        </is>
      </c>
      <c r="B299" s="1" t="n">
        <v>45131</v>
      </c>
      <c r="C299" s="1" t="n">
        <v>46038</v>
      </c>
      <c r="D299" t="inlineStr">
        <is>
          <t>VÄSTMANLANDS LÄN</t>
        </is>
      </c>
      <c r="E299" t="inlineStr">
        <is>
          <t>SALA</t>
        </is>
      </c>
      <c r="G299" t="n">
        <v>1</v>
      </c>
      <c r="H299" t="n">
        <v>0</v>
      </c>
      <c r="I299" t="n">
        <v>0</v>
      </c>
      <c r="J299" t="n">
        <v>0</v>
      </c>
      <c r="K299" t="n">
        <v>0</v>
      </c>
      <c r="L299" t="n">
        <v>0</v>
      </c>
      <c r="M299" t="n">
        <v>0</v>
      </c>
      <c r="N299" t="n">
        <v>0</v>
      </c>
      <c r="O299" t="n">
        <v>0</v>
      </c>
      <c r="P299" t="n">
        <v>0</v>
      </c>
      <c r="Q299" t="n">
        <v>0</v>
      </c>
      <c r="R299" s="2" t="inlineStr"/>
    </row>
    <row r="300" ht="15" customHeight="1">
      <c r="A300" t="inlineStr">
        <is>
          <t>A 7377-2023</t>
        </is>
      </c>
      <c r="B300" s="1" t="n">
        <v>44971</v>
      </c>
      <c r="C300" s="1" t="n">
        <v>46038</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4736-2021</t>
        </is>
      </c>
      <c r="B301" s="1" t="n">
        <v>44225</v>
      </c>
      <c r="C301" s="1" t="n">
        <v>46038</v>
      </c>
      <c r="D301" t="inlineStr">
        <is>
          <t>VÄSTMANLANDS LÄN</t>
        </is>
      </c>
      <c r="E301" t="inlineStr">
        <is>
          <t>SALA</t>
        </is>
      </c>
      <c r="G301" t="n">
        <v>4.2</v>
      </c>
      <c r="H301" t="n">
        <v>0</v>
      </c>
      <c r="I301" t="n">
        <v>0</v>
      </c>
      <c r="J301" t="n">
        <v>0</v>
      </c>
      <c r="K301" t="n">
        <v>0</v>
      </c>
      <c r="L301" t="n">
        <v>0</v>
      </c>
      <c r="M301" t="n">
        <v>0</v>
      </c>
      <c r="N301" t="n">
        <v>0</v>
      </c>
      <c r="O301" t="n">
        <v>0</v>
      </c>
      <c r="P301" t="n">
        <v>0</v>
      </c>
      <c r="Q301" t="n">
        <v>0</v>
      </c>
      <c r="R301" s="2" t="inlineStr"/>
    </row>
    <row r="302" ht="15" customHeight="1">
      <c r="A302" t="inlineStr">
        <is>
          <t>A 6308-2021</t>
        </is>
      </c>
      <c r="B302" s="1" t="n">
        <v>44235</v>
      </c>
      <c r="C302" s="1" t="n">
        <v>46038</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21159-2022</t>
        </is>
      </c>
      <c r="B303" s="1" t="n">
        <v>44704</v>
      </c>
      <c r="C303" s="1" t="n">
        <v>46038</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2925-2024</t>
        </is>
      </c>
      <c r="B304" s="1" t="n">
        <v>45315.58909722222</v>
      </c>
      <c r="C304" s="1" t="n">
        <v>46038</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60548-2024</t>
        </is>
      </c>
      <c r="B305" s="1" t="n">
        <v>45643.80978009259</v>
      </c>
      <c r="C305" s="1" t="n">
        <v>46038</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73673-2021</t>
        </is>
      </c>
      <c r="B306" s="1" t="n">
        <v>44552.46501157407</v>
      </c>
      <c r="C306" s="1" t="n">
        <v>46038</v>
      </c>
      <c r="D306" t="inlineStr">
        <is>
          <t>VÄSTMANLANDS LÄN</t>
        </is>
      </c>
      <c r="E306" t="inlineStr">
        <is>
          <t>SALA</t>
        </is>
      </c>
      <c r="G306" t="n">
        <v>11.4</v>
      </c>
      <c r="H306" t="n">
        <v>0</v>
      </c>
      <c r="I306" t="n">
        <v>0</v>
      </c>
      <c r="J306" t="n">
        <v>0</v>
      </c>
      <c r="K306" t="n">
        <v>0</v>
      </c>
      <c r="L306" t="n">
        <v>0</v>
      </c>
      <c r="M306" t="n">
        <v>0</v>
      </c>
      <c r="N306" t="n">
        <v>0</v>
      </c>
      <c r="O306" t="n">
        <v>0</v>
      </c>
      <c r="P306" t="n">
        <v>0</v>
      </c>
      <c r="Q306" t="n">
        <v>0</v>
      </c>
      <c r="R306" s="2" t="inlineStr"/>
    </row>
    <row r="307" ht="15" customHeight="1">
      <c r="A307" t="inlineStr">
        <is>
          <t>A 56688-2024</t>
        </is>
      </c>
      <c r="B307" s="1" t="n">
        <v>45627.66478009259</v>
      </c>
      <c r="C307" s="1" t="n">
        <v>46038</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39439-2021</t>
        </is>
      </c>
      <c r="B308" s="1" t="n">
        <v>44414</v>
      </c>
      <c r="C308" s="1" t="n">
        <v>46038</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16159-2024</t>
        </is>
      </c>
      <c r="B309" s="1" t="n">
        <v>45406</v>
      </c>
      <c r="C309" s="1" t="n">
        <v>46038</v>
      </c>
      <c r="D309" t="inlineStr">
        <is>
          <t>VÄSTMANLANDS LÄN</t>
        </is>
      </c>
      <c r="E309" t="inlineStr">
        <is>
          <t>SALA</t>
        </is>
      </c>
      <c r="G309" t="n">
        <v>0.4</v>
      </c>
      <c r="H309" t="n">
        <v>0</v>
      </c>
      <c r="I309" t="n">
        <v>0</v>
      </c>
      <c r="J309" t="n">
        <v>0</v>
      </c>
      <c r="K309" t="n">
        <v>0</v>
      </c>
      <c r="L309" t="n">
        <v>0</v>
      </c>
      <c r="M309" t="n">
        <v>0</v>
      </c>
      <c r="N309" t="n">
        <v>0</v>
      </c>
      <c r="O309" t="n">
        <v>0</v>
      </c>
      <c r="P309" t="n">
        <v>0</v>
      </c>
      <c r="Q309" t="n">
        <v>0</v>
      </c>
      <c r="R309" s="2" t="inlineStr"/>
    </row>
    <row r="310" ht="15" customHeight="1">
      <c r="A310" t="inlineStr">
        <is>
          <t>A 26761-2023</t>
        </is>
      </c>
      <c r="B310" s="1" t="n">
        <v>45093</v>
      </c>
      <c r="C310" s="1" t="n">
        <v>46038</v>
      </c>
      <c r="D310" t="inlineStr">
        <is>
          <t>VÄSTMANLANDS LÄN</t>
        </is>
      </c>
      <c r="E310" t="inlineStr">
        <is>
          <t>SALA</t>
        </is>
      </c>
      <c r="G310" t="n">
        <v>4.3</v>
      </c>
      <c r="H310" t="n">
        <v>0</v>
      </c>
      <c r="I310" t="n">
        <v>0</v>
      </c>
      <c r="J310" t="n">
        <v>0</v>
      </c>
      <c r="K310" t="n">
        <v>0</v>
      </c>
      <c r="L310" t="n">
        <v>0</v>
      </c>
      <c r="M310" t="n">
        <v>0</v>
      </c>
      <c r="N310" t="n">
        <v>0</v>
      </c>
      <c r="O310" t="n">
        <v>0</v>
      </c>
      <c r="P310" t="n">
        <v>0</v>
      </c>
      <c r="Q310" t="n">
        <v>0</v>
      </c>
      <c r="R310" s="2" t="inlineStr"/>
    </row>
    <row r="311" ht="15" customHeight="1">
      <c r="A311" t="inlineStr">
        <is>
          <t>A 3332-2024</t>
        </is>
      </c>
      <c r="B311" s="1" t="n">
        <v>45317</v>
      </c>
      <c r="C311" s="1" t="n">
        <v>46038</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66307-2021</t>
        </is>
      </c>
      <c r="B312" s="1" t="n">
        <v>44518.48670138889</v>
      </c>
      <c r="C312" s="1" t="n">
        <v>46038</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2529-2022</t>
        </is>
      </c>
      <c r="B313" s="1" t="n">
        <v>44579.86452546297</v>
      </c>
      <c r="C313" s="1" t="n">
        <v>46038</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13471-2025</t>
        </is>
      </c>
      <c r="B314" s="1" t="n">
        <v>45736.40579861111</v>
      </c>
      <c r="C314" s="1" t="n">
        <v>46038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15681-2025</t>
        </is>
      </c>
      <c r="B315" s="1" t="n">
        <v>45748.45454861111</v>
      </c>
      <c r="C315" s="1" t="n">
        <v>46038</v>
      </c>
      <c r="D315" t="inlineStr">
        <is>
          <t>VÄSTMANLANDS LÄN</t>
        </is>
      </c>
      <c r="E315" t="inlineStr">
        <is>
          <t>SALA</t>
        </is>
      </c>
      <c r="F315" t="inlineStr">
        <is>
          <t>Bergvik skog öst AB</t>
        </is>
      </c>
      <c r="G315" t="n">
        <v>4.3</v>
      </c>
      <c r="H315" t="n">
        <v>0</v>
      </c>
      <c r="I315" t="n">
        <v>0</v>
      </c>
      <c r="J315" t="n">
        <v>0</v>
      </c>
      <c r="K315" t="n">
        <v>0</v>
      </c>
      <c r="L315" t="n">
        <v>0</v>
      </c>
      <c r="M315" t="n">
        <v>0</v>
      </c>
      <c r="N315" t="n">
        <v>0</v>
      </c>
      <c r="O315" t="n">
        <v>0</v>
      </c>
      <c r="P315" t="n">
        <v>0</v>
      </c>
      <c r="Q315" t="n">
        <v>0</v>
      </c>
      <c r="R315" s="2" t="inlineStr"/>
    </row>
    <row r="316" ht="15" customHeight="1">
      <c r="A316" t="inlineStr">
        <is>
          <t>A 27262-2024</t>
        </is>
      </c>
      <c r="B316" s="1" t="n">
        <v>45471</v>
      </c>
      <c r="C316" s="1" t="n">
        <v>46038</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18431-2023</t>
        </is>
      </c>
      <c r="B317" s="1" t="n">
        <v>45042</v>
      </c>
      <c r="C317" s="1" t="n">
        <v>46038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10913-2025</t>
        </is>
      </c>
      <c r="B318" s="1" t="n">
        <v>45722.73423611111</v>
      </c>
      <c r="C318" s="1" t="n">
        <v>46038</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27424-2023</t>
        </is>
      </c>
      <c r="B319" s="1" t="n">
        <v>45097.37690972222</v>
      </c>
      <c r="C319" s="1" t="n">
        <v>46038</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58701-2021</t>
        </is>
      </c>
      <c r="B320" s="1" t="n">
        <v>44489.46454861111</v>
      </c>
      <c r="C320" s="1" t="n">
        <v>46038</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11244-2024</t>
        </is>
      </c>
      <c r="B321" s="1" t="n">
        <v>45371</v>
      </c>
      <c r="C321" s="1" t="n">
        <v>46038</v>
      </c>
      <c r="D321" t="inlineStr">
        <is>
          <t>VÄSTMANLANDS LÄN</t>
        </is>
      </c>
      <c r="E321" t="inlineStr">
        <is>
          <t>SALA</t>
        </is>
      </c>
      <c r="G321" t="n">
        <v>1.2</v>
      </c>
      <c r="H321" t="n">
        <v>0</v>
      </c>
      <c r="I321" t="n">
        <v>0</v>
      </c>
      <c r="J321" t="n">
        <v>0</v>
      </c>
      <c r="K321" t="n">
        <v>0</v>
      </c>
      <c r="L321" t="n">
        <v>0</v>
      </c>
      <c r="M321" t="n">
        <v>0</v>
      </c>
      <c r="N321" t="n">
        <v>0</v>
      </c>
      <c r="O321" t="n">
        <v>0</v>
      </c>
      <c r="P321" t="n">
        <v>0</v>
      </c>
      <c r="Q321" t="n">
        <v>0</v>
      </c>
      <c r="R321" s="2" t="inlineStr"/>
    </row>
    <row r="322" ht="15" customHeight="1">
      <c r="A322" t="inlineStr">
        <is>
          <t>A 38574-2025</t>
        </is>
      </c>
      <c r="B322" s="1" t="n">
        <v>45884.46390046296</v>
      </c>
      <c r="C322" s="1" t="n">
        <v>46038</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35410-2022</t>
        </is>
      </c>
      <c r="B323" s="1" t="n">
        <v>44798.62576388889</v>
      </c>
      <c r="C323" s="1" t="n">
        <v>46038</v>
      </c>
      <c r="D323" t="inlineStr">
        <is>
          <t>VÄSTMANLANDS LÄN</t>
        </is>
      </c>
      <c r="E323" t="inlineStr">
        <is>
          <t>SALA</t>
        </is>
      </c>
      <c r="G323" t="n">
        <v>1.6</v>
      </c>
      <c r="H323" t="n">
        <v>0</v>
      </c>
      <c r="I323" t="n">
        <v>0</v>
      </c>
      <c r="J323" t="n">
        <v>0</v>
      </c>
      <c r="K323" t="n">
        <v>0</v>
      </c>
      <c r="L323" t="n">
        <v>0</v>
      </c>
      <c r="M323" t="n">
        <v>0</v>
      </c>
      <c r="N323" t="n">
        <v>0</v>
      </c>
      <c r="O323" t="n">
        <v>0</v>
      </c>
      <c r="P323" t="n">
        <v>0</v>
      </c>
      <c r="Q323" t="n">
        <v>0</v>
      </c>
      <c r="R323" s="2" t="inlineStr"/>
    </row>
    <row r="324" ht="15" customHeight="1">
      <c r="A324" t="inlineStr">
        <is>
          <t>A 55035-2023</t>
        </is>
      </c>
      <c r="B324" s="1" t="n">
        <v>45229</v>
      </c>
      <c r="C324" s="1" t="n">
        <v>46038</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12225-2023</t>
        </is>
      </c>
      <c r="B325" s="1" t="n">
        <v>44995</v>
      </c>
      <c r="C325" s="1" t="n">
        <v>46038</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1118-2024</t>
        </is>
      </c>
      <c r="B326" s="1" t="n">
        <v>45302</v>
      </c>
      <c r="C326" s="1" t="n">
        <v>46038</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61874-2021</t>
        </is>
      </c>
      <c r="B327" s="1" t="n">
        <v>44502</v>
      </c>
      <c r="C327" s="1" t="n">
        <v>46038</v>
      </c>
      <c r="D327" t="inlineStr">
        <is>
          <t>VÄSTMANLANDS LÄN</t>
        </is>
      </c>
      <c r="E327" t="inlineStr">
        <is>
          <t>SALA</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60249-2023</t>
        </is>
      </c>
      <c r="B328" s="1" t="n">
        <v>45258</v>
      </c>
      <c r="C328" s="1" t="n">
        <v>46038</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31864-2025</t>
        </is>
      </c>
      <c r="B329" s="1" t="n">
        <v>45834.63819444444</v>
      </c>
      <c r="C329" s="1" t="n">
        <v>46038</v>
      </c>
      <c r="D329" t="inlineStr">
        <is>
          <t>VÄSTMANLANDS LÄN</t>
        </is>
      </c>
      <c r="E329" t="inlineStr">
        <is>
          <t>SALA</t>
        </is>
      </c>
      <c r="G329" t="n">
        <v>6.3</v>
      </c>
      <c r="H329" t="n">
        <v>0</v>
      </c>
      <c r="I329" t="n">
        <v>0</v>
      </c>
      <c r="J329" t="n">
        <v>0</v>
      </c>
      <c r="K329" t="n">
        <v>0</v>
      </c>
      <c r="L329" t="n">
        <v>0</v>
      </c>
      <c r="M329" t="n">
        <v>0</v>
      </c>
      <c r="N329" t="n">
        <v>0</v>
      </c>
      <c r="O329" t="n">
        <v>0</v>
      </c>
      <c r="P329" t="n">
        <v>0</v>
      </c>
      <c r="Q329" t="n">
        <v>0</v>
      </c>
      <c r="R329" s="2" t="inlineStr"/>
    </row>
    <row r="330" ht="15" customHeight="1">
      <c r="A330" t="inlineStr">
        <is>
          <t>A 53864-2022</t>
        </is>
      </c>
      <c r="B330" s="1" t="n">
        <v>44880.64016203704</v>
      </c>
      <c r="C330" s="1" t="n">
        <v>46038</v>
      </c>
      <c r="D330" t="inlineStr">
        <is>
          <t>VÄSTMANLANDS LÄN</t>
        </is>
      </c>
      <c r="E330" t="inlineStr">
        <is>
          <t>SALA</t>
        </is>
      </c>
      <c r="G330" t="n">
        <v>5.9</v>
      </c>
      <c r="H330" t="n">
        <v>0</v>
      </c>
      <c r="I330" t="n">
        <v>0</v>
      </c>
      <c r="J330" t="n">
        <v>0</v>
      </c>
      <c r="K330" t="n">
        <v>0</v>
      </c>
      <c r="L330" t="n">
        <v>0</v>
      </c>
      <c r="M330" t="n">
        <v>0</v>
      </c>
      <c r="N330" t="n">
        <v>0</v>
      </c>
      <c r="O330" t="n">
        <v>0</v>
      </c>
      <c r="P330" t="n">
        <v>0</v>
      </c>
      <c r="Q330" t="n">
        <v>0</v>
      </c>
      <c r="R330" s="2" t="inlineStr"/>
    </row>
    <row r="331" ht="15" customHeight="1">
      <c r="A331" t="inlineStr">
        <is>
          <t>A 62651-2022</t>
        </is>
      </c>
      <c r="B331" s="1" t="n">
        <v>44917</v>
      </c>
      <c r="C331" s="1" t="n">
        <v>46038</v>
      </c>
      <c r="D331" t="inlineStr">
        <is>
          <t>VÄSTMANLANDS LÄN</t>
        </is>
      </c>
      <c r="E331" t="inlineStr">
        <is>
          <t>SALA</t>
        </is>
      </c>
      <c r="G331" t="n">
        <v>0.4</v>
      </c>
      <c r="H331" t="n">
        <v>0</v>
      </c>
      <c r="I331" t="n">
        <v>0</v>
      </c>
      <c r="J331" t="n">
        <v>0</v>
      </c>
      <c r="K331" t="n">
        <v>0</v>
      </c>
      <c r="L331" t="n">
        <v>0</v>
      </c>
      <c r="M331" t="n">
        <v>0</v>
      </c>
      <c r="N331" t="n">
        <v>0</v>
      </c>
      <c r="O331" t="n">
        <v>0</v>
      </c>
      <c r="P331" t="n">
        <v>0</v>
      </c>
      <c r="Q331" t="n">
        <v>0</v>
      </c>
      <c r="R331" s="2" t="inlineStr"/>
    </row>
    <row r="332" ht="15" customHeight="1">
      <c r="A332" t="inlineStr">
        <is>
          <t>A 40085-2024</t>
        </is>
      </c>
      <c r="B332" s="1" t="n">
        <v>45554</v>
      </c>
      <c r="C332" s="1" t="n">
        <v>46038</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16651-2021</t>
        </is>
      </c>
      <c r="B333" s="1" t="n">
        <v>44294.50096064815</v>
      </c>
      <c r="C333" s="1" t="n">
        <v>46038</v>
      </c>
      <c r="D333" t="inlineStr">
        <is>
          <t>VÄSTMANLANDS LÄN</t>
        </is>
      </c>
      <c r="E333" t="inlineStr">
        <is>
          <t>SALA</t>
        </is>
      </c>
      <c r="G333" t="n">
        <v>7.7</v>
      </c>
      <c r="H333" t="n">
        <v>0</v>
      </c>
      <c r="I333" t="n">
        <v>0</v>
      </c>
      <c r="J333" t="n">
        <v>0</v>
      </c>
      <c r="K333" t="n">
        <v>0</v>
      </c>
      <c r="L333" t="n">
        <v>0</v>
      </c>
      <c r="M333" t="n">
        <v>0</v>
      </c>
      <c r="N333" t="n">
        <v>0</v>
      </c>
      <c r="O333" t="n">
        <v>0</v>
      </c>
      <c r="P333" t="n">
        <v>0</v>
      </c>
      <c r="Q333" t="n">
        <v>0</v>
      </c>
      <c r="R333" s="2" t="inlineStr"/>
    </row>
    <row r="334" ht="15" customHeight="1">
      <c r="A334" t="inlineStr">
        <is>
          <t>A 3551-2024</t>
        </is>
      </c>
      <c r="B334" s="1" t="n">
        <v>45320.61099537037</v>
      </c>
      <c r="C334" s="1" t="n">
        <v>46038</v>
      </c>
      <c r="D334" t="inlineStr">
        <is>
          <t>VÄSTMANLANDS LÄN</t>
        </is>
      </c>
      <c r="E334" t="inlineStr">
        <is>
          <t>SALA</t>
        </is>
      </c>
      <c r="F334" t="inlineStr">
        <is>
          <t>Kommuner</t>
        </is>
      </c>
      <c r="G334" t="n">
        <v>6</v>
      </c>
      <c r="H334" t="n">
        <v>0</v>
      </c>
      <c r="I334" t="n">
        <v>0</v>
      </c>
      <c r="J334" t="n">
        <v>0</v>
      </c>
      <c r="K334" t="n">
        <v>0</v>
      </c>
      <c r="L334" t="n">
        <v>0</v>
      </c>
      <c r="M334" t="n">
        <v>0</v>
      </c>
      <c r="N334" t="n">
        <v>0</v>
      </c>
      <c r="O334" t="n">
        <v>0</v>
      </c>
      <c r="P334" t="n">
        <v>0</v>
      </c>
      <c r="Q334" t="n">
        <v>0</v>
      </c>
      <c r="R334" s="2" t="inlineStr"/>
    </row>
    <row r="335" ht="15" customHeight="1">
      <c r="A335" t="inlineStr">
        <is>
          <t>A 39167-2025</t>
        </is>
      </c>
      <c r="B335" s="1" t="n">
        <v>45888</v>
      </c>
      <c r="C335" s="1" t="n">
        <v>46038</v>
      </c>
      <c r="D335" t="inlineStr">
        <is>
          <t>VÄSTMANLANDS LÄN</t>
        </is>
      </c>
      <c r="E335" t="inlineStr">
        <is>
          <t>SALA</t>
        </is>
      </c>
      <c r="G335" t="n">
        <v>5.5</v>
      </c>
      <c r="H335" t="n">
        <v>0</v>
      </c>
      <c r="I335" t="n">
        <v>0</v>
      </c>
      <c r="J335" t="n">
        <v>0</v>
      </c>
      <c r="K335" t="n">
        <v>0</v>
      </c>
      <c r="L335" t="n">
        <v>0</v>
      </c>
      <c r="M335" t="n">
        <v>0</v>
      </c>
      <c r="N335" t="n">
        <v>0</v>
      </c>
      <c r="O335" t="n">
        <v>0</v>
      </c>
      <c r="P335" t="n">
        <v>0</v>
      </c>
      <c r="Q335" t="n">
        <v>0</v>
      </c>
      <c r="R335" s="2" t="inlineStr"/>
    </row>
    <row r="336" ht="15" customHeight="1">
      <c r="A336" t="inlineStr">
        <is>
          <t>A 39182-2025</t>
        </is>
      </c>
      <c r="B336" s="1" t="n">
        <v>45888.66204861111</v>
      </c>
      <c r="C336" s="1" t="n">
        <v>46038</v>
      </c>
      <c r="D336" t="inlineStr">
        <is>
          <t>VÄSTMANLANDS LÄN</t>
        </is>
      </c>
      <c r="E336" t="inlineStr">
        <is>
          <t>SALA</t>
        </is>
      </c>
      <c r="F336" t="inlineStr">
        <is>
          <t>Bergvik skog öst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22961-2023</t>
        </is>
      </c>
      <c r="B337" s="1" t="n">
        <v>45072</v>
      </c>
      <c r="C337" s="1" t="n">
        <v>46038</v>
      </c>
      <c r="D337" t="inlineStr">
        <is>
          <t>VÄSTMANLANDS LÄN</t>
        </is>
      </c>
      <c r="E337" t="inlineStr">
        <is>
          <t>SALA</t>
        </is>
      </c>
      <c r="G337" t="n">
        <v>2.7</v>
      </c>
      <c r="H337" t="n">
        <v>0</v>
      </c>
      <c r="I337" t="n">
        <v>0</v>
      </c>
      <c r="J337" t="n">
        <v>0</v>
      </c>
      <c r="K337" t="n">
        <v>0</v>
      </c>
      <c r="L337" t="n">
        <v>0</v>
      </c>
      <c r="M337" t="n">
        <v>0</v>
      </c>
      <c r="N337" t="n">
        <v>0</v>
      </c>
      <c r="O337" t="n">
        <v>0</v>
      </c>
      <c r="P337" t="n">
        <v>0</v>
      </c>
      <c r="Q337" t="n">
        <v>0</v>
      </c>
      <c r="R337" s="2" t="inlineStr"/>
    </row>
    <row r="338" ht="15" customHeight="1">
      <c r="A338" t="inlineStr">
        <is>
          <t>A 22963-2023</t>
        </is>
      </c>
      <c r="B338" s="1" t="n">
        <v>45072</v>
      </c>
      <c r="C338" s="1" t="n">
        <v>46038</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31597-2024</t>
        </is>
      </c>
      <c r="B339" s="1" t="n">
        <v>45506</v>
      </c>
      <c r="C339" s="1" t="n">
        <v>46038</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31599-2024</t>
        </is>
      </c>
      <c r="B340" s="1" t="n">
        <v>45506</v>
      </c>
      <c r="C340" s="1" t="n">
        <v>46038</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31601-2024</t>
        </is>
      </c>
      <c r="B341" s="1" t="n">
        <v>45506</v>
      </c>
      <c r="C341" s="1" t="n">
        <v>46038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31608-2024</t>
        </is>
      </c>
      <c r="B342" s="1" t="n">
        <v>45506</v>
      </c>
      <c r="C342" s="1" t="n">
        <v>46038</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31612-2024</t>
        </is>
      </c>
      <c r="B343" s="1" t="n">
        <v>45506</v>
      </c>
      <c r="C343" s="1" t="n">
        <v>46038</v>
      </c>
      <c r="D343" t="inlineStr">
        <is>
          <t>VÄSTMANLANDS LÄN</t>
        </is>
      </c>
      <c r="E343" t="inlineStr">
        <is>
          <t>SALA</t>
        </is>
      </c>
      <c r="G343" t="n">
        <v>3.2</v>
      </c>
      <c r="H343" t="n">
        <v>0</v>
      </c>
      <c r="I343" t="n">
        <v>0</v>
      </c>
      <c r="J343" t="n">
        <v>0</v>
      </c>
      <c r="K343" t="n">
        <v>0</v>
      </c>
      <c r="L343" t="n">
        <v>0</v>
      </c>
      <c r="M343" t="n">
        <v>0</v>
      </c>
      <c r="N343" t="n">
        <v>0</v>
      </c>
      <c r="O343" t="n">
        <v>0</v>
      </c>
      <c r="P343" t="n">
        <v>0</v>
      </c>
      <c r="Q343" t="n">
        <v>0</v>
      </c>
      <c r="R343" s="2" t="inlineStr"/>
    </row>
    <row r="344" ht="15" customHeight="1">
      <c r="A344" t="inlineStr">
        <is>
          <t>A 54960-2024</t>
        </is>
      </c>
      <c r="B344" s="1" t="n">
        <v>45619.85208333333</v>
      </c>
      <c r="C344" s="1" t="n">
        <v>46038</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52498-2022</t>
        </is>
      </c>
      <c r="B345" s="1" t="n">
        <v>44874.50152777778</v>
      </c>
      <c r="C345" s="1" t="n">
        <v>46038</v>
      </c>
      <c r="D345" t="inlineStr">
        <is>
          <t>VÄSTMANLANDS LÄN</t>
        </is>
      </c>
      <c r="E345" t="inlineStr">
        <is>
          <t>SALA</t>
        </is>
      </c>
      <c r="G345" t="n">
        <v>2.1</v>
      </c>
      <c r="H345" t="n">
        <v>0</v>
      </c>
      <c r="I345" t="n">
        <v>0</v>
      </c>
      <c r="J345" t="n">
        <v>0</v>
      </c>
      <c r="K345" t="n">
        <v>0</v>
      </c>
      <c r="L345" t="n">
        <v>0</v>
      </c>
      <c r="M345" t="n">
        <v>0</v>
      </c>
      <c r="N345" t="n">
        <v>0</v>
      </c>
      <c r="O345" t="n">
        <v>0</v>
      </c>
      <c r="P345" t="n">
        <v>0</v>
      </c>
      <c r="Q345" t="n">
        <v>0</v>
      </c>
      <c r="R345" s="2" t="inlineStr"/>
    </row>
    <row r="346" ht="15" customHeight="1">
      <c r="A346" t="inlineStr">
        <is>
          <t>A 52500-2024</t>
        </is>
      </c>
      <c r="B346" s="1" t="n">
        <v>45609</v>
      </c>
      <c r="C346" s="1" t="n">
        <v>46038</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27228-2023</t>
        </is>
      </c>
      <c r="B347" s="1" t="n">
        <v>45096.59189814814</v>
      </c>
      <c r="C347" s="1" t="n">
        <v>46038</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26507-2023</t>
        </is>
      </c>
      <c r="B348" s="1" t="n">
        <v>45092</v>
      </c>
      <c r="C348" s="1" t="n">
        <v>46038</v>
      </c>
      <c r="D348" t="inlineStr">
        <is>
          <t>VÄSTMANLANDS LÄN</t>
        </is>
      </c>
      <c r="E348" t="inlineStr">
        <is>
          <t>SALA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6183-2025</t>
        </is>
      </c>
      <c r="B349" s="1" t="n">
        <v>45698</v>
      </c>
      <c r="C349" s="1" t="n">
        <v>46038</v>
      </c>
      <c r="D349" t="inlineStr">
        <is>
          <t>VÄSTMANLANDS LÄN</t>
        </is>
      </c>
      <c r="E349" t="inlineStr">
        <is>
          <t>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16543-2023</t>
        </is>
      </c>
      <c r="B350" s="1" t="n">
        <v>45029</v>
      </c>
      <c r="C350" s="1" t="n">
        <v>46038</v>
      </c>
      <c r="D350" t="inlineStr">
        <is>
          <t>VÄSTMANLANDS LÄN</t>
        </is>
      </c>
      <c r="E350" t="inlineStr">
        <is>
          <t>SALA</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43176-2023</t>
        </is>
      </c>
      <c r="B351" s="1" t="n">
        <v>45183</v>
      </c>
      <c r="C351" s="1" t="n">
        <v>46038</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37624-2024</t>
        </is>
      </c>
      <c r="B352" s="1" t="n">
        <v>45541</v>
      </c>
      <c r="C352" s="1" t="n">
        <v>46038</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57895-2024</t>
        </is>
      </c>
      <c r="B353" s="1" t="n">
        <v>45631</v>
      </c>
      <c r="C353" s="1" t="n">
        <v>46038</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47086-2022</t>
        </is>
      </c>
      <c r="B354" s="1" t="n">
        <v>44852</v>
      </c>
      <c r="C354" s="1" t="n">
        <v>46038</v>
      </c>
      <c r="D354" t="inlineStr">
        <is>
          <t>VÄSTMANLANDS LÄN</t>
        </is>
      </c>
      <c r="E354" t="inlineStr">
        <is>
          <t>SALA</t>
        </is>
      </c>
      <c r="G354" t="n">
        <v>12.5</v>
      </c>
      <c r="H354" t="n">
        <v>0</v>
      </c>
      <c r="I354" t="n">
        <v>0</v>
      </c>
      <c r="J354" t="n">
        <v>0</v>
      </c>
      <c r="K354" t="n">
        <v>0</v>
      </c>
      <c r="L354" t="n">
        <v>0</v>
      </c>
      <c r="M354" t="n">
        <v>0</v>
      </c>
      <c r="N354" t="n">
        <v>0</v>
      </c>
      <c r="O354" t="n">
        <v>0</v>
      </c>
      <c r="P354" t="n">
        <v>0</v>
      </c>
      <c r="Q354" t="n">
        <v>0</v>
      </c>
      <c r="R354" s="2" t="inlineStr"/>
    </row>
    <row r="355" ht="15" customHeight="1">
      <c r="A355" t="inlineStr">
        <is>
          <t>A 40559-2025</t>
        </is>
      </c>
      <c r="B355" s="1" t="n">
        <v>45896.45037037037</v>
      </c>
      <c r="C355" s="1" t="n">
        <v>46038</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40556-2025</t>
        </is>
      </c>
      <c r="B356" s="1" t="n">
        <v>45896.44944444444</v>
      </c>
      <c r="C356" s="1" t="n">
        <v>46038</v>
      </c>
      <c r="D356" t="inlineStr">
        <is>
          <t>VÄSTMANLANDS LÄN</t>
        </is>
      </c>
      <c r="E356" t="inlineStr">
        <is>
          <t>SALA</t>
        </is>
      </c>
      <c r="G356" t="n">
        <v>1.9</v>
      </c>
      <c r="H356" t="n">
        <v>0</v>
      </c>
      <c r="I356" t="n">
        <v>0</v>
      </c>
      <c r="J356" t="n">
        <v>0</v>
      </c>
      <c r="K356" t="n">
        <v>0</v>
      </c>
      <c r="L356" t="n">
        <v>0</v>
      </c>
      <c r="M356" t="n">
        <v>0</v>
      </c>
      <c r="N356" t="n">
        <v>0</v>
      </c>
      <c r="O356" t="n">
        <v>0</v>
      </c>
      <c r="P356" t="n">
        <v>0</v>
      </c>
      <c r="Q356" t="n">
        <v>0</v>
      </c>
      <c r="R356" s="2" t="inlineStr"/>
    </row>
    <row r="357" ht="15" customHeight="1">
      <c r="A357" t="inlineStr">
        <is>
          <t>A 40620-2025</t>
        </is>
      </c>
      <c r="B357" s="1" t="n">
        <v>45896.58609953704</v>
      </c>
      <c r="C357" s="1" t="n">
        <v>46038</v>
      </c>
      <c r="D357" t="inlineStr">
        <is>
          <t>VÄSTMANLANDS LÄN</t>
        </is>
      </c>
      <c r="E357" t="inlineStr">
        <is>
          <t>SALA</t>
        </is>
      </c>
      <c r="G357" t="n">
        <v>6.7</v>
      </c>
      <c r="H357" t="n">
        <v>0</v>
      </c>
      <c r="I357" t="n">
        <v>0</v>
      </c>
      <c r="J357" t="n">
        <v>0</v>
      </c>
      <c r="K357" t="n">
        <v>0</v>
      </c>
      <c r="L357" t="n">
        <v>0</v>
      </c>
      <c r="M357" t="n">
        <v>0</v>
      </c>
      <c r="N357" t="n">
        <v>0</v>
      </c>
      <c r="O357" t="n">
        <v>0</v>
      </c>
      <c r="P357" t="n">
        <v>0</v>
      </c>
      <c r="Q357" t="n">
        <v>0</v>
      </c>
      <c r="R357" s="2" t="inlineStr"/>
    </row>
    <row r="358" ht="15" customHeight="1">
      <c r="A358" t="inlineStr">
        <is>
          <t>A 56949-2023</t>
        </is>
      </c>
      <c r="B358" s="1" t="n">
        <v>45244.61589120371</v>
      </c>
      <c r="C358" s="1" t="n">
        <v>46038</v>
      </c>
      <c r="D358" t="inlineStr">
        <is>
          <t>VÄSTMANLANDS LÄN</t>
        </is>
      </c>
      <c r="E358" t="inlineStr">
        <is>
          <t>SALA</t>
        </is>
      </c>
      <c r="G358" t="n">
        <v>4.7</v>
      </c>
      <c r="H358" t="n">
        <v>0</v>
      </c>
      <c r="I358" t="n">
        <v>0</v>
      </c>
      <c r="J358" t="n">
        <v>0</v>
      </c>
      <c r="K358" t="n">
        <v>0</v>
      </c>
      <c r="L358" t="n">
        <v>0</v>
      </c>
      <c r="M358" t="n">
        <v>0</v>
      </c>
      <c r="N358" t="n">
        <v>0</v>
      </c>
      <c r="O358" t="n">
        <v>0</v>
      </c>
      <c r="P358" t="n">
        <v>0</v>
      </c>
      <c r="Q358" t="n">
        <v>0</v>
      </c>
      <c r="R358" s="2" t="inlineStr"/>
    </row>
    <row r="359" ht="15" customHeight="1">
      <c r="A359" t="inlineStr">
        <is>
          <t>A 14010-2021</t>
        </is>
      </c>
      <c r="B359" s="1" t="n">
        <v>44277.63396990741</v>
      </c>
      <c r="C359" s="1" t="n">
        <v>46038</v>
      </c>
      <c r="D359" t="inlineStr">
        <is>
          <t>VÄSTMANLANDS LÄN</t>
        </is>
      </c>
      <c r="E359" t="inlineStr">
        <is>
          <t>SALA</t>
        </is>
      </c>
      <c r="G359" t="n">
        <v>3.5</v>
      </c>
      <c r="H359" t="n">
        <v>0</v>
      </c>
      <c r="I359" t="n">
        <v>0</v>
      </c>
      <c r="J359" t="n">
        <v>0</v>
      </c>
      <c r="K359" t="n">
        <v>0</v>
      </c>
      <c r="L359" t="n">
        <v>0</v>
      </c>
      <c r="M359" t="n">
        <v>0</v>
      </c>
      <c r="N359" t="n">
        <v>0</v>
      </c>
      <c r="O359" t="n">
        <v>0</v>
      </c>
      <c r="P359" t="n">
        <v>0</v>
      </c>
      <c r="Q359" t="n">
        <v>0</v>
      </c>
      <c r="R359" s="2" t="inlineStr"/>
    </row>
    <row r="360" ht="15" customHeight="1">
      <c r="A360" t="inlineStr">
        <is>
          <t>A 41230-2025</t>
        </is>
      </c>
      <c r="B360" s="1" t="n">
        <v>45898</v>
      </c>
      <c r="C360" s="1" t="n">
        <v>46038</v>
      </c>
      <c r="D360" t="inlineStr">
        <is>
          <t>VÄSTMANLANDS LÄN</t>
        </is>
      </c>
      <c r="E360" t="inlineStr">
        <is>
          <t>SALA</t>
        </is>
      </c>
      <c r="G360" t="n">
        <v>2.3</v>
      </c>
      <c r="H360" t="n">
        <v>0</v>
      </c>
      <c r="I360" t="n">
        <v>0</v>
      </c>
      <c r="J360" t="n">
        <v>0</v>
      </c>
      <c r="K360" t="n">
        <v>0</v>
      </c>
      <c r="L360" t="n">
        <v>0</v>
      </c>
      <c r="M360" t="n">
        <v>0</v>
      </c>
      <c r="N360" t="n">
        <v>0</v>
      </c>
      <c r="O360" t="n">
        <v>0</v>
      </c>
      <c r="P360" t="n">
        <v>0</v>
      </c>
      <c r="Q360" t="n">
        <v>0</v>
      </c>
      <c r="R360" s="2" t="inlineStr"/>
    </row>
    <row r="361" ht="15" customHeight="1">
      <c r="A361" t="inlineStr">
        <is>
          <t>A 56687-2024</t>
        </is>
      </c>
      <c r="B361" s="1" t="n">
        <v>45627.63271990741</v>
      </c>
      <c r="C361" s="1" t="n">
        <v>46038</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41414-2025</t>
        </is>
      </c>
      <c r="B362" s="1" t="n">
        <v>45901.360625</v>
      </c>
      <c r="C362" s="1" t="n">
        <v>46038</v>
      </c>
      <c r="D362" t="inlineStr">
        <is>
          <t>VÄSTMANLANDS LÄN</t>
        </is>
      </c>
      <c r="E362" t="inlineStr">
        <is>
          <t>SALA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54347-2024</t>
        </is>
      </c>
      <c r="B363" s="1" t="n">
        <v>45617.39325231482</v>
      </c>
      <c r="C363" s="1" t="n">
        <v>46038</v>
      </c>
      <c r="D363" t="inlineStr">
        <is>
          <t>VÄSTMANLANDS LÄN</t>
        </is>
      </c>
      <c r="E363" t="inlineStr">
        <is>
          <t>SALA</t>
        </is>
      </c>
      <c r="G363" t="n">
        <v>2</v>
      </c>
      <c r="H363" t="n">
        <v>0</v>
      </c>
      <c r="I363" t="n">
        <v>0</v>
      </c>
      <c r="J363" t="n">
        <v>0</v>
      </c>
      <c r="K363" t="n">
        <v>0</v>
      </c>
      <c r="L363" t="n">
        <v>0</v>
      </c>
      <c r="M363" t="n">
        <v>0</v>
      </c>
      <c r="N363" t="n">
        <v>0</v>
      </c>
      <c r="O363" t="n">
        <v>0</v>
      </c>
      <c r="P363" t="n">
        <v>0</v>
      </c>
      <c r="Q363" t="n">
        <v>0</v>
      </c>
      <c r="R363" s="2" t="inlineStr"/>
    </row>
    <row r="364" ht="15" customHeight="1">
      <c r="A364" t="inlineStr">
        <is>
          <t>A 61717-2024</t>
        </is>
      </c>
      <c r="B364" s="1" t="n">
        <v>45648</v>
      </c>
      <c r="C364" s="1" t="n">
        <v>46038</v>
      </c>
      <c r="D364" t="inlineStr">
        <is>
          <t>VÄSTMANLANDS LÄN</t>
        </is>
      </c>
      <c r="E364" t="inlineStr">
        <is>
          <t>SALA</t>
        </is>
      </c>
      <c r="G364" t="n">
        <v>3.7</v>
      </c>
      <c r="H364" t="n">
        <v>0</v>
      </c>
      <c r="I364" t="n">
        <v>0</v>
      </c>
      <c r="J364" t="n">
        <v>0</v>
      </c>
      <c r="K364" t="n">
        <v>0</v>
      </c>
      <c r="L364" t="n">
        <v>0</v>
      </c>
      <c r="M364" t="n">
        <v>0</v>
      </c>
      <c r="N364" t="n">
        <v>0</v>
      </c>
      <c r="O364" t="n">
        <v>0</v>
      </c>
      <c r="P364" t="n">
        <v>0</v>
      </c>
      <c r="Q364" t="n">
        <v>0</v>
      </c>
      <c r="R364" s="2" t="inlineStr"/>
    </row>
    <row r="365" ht="15" customHeight="1">
      <c r="A365" t="inlineStr">
        <is>
          <t>A 53164-2024</t>
        </is>
      </c>
      <c r="B365" s="1" t="n">
        <v>45611.64887731482</v>
      </c>
      <c r="C365" s="1" t="n">
        <v>46038</v>
      </c>
      <c r="D365" t="inlineStr">
        <is>
          <t>VÄSTMANLANDS LÄN</t>
        </is>
      </c>
      <c r="E365" t="inlineStr">
        <is>
          <t>SALA</t>
        </is>
      </c>
      <c r="G365" t="n">
        <v>2.6</v>
      </c>
      <c r="H365" t="n">
        <v>0</v>
      </c>
      <c r="I365" t="n">
        <v>0</v>
      </c>
      <c r="J365" t="n">
        <v>0</v>
      </c>
      <c r="K365" t="n">
        <v>0</v>
      </c>
      <c r="L365" t="n">
        <v>0</v>
      </c>
      <c r="M365" t="n">
        <v>0</v>
      </c>
      <c r="N365" t="n">
        <v>0</v>
      </c>
      <c r="O365" t="n">
        <v>0</v>
      </c>
      <c r="P365" t="n">
        <v>0</v>
      </c>
      <c r="Q365" t="n">
        <v>0</v>
      </c>
      <c r="R365" s="2" t="inlineStr"/>
    </row>
    <row r="366" ht="15" customHeight="1">
      <c r="A366" t="inlineStr">
        <is>
          <t>A 41431-2025</t>
        </is>
      </c>
      <c r="B366" s="1" t="n">
        <v>45901.39347222223</v>
      </c>
      <c r="C366" s="1" t="n">
        <v>46038</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64693-2023</t>
        </is>
      </c>
      <c r="B367" s="1" t="n">
        <v>45281.63850694444</v>
      </c>
      <c r="C367" s="1" t="n">
        <v>46038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64695-2023</t>
        </is>
      </c>
      <c r="B368" s="1" t="n">
        <v>45281.64099537037</v>
      </c>
      <c r="C368" s="1" t="n">
        <v>46038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27486-2022</t>
        </is>
      </c>
      <c r="B369" s="1" t="n">
        <v>44742.60846064815</v>
      </c>
      <c r="C369" s="1" t="n">
        <v>46038</v>
      </c>
      <c r="D369" t="inlineStr">
        <is>
          <t>VÄSTMANLANDS LÄN</t>
        </is>
      </c>
      <c r="E369" t="inlineStr">
        <is>
          <t>SALA</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96-2024</t>
        </is>
      </c>
      <c r="B370" s="1" t="n">
        <v>45293.85872685185</v>
      </c>
      <c r="C370" s="1" t="n">
        <v>46038</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54118-2023</t>
        </is>
      </c>
      <c r="B371" s="1" t="n">
        <v>45232</v>
      </c>
      <c r="C371" s="1" t="n">
        <v>46038</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35003-2024</t>
        </is>
      </c>
      <c r="B372" s="1" t="n">
        <v>45527.56790509259</v>
      </c>
      <c r="C372" s="1" t="n">
        <v>46038</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48688-2024</t>
        </is>
      </c>
      <c r="B373" s="1" t="n">
        <v>45593.50541666667</v>
      </c>
      <c r="C373" s="1" t="n">
        <v>46038</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21968-2024</t>
        </is>
      </c>
      <c r="B374" s="1" t="n">
        <v>45443</v>
      </c>
      <c r="C374" s="1" t="n">
        <v>46038</v>
      </c>
      <c r="D374" t="inlineStr">
        <is>
          <t>VÄSTMANLANDS LÄN</t>
        </is>
      </c>
      <c r="E374" t="inlineStr">
        <is>
          <t>SALA</t>
        </is>
      </c>
      <c r="G374" t="n">
        <v>1.9</v>
      </c>
      <c r="H374" t="n">
        <v>0</v>
      </c>
      <c r="I374" t="n">
        <v>0</v>
      </c>
      <c r="J374" t="n">
        <v>0</v>
      </c>
      <c r="K374" t="n">
        <v>0</v>
      </c>
      <c r="L374" t="n">
        <v>0</v>
      </c>
      <c r="M374" t="n">
        <v>0</v>
      </c>
      <c r="N374" t="n">
        <v>0</v>
      </c>
      <c r="O374" t="n">
        <v>0</v>
      </c>
      <c r="P374" t="n">
        <v>0</v>
      </c>
      <c r="Q374" t="n">
        <v>0</v>
      </c>
      <c r="R374" s="2" t="inlineStr"/>
    </row>
    <row r="375" ht="15" customHeight="1">
      <c r="A375" t="inlineStr">
        <is>
          <t>A 34814-2021</t>
        </is>
      </c>
      <c r="B375" s="1" t="n">
        <v>44383</v>
      </c>
      <c r="C375" s="1" t="n">
        <v>46038</v>
      </c>
      <c r="D375" t="inlineStr">
        <is>
          <t>VÄSTMANLANDS LÄN</t>
        </is>
      </c>
      <c r="E375" t="inlineStr">
        <is>
          <t>SALA</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15354-2021</t>
        </is>
      </c>
      <c r="B376" s="1" t="n">
        <v>44284</v>
      </c>
      <c r="C376" s="1" t="n">
        <v>46038</v>
      </c>
      <c r="D376" t="inlineStr">
        <is>
          <t>VÄSTMANLANDS LÄN</t>
        </is>
      </c>
      <c r="E376" t="inlineStr">
        <is>
          <t>SALA</t>
        </is>
      </c>
      <c r="F376" t="inlineStr">
        <is>
          <t>Kyrkan</t>
        </is>
      </c>
      <c r="G376" t="n">
        <v>8.5</v>
      </c>
      <c r="H376" t="n">
        <v>0</v>
      </c>
      <c r="I376" t="n">
        <v>0</v>
      </c>
      <c r="J376" t="n">
        <v>0</v>
      </c>
      <c r="K376" t="n">
        <v>0</v>
      </c>
      <c r="L376" t="n">
        <v>0</v>
      </c>
      <c r="M376" t="n">
        <v>0</v>
      </c>
      <c r="N376" t="n">
        <v>0</v>
      </c>
      <c r="O376" t="n">
        <v>0</v>
      </c>
      <c r="P376" t="n">
        <v>0</v>
      </c>
      <c r="Q376" t="n">
        <v>0</v>
      </c>
      <c r="R376" s="2" t="inlineStr"/>
    </row>
    <row r="377" ht="15" customHeight="1">
      <c r="A377" t="inlineStr">
        <is>
          <t>A 63933-2023</t>
        </is>
      </c>
      <c r="B377" s="1" t="n">
        <v>45278</v>
      </c>
      <c r="C377" s="1" t="n">
        <v>46038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25748-2022</t>
        </is>
      </c>
      <c r="B378" s="1" t="n">
        <v>44732</v>
      </c>
      <c r="C378" s="1" t="n">
        <v>46038</v>
      </c>
      <c r="D378" t="inlineStr">
        <is>
          <t>VÄSTMANLANDS LÄN</t>
        </is>
      </c>
      <c r="E378" t="inlineStr">
        <is>
          <t>SALA</t>
        </is>
      </c>
      <c r="G378" t="n">
        <v>7.7</v>
      </c>
      <c r="H378" t="n">
        <v>0</v>
      </c>
      <c r="I378" t="n">
        <v>0</v>
      </c>
      <c r="J378" t="n">
        <v>0</v>
      </c>
      <c r="K378" t="n">
        <v>0</v>
      </c>
      <c r="L378" t="n">
        <v>0</v>
      </c>
      <c r="M378" t="n">
        <v>0</v>
      </c>
      <c r="N378" t="n">
        <v>0</v>
      </c>
      <c r="O378" t="n">
        <v>0</v>
      </c>
      <c r="P378" t="n">
        <v>0</v>
      </c>
      <c r="Q378" t="n">
        <v>0</v>
      </c>
      <c r="R378" s="2" t="inlineStr"/>
    </row>
    <row r="379" ht="15" customHeight="1">
      <c r="A379" t="inlineStr">
        <is>
          <t>A 42421-2025</t>
        </is>
      </c>
      <c r="B379" s="1" t="n">
        <v>45905.40067129629</v>
      </c>
      <c r="C379" s="1" t="n">
        <v>46038</v>
      </c>
      <c r="D379" t="inlineStr">
        <is>
          <t>VÄSTMANLANDS LÄN</t>
        </is>
      </c>
      <c r="E379" t="inlineStr">
        <is>
          <t>SALA</t>
        </is>
      </c>
      <c r="G379" t="n">
        <v>1.3</v>
      </c>
      <c r="H379" t="n">
        <v>0</v>
      </c>
      <c r="I379" t="n">
        <v>0</v>
      </c>
      <c r="J379" t="n">
        <v>0</v>
      </c>
      <c r="K379" t="n">
        <v>0</v>
      </c>
      <c r="L379" t="n">
        <v>0</v>
      </c>
      <c r="M379" t="n">
        <v>0</v>
      </c>
      <c r="N379" t="n">
        <v>0</v>
      </c>
      <c r="O379" t="n">
        <v>0</v>
      </c>
      <c r="P379" t="n">
        <v>0</v>
      </c>
      <c r="Q379" t="n">
        <v>0</v>
      </c>
      <c r="R379" s="2" t="inlineStr"/>
    </row>
    <row r="380" ht="15" customHeight="1">
      <c r="A380" t="inlineStr">
        <is>
          <t>A 44746-2024</t>
        </is>
      </c>
      <c r="B380" s="1" t="n">
        <v>45574.59813657407</v>
      </c>
      <c r="C380" s="1" t="n">
        <v>46038</v>
      </c>
      <c r="D380" t="inlineStr">
        <is>
          <t>VÄSTMANLANDS LÄN</t>
        </is>
      </c>
      <c r="E380" t="inlineStr">
        <is>
          <t>SALA</t>
        </is>
      </c>
      <c r="G380" t="n">
        <v>6.7</v>
      </c>
      <c r="H380" t="n">
        <v>0</v>
      </c>
      <c r="I380" t="n">
        <v>0</v>
      </c>
      <c r="J380" t="n">
        <v>0</v>
      </c>
      <c r="K380" t="n">
        <v>0</v>
      </c>
      <c r="L380" t="n">
        <v>0</v>
      </c>
      <c r="M380" t="n">
        <v>0</v>
      </c>
      <c r="N380" t="n">
        <v>0</v>
      </c>
      <c r="O380" t="n">
        <v>0</v>
      </c>
      <c r="P380" t="n">
        <v>0</v>
      </c>
      <c r="Q380" t="n">
        <v>0</v>
      </c>
      <c r="R380" s="2" t="inlineStr"/>
    </row>
    <row r="381" ht="15" customHeight="1">
      <c r="A381" t="inlineStr">
        <is>
          <t>A 33273-2023</t>
        </is>
      </c>
      <c r="B381" s="1" t="n">
        <v>45127</v>
      </c>
      <c r="C381" s="1" t="n">
        <v>46038</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11696-2025</t>
        </is>
      </c>
      <c r="B382" s="1" t="n">
        <v>45727</v>
      </c>
      <c r="C382" s="1" t="n">
        <v>46038</v>
      </c>
      <c r="D382" t="inlineStr">
        <is>
          <t>VÄSTMANLANDS LÄN</t>
        </is>
      </c>
      <c r="E382" t="inlineStr">
        <is>
          <t>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3733-2023</t>
        </is>
      </c>
      <c r="B383" s="1" t="n">
        <v>44951.42501157407</v>
      </c>
      <c r="C383" s="1" t="n">
        <v>46038</v>
      </c>
      <c r="D383" t="inlineStr">
        <is>
          <t>VÄSTMANLANDS LÄN</t>
        </is>
      </c>
      <c r="E383" t="inlineStr">
        <is>
          <t>SALA</t>
        </is>
      </c>
      <c r="G383" t="n">
        <v>3.1</v>
      </c>
      <c r="H383" t="n">
        <v>0</v>
      </c>
      <c r="I383" t="n">
        <v>0</v>
      </c>
      <c r="J383" t="n">
        <v>0</v>
      </c>
      <c r="K383" t="n">
        <v>0</v>
      </c>
      <c r="L383" t="n">
        <v>0</v>
      </c>
      <c r="M383" t="n">
        <v>0</v>
      </c>
      <c r="N383" t="n">
        <v>0</v>
      </c>
      <c r="O383" t="n">
        <v>0</v>
      </c>
      <c r="P383" t="n">
        <v>0</v>
      </c>
      <c r="Q383" t="n">
        <v>0</v>
      </c>
      <c r="R383" s="2" t="inlineStr"/>
    </row>
    <row r="384" ht="15" customHeight="1">
      <c r="A384" t="inlineStr">
        <is>
          <t>A 6136-2025</t>
        </is>
      </c>
      <c r="B384" s="1" t="n">
        <v>45698.37601851852</v>
      </c>
      <c r="C384" s="1" t="n">
        <v>46038</v>
      </c>
      <c r="D384" t="inlineStr">
        <is>
          <t>VÄSTMANLANDS LÄN</t>
        </is>
      </c>
      <c r="E384" t="inlineStr">
        <is>
          <t>SALA</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6190-2025</t>
        </is>
      </c>
      <c r="B385" s="1" t="n">
        <v>45698</v>
      </c>
      <c r="C385" s="1" t="n">
        <v>46038</v>
      </c>
      <c r="D385" t="inlineStr">
        <is>
          <t>VÄSTMANLANDS LÄN</t>
        </is>
      </c>
      <c r="E385" t="inlineStr">
        <is>
          <t>SALA</t>
        </is>
      </c>
      <c r="F385" t="inlineStr">
        <is>
          <t>Bergvik skog öst AB</t>
        </is>
      </c>
      <c r="G385" t="n">
        <v>4.6</v>
      </c>
      <c r="H385" t="n">
        <v>0</v>
      </c>
      <c r="I385" t="n">
        <v>0</v>
      </c>
      <c r="J385" t="n">
        <v>0</v>
      </c>
      <c r="K385" t="n">
        <v>0</v>
      </c>
      <c r="L385" t="n">
        <v>0</v>
      </c>
      <c r="M385" t="n">
        <v>0</v>
      </c>
      <c r="N385" t="n">
        <v>0</v>
      </c>
      <c r="O385" t="n">
        <v>0</v>
      </c>
      <c r="P385" t="n">
        <v>0</v>
      </c>
      <c r="Q385" t="n">
        <v>0</v>
      </c>
      <c r="R385" s="2" t="inlineStr"/>
    </row>
    <row r="386" ht="15" customHeight="1">
      <c r="A386" t="inlineStr">
        <is>
          <t>A 17495-2024</t>
        </is>
      </c>
      <c r="B386" s="1" t="n">
        <v>45415</v>
      </c>
      <c r="C386" s="1" t="n">
        <v>46038</v>
      </c>
      <c r="D386" t="inlineStr">
        <is>
          <t>VÄSTMANLANDS LÄN</t>
        </is>
      </c>
      <c r="E386" t="inlineStr">
        <is>
          <t>SALA</t>
        </is>
      </c>
      <c r="G386" t="n">
        <v>3.1</v>
      </c>
      <c r="H386" t="n">
        <v>0</v>
      </c>
      <c r="I386" t="n">
        <v>0</v>
      </c>
      <c r="J386" t="n">
        <v>0</v>
      </c>
      <c r="K386" t="n">
        <v>0</v>
      </c>
      <c r="L386" t="n">
        <v>0</v>
      </c>
      <c r="M386" t="n">
        <v>0</v>
      </c>
      <c r="N386" t="n">
        <v>0</v>
      </c>
      <c r="O386" t="n">
        <v>0</v>
      </c>
      <c r="P386" t="n">
        <v>0</v>
      </c>
      <c r="Q386" t="n">
        <v>0</v>
      </c>
      <c r="R386" s="2" t="inlineStr"/>
    </row>
    <row r="387" ht="15" customHeight="1">
      <c r="A387" t="inlineStr">
        <is>
          <t>A 37263-2025</t>
        </is>
      </c>
      <c r="B387" s="1" t="n">
        <v>45876.4584837963</v>
      </c>
      <c r="C387" s="1" t="n">
        <v>46038</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43127-2025</t>
        </is>
      </c>
      <c r="B388" s="1" t="n">
        <v>45909</v>
      </c>
      <c r="C388" s="1" t="n">
        <v>46038</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16760-2024</t>
        </is>
      </c>
      <c r="B389" s="1" t="n">
        <v>45411</v>
      </c>
      <c r="C389" s="1" t="n">
        <v>46038</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43128-2025</t>
        </is>
      </c>
      <c r="B390" s="1" t="n">
        <v>45909</v>
      </c>
      <c r="C390" s="1" t="n">
        <v>46038</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40554-2025</t>
        </is>
      </c>
      <c r="B391" s="1" t="n">
        <v>45896.44506944445</v>
      </c>
      <c r="C391" s="1" t="n">
        <v>46038</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43129-2025</t>
        </is>
      </c>
      <c r="B392" s="1" t="n">
        <v>45909</v>
      </c>
      <c r="C392" s="1" t="n">
        <v>46038</v>
      </c>
      <c r="D392" t="inlineStr">
        <is>
          <t>VÄSTMANLANDS LÄN</t>
        </is>
      </c>
      <c r="E392" t="inlineStr">
        <is>
          <t>SALA</t>
        </is>
      </c>
      <c r="G392" t="n">
        <v>2.4</v>
      </c>
      <c r="H392" t="n">
        <v>0</v>
      </c>
      <c r="I392" t="n">
        <v>0</v>
      </c>
      <c r="J392" t="n">
        <v>0</v>
      </c>
      <c r="K392" t="n">
        <v>0</v>
      </c>
      <c r="L392" t="n">
        <v>0</v>
      </c>
      <c r="M392" t="n">
        <v>0</v>
      </c>
      <c r="N392" t="n">
        <v>0</v>
      </c>
      <c r="O392" t="n">
        <v>0</v>
      </c>
      <c r="P392" t="n">
        <v>0</v>
      </c>
      <c r="Q392" t="n">
        <v>0</v>
      </c>
      <c r="R392" s="2" t="inlineStr"/>
    </row>
    <row r="393" ht="15" customHeight="1">
      <c r="A393" t="inlineStr">
        <is>
          <t>A 43130-2025</t>
        </is>
      </c>
      <c r="B393" s="1" t="n">
        <v>45909</v>
      </c>
      <c r="C393" s="1" t="n">
        <v>46038</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43028-2025</t>
        </is>
      </c>
      <c r="B394" s="1" t="n">
        <v>45909.53472222222</v>
      </c>
      <c r="C394" s="1" t="n">
        <v>46038</v>
      </c>
      <c r="D394" t="inlineStr">
        <is>
          <t>VÄSTMANLANDS LÄN</t>
        </is>
      </c>
      <c r="E394" t="inlineStr">
        <is>
          <t>SALA</t>
        </is>
      </c>
      <c r="G394" t="n">
        <v>3.8</v>
      </c>
      <c r="H394" t="n">
        <v>0</v>
      </c>
      <c r="I394" t="n">
        <v>0</v>
      </c>
      <c r="J394" t="n">
        <v>0</v>
      </c>
      <c r="K394" t="n">
        <v>0</v>
      </c>
      <c r="L394" t="n">
        <v>0</v>
      </c>
      <c r="M394" t="n">
        <v>0</v>
      </c>
      <c r="N394" t="n">
        <v>0</v>
      </c>
      <c r="O394" t="n">
        <v>0</v>
      </c>
      <c r="P394" t="n">
        <v>0</v>
      </c>
      <c r="Q394" t="n">
        <v>0</v>
      </c>
      <c r="R394" s="2" t="inlineStr"/>
    </row>
    <row r="395" ht="15" customHeight="1">
      <c r="A395" t="inlineStr">
        <is>
          <t>A 43031-2025</t>
        </is>
      </c>
      <c r="B395" s="1" t="n">
        <v>45909.53856481481</v>
      </c>
      <c r="C395" s="1" t="n">
        <v>46038</v>
      </c>
      <c r="D395" t="inlineStr">
        <is>
          <t>VÄSTMANLANDS LÄN</t>
        </is>
      </c>
      <c r="E395" t="inlineStr">
        <is>
          <t>SALA</t>
        </is>
      </c>
      <c r="G395" t="n">
        <v>0.2</v>
      </c>
      <c r="H395" t="n">
        <v>0</v>
      </c>
      <c r="I395" t="n">
        <v>0</v>
      </c>
      <c r="J395" t="n">
        <v>0</v>
      </c>
      <c r="K395" t="n">
        <v>0</v>
      </c>
      <c r="L395" t="n">
        <v>0</v>
      </c>
      <c r="M395" t="n">
        <v>0</v>
      </c>
      <c r="N395" t="n">
        <v>0</v>
      </c>
      <c r="O395" t="n">
        <v>0</v>
      </c>
      <c r="P395" t="n">
        <v>0</v>
      </c>
      <c r="Q395" t="n">
        <v>0</v>
      </c>
      <c r="R395" s="2" t="inlineStr"/>
    </row>
    <row r="396" ht="15" customHeight="1">
      <c r="A396" t="inlineStr">
        <is>
          <t>A 43328-2025</t>
        </is>
      </c>
      <c r="B396" s="1" t="n">
        <v>45910</v>
      </c>
      <c r="C396" s="1" t="n">
        <v>46038</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60545-2024</t>
        </is>
      </c>
      <c r="B397" s="1" t="n">
        <v>45643</v>
      </c>
      <c r="C397" s="1" t="n">
        <v>46038</v>
      </c>
      <c r="D397" t="inlineStr">
        <is>
          <t>VÄSTMANLANDS LÄN</t>
        </is>
      </c>
      <c r="E397" t="inlineStr">
        <is>
          <t>SALA</t>
        </is>
      </c>
      <c r="G397" t="n">
        <v>3.3</v>
      </c>
      <c r="H397" t="n">
        <v>0</v>
      </c>
      <c r="I397" t="n">
        <v>0</v>
      </c>
      <c r="J397" t="n">
        <v>0</v>
      </c>
      <c r="K397" t="n">
        <v>0</v>
      </c>
      <c r="L397" t="n">
        <v>0</v>
      </c>
      <c r="M397" t="n">
        <v>0</v>
      </c>
      <c r="N397" t="n">
        <v>0</v>
      </c>
      <c r="O397" t="n">
        <v>0</v>
      </c>
      <c r="P397" t="n">
        <v>0</v>
      </c>
      <c r="Q397" t="n">
        <v>0</v>
      </c>
      <c r="R397" s="2" t="inlineStr"/>
    </row>
    <row r="398" ht="15" customHeight="1">
      <c r="A398" t="inlineStr">
        <is>
          <t>A 60547-2024</t>
        </is>
      </c>
      <c r="B398" s="1" t="n">
        <v>45643</v>
      </c>
      <c r="C398" s="1" t="n">
        <v>46038</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1985-2022</t>
        </is>
      </c>
      <c r="B399" s="1" t="n">
        <v>44575</v>
      </c>
      <c r="C399" s="1" t="n">
        <v>46038</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27261-2024</t>
        </is>
      </c>
      <c r="B400" s="1" t="n">
        <v>45471</v>
      </c>
      <c r="C400" s="1" t="n">
        <v>46038</v>
      </c>
      <c r="D400" t="inlineStr">
        <is>
          <t>VÄSTMANLANDS LÄN</t>
        </is>
      </c>
      <c r="E400" t="inlineStr">
        <is>
          <t>SALA</t>
        </is>
      </c>
      <c r="G400" t="n">
        <v>6.1</v>
      </c>
      <c r="H400" t="n">
        <v>0</v>
      </c>
      <c r="I400" t="n">
        <v>0</v>
      </c>
      <c r="J400" t="n">
        <v>0</v>
      </c>
      <c r="K400" t="n">
        <v>0</v>
      </c>
      <c r="L400" t="n">
        <v>0</v>
      </c>
      <c r="M400" t="n">
        <v>0</v>
      </c>
      <c r="N400" t="n">
        <v>0</v>
      </c>
      <c r="O400" t="n">
        <v>0</v>
      </c>
      <c r="P400" t="n">
        <v>0</v>
      </c>
      <c r="Q400" t="n">
        <v>0</v>
      </c>
      <c r="R400" s="2" t="inlineStr"/>
    </row>
    <row r="401" ht="15" customHeight="1">
      <c r="A401" t="inlineStr">
        <is>
          <t>A 44100-2025</t>
        </is>
      </c>
      <c r="B401" s="1" t="n">
        <v>45915.56707175926</v>
      </c>
      <c r="C401" s="1" t="n">
        <v>46038</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35976-2024</t>
        </is>
      </c>
      <c r="B402" s="1" t="n">
        <v>45533.49555555556</v>
      </c>
      <c r="C402" s="1" t="n">
        <v>46038</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55556-2023</t>
        </is>
      </c>
      <c r="B403" s="1" t="n">
        <v>45232</v>
      </c>
      <c r="C403" s="1" t="n">
        <v>46038</v>
      </c>
      <c r="D403" t="inlineStr">
        <is>
          <t>VÄSTMANLANDS LÄN</t>
        </is>
      </c>
      <c r="E403" t="inlineStr">
        <is>
          <t>SALA</t>
        </is>
      </c>
      <c r="G403" t="n">
        <v>1.3</v>
      </c>
      <c r="H403" t="n">
        <v>0</v>
      </c>
      <c r="I403" t="n">
        <v>0</v>
      </c>
      <c r="J403" t="n">
        <v>0</v>
      </c>
      <c r="K403" t="n">
        <v>0</v>
      </c>
      <c r="L403" t="n">
        <v>0</v>
      </c>
      <c r="M403" t="n">
        <v>0</v>
      </c>
      <c r="N403" t="n">
        <v>0</v>
      </c>
      <c r="O403" t="n">
        <v>0</v>
      </c>
      <c r="P403" t="n">
        <v>0</v>
      </c>
      <c r="Q403" t="n">
        <v>0</v>
      </c>
      <c r="R403" s="2" t="inlineStr"/>
    </row>
    <row r="404" ht="15" customHeight="1">
      <c r="A404" t="inlineStr">
        <is>
          <t>A 57650-2024</t>
        </is>
      </c>
      <c r="B404" s="1" t="n">
        <v>45630</v>
      </c>
      <c r="C404" s="1" t="n">
        <v>46038</v>
      </c>
      <c r="D404" t="inlineStr">
        <is>
          <t>VÄSTMANLANDS LÄN</t>
        </is>
      </c>
      <c r="E404" t="inlineStr">
        <is>
          <t>SALA</t>
        </is>
      </c>
      <c r="G404" t="n">
        <v>0.6</v>
      </c>
      <c r="H404" t="n">
        <v>0</v>
      </c>
      <c r="I404" t="n">
        <v>0</v>
      </c>
      <c r="J404" t="n">
        <v>0</v>
      </c>
      <c r="K404" t="n">
        <v>0</v>
      </c>
      <c r="L404" t="n">
        <v>0</v>
      </c>
      <c r="M404" t="n">
        <v>0</v>
      </c>
      <c r="N404" t="n">
        <v>0</v>
      </c>
      <c r="O404" t="n">
        <v>0</v>
      </c>
      <c r="P404" t="n">
        <v>0</v>
      </c>
      <c r="Q404" t="n">
        <v>0</v>
      </c>
      <c r="R404" s="2" t="inlineStr"/>
    </row>
    <row r="405" ht="15" customHeight="1">
      <c r="A405" t="inlineStr">
        <is>
          <t>A 50479-2022</t>
        </is>
      </c>
      <c r="B405" s="1" t="n">
        <v>44861</v>
      </c>
      <c r="C405" s="1" t="n">
        <v>46038</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45790-2023</t>
        </is>
      </c>
      <c r="B406" s="1" t="n">
        <v>45195.45958333334</v>
      </c>
      <c r="C406" s="1" t="n">
        <v>46038</v>
      </c>
      <c r="D406" t="inlineStr">
        <is>
          <t>VÄSTMANLANDS LÄN</t>
        </is>
      </c>
      <c r="E406" t="inlineStr">
        <is>
          <t>SALA</t>
        </is>
      </c>
      <c r="G406" t="n">
        <v>5.7</v>
      </c>
      <c r="H406" t="n">
        <v>0</v>
      </c>
      <c r="I406" t="n">
        <v>0</v>
      </c>
      <c r="J406" t="n">
        <v>0</v>
      </c>
      <c r="K406" t="n">
        <v>0</v>
      </c>
      <c r="L406" t="n">
        <v>0</v>
      </c>
      <c r="M406" t="n">
        <v>0</v>
      </c>
      <c r="N406" t="n">
        <v>0</v>
      </c>
      <c r="O406" t="n">
        <v>0</v>
      </c>
      <c r="P406" t="n">
        <v>0</v>
      </c>
      <c r="Q406" t="n">
        <v>0</v>
      </c>
      <c r="R406" s="2" t="inlineStr"/>
    </row>
    <row r="407" ht="15" customHeight="1">
      <c r="A407" t="inlineStr">
        <is>
          <t>A 44524-2025</t>
        </is>
      </c>
      <c r="B407" s="1" t="n">
        <v>45916.72920138889</v>
      </c>
      <c r="C407" s="1" t="n">
        <v>46038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44486-2025</t>
        </is>
      </c>
      <c r="B408" s="1" t="n">
        <v>45916.65517361111</v>
      </c>
      <c r="C408" s="1" t="n">
        <v>46038</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45177-2025</t>
        </is>
      </c>
      <c r="B409" s="1" t="n">
        <v>45919.52444444445</v>
      </c>
      <c r="C409" s="1" t="n">
        <v>46038</v>
      </c>
      <c r="D409" t="inlineStr">
        <is>
          <t>VÄSTMANLANDS LÄN</t>
        </is>
      </c>
      <c r="E409" t="inlineStr">
        <is>
          <t>SALA</t>
        </is>
      </c>
      <c r="G409" t="n">
        <v>2.4</v>
      </c>
      <c r="H409" t="n">
        <v>0</v>
      </c>
      <c r="I409" t="n">
        <v>0</v>
      </c>
      <c r="J409" t="n">
        <v>0</v>
      </c>
      <c r="K409" t="n">
        <v>0</v>
      </c>
      <c r="L409" t="n">
        <v>0</v>
      </c>
      <c r="M409" t="n">
        <v>0</v>
      </c>
      <c r="N409" t="n">
        <v>0</v>
      </c>
      <c r="O409" t="n">
        <v>0</v>
      </c>
      <c r="P409" t="n">
        <v>0</v>
      </c>
      <c r="Q409" t="n">
        <v>0</v>
      </c>
      <c r="R409" s="2" t="inlineStr"/>
    </row>
    <row r="410" ht="15" customHeight="1">
      <c r="A410" t="inlineStr">
        <is>
          <t>A 2928-2024</t>
        </is>
      </c>
      <c r="B410" s="1" t="n">
        <v>45315.59041666667</v>
      </c>
      <c r="C410" s="1" t="n">
        <v>46038</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73673-2021</t>
        </is>
      </c>
      <c r="B411" s="1" t="n">
        <v>44552.46501157407</v>
      </c>
      <c r="C411" s="1" t="n">
        <v>46038</v>
      </c>
      <c r="D411" t="inlineStr">
        <is>
          <t>VÄSTMANLANDS LÄN</t>
        </is>
      </c>
      <c r="E411" t="inlineStr">
        <is>
          <t>SALA</t>
        </is>
      </c>
      <c r="G411" t="n">
        <v>11.4</v>
      </c>
      <c r="H411" t="n">
        <v>0</v>
      </c>
      <c r="I411" t="n">
        <v>0</v>
      </c>
      <c r="J411" t="n">
        <v>0</v>
      </c>
      <c r="K411" t="n">
        <v>0</v>
      </c>
      <c r="L411" t="n">
        <v>0</v>
      </c>
      <c r="M411" t="n">
        <v>0</v>
      </c>
      <c r="N411" t="n">
        <v>0</v>
      </c>
      <c r="O411" t="n">
        <v>0</v>
      </c>
      <c r="P411" t="n">
        <v>0</v>
      </c>
      <c r="Q411" t="n">
        <v>0</v>
      </c>
      <c r="R411" s="2" t="inlineStr"/>
    </row>
    <row r="412" ht="15" customHeight="1">
      <c r="A412" t="inlineStr">
        <is>
          <t>A 43122-2025</t>
        </is>
      </c>
      <c r="B412" s="1" t="n">
        <v>45909</v>
      </c>
      <c r="C412" s="1" t="n">
        <v>46038</v>
      </c>
      <c r="D412" t="inlineStr">
        <is>
          <t>VÄSTMANLANDS LÄN</t>
        </is>
      </c>
      <c r="E412" t="inlineStr">
        <is>
          <t>SALA</t>
        </is>
      </c>
      <c r="G412" t="n">
        <v>3.2</v>
      </c>
      <c r="H412" t="n">
        <v>0</v>
      </c>
      <c r="I412" t="n">
        <v>0</v>
      </c>
      <c r="J412" t="n">
        <v>0</v>
      </c>
      <c r="K412" t="n">
        <v>0</v>
      </c>
      <c r="L412" t="n">
        <v>0</v>
      </c>
      <c r="M412" t="n">
        <v>0</v>
      </c>
      <c r="N412" t="n">
        <v>0</v>
      </c>
      <c r="O412" t="n">
        <v>0</v>
      </c>
      <c r="P412" t="n">
        <v>0</v>
      </c>
      <c r="Q412" t="n">
        <v>0</v>
      </c>
      <c r="R412" s="2" t="inlineStr"/>
    </row>
    <row r="413" ht="15" customHeight="1">
      <c r="A413" t="inlineStr">
        <is>
          <t>A 40871-2021</t>
        </is>
      </c>
      <c r="B413" s="1" t="n">
        <v>44421</v>
      </c>
      <c r="C413" s="1" t="n">
        <v>46038</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14271-2025</t>
        </is>
      </c>
      <c r="B414" s="1" t="n">
        <v>45740.64129629629</v>
      </c>
      <c r="C414" s="1" t="n">
        <v>46038</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45371-2025</t>
        </is>
      </c>
      <c r="B415" s="1" t="n">
        <v>45922.39001157408</v>
      </c>
      <c r="C415" s="1" t="n">
        <v>46038</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54199-2024</t>
        </is>
      </c>
      <c r="B416" s="1" t="n">
        <v>45616.64703703704</v>
      </c>
      <c r="C416" s="1" t="n">
        <v>46038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6312-2025</t>
        </is>
      </c>
      <c r="B417" s="1" t="n">
        <v>45698</v>
      </c>
      <c r="C417" s="1" t="n">
        <v>46038</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45914-2025</t>
        </is>
      </c>
      <c r="B418" s="1" t="n">
        <v>45923.82582175926</v>
      </c>
      <c r="C418" s="1" t="n">
        <v>46038</v>
      </c>
      <c r="D418" t="inlineStr">
        <is>
          <t>VÄSTMANLANDS LÄN</t>
        </is>
      </c>
      <c r="E418" t="inlineStr">
        <is>
          <t>SALA</t>
        </is>
      </c>
      <c r="F418" t="inlineStr">
        <is>
          <t>Kommuner</t>
        </is>
      </c>
      <c r="G418" t="n">
        <v>18.2</v>
      </c>
      <c r="H418" t="n">
        <v>0</v>
      </c>
      <c r="I418" t="n">
        <v>0</v>
      </c>
      <c r="J418" t="n">
        <v>0</v>
      </c>
      <c r="K418" t="n">
        <v>0</v>
      </c>
      <c r="L418" t="n">
        <v>0</v>
      </c>
      <c r="M418" t="n">
        <v>0</v>
      </c>
      <c r="N418" t="n">
        <v>0</v>
      </c>
      <c r="O418" t="n">
        <v>0</v>
      </c>
      <c r="P418" t="n">
        <v>0</v>
      </c>
      <c r="Q418" t="n">
        <v>0</v>
      </c>
      <c r="R418" s="2" t="inlineStr"/>
    </row>
    <row r="419" ht="15" customHeight="1">
      <c r="A419" t="inlineStr">
        <is>
          <t>A 45909-2025</t>
        </is>
      </c>
      <c r="B419" s="1" t="n">
        <v>45923.75078703704</v>
      </c>
      <c r="C419" s="1" t="n">
        <v>46038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44857-2023</t>
        </is>
      </c>
      <c r="B420" s="1" t="n">
        <v>45190.58479166667</v>
      </c>
      <c r="C420" s="1" t="n">
        <v>46038</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46915-2025</t>
        </is>
      </c>
      <c r="B421" s="1" t="n">
        <v>45929.42114583333</v>
      </c>
      <c r="C421" s="1" t="n">
        <v>46038</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62654-2022</t>
        </is>
      </c>
      <c r="B422" s="1" t="n">
        <v>44917</v>
      </c>
      <c r="C422" s="1" t="n">
        <v>46038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43188-2023</t>
        </is>
      </c>
      <c r="B423" s="1" t="n">
        <v>45183</v>
      </c>
      <c r="C423" s="1" t="n">
        <v>46038</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43205-2023</t>
        </is>
      </c>
      <c r="B424" s="1" t="n">
        <v>45183</v>
      </c>
      <c r="C424" s="1" t="n">
        <v>46038</v>
      </c>
      <c r="D424" t="inlineStr">
        <is>
          <t>VÄSTMANLANDS LÄN</t>
        </is>
      </c>
      <c r="E424" t="inlineStr">
        <is>
          <t>SALA</t>
        </is>
      </c>
      <c r="G424" t="n">
        <v>2.1</v>
      </c>
      <c r="H424" t="n">
        <v>0</v>
      </c>
      <c r="I424" t="n">
        <v>0</v>
      </c>
      <c r="J424" t="n">
        <v>0</v>
      </c>
      <c r="K424" t="n">
        <v>0</v>
      </c>
      <c r="L424" t="n">
        <v>0</v>
      </c>
      <c r="M424" t="n">
        <v>0</v>
      </c>
      <c r="N424" t="n">
        <v>0</v>
      </c>
      <c r="O424" t="n">
        <v>0</v>
      </c>
      <c r="P424" t="n">
        <v>0</v>
      </c>
      <c r="Q424" t="n">
        <v>0</v>
      </c>
      <c r="R424" s="2" t="inlineStr"/>
    </row>
    <row r="425" ht="15" customHeight="1">
      <c r="A425" t="inlineStr">
        <is>
          <t>A 61892-2021</t>
        </is>
      </c>
      <c r="B425" s="1" t="n">
        <v>44502</v>
      </c>
      <c r="C425" s="1" t="n">
        <v>46038</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46597-2025</t>
        </is>
      </c>
      <c r="B426" s="1" t="n">
        <v>45926.40113425926</v>
      </c>
      <c r="C426" s="1" t="n">
        <v>46038</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29213-2022</t>
        </is>
      </c>
      <c r="B427" s="1" t="n">
        <v>44750.57474537037</v>
      </c>
      <c r="C427" s="1" t="n">
        <v>46038</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59483-2022</t>
        </is>
      </c>
      <c r="B428" s="1" t="n">
        <v>44907.45679398148</v>
      </c>
      <c r="C428" s="1" t="n">
        <v>46038</v>
      </c>
      <c r="D428" t="inlineStr">
        <is>
          <t>VÄSTMANLANDS LÄN</t>
        </is>
      </c>
      <c r="E428" t="inlineStr">
        <is>
          <t>SALA</t>
        </is>
      </c>
      <c r="G428" t="n">
        <v>5.2</v>
      </c>
      <c r="H428" t="n">
        <v>0</v>
      </c>
      <c r="I428" t="n">
        <v>0</v>
      </c>
      <c r="J428" t="n">
        <v>0</v>
      </c>
      <c r="K428" t="n">
        <v>0</v>
      </c>
      <c r="L428" t="n">
        <v>0</v>
      </c>
      <c r="M428" t="n">
        <v>0</v>
      </c>
      <c r="N428" t="n">
        <v>0</v>
      </c>
      <c r="O428" t="n">
        <v>0</v>
      </c>
      <c r="P428" t="n">
        <v>0</v>
      </c>
      <c r="Q428" t="n">
        <v>0</v>
      </c>
      <c r="R428" s="2" t="inlineStr"/>
    </row>
    <row r="429" ht="15" customHeight="1">
      <c r="A429" t="inlineStr">
        <is>
          <t>A 47577-2025</t>
        </is>
      </c>
      <c r="B429" s="1" t="n">
        <v>45931.4047337963</v>
      </c>
      <c r="C429" s="1" t="n">
        <v>46038</v>
      </c>
      <c r="D429" t="inlineStr">
        <is>
          <t>VÄSTMANLANDS LÄN</t>
        </is>
      </c>
      <c r="E429" t="inlineStr">
        <is>
          <t>SALA</t>
        </is>
      </c>
      <c r="G429" t="n">
        <v>3.7</v>
      </c>
      <c r="H429" t="n">
        <v>0</v>
      </c>
      <c r="I429" t="n">
        <v>0</v>
      </c>
      <c r="J429" t="n">
        <v>0</v>
      </c>
      <c r="K429" t="n">
        <v>0</v>
      </c>
      <c r="L429" t="n">
        <v>0</v>
      </c>
      <c r="M429" t="n">
        <v>0</v>
      </c>
      <c r="N429" t="n">
        <v>0</v>
      </c>
      <c r="O429" t="n">
        <v>0</v>
      </c>
      <c r="P429" t="n">
        <v>0</v>
      </c>
      <c r="Q429" t="n">
        <v>0</v>
      </c>
      <c r="R429" s="2" t="inlineStr"/>
    </row>
    <row r="430" ht="15" customHeight="1">
      <c r="A430" t="inlineStr">
        <is>
          <t>A 16160-2024</t>
        </is>
      </c>
      <c r="B430" s="1" t="n">
        <v>45406</v>
      </c>
      <c r="C430" s="1" t="n">
        <v>46038</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46661-2025</t>
        </is>
      </c>
      <c r="B431" s="1" t="n">
        <v>45926</v>
      </c>
      <c r="C431" s="1" t="n">
        <v>46038</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39597-2022</t>
        </is>
      </c>
      <c r="B432" s="1" t="n">
        <v>44818</v>
      </c>
      <c r="C432" s="1" t="n">
        <v>46038</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22921-2023</t>
        </is>
      </c>
      <c r="B433" s="1" t="n">
        <v>45070</v>
      </c>
      <c r="C433" s="1" t="n">
        <v>46038</v>
      </c>
      <c r="D433" t="inlineStr">
        <is>
          <t>VÄSTMANLANDS LÄN</t>
        </is>
      </c>
      <c r="E433" t="inlineStr">
        <is>
          <t>SALA</t>
        </is>
      </c>
      <c r="G433" t="n">
        <v>1.3</v>
      </c>
      <c r="H433" t="n">
        <v>0</v>
      </c>
      <c r="I433" t="n">
        <v>0</v>
      </c>
      <c r="J433" t="n">
        <v>0</v>
      </c>
      <c r="K433" t="n">
        <v>0</v>
      </c>
      <c r="L433" t="n">
        <v>0</v>
      </c>
      <c r="M433" t="n">
        <v>0</v>
      </c>
      <c r="N433" t="n">
        <v>0</v>
      </c>
      <c r="O433" t="n">
        <v>0</v>
      </c>
      <c r="P433" t="n">
        <v>0</v>
      </c>
      <c r="Q433" t="n">
        <v>0</v>
      </c>
      <c r="R433" s="2" t="inlineStr"/>
    </row>
    <row r="434" ht="15" customHeight="1">
      <c r="A434" t="inlineStr">
        <is>
          <t>A 48057-2025</t>
        </is>
      </c>
      <c r="B434" s="1" t="n">
        <v>45932.67947916667</v>
      </c>
      <c r="C434" s="1" t="n">
        <v>46038</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36858-2023</t>
        </is>
      </c>
      <c r="B435" s="1" t="n">
        <v>45154.55184027777</v>
      </c>
      <c r="C435" s="1" t="n">
        <v>46038</v>
      </c>
      <c r="D435" t="inlineStr">
        <is>
          <t>VÄSTMANLANDS LÄN</t>
        </is>
      </c>
      <c r="E435" t="inlineStr">
        <is>
          <t>SALA</t>
        </is>
      </c>
      <c r="G435" t="n">
        <v>2.1</v>
      </c>
      <c r="H435" t="n">
        <v>0</v>
      </c>
      <c r="I435" t="n">
        <v>0</v>
      </c>
      <c r="J435" t="n">
        <v>0</v>
      </c>
      <c r="K435" t="n">
        <v>0</v>
      </c>
      <c r="L435" t="n">
        <v>0</v>
      </c>
      <c r="M435" t="n">
        <v>0</v>
      </c>
      <c r="N435" t="n">
        <v>0</v>
      </c>
      <c r="O435" t="n">
        <v>0</v>
      </c>
      <c r="P435" t="n">
        <v>0</v>
      </c>
      <c r="Q435" t="n">
        <v>0</v>
      </c>
      <c r="R435" s="2" t="inlineStr"/>
    </row>
    <row r="436" ht="15" customHeight="1">
      <c r="A436" t="inlineStr">
        <is>
          <t>A 55024-2023</t>
        </is>
      </c>
      <c r="B436" s="1" t="n">
        <v>45229</v>
      </c>
      <c r="C436" s="1" t="n">
        <v>46038</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55032-2023</t>
        </is>
      </c>
      <c r="B437" s="1" t="n">
        <v>45229</v>
      </c>
      <c r="C437" s="1" t="n">
        <v>46038</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20352-2022</t>
        </is>
      </c>
      <c r="B438" s="1" t="n">
        <v>44699.37318287037</v>
      </c>
      <c r="C438" s="1" t="n">
        <v>46038</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48710-2025</t>
        </is>
      </c>
      <c r="B439" s="1" t="n">
        <v>45936.63184027778</v>
      </c>
      <c r="C439" s="1" t="n">
        <v>46038</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5032-2025</t>
        </is>
      </c>
      <c r="B440" s="1" t="n">
        <v>45691</v>
      </c>
      <c r="C440" s="1" t="n">
        <v>46038</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17117-2023</t>
        </is>
      </c>
      <c r="B441" s="1" t="n">
        <v>45034</v>
      </c>
      <c r="C441" s="1" t="n">
        <v>46038</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19243-2025</t>
        </is>
      </c>
      <c r="B442" s="1" t="n">
        <v>45769</v>
      </c>
      <c r="C442" s="1" t="n">
        <v>46038</v>
      </c>
      <c r="D442" t="inlineStr">
        <is>
          <t>VÄSTMANLANDS LÄN</t>
        </is>
      </c>
      <c r="E442" t="inlineStr">
        <is>
          <t>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48910-2025</t>
        </is>
      </c>
      <c r="B443" s="1" t="n">
        <v>45937.48649305556</v>
      </c>
      <c r="C443" s="1" t="n">
        <v>46038</v>
      </c>
      <c r="D443" t="inlineStr">
        <is>
          <t>VÄSTMANLANDS LÄN</t>
        </is>
      </c>
      <c r="E443" t="inlineStr">
        <is>
          <t>SALA</t>
        </is>
      </c>
      <c r="G443" t="n">
        <v>7.8</v>
      </c>
      <c r="H443" t="n">
        <v>0</v>
      </c>
      <c r="I443" t="n">
        <v>0</v>
      </c>
      <c r="J443" t="n">
        <v>0</v>
      </c>
      <c r="K443" t="n">
        <v>0</v>
      </c>
      <c r="L443" t="n">
        <v>0</v>
      </c>
      <c r="M443" t="n">
        <v>0</v>
      </c>
      <c r="N443" t="n">
        <v>0</v>
      </c>
      <c r="O443" t="n">
        <v>0</v>
      </c>
      <c r="P443" t="n">
        <v>0</v>
      </c>
      <c r="Q443" t="n">
        <v>0</v>
      </c>
      <c r="R443" s="2" t="inlineStr"/>
    </row>
    <row r="444" ht="15" customHeight="1">
      <c r="A444" t="inlineStr">
        <is>
          <t>A 49585-2025</t>
        </is>
      </c>
      <c r="B444" s="1" t="n">
        <v>45939.5043287037</v>
      </c>
      <c r="C444" s="1" t="n">
        <v>46038</v>
      </c>
      <c r="D444" t="inlineStr">
        <is>
          <t>VÄSTMANLANDS LÄN</t>
        </is>
      </c>
      <c r="E444" t="inlineStr">
        <is>
          <t>SALA</t>
        </is>
      </c>
      <c r="G444" t="n">
        <v>2.2</v>
      </c>
      <c r="H444" t="n">
        <v>0</v>
      </c>
      <c r="I444" t="n">
        <v>0</v>
      </c>
      <c r="J444" t="n">
        <v>0</v>
      </c>
      <c r="K444" t="n">
        <v>0</v>
      </c>
      <c r="L444" t="n">
        <v>0</v>
      </c>
      <c r="M444" t="n">
        <v>0</v>
      </c>
      <c r="N444" t="n">
        <v>0</v>
      </c>
      <c r="O444" t="n">
        <v>0</v>
      </c>
      <c r="P444" t="n">
        <v>0</v>
      </c>
      <c r="Q444" t="n">
        <v>0</v>
      </c>
      <c r="R444" s="2" t="inlineStr"/>
    </row>
    <row r="445" ht="15" customHeight="1">
      <c r="A445" t="inlineStr">
        <is>
          <t>A 49640-2025</t>
        </is>
      </c>
      <c r="B445" s="1" t="n">
        <v>45939.61459490741</v>
      </c>
      <c r="C445" s="1" t="n">
        <v>46038</v>
      </c>
      <c r="D445" t="inlineStr">
        <is>
          <t>VÄSTMANLANDS LÄN</t>
        </is>
      </c>
      <c r="E445" t="inlineStr">
        <is>
          <t>SALA</t>
        </is>
      </c>
      <c r="F445" t="inlineStr">
        <is>
          <t>Kommuner</t>
        </is>
      </c>
      <c r="G445" t="n">
        <v>18.8</v>
      </c>
      <c r="H445" t="n">
        <v>0</v>
      </c>
      <c r="I445" t="n">
        <v>0</v>
      </c>
      <c r="J445" t="n">
        <v>0</v>
      </c>
      <c r="K445" t="n">
        <v>0</v>
      </c>
      <c r="L445" t="n">
        <v>0</v>
      </c>
      <c r="M445" t="n">
        <v>0</v>
      </c>
      <c r="N445" t="n">
        <v>0</v>
      </c>
      <c r="O445" t="n">
        <v>0</v>
      </c>
      <c r="P445" t="n">
        <v>0</v>
      </c>
      <c r="Q445" t="n">
        <v>0</v>
      </c>
      <c r="R445" s="2" t="inlineStr"/>
    </row>
    <row r="446" ht="15" customHeight="1">
      <c r="A446" t="inlineStr">
        <is>
          <t>A 7166-2025</t>
        </is>
      </c>
      <c r="B446" s="1" t="n">
        <v>45702</v>
      </c>
      <c r="C446" s="1" t="n">
        <v>46038</v>
      </c>
      <c r="D446" t="inlineStr">
        <is>
          <t>VÄSTMANLANDS LÄN</t>
        </is>
      </c>
      <c r="E446" t="inlineStr">
        <is>
          <t>SALA</t>
        </is>
      </c>
      <c r="G446" t="n">
        <v>6.1</v>
      </c>
      <c r="H446" t="n">
        <v>0</v>
      </c>
      <c r="I446" t="n">
        <v>0</v>
      </c>
      <c r="J446" t="n">
        <v>0</v>
      </c>
      <c r="K446" t="n">
        <v>0</v>
      </c>
      <c r="L446" t="n">
        <v>0</v>
      </c>
      <c r="M446" t="n">
        <v>0</v>
      </c>
      <c r="N446" t="n">
        <v>0</v>
      </c>
      <c r="O446" t="n">
        <v>0</v>
      </c>
      <c r="P446" t="n">
        <v>0</v>
      </c>
      <c r="Q446" t="n">
        <v>0</v>
      </c>
      <c r="R446" s="2" t="inlineStr"/>
    </row>
    <row r="447" ht="15" customHeight="1">
      <c r="A447" t="inlineStr">
        <is>
          <t>A 36393-2023</t>
        </is>
      </c>
      <c r="B447" s="1" t="n">
        <v>45152</v>
      </c>
      <c r="C447" s="1" t="n">
        <v>46038</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26416-2023</t>
        </is>
      </c>
      <c r="B448" s="1" t="n">
        <v>45092.38087962963</v>
      </c>
      <c r="C448" s="1" t="n">
        <v>46038</v>
      </c>
      <c r="D448" t="inlineStr">
        <is>
          <t>VÄSTMANLANDS LÄN</t>
        </is>
      </c>
      <c r="E448" t="inlineStr">
        <is>
          <t>SALA</t>
        </is>
      </c>
      <c r="G448" t="n">
        <v>2.9</v>
      </c>
      <c r="H448" t="n">
        <v>0</v>
      </c>
      <c r="I448" t="n">
        <v>0</v>
      </c>
      <c r="J448" t="n">
        <v>0</v>
      </c>
      <c r="K448" t="n">
        <v>0</v>
      </c>
      <c r="L448" t="n">
        <v>0</v>
      </c>
      <c r="M448" t="n">
        <v>0</v>
      </c>
      <c r="N448" t="n">
        <v>0</v>
      </c>
      <c r="O448" t="n">
        <v>0</v>
      </c>
      <c r="P448" t="n">
        <v>0</v>
      </c>
      <c r="Q448" t="n">
        <v>0</v>
      </c>
      <c r="R448" s="2" t="inlineStr"/>
    </row>
    <row r="449" ht="15" customHeight="1">
      <c r="A449" t="inlineStr">
        <is>
          <t>A 28661-2024</t>
        </is>
      </c>
      <c r="B449" s="1" t="n">
        <v>45478</v>
      </c>
      <c r="C449" s="1" t="n">
        <v>46038</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50128-2025</t>
        </is>
      </c>
      <c r="B450" s="1" t="n">
        <v>45943.55318287037</v>
      </c>
      <c r="C450" s="1" t="n">
        <v>46038</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50119-2025</t>
        </is>
      </c>
      <c r="B451" s="1" t="n">
        <v>45943.54883101852</v>
      </c>
      <c r="C451" s="1" t="n">
        <v>46038</v>
      </c>
      <c r="D451" t="inlineStr">
        <is>
          <t>VÄSTMANLANDS LÄN</t>
        </is>
      </c>
      <c r="E451" t="inlineStr">
        <is>
          <t>SALA</t>
        </is>
      </c>
      <c r="G451" t="n">
        <v>3.3</v>
      </c>
      <c r="H451" t="n">
        <v>0</v>
      </c>
      <c r="I451" t="n">
        <v>0</v>
      </c>
      <c r="J451" t="n">
        <v>0</v>
      </c>
      <c r="K451" t="n">
        <v>0</v>
      </c>
      <c r="L451" t="n">
        <v>0</v>
      </c>
      <c r="M451" t="n">
        <v>0</v>
      </c>
      <c r="N451" t="n">
        <v>0</v>
      </c>
      <c r="O451" t="n">
        <v>0</v>
      </c>
      <c r="P451" t="n">
        <v>0</v>
      </c>
      <c r="Q451" t="n">
        <v>0</v>
      </c>
      <c r="R451" s="2" t="inlineStr"/>
    </row>
    <row r="452" ht="15" customHeight="1">
      <c r="A452" t="inlineStr">
        <is>
          <t>A 27255-2023</t>
        </is>
      </c>
      <c r="B452" s="1" t="n">
        <v>45096</v>
      </c>
      <c r="C452" s="1" t="n">
        <v>46038</v>
      </c>
      <c r="D452" t="inlineStr">
        <is>
          <t>VÄSTMANLANDS LÄN</t>
        </is>
      </c>
      <c r="E452" t="inlineStr">
        <is>
          <t>SALA</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50059-2025</t>
        </is>
      </c>
      <c r="B453" s="1" t="n">
        <v>45943.44125</v>
      </c>
      <c r="C453" s="1" t="n">
        <v>46038</v>
      </c>
      <c r="D453" t="inlineStr">
        <is>
          <t>VÄSTMANLANDS LÄN</t>
        </is>
      </c>
      <c r="E453" t="inlineStr">
        <is>
          <t>SALA</t>
        </is>
      </c>
      <c r="G453" t="n">
        <v>4.4</v>
      </c>
      <c r="H453" t="n">
        <v>0</v>
      </c>
      <c r="I453" t="n">
        <v>0</v>
      </c>
      <c r="J453" t="n">
        <v>0</v>
      </c>
      <c r="K453" t="n">
        <v>0</v>
      </c>
      <c r="L453" t="n">
        <v>0</v>
      </c>
      <c r="M453" t="n">
        <v>0</v>
      </c>
      <c r="N453" t="n">
        <v>0</v>
      </c>
      <c r="O453" t="n">
        <v>0</v>
      </c>
      <c r="P453" t="n">
        <v>0</v>
      </c>
      <c r="Q453" t="n">
        <v>0</v>
      </c>
      <c r="R453" s="2" t="inlineStr"/>
    </row>
    <row r="454" ht="15" customHeight="1">
      <c r="A454" t="inlineStr">
        <is>
          <t>A 50249-2025</t>
        </is>
      </c>
      <c r="B454" s="1" t="n">
        <v>45944.31508101852</v>
      </c>
      <c r="C454" s="1" t="n">
        <v>46038</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7197-2025</t>
        </is>
      </c>
      <c r="B455" s="1" t="n">
        <v>45702</v>
      </c>
      <c r="C455" s="1" t="n">
        <v>46038</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13752-2025</t>
        </is>
      </c>
      <c r="B456" s="1" t="n">
        <v>45737.41416666667</v>
      </c>
      <c r="C456" s="1" t="n">
        <v>46038</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2927-2024</t>
        </is>
      </c>
      <c r="B457" s="1" t="n">
        <v>45315.58989583333</v>
      </c>
      <c r="C457" s="1" t="n">
        <v>46038</v>
      </c>
      <c r="D457" t="inlineStr">
        <is>
          <t>VÄSTMANLANDS LÄN</t>
        </is>
      </c>
      <c r="E457" t="inlineStr">
        <is>
          <t>SALA</t>
        </is>
      </c>
      <c r="G457" t="n">
        <v>2.5</v>
      </c>
      <c r="H457" t="n">
        <v>0</v>
      </c>
      <c r="I457" t="n">
        <v>0</v>
      </c>
      <c r="J457" t="n">
        <v>0</v>
      </c>
      <c r="K457" t="n">
        <v>0</v>
      </c>
      <c r="L457" t="n">
        <v>0</v>
      </c>
      <c r="M457" t="n">
        <v>0</v>
      </c>
      <c r="N457" t="n">
        <v>0</v>
      </c>
      <c r="O457" t="n">
        <v>0</v>
      </c>
      <c r="P457" t="n">
        <v>0</v>
      </c>
      <c r="Q457" t="n">
        <v>0</v>
      </c>
      <c r="R457" s="2" t="inlineStr"/>
    </row>
    <row r="458" ht="15" customHeight="1">
      <c r="A458" t="inlineStr">
        <is>
          <t>A 26854-2024</t>
        </is>
      </c>
      <c r="B458" s="1" t="n">
        <v>45470</v>
      </c>
      <c r="C458" s="1" t="n">
        <v>46038</v>
      </c>
      <c r="D458" t="inlineStr">
        <is>
          <t>VÄSTMANLANDS LÄN</t>
        </is>
      </c>
      <c r="E458" t="inlineStr">
        <is>
          <t>SALA</t>
        </is>
      </c>
      <c r="G458" t="n">
        <v>1.4</v>
      </c>
      <c r="H458" t="n">
        <v>0</v>
      </c>
      <c r="I458" t="n">
        <v>0</v>
      </c>
      <c r="J458" t="n">
        <v>0</v>
      </c>
      <c r="K458" t="n">
        <v>0</v>
      </c>
      <c r="L458" t="n">
        <v>0</v>
      </c>
      <c r="M458" t="n">
        <v>0</v>
      </c>
      <c r="N458" t="n">
        <v>0</v>
      </c>
      <c r="O458" t="n">
        <v>0</v>
      </c>
      <c r="P458" t="n">
        <v>0</v>
      </c>
      <c r="Q458" t="n">
        <v>0</v>
      </c>
      <c r="R458" s="2" t="inlineStr"/>
    </row>
    <row r="459" ht="15" customHeight="1">
      <c r="A459" t="inlineStr">
        <is>
          <t>A 51764-2025</t>
        </is>
      </c>
      <c r="B459" s="1" t="n">
        <v>45951.63636574074</v>
      </c>
      <c r="C459" s="1" t="n">
        <v>46038</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51626-2025</t>
        </is>
      </c>
      <c r="B460" s="1" t="n">
        <v>45951.41769675926</v>
      </c>
      <c r="C460" s="1" t="n">
        <v>46038</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48570-2024</t>
        </is>
      </c>
      <c r="B461" s="1" t="n">
        <v>45591</v>
      </c>
      <c r="C461" s="1" t="n">
        <v>46038</v>
      </c>
      <c r="D461" t="inlineStr">
        <is>
          <t>VÄSTMANLANDS LÄN</t>
        </is>
      </c>
      <c r="E461" t="inlineStr">
        <is>
          <t>SALA</t>
        </is>
      </c>
      <c r="G461" t="n">
        <v>3</v>
      </c>
      <c r="H461" t="n">
        <v>0</v>
      </c>
      <c r="I461" t="n">
        <v>0</v>
      </c>
      <c r="J461" t="n">
        <v>0</v>
      </c>
      <c r="K461" t="n">
        <v>0</v>
      </c>
      <c r="L461" t="n">
        <v>0</v>
      </c>
      <c r="M461" t="n">
        <v>0</v>
      </c>
      <c r="N461" t="n">
        <v>0</v>
      </c>
      <c r="O461" t="n">
        <v>0</v>
      </c>
      <c r="P461" t="n">
        <v>0</v>
      </c>
      <c r="Q461" t="n">
        <v>0</v>
      </c>
      <c r="R461" s="2" t="inlineStr"/>
    </row>
    <row r="462" ht="15" customHeight="1">
      <c r="A462" t="inlineStr">
        <is>
          <t>A 10812-2021</t>
        </is>
      </c>
      <c r="B462" s="1" t="n">
        <v>44259</v>
      </c>
      <c r="C462" s="1" t="n">
        <v>46038</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51690-2025</t>
        </is>
      </c>
      <c r="B463" s="1" t="n">
        <v>45951.53462962963</v>
      </c>
      <c r="C463" s="1" t="n">
        <v>46038</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57883-2024</t>
        </is>
      </c>
      <c r="B464" s="1" t="n">
        <v>45630</v>
      </c>
      <c r="C464" s="1" t="n">
        <v>46038</v>
      </c>
      <c r="D464" t="inlineStr">
        <is>
          <t>VÄSTMANLANDS LÄN</t>
        </is>
      </c>
      <c r="E464" t="inlineStr">
        <is>
          <t>SALA</t>
        </is>
      </c>
      <c r="G464" t="n">
        <v>5.4</v>
      </c>
      <c r="H464" t="n">
        <v>0</v>
      </c>
      <c r="I464" t="n">
        <v>0</v>
      </c>
      <c r="J464" t="n">
        <v>0</v>
      </c>
      <c r="K464" t="n">
        <v>0</v>
      </c>
      <c r="L464" t="n">
        <v>0</v>
      </c>
      <c r="M464" t="n">
        <v>0</v>
      </c>
      <c r="N464" t="n">
        <v>0</v>
      </c>
      <c r="O464" t="n">
        <v>0</v>
      </c>
      <c r="P464" t="n">
        <v>0</v>
      </c>
      <c r="Q464" t="n">
        <v>0</v>
      </c>
      <c r="R464" s="2" t="inlineStr"/>
    </row>
    <row r="465" ht="15" customHeight="1">
      <c r="A465" t="inlineStr">
        <is>
          <t>A 16769-2024</t>
        </is>
      </c>
      <c r="B465" s="1" t="n">
        <v>45411.38738425926</v>
      </c>
      <c r="C465" s="1" t="n">
        <v>46038</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18877-2023</t>
        </is>
      </c>
      <c r="B466" s="1" t="n">
        <v>45044</v>
      </c>
      <c r="C466" s="1" t="n">
        <v>46038</v>
      </c>
      <c r="D466" t="inlineStr">
        <is>
          <t>VÄSTMANLANDS LÄN</t>
        </is>
      </c>
      <c r="E466" t="inlineStr">
        <is>
          <t>SALA</t>
        </is>
      </c>
      <c r="F466" t="inlineStr">
        <is>
          <t>Kommuner</t>
        </is>
      </c>
      <c r="G466" t="n">
        <v>4.4</v>
      </c>
      <c r="H466" t="n">
        <v>0</v>
      </c>
      <c r="I466" t="n">
        <v>0</v>
      </c>
      <c r="J466" t="n">
        <v>0</v>
      </c>
      <c r="K466" t="n">
        <v>0</v>
      </c>
      <c r="L466" t="n">
        <v>0</v>
      </c>
      <c r="M466" t="n">
        <v>0</v>
      </c>
      <c r="N466" t="n">
        <v>0</v>
      </c>
      <c r="O466" t="n">
        <v>0</v>
      </c>
      <c r="P466" t="n">
        <v>0</v>
      </c>
      <c r="Q466" t="n">
        <v>0</v>
      </c>
      <c r="R466" s="2" t="inlineStr"/>
    </row>
    <row r="467" ht="15" customHeight="1">
      <c r="A467" t="inlineStr">
        <is>
          <t>A 51804-2025</t>
        </is>
      </c>
      <c r="B467" s="1" t="n">
        <v>45951.77697916667</v>
      </c>
      <c r="C467" s="1" t="n">
        <v>46038</v>
      </c>
      <c r="D467" t="inlineStr">
        <is>
          <t>VÄSTMANLANDS LÄN</t>
        </is>
      </c>
      <c r="E467" t="inlineStr">
        <is>
          <t>SALA</t>
        </is>
      </c>
      <c r="F467" t="inlineStr">
        <is>
          <t>Kommuner</t>
        </is>
      </c>
      <c r="G467" t="n">
        <v>2</v>
      </c>
      <c r="H467" t="n">
        <v>0</v>
      </c>
      <c r="I467" t="n">
        <v>0</v>
      </c>
      <c r="J467" t="n">
        <v>0</v>
      </c>
      <c r="K467" t="n">
        <v>0</v>
      </c>
      <c r="L467" t="n">
        <v>0</v>
      </c>
      <c r="M467" t="n">
        <v>0</v>
      </c>
      <c r="N467" t="n">
        <v>0</v>
      </c>
      <c r="O467" t="n">
        <v>0</v>
      </c>
      <c r="P467" t="n">
        <v>0</v>
      </c>
      <c r="Q467" t="n">
        <v>0</v>
      </c>
      <c r="R467" s="2" t="inlineStr"/>
    </row>
    <row r="468" ht="15" customHeight="1">
      <c r="A468" t="inlineStr">
        <is>
          <t>A 51808-2025</t>
        </is>
      </c>
      <c r="B468" s="1" t="n">
        <v>45951.79302083333</v>
      </c>
      <c r="C468" s="1" t="n">
        <v>46038</v>
      </c>
      <c r="D468" t="inlineStr">
        <is>
          <t>VÄSTMANLANDS LÄN</t>
        </is>
      </c>
      <c r="E468" t="inlineStr">
        <is>
          <t>SALA</t>
        </is>
      </c>
      <c r="F468" t="inlineStr">
        <is>
          <t>Kommuner</t>
        </is>
      </c>
      <c r="G468" t="n">
        <v>3</v>
      </c>
      <c r="H468" t="n">
        <v>0</v>
      </c>
      <c r="I468" t="n">
        <v>0</v>
      </c>
      <c r="J468" t="n">
        <v>0</v>
      </c>
      <c r="K468" t="n">
        <v>0</v>
      </c>
      <c r="L468" t="n">
        <v>0</v>
      </c>
      <c r="M468" t="n">
        <v>0</v>
      </c>
      <c r="N468" t="n">
        <v>0</v>
      </c>
      <c r="O468" t="n">
        <v>0</v>
      </c>
      <c r="P468" t="n">
        <v>0</v>
      </c>
      <c r="Q468" t="n">
        <v>0</v>
      </c>
      <c r="R468" s="2" t="inlineStr"/>
    </row>
    <row r="469" ht="15" customHeight="1">
      <c r="A469" t="inlineStr">
        <is>
          <t>A 51803-2025</t>
        </is>
      </c>
      <c r="B469" s="1" t="n">
        <v>45951.76818287037</v>
      </c>
      <c r="C469" s="1" t="n">
        <v>46038</v>
      </c>
      <c r="D469" t="inlineStr">
        <is>
          <t>VÄSTMANLANDS LÄN</t>
        </is>
      </c>
      <c r="E469" t="inlineStr">
        <is>
          <t>SALA</t>
        </is>
      </c>
      <c r="F469" t="inlineStr">
        <is>
          <t>Kommuner</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51805-2025</t>
        </is>
      </c>
      <c r="B470" s="1" t="n">
        <v>45951.78359953704</v>
      </c>
      <c r="C470" s="1" t="n">
        <v>46038</v>
      </c>
      <c r="D470" t="inlineStr">
        <is>
          <t>VÄSTMANLANDS LÄN</t>
        </is>
      </c>
      <c r="E470" t="inlineStr">
        <is>
          <t>SALA</t>
        </is>
      </c>
      <c r="F470" t="inlineStr">
        <is>
          <t>Kommuner</t>
        </is>
      </c>
      <c r="G470" t="n">
        <v>1.3</v>
      </c>
      <c r="H470" t="n">
        <v>0</v>
      </c>
      <c r="I470" t="n">
        <v>0</v>
      </c>
      <c r="J470" t="n">
        <v>0</v>
      </c>
      <c r="K470" t="n">
        <v>0</v>
      </c>
      <c r="L470" t="n">
        <v>0</v>
      </c>
      <c r="M470" t="n">
        <v>0</v>
      </c>
      <c r="N470" t="n">
        <v>0</v>
      </c>
      <c r="O470" t="n">
        <v>0</v>
      </c>
      <c r="P470" t="n">
        <v>0</v>
      </c>
      <c r="Q470" t="n">
        <v>0</v>
      </c>
      <c r="R470" s="2" t="inlineStr"/>
    </row>
    <row r="471" ht="15" customHeight="1">
      <c r="A471" t="inlineStr">
        <is>
          <t>A 44544-2024</t>
        </is>
      </c>
      <c r="B471" s="1" t="n">
        <v>45574.46119212963</v>
      </c>
      <c r="C471" s="1" t="n">
        <v>46038</v>
      </c>
      <c r="D471" t="inlineStr">
        <is>
          <t>VÄSTMANLANDS LÄN</t>
        </is>
      </c>
      <c r="E471" t="inlineStr">
        <is>
          <t>SALA</t>
        </is>
      </c>
      <c r="G471" t="n">
        <v>3.3</v>
      </c>
      <c r="H471" t="n">
        <v>0</v>
      </c>
      <c r="I471" t="n">
        <v>0</v>
      </c>
      <c r="J471" t="n">
        <v>0</v>
      </c>
      <c r="K471" t="n">
        <v>0</v>
      </c>
      <c r="L471" t="n">
        <v>0</v>
      </c>
      <c r="M471" t="n">
        <v>0</v>
      </c>
      <c r="N471" t="n">
        <v>0</v>
      </c>
      <c r="O471" t="n">
        <v>0</v>
      </c>
      <c r="P471" t="n">
        <v>0</v>
      </c>
      <c r="Q471" t="n">
        <v>0</v>
      </c>
      <c r="R471" s="2" t="inlineStr"/>
    </row>
    <row r="472" ht="15" customHeight="1">
      <c r="A472" t="inlineStr">
        <is>
          <t>A 51809-2025</t>
        </is>
      </c>
      <c r="B472" s="1" t="n">
        <v>45951.80116898148</v>
      </c>
      <c r="C472" s="1" t="n">
        <v>46038</v>
      </c>
      <c r="D472" t="inlineStr">
        <is>
          <t>VÄSTMANLANDS LÄN</t>
        </is>
      </c>
      <c r="E472" t="inlineStr">
        <is>
          <t>SALA</t>
        </is>
      </c>
      <c r="F472" t="inlineStr">
        <is>
          <t>Kommuner</t>
        </is>
      </c>
      <c r="G472" t="n">
        <v>3.5</v>
      </c>
      <c r="H472" t="n">
        <v>0</v>
      </c>
      <c r="I472" t="n">
        <v>0</v>
      </c>
      <c r="J472" t="n">
        <v>0</v>
      </c>
      <c r="K472" t="n">
        <v>0</v>
      </c>
      <c r="L472" t="n">
        <v>0</v>
      </c>
      <c r="M472" t="n">
        <v>0</v>
      </c>
      <c r="N472" t="n">
        <v>0</v>
      </c>
      <c r="O472" t="n">
        <v>0</v>
      </c>
      <c r="P472" t="n">
        <v>0</v>
      </c>
      <c r="Q472" t="n">
        <v>0</v>
      </c>
      <c r="R472" s="2" t="inlineStr"/>
    </row>
    <row r="473" ht="15" customHeight="1">
      <c r="A473" t="inlineStr">
        <is>
          <t>A 60379-2022</t>
        </is>
      </c>
      <c r="B473" s="1" t="n">
        <v>44910</v>
      </c>
      <c r="C473" s="1" t="n">
        <v>46038</v>
      </c>
      <c r="D473" t="inlineStr">
        <is>
          <t>VÄSTMANLANDS LÄN</t>
        </is>
      </c>
      <c r="E473" t="inlineStr">
        <is>
          <t>SALA</t>
        </is>
      </c>
      <c r="F473" t="inlineStr">
        <is>
          <t>Kyrkan</t>
        </is>
      </c>
      <c r="G473" t="n">
        <v>2.5</v>
      </c>
      <c r="H473" t="n">
        <v>0</v>
      </c>
      <c r="I473" t="n">
        <v>0</v>
      </c>
      <c r="J473" t="n">
        <v>0</v>
      </c>
      <c r="K473" t="n">
        <v>0</v>
      </c>
      <c r="L473" t="n">
        <v>0</v>
      </c>
      <c r="M473" t="n">
        <v>0</v>
      </c>
      <c r="N473" t="n">
        <v>0</v>
      </c>
      <c r="O473" t="n">
        <v>0</v>
      </c>
      <c r="P473" t="n">
        <v>0</v>
      </c>
      <c r="Q473" t="n">
        <v>0</v>
      </c>
      <c r="R473" s="2" t="inlineStr"/>
    </row>
    <row r="474" ht="15" customHeight="1">
      <c r="A474" t="inlineStr">
        <is>
          <t>A 56547-2022</t>
        </is>
      </c>
      <c r="B474" s="1" t="n">
        <v>44893.48284722222</v>
      </c>
      <c r="C474" s="1" t="n">
        <v>46038</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29542-2023</t>
        </is>
      </c>
      <c r="B475" s="1" t="n">
        <v>45098</v>
      </c>
      <c r="C475" s="1" t="n">
        <v>46038</v>
      </c>
      <c r="D475" t="inlineStr">
        <is>
          <t>VÄSTMANLANDS LÄN</t>
        </is>
      </c>
      <c r="E475" t="inlineStr">
        <is>
          <t>SALA</t>
        </is>
      </c>
      <c r="G475" t="n">
        <v>4.8</v>
      </c>
      <c r="H475" t="n">
        <v>0</v>
      </c>
      <c r="I475" t="n">
        <v>0</v>
      </c>
      <c r="J475" t="n">
        <v>0</v>
      </c>
      <c r="K475" t="n">
        <v>0</v>
      </c>
      <c r="L475" t="n">
        <v>0</v>
      </c>
      <c r="M475" t="n">
        <v>0</v>
      </c>
      <c r="N475" t="n">
        <v>0</v>
      </c>
      <c r="O475" t="n">
        <v>0</v>
      </c>
      <c r="P475" t="n">
        <v>0</v>
      </c>
      <c r="Q475" t="n">
        <v>0</v>
      </c>
      <c r="R475" s="2" t="inlineStr"/>
    </row>
    <row r="476" ht="15" customHeight="1">
      <c r="A476" t="inlineStr">
        <is>
          <t>A 16638-2023</t>
        </is>
      </c>
      <c r="B476" s="1" t="n">
        <v>45027</v>
      </c>
      <c r="C476" s="1" t="n">
        <v>46038</v>
      </c>
      <c r="D476" t="inlineStr">
        <is>
          <t>VÄSTMANLANDS LÄN</t>
        </is>
      </c>
      <c r="E476" t="inlineStr">
        <is>
          <t>SALA</t>
        </is>
      </c>
      <c r="G476" t="n">
        <v>14.8</v>
      </c>
      <c r="H476" t="n">
        <v>0</v>
      </c>
      <c r="I476" t="n">
        <v>0</v>
      </c>
      <c r="J476" t="n">
        <v>0</v>
      </c>
      <c r="K476" t="n">
        <v>0</v>
      </c>
      <c r="L476" t="n">
        <v>0</v>
      </c>
      <c r="M476" t="n">
        <v>0</v>
      </c>
      <c r="N476" t="n">
        <v>0</v>
      </c>
      <c r="O476" t="n">
        <v>0</v>
      </c>
      <c r="P476" t="n">
        <v>0</v>
      </c>
      <c r="Q476" t="n">
        <v>0</v>
      </c>
      <c r="R476" s="2" t="inlineStr"/>
    </row>
    <row r="477" ht="15" customHeight="1">
      <c r="A477" t="inlineStr">
        <is>
          <t>A 60629-2025</t>
        </is>
      </c>
      <c r="B477" s="1" t="n">
        <v>45996.41972222222</v>
      </c>
      <c r="C477" s="1" t="n">
        <v>46038</v>
      </c>
      <c r="D477" t="inlineStr">
        <is>
          <t>VÄSTMANLANDS LÄN</t>
        </is>
      </c>
      <c r="E477" t="inlineStr">
        <is>
          <t>SALA</t>
        </is>
      </c>
      <c r="G477" t="n">
        <v>4.3</v>
      </c>
      <c r="H477" t="n">
        <v>0</v>
      </c>
      <c r="I477" t="n">
        <v>0</v>
      </c>
      <c r="J477" t="n">
        <v>0</v>
      </c>
      <c r="K477" t="n">
        <v>0</v>
      </c>
      <c r="L477" t="n">
        <v>0</v>
      </c>
      <c r="M477" t="n">
        <v>0</v>
      </c>
      <c r="N477" t="n">
        <v>0</v>
      </c>
      <c r="O477" t="n">
        <v>0</v>
      </c>
      <c r="P477" t="n">
        <v>0</v>
      </c>
      <c r="Q477" t="n">
        <v>0</v>
      </c>
      <c r="R477" s="2" t="inlineStr"/>
    </row>
    <row r="478" ht="15" customHeight="1">
      <c r="A478" t="inlineStr">
        <is>
          <t>A 37190-2024</t>
        </is>
      </c>
      <c r="B478" s="1" t="n">
        <v>45539</v>
      </c>
      <c r="C478" s="1" t="n">
        <v>46038</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23222-2023</t>
        </is>
      </c>
      <c r="B479" s="1" t="n">
        <v>45075</v>
      </c>
      <c r="C479" s="1" t="n">
        <v>46038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23224-2023</t>
        </is>
      </c>
      <c r="B480" s="1" t="n">
        <v>45075.65040509259</v>
      </c>
      <c r="C480" s="1" t="n">
        <v>46038</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22026-2021</t>
        </is>
      </c>
      <c r="B481" s="1" t="n">
        <v>44323</v>
      </c>
      <c r="C481" s="1" t="n">
        <v>46038</v>
      </c>
      <c r="D481" t="inlineStr">
        <is>
          <t>VÄSTMANLANDS LÄN</t>
        </is>
      </c>
      <c r="E481" t="inlineStr">
        <is>
          <t>SALA</t>
        </is>
      </c>
      <c r="G481" t="n">
        <v>2.9</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46038</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68864-2021</t>
        </is>
      </c>
      <c r="B483" s="1" t="n">
        <v>44530</v>
      </c>
      <c r="C483" s="1" t="n">
        <v>46038</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19065-2022</t>
        </is>
      </c>
      <c r="B484" s="1" t="n">
        <v>44691.44309027777</v>
      </c>
      <c r="C484" s="1" t="n">
        <v>46038</v>
      </c>
      <c r="D484" t="inlineStr">
        <is>
          <t>VÄSTMANLANDS LÄN</t>
        </is>
      </c>
      <c r="E484" t="inlineStr">
        <is>
          <t>SALA</t>
        </is>
      </c>
      <c r="G484" t="n">
        <v>3.4</v>
      </c>
      <c r="H484" t="n">
        <v>0</v>
      </c>
      <c r="I484" t="n">
        <v>0</v>
      </c>
      <c r="J484" t="n">
        <v>0</v>
      </c>
      <c r="K484" t="n">
        <v>0</v>
      </c>
      <c r="L484" t="n">
        <v>0</v>
      </c>
      <c r="M484" t="n">
        <v>0</v>
      </c>
      <c r="N484" t="n">
        <v>0</v>
      </c>
      <c r="O484" t="n">
        <v>0</v>
      </c>
      <c r="P484" t="n">
        <v>0</v>
      </c>
      <c r="Q484" t="n">
        <v>0</v>
      </c>
      <c r="R484" s="2" t="inlineStr"/>
    </row>
    <row r="485" ht="15" customHeight="1">
      <c r="A485" t="inlineStr">
        <is>
          <t>A 37612-2024</t>
        </is>
      </c>
      <c r="B485" s="1" t="n">
        <v>45541</v>
      </c>
      <c r="C485" s="1" t="n">
        <v>46038</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37615-2024</t>
        </is>
      </c>
      <c r="B486" s="1" t="n">
        <v>45541.50673611111</v>
      </c>
      <c r="C486" s="1" t="n">
        <v>46038</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18158-2025</t>
        </is>
      </c>
      <c r="B487" s="1" t="n">
        <v>45761</v>
      </c>
      <c r="C487" s="1" t="n">
        <v>46038</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9962-2025</t>
        </is>
      </c>
      <c r="B488" s="1" t="n">
        <v>45719.37072916667</v>
      </c>
      <c r="C488" s="1" t="n">
        <v>46038</v>
      </c>
      <c r="D488" t="inlineStr">
        <is>
          <t>VÄSTMANLANDS LÄN</t>
        </is>
      </c>
      <c r="E488" t="inlineStr">
        <is>
          <t>SALA</t>
        </is>
      </c>
      <c r="G488" t="n">
        <v>4.5</v>
      </c>
      <c r="H488" t="n">
        <v>0</v>
      </c>
      <c r="I488" t="n">
        <v>0</v>
      </c>
      <c r="J488" t="n">
        <v>0</v>
      </c>
      <c r="K488" t="n">
        <v>0</v>
      </c>
      <c r="L488" t="n">
        <v>0</v>
      </c>
      <c r="M488" t="n">
        <v>0</v>
      </c>
      <c r="N488" t="n">
        <v>0</v>
      </c>
      <c r="O488" t="n">
        <v>0</v>
      </c>
      <c r="P488" t="n">
        <v>0</v>
      </c>
      <c r="Q488" t="n">
        <v>0</v>
      </c>
      <c r="R488" s="2" t="inlineStr"/>
    </row>
    <row r="489" ht="15" customHeight="1">
      <c r="A489" t="inlineStr">
        <is>
          <t>A 37602-2024</t>
        </is>
      </c>
      <c r="B489" s="1" t="n">
        <v>45541</v>
      </c>
      <c r="C489" s="1" t="n">
        <v>46038</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18762-2024</t>
        </is>
      </c>
      <c r="B490" s="1" t="n">
        <v>45426.55240740741</v>
      </c>
      <c r="C490" s="1" t="n">
        <v>46038</v>
      </c>
      <c r="D490" t="inlineStr">
        <is>
          <t>VÄSTMANLANDS LÄN</t>
        </is>
      </c>
      <c r="E490" t="inlineStr">
        <is>
          <t>SALA</t>
        </is>
      </c>
      <c r="G490" t="n">
        <v>6.2</v>
      </c>
      <c r="H490" t="n">
        <v>0</v>
      </c>
      <c r="I490" t="n">
        <v>0</v>
      </c>
      <c r="J490" t="n">
        <v>0</v>
      </c>
      <c r="K490" t="n">
        <v>0</v>
      </c>
      <c r="L490" t="n">
        <v>0</v>
      </c>
      <c r="M490" t="n">
        <v>0</v>
      </c>
      <c r="N490" t="n">
        <v>0</v>
      </c>
      <c r="O490" t="n">
        <v>0</v>
      </c>
      <c r="P490" t="n">
        <v>0</v>
      </c>
      <c r="Q490" t="n">
        <v>0</v>
      </c>
      <c r="R490" s="2" t="inlineStr"/>
    </row>
    <row r="491" ht="15" customHeight="1">
      <c r="A491" t="inlineStr">
        <is>
          <t>A 53725-2025</t>
        </is>
      </c>
      <c r="B491" s="1" t="n">
        <v>45960.63394675926</v>
      </c>
      <c r="C491" s="1" t="n">
        <v>46038</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39011-2023</t>
        </is>
      </c>
      <c r="B492" s="1" t="n">
        <v>45162</v>
      </c>
      <c r="C492" s="1" t="n">
        <v>46038</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46352-2023</t>
        </is>
      </c>
      <c r="B493" s="1" t="n">
        <v>45192</v>
      </c>
      <c r="C493" s="1" t="n">
        <v>46038</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38636-2024</t>
        </is>
      </c>
      <c r="B494" s="1" t="n">
        <v>45546</v>
      </c>
      <c r="C494" s="1" t="n">
        <v>46038</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43751-2021</t>
        </is>
      </c>
      <c r="B495" s="1" t="n">
        <v>44433</v>
      </c>
      <c r="C495" s="1" t="n">
        <v>46038</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53744-2025</t>
        </is>
      </c>
      <c r="B496" s="1" t="n">
        <v>45960.64863425926</v>
      </c>
      <c r="C496" s="1" t="n">
        <v>46038</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1128-2025</t>
        </is>
      </c>
      <c r="B497" s="1" t="n">
        <v>45666.68469907407</v>
      </c>
      <c r="C497" s="1" t="n">
        <v>46038</v>
      </c>
      <c r="D497" t="inlineStr">
        <is>
          <t>VÄSTMANLANDS LÄN</t>
        </is>
      </c>
      <c r="E497" t="inlineStr">
        <is>
          <t>SALA</t>
        </is>
      </c>
      <c r="G497" t="n">
        <v>2.5</v>
      </c>
      <c r="H497" t="n">
        <v>0</v>
      </c>
      <c r="I497" t="n">
        <v>0</v>
      </c>
      <c r="J497" t="n">
        <v>0</v>
      </c>
      <c r="K497" t="n">
        <v>0</v>
      </c>
      <c r="L497" t="n">
        <v>0</v>
      </c>
      <c r="M497" t="n">
        <v>0</v>
      </c>
      <c r="N497" t="n">
        <v>0</v>
      </c>
      <c r="O497" t="n">
        <v>0</v>
      </c>
      <c r="P497" t="n">
        <v>0</v>
      </c>
      <c r="Q497" t="n">
        <v>0</v>
      </c>
      <c r="R497" s="2" t="inlineStr"/>
    </row>
    <row r="498" ht="15" customHeight="1">
      <c r="A498" t="inlineStr">
        <is>
          <t>A 53724-2025</t>
        </is>
      </c>
      <c r="B498" s="1" t="n">
        <v>45960.63174768518</v>
      </c>
      <c r="C498" s="1" t="n">
        <v>46038</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31950-2023</t>
        </is>
      </c>
      <c r="B499" s="1" t="n">
        <v>45107</v>
      </c>
      <c r="C499" s="1" t="n">
        <v>46038</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62523-2025</t>
        </is>
      </c>
      <c r="B500" s="1" t="n">
        <v>46007.61512731481</v>
      </c>
      <c r="C500" s="1" t="n">
        <v>46038</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56540-2024</t>
        </is>
      </c>
      <c r="B501" s="1" t="n">
        <v>45625</v>
      </c>
      <c r="C501" s="1" t="n">
        <v>46038</v>
      </c>
      <c r="D501" t="inlineStr">
        <is>
          <t>VÄSTMANLANDS LÄN</t>
        </is>
      </c>
      <c r="E501" t="inlineStr">
        <is>
          <t>SALA</t>
        </is>
      </c>
      <c r="G501" t="n">
        <v>1.8</v>
      </c>
      <c r="H501" t="n">
        <v>0</v>
      </c>
      <c r="I501" t="n">
        <v>0</v>
      </c>
      <c r="J501" t="n">
        <v>0</v>
      </c>
      <c r="K501" t="n">
        <v>0</v>
      </c>
      <c r="L501" t="n">
        <v>0</v>
      </c>
      <c r="M501" t="n">
        <v>0</v>
      </c>
      <c r="N501" t="n">
        <v>0</v>
      </c>
      <c r="O501" t="n">
        <v>0</v>
      </c>
      <c r="P501" t="n">
        <v>0</v>
      </c>
      <c r="Q501" t="n">
        <v>0</v>
      </c>
      <c r="R501" s="2" t="inlineStr"/>
    </row>
    <row r="502" ht="15" customHeight="1">
      <c r="A502" t="inlineStr">
        <is>
          <t>A 6116-2023</t>
        </is>
      </c>
      <c r="B502" s="1" t="n">
        <v>44964</v>
      </c>
      <c r="C502" s="1" t="n">
        <v>46038</v>
      </c>
      <c r="D502" t="inlineStr">
        <is>
          <t>VÄSTMANLANDS LÄN</t>
        </is>
      </c>
      <c r="E502" t="inlineStr">
        <is>
          <t>SALA</t>
        </is>
      </c>
      <c r="G502" t="n">
        <v>1.9</v>
      </c>
      <c r="H502" t="n">
        <v>0</v>
      </c>
      <c r="I502" t="n">
        <v>0</v>
      </c>
      <c r="J502" t="n">
        <v>0</v>
      </c>
      <c r="K502" t="n">
        <v>0</v>
      </c>
      <c r="L502" t="n">
        <v>0</v>
      </c>
      <c r="M502" t="n">
        <v>0</v>
      </c>
      <c r="N502" t="n">
        <v>0</v>
      </c>
      <c r="O502" t="n">
        <v>0</v>
      </c>
      <c r="P502" t="n">
        <v>0</v>
      </c>
      <c r="Q502" t="n">
        <v>0</v>
      </c>
      <c r="R502" s="2" t="inlineStr"/>
    </row>
    <row r="503" ht="15" customHeight="1">
      <c r="A503" t="inlineStr">
        <is>
          <t>A 54344-2025</t>
        </is>
      </c>
      <c r="B503" s="1" t="n">
        <v>45965.36462962963</v>
      </c>
      <c r="C503" s="1" t="n">
        <v>46038</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25860-2024</t>
        </is>
      </c>
      <c r="B504" s="1" t="n">
        <v>45467.46278935186</v>
      </c>
      <c r="C504" s="1" t="n">
        <v>46038</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54590-2025</t>
        </is>
      </c>
      <c r="B505" s="1" t="n">
        <v>45965.74199074074</v>
      </c>
      <c r="C505" s="1" t="n">
        <v>46038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10154-2021</t>
        </is>
      </c>
      <c r="B506" s="1" t="n">
        <v>44256</v>
      </c>
      <c r="C506" s="1" t="n">
        <v>46038</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56916-2022</t>
        </is>
      </c>
      <c r="B507" s="1" t="n">
        <v>44888</v>
      </c>
      <c r="C507" s="1" t="n">
        <v>46038</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54201-2025</t>
        </is>
      </c>
      <c r="B508" s="1" t="n">
        <v>45964.58055555556</v>
      </c>
      <c r="C508" s="1" t="n">
        <v>46038</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63055-2025</t>
        </is>
      </c>
      <c r="B509" s="1" t="n">
        <v>46009.63619212963</v>
      </c>
      <c r="C509" s="1" t="n">
        <v>46038</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63046-2025</t>
        </is>
      </c>
      <c r="B510" s="1" t="n">
        <v>46009.62373842593</v>
      </c>
      <c r="C510" s="1" t="n">
        <v>46038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71471-2021</t>
        </is>
      </c>
      <c r="B511" s="1" t="n">
        <v>44540.53421296296</v>
      </c>
      <c r="C511" s="1" t="n">
        <v>46038</v>
      </c>
      <c r="D511" t="inlineStr">
        <is>
          <t>VÄSTMANLANDS LÄN</t>
        </is>
      </c>
      <c r="E511" t="inlineStr">
        <is>
          <t>SALA</t>
        </is>
      </c>
      <c r="G511" t="n">
        <v>13</v>
      </c>
      <c r="H511" t="n">
        <v>0</v>
      </c>
      <c r="I511" t="n">
        <v>0</v>
      </c>
      <c r="J511" t="n">
        <v>0</v>
      </c>
      <c r="K511" t="n">
        <v>0</v>
      </c>
      <c r="L511" t="n">
        <v>0</v>
      </c>
      <c r="M511" t="n">
        <v>0</v>
      </c>
      <c r="N511" t="n">
        <v>0</v>
      </c>
      <c r="O511" t="n">
        <v>0</v>
      </c>
      <c r="P511" t="n">
        <v>0</v>
      </c>
      <c r="Q511" t="n">
        <v>0</v>
      </c>
      <c r="R511" s="2" t="inlineStr"/>
    </row>
    <row r="512" ht="15" customHeight="1">
      <c r="A512" t="inlineStr">
        <is>
          <t>A 54893-2025</t>
        </is>
      </c>
      <c r="B512" s="1" t="n">
        <v>45967.36383101852</v>
      </c>
      <c r="C512" s="1" t="n">
        <v>46038</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13987-2023</t>
        </is>
      </c>
      <c r="B513" s="1" t="n">
        <v>45007</v>
      </c>
      <c r="C513" s="1" t="n">
        <v>46038</v>
      </c>
      <c r="D513" t="inlineStr">
        <is>
          <t>VÄSTMANLANDS LÄN</t>
        </is>
      </c>
      <c r="E513" t="inlineStr">
        <is>
          <t>SALA</t>
        </is>
      </c>
      <c r="G513" t="n">
        <v>3.2</v>
      </c>
      <c r="H513" t="n">
        <v>0</v>
      </c>
      <c r="I513" t="n">
        <v>0</v>
      </c>
      <c r="J513" t="n">
        <v>0</v>
      </c>
      <c r="K513" t="n">
        <v>0</v>
      </c>
      <c r="L513" t="n">
        <v>0</v>
      </c>
      <c r="M513" t="n">
        <v>0</v>
      </c>
      <c r="N513" t="n">
        <v>0</v>
      </c>
      <c r="O513" t="n">
        <v>0</v>
      </c>
      <c r="P513" t="n">
        <v>0</v>
      </c>
      <c r="Q513" t="n">
        <v>0</v>
      </c>
      <c r="R513" s="2" t="inlineStr"/>
    </row>
    <row r="514" ht="15" customHeight="1">
      <c r="A514" t="inlineStr">
        <is>
          <t>A 13990-2023</t>
        </is>
      </c>
      <c r="B514" s="1" t="n">
        <v>45007</v>
      </c>
      <c r="C514" s="1" t="n">
        <v>46038</v>
      </c>
      <c r="D514" t="inlineStr">
        <is>
          <t>VÄSTMANLANDS LÄN</t>
        </is>
      </c>
      <c r="E514" t="inlineStr">
        <is>
          <t>SALA</t>
        </is>
      </c>
      <c r="G514" t="n">
        <v>2.6</v>
      </c>
      <c r="H514" t="n">
        <v>0</v>
      </c>
      <c r="I514" t="n">
        <v>0</v>
      </c>
      <c r="J514" t="n">
        <v>0</v>
      </c>
      <c r="K514" t="n">
        <v>0</v>
      </c>
      <c r="L514" t="n">
        <v>0</v>
      </c>
      <c r="M514" t="n">
        <v>0</v>
      </c>
      <c r="N514" t="n">
        <v>0</v>
      </c>
      <c r="O514" t="n">
        <v>0</v>
      </c>
      <c r="P514" t="n">
        <v>0</v>
      </c>
      <c r="Q514" t="n">
        <v>0</v>
      </c>
      <c r="R514" s="2" t="inlineStr"/>
    </row>
    <row r="515" ht="15" customHeight="1">
      <c r="A515" t="inlineStr">
        <is>
          <t>A 63051-2025</t>
        </is>
      </c>
      <c r="B515" s="1" t="n">
        <v>46009.63134259259</v>
      </c>
      <c r="C515" s="1" t="n">
        <v>46038</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1993-2022</t>
        </is>
      </c>
      <c r="B516" s="1" t="n">
        <v>44575</v>
      </c>
      <c r="C516" s="1" t="n">
        <v>46038</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17051-2025</t>
        </is>
      </c>
      <c r="B517" s="1" t="n">
        <v>45755</v>
      </c>
      <c r="C517" s="1" t="n">
        <v>46038</v>
      </c>
      <c r="D517" t="inlineStr">
        <is>
          <t>VÄSTMANLANDS LÄN</t>
        </is>
      </c>
      <c r="E517" t="inlineStr">
        <is>
          <t>SALA</t>
        </is>
      </c>
      <c r="G517" t="n">
        <v>2.9</v>
      </c>
      <c r="H517" t="n">
        <v>0</v>
      </c>
      <c r="I517" t="n">
        <v>0</v>
      </c>
      <c r="J517" t="n">
        <v>0</v>
      </c>
      <c r="K517" t="n">
        <v>0</v>
      </c>
      <c r="L517" t="n">
        <v>0</v>
      </c>
      <c r="M517" t="n">
        <v>0</v>
      </c>
      <c r="N517" t="n">
        <v>0</v>
      </c>
      <c r="O517" t="n">
        <v>0</v>
      </c>
      <c r="P517" t="n">
        <v>0</v>
      </c>
      <c r="Q517" t="n">
        <v>0</v>
      </c>
      <c r="R517" s="2" t="inlineStr"/>
    </row>
    <row r="518" ht="15" customHeight="1">
      <c r="A518" t="inlineStr">
        <is>
          <t>A 43509-2021</t>
        </is>
      </c>
      <c r="B518" s="1" t="n">
        <v>44433</v>
      </c>
      <c r="C518" s="1" t="n">
        <v>46038</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54959-2024</t>
        </is>
      </c>
      <c r="B519" s="1" t="n">
        <v>45619</v>
      </c>
      <c r="C519" s="1" t="n">
        <v>46038</v>
      </c>
      <c r="D519" t="inlineStr">
        <is>
          <t>VÄSTMANLANDS LÄN</t>
        </is>
      </c>
      <c r="E519" t="inlineStr">
        <is>
          <t>SALA</t>
        </is>
      </c>
      <c r="G519" t="n">
        <v>1.3</v>
      </c>
      <c r="H519" t="n">
        <v>0</v>
      </c>
      <c r="I519" t="n">
        <v>0</v>
      </c>
      <c r="J519" t="n">
        <v>0</v>
      </c>
      <c r="K519" t="n">
        <v>0</v>
      </c>
      <c r="L519" t="n">
        <v>0</v>
      </c>
      <c r="M519" t="n">
        <v>0</v>
      </c>
      <c r="N519" t="n">
        <v>0</v>
      </c>
      <c r="O519" t="n">
        <v>0</v>
      </c>
      <c r="P519" t="n">
        <v>0</v>
      </c>
      <c r="Q519" t="n">
        <v>0</v>
      </c>
      <c r="R519" s="2" t="inlineStr"/>
    </row>
    <row r="520" ht="15" customHeight="1">
      <c r="A520" t="inlineStr">
        <is>
          <t>A 56964-2023</t>
        </is>
      </c>
      <c r="B520" s="1" t="n">
        <v>45244.63140046296</v>
      </c>
      <c r="C520" s="1" t="n">
        <v>46038</v>
      </c>
      <c r="D520" t="inlineStr">
        <is>
          <t>VÄSTMANLANDS LÄN</t>
        </is>
      </c>
      <c r="E520" t="inlineStr">
        <is>
          <t>SALA</t>
        </is>
      </c>
      <c r="G520" t="n">
        <v>4.6</v>
      </c>
      <c r="H520" t="n">
        <v>0</v>
      </c>
      <c r="I520" t="n">
        <v>0</v>
      </c>
      <c r="J520" t="n">
        <v>0</v>
      </c>
      <c r="K520" t="n">
        <v>0</v>
      </c>
      <c r="L520" t="n">
        <v>0</v>
      </c>
      <c r="M520" t="n">
        <v>0</v>
      </c>
      <c r="N520" t="n">
        <v>0</v>
      </c>
      <c r="O520" t="n">
        <v>0</v>
      </c>
      <c r="P520" t="n">
        <v>0</v>
      </c>
      <c r="Q520" t="n">
        <v>0</v>
      </c>
      <c r="R520" s="2" t="inlineStr"/>
    </row>
    <row r="521" ht="15" customHeight="1">
      <c r="A521" t="inlineStr">
        <is>
          <t>A 37337-2024</t>
        </is>
      </c>
      <c r="B521" s="1" t="n">
        <v>45540</v>
      </c>
      <c r="C521" s="1" t="n">
        <v>46038</v>
      </c>
      <c r="D521" t="inlineStr">
        <is>
          <t>VÄSTMANLANDS LÄN</t>
        </is>
      </c>
      <c r="E521" t="inlineStr">
        <is>
          <t>SALA</t>
        </is>
      </c>
      <c r="G521" t="n">
        <v>6.5</v>
      </c>
      <c r="H521" t="n">
        <v>0</v>
      </c>
      <c r="I521" t="n">
        <v>0</v>
      </c>
      <c r="J521" t="n">
        <v>0</v>
      </c>
      <c r="K521" t="n">
        <v>0</v>
      </c>
      <c r="L521" t="n">
        <v>0</v>
      </c>
      <c r="M521" t="n">
        <v>0</v>
      </c>
      <c r="N521" t="n">
        <v>0</v>
      </c>
      <c r="O521" t="n">
        <v>0</v>
      </c>
      <c r="P521" t="n">
        <v>0</v>
      </c>
      <c r="Q521" t="n">
        <v>0</v>
      </c>
      <c r="R521" s="2" t="inlineStr"/>
    </row>
    <row r="522" ht="15" customHeight="1">
      <c r="A522" t="inlineStr">
        <is>
          <t>A 17120-2023</t>
        </is>
      </c>
      <c r="B522" s="1" t="n">
        <v>45034</v>
      </c>
      <c r="C522" s="1" t="n">
        <v>46038</v>
      </c>
      <c r="D522" t="inlineStr">
        <is>
          <t>VÄSTMANLANDS LÄN</t>
        </is>
      </c>
      <c r="E522" t="inlineStr">
        <is>
          <t>SALA</t>
        </is>
      </c>
      <c r="G522" t="n">
        <v>0.1</v>
      </c>
      <c r="H522" t="n">
        <v>0</v>
      </c>
      <c r="I522" t="n">
        <v>0</v>
      </c>
      <c r="J522" t="n">
        <v>0</v>
      </c>
      <c r="K522" t="n">
        <v>0</v>
      </c>
      <c r="L522" t="n">
        <v>0</v>
      </c>
      <c r="M522" t="n">
        <v>0</v>
      </c>
      <c r="N522" t="n">
        <v>0</v>
      </c>
      <c r="O522" t="n">
        <v>0</v>
      </c>
      <c r="P522" t="n">
        <v>0</v>
      </c>
      <c r="Q522" t="n">
        <v>0</v>
      </c>
      <c r="R522" s="2" t="inlineStr"/>
    </row>
    <row r="523" ht="15" customHeight="1">
      <c r="A523" t="inlineStr">
        <is>
          <t>A 34494-2023</t>
        </is>
      </c>
      <c r="B523" s="1" t="n">
        <v>45133</v>
      </c>
      <c r="C523" s="1" t="n">
        <v>46038</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19033-2025</t>
        </is>
      </c>
      <c r="B524" s="1" t="n">
        <v>45764.65796296296</v>
      </c>
      <c r="C524" s="1" t="n">
        <v>46038</v>
      </c>
      <c r="D524" t="inlineStr">
        <is>
          <t>VÄSTMANLANDS LÄN</t>
        </is>
      </c>
      <c r="E524" t="inlineStr">
        <is>
          <t>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46038</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9335-2022</t>
        </is>
      </c>
      <c r="B526" s="1" t="n">
        <v>44616.56579861111</v>
      </c>
      <c r="C526" s="1" t="n">
        <v>46038</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45313-2024</t>
        </is>
      </c>
      <c r="B527" s="1" t="n">
        <v>45576</v>
      </c>
      <c r="C527" s="1" t="n">
        <v>46038</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63353-2025</t>
        </is>
      </c>
      <c r="B528" s="1" t="n">
        <v>46010.66670138889</v>
      </c>
      <c r="C528" s="1" t="n">
        <v>46038</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23119-2022</t>
        </is>
      </c>
      <c r="B529" s="1" t="n">
        <v>44719.56697916667</v>
      </c>
      <c r="C529" s="1" t="n">
        <v>46038</v>
      </c>
      <c r="D529" t="inlineStr">
        <is>
          <t>VÄSTMANLANDS LÄN</t>
        </is>
      </c>
      <c r="E529" t="inlineStr">
        <is>
          <t>SALA</t>
        </is>
      </c>
      <c r="G529" t="n">
        <v>7</v>
      </c>
      <c r="H529" t="n">
        <v>0</v>
      </c>
      <c r="I529" t="n">
        <v>0</v>
      </c>
      <c r="J529" t="n">
        <v>0</v>
      </c>
      <c r="K529" t="n">
        <v>0</v>
      </c>
      <c r="L529" t="n">
        <v>0</v>
      </c>
      <c r="M529" t="n">
        <v>0</v>
      </c>
      <c r="N529" t="n">
        <v>0</v>
      </c>
      <c r="O529" t="n">
        <v>0</v>
      </c>
      <c r="P529" t="n">
        <v>0</v>
      </c>
      <c r="Q529" t="n">
        <v>0</v>
      </c>
      <c r="R529" s="2" t="inlineStr"/>
    </row>
    <row r="530" ht="15" customHeight="1">
      <c r="A530" t="inlineStr">
        <is>
          <t>A 1196-2023</t>
        </is>
      </c>
      <c r="B530" s="1" t="n">
        <v>44935.82290509259</v>
      </c>
      <c r="C530" s="1" t="n">
        <v>46038</v>
      </c>
      <c r="D530" t="inlineStr">
        <is>
          <t>VÄSTMANLANDS LÄN</t>
        </is>
      </c>
      <c r="E530" t="inlineStr">
        <is>
          <t>SALA</t>
        </is>
      </c>
      <c r="G530" t="n">
        <v>4.1</v>
      </c>
      <c r="H530" t="n">
        <v>0</v>
      </c>
      <c r="I530" t="n">
        <v>0</v>
      </c>
      <c r="J530" t="n">
        <v>0</v>
      </c>
      <c r="K530" t="n">
        <v>0</v>
      </c>
      <c r="L530" t="n">
        <v>0</v>
      </c>
      <c r="M530" t="n">
        <v>0</v>
      </c>
      <c r="N530" t="n">
        <v>0</v>
      </c>
      <c r="O530" t="n">
        <v>0</v>
      </c>
      <c r="P530" t="n">
        <v>0</v>
      </c>
      <c r="Q530" t="n">
        <v>0</v>
      </c>
      <c r="R530" s="2" t="inlineStr"/>
    </row>
    <row r="531" ht="15" customHeight="1">
      <c r="A531" t="inlineStr">
        <is>
          <t>A 55997-2025</t>
        </is>
      </c>
      <c r="B531" s="1" t="n">
        <v>45973.56833333334</v>
      </c>
      <c r="C531" s="1" t="n">
        <v>46038</v>
      </c>
      <c r="D531" t="inlineStr">
        <is>
          <t>VÄSTMANLANDS LÄN</t>
        </is>
      </c>
      <c r="E531" t="inlineStr">
        <is>
          <t>SALA</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52503-2024</t>
        </is>
      </c>
      <c r="B532" s="1" t="n">
        <v>45609.58806712963</v>
      </c>
      <c r="C532" s="1" t="n">
        <v>46038</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55714-2025</t>
        </is>
      </c>
      <c r="B533" s="1" t="n">
        <v>45972.49131944445</v>
      </c>
      <c r="C533" s="1" t="n">
        <v>46038</v>
      </c>
      <c r="D533" t="inlineStr">
        <is>
          <t>VÄSTMANLANDS LÄN</t>
        </is>
      </c>
      <c r="E533" t="inlineStr">
        <is>
          <t>SALA</t>
        </is>
      </c>
      <c r="G533" t="n">
        <v>6.6</v>
      </c>
      <c r="H533" t="n">
        <v>0</v>
      </c>
      <c r="I533" t="n">
        <v>0</v>
      </c>
      <c r="J533" t="n">
        <v>0</v>
      </c>
      <c r="K533" t="n">
        <v>0</v>
      </c>
      <c r="L533" t="n">
        <v>0</v>
      </c>
      <c r="M533" t="n">
        <v>0</v>
      </c>
      <c r="N533" t="n">
        <v>0</v>
      </c>
      <c r="O533" t="n">
        <v>0</v>
      </c>
      <c r="P533" t="n">
        <v>0</v>
      </c>
      <c r="Q533" t="n">
        <v>0</v>
      </c>
      <c r="R533" s="2" t="inlineStr"/>
    </row>
    <row r="534" ht="15" customHeight="1">
      <c r="A534" t="inlineStr">
        <is>
          <t>A 63749-2025</t>
        </is>
      </c>
      <c r="B534" s="1" t="n">
        <v>46017.75243055556</v>
      </c>
      <c r="C534" s="1" t="n">
        <v>46038</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56593-2025</t>
        </is>
      </c>
      <c r="B535" s="1" t="n">
        <v>45975</v>
      </c>
      <c r="C535" s="1" t="n">
        <v>46038</v>
      </c>
      <c r="D535" t="inlineStr">
        <is>
          <t>VÄSTMANLANDS LÄN</t>
        </is>
      </c>
      <c r="E535" t="inlineStr">
        <is>
          <t>SALA</t>
        </is>
      </c>
      <c r="F535" t="inlineStr">
        <is>
          <t>Kyrkan</t>
        </is>
      </c>
      <c r="G535" t="n">
        <v>0.1</v>
      </c>
      <c r="H535" t="n">
        <v>0</v>
      </c>
      <c r="I535" t="n">
        <v>0</v>
      </c>
      <c r="J535" t="n">
        <v>0</v>
      </c>
      <c r="K535" t="n">
        <v>0</v>
      </c>
      <c r="L535" t="n">
        <v>0</v>
      </c>
      <c r="M535" t="n">
        <v>0</v>
      </c>
      <c r="N535" t="n">
        <v>0</v>
      </c>
      <c r="O535" t="n">
        <v>0</v>
      </c>
      <c r="P535" t="n">
        <v>0</v>
      </c>
      <c r="Q535" t="n">
        <v>0</v>
      </c>
      <c r="R535" s="2" t="inlineStr"/>
    </row>
    <row r="536" ht="15" customHeight="1">
      <c r="A536" t="inlineStr">
        <is>
          <t>A 63748-2025</t>
        </is>
      </c>
      <c r="B536" s="1" t="n">
        <v>46017.71640046296</v>
      </c>
      <c r="C536" s="1" t="n">
        <v>46038</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56645-2025</t>
        </is>
      </c>
      <c r="B537" s="1" t="n">
        <v>45975.63063657407</v>
      </c>
      <c r="C537" s="1" t="n">
        <v>46038</v>
      </c>
      <c r="D537" t="inlineStr">
        <is>
          <t>VÄSTMANLANDS LÄN</t>
        </is>
      </c>
      <c r="E537" t="inlineStr">
        <is>
          <t>SALA</t>
        </is>
      </c>
      <c r="F537" t="inlineStr">
        <is>
          <t>Bergvik skog öst AB</t>
        </is>
      </c>
      <c r="G537" t="n">
        <v>5.3</v>
      </c>
      <c r="H537" t="n">
        <v>0</v>
      </c>
      <c r="I537" t="n">
        <v>0</v>
      </c>
      <c r="J537" t="n">
        <v>0</v>
      </c>
      <c r="K537" t="n">
        <v>0</v>
      </c>
      <c r="L537" t="n">
        <v>0</v>
      </c>
      <c r="M537" t="n">
        <v>0</v>
      </c>
      <c r="N537" t="n">
        <v>0</v>
      </c>
      <c r="O537" t="n">
        <v>0</v>
      </c>
      <c r="P537" t="n">
        <v>0</v>
      </c>
      <c r="Q537" t="n">
        <v>0</v>
      </c>
      <c r="R537" s="2" t="inlineStr"/>
    </row>
    <row r="538" ht="15" customHeight="1">
      <c r="A538" t="inlineStr">
        <is>
          <t>A 56502-2025</t>
        </is>
      </c>
      <c r="B538" s="1" t="n">
        <v>45975</v>
      </c>
      <c r="C538" s="1" t="n">
        <v>46038</v>
      </c>
      <c r="D538" t="inlineStr">
        <is>
          <t>VÄSTMANLANDS LÄN</t>
        </is>
      </c>
      <c r="E538" t="inlineStr">
        <is>
          <t>SALA</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56614-2025</t>
        </is>
      </c>
      <c r="B539" s="1" t="n">
        <v>45975.59288194445</v>
      </c>
      <c r="C539" s="1" t="n">
        <v>46038</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7953-2024</t>
        </is>
      </c>
      <c r="B540" s="1" t="n">
        <v>45350</v>
      </c>
      <c r="C540" s="1" t="n">
        <v>46038</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56611-2025</t>
        </is>
      </c>
      <c r="B541" s="1" t="n">
        <v>45975</v>
      </c>
      <c r="C541" s="1" t="n">
        <v>46038</v>
      </c>
      <c r="D541" t="inlineStr">
        <is>
          <t>VÄSTMANLANDS LÄN</t>
        </is>
      </c>
      <c r="E541" t="inlineStr">
        <is>
          <t>SALA</t>
        </is>
      </c>
      <c r="G541" t="n">
        <v>2.8</v>
      </c>
      <c r="H541" t="n">
        <v>0</v>
      </c>
      <c r="I541" t="n">
        <v>0</v>
      </c>
      <c r="J541" t="n">
        <v>0</v>
      </c>
      <c r="K541" t="n">
        <v>0</v>
      </c>
      <c r="L541" t="n">
        <v>0</v>
      </c>
      <c r="M541" t="n">
        <v>0</v>
      </c>
      <c r="N541" t="n">
        <v>0</v>
      </c>
      <c r="O541" t="n">
        <v>0</v>
      </c>
      <c r="P541" t="n">
        <v>0</v>
      </c>
      <c r="Q541" t="n">
        <v>0</v>
      </c>
      <c r="R541" s="2" t="inlineStr"/>
    </row>
    <row r="542" ht="15" customHeight="1">
      <c r="A542" t="inlineStr">
        <is>
          <t>A 30028-2024</t>
        </is>
      </c>
      <c r="B542" s="1" t="n">
        <v>45485</v>
      </c>
      <c r="C542" s="1" t="n">
        <v>46038</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7950-2025</t>
        </is>
      </c>
      <c r="B543" s="1" t="n">
        <v>45707.41799768519</v>
      </c>
      <c r="C543" s="1" t="n">
        <v>46038</v>
      </c>
      <c r="D543" t="inlineStr">
        <is>
          <t>VÄSTMANLANDS LÄN</t>
        </is>
      </c>
      <c r="E543" t="inlineStr">
        <is>
          <t>SALA</t>
        </is>
      </c>
      <c r="G543" t="n">
        <v>3.2</v>
      </c>
      <c r="H543" t="n">
        <v>0</v>
      </c>
      <c r="I543" t="n">
        <v>0</v>
      </c>
      <c r="J543" t="n">
        <v>0</v>
      </c>
      <c r="K543" t="n">
        <v>0</v>
      </c>
      <c r="L543" t="n">
        <v>0</v>
      </c>
      <c r="M543" t="n">
        <v>0</v>
      </c>
      <c r="N543" t="n">
        <v>0</v>
      </c>
      <c r="O543" t="n">
        <v>0</v>
      </c>
      <c r="P543" t="n">
        <v>0</v>
      </c>
      <c r="Q543" t="n">
        <v>0</v>
      </c>
      <c r="R543" s="2" t="inlineStr"/>
    </row>
    <row r="544" ht="15" customHeight="1">
      <c r="A544" t="inlineStr">
        <is>
          <t>A 27657-2023</t>
        </is>
      </c>
      <c r="B544" s="1" t="n">
        <v>45097.76631944445</v>
      </c>
      <c r="C544" s="1" t="n">
        <v>46038</v>
      </c>
      <c r="D544" t="inlineStr">
        <is>
          <t>VÄSTMANLANDS LÄN</t>
        </is>
      </c>
      <c r="E544" t="inlineStr">
        <is>
          <t>SALA</t>
        </is>
      </c>
      <c r="G544" t="n">
        <v>0.1</v>
      </c>
      <c r="H544" t="n">
        <v>0</v>
      </c>
      <c r="I544" t="n">
        <v>0</v>
      </c>
      <c r="J544" t="n">
        <v>0</v>
      </c>
      <c r="K544" t="n">
        <v>0</v>
      </c>
      <c r="L544" t="n">
        <v>0</v>
      </c>
      <c r="M544" t="n">
        <v>0</v>
      </c>
      <c r="N544" t="n">
        <v>0</v>
      </c>
      <c r="O544" t="n">
        <v>0</v>
      </c>
      <c r="P544" t="n">
        <v>0</v>
      </c>
      <c r="Q544" t="n">
        <v>0</v>
      </c>
      <c r="R544" s="2" t="inlineStr"/>
    </row>
    <row r="545" ht="15" customHeight="1">
      <c r="A545" t="inlineStr">
        <is>
          <t>A 13855-2023</t>
        </is>
      </c>
      <c r="B545" s="1" t="n">
        <v>45007</v>
      </c>
      <c r="C545" s="1" t="n">
        <v>46038</v>
      </c>
      <c r="D545" t="inlineStr">
        <is>
          <t>VÄSTMANLANDS LÄN</t>
        </is>
      </c>
      <c r="E545" t="inlineStr">
        <is>
          <t>SALA</t>
        </is>
      </c>
      <c r="G545" t="n">
        <v>2.9</v>
      </c>
      <c r="H545" t="n">
        <v>0</v>
      </c>
      <c r="I545" t="n">
        <v>0</v>
      </c>
      <c r="J545" t="n">
        <v>0</v>
      </c>
      <c r="K545" t="n">
        <v>0</v>
      </c>
      <c r="L545" t="n">
        <v>0</v>
      </c>
      <c r="M545" t="n">
        <v>0</v>
      </c>
      <c r="N545" t="n">
        <v>0</v>
      </c>
      <c r="O545" t="n">
        <v>0</v>
      </c>
      <c r="P545" t="n">
        <v>0</v>
      </c>
      <c r="Q545" t="n">
        <v>0</v>
      </c>
      <c r="R545" s="2" t="inlineStr"/>
    </row>
    <row r="546" ht="15" customHeight="1">
      <c r="A546" t="inlineStr">
        <is>
          <t>A 33309-2022</t>
        </is>
      </c>
      <c r="B546" s="1" t="n">
        <v>44788.40986111111</v>
      </c>
      <c r="C546" s="1" t="n">
        <v>46038</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47909-2022</t>
        </is>
      </c>
      <c r="B547" s="1" t="n">
        <v>44855</v>
      </c>
      <c r="C547" s="1" t="n">
        <v>46038</v>
      </c>
      <c r="D547" t="inlineStr">
        <is>
          <t>VÄSTMANLANDS LÄN</t>
        </is>
      </c>
      <c r="E547" t="inlineStr">
        <is>
          <t>SALA</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57014-2025</t>
        </is>
      </c>
      <c r="B548" s="1" t="n">
        <v>45978</v>
      </c>
      <c r="C548" s="1" t="n">
        <v>46038</v>
      </c>
      <c r="D548" t="inlineStr">
        <is>
          <t>VÄSTMANLANDS LÄN</t>
        </is>
      </c>
      <c r="E548" t="inlineStr">
        <is>
          <t>SALA</t>
        </is>
      </c>
      <c r="G548" t="n">
        <v>2.2</v>
      </c>
      <c r="H548" t="n">
        <v>0</v>
      </c>
      <c r="I548" t="n">
        <v>0</v>
      </c>
      <c r="J548" t="n">
        <v>0</v>
      </c>
      <c r="K548" t="n">
        <v>0</v>
      </c>
      <c r="L548" t="n">
        <v>0</v>
      </c>
      <c r="M548" t="n">
        <v>0</v>
      </c>
      <c r="N548" t="n">
        <v>0</v>
      </c>
      <c r="O548" t="n">
        <v>0</v>
      </c>
      <c r="P548" t="n">
        <v>0</v>
      </c>
      <c r="Q548" t="n">
        <v>0</v>
      </c>
      <c r="R548" s="2" t="inlineStr"/>
    </row>
    <row r="549" ht="15" customHeight="1">
      <c r="A549" t="inlineStr">
        <is>
          <t>A 15272-2025</t>
        </is>
      </c>
      <c r="B549" s="1" t="n">
        <v>45744</v>
      </c>
      <c r="C549" s="1" t="n">
        <v>46038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11183-2023</t>
        </is>
      </c>
      <c r="B550" s="1" t="n">
        <v>44992.57782407408</v>
      </c>
      <c r="C550" s="1" t="n">
        <v>46038</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11190-2023</t>
        </is>
      </c>
      <c r="B551" s="1" t="n">
        <v>44992</v>
      </c>
      <c r="C551" s="1" t="n">
        <v>46038</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57414-2025</t>
        </is>
      </c>
      <c r="B552" s="1" t="n">
        <v>45980.45003472222</v>
      </c>
      <c r="C552" s="1" t="n">
        <v>46038</v>
      </c>
      <c r="D552" t="inlineStr">
        <is>
          <t>VÄSTMANLANDS LÄN</t>
        </is>
      </c>
      <c r="E552" t="inlineStr">
        <is>
          <t>SALA</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57415-2025</t>
        </is>
      </c>
      <c r="B553" s="1" t="n">
        <v>45980.45099537037</v>
      </c>
      <c r="C553" s="1" t="n">
        <v>46038</v>
      </c>
      <c r="D553" t="inlineStr">
        <is>
          <t>VÄSTMANLANDS LÄN</t>
        </is>
      </c>
      <c r="E553" t="inlineStr">
        <is>
          <t>SALA</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53838-2022</t>
        </is>
      </c>
      <c r="B554" s="1" t="n">
        <v>44880.59363425926</v>
      </c>
      <c r="C554" s="1" t="n">
        <v>46038</v>
      </c>
      <c r="D554" t="inlineStr">
        <is>
          <t>VÄSTMANLANDS LÄN</t>
        </is>
      </c>
      <c r="E554" t="inlineStr">
        <is>
          <t>SALA</t>
        </is>
      </c>
      <c r="G554" t="n">
        <v>3.9</v>
      </c>
      <c r="H554" t="n">
        <v>0</v>
      </c>
      <c r="I554" t="n">
        <v>0</v>
      </c>
      <c r="J554" t="n">
        <v>0</v>
      </c>
      <c r="K554" t="n">
        <v>0</v>
      </c>
      <c r="L554" t="n">
        <v>0</v>
      </c>
      <c r="M554" t="n">
        <v>0</v>
      </c>
      <c r="N554" t="n">
        <v>0</v>
      </c>
      <c r="O554" t="n">
        <v>0</v>
      </c>
      <c r="P554" t="n">
        <v>0</v>
      </c>
      <c r="Q554" t="n">
        <v>0</v>
      </c>
      <c r="R554" s="2" t="inlineStr"/>
    </row>
    <row r="555" ht="15" customHeight="1">
      <c r="A555" t="inlineStr">
        <is>
          <t>A 57412-2025</t>
        </is>
      </c>
      <c r="B555" s="1" t="n">
        <v>45980.44883101852</v>
      </c>
      <c r="C555" s="1" t="n">
        <v>46038</v>
      </c>
      <c r="D555" t="inlineStr">
        <is>
          <t>VÄSTMANLANDS LÄN</t>
        </is>
      </c>
      <c r="E555" t="inlineStr">
        <is>
          <t>SALA</t>
        </is>
      </c>
      <c r="F555" t="inlineStr">
        <is>
          <t>Bergvik skog öst AB</t>
        </is>
      </c>
      <c r="G555" t="n">
        <v>4.5</v>
      </c>
      <c r="H555" t="n">
        <v>0</v>
      </c>
      <c r="I555" t="n">
        <v>0</v>
      </c>
      <c r="J555" t="n">
        <v>0</v>
      </c>
      <c r="K555" t="n">
        <v>0</v>
      </c>
      <c r="L555" t="n">
        <v>0</v>
      </c>
      <c r="M555" t="n">
        <v>0</v>
      </c>
      <c r="N555" t="n">
        <v>0</v>
      </c>
      <c r="O555" t="n">
        <v>0</v>
      </c>
      <c r="P555" t="n">
        <v>0</v>
      </c>
      <c r="Q555" t="n">
        <v>0</v>
      </c>
      <c r="R555" s="2" t="inlineStr"/>
    </row>
    <row r="556" ht="15" customHeight="1">
      <c r="A556" t="inlineStr">
        <is>
          <t>A 6088-2021</t>
        </is>
      </c>
      <c r="B556" s="1" t="n">
        <v>44232</v>
      </c>
      <c r="C556" s="1" t="n">
        <v>46038</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63269-2025</t>
        </is>
      </c>
      <c r="B557" s="1" t="n">
        <v>46010</v>
      </c>
      <c r="C557" s="1" t="n">
        <v>46038</v>
      </c>
      <c r="D557" t="inlineStr">
        <is>
          <t>VÄSTMANLANDS LÄN</t>
        </is>
      </c>
      <c r="E557" t="inlineStr">
        <is>
          <t>SALA</t>
        </is>
      </c>
      <c r="G557" t="n">
        <v>6.4</v>
      </c>
      <c r="H557" t="n">
        <v>0</v>
      </c>
      <c r="I557" t="n">
        <v>0</v>
      </c>
      <c r="J557" t="n">
        <v>0</v>
      </c>
      <c r="K557" t="n">
        <v>0</v>
      </c>
      <c r="L557" t="n">
        <v>0</v>
      </c>
      <c r="M557" t="n">
        <v>0</v>
      </c>
      <c r="N557" t="n">
        <v>0</v>
      </c>
      <c r="O557" t="n">
        <v>0</v>
      </c>
      <c r="P557" t="n">
        <v>0</v>
      </c>
      <c r="Q557" t="n">
        <v>0</v>
      </c>
      <c r="R557" s="2" t="inlineStr"/>
    </row>
    <row r="558" ht="15" customHeight="1">
      <c r="A558" t="inlineStr">
        <is>
          <t>A 53166-2024</t>
        </is>
      </c>
      <c r="B558" s="1" t="n">
        <v>45611</v>
      </c>
      <c r="C558" s="1" t="n">
        <v>46038</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28827-2022</t>
        </is>
      </c>
      <c r="B559" s="1" t="n">
        <v>44749.45561342593</v>
      </c>
      <c r="C559" s="1" t="n">
        <v>46038</v>
      </c>
      <c r="D559" t="inlineStr">
        <is>
          <t>VÄSTMANLANDS LÄN</t>
        </is>
      </c>
      <c r="E559" t="inlineStr">
        <is>
          <t>SALA</t>
        </is>
      </c>
      <c r="F559" t="inlineStr">
        <is>
          <t>Kommuner</t>
        </is>
      </c>
      <c r="G559" t="n">
        <v>11.9</v>
      </c>
      <c r="H559" t="n">
        <v>0</v>
      </c>
      <c r="I559" t="n">
        <v>0</v>
      </c>
      <c r="J559" t="n">
        <v>0</v>
      </c>
      <c r="K559" t="n">
        <v>0</v>
      </c>
      <c r="L559" t="n">
        <v>0</v>
      </c>
      <c r="M559" t="n">
        <v>0</v>
      </c>
      <c r="N559" t="n">
        <v>0</v>
      </c>
      <c r="O559" t="n">
        <v>0</v>
      </c>
      <c r="P559" t="n">
        <v>0</v>
      </c>
      <c r="Q559" t="n">
        <v>0</v>
      </c>
      <c r="R559" s="2" t="inlineStr"/>
    </row>
    <row r="560" ht="15" customHeight="1">
      <c r="A560" t="inlineStr">
        <is>
          <t>A 17866-2025</t>
        </is>
      </c>
      <c r="B560" s="1" t="n">
        <v>45758</v>
      </c>
      <c r="C560" s="1" t="n">
        <v>46038</v>
      </c>
      <c r="D560" t="inlineStr">
        <is>
          <t>VÄSTMANLANDS LÄN</t>
        </is>
      </c>
      <c r="E560" t="inlineStr">
        <is>
          <t>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54836-2024</t>
        </is>
      </c>
      <c r="B561" s="1" t="n">
        <v>45618</v>
      </c>
      <c r="C561" s="1" t="n">
        <v>46038</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58359-2025</t>
        </is>
      </c>
      <c r="B562" s="1" t="n">
        <v>45985.51594907408</v>
      </c>
      <c r="C562" s="1" t="n">
        <v>46038</v>
      </c>
      <c r="D562" t="inlineStr">
        <is>
          <t>VÄSTMANLANDS LÄN</t>
        </is>
      </c>
      <c r="E562" t="inlineStr">
        <is>
          <t>SALA</t>
        </is>
      </c>
      <c r="G562" t="n">
        <v>3.7</v>
      </c>
      <c r="H562" t="n">
        <v>0</v>
      </c>
      <c r="I562" t="n">
        <v>0</v>
      </c>
      <c r="J562" t="n">
        <v>0</v>
      </c>
      <c r="K562" t="n">
        <v>0</v>
      </c>
      <c r="L562" t="n">
        <v>0</v>
      </c>
      <c r="M562" t="n">
        <v>0</v>
      </c>
      <c r="N562" t="n">
        <v>0</v>
      </c>
      <c r="O562" t="n">
        <v>0</v>
      </c>
      <c r="P562" t="n">
        <v>0</v>
      </c>
      <c r="Q562" t="n">
        <v>0</v>
      </c>
      <c r="R562" s="2" t="inlineStr"/>
    </row>
    <row r="563" ht="15" customHeight="1">
      <c r="A563" t="inlineStr">
        <is>
          <t>A 58364-2025</t>
        </is>
      </c>
      <c r="B563" s="1" t="n">
        <v>45985.5228125</v>
      </c>
      <c r="C563" s="1" t="n">
        <v>46038</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64729-2023</t>
        </is>
      </c>
      <c r="B564" s="1" t="n">
        <v>45281</v>
      </c>
      <c r="C564" s="1" t="n">
        <v>46038</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10585-2022</t>
        </is>
      </c>
      <c r="B565" s="1" t="n">
        <v>44624</v>
      </c>
      <c r="C565" s="1" t="n">
        <v>46038</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58282-2025</t>
        </is>
      </c>
      <c r="B566" s="1" t="n">
        <v>45985.44309027777</v>
      </c>
      <c r="C566" s="1" t="n">
        <v>46038</v>
      </c>
      <c r="D566" t="inlineStr">
        <is>
          <t>VÄSTMANLANDS LÄN</t>
        </is>
      </c>
      <c r="E566" t="inlineStr">
        <is>
          <t>SALA</t>
        </is>
      </c>
      <c r="G566" t="n">
        <v>8.9</v>
      </c>
      <c r="H566" t="n">
        <v>0</v>
      </c>
      <c r="I566" t="n">
        <v>0</v>
      </c>
      <c r="J566" t="n">
        <v>0</v>
      </c>
      <c r="K566" t="n">
        <v>0</v>
      </c>
      <c r="L566" t="n">
        <v>0</v>
      </c>
      <c r="M566" t="n">
        <v>0</v>
      </c>
      <c r="N566" t="n">
        <v>0</v>
      </c>
      <c r="O566" t="n">
        <v>0</v>
      </c>
      <c r="P566" t="n">
        <v>0</v>
      </c>
      <c r="Q566" t="n">
        <v>0</v>
      </c>
      <c r="R566" s="2" t="inlineStr"/>
    </row>
    <row r="567" ht="15" customHeight="1">
      <c r="A567" t="inlineStr">
        <is>
          <t>A 22523-2023</t>
        </is>
      </c>
      <c r="B567" s="1" t="n">
        <v>45069</v>
      </c>
      <c r="C567" s="1" t="n">
        <v>46038</v>
      </c>
      <c r="D567" t="inlineStr">
        <is>
          <t>VÄSTMANLANDS LÄN</t>
        </is>
      </c>
      <c r="E567" t="inlineStr">
        <is>
          <t>SALA</t>
        </is>
      </c>
      <c r="G567" t="n">
        <v>2.4</v>
      </c>
      <c r="H567" t="n">
        <v>0</v>
      </c>
      <c r="I567" t="n">
        <v>0</v>
      </c>
      <c r="J567" t="n">
        <v>0</v>
      </c>
      <c r="K567" t="n">
        <v>0</v>
      </c>
      <c r="L567" t="n">
        <v>0</v>
      </c>
      <c r="M567" t="n">
        <v>0</v>
      </c>
      <c r="N567" t="n">
        <v>0</v>
      </c>
      <c r="O567" t="n">
        <v>0</v>
      </c>
      <c r="P567" t="n">
        <v>0</v>
      </c>
      <c r="Q567" t="n">
        <v>0</v>
      </c>
      <c r="R567" s="2" t="inlineStr"/>
    </row>
    <row r="568" ht="15" customHeight="1">
      <c r="A568" t="inlineStr">
        <is>
          <t>A 31609-2024</t>
        </is>
      </c>
      <c r="B568" s="1" t="n">
        <v>45506</v>
      </c>
      <c r="C568" s="1" t="n">
        <v>46038</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55760-2025</t>
        </is>
      </c>
      <c r="B569" s="1" t="n">
        <v>45972</v>
      </c>
      <c r="C569" s="1" t="n">
        <v>46038</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58357-2025</t>
        </is>
      </c>
      <c r="B570" s="1" t="n">
        <v>45985.51518518518</v>
      </c>
      <c r="C570" s="1" t="n">
        <v>46038</v>
      </c>
      <c r="D570" t="inlineStr">
        <is>
          <t>VÄSTMANLANDS LÄN</t>
        </is>
      </c>
      <c r="E570" t="inlineStr">
        <is>
          <t>SALA</t>
        </is>
      </c>
      <c r="G570" t="n">
        <v>3</v>
      </c>
      <c r="H570" t="n">
        <v>0</v>
      </c>
      <c r="I570" t="n">
        <v>0</v>
      </c>
      <c r="J570" t="n">
        <v>0</v>
      </c>
      <c r="K570" t="n">
        <v>0</v>
      </c>
      <c r="L570" t="n">
        <v>0</v>
      </c>
      <c r="M570" t="n">
        <v>0</v>
      </c>
      <c r="N570" t="n">
        <v>0</v>
      </c>
      <c r="O570" t="n">
        <v>0</v>
      </c>
      <c r="P570" t="n">
        <v>0</v>
      </c>
      <c r="Q570" t="n">
        <v>0</v>
      </c>
      <c r="R570" s="2" t="inlineStr"/>
    </row>
    <row r="571" ht="15" customHeight="1">
      <c r="A571" t="inlineStr">
        <is>
          <t>A 58365-2025</t>
        </is>
      </c>
      <c r="B571" s="1" t="n">
        <v>45985.52288194445</v>
      </c>
      <c r="C571" s="1" t="n">
        <v>46038</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56057-2023</t>
        </is>
      </c>
      <c r="B572" s="1" t="n">
        <v>45233</v>
      </c>
      <c r="C572" s="1" t="n">
        <v>46038</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62635-2022</t>
        </is>
      </c>
      <c r="B573" s="1" t="n">
        <v>44917</v>
      </c>
      <c r="C573" s="1" t="n">
        <v>46038</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4852-2023</t>
        </is>
      </c>
      <c r="B574" s="1" t="n">
        <v>44957.72496527778</v>
      </c>
      <c r="C574" s="1" t="n">
        <v>46038</v>
      </c>
      <c r="D574" t="inlineStr">
        <is>
          <t>VÄSTMANLANDS LÄN</t>
        </is>
      </c>
      <c r="E574" t="inlineStr">
        <is>
          <t>SALA</t>
        </is>
      </c>
      <c r="G574" t="n">
        <v>2</v>
      </c>
      <c r="H574" t="n">
        <v>0</v>
      </c>
      <c r="I574" t="n">
        <v>0</v>
      </c>
      <c r="J574" t="n">
        <v>0</v>
      </c>
      <c r="K574" t="n">
        <v>0</v>
      </c>
      <c r="L574" t="n">
        <v>0</v>
      </c>
      <c r="M574" t="n">
        <v>0</v>
      </c>
      <c r="N574" t="n">
        <v>0</v>
      </c>
      <c r="O574" t="n">
        <v>0</v>
      </c>
      <c r="P574" t="n">
        <v>0</v>
      </c>
      <c r="Q574" t="n">
        <v>0</v>
      </c>
      <c r="R574" s="2" t="inlineStr"/>
    </row>
    <row r="575" ht="15" customHeight="1">
      <c r="A575" t="inlineStr">
        <is>
          <t>A 39714-2023</t>
        </is>
      </c>
      <c r="B575" s="1" t="n">
        <v>45167.62133101852</v>
      </c>
      <c r="C575" s="1" t="n">
        <v>46038</v>
      </c>
      <c r="D575" t="inlineStr">
        <is>
          <t>VÄSTMANLANDS LÄN</t>
        </is>
      </c>
      <c r="E575" t="inlineStr">
        <is>
          <t>SALA</t>
        </is>
      </c>
      <c r="G575" t="n">
        <v>1.3</v>
      </c>
      <c r="H575" t="n">
        <v>0</v>
      </c>
      <c r="I575" t="n">
        <v>0</v>
      </c>
      <c r="J575" t="n">
        <v>0</v>
      </c>
      <c r="K575" t="n">
        <v>0</v>
      </c>
      <c r="L575" t="n">
        <v>0</v>
      </c>
      <c r="M575" t="n">
        <v>0</v>
      </c>
      <c r="N575" t="n">
        <v>0</v>
      </c>
      <c r="O575" t="n">
        <v>0</v>
      </c>
      <c r="P575" t="n">
        <v>0</v>
      </c>
      <c r="Q575" t="n">
        <v>0</v>
      </c>
      <c r="R575" s="2" t="inlineStr"/>
    </row>
    <row r="576" ht="15" customHeight="1">
      <c r="A576" t="inlineStr">
        <is>
          <t>A 42984-2023</t>
        </is>
      </c>
      <c r="B576" s="1" t="n">
        <v>45179</v>
      </c>
      <c r="C576" s="1" t="n">
        <v>46038</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948-2026</t>
        </is>
      </c>
      <c r="B577" s="1" t="n">
        <v>46030.53986111111</v>
      </c>
      <c r="C577" s="1" t="n">
        <v>46038</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59385-2025</t>
        </is>
      </c>
      <c r="B578" s="1" t="n">
        <v>45989.45746527778</v>
      </c>
      <c r="C578" s="1" t="n">
        <v>46038</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59390-2025</t>
        </is>
      </c>
      <c r="B579" s="1" t="n">
        <v>45989.4640162037</v>
      </c>
      <c r="C579" s="1" t="n">
        <v>46038</v>
      </c>
      <c r="D579" t="inlineStr">
        <is>
          <t>VÄSTMANLANDS LÄN</t>
        </is>
      </c>
      <c r="E579" t="inlineStr">
        <is>
          <t>SALA</t>
        </is>
      </c>
      <c r="G579" t="n">
        <v>1.8</v>
      </c>
      <c r="H579" t="n">
        <v>0</v>
      </c>
      <c r="I579" t="n">
        <v>0</v>
      </c>
      <c r="J579" t="n">
        <v>0</v>
      </c>
      <c r="K579" t="n">
        <v>0</v>
      </c>
      <c r="L579" t="n">
        <v>0</v>
      </c>
      <c r="M579" t="n">
        <v>0</v>
      </c>
      <c r="N579" t="n">
        <v>0</v>
      </c>
      <c r="O579" t="n">
        <v>0</v>
      </c>
      <c r="P579" t="n">
        <v>0</v>
      </c>
      <c r="Q579" t="n">
        <v>0</v>
      </c>
      <c r="R579" s="2" t="inlineStr"/>
    </row>
    <row r="580" ht="15" customHeight="1">
      <c r="A580" t="inlineStr">
        <is>
          <t>A 51247-2025</t>
        </is>
      </c>
      <c r="B580" s="1" t="n">
        <v>45947.86487268518</v>
      </c>
      <c r="C580" s="1" t="n">
        <v>46038</v>
      </c>
      <c r="D580" t="inlineStr">
        <is>
          <t>VÄSTMANLANDS LÄN</t>
        </is>
      </c>
      <c r="E580" t="inlineStr">
        <is>
          <t>SALA</t>
        </is>
      </c>
      <c r="G580" t="n">
        <v>10.4</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44893.47173611111</v>
      </c>
      <c r="C581" s="1" t="n">
        <v>46038</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60550-2024</t>
        </is>
      </c>
      <c r="B582" s="1" t="n">
        <v>45643</v>
      </c>
      <c r="C582" s="1" t="n">
        <v>46038</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914-2026</t>
        </is>
      </c>
      <c r="B583" s="1" t="n">
        <v>46030.47952546296</v>
      </c>
      <c r="C583" s="1" t="n">
        <v>46038</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910-2026</t>
        </is>
      </c>
      <c r="B584" s="1" t="n">
        <v>46030.4771412037</v>
      </c>
      <c r="C584" s="1" t="n">
        <v>46038</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13746-2025</t>
        </is>
      </c>
      <c r="B585" s="1" t="n">
        <v>45737.40944444444</v>
      </c>
      <c r="C585" s="1" t="n">
        <v>46038</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59817-2025</t>
        </is>
      </c>
      <c r="B586" s="1" t="n">
        <v>45992.63711805556</v>
      </c>
      <c r="C586" s="1" t="n">
        <v>46038</v>
      </c>
      <c r="D586" t="inlineStr">
        <is>
          <t>VÄSTMANLANDS LÄN</t>
        </is>
      </c>
      <c r="E586" t="inlineStr">
        <is>
          <t>SALA</t>
        </is>
      </c>
      <c r="G586" t="n">
        <v>6.9</v>
      </c>
      <c r="H586" t="n">
        <v>0</v>
      </c>
      <c r="I586" t="n">
        <v>0</v>
      </c>
      <c r="J586" t="n">
        <v>0</v>
      </c>
      <c r="K586" t="n">
        <v>0</v>
      </c>
      <c r="L586" t="n">
        <v>0</v>
      </c>
      <c r="M586" t="n">
        <v>0</v>
      </c>
      <c r="N586" t="n">
        <v>0</v>
      </c>
      <c r="O586" t="n">
        <v>0</v>
      </c>
      <c r="P586" t="n">
        <v>0</v>
      </c>
      <c r="Q586" t="n">
        <v>0</v>
      </c>
      <c r="R586" s="2" t="inlineStr"/>
    </row>
    <row r="587" ht="15" customHeight="1">
      <c r="A587" t="inlineStr">
        <is>
          <t>A 29230-2022</t>
        </is>
      </c>
      <c r="B587" s="1" t="n">
        <v>44750</v>
      </c>
      <c r="C587" s="1" t="n">
        <v>46038</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44904.48502314815</v>
      </c>
      <c r="C588" s="1" t="n">
        <v>46038</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1705-2026</t>
        </is>
      </c>
      <c r="B589" s="1" t="n">
        <v>46034.59930555556</v>
      </c>
      <c r="C589" s="1" t="n">
        <v>46038</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19381-2025</t>
        </is>
      </c>
      <c r="B590" s="1" t="n">
        <v>45769</v>
      </c>
      <c r="C590" s="1" t="n">
        <v>46038</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42938-2023</t>
        </is>
      </c>
      <c r="B591" s="1" t="n">
        <v>45179</v>
      </c>
      <c r="C591" s="1" t="n">
        <v>46038</v>
      </c>
      <c r="D591" t="inlineStr">
        <is>
          <t>VÄSTMANLANDS LÄN</t>
        </is>
      </c>
      <c r="E591" t="inlineStr">
        <is>
          <t>SALA</t>
        </is>
      </c>
      <c r="G591" t="n">
        <v>10.9</v>
      </c>
      <c r="H591" t="n">
        <v>0</v>
      </c>
      <c r="I591" t="n">
        <v>0</v>
      </c>
      <c r="J591" t="n">
        <v>0</v>
      </c>
      <c r="K591" t="n">
        <v>0</v>
      </c>
      <c r="L591" t="n">
        <v>0</v>
      </c>
      <c r="M591" t="n">
        <v>0</v>
      </c>
      <c r="N591" t="n">
        <v>0</v>
      </c>
      <c r="O591" t="n">
        <v>0</v>
      </c>
      <c r="P591" t="n">
        <v>0</v>
      </c>
      <c r="Q591" t="n">
        <v>0</v>
      </c>
      <c r="R591" s="2" t="inlineStr"/>
    </row>
    <row r="592" ht="15" customHeight="1">
      <c r="A592" t="inlineStr">
        <is>
          <t>A 19222-2025</t>
        </is>
      </c>
      <c r="B592" s="1" t="n">
        <v>45769</v>
      </c>
      <c r="C592" s="1" t="n">
        <v>46038</v>
      </c>
      <c r="D592" t="inlineStr">
        <is>
          <t>VÄSTMANLANDS LÄN</t>
        </is>
      </c>
      <c r="E592" t="inlineStr">
        <is>
          <t>SALA</t>
        </is>
      </c>
      <c r="G592" t="n">
        <v>1.8</v>
      </c>
      <c r="H592" t="n">
        <v>0</v>
      </c>
      <c r="I592" t="n">
        <v>0</v>
      </c>
      <c r="J592" t="n">
        <v>0</v>
      </c>
      <c r="K592" t="n">
        <v>0</v>
      </c>
      <c r="L592" t="n">
        <v>0</v>
      </c>
      <c r="M592" t="n">
        <v>0</v>
      </c>
      <c r="N592" t="n">
        <v>0</v>
      </c>
      <c r="O592" t="n">
        <v>0</v>
      </c>
      <c r="P592" t="n">
        <v>0</v>
      </c>
      <c r="Q592" t="n">
        <v>0</v>
      </c>
      <c r="R592" s="2" t="inlineStr"/>
    </row>
    <row r="593" ht="15" customHeight="1">
      <c r="A593" t="inlineStr">
        <is>
          <t>A 19241-2025</t>
        </is>
      </c>
      <c r="B593" s="1" t="n">
        <v>45769</v>
      </c>
      <c r="C593" s="1" t="n">
        <v>46038</v>
      </c>
      <c r="D593" t="inlineStr">
        <is>
          <t>VÄSTMANLANDS LÄN</t>
        </is>
      </c>
      <c r="E593" t="inlineStr">
        <is>
          <t>SALA</t>
        </is>
      </c>
      <c r="G593" t="n">
        <v>3.6</v>
      </c>
      <c r="H593" t="n">
        <v>0</v>
      </c>
      <c r="I593" t="n">
        <v>0</v>
      </c>
      <c r="J593" t="n">
        <v>0</v>
      </c>
      <c r="K593" t="n">
        <v>0</v>
      </c>
      <c r="L593" t="n">
        <v>0</v>
      </c>
      <c r="M593" t="n">
        <v>0</v>
      </c>
      <c r="N593" t="n">
        <v>0</v>
      </c>
      <c r="O593" t="n">
        <v>0</v>
      </c>
      <c r="P593" t="n">
        <v>0</v>
      </c>
      <c r="Q593" t="n">
        <v>0</v>
      </c>
      <c r="R593" s="2" t="inlineStr"/>
    </row>
    <row r="594" ht="15" customHeight="1">
      <c r="A594" t="inlineStr">
        <is>
          <t>A 59870-2025</t>
        </is>
      </c>
      <c r="B594" s="1" t="n">
        <v>45992.92226851852</v>
      </c>
      <c r="C594" s="1" t="n">
        <v>46038</v>
      </c>
      <c r="D594" t="inlineStr">
        <is>
          <t>VÄSTMANLANDS LÄN</t>
        </is>
      </c>
      <c r="E594" t="inlineStr">
        <is>
          <t>SALA</t>
        </is>
      </c>
      <c r="G594" t="n">
        <v>3.4</v>
      </c>
      <c r="H594" t="n">
        <v>0</v>
      </c>
      <c r="I594" t="n">
        <v>0</v>
      </c>
      <c r="J594" t="n">
        <v>0</v>
      </c>
      <c r="K594" t="n">
        <v>0</v>
      </c>
      <c r="L594" t="n">
        <v>0</v>
      </c>
      <c r="M594" t="n">
        <v>0</v>
      </c>
      <c r="N594" t="n">
        <v>0</v>
      </c>
      <c r="O594" t="n">
        <v>0</v>
      </c>
      <c r="P594" t="n">
        <v>0</v>
      </c>
      <c r="Q594" t="n">
        <v>0</v>
      </c>
      <c r="R594" s="2" t="inlineStr"/>
    </row>
    <row r="595" ht="15" customHeight="1">
      <c r="A595" t="inlineStr">
        <is>
          <t>A 59926-2025</t>
        </is>
      </c>
      <c r="B595" s="1" t="n">
        <v>45993.39221064815</v>
      </c>
      <c r="C595" s="1" t="n">
        <v>46038</v>
      </c>
      <c r="D595" t="inlineStr">
        <is>
          <t>VÄSTMANLANDS LÄN</t>
        </is>
      </c>
      <c r="E595" t="inlineStr">
        <is>
          <t>SALA</t>
        </is>
      </c>
      <c r="G595" t="n">
        <v>7.1</v>
      </c>
      <c r="H595" t="n">
        <v>0</v>
      </c>
      <c r="I595" t="n">
        <v>0</v>
      </c>
      <c r="J595" t="n">
        <v>0</v>
      </c>
      <c r="K595" t="n">
        <v>0</v>
      </c>
      <c r="L595" t="n">
        <v>0</v>
      </c>
      <c r="M595" t="n">
        <v>0</v>
      </c>
      <c r="N595" t="n">
        <v>0</v>
      </c>
      <c r="O595" t="n">
        <v>0</v>
      </c>
      <c r="P595" t="n">
        <v>0</v>
      </c>
      <c r="Q595" t="n">
        <v>0</v>
      </c>
      <c r="R595" s="2" t="inlineStr"/>
    </row>
    <row r="596" ht="15" customHeight="1">
      <c r="A596" t="inlineStr">
        <is>
          <t>A 60823-2024</t>
        </is>
      </c>
      <c r="B596" s="1" t="n">
        <v>45644</v>
      </c>
      <c r="C596" s="1" t="n">
        <v>46038</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61681-2024</t>
        </is>
      </c>
      <c r="B597" s="1" t="n">
        <v>45647</v>
      </c>
      <c r="C597" s="1" t="n">
        <v>46038</v>
      </c>
      <c r="D597" t="inlineStr">
        <is>
          <t>VÄSTMANLANDS LÄN</t>
        </is>
      </c>
      <c r="E597" t="inlineStr">
        <is>
          <t>SALA</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60017-2025</t>
        </is>
      </c>
      <c r="B598" s="1" t="n">
        <v>45993.59998842593</v>
      </c>
      <c r="C598" s="1" t="n">
        <v>46038</v>
      </c>
      <c r="D598" t="inlineStr">
        <is>
          <t>VÄSTMANLANDS LÄN</t>
        </is>
      </c>
      <c r="E598" t="inlineStr">
        <is>
          <t>SALA</t>
        </is>
      </c>
      <c r="G598" t="n">
        <v>4.4</v>
      </c>
      <c r="H598" t="n">
        <v>0</v>
      </c>
      <c r="I598" t="n">
        <v>0</v>
      </c>
      <c r="J598" t="n">
        <v>0</v>
      </c>
      <c r="K598" t="n">
        <v>0</v>
      </c>
      <c r="L598" t="n">
        <v>0</v>
      </c>
      <c r="M598" t="n">
        <v>0</v>
      </c>
      <c r="N598" t="n">
        <v>0</v>
      </c>
      <c r="O598" t="n">
        <v>0</v>
      </c>
      <c r="P598" t="n">
        <v>0</v>
      </c>
      <c r="Q598" t="n">
        <v>0</v>
      </c>
      <c r="R598" s="2" t="inlineStr"/>
    </row>
    <row r="599" ht="15" customHeight="1">
      <c r="A599" t="inlineStr">
        <is>
          <t>A 60254-2025</t>
        </is>
      </c>
      <c r="B599" s="1" t="n">
        <v>45994.60146990741</v>
      </c>
      <c r="C599" s="1" t="n">
        <v>46038</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60259-2025</t>
        </is>
      </c>
      <c r="B600" s="1" t="n">
        <v>45994.60913194445</v>
      </c>
      <c r="C600" s="1" t="n">
        <v>46038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49661-2024</t>
        </is>
      </c>
      <c r="B601" s="1" t="n">
        <v>45596</v>
      </c>
      <c r="C601" s="1" t="n">
        <v>46038</v>
      </c>
      <c r="D601" t="inlineStr">
        <is>
          <t>VÄSTMANLANDS LÄN</t>
        </is>
      </c>
      <c r="E601" t="inlineStr">
        <is>
          <t>SALA</t>
        </is>
      </c>
      <c r="G601" t="n">
        <v>6.7</v>
      </c>
      <c r="H601" t="n">
        <v>0</v>
      </c>
      <c r="I601" t="n">
        <v>0</v>
      </c>
      <c r="J601" t="n">
        <v>0</v>
      </c>
      <c r="K601" t="n">
        <v>0</v>
      </c>
      <c r="L601" t="n">
        <v>0</v>
      </c>
      <c r="M601" t="n">
        <v>0</v>
      </c>
      <c r="N601" t="n">
        <v>0</v>
      </c>
      <c r="O601" t="n">
        <v>0</v>
      </c>
      <c r="P601" t="n">
        <v>0</v>
      </c>
      <c r="Q601" t="n">
        <v>0</v>
      </c>
      <c r="R601" s="2" t="inlineStr"/>
    </row>
    <row r="602" ht="15" customHeight="1">
      <c r="A602" t="inlineStr">
        <is>
          <t>A 59297-2023</t>
        </is>
      </c>
      <c r="B602" s="1" t="n">
        <v>45253</v>
      </c>
      <c r="C602" s="1" t="n">
        <v>46038</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60241-2025</t>
        </is>
      </c>
      <c r="B603" s="1" t="n">
        <v>45994.58454861111</v>
      </c>
      <c r="C603" s="1" t="n">
        <v>46038</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15965-2024</t>
        </is>
      </c>
      <c r="B604" s="1" t="n">
        <v>45405.55740740741</v>
      </c>
      <c r="C604" s="1" t="n">
        <v>46038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23180-2022</t>
        </is>
      </c>
      <c r="B605" s="1" t="n">
        <v>44719.79344907407</v>
      </c>
      <c r="C605" s="1" t="n">
        <v>46038</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21455-2023</t>
        </is>
      </c>
      <c r="B606" s="1" t="n">
        <v>45058</v>
      </c>
      <c r="C606" s="1" t="n">
        <v>46038</v>
      </c>
      <c r="D606" t="inlineStr">
        <is>
          <t>VÄSTMANLANDS LÄN</t>
        </is>
      </c>
      <c r="E606" t="inlineStr">
        <is>
          <t>SALA</t>
        </is>
      </c>
      <c r="G606" t="n">
        <v>6.4</v>
      </c>
      <c r="H606" t="n">
        <v>0</v>
      </c>
      <c r="I606" t="n">
        <v>0</v>
      </c>
      <c r="J606" t="n">
        <v>0</v>
      </c>
      <c r="K606" t="n">
        <v>0</v>
      </c>
      <c r="L606" t="n">
        <v>0</v>
      </c>
      <c r="M606" t="n">
        <v>0</v>
      </c>
      <c r="N606" t="n">
        <v>0</v>
      </c>
      <c r="O606" t="n">
        <v>0</v>
      </c>
      <c r="P606" t="n">
        <v>0</v>
      </c>
      <c r="Q606" t="n">
        <v>0</v>
      </c>
      <c r="R606" s="2" t="inlineStr"/>
    </row>
    <row r="607" ht="15" customHeight="1">
      <c r="A607" t="inlineStr">
        <is>
          <t>A 60258-2025</t>
        </is>
      </c>
      <c r="B607" s="1" t="n">
        <v>45994.6064699074</v>
      </c>
      <c r="C607" s="1" t="n">
        <v>46038</v>
      </c>
      <c r="D607" t="inlineStr">
        <is>
          <t>VÄSTMANLANDS LÄN</t>
        </is>
      </c>
      <c r="E607" t="inlineStr">
        <is>
          <t>SALA</t>
        </is>
      </c>
      <c r="G607" t="n">
        <v>2.2</v>
      </c>
      <c r="H607" t="n">
        <v>0</v>
      </c>
      <c r="I607" t="n">
        <v>0</v>
      </c>
      <c r="J607" t="n">
        <v>0</v>
      </c>
      <c r="K607" t="n">
        <v>0</v>
      </c>
      <c r="L607" t="n">
        <v>0</v>
      </c>
      <c r="M607" t="n">
        <v>0</v>
      </c>
      <c r="N607" t="n">
        <v>0</v>
      </c>
      <c r="O607" t="n">
        <v>0</v>
      </c>
      <c r="P607" t="n">
        <v>0</v>
      </c>
      <c r="Q607" t="n">
        <v>0</v>
      </c>
      <c r="R607" s="2" t="inlineStr"/>
    </row>
    <row r="608" ht="15" customHeight="1">
      <c r="A608" t="inlineStr">
        <is>
          <t>A 21053-2022</t>
        </is>
      </c>
      <c r="B608" s="1" t="n">
        <v>44704</v>
      </c>
      <c r="C608" s="1" t="n">
        <v>46038</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60246-2025</t>
        </is>
      </c>
      <c r="B609" s="1" t="n">
        <v>45994.58931712963</v>
      </c>
      <c r="C609" s="1" t="n">
        <v>46038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11927-2025</t>
        </is>
      </c>
      <c r="B610" s="1" t="n">
        <v>45728.5137962963</v>
      </c>
      <c r="C610" s="1" t="n">
        <v>46038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50876-2023</t>
        </is>
      </c>
      <c r="B611" s="1" t="n">
        <v>45211</v>
      </c>
      <c r="C611" s="1" t="n">
        <v>46038</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10255-2024</t>
        </is>
      </c>
      <c r="B612" s="1" t="n">
        <v>45365</v>
      </c>
      <c r="C612" s="1" t="n">
        <v>46038</v>
      </c>
      <c r="D612" t="inlineStr">
        <is>
          <t>VÄSTMANLANDS LÄN</t>
        </is>
      </c>
      <c r="E612" t="inlineStr">
        <is>
          <t>SALA</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62648-2022</t>
        </is>
      </c>
      <c r="B613" s="1" t="n">
        <v>44917</v>
      </c>
      <c r="C613" s="1" t="n">
        <v>46038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56548-2024</t>
        </is>
      </c>
      <c r="B614" s="1" t="n">
        <v>45625</v>
      </c>
      <c r="C614" s="1" t="n">
        <v>46038</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5477-2024</t>
        </is>
      </c>
      <c r="B615" s="1" t="n">
        <v>45333.67833333334</v>
      </c>
      <c r="C615" s="1" t="n">
        <v>46038</v>
      </c>
      <c r="D615" t="inlineStr">
        <is>
          <t>VÄSTMANLANDS LÄN</t>
        </is>
      </c>
      <c r="E615" t="inlineStr">
        <is>
          <t>SALA</t>
        </is>
      </c>
      <c r="G615" t="n">
        <v>2.3</v>
      </c>
      <c r="H615" t="n">
        <v>0</v>
      </c>
      <c r="I615" t="n">
        <v>0</v>
      </c>
      <c r="J615" t="n">
        <v>0</v>
      </c>
      <c r="K615" t="n">
        <v>0</v>
      </c>
      <c r="L615" t="n">
        <v>0</v>
      </c>
      <c r="M615" t="n">
        <v>0</v>
      </c>
      <c r="N615" t="n">
        <v>0</v>
      </c>
      <c r="O615" t="n">
        <v>0</v>
      </c>
      <c r="P615" t="n">
        <v>0</v>
      </c>
      <c r="Q615" t="n">
        <v>0</v>
      </c>
      <c r="R615" s="2" t="inlineStr"/>
    </row>
    <row r="616" ht="15" customHeight="1">
      <c r="A616" t="inlineStr">
        <is>
          <t>A 39451-2022</t>
        </is>
      </c>
      <c r="B616" s="1" t="n">
        <v>44818.36606481481</v>
      </c>
      <c r="C616" s="1" t="n">
        <v>46038</v>
      </c>
      <c r="D616" t="inlineStr">
        <is>
          <t>VÄSTMANLANDS LÄN</t>
        </is>
      </c>
      <c r="E616" t="inlineStr">
        <is>
          <t>SALA</t>
        </is>
      </c>
      <c r="G616" t="n">
        <v>9.4</v>
      </c>
      <c r="H616" t="n">
        <v>0</v>
      </c>
      <c r="I616" t="n">
        <v>0</v>
      </c>
      <c r="J616" t="n">
        <v>0</v>
      </c>
      <c r="K616" t="n">
        <v>0</v>
      </c>
      <c r="L616" t="n">
        <v>0</v>
      </c>
      <c r="M616" t="n">
        <v>0</v>
      </c>
      <c r="N616" t="n">
        <v>0</v>
      </c>
      <c r="O616" t="n">
        <v>0</v>
      </c>
      <c r="P616" t="n">
        <v>0</v>
      </c>
      <c r="Q616" t="n">
        <v>0</v>
      </c>
      <c r="R616" s="2" t="inlineStr"/>
    </row>
    <row r="617" ht="15" customHeight="1">
      <c r="A617" t="inlineStr">
        <is>
          <t>A 7772-2023</t>
        </is>
      </c>
      <c r="B617" s="1" t="n">
        <v>44973.40076388889</v>
      </c>
      <c r="C617" s="1" t="n">
        <v>46038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19751-2022</t>
        </is>
      </c>
      <c r="B618" s="1" t="n">
        <v>44694</v>
      </c>
      <c r="C618" s="1" t="n">
        <v>46038</v>
      </c>
      <c r="D618" t="inlineStr">
        <is>
          <t>VÄSTMANLANDS LÄN</t>
        </is>
      </c>
      <c r="E618" t="inlineStr">
        <is>
          <t>SALA</t>
        </is>
      </c>
      <c r="G618" t="n">
        <v>2.7</v>
      </c>
      <c r="H618" t="n">
        <v>0</v>
      </c>
      <c r="I618" t="n">
        <v>0</v>
      </c>
      <c r="J618" t="n">
        <v>0</v>
      </c>
      <c r="K618" t="n">
        <v>0</v>
      </c>
      <c r="L618" t="n">
        <v>0</v>
      </c>
      <c r="M618" t="n">
        <v>0</v>
      </c>
      <c r="N618" t="n">
        <v>0</v>
      </c>
      <c r="O618" t="n">
        <v>0</v>
      </c>
      <c r="P618" t="n">
        <v>0</v>
      </c>
      <c r="Q618" t="n">
        <v>0</v>
      </c>
      <c r="R618" s="2" t="inlineStr"/>
    </row>
    <row r="619" ht="15" customHeight="1">
      <c r="A619" t="inlineStr">
        <is>
          <t>A 44713-2023</t>
        </is>
      </c>
      <c r="B619" s="1" t="n">
        <v>45184</v>
      </c>
      <c r="C619" s="1" t="n">
        <v>46038</v>
      </c>
      <c r="D619" t="inlineStr">
        <is>
          <t>VÄSTMANLANDS LÄN</t>
        </is>
      </c>
      <c r="E619" t="inlineStr">
        <is>
          <t>SALA</t>
        </is>
      </c>
      <c r="F619" t="inlineStr">
        <is>
          <t>Kyrkan</t>
        </is>
      </c>
      <c r="G619" t="n">
        <v>7.6</v>
      </c>
      <c r="H619" t="n">
        <v>0</v>
      </c>
      <c r="I619" t="n">
        <v>0</v>
      </c>
      <c r="J619" t="n">
        <v>0</v>
      </c>
      <c r="K619" t="n">
        <v>0</v>
      </c>
      <c r="L619" t="n">
        <v>0</v>
      </c>
      <c r="M619" t="n">
        <v>0</v>
      </c>
      <c r="N619" t="n">
        <v>0</v>
      </c>
      <c r="O619" t="n">
        <v>0</v>
      </c>
      <c r="P619" t="n">
        <v>0</v>
      </c>
      <c r="Q619" t="n">
        <v>0</v>
      </c>
      <c r="R619" s="2" t="inlineStr"/>
    </row>
    <row r="620" ht="15" customHeight="1">
      <c r="A620" t="inlineStr">
        <is>
          <t>A 18713-2025</t>
        </is>
      </c>
      <c r="B620" s="1" t="n">
        <v>45763</v>
      </c>
      <c r="C620" s="1" t="n">
        <v>46038</v>
      </c>
      <c r="D620" t="inlineStr">
        <is>
          <t>VÄSTMANLANDS LÄN</t>
        </is>
      </c>
      <c r="E620" t="inlineStr">
        <is>
          <t>SALA</t>
        </is>
      </c>
      <c r="F620" t="inlineStr">
        <is>
          <t>Bergvik skog öst AB</t>
        </is>
      </c>
      <c r="G620" t="n">
        <v>11.6</v>
      </c>
      <c r="H620" t="n">
        <v>0</v>
      </c>
      <c r="I620" t="n">
        <v>0</v>
      </c>
      <c r="J620" t="n">
        <v>0</v>
      </c>
      <c r="K620" t="n">
        <v>0</v>
      </c>
      <c r="L620" t="n">
        <v>0</v>
      </c>
      <c r="M620" t="n">
        <v>0</v>
      </c>
      <c r="N620" t="n">
        <v>0</v>
      </c>
      <c r="O620" t="n">
        <v>0</v>
      </c>
      <c r="P620" t="n">
        <v>0</v>
      </c>
      <c r="Q620" t="n">
        <v>0</v>
      </c>
      <c r="R620" s="2" t="inlineStr"/>
    </row>
    <row r="621" ht="15" customHeight="1">
      <c r="A621" t="inlineStr">
        <is>
          <t>A 47479-2024</t>
        </is>
      </c>
      <c r="B621" s="1" t="n">
        <v>45587</v>
      </c>
      <c r="C621" s="1" t="n">
        <v>46038</v>
      </c>
      <c r="D621" t="inlineStr">
        <is>
          <t>VÄSTMANLANDS LÄN</t>
        </is>
      </c>
      <c r="E621" t="inlineStr">
        <is>
          <t>SALA</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69236-2021</t>
        </is>
      </c>
      <c r="B622" s="1" t="n">
        <v>44531.4047337963</v>
      </c>
      <c r="C622" s="1" t="n">
        <v>46038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25541-2024</t>
        </is>
      </c>
      <c r="B623" s="1" t="n">
        <v>45463.56337962963</v>
      </c>
      <c r="C623" s="1" t="n">
        <v>46038</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5728-2022</t>
        </is>
      </c>
      <c r="B624" s="1" t="n">
        <v>44596.42082175926</v>
      </c>
      <c r="C624" s="1" t="n">
        <v>46038</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10250-2025</t>
        </is>
      </c>
      <c r="B625" s="1" t="n">
        <v>45720.36165509259</v>
      </c>
      <c r="C625" s="1" t="n">
        <v>46038</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49512-2024</t>
        </is>
      </c>
      <c r="B626" s="1" t="n">
        <v>45591</v>
      </c>
      <c r="C626" s="1" t="n">
        <v>46038</v>
      </c>
      <c r="D626" t="inlineStr">
        <is>
          <t>VÄSTMANLANDS LÄN</t>
        </is>
      </c>
      <c r="E626" t="inlineStr">
        <is>
          <t>SALA</t>
        </is>
      </c>
      <c r="G626" t="n">
        <v>8.1</v>
      </c>
      <c r="H626" t="n">
        <v>0</v>
      </c>
      <c r="I626" t="n">
        <v>0</v>
      </c>
      <c r="J626" t="n">
        <v>0</v>
      </c>
      <c r="K626" t="n">
        <v>0</v>
      </c>
      <c r="L626" t="n">
        <v>0</v>
      </c>
      <c r="M626" t="n">
        <v>0</v>
      </c>
      <c r="N626" t="n">
        <v>0</v>
      </c>
      <c r="O626" t="n">
        <v>0</v>
      </c>
      <c r="P626" t="n">
        <v>0</v>
      </c>
      <c r="Q626" t="n">
        <v>0</v>
      </c>
      <c r="R626" s="2" t="inlineStr"/>
    </row>
    <row r="627" ht="15" customHeight="1">
      <c r="A627" t="inlineStr">
        <is>
          <t>A 42416-2022</t>
        </is>
      </c>
      <c r="B627" s="1" t="n">
        <v>44831</v>
      </c>
      <c r="C627" s="1" t="n">
        <v>46038</v>
      </c>
      <c r="D627" t="inlineStr">
        <is>
          <t>VÄSTMANLANDS LÄN</t>
        </is>
      </c>
      <c r="E627" t="inlineStr">
        <is>
          <t>SALA</t>
        </is>
      </c>
      <c r="G627" t="n">
        <v>2.2</v>
      </c>
      <c r="H627" t="n">
        <v>0</v>
      </c>
      <c r="I627" t="n">
        <v>0</v>
      </c>
      <c r="J627" t="n">
        <v>0</v>
      </c>
      <c r="K627" t="n">
        <v>0</v>
      </c>
      <c r="L627" t="n">
        <v>0</v>
      </c>
      <c r="M627" t="n">
        <v>0</v>
      </c>
      <c r="N627" t="n">
        <v>0</v>
      </c>
      <c r="O627" t="n">
        <v>0</v>
      </c>
      <c r="P627" t="n">
        <v>0</v>
      </c>
      <c r="Q627" t="n">
        <v>0</v>
      </c>
      <c r="R627" s="2" t="inlineStr"/>
    </row>
    <row r="628" ht="15" customHeight="1">
      <c r="A628" t="inlineStr">
        <is>
          <t>A 6135-2023</t>
        </is>
      </c>
      <c r="B628" s="1" t="n">
        <v>44964.62628472222</v>
      </c>
      <c r="C628" s="1" t="n">
        <v>46038</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16693-2023</t>
        </is>
      </c>
      <c r="B629" s="1" t="n">
        <v>45028</v>
      </c>
      <c r="C629" s="1" t="n">
        <v>46038</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8285-2025</t>
        </is>
      </c>
      <c r="B630" s="1" t="n">
        <v>45708</v>
      </c>
      <c r="C630" s="1" t="n">
        <v>46038</v>
      </c>
      <c r="D630" t="inlineStr">
        <is>
          <t>VÄSTMANLANDS LÄN</t>
        </is>
      </c>
      <c r="E630" t="inlineStr">
        <is>
          <t>SALA</t>
        </is>
      </c>
      <c r="G630" t="n">
        <v>5.7</v>
      </c>
      <c r="H630" t="n">
        <v>0</v>
      </c>
      <c r="I630" t="n">
        <v>0</v>
      </c>
      <c r="J630" t="n">
        <v>0</v>
      </c>
      <c r="K630" t="n">
        <v>0</v>
      </c>
      <c r="L630" t="n">
        <v>0</v>
      </c>
      <c r="M630" t="n">
        <v>0</v>
      </c>
      <c r="N630" t="n">
        <v>0</v>
      </c>
      <c r="O630" t="n">
        <v>0</v>
      </c>
      <c r="P630" t="n">
        <v>0</v>
      </c>
      <c r="Q630" t="n">
        <v>0</v>
      </c>
      <c r="R630" s="2" t="inlineStr"/>
    </row>
    <row r="631" ht="15" customHeight="1">
      <c r="A631" t="inlineStr">
        <is>
          <t>A 15584-2021</t>
        </is>
      </c>
      <c r="B631" s="1" t="n">
        <v>44285</v>
      </c>
      <c r="C631" s="1" t="n">
        <v>46038</v>
      </c>
      <c r="D631" t="inlineStr">
        <is>
          <t>VÄSTMANLANDS LÄN</t>
        </is>
      </c>
      <c r="E631" t="inlineStr">
        <is>
          <t>SALA</t>
        </is>
      </c>
      <c r="G631" t="n">
        <v>3.4</v>
      </c>
      <c r="H631" t="n">
        <v>0</v>
      </c>
      <c r="I631" t="n">
        <v>0</v>
      </c>
      <c r="J631" t="n">
        <v>0</v>
      </c>
      <c r="K631" t="n">
        <v>0</v>
      </c>
      <c r="L631" t="n">
        <v>0</v>
      </c>
      <c r="M631" t="n">
        <v>0</v>
      </c>
      <c r="N631" t="n">
        <v>0</v>
      </c>
      <c r="O631" t="n">
        <v>0</v>
      </c>
      <c r="P631" t="n">
        <v>0</v>
      </c>
      <c r="Q631" t="n">
        <v>0</v>
      </c>
      <c r="R631" s="2" t="inlineStr"/>
    </row>
    <row r="632" ht="15" customHeight="1">
      <c r="A632" t="inlineStr">
        <is>
          <t>A 18340-2025</t>
        </is>
      </c>
      <c r="B632" s="1" t="n">
        <v>45762</v>
      </c>
      <c r="C632" s="1" t="n">
        <v>46038</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56706-2022</t>
        </is>
      </c>
      <c r="B633" s="1" t="n">
        <v>44893.78893518518</v>
      </c>
      <c r="C633" s="1" t="n">
        <v>46038</v>
      </c>
      <c r="D633" t="inlineStr">
        <is>
          <t>VÄSTMANLANDS LÄN</t>
        </is>
      </c>
      <c r="E633" t="inlineStr">
        <is>
          <t>SALA</t>
        </is>
      </c>
      <c r="G633" t="n">
        <v>4.5</v>
      </c>
      <c r="H633" t="n">
        <v>0</v>
      </c>
      <c r="I633" t="n">
        <v>0</v>
      </c>
      <c r="J633" t="n">
        <v>0</v>
      </c>
      <c r="K633" t="n">
        <v>0</v>
      </c>
      <c r="L633" t="n">
        <v>0</v>
      </c>
      <c r="M633" t="n">
        <v>0</v>
      </c>
      <c r="N633" t="n">
        <v>0</v>
      </c>
      <c r="O633" t="n">
        <v>0</v>
      </c>
      <c r="P633" t="n">
        <v>0</v>
      </c>
      <c r="Q633" t="n">
        <v>0</v>
      </c>
      <c r="R633" s="2" t="inlineStr"/>
    </row>
    <row r="634" ht="15" customHeight="1">
      <c r="A634" t="inlineStr">
        <is>
          <t>A 56707-2022</t>
        </is>
      </c>
      <c r="B634" s="1" t="n">
        <v>44893.79412037037</v>
      </c>
      <c r="C634" s="1" t="n">
        <v>46038</v>
      </c>
      <c r="D634" t="inlineStr">
        <is>
          <t>VÄSTMANLANDS LÄN</t>
        </is>
      </c>
      <c r="E634" t="inlineStr">
        <is>
          <t>SALA</t>
        </is>
      </c>
      <c r="G634" t="n">
        <v>1</v>
      </c>
      <c r="H634" t="n">
        <v>0</v>
      </c>
      <c r="I634" t="n">
        <v>0</v>
      </c>
      <c r="J634" t="n">
        <v>0</v>
      </c>
      <c r="K634" t="n">
        <v>0</v>
      </c>
      <c r="L634" t="n">
        <v>0</v>
      </c>
      <c r="M634" t="n">
        <v>0</v>
      </c>
      <c r="N634" t="n">
        <v>0</v>
      </c>
      <c r="O634" t="n">
        <v>0</v>
      </c>
      <c r="P634" t="n">
        <v>0</v>
      </c>
      <c r="Q634" t="n">
        <v>0</v>
      </c>
      <c r="R634" s="2" t="inlineStr"/>
    </row>
    <row r="635" ht="15" customHeight="1">
      <c r="A635" t="inlineStr">
        <is>
          <t>A 48571-2024</t>
        </is>
      </c>
      <c r="B635" s="1" t="n">
        <v>45591</v>
      </c>
      <c r="C635" s="1" t="n">
        <v>46038</v>
      </c>
      <c r="D635" t="inlineStr">
        <is>
          <t>VÄSTMANLANDS LÄN</t>
        </is>
      </c>
      <c r="E635" t="inlineStr">
        <is>
          <t>SALA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13188-2025</t>
        </is>
      </c>
      <c r="B636" s="1" t="n">
        <v>45735.39246527778</v>
      </c>
      <c r="C636" s="1" t="n">
        <v>46038</v>
      </c>
      <c r="D636" t="inlineStr">
        <is>
          <t>VÄSTMANLANDS LÄN</t>
        </is>
      </c>
      <c r="E636" t="inlineStr">
        <is>
          <t>SALA</t>
        </is>
      </c>
      <c r="F636" t="inlineStr">
        <is>
          <t>Naturvårdsverket</t>
        </is>
      </c>
      <c r="G636" t="n">
        <v>18.4</v>
      </c>
      <c r="H636" t="n">
        <v>0</v>
      </c>
      <c r="I636" t="n">
        <v>0</v>
      </c>
      <c r="J636" t="n">
        <v>0</v>
      </c>
      <c r="K636" t="n">
        <v>0</v>
      </c>
      <c r="L636" t="n">
        <v>0</v>
      </c>
      <c r="M636" t="n">
        <v>0</v>
      </c>
      <c r="N636" t="n">
        <v>0</v>
      </c>
      <c r="O636" t="n">
        <v>0</v>
      </c>
      <c r="P636" t="n">
        <v>0</v>
      </c>
      <c r="Q636" t="n">
        <v>0</v>
      </c>
      <c r="R636" s="2" t="inlineStr"/>
    </row>
    <row r="637" ht="15" customHeight="1">
      <c r="A637" t="inlineStr">
        <is>
          <t>A 23431-2024</t>
        </is>
      </c>
      <c r="B637" s="1" t="n">
        <v>45453</v>
      </c>
      <c r="C637" s="1" t="n">
        <v>46038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21168-2025</t>
        </is>
      </c>
      <c r="B638" s="1" t="n">
        <v>45777</v>
      </c>
      <c r="C638" s="1" t="n">
        <v>46038</v>
      </c>
      <c r="D638" t="inlineStr">
        <is>
          <t>VÄSTMANLANDS LÄN</t>
        </is>
      </c>
      <c r="E638" t="inlineStr">
        <is>
          <t>SALA</t>
        </is>
      </c>
      <c r="G638" t="n">
        <v>4.5</v>
      </c>
      <c r="H638" t="n">
        <v>0</v>
      </c>
      <c r="I638" t="n">
        <v>0</v>
      </c>
      <c r="J638" t="n">
        <v>0</v>
      </c>
      <c r="K638" t="n">
        <v>0</v>
      </c>
      <c r="L638" t="n">
        <v>0</v>
      </c>
      <c r="M638" t="n">
        <v>0</v>
      </c>
      <c r="N638" t="n">
        <v>0</v>
      </c>
      <c r="O638" t="n">
        <v>0</v>
      </c>
      <c r="P638" t="n">
        <v>0</v>
      </c>
      <c r="Q638" t="n">
        <v>0</v>
      </c>
      <c r="R638" s="2" t="inlineStr"/>
    </row>
    <row r="639" ht="15" customHeight="1">
      <c r="A639" t="inlineStr">
        <is>
          <t>A 21754-2025</t>
        </is>
      </c>
      <c r="B639" s="1" t="n">
        <v>45783.61837962963</v>
      </c>
      <c r="C639" s="1" t="n">
        <v>46038</v>
      </c>
      <c r="D639" t="inlineStr">
        <is>
          <t>VÄSTMANLANDS LÄN</t>
        </is>
      </c>
      <c r="E639" t="inlineStr">
        <is>
          <t>SALA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21751-2025</t>
        </is>
      </c>
      <c r="B640" s="1" t="n">
        <v>45783.61372685185</v>
      </c>
      <c r="C640" s="1" t="n">
        <v>46038</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37587-2024</t>
        </is>
      </c>
      <c r="B641" s="1" t="n">
        <v>45541</v>
      </c>
      <c r="C641" s="1" t="n">
        <v>46038</v>
      </c>
      <c r="D641" t="inlineStr">
        <is>
          <t>VÄSTMANLANDS LÄN</t>
        </is>
      </c>
      <c r="E641" t="inlineStr">
        <is>
          <t>SALA</t>
        </is>
      </c>
      <c r="G641" t="n">
        <v>1.2</v>
      </c>
      <c r="H641" t="n">
        <v>0</v>
      </c>
      <c r="I641" t="n">
        <v>0</v>
      </c>
      <c r="J641" t="n">
        <v>0</v>
      </c>
      <c r="K641" t="n">
        <v>0</v>
      </c>
      <c r="L641" t="n">
        <v>0</v>
      </c>
      <c r="M641" t="n">
        <v>0</v>
      </c>
      <c r="N641" t="n">
        <v>0</v>
      </c>
      <c r="O641" t="n">
        <v>0</v>
      </c>
      <c r="P641" t="n">
        <v>0</v>
      </c>
      <c r="Q641" t="n">
        <v>0</v>
      </c>
      <c r="R641" s="2" t="inlineStr"/>
    </row>
    <row r="642" ht="15" customHeight="1">
      <c r="A642" t="inlineStr">
        <is>
          <t>A 64724-2023</t>
        </is>
      </c>
      <c r="B642" s="1" t="n">
        <v>45281.7602662037</v>
      </c>
      <c r="C642" s="1" t="n">
        <v>46038</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46038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43600-2024</t>
        </is>
      </c>
      <c r="B644" s="1" t="n">
        <v>45569</v>
      </c>
      <c r="C644" s="1" t="n">
        <v>46038</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31405-2024</t>
        </is>
      </c>
      <c r="B645" s="1" t="n">
        <v>45505.5490625</v>
      </c>
      <c r="C645" s="1" t="n">
        <v>46038</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22616-2025</t>
        </is>
      </c>
      <c r="B646" s="1" t="n">
        <v>45789.42752314815</v>
      </c>
      <c r="C646" s="1" t="n">
        <v>46038</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22353-2025</t>
        </is>
      </c>
      <c r="B647" s="1" t="n">
        <v>45786</v>
      </c>
      <c r="C647" s="1" t="n">
        <v>46038</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22383-2025</t>
        </is>
      </c>
      <c r="B648" s="1" t="n">
        <v>45786</v>
      </c>
      <c r="C648" s="1" t="n">
        <v>46038</v>
      </c>
      <c r="D648" t="inlineStr">
        <is>
          <t>VÄSTMANLANDS LÄN</t>
        </is>
      </c>
      <c r="E648" t="inlineStr">
        <is>
          <t>SALA</t>
        </is>
      </c>
      <c r="G648" t="n">
        <v>2.2</v>
      </c>
      <c r="H648" t="n">
        <v>0</v>
      </c>
      <c r="I648" t="n">
        <v>0</v>
      </c>
      <c r="J648" t="n">
        <v>0</v>
      </c>
      <c r="K648" t="n">
        <v>0</v>
      </c>
      <c r="L648" t="n">
        <v>0</v>
      </c>
      <c r="M648" t="n">
        <v>0</v>
      </c>
      <c r="N648" t="n">
        <v>0</v>
      </c>
      <c r="O648" t="n">
        <v>0</v>
      </c>
      <c r="P648" t="n">
        <v>0</v>
      </c>
      <c r="Q648" t="n">
        <v>0</v>
      </c>
      <c r="R648" s="2" t="inlineStr"/>
    </row>
    <row r="649" ht="15" customHeight="1">
      <c r="A649" t="inlineStr">
        <is>
          <t>A 22624-2025</t>
        </is>
      </c>
      <c r="B649" s="1" t="n">
        <v>45789.43327546296</v>
      </c>
      <c r="C649" s="1" t="n">
        <v>46038</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22370-2025</t>
        </is>
      </c>
      <c r="B650" s="1" t="n">
        <v>45786</v>
      </c>
      <c r="C650" s="1" t="n">
        <v>46038</v>
      </c>
      <c r="D650" t="inlineStr">
        <is>
          <t>VÄSTMANLANDS LÄN</t>
        </is>
      </c>
      <c r="E650" t="inlineStr">
        <is>
          <t>SALA</t>
        </is>
      </c>
      <c r="G650" t="n">
        <v>3.2</v>
      </c>
      <c r="H650" t="n">
        <v>0</v>
      </c>
      <c r="I650" t="n">
        <v>0</v>
      </c>
      <c r="J650" t="n">
        <v>0</v>
      </c>
      <c r="K650" t="n">
        <v>0</v>
      </c>
      <c r="L650" t="n">
        <v>0</v>
      </c>
      <c r="M650" t="n">
        <v>0</v>
      </c>
      <c r="N650" t="n">
        <v>0</v>
      </c>
      <c r="O650" t="n">
        <v>0</v>
      </c>
      <c r="P650" t="n">
        <v>0</v>
      </c>
      <c r="Q650" t="n">
        <v>0</v>
      </c>
      <c r="R650" s="2" t="inlineStr"/>
    </row>
    <row r="651" ht="15" customHeight="1">
      <c r="A651" t="inlineStr">
        <is>
          <t>A 13130-2025</t>
        </is>
      </c>
      <c r="B651" s="1" t="n">
        <v>45734</v>
      </c>
      <c r="C651" s="1" t="n">
        <v>46038</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23804-2025</t>
        </is>
      </c>
      <c r="B652" s="1" t="n">
        <v>45793.55995370371</v>
      </c>
      <c r="C652" s="1" t="n">
        <v>46038</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22126-2025</t>
        </is>
      </c>
      <c r="B653" s="1" t="n">
        <v>45785</v>
      </c>
      <c r="C653" s="1" t="n">
        <v>46038</v>
      </c>
      <c r="D653" t="inlineStr">
        <is>
          <t>VÄSTMANLANDS LÄN</t>
        </is>
      </c>
      <c r="E653" t="inlineStr">
        <is>
          <t>SALA</t>
        </is>
      </c>
      <c r="G653" t="n">
        <v>10.6</v>
      </c>
      <c r="H653" t="n">
        <v>0</v>
      </c>
      <c r="I653" t="n">
        <v>0</v>
      </c>
      <c r="J653" t="n">
        <v>0</v>
      </c>
      <c r="K653" t="n">
        <v>0</v>
      </c>
      <c r="L653" t="n">
        <v>0</v>
      </c>
      <c r="M653" t="n">
        <v>0</v>
      </c>
      <c r="N653" t="n">
        <v>0</v>
      </c>
      <c r="O653" t="n">
        <v>0</v>
      </c>
      <c r="P653" t="n">
        <v>0</v>
      </c>
      <c r="Q653" t="n">
        <v>0</v>
      </c>
      <c r="R653" s="2" t="inlineStr"/>
    </row>
    <row r="654" ht="15" customHeight="1">
      <c r="A654" t="inlineStr">
        <is>
          <t>A 19297-2025</t>
        </is>
      </c>
      <c r="B654" s="1" t="n">
        <v>45769.56261574074</v>
      </c>
      <c r="C654" s="1" t="n">
        <v>46038</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23810-2025</t>
        </is>
      </c>
      <c r="B655" s="1" t="n">
        <v>45793.56989583333</v>
      </c>
      <c r="C655" s="1" t="n">
        <v>46038</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24169-2025</t>
        </is>
      </c>
      <c r="B656" s="1" t="n">
        <v>45796</v>
      </c>
      <c r="C656" s="1" t="n">
        <v>46038</v>
      </c>
      <c r="D656" t="inlineStr">
        <is>
          <t>VÄSTMANLANDS LÄN</t>
        </is>
      </c>
      <c r="E656" t="inlineStr">
        <is>
          <t>SALA</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11210-2025</t>
        </is>
      </c>
      <c r="B657" s="1" t="n">
        <v>45726</v>
      </c>
      <c r="C657" s="1" t="n">
        <v>46038</v>
      </c>
      <c r="D657" t="inlineStr">
        <is>
          <t>VÄSTMANLANDS LÄN</t>
        </is>
      </c>
      <c r="E657" t="inlineStr">
        <is>
          <t>SALA</t>
        </is>
      </c>
      <c r="G657" t="n">
        <v>4.1</v>
      </c>
      <c r="H657" t="n">
        <v>0</v>
      </c>
      <c r="I657" t="n">
        <v>0</v>
      </c>
      <c r="J657" t="n">
        <v>0</v>
      </c>
      <c r="K657" t="n">
        <v>0</v>
      </c>
      <c r="L657" t="n">
        <v>0</v>
      </c>
      <c r="M657" t="n">
        <v>0</v>
      </c>
      <c r="N657" t="n">
        <v>0</v>
      </c>
      <c r="O657" t="n">
        <v>0</v>
      </c>
      <c r="P657" t="n">
        <v>0</v>
      </c>
      <c r="Q657" t="n">
        <v>0</v>
      </c>
      <c r="R657" s="2" t="inlineStr"/>
    </row>
    <row r="658" ht="15" customHeight="1">
      <c r="A658" t="inlineStr">
        <is>
          <t>A 24944-2023</t>
        </is>
      </c>
      <c r="B658" s="1" t="n">
        <v>45085</v>
      </c>
      <c r="C658" s="1" t="n">
        <v>46038</v>
      </c>
      <c r="D658" t="inlineStr">
        <is>
          <t>VÄSTMANLANDS LÄN</t>
        </is>
      </c>
      <c r="E658" t="inlineStr">
        <is>
          <t>SALA</t>
        </is>
      </c>
      <c r="G658" t="n">
        <v>3.8</v>
      </c>
      <c r="H658" t="n">
        <v>0</v>
      </c>
      <c r="I658" t="n">
        <v>0</v>
      </c>
      <c r="J658" t="n">
        <v>0</v>
      </c>
      <c r="K658" t="n">
        <v>0</v>
      </c>
      <c r="L658" t="n">
        <v>0</v>
      </c>
      <c r="M658" t="n">
        <v>0</v>
      </c>
      <c r="N658" t="n">
        <v>0</v>
      </c>
      <c r="O658" t="n">
        <v>0</v>
      </c>
      <c r="P658" t="n">
        <v>0</v>
      </c>
      <c r="Q658" t="n">
        <v>0</v>
      </c>
      <c r="R658" s="2" t="inlineStr"/>
    </row>
    <row r="659" ht="15" customHeight="1">
      <c r="A659" t="inlineStr">
        <is>
          <t>A 24460-2025</t>
        </is>
      </c>
      <c r="B659" s="1" t="n">
        <v>45798</v>
      </c>
      <c r="C659" s="1" t="n">
        <v>46038</v>
      </c>
      <c r="D659" t="inlineStr">
        <is>
          <t>VÄSTMANLANDS LÄN</t>
        </is>
      </c>
      <c r="E659" t="inlineStr">
        <is>
          <t>SALA</t>
        </is>
      </c>
      <c r="F659" t="inlineStr">
        <is>
          <t>Bergvik skog öst AB</t>
        </is>
      </c>
      <c r="G659" t="n">
        <v>2.6</v>
      </c>
      <c r="H659" t="n">
        <v>0</v>
      </c>
      <c r="I659" t="n">
        <v>0</v>
      </c>
      <c r="J659" t="n">
        <v>0</v>
      </c>
      <c r="K659" t="n">
        <v>0</v>
      </c>
      <c r="L659" t="n">
        <v>0</v>
      </c>
      <c r="M659" t="n">
        <v>0</v>
      </c>
      <c r="N659" t="n">
        <v>0</v>
      </c>
      <c r="O659" t="n">
        <v>0</v>
      </c>
      <c r="P659" t="n">
        <v>0</v>
      </c>
      <c r="Q659" t="n">
        <v>0</v>
      </c>
      <c r="R659" s="2" t="inlineStr"/>
    </row>
    <row r="660" ht="15" customHeight="1">
      <c r="A660" t="inlineStr">
        <is>
          <t>A 24463-2025</t>
        </is>
      </c>
      <c r="B660" s="1" t="n">
        <v>45798</v>
      </c>
      <c r="C660" s="1" t="n">
        <v>46038</v>
      </c>
      <c r="D660" t="inlineStr">
        <is>
          <t>VÄSTMANLANDS LÄN</t>
        </is>
      </c>
      <c r="E660" t="inlineStr">
        <is>
          <t>SALA</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55065-2024</t>
        </is>
      </c>
      <c r="B661" s="1" t="n">
        <v>45618</v>
      </c>
      <c r="C661" s="1" t="n">
        <v>46038</v>
      </c>
      <c r="D661" t="inlineStr">
        <is>
          <t>VÄSTMANLANDS LÄN</t>
        </is>
      </c>
      <c r="E661" t="inlineStr">
        <is>
          <t>SALA</t>
        </is>
      </c>
      <c r="G661" t="n">
        <v>3.5</v>
      </c>
      <c r="H661" t="n">
        <v>0</v>
      </c>
      <c r="I661" t="n">
        <v>0</v>
      </c>
      <c r="J661" t="n">
        <v>0</v>
      </c>
      <c r="K661" t="n">
        <v>0</v>
      </c>
      <c r="L661" t="n">
        <v>0</v>
      </c>
      <c r="M661" t="n">
        <v>0</v>
      </c>
      <c r="N661" t="n">
        <v>0</v>
      </c>
      <c r="O661" t="n">
        <v>0</v>
      </c>
      <c r="P661" t="n">
        <v>0</v>
      </c>
      <c r="Q661" t="n">
        <v>0</v>
      </c>
      <c r="R661" s="2" t="inlineStr"/>
    </row>
    <row r="662" ht="15" customHeight="1">
      <c r="A662" t="inlineStr">
        <is>
          <t>A 24907-2025</t>
        </is>
      </c>
      <c r="B662" s="1" t="n">
        <v>45799</v>
      </c>
      <c r="C662" s="1" t="n">
        <v>46038</v>
      </c>
      <c r="D662" t="inlineStr">
        <is>
          <t>VÄSTMANLANDS LÄN</t>
        </is>
      </c>
      <c r="E662" t="inlineStr">
        <is>
          <t>SALA</t>
        </is>
      </c>
      <c r="G662" t="n">
        <v>3.5</v>
      </c>
      <c r="H662" t="n">
        <v>0</v>
      </c>
      <c r="I662" t="n">
        <v>0</v>
      </c>
      <c r="J662" t="n">
        <v>0</v>
      </c>
      <c r="K662" t="n">
        <v>0</v>
      </c>
      <c r="L662" t="n">
        <v>0</v>
      </c>
      <c r="M662" t="n">
        <v>0</v>
      </c>
      <c r="N662" t="n">
        <v>0</v>
      </c>
      <c r="O662" t="n">
        <v>0</v>
      </c>
      <c r="P662" t="n">
        <v>0</v>
      </c>
      <c r="Q662" t="n">
        <v>0</v>
      </c>
      <c r="R662" s="2" t="inlineStr"/>
    </row>
    <row r="663" ht="15" customHeight="1">
      <c r="A663" t="inlineStr">
        <is>
          <t>A 24910-2025</t>
        </is>
      </c>
      <c r="B663" s="1" t="n">
        <v>45799.53775462963</v>
      </c>
      <c r="C663" s="1" t="n">
        <v>46038</v>
      </c>
      <c r="D663" t="inlineStr">
        <is>
          <t>VÄSTMANLANDS LÄN</t>
        </is>
      </c>
      <c r="E663" t="inlineStr">
        <is>
          <t>SALA</t>
        </is>
      </c>
      <c r="G663" t="n">
        <v>3.5</v>
      </c>
      <c r="H663" t="n">
        <v>0</v>
      </c>
      <c r="I663" t="n">
        <v>0</v>
      </c>
      <c r="J663" t="n">
        <v>0</v>
      </c>
      <c r="K663" t="n">
        <v>0</v>
      </c>
      <c r="L663" t="n">
        <v>0</v>
      </c>
      <c r="M663" t="n">
        <v>0</v>
      </c>
      <c r="N663" t="n">
        <v>0</v>
      </c>
      <c r="O663" t="n">
        <v>0</v>
      </c>
      <c r="P663" t="n">
        <v>0</v>
      </c>
      <c r="Q663" t="n">
        <v>0</v>
      </c>
      <c r="R663" s="2" t="inlineStr"/>
    </row>
    <row r="664" ht="15" customHeight="1">
      <c r="A664" t="inlineStr">
        <is>
          <t>A 10909-2024</t>
        </is>
      </c>
      <c r="B664" s="1" t="n">
        <v>45370</v>
      </c>
      <c r="C664" s="1" t="n">
        <v>46038</v>
      </c>
      <c r="D664" t="inlineStr">
        <is>
          <t>VÄSTMANLANDS LÄN</t>
        </is>
      </c>
      <c r="E664" t="inlineStr">
        <is>
          <t>SALA</t>
        </is>
      </c>
      <c r="G664" t="n">
        <v>3.3</v>
      </c>
      <c r="H664" t="n">
        <v>0</v>
      </c>
      <c r="I664" t="n">
        <v>0</v>
      </c>
      <c r="J664" t="n">
        <v>0</v>
      </c>
      <c r="K664" t="n">
        <v>0</v>
      </c>
      <c r="L664" t="n">
        <v>0</v>
      </c>
      <c r="M664" t="n">
        <v>0</v>
      </c>
      <c r="N664" t="n">
        <v>0</v>
      </c>
      <c r="O664" t="n">
        <v>0</v>
      </c>
      <c r="P664" t="n">
        <v>0</v>
      </c>
      <c r="Q664" t="n">
        <v>0</v>
      </c>
      <c r="R664" s="2" t="inlineStr"/>
    </row>
    <row r="665" ht="15" customHeight="1">
      <c r="A665" t="inlineStr">
        <is>
          <t>A 26661-2025</t>
        </is>
      </c>
      <c r="B665" s="1" t="n">
        <v>45810</v>
      </c>
      <c r="C665" s="1" t="n">
        <v>46038</v>
      </c>
      <c r="D665" t="inlineStr">
        <is>
          <t>VÄSTMANLANDS LÄN</t>
        </is>
      </c>
      <c r="E665" t="inlineStr">
        <is>
          <t>SALA</t>
        </is>
      </c>
      <c r="G665" t="n">
        <v>3.5</v>
      </c>
      <c r="H665" t="n">
        <v>0</v>
      </c>
      <c r="I665" t="n">
        <v>0</v>
      </c>
      <c r="J665" t="n">
        <v>0</v>
      </c>
      <c r="K665" t="n">
        <v>0</v>
      </c>
      <c r="L665" t="n">
        <v>0</v>
      </c>
      <c r="M665" t="n">
        <v>0</v>
      </c>
      <c r="N665" t="n">
        <v>0</v>
      </c>
      <c r="O665" t="n">
        <v>0</v>
      </c>
      <c r="P665" t="n">
        <v>0</v>
      </c>
      <c r="Q665" t="n">
        <v>0</v>
      </c>
      <c r="R665" s="2" t="inlineStr"/>
    </row>
    <row r="666" ht="15" customHeight="1">
      <c r="A666" t="inlineStr">
        <is>
          <t>A 27989-2025</t>
        </is>
      </c>
      <c r="B666" s="1" t="n">
        <v>45817.58716435185</v>
      </c>
      <c r="C666" s="1" t="n">
        <v>46038</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27981-2025</t>
        </is>
      </c>
      <c r="B667" s="1" t="n">
        <v>45817.57471064815</v>
      </c>
      <c r="C667" s="1" t="n">
        <v>46038</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28193-2025</t>
        </is>
      </c>
      <c r="B668" s="1" t="n">
        <v>45818.425625</v>
      </c>
      <c r="C668" s="1" t="n">
        <v>46038</v>
      </c>
      <c r="D668" t="inlineStr">
        <is>
          <t>VÄSTMANLANDS LÄN</t>
        </is>
      </c>
      <c r="E668" t="inlineStr">
        <is>
          <t>SALA</t>
        </is>
      </c>
      <c r="G668" t="n">
        <v>1.8</v>
      </c>
      <c r="H668" t="n">
        <v>0</v>
      </c>
      <c r="I668" t="n">
        <v>0</v>
      </c>
      <c r="J668" t="n">
        <v>0</v>
      </c>
      <c r="K668" t="n">
        <v>0</v>
      </c>
      <c r="L668" t="n">
        <v>0</v>
      </c>
      <c r="M668" t="n">
        <v>0</v>
      </c>
      <c r="N668" t="n">
        <v>0</v>
      </c>
      <c r="O668" t="n">
        <v>0</v>
      </c>
      <c r="P668" t="n">
        <v>0</v>
      </c>
      <c r="Q668" t="n">
        <v>0</v>
      </c>
      <c r="R668" s="2" t="inlineStr"/>
    </row>
    <row r="669" ht="15" customHeight="1">
      <c r="A669" t="inlineStr">
        <is>
          <t>A 28284-2025</t>
        </is>
      </c>
      <c r="B669" s="1" t="n">
        <v>45818.58893518519</v>
      </c>
      <c r="C669" s="1" t="n">
        <v>46038</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28278-2025</t>
        </is>
      </c>
      <c r="B670" s="1" t="n">
        <v>45818.58454861111</v>
      </c>
      <c r="C670" s="1" t="n">
        <v>46038</v>
      </c>
      <c r="D670" t="inlineStr">
        <is>
          <t>VÄSTMANLANDS LÄN</t>
        </is>
      </c>
      <c r="E670" t="inlineStr">
        <is>
          <t>SALA</t>
        </is>
      </c>
      <c r="G670" t="n">
        <v>7.6</v>
      </c>
      <c r="H670" t="n">
        <v>0</v>
      </c>
      <c r="I670" t="n">
        <v>0</v>
      </c>
      <c r="J670" t="n">
        <v>0</v>
      </c>
      <c r="K670" t="n">
        <v>0</v>
      </c>
      <c r="L670" t="n">
        <v>0</v>
      </c>
      <c r="M670" t="n">
        <v>0</v>
      </c>
      <c r="N670" t="n">
        <v>0</v>
      </c>
      <c r="O670" t="n">
        <v>0</v>
      </c>
      <c r="P670" t="n">
        <v>0</v>
      </c>
      <c r="Q670" t="n">
        <v>0</v>
      </c>
      <c r="R670" s="2" t="inlineStr"/>
    </row>
    <row r="671" ht="15" customHeight="1">
      <c r="A671" t="inlineStr">
        <is>
          <t>A 28628-2025</t>
        </is>
      </c>
      <c r="B671" s="1" t="n">
        <v>45819.62158564815</v>
      </c>
      <c r="C671" s="1" t="n">
        <v>46038</v>
      </c>
      <c r="D671" t="inlineStr">
        <is>
          <t>VÄSTMANLANDS LÄN</t>
        </is>
      </c>
      <c r="E671" t="inlineStr">
        <is>
          <t>SALA</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28632-2025</t>
        </is>
      </c>
      <c r="B672" s="1" t="n">
        <v>45819.62344907408</v>
      </c>
      <c r="C672" s="1" t="n">
        <v>46038</v>
      </c>
      <c r="D672" t="inlineStr">
        <is>
          <t>VÄSTMANLANDS LÄN</t>
        </is>
      </c>
      <c r="E672" t="inlineStr">
        <is>
          <t>SALA</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28630-2025</t>
        </is>
      </c>
      <c r="B673" s="1" t="n">
        <v>45819.62274305556</v>
      </c>
      <c r="C673" s="1" t="n">
        <v>46038</v>
      </c>
      <c r="D673" t="inlineStr">
        <is>
          <t>VÄSTMANLANDS LÄN</t>
        </is>
      </c>
      <c r="E673" t="inlineStr">
        <is>
          <t>SALA</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28837-2025</t>
        </is>
      </c>
      <c r="B674" s="1" t="n">
        <v>45820.56243055555</v>
      </c>
      <c r="C674" s="1" t="n">
        <v>46038</v>
      </c>
      <c r="D674" t="inlineStr">
        <is>
          <t>VÄSTMANLANDS LÄN</t>
        </is>
      </c>
      <c r="E674" t="inlineStr">
        <is>
          <t>SALA</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28849-2025</t>
        </is>
      </c>
      <c r="B675" s="1" t="n">
        <v>45820</v>
      </c>
      <c r="C675" s="1" t="n">
        <v>46038</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29085-2025</t>
        </is>
      </c>
      <c r="B676" s="1" t="n">
        <v>45821</v>
      </c>
      <c r="C676" s="1" t="n">
        <v>46038</v>
      </c>
      <c r="D676" t="inlineStr">
        <is>
          <t>VÄSTMANLANDS LÄN</t>
        </is>
      </c>
      <c r="E676" t="inlineStr">
        <is>
          <t>SALA</t>
        </is>
      </c>
      <c r="G676" t="n">
        <v>3.5</v>
      </c>
      <c r="H676" t="n">
        <v>0</v>
      </c>
      <c r="I676" t="n">
        <v>0</v>
      </c>
      <c r="J676" t="n">
        <v>0</v>
      </c>
      <c r="K676" t="n">
        <v>0</v>
      </c>
      <c r="L676" t="n">
        <v>0</v>
      </c>
      <c r="M676" t="n">
        <v>0</v>
      </c>
      <c r="N676" t="n">
        <v>0</v>
      </c>
      <c r="O676" t="n">
        <v>0</v>
      </c>
      <c r="P676" t="n">
        <v>0</v>
      </c>
      <c r="Q676" t="n">
        <v>0</v>
      </c>
      <c r="R676" s="2" t="inlineStr"/>
    </row>
    <row r="677" ht="15" customHeight="1">
      <c r="A677" t="inlineStr">
        <is>
          <t>A 29691-2025</t>
        </is>
      </c>
      <c r="B677" s="1" t="n">
        <v>45825.53645833334</v>
      </c>
      <c r="C677" s="1" t="n">
        <v>46038</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60541-2024</t>
        </is>
      </c>
      <c r="B678" s="1" t="n">
        <v>45643</v>
      </c>
      <c r="C678" s="1" t="n">
        <v>46038</v>
      </c>
      <c r="D678" t="inlineStr">
        <is>
          <t>VÄSTMANLANDS LÄN</t>
        </is>
      </c>
      <c r="E678" t="inlineStr">
        <is>
          <t>SALA</t>
        </is>
      </c>
      <c r="G678" t="n">
        <v>10.6</v>
      </c>
      <c r="H678" t="n">
        <v>0</v>
      </c>
      <c r="I678" t="n">
        <v>0</v>
      </c>
      <c r="J678" t="n">
        <v>0</v>
      </c>
      <c r="K678" t="n">
        <v>0</v>
      </c>
      <c r="L678" t="n">
        <v>0</v>
      </c>
      <c r="M678" t="n">
        <v>0</v>
      </c>
      <c r="N678" t="n">
        <v>0</v>
      </c>
      <c r="O678" t="n">
        <v>0</v>
      </c>
      <c r="P678" t="n">
        <v>0</v>
      </c>
      <c r="Q678" t="n">
        <v>0</v>
      </c>
      <c r="R678" s="2" t="inlineStr"/>
    </row>
    <row r="679" ht="15" customHeight="1">
      <c r="A679" t="inlineStr">
        <is>
          <t>A 29826-2025</t>
        </is>
      </c>
      <c r="B679" s="1" t="n">
        <v>45825.85761574074</v>
      </c>
      <c r="C679" s="1" t="n">
        <v>46038</v>
      </c>
      <c r="D679" t="inlineStr">
        <is>
          <t>VÄSTMANLANDS LÄN</t>
        </is>
      </c>
      <c r="E679" t="inlineStr">
        <is>
          <t>SALA</t>
        </is>
      </c>
      <c r="G679" t="n">
        <v>1.9</v>
      </c>
      <c r="H679" t="n">
        <v>0</v>
      </c>
      <c r="I679" t="n">
        <v>0</v>
      </c>
      <c r="J679" t="n">
        <v>0</v>
      </c>
      <c r="K679" t="n">
        <v>0</v>
      </c>
      <c r="L679" t="n">
        <v>0</v>
      </c>
      <c r="M679" t="n">
        <v>0</v>
      </c>
      <c r="N679" t="n">
        <v>0</v>
      </c>
      <c r="O679" t="n">
        <v>0</v>
      </c>
      <c r="P679" t="n">
        <v>0</v>
      </c>
      <c r="Q679" t="n">
        <v>0</v>
      </c>
      <c r="R679" s="2" t="inlineStr"/>
    </row>
    <row r="680" ht="15" customHeight="1">
      <c r="A680" t="inlineStr">
        <is>
          <t>A 31608-2025</t>
        </is>
      </c>
      <c r="B680" s="1" t="n">
        <v>45833</v>
      </c>
      <c r="C680" s="1" t="n">
        <v>46038</v>
      </c>
      <c r="D680" t="inlineStr">
        <is>
          <t>VÄSTMANLANDS LÄN</t>
        </is>
      </c>
      <c r="E680" t="inlineStr">
        <is>
          <t>SALA</t>
        </is>
      </c>
      <c r="G680" t="n">
        <v>6.1</v>
      </c>
      <c r="H680" t="n">
        <v>0</v>
      </c>
      <c r="I680" t="n">
        <v>0</v>
      </c>
      <c r="J680" t="n">
        <v>0</v>
      </c>
      <c r="K680" t="n">
        <v>0</v>
      </c>
      <c r="L680" t="n">
        <v>0</v>
      </c>
      <c r="M680" t="n">
        <v>0</v>
      </c>
      <c r="N680" t="n">
        <v>0</v>
      </c>
      <c r="O680" t="n">
        <v>0</v>
      </c>
      <c r="P680" t="n">
        <v>0</v>
      </c>
      <c r="Q680" t="n">
        <v>0</v>
      </c>
      <c r="R680" s="2" t="inlineStr"/>
    </row>
    <row r="681" ht="15" customHeight="1">
      <c r="A681" t="inlineStr">
        <is>
          <t>A 30866-2025</t>
        </is>
      </c>
      <c r="B681" s="1" t="n">
        <v>45832.3246875</v>
      </c>
      <c r="C681" s="1" t="n">
        <v>46038</v>
      </c>
      <c r="D681" t="inlineStr">
        <is>
          <t>VÄSTMANLANDS LÄN</t>
        </is>
      </c>
      <c r="E681" t="inlineStr">
        <is>
          <t>SALA</t>
        </is>
      </c>
      <c r="G681" t="n">
        <v>14.3</v>
      </c>
      <c r="H681" t="n">
        <v>0</v>
      </c>
      <c r="I681" t="n">
        <v>0</v>
      </c>
      <c r="J681" t="n">
        <v>0</v>
      </c>
      <c r="K681" t="n">
        <v>0</v>
      </c>
      <c r="L681" t="n">
        <v>0</v>
      </c>
      <c r="M681" t="n">
        <v>0</v>
      </c>
      <c r="N681" t="n">
        <v>0</v>
      </c>
      <c r="O681" t="n">
        <v>0</v>
      </c>
      <c r="P681" t="n">
        <v>0</v>
      </c>
      <c r="Q681" t="n">
        <v>0</v>
      </c>
      <c r="R681" s="2" t="inlineStr"/>
    </row>
    <row r="682" ht="15" customHeight="1">
      <c r="A682" t="inlineStr">
        <is>
          <t>A 30874-2025</t>
        </is>
      </c>
      <c r="B682" s="1" t="n">
        <v>45832.34430555555</v>
      </c>
      <c r="C682" s="1" t="n">
        <v>46038</v>
      </c>
      <c r="D682" t="inlineStr">
        <is>
          <t>VÄSTMANLANDS LÄN</t>
        </is>
      </c>
      <c r="E682" t="inlineStr">
        <is>
          <t>SALA</t>
        </is>
      </c>
      <c r="G682" t="n">
        <v>8.4</v>
      </c>
      <c r="H682" t="n">
        <v>0</v>
      </c>
      <c r="I682" t="n">
        <v>0</v>
      </c>
      <c r="J682" t="n">
        <v>0</v>
      </c>
      <c r="K682" t="n">
        <v>0</v>
      </c>
      <c r="L682" t="n">
        <v>0</v>
      </c>
      <c r="M682" t="n">
        <v>0</v>
      </c>
      <c r="N682" t="n">
        <v>0</v>
      </c>
      <c r="O682" t="n">
        <v>0</v>
      </c>
      <c r="P682" t="n">
        <v>0</v>
      </c>
      <c r="Q682" t="n">
        <v>0</v>
      </c>
      <c r="R682" s="2" t="inlineStr"/>
    </row>
    <row r="683" ht="15" customHeight="1">
      <c r="A683" t="inlineStr">
        <is>
          <t>A 31573-2025</t>
        </is>
      </c>
      <c r="B683" s="1" t="n">
        <v>45833</v>
      </c>
      <c r="C683" s="1" t="n">
        <v>46038</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31288-2025</t>
        </is>
      </c>
      <c r="B684" s="1" t="n">
        <v>45833</v>
      </c>
      <c r="C684" s="1" t="n">
        <v>46038</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31554-2025</t>
        </is>
      </c>
      <c r="B685" s="1" t="n">
        <v>45833</v>
      </c>
      <c r="C685" s="1" t="n">
        <v>46038</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30899-2025</t>
        </is>
      </c>
      <c r="B686" s="1" t="n">
        <v>45832.35767361111</v>
      </c>
      <c r="C686" s="1" t="n">
        <v>46038</v>
      </c>
      <c r="D686" t="inlineStr">
        <is>
          <t>VÄSTMANLANDS LÄN</t>
        </is>
      </c>
      <c r="E686" t="inlineStr">
        <is>
          <t>SALA</t>
        </is>
      </c>
      <c r="G686" t="n">
        <v>3.1</v>
      </c>
      <c r="H686" t="n">
        <v>0</v>
      </c>
      <c r="I686" t="n">
        <v>0</v>
      </c>
      <c r="J686" t="n">
        <v>0</v>
      </c>
      <c r="K686" t="n">
        <v>0</v>
      </c>
      <c r="L686" t="n">
        <v>0</v>
      </c>
      <c r="M686" t="n">
        <v>0</v>
      </c>
      <c r="N686" t="n">
        <v>0</v>
      </c>
      <c r="O686" t="n">
        <v>0</v>
      </c>
      <c r="P686" t="n">
        <v>0</v>
      </c>
      <c r="Q686" t="n">
        <v>0</v>
      </c>
      <c r="R686" s="2" t="inlineStr"/>
    </row>
    <row r="687" ht="15" customHeight="1">
      <c r="A687" t="inlineStr">
        <is>
          <t>A 31065-2025</t>
        </is>
      </c>
      <c r="B687" s="1" t="n">
        <v>45832.57571759259</v>
      </c>
      <c r="C687" s="1" t="n">
        <v>46038</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31296-2025</t>
        </is>
      </c>
      <c r="B688" s="1" t="n">
        <v>45833.36765046296</v>
      </c>
      <c r="C688" s="1" t="n">
        <v>46038</v>
      </c>
      <c r="D688" t="inlineStr">
        <is>
          <t>VÄSTMANLANDS LÄN</t>
        </is>
      </c>
      <c r="E688" t="inlineStr">
        <is>
          <t>SALA</t>
        </is>
      </c>
      <c r="G688" t="n">
        <v>3.7</v>
      </c>
      <c r="H688" t="n">
        <v>0</v>
      </c>
      <c r="I688" t="n">
        <v>0</v>
      </c>
      <c r="J688" t="n">
        <v>0</v>
      </c>
      <c r="K688" t="n">
        <v>0</v>
      </c>
      <c r="L688" t="n">
        <v>0</v>
      </c>
      <c r="M688" t="n">
        <v>0</v>
      </c>
      <c r="N688" t="n">
        <v>0</v>
      </c>
      <c r="O688" t="n">
        <v>0</v>
      </c>
      <c r="P688" t="n">
        <v>0</v>
      </c>
      <c r="Q688" t="n">
        <v>0</v>
      </c>
      <c r="R688" s="2" t="inlineStr"/>
    </row>
    <row r="689" ht="15" customHeight="1">
      <c r="A689" t="inlineStr">
        <is>
          <t>A 31748-2025</t>
        </is>
      </c>
      <c r="B689" s="1" t="n">
        <v>45834</v>
      </c>
      <c r="C689" s="1" t="n">
        <v>46038</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32210-2025</t>
        </is>
      </c>
      <c r="B690" s="1" t="n">
        <v>45835</v>
      </c>
      <c r="C690" s="1" t="n">
        <v>46038</v>
      </c>
      <c r="D690" t="inlineStr">
        <is>
          <t>VÄSTMANLANDS LÄN</t>
        </is>
      </c>
      <c r="E690" t="inlineStr">
        <is>
          <t>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31610-2025</t>
        </is>
      </c>
      <c r="B691" s="1" t="n">
        <v>45833.78650462963</v>
      </c>
      <c r="C691" s="1" t="n">
        <v>46038</v>
      </c>
      <c r="D691" t="inlineStr">
        <is>
          <t>VÄSTMANLANDS LÄN</t>
        </is>
      </c>
      <c r="E691" t="inlineStr">
        <is>
          <t>SALA</t>
        </is>
      </c>
      <c r="G691" t="n">
        <v>8</v>
      </c>
      <c r="H691" t="n">
        <v>0</v>
      </c>
      <c r="I691" t="n">
        <v>0</v>
      </c>
      <c r="J691" t="n">
        <v>0</v>
      </c>
      <c r="K691" t="n">
        <v>0</v>
      </c>
      <c r="L691" t="n">
        <v>0</v>
      </c>
      <c r="M691" t="n">
        <v>0</v>
      </c>
      <c r="N691" t="n">
        <v>0</v>
      </c>
      <c r="O691" t="n">
        <v>0</v>
      </c>
      <c r="P691" t="n">
        <v>0</v>
      </c>
      <c r="Q691" t="n">
        <v>0</v>
      </c>
      <c r="R691" s="2" t="inlineStr"/>
    </row>
    <row r="692" ht="15" customHeight="1">
      <c r="A692" t="inlineStr">
        <is>
          <t>A 32201-2025</t>
        </is>
      </c>
      <c r="B692" s="1" t="n">
        <v>45835</v>
      </c>
      <c r="C692" s="1" t="n">
        <v>46038</v>
      </c>
      <c r="D692" t="inlineStr">
        <is>
          <t>VÄSTMANLANDS LÄN</t>
        </is>
      </c>
      <c r="E692" t="inlineStr">
        <is>
          <t>SALA</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31612-2025</t>
        </is>
      </c>
      <c r="B693" s="1" t="n">
        <v>45833.80056712963</v>
      </c>
      <c r="C693" s="1" t="n">
        <v>46038</v>
      </c>
      <c r="D693" t="inlineStr">
        <is>
          <t>VÄSTMANLANDS LÄN</t>
        </is>
      </c>
      <c r="E693" t="inlineStr">
        <is>
          <t>SALA</t>
        </is>
      </c>
      <c r="G693" t="n">
        <v>6.3</v>
      </c>
      <c r="H693" t="n">
        <v>0</v>
      </c>
      <c r="I693" t="n">
        <v>0</v>
      </c>
      <c r="J693" t="n">
        <v>0</v>
      </c>
      <c r="K693" t="n">
        <v>0</v>
      </c>
      <c r="L693" t="n">
        <v>0</v>
      </c>
      <c r="M693" t="n">
        <v>0</v>
      </c>
      <c r="N693" t="n">
        <v>0</v>
      </c>
      <c r="O693" t="n">
        <v>0</v>
      </c>
      <c r="P693" t="n">
        <v>0</v>
      </c>
      <c r="Q693" t="n">
        <v>0</v>
      </c>
      <c r="R693" s="2" t="inlineStr"/>
    </row>
    <row r="694" ht="15" customHeight="1">
      <c r="A694" t="inlineStr">
        <is>
          <t>A 32207-2025</t>
        </is>
      </c>
      <c r="B694" s="1" t="n">
        <v>45835</v>
      </c>
      <c r="C694" s="1" t="n">
        <v>46038</v>
      </c>
      <c r="D694" t="inlineStr">
        <is>
          <t>VÄSTMANLANDS LÄN</t>
        </is>
      </c>
      <c r="E694" t="inlineStr">
        <is>
          <t>SALA</t>
        </is>
      </c>
      <c r="F694" t="inlineStr">
        <is>
          <t>Bergvik skog öst AB</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31762-2025</t>
        </is>
      </c>
      <c r="B695" s="1" t="n">
        <v>45834.49288194445</v>
      </c>
      <c r="C695" s="1" t="n">
        <v>46038</v>
      </c>
      <c r="D695" t="inlineStr">
        <is>
          <t>VÄSTMANLANDS LÄN</t>
        </is>
      </c>
      <c r="E695" t="inlineStr">
        <is>
          <t>SALA</t>
        </is>
      </c>
      <c r="G695" t="n">
        <v>5.9</v>
      </c>
      <c r="H695" t="n">
        <v>0</v>
      </c>
      <c r="I695" t="n">
        <v>0</v>
      </c>
      <c r="J695" t="n">
        <v>0</v>
      </c>
      <c r="K695" t="n">
        <v>0</v>
      </c>
      <c r="L695" t="n">
        <v>0</v>
      </c>
      <c r="M695" t="n">
        <v>0</v>
      </c>
      <c r="N695" t="n">
        <v>0</v>
      </c>
      <c r="O695" t="n">
        <v>0</v>
      </c>
      <c r="P695" t="n">
        <v>0</v>
      </c>
      <c r="Q695" t="n">
        <v>0</v>
      </c>
      <c r="R695" s="2" t="inlineStr"/>
    </row>
    <row r="696" ht="15" customHeight="1">
      <c r="A696" t="inlineStr">
        <is>
          <t>A 31771-2025</t>
        </is>
      </c>
      <c r="B696" s="1" t="n">
        <v>45834.50910879629</v>
      </c>
      <c r="C696" s="1" t="n">
        <v>46038</v>
      </c>
      <c r="D696" t="inlineStr">
        <is>
          <t>VÄSTMANLANDS LÄN</t>
        </is>
      </c>
      <c r="E696" t="inlineStr">
        <is>
          <t>SALA</t>
        </is>
      </c>
      <c r="G696" t="n">
        <v>5.1</v>
      </c>
      <c r="H696" t="n">
        <v>0</v>
      </c>
      <c r="I696" t="n">
        <v>0</v>
      </c>
      <c r="J696" t="n">
        <v>0</v>
      </c>
      <c r="K696" t="n">
        <v>0</v>
      </c>
      <c r="L696" t="n">
        <v>0</v>
      </c>
      <c r="M696" t="n">
        <v>0</v>
      </c>
      <c r="N696" t="n">
        <v>0</v>
      </c>
      <c r="O696" t="n">
        <v>0</v>
      </c>
      <c r="P696" t="n">
        <v>0</v>
      </c>
      <c r="Q696" t="n">
        <v>0</v>
      </c>
      <c r="R696" s="2" t="inlineStr"/>
    </row>
    <row r="697" ht="15" customHeight="1">
      <c r="A697" t="inlineStr">
        <is>
          <t>A 32205-2025</t>
        </is>
      </c>
      <c r="B697" s="1" t="n">
        <v>45835</v>
      </c>
      <c r="C697" s="1" t="n">
        <v>46038</v>
      </c>
      <c r="D697" t="inlineStr">
        <is>
          <t>VÄSTMANLANDS LÄN</t>
        </is>
      </c>
      <c r="E697" t="inlineStr">
        <is>
          <t>SALA</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32286-2025</t>
        </is>
      </c>
      <c r="B698" s="1" t="n">
        <v>45835</v>
      </c>
      <c r="C698" s="1" t="n">
        <v>46038</v>
      </c>
      <c r="D698" t="inlineStr">
        <is>
          <t>VÄSTMANLANDS LÄN</t>
        </is>
      </c>
      <c r="E698" t="inlineStr">
        <is>
          <t>SALA</t>
        </is>
      </c>
      <c r="G698" t="n">
        <v>6.4</v>
      </c>
      <c r="H698" t="n">
        <v>0</v>
      </c>
      <c r="I698" t="n">
        <v>0</v>
      </c>
      <c r="J698" t="n">
        <v>0</v>
      </c>
      <c r="K698" t="n">
        <v>0</v>
      </c>
      <c r="L698" t="n">
        <v>0</v>
      </c>
      <c r="M698" t="n">
        <v>0</v>
      </c>
      <c r="N698" t="n">
        <v>0</v>
      </c>
      <c r="O698" t="n">
        <v>0</v>
      </c>
      <c r="P698" t="n">
        <v>0</v>
      </c>
      <c r="Q698" t="n">
        <v>0</v>
      </c>
      <c r="R698" s="2" t="inlineStr"/>
    </row>
    <row r="699" ht="15" customHeight="1">
      <c r="A699" t="inlineStr">
        <is>
          <t>A 32902-2025</t>
        </is>
      </c>
      <c r="B699" s="1" t="n">
        <v>45839</v>
      </c>
      <c r="C699" s="1" t="n">
        <v>46038</v>
      </c>
      <c r="D699" t="inlineStr">
        <is>
          <t>VÄSTMANLANDS LÄN</t>
        </is>
      </c>
      <c r="E699" t="inlineStr">
        <is>
          <t>SALA</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34069-2025</t>
        </is>
      </c>
      <c r="B700" s="1" t="n">
        <v>45845.43560185185</v>
      </c>
      <c r="C700" s="1" t="n">
        <v>46038</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c r="U700">
        <f>HYPERLINK("https://klasma.github.io/Logging_1981/knärot/A 34069-2025 karta knärot.png", "A 34069-2025")</f>
        <v/>
      </c>
      <c r="V700">
        <f>HYPERLINK("https://klasma.github.io/Logging_1981/klagomål/A 34069-2025 FSC-klagomål.docx", "A 34069-2025")</f>
        <v/>
      </c>
      <c r="W700">
        <f>HYPERLINK("https://klasma.github.io/Logging_1981/klagomålsmail/A 34069-2025 FSC-klagomål mail.docx", "A 34069-2025")</f>
        <v/>
      </c>
      <c r="X700">
        <f>HYPERLINK("https://klasma.github.io/Logging_1981/tillsyn/A 34069-2025 tillsynsbegäran.docx", "A 34069-2025")</f>
        <v/>
      </c>
      <c r="Y700">
        <f>HYPERLINK("https://klasma.github.io/Logging_1981/tillsynsmail/A 34069-2025 tillsynsbegäran mail.docx", "A 34069-2025")</f>
        <v/>
      </c>
    </row>
    <row r="701" ht="15" customHeight="1">
      <c r="A701" t="inlineStr">
        <is>
          <t>A 15744-2025</t>
        </is>
      </c>
      <c r="B701" s="1" t="n">
        <v>45748</v>
      </c>
      <c r="C701" s="1" t="n">
        <v>46038</v>
      </c>
      <c r="D701" t="inlineStr">
        <is>
          <t>VÄSTMANLANDS LÄN</t>
        </is>
      </c>
      <c r="E701" t="inlineStr">
        <is>
          <t>SALA</t>
        </is>
      </c>
      <c r="G701" t="n">
        <v>1.6</v>
      </c>
      <c r="H701" t="n">
        <v>0</v>
      </c>
      <c r="I701" t="n">
        <v>0</v>
      </c>
      <c r="J701" t="n">
        <v>0</v>
      </c>
      <c r="K701" t="n">
        <v>0</v>
      </c>
      <c r="L701" t="n">
        <v>0</v>
      </c>
      <c r="M701" t="n">
        <v>0</v>
      </c>
      <c r="N701" t="n">
        <v>0</v>
      </c>
      <c r="O701" t="n">
        <v>0</v>
      </c>
      <c r="P701" t="n">
        <v>0</v>
      </c>
      <c r="Q701" t="n">
        <v>0</v>
      </c>
      <c r="R701" s="2" t="inlineStr"/>
    </row>
    <row r="702" ht="15" customHeight="1">
      <c r="A702" t="inlineStr">
        <is>
          <t>A 35775-2025</t>
        </is>
      </c>
      <c r="B702" s="1" t="n">
        <v>45860</v>
      </c>
      <c r="C702" s="1" t="n">
        <v>46038</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35779-2025</t>
        </is>
      </c>
      <c r="B703" s="1" t="n">
        <v>45860.69495370371</v>
      </c>
      <c r="C703" s="1" t="n">
        <v>46038</v>
      </c>
      <c r="D703" t="inlineStr">
        <is>
          <t>VÄSTMANLANDS LÄN</t>
        </is>
      </c>
      <c r="E703" t="inlineStr">
        <is>
          <t>SALA</t>
        </is>
      </c>
      <c r="G703" t="n">
        <v>2.4</v>
      </c>
      <c r="H703" t="n">
        <v>0</v>
      </c>
      <c r="I703" t="n">
        <v>0</v>
      </c>
      <c r="J703" t="n">
        <v>0</v>
      </c>
      <c r="K703" t="n">
        <v>0</v>
      </c>
      <c r="L703" t="n">
        <v>0</v>
      </c>
      <c r="M703" t="n">
        <v>0</v>
      </c>
      <c r="N703" t="n">
        <v>0</v>
      </c>
      <c r="O703" t="n">
        <v>0</v>
      </c>
      <c r="P703" t="n">
        <v>0</v>
      </c>
      <c r="Q703" t="n">
        <v>0</v>
      </c>
      <c r="R703" s="2" t="inlineStr"/>
    </row>
    <row r="704" ht="15" customHeight="1">
      <c r="A704" t="inlineStr">
        <is>
          <t>A 35776-2025</t>
        </is>
      </c>
      <c r="B704" s="1" t="n">
        <v>45860.69211805556</v>
      </c>
      <c r="C704" s="1" t="n">
        <v>46038</v>
      </c>
      <c r="D704" t="inlineStr">
        <is>
          <t>VÄSTMANLANDS LÄN</t>
        </is>
      </c>
      <c r="E704" t="inlineStr">
        <is>
          <t>SALA</t>
        </is>
      </c>
      <c r="G704" t="n">
        <v>14.2</v>
      </c>
      <c r="H704" t="n">
        <v>0</v>
      </c>
      <c r="I704" t="n">
        <v>0</v>
      </c>
      <c r="J704" t="n">
        <v>0</v>
      </c>
      <c r="K704" t="n">
        <v>0</v>
      </c>
      <c r="L704" t="n">
        <v>0</v>
      </c>
      <c r="M704" t="n">
        <v>0</v>
      </c>
      <c r="N704" t="n">
        <v>0</v>
      </c>
      <c r="O704" t="n">
        <v>0</v>
      </c>
      <c r="P704" t="n">
        <v>0</v>
      </c>
      <c r="Q704" t="n">
        <v>0</v>
      </c>
      <c r="R704" s="2" t="inlineStr"/>
    </row>
    <row r="705" ht="15" customHeight="1">
      <c r="A705" t="inlineStr">
        <is>
          <t>A 35715-2025</t>
        </is>
      </c>
      <c r="B705" s="1" t="n">
        <v>45860.42148148148</v>
      </c>
      <c r="C705" s="1" t="n">
        <v>46038</v>
      </c>
      <c r="D705" t="inlineStr">
        <is>
          <t>VÄSTMANLANDS LÄN</t>
        </is>
      </c>
      <c r="E705" t="inlineStr">
        <is>
          <t>SALA</t>
        </is>
      </c>
      <c r="G705" t="n">
        <v>3.8</v>
      </c>
      <c r="H705" t="n">
        <v>0</v>
      </c>
      <c r="I705" t="n">
        <v>0</v>
      </c>
      <c r="J705" t="n">
        <v>0</v>
      </c>
      <c r="K705" t="n">
        <v>0</v>
      </c>
      <c r="L705" t="n">
        <v>0</v>
      </c>
      <c r="M705" t="n">
        <v>0</v>
      </c>
      <c r="N705" t="n">
        <v>0</v>
      </c>
      <c r="O705" t="n">
        <v>0</v>
      </c>
      <c r="P705" t="n">
        <v>0</v>
      </c>
      <c r="Q705" t="n">
        <v>0</v>
      </c>
      <c r="R705" s="2" t="inlineStr"/>
    </row>
    <row r="706" ht="15" customHeight="1">
      <c r="A706" t="inlineStr">
        <is>
          <t>A 35651-2025</t>
        </is>
      </c>
      <c r="B706" s="1" t="n">
        <v>45859.52435185185</v>
      </c>
      <c r="C706" s="1" t="n">
        <v>46038</v>
      </c>
      <c r="D706" t="inlineStr">
        <is>
          <t>VÄSTMANLANDS LÄN</t>
        </is>
      </c>
      <c r="E706" t="inlineStr">
        <is>
          <t>SALA</t>
        </is>
      </c>
      <c r="G706" t="n">
        <v>6.3</v>
      </c>
      <c r="H706" t="n">
        <v>0</v>
      </c>
      <c r="I706" t="n">
        <v>0</v>
      </c>
      <c r="J706" t="n">
        <v>0</v>
      </c>
      <c r="K706" t="n">
        <v>0</v>
      </c>
      <c r="L706" t="n">
        <v>0</v>
      </c>
      <c r="M706" t="n">
        <v>0</v>
      </c>
      <c r="N706" t="n">
        <v>0</v>
      </c>
      <c r="O706" t="n">
        <v>0</v>
      </c>
      <c r="P706" t="n">
        <v>0</v>
      </c>
      <c r="Q706" t="n">
        <v>0</v>
      </c>
      <c r="R706" s="2" t="inlineStr"/>
    </row>
    <row r="707" ht="15" customHeight="1">
      <c r="A707" t="inlineStr">
        <is>
          <t>A 35774-2025</t>
        </is>
      </c>
      <c r="B707" s="1" t="n">
        <v>45860.68780092592</v>
      </c>
      <c r="C707" s="1" t="n">
        <v>46038</v>
      </c>
      <c r="D707" t="inlineStr">
        <is>
          <t>VÄSTMANLANDS LÄN</t>
        </is>
      </c>
      <c r="E707" t="inlineStr">
        <is>
          <t>SALA</t>
        </is>
      </c>
      <c r="G707" t="n">
        <v>6.5</v>
      </c>
      <c r="H707" t="n">
        <v>0</v>
      </c>
      <c r="I707" t="n">
        <v>0</v>
      </c>
      <c r="J707" t="n">
        <v>0</v>
      </c>
      <c r="K707" t="n">
        <v>0</v>
      </c>
      <c r="L707" t="n">
        <v>0</v>
      </c>
      <c r="M707" t="n">
        <v>0</v>
      </c>
      <c r="N707" t="n">
        <v>0</v>
      </c>
      <c r="O707" t="n">
        <v>0</v>
      </c>
      <c r="P707" t="n">
        <v>0</v>
      </c>
      <c r="Q707" t="n">
        <v>0</v>
      </c>
      <c r="R707" s="2" t="inlineStr"/>
    </row>
    <row r="708" ht="15" customHeight="1">
      <c r="A708" t="inlineStr">
        <is>
          <t>A 36060-2025</t>
        </is>
      </c>
      <c r="B708" s="1" t="n">
        <v>45866.39469907407</v>
      </c>
      <c r="C708" s="1" t="n">
        <v>46038</v>
      </c>
      <c r="D708" t="inlineStr">
        <is>
          <t>VÄSTMANLANDS LÄN</t>
        </is>
      </c>
      <c r="E708" t="inlineStr">
        <is>
          <t>SALA</t>
        </is>
      </c>
      <c r="F708" t="inlineStr">
        <is>
          <t>Kommuner</t>
        </is>
      </c>
      <c r="G708" t="n">
        <v>4.3</v>
      </c>
      <c r="H708" t="n">
        <v>0</v>
      </c>
      <c r="I708" t="n">
        <v>0</v>
      </c>
      <c r="J708" t="n">
        <v>0</v>
      </c>
      <c r="K708" t="n">
        <v>0</v>
      </c>
      <c r="L708" t="n">
        <v>0</v>
      </c>
      <c r="M708" t="n">
        <v>0</v>
      </c>
      <c r="N708" t="n">
        <v>0</v>
      </c>
      <c r="O708" t="n">
        <v>0</v>
      </c>
      <c r="P708" t="n">
        <v>0</v>
      </c>
      <c r="Q708" t="n">
        <v>0</v>
      </c>
      <c r="R708" s="2" t="inlineStr"/>
    </row>
    <row r="709" ht="15" customHeight="1">
      <c r="A709" t="inlineStr">
        <is>
          <t>A 36031-2025</t>
        </is>
      </c>
      <c r="B709" s="1" t="n">
        <v>45865.46111111111</v>
      </c>
      <c r="C709" s="1" t="n">
        <v>46038</v>
      </c>
      <c r="D709" t="inlineStr">
        <is>
          <t>VÄSTMANLANDS LÄN</t>
        </is>
      </c>
      <c r="E709" t="inlineStr">
        <is>
          <t>SALA</t>
        </is>
      </c>
      <c r="G709" t="n">
        <v>7.2</v>
      </c>
      <c r="H709" t="n">
        <v>0</v>
      </c>
      <c r="I709" t="n">
        <v>0</v>
      </c>
      <c r="J709" t="n">
        <v>0</v>
      </c>
      <c r="K709" t="n">
        <v>0</v>
      </c>
      <c r="L709" t="n">
        <v>0</v>
      </c>
      <c r="M709" t="n">
        <v>0</v>
      </c>
      <c r="N709" t="n">
        <v>0</v>
      </c>
      <c r="O709" t="n">
        <v>0</v>
      </c>
      <c r="P709" t="n">
        <v>0</v>
      </c>
      <c r="Q709" t="n">
        <v>0</v>
      </c>
      <c r="R709" s="2" t="inlineStr"/>
    </row>
    <row r="710" ht="15" customHeight="1">
      <c r="A710" t="inlineStr">
        <is>
          <t>A 36043-2025</t>
        </is>
      </c>
      <c r="B710" s="1" t="n">
        <v>45866.35333333333</v>
      </c>
      <c r="C710" s="1" t="n">
        <v>46038</v>
      </c>
      <c r="D710" t="inlineStr">
        <is>
          <t>VÄSTMANLANDS LÄN</t>
        </is>
      </c>
      <c r="E710" t="inlineStr">
        <is>
          <t>SALA</t>
        </is>
      </c>
      <c r="F710" t="inlineStr">
        <is>
          <t>Kommuner</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36032-2025</t>
        </is>
      </c>
      <c r="B711" s="1" t="n">
        <v>45865.48740740741</v>
      </c>
      <c r="C711" s="1" t="n">
        <v>46038</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36049-2025</t>
        </is>
      </c>
      <c r="B712" s="1" t="n">
        <v>45866.37065972222</v>
      </c>
      <c r="C712" s="1" t="n">
        <v>46038</v>
      </c>
      <c r="D712" t="inlineStr">
        <is>
          <t>VÄSTMANLANDS LÄN</t>
        </is>
      </c>
      <c r="E712" t="inlineStr">
        <is>
          <t>SALA</t>
        </is>
      </c>
      <c r="F712" t="inlineStr">
        <is>
          <t>Kommuner</t>
        </is>
      </c>
      <c r="G712" t="n">
        <v>1.9</v>
      </c>
      <c r="H712" t="n">
        <v>0</v>
      </c>
      <c r="I712" t="n">
        <v>0</v>
      </c>
      <c r="J712" t="n">
        <v>0</v>
      </c>
      <c r="K712" t="n">
        <v>0</v>
      </c>
      <c r="L712" t="n">
        <v>0</v>
      </c>
      <c r="M712" t="n">
        <v>0</v>
      </c>
      <c r="N712" t="n">
        <v>0</v>
      </c>
      <c r="O712" t="n">
        <v>0</v>
      </c>
      <c r="P712" t="n">
        <v>0</v>
      </c>
      <c r="Q712" t="n">
        <v>0</v>
      </c>
      <c r="R712" s="2" t="inlineStr"/>
    </row>
    <row r="713" ht="15" customHeight="1">
      <c r="A713" t="inlineStr">
        <is>
          <t>A 36045-2025</t>
        </is>
      </c>
      <c r="B713" s="1" t="n">
        <v>45866.36200231482</v>
      </c>
      <c r="C713" s="1" t="n">
        <v>46038</v>
      </c>
      <c r="D713" t="inlineStr">
        <is>
          <t>VÄSTMANLANDS LÄN</t>
        </is>
      </c>
      <c r="E713" t="inlineStr">
        <is>
          <t>SALA</t>
        </is>
      </c>
      <c r="F713" t="inlineStr">
        <is>
          <t>Kommuner</t>
        </is>
      </c>
      <c r="G713" t="n">
        <v>1.7</v>
      </c>
      <c r="H713" t="n">
        <v>0</v>
      </c>
      <c r="I713" t="n">
        <v>0</v>
      </c>
      <c r="J713" t="n">
        <v>0</v>
      </c>
      <c r="K713" t="n">
        <v>0</v>
      </c>
      <c r="L713" t="n">
        <v>0</v>
      </c>
      <c r="M713" t="n">
        <v>0</v>
      </c>
      <c r="N713" t="n">
        <v>0</v>
      </c>
      <c r="O713" t="n">
        <v>0</v>
      </c>
      <c r="P713" t="n">
        <v>0</v>
      </c>
      <c r="Q713" t="n">
        <v>0</v>
      </c>
      <c r="R713" s="2" t="inlineStr"/>
    </row>
    <row r="714" ht="15" customHeight="1">
      <c r="A714" t="inlineStr">
        <is>
          <t>A 17766-2025</t>
        </is>
      </c>
      <c r="B714" s="1" t="n">
        <v>45758</v>
      </c>
      <c r="C714" s="1" t="n">
        <v>46038</v>
      </c>
      <c r="D714" t="inlineStr">
        <is>
          <t>VÄSTMANLANDS LÄN</t>
        </is>
      </c>
      <c r="E714" t="inlineStr">
        <is>
          <t>SALA</t>
        </is>
      </c>
      <c r="G714" t="n">
        <v>16.5</v>
      </c>
      <c r="H714" t="n">
        <v>0</v>
      </c>
      <c r="I714" t="n">
        <v>0</v>
      </c>
      <c r="J714" t="n">
        <v>0</v>
      </c>
      <c r="K714" t="n">
        <v>0</v>
      </c>
      <c r="L714" t="n">
        <v>0</v>
      </c>
      <c r="M714" t="n">
        <v>0</v>
      </c>
      <c r="N714" t="n">
        <v>0</v>
      </c>
      <c r="O714" t="n">
        <v>0</v>
      </c>
      <c r="P714" t="n">
        <v>0</v>
      </c>
      <c r="Q714" t="n">
        <v>0</v>
      </c>
      <c r="R714" s="2" t="inlineStr"/>
    </row>
    <row r="715" ht="15" customHeight="1">
      <c r="A715" t="inlineStr">
        <is>
          <t>A 31863-2025</t>
        </is>
      </c>
      <c r="B715" s="1" t="n">
        <v>45834.63303240741</v>
      </c>
      <c r="C715" s="1" t="n">
        <v>46038</v>
      </c>
      <c r="D715" t="inlineStr">
        <is>
          <t>VÄSTMANLANDS LÄN</t>
        </is>
      </c>
      <c r="E715" t="inlineStr">
        <is>
          <t>SALA</t>
        </is>
      </c>
      <c r="G715" t="n">
        <v>2.5</v>
      </c>
      <c r="H715" t="n">
        <v>0</v>
      </c>
      <c r="I715" t="n">
        <v>0</v>
      </c>
      <c r="J715" t="n">
        <v>0</v>
      </c>
      <c r="K715" t="n">
        <v>0</v>
      </c>
      <c r="L715" t="n">
        <v>0</v>
      </c>
      <c r="M715" t="n">
        <v>0</v>
      </c>
      <c r="N715" t="n">
        <v>0</v>
      </c>
      <c r="O715" t="n">
        <v>0</v>
      </c>
      <c r="P715" t="n">
        <v>0</v>
      </c>
      <c r="Q715" t="n">
        <v>0</v>
      </c>
      <c r="R715" s="2" t="inlineStr"/>
    </row>
    <row r="716" ht="15" customHeight="1">
      <c r="A716" t="inlineStr">
        <is>
          <t>A 3546-2025</t>
        </is>
      </c>
      <c r="B716" s="1" t="n">
        <v>45680</v>
      </c>
      <c r="C716" s="1" t="n">
        <v>46038</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31869-2025</t>
        </is>
      </c>
      <c r="B717" s="1" t="n">
        <v>45834.64555555556</v>
      </c>
      <c r="C717" s="1" t="n">
        <v>46038</v>
      </c>
      <c r="D717" t="inlineStr">
        <is>
          <t>VÄSTMANLANDS LÄN</t>
        </is>
      </c>
      <c r="E717" t="inlineStr">
        <is>
          <t>SALA</t>
        </is>
      </c>
      <c r="G717" t="n">
        <v>17.5</v>
      </c>
      <c r="H717" t="n">
        <v>0</v>
      </c>
      <c r="I717" t="n">
        <v>0</v>
      </c>
      <c r="J717" t="n">
        <v>0</v>
      </c>
      <c r="K717" t="n">
        <v>0</v>
      </c>
      <c r="L717" t="n">
        <v>0</v>
      </c>
      <c r="M717" t="n">
        <v>0</v>
      </c>
      <c r="N717" t="n">
        <v>0</v>
      </c>
      <c r="O717" t="n">
        <v>0</v>
      </c>
      <c r="P717" t="n">
        <v>0</v>
      </c>
      <c r="Q717" t="n">
        <v>0</v>
      </c>
      <c r="R717" s="2" t="inlineStr"/>
    </row>
    <row r="718" ht="15" customHeight="1">
      <c r="A718" t="inlineStr">
        <is>
          <t>A 7664-2023</t>
        </is>
      </c>
      <c r="B718" s="1" t="n">
        <v>44972</v>
      </c>
      <c r="C718" s="1" t="n">
        <v>46038</v>
      </c>
      <c r="D718" t="inlineStr">
        <is>
          <t>VÄSTMANLANDS LÄN</t>
        </is>
      </c>
      <c r="E718" t="inlineStr">
        <is>
          <t>SALA</t>
        </is>
      </c>
      <c r="G718" t="n">
        <v>1.4</v>
      </c>
      <c r="H718" t="n">
        <v>0</v>
      </c>
      <c r="I718" t="n">
        <v>0</v>
      </c>
      <c r="J718" t="n">
        <v>0</v>
      </c>
      <c r="K718" t="n">
        <v>0</v>
      </c>
      <c r="L718" t="n">
        <v>0</v>
      </c>
      <c r="M718" t="n">
        <v>0</v>
      </c>
      <c r="N718" t="n">
        <v>0</v>
      </c>
      <c r="O718" t="n">
        <v>0</v>
      </c>
      <c r="P718" t="n">
        <v>0</v>
      </c>
      <c r="Q718" t="n">
        <v>0</v>
      </c>
      <c r="R718" s="2" t="inlineStr"/>
    </row>
    <row r="719" ht="15" customHeight="1">
      <c r="A719" t="inlineStr">
        <is>
          <t>A 17985-2025</t>
        </is>
      </c>
      <c r="B719" s="1" t="n">
        <v>45761</v>
      </c>
      <c r="C719" s="1" t="n">
        <v>46038</v>
      </c>
      <c r="D719" t="inlineStr">
        <is>
          <t>VÄSTMANLANDS LÄN</t>
        </is>
      </c>
      <c r="E719" t="inlineStr">
        <is>
          <t>SALA</t>
        </is>
      </c>
      <c r="G719" t="n">
        <v>12.5</v>
      </c>
      <c r="H719" t="n">
        <v>0</v>
      </c>
      <c r="I719" t="n">
        <v>0</v>
      </c>
      <c r="J719" t="n">
        <v>0</v>
      </c>
      <c r="K719" t="n">
        <v>0</v>
      </c>
      <c r="L719" t="n">
        <v>0</v>
      </c>
      <c r="M719" t="n">
        <v>0</v>
      </c>
      <c r="N719" t="n">
        <v>0</v>
      </c>
      <c r="O719" t="n">
        <v>0</v>
      </c>
      <c r="P719" t="n">
        <v>0</v>
      </c>
      <c r="Q719" t="n">
        <v>0</v>
      </c>
      <c r="R719" s="2" t="inlineStr"/>
    </row>
    <row r="720" ht="15" customHeight="1">
      <c r="A720" t="inlineStr">
        <is>
          <t>A 37103-2025</t>
        </is>
      </c>
      <c r="B720" s="1" t="n">
        <v>45875.47743055555</v>
      </c>
      <c r="C720" s="1" t="n">
        <v>46038</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37017-2025</t>
        </is>
      </c>
      <c r="B721" s="1" t="n">
        <v>45874</v>
      </c>
      <c r="C721" s="1" t="n">
        <v>46038</v>
      </c>
      <c r="D721" t="inlineStr">
        <is>
          <t>VÄSTMANLANDS LÄN</t>
        </is>
      </c>
      <c r="E721" t="inlineStr">
        <is>
          <t>SALA</t>
        </is>
      </c>
      <c r="G721" t="n">
        <v>11.1</v>
      </c>
      <c r="H721" t="n">
        <v>0</v>
      </c>
      <c r="I721" t="n">
        <v>0</v>
      </c>
      <c r="J721" t="n">
        <v>0</v>
      </c>
      <c r="K721" t="n">
        <v>0</v>
      </c>
      <c r="L721" t="n">
        <v>0</v>
      </c>
      <c r="M721" t="n">
        <v>0</v>
      </c>
      <c r="N721" t="n">
        <v>0</v>
      </c>
      <c r="O721" t="n">
        <v>0</v>
      </c>
      <c r="P721" t="n">
        <v>0</v>
      </c>
      <c r="Q721" t="n">
        <v>0</v>
      </c>
      <c r="R721" s="2" t="inlineStr"/>
    </row>
    <row r="722" ht="15" customHeight="1">
      <c r="A722" t="inlineStr">
        <is>
          <t>A 37246-2025</t>
        </is>
      </c>
      <c r="B722" s="1" t="n">
        <v>45876.39435185185</v>
      </c>
      <c r="C722" s="1" t="n">
        <v>46038</v>
      </c>
      <c r="D722" t="inlineStr">
        <is>
          <t>VÄSTMANLANDS LÄN</t>
        </is>
      </c>
      <c r="E722" t="inlineStr">
        <is>
          <t>SALA</t>
        </is>
      </c>
      <c r="G722" t="n">
        <v>2.3</v>
      </c>
      <c r="H722" t="n">
        <v>0</v>
      </c>
      <c r="I722" t="n">
        <v>0</v>
      </c>
      <c r="J722" t="n">
        <v>0</v>
      </c>
      <c r="K722" t="n">
        <v>0</v>
      </c>
      <c r="L722" t="n">
        <v>0</v>
      </c>
      <c r="M722" t="n">
        <v>0</v>
      </c>
      <c r="N722" t="n">
        <v>0</v>
      </c>
      <c r="O722" t="n">
        <v>0</v>
      </c>
      <c r="P722" t="n">
        <v>0</v>
      </c>
      <c r="Q722" t="n">
        <v>0</v>
      </c>
      <c r="R722" s="2" t="inlineStr"/>
    </row>
    <row r="723" ht="15" customHeight="1">
      <c r="A723" t="inlineStr">
        <is>
          <t>A 37590-2025</t>
        </is>
      </c>
      <c r="B723" s="1" t="n">
        <v>45880.41138888889</v>
      </c>
      <c r="C723" s="1" t="n">
        <v>46038</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37593-2025</t>
        </is>
      </c>
      <c r="B724" s="1" t="n">
        <v>45880.41325231481</v>
      </c>
      <c r="C724" s="1" t="n">
        <v>46038</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17722-2025</t>
        </is>
      </c>
      <c r="B725" s="1" t="n">
        <v>45758</v>
      </c>
      <c r="C725" s="1" t="n">
        <v>46038</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38294-2025</t>
        </is>
      </c>
      <c r="B726" s="1" t="n">
        <v>45883.44854166666</v>
      </c>
      <c r="C726" s="1" t="n">
        <v>46038</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43359-2024</t>
        </is>
      </c>
      <c r="B727" s="1" t="n">
        <v>45568.57724537037</v>
      </c>
      <c r="C727" s="1" t="n">
        <v>46038</v>
      </c>
      <c r="D727" t="inlineStr">
        <is>
          <t>VÄSTMANLANDS LÄN</t>
        </is>
      </c>
      <c r="E727" t="inlineStr">
        <is>
          <t>SALA</t>
        </is>
      </c>
      <c r="G727" t="n">
        <v>1.6</v>
      </c>
      <c r="H727" t="n">
        <v>0</v>
      </c>
      <c r="I727" t="n">
        <v>0</v>
      </c>
      <c r="J727" t="n">
        <v>0</v>
      </c>
      <c r="K727" t="n">
        <v>0</v>
      </c>
      <c r="L727" t="n">
        <v>0</v>
      </c>
      <c r="M727" t="n">
        <v>0</v>
      </c>
      <c r="N727" t="n">
        <v>0</v>
      </c>
      <c r="O727" t="n">
        <v>0</v>
      </c>
      <c r="P727" t="n">
        <v>0</v>
      </c>
      <c r="Q727" t="n">
        <v>0</v>
      </c>
      <c r="R727" s="2" t="inlineStr"/>
    </row>
    <row r="728">
      <c r="A728" t="inlineStr">
        <is>
          <t>A 29972-2025</t>
        </is>
      </c>
      <c r="B728" s="1" t="n">
        <v>45826</v>
      </c>
      <c r="C728" s="1" t="n">
        <v>46038</v>
      </c>
      <c r="D728" t="inlineStr">
        <is>
          <t>VÄSTMANLANDS LÄN</t>
        </is>
      </c>
      <c r="E728" t="inlineStr">
        <is>
          <t>SALA</t>
        </is>
      </c>
      <c r="G728" t="n">
        <v>2.7</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2026-01-16T11:01:44Z</dcterms:created>
  <dcterms:modified xmlns:dcterms="http://purl.org/dc/terms/" xmlns:xsi="http://www.w3.org/2001/XMLSchema-instance" xsi:type="dcterms:W3CDTF">2026-01-16T11:01:45Z</dcterms:modified>
</cp:coreProperties>
</file>