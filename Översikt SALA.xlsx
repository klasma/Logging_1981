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7643-2026</t>
        </is>
      </c>
      <c r="B9" s="1" t="n">
        <v>46062.37700231482</v>
      </c>
      <c r="C9" s="1" t="n">
        <v>46085</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46085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46085</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10344-2025</t>
        </is>
      </c>
      <c r="B12" s="1" t="n">
        <v>45720</v>
      </c>
      <c r="C12" s="1" t="n">
        <v>46085</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46085</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46085</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53009-2024</t>
        </is>
      </c>
      <c r="B15" s="1" t="n">
        <v>45610</v>
      </c>
      <c r="C15" s="1" t="n">
        <v>46085</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46085</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46085</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46085</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62768-2021</t>
        </is>
      </c>
      <c r="B19" s="1" t="n">
        <v>44504</v>
      </c>
      <c r="C19" s="1" t="n">
        <v>46085</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46085</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46085</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3567-2024</t>
        </is>
      </c>
      <c r="B22" s="1" t="n">
        <v>45320.63706018519</v>
      </c>
      <c r="C22" s="1" t="n">
        <v>46085</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35461-2024</t>
        </is>
      </c>
      <c r="B23" s="1" t="n">
        <v>45531</v>
      </c>
      <c r="C23" s="1" t="n">
        <v>46085</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3930-2026</t>
        </is>
      </c>
      <c r="B24" s="1" t="n">
        <v>46043</v>
      </c>
      <c r="C24" s="1" t="n">
        <v>46085</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53019-2024</t>
        </is>
      </c>
      <c r="B25" s="1" t="n">
        <v>45610</v>
      </c>
      <c r="C25" s="1" t="n">
        <v>46085</v>
      </c>
      <c r="D25" t="inlineStr">
        <is>
          <t>VÄSTMANLANDS LÄN</t>
        </is>
      </c>
      <c r="E25" t="inlineStr">
        <is>
          <t>SALA</t>
        </is>
      </c>
      <c r="G25" t="n">
        <v>1.1</v>
      </c>
      <c r="H25" t="n">
        <v>2</v>
      </c>
      <c r="I25" t="n">
        <v>0</v>
      </c>
      <c r="J25" t="n">
        <v>1</v>
      </c>
      <c r="K25" t="n">
        <v>1</v>
      </c>
      <c r="L25" t="n">
        <v>0</v>
      </c>
      <c r="M25" t="n">
        <v>0</v>
      </c>
      <c r="N25" t="n">
        <v>0</v>
      </c>
      <c r="O25" t="n">
        <v>2</v>
      </c>
      <c r="P25" t="n">
        <v>1</v>
      </c>
      <c r="Q25" t="n">
        <v>3</v>
      </c>
      <c r="R25" s="2" t="inlineStr">
        <is>
          <t>Knärot
Ullticka
Kungsfågel</t>
        </is>
      </c>
      <c r="S25">
        <f>HYPERLINK("https://klasma.github.io/Logging_1981/artfynd/A 53019-2024 artfynd.xlsx", "A 53019-2024")</f>
        <v/>
      </c>
      <c r="T25">
        <f>HYPERLINK("https://klasma.github.io/Logging_1981/kartor/A 53019-2024 karta.png", "A 53019-2024")</f>
        <v/>
      </c>
      <c r="U25">
        <f>HYPERLINK("https://klasma.github.io/Logging_1981/knärot/A 53019-2024 karta knärot.png", "A 53019-2024")</f>
        <v/>
      </c>
      <c r="V25">
        <f>HYPERLINK("https://klasma.github.io/Logging_1981/klagomål/A 53019-2024 FSC-klagomål.docx", "A 53019-2024")</f>
        <v/>
      </c>
      <c r="W25">
        <f>HYPERLINK("https://klasma.github.io/Logging_1981/klagomålsmail/A 53019-2024 FSC-klagomål mail.docx", "A 53019-2024")</f>
        <v/>
      </c>
      <c r="X25">
        <f>HYPERLINK("https://klasma.github.io/Logging_1981/tillsyn/A 53019-2024 tillsynsbegäran.docx", "A 53019-2024")</f>
        <v/>
      </c>
      <c r="Y25">
        <f>HYPERLINK("https://klasma.github.io/Logging_1981/tillsynsmail/A 53019-2024 tillsynsbegäran mail.docx", "A 53019-2024")</f>
        <v/>
      </c>
      <c r="Z25">
        <f>HYPERLINK("https://klasma.github.io/Logging_1981/fåglar/A 53019-2024 prioriterade fågelarter.docx", "A 53019-2024")</f>
        <v/>
      </c>
    </row>
    <row r="26" ht="15" customHeight="1">
      <c r="A26" t="inlineStr">
        <is>
          <t>A 34065-2025</t>
        </is>
      </c>
      <c r="B26" s="1" t="n">
        <v>45845.42806712963</v>
      </c>
      <c r="C26" s="1" t="n">
        <v>46085</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Kötticka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47475-2024</t>
        </is>
      </c>
      <c r="B27" s="1" t="n">
        <v>45587.57552083334</v>
      </c>
      <c r="C27" s="1" t="n">
        <v>46085</v>
      </c>
      <c r="D27" t="inlineStr">
        <is>
          <t>VÄSTMANLANDS LÄN</t>
        </is>
      </c>
      <c r="E27" t="inlineStr">
        <is>
          <t>SALA</t>
        </is>
      </c>
      <c r="G27" t="n">
        <v>1.4</v>
      </c>
      <c r="H27" t="n">
        <v>1</v>
      </c>
      <c r="I27" t="n">
        <v>0</v>
      </c>
      <c r="J27" t="n">
        <v>0</v>
      </c>
      <c r="K27" t="n">
        <v>3</v>
      </c>
      <c r="L27" t="n">
        <v>0</v>
      </c>
      <c r="M27" t="n">
        <v>0</v>
      </c>
      <c r="N27" t="n">
        <v>0</v>
      </c>
      <c r="O27" t="n">
        <v>3</v>
      </c>
      <c r="P27" t="n">
        <v>3</v>
      </c>
      <c r="Q27" t="n">
        <v>3</v>
      </c>
      <c r="R27" s="2" t="inlineStr">
        <is>
          <t>Knärot
Luddig stiftdynlav
Rynkskinn</t>
        </is>
      </c>
      <c r="S27">
        <f>HYPERLINK("https://klasma.github.io/Logging_1981/artfynd/A 47475-2024 artfynd.xlsx", "A 47475-2024")</f>
        <v/>
      </c>
      <c r="T27">
        <f>HYPERLINK("https://klasma.github.io/Logging_1981/kartor/A 47475-2024 karta.png", "A 47475-2024")</f>
        <v/>
      </c>
      <c r="U27">
        <f>HYPERLINK("https://klasma.github.io/Logging_1981/knärot/A 47475-2024 karta knärot.png", "A 47475-2024")</f>
        <v/>
      </c>
      <c r="V27">
        <f>HYPERLINK("https://klasma.github.io/Logging_1981/klagomål/A 47475-2024 FSC-klagomål.docx", "A 47475-2024")</f>
        <v/>
      </c>
      <c r="W27">
        <f>HYPERLINK("https://klasma.github.io/Logging_1981/klagomålsmail/A 47475-2024 FSC-klagomål mail.docx", "A 47475-2024")</f>
        <v/>
      </c>
      <c r="X27">
        <f>HYPERLINK("https://klasma.github.io/Logging_1981/tillsyn/A 47475-2024 tillsynsbegäran.docx", "A 47475-2024")</f>
        <v/>
      </c>
      <c r="Y27">
        <f>HYPERLINK("https://klasma.github.io/Logging_1981/tillsynsmail/A 47475-2024 tillsynsbegäran mail.docx", "A 47475-2024")</f>
        <v/>
      </c>
    </row>
    <row r="28" ht="15" customHeight="1">
      <c r="A28" t="inlineStr">
        <is>
          <t>A 52909-2022</t>
        </is>
      </c>
      <c r="B28" s="1" t="n">
        <v>44875</v>
      </c>
      <c r="C28" s="1" t="n">
        <v>46085</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46085</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63584-2025</t>
        </is>
      </c>
      <c r="B30" s="1" t="n">
        <v>46013.77002314815</v>
      </c>
      <c r="C30" s="1" t="n">
        <v>46085</v>
      </c>
      <c r="D30" t="inlineStr">
        <is>
          <t>VÄSTMANLANDS LÄN</t>
        </is>
      </c>
      <c r="E30" t="inlineStr">
        <is>
          <t>SALA</t>
        </is>
      </c>
      <c r="G30" t="n">
        <v>7.3</v>
      </c>
      <c r="H30" t="n">
        <v>1</v>
      </c>
      <c r="I30" t="n">
        <v>0</v>
      </c>
      <c r="J30" t="n">
        <v>1</v>
      </c>
      <c r="K30" t="n">
        <v>1</v>
      </c>
      <c r="L30" t="n">
        <v>0</v>
      </c>
      <c r="M30" t="n">
        <v>0</v>
      </c>
      <c r="N30" t="n">
        <v>0</v>
      </c>
      <c r="O30" t="n">
        <v>2</v>
      </c>
      <c r="P30" t="n">
        <v>1</v>
      </c>
      <c r="Q30" t="n">
        <v>2</v>
      </c>
      <c r="R30" s="2" t="inlineStr">
        <is>
          <t>Knärot
Vedtrappmossa</t>
        </is>
      </c>
      <c r="S30">
        <f>HYPERLINK("https://klasma.github.io/Logging_1981/artfynd/A 63584-2025 artfynd.xlsx", "A 63584-2025")</f>
        <v/>
      </c>
      <c r="T30">
        <f>HYPERLINK("https://klasma.github.io/Logging_1981/kartor/A 63584-2025 karta.png", "A 63584-2025")</f>
        <v/>
      </c>
      <c r="U30">
        <f>HYPERLINK("https://klasma.github.io/Logging_1981/knärot/A 63584-2025 karta knärot.png", "A 63584-2025")</f>
        <v/>
      </c>
      <c r="V30">
        <f>HYPERLINK("https://klasma.github.io/Logging_1981/klagomål/A 63584-2025 FSC-klagomål.docx", "A 63584-2025")</f>
        <v/>
      </c>
      <c r="W30">
        <f>HYPERLINK("https://klasma.github.io/Logging_1981/klagomålsmail/A 63584-2025 FSC-klagomål mail.docx", "A 63584-2025")</f>
        <v/>
      </c>
      <c r="X30">
        <f>HYPERLINK("https://klasma.github.io/Logging_1981/tillsyn/A 63584-2025 tillsynsbegäran.docx", "A 63584-2025")</f>
        <v/>
      </c>
      <c r="Y30">
        <f>HYPERLINK("https://klasma.github.io/Logging_1981/tillsynsmail/A 63584-2025 tillsynsbegäran mail.docx", "A 63584-2025")</f>
        <v/>
      </c>
    </row>
    <row r="31" ht="15" customHeight="1">
      <c r="A31" t="inlineStr">
        <is>
          <t>A 11846-2024</t>
        </is>
      </c>
      <c r="B31" s="1" t="n">
        <v>45376.4047337963</v>
      </c>
      <c r="C31" s="1" t="n">
        <v>46085</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1500-2022</t>
        </is>
      </c>
      <c r="B32" s="1" t="n">
        <v>44573.54357638889</v>
      </c>
      <c r="C32" s="1" t="n">
        <v>46085</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46085</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46085</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12444-2024</t>
        </is>
      </c>
      <c r="B35" s="1" t="n">
        <v>45379.46285879629</v>
      </c>
      <c r="C35" s="1" t="n">
        <v>46085</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59826-2025</t>
        </is>
      </c>
      <c r="B36" s="1" t="n">
        <v>45992.65416666667</v>
      </c>
      <c r="C36" s="1" t="n">
        <v>46085</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13029-2023</t>
        </is>
      </c>
      <c r="B37" s="1" t="n">
        <v>45001</v>
      </c>
      <c r="C37" s="1" t="n">
        <v>46085</v>
      </c>
      <c r="D37" t="inlineStr">
        <is>
          <t>VÄSTMANLANDS LÄN</t>
        </is>
      </c>
      <c r="E37" t="inlineStr">
        <is>
          <t>SALA</t>
        </is>
      </c>
      <c r="G37" t="n">
        <v>2</v>
      </c>
      <c r="H37" t="n">
        <v>0</v>
      </c>
      <c r="I37" t="n">
        <v>0</v>
      </c>
      <c r="J37" t="n">
        <v>2</v>
      </c>
      <c r="K37" t="n">
        <v>0</v>
      </c>
      <c r="L37" t="n">
        <v>0</v>
      </c>
      <c r="M37" t="n">
        <v>0</v>
      </c>
      <c r="N37" t="n">
        <v>0</v>
      </c>
      <c r="O37" t="n">
        <v>2</v>
      </c>
      <c r="P37" t="n">
        <v>0</v>
      </c>
      <c r="Q37" t="n">
        <v>2</v>
      </c>
      <c r="R37" s="2" t="inlineStr">
        <is>
          <t>Krusfrö
Linmåra/småsnärjmåra</t>
        </is>
      </c>
      <c r="S37">
        <f>HYPERLINK("https://klasma.github.io/Logging_1981/artfynd/A 13029-2023 artfynd.xlsx", "A 13029-2023")</f>
        <v/>
      </c>
      <c r="T37">
        <f>HYPERLINK("https://klasma.github.io/Logging_1981/kartor/A 13029-2023 karta.png", "A 13029-2023")</f>
        <v/>
      </c>
      <c r="V37">
        <f>HYPERLINK("https://klasma.github.io/Logging_1981/klagomål/A 13029-2023 FSC-klagomål.docx", "A 13029-2023")</f>
        <v/>
      </c>
      <c r="W37">
        <f>HYPERLINK("https://klasma.github.io/Logging_1981/klagomålsmail/A 13029-2023 FSC-klagomål mail.docx", "A 13029-2023")</f>
        <v/>
      </c>
      <c r="X37">
        <f>HYPERLINK("https://klasma.github.io/Logging_1981/tillsyn/A 13029-2023 tillsynsbegäran.docx", "A 13029-2023")</f>
        <v/>
      </c>
      <c r="Y37">
        <f>HYPERLINK("https://klasma.github.io/Logging_1981/tillsynsmail/A 13029-2023 tillsynsbegäran mail.docx", "A 13029-2023")</f>
        <v/>
      </c>
    </row>
    <row r="38" ht="15" customHeight="1">
      <c r="A38" t="inlineStr">
        <is>
          <t>A 24872-2025</t>
        </is>
      </c>
      <c r="B38" s="1" t="n">
        <v>45799.49038194444</v>
      </c>
      <c r="C38" s="1" t="n">
        <v>46085</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46085</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46085</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46085</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38255-2025</t>
        </is>
      </c>
      <c r="B42" s="1" t="n">
        <v>45883.38020833334</v>
      </c>
      <c r="C42" s="1" t="n">
        <v>46085</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19361-2025</t>
        </is>
      </c>
      <c r="B43" s="1" t="n">
        <v>45769.63357638889</v>
      </c>
      <c r="C43" s="1" t="n">
        <v>46085</v>
      </c>
      <c r="D43" t="inlineStr">
        <is>
          <t>VÄSTMANLANDS LÄN</t>
        </is>
      </c>
      <c r="E43" t="inlineStr">
        <is>
          <t>SALA</t>
        </is>
      </c>
      <c r="F43" t="inlineStr">
        <is>
          <t>Bergvik skog öst AB</t>
        </is>
      </c>
      <c r="G43" t="n">
        <v>8.9</v>
      </c>
      <c r="H43" t="n">
        <v>0</v>
      </c>
      <c r="I43" t="n">
        <v>0</v>
      </c>
      <c r="J43" t="n">
        <v>1</v>
      </c>
      <c r="K43" t="n">
        <v>0</v>
      </c>
      <c r="L43" t="n">
        <v>0</v>
      </c>
      <c r="M43" t="n">
        <v>0</v>
      </c>
      <c r="N43" t="n">
        <v>0</v>
      </c>
      <c r="O43" t="n">
        <v>1</v>
      </c>
      <c r="P43" t="n">
        <v>0</v>
      </c>
      <c r="Q43" t="n">
        <v>1</v>
      </c>
      <c r="R43" s="2" t="inlineStr">
        <is>
          <t>Garnlav</t>
        </is>
      </c>
      <c r="S43">
        <f>HYPERLINK("https://klasma.github.io/Logging_1981/artfynd/A 19361-2025 artfynd.xlsx", "A 19361-2025")</f>
        <v/>
      </c>
      <c r="T43">
        <f>HYPERLINK("https://klasma.github.io/Logging_1981/kartor/A 19361-2025 karta.png", "A 19361-2025")</f>
        <v/>
      </c>
      <c r="V43">
        <f>HYPERLINK("https://klasma.github.io/Logging_1981/klagomål/A 19361-2025 FSC-klagomål.docx", "A 19361-2025")</f>
        <v/>
      </c>
      <c r="W43">
        <f>HYPERLINK("https://klasma.github.io/Logging_1981/klagomålsmail/A 19361-2025 FSC-klagomål mail.docx", "A 19361-2025")</f>
        <v/>
      </c>
      <c r="X43">
        <f>HYPERLINK("https://klasma.github.io/Logging_1981/tillsyn/A 19361-2025 tillsynsbegäran.docx", "A 19361-2025")</f>
        <v/>
      </c>
      <c r="Y43">
        <f>HYPERLINK("https://klasma.github.io/Logging_1981/tillsynsmail/A 19361-2025 tillsynsbegäran mail.docx", "A 19361-2025")</f>
        <v/>
      </c>
    </row>
    <row r="44" ht="15" customHeight="1">
      <c r="A44" t="inlineStr">
        <is>
          <t>A 41570-2021</t>
        </is>
      </c>
      <c r="B44" s="1" t="n">
        <v>44425</v>
      </c>
      <c r="C44" s="1" t="n">
        <v>46085</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60852-2024</t>
        </is>
      </c>
      <c r="B45" s="1" t="n">
        <v>45644</v>
      </c>
      <c r="C45" s="1" t="n">
        <v>46085</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7672-2026</t>
        </is>
      </c>
      <c r="B46" s="1" t="n">
        <v>46062.42077546296</v>
      </c>
      <c r="C46" s="1" t="n">
        <v>46085</v>
      </c>
      <c r="D46" t="inlineStr">
        <is>
          <t>VÄSTMANLANDS LÄN</t>
        </is>
      </c>
      <c r="E46" t="inlineStr">
        <is>
          <t>SALA</t>
        </is>
      </c>
      <c r="G46" t="n">
        <v>2.9</v>
      </c>
      <c r="H46" t="n">
        <v>1</v>
      </c>
      <c r="I46" t="n">
        <v>0</v>
      </c>
      <c r="J46" t="n">
        <v>0</v>
      </c>
      <c r="K46" t="n">
        <v>0</v>
      </c>
      <c r="L46" t="n">
        <v>0</v>
      </c>
      <c r="M46" t="n">
        <v>0</v>
      </c>
      <c r="N46" t="n">
        <v>0</v>
      </c>
      <c r="O46" t="n">
        <v>0</v>
      </c>
      <c r="P46" t="n">
        <v>0</v>
      </c>
      <c r="Q46" t="n">
        <v>1</v>
      </c>
      <c r="R46" s="2" t="inlineStr">
        <is>
          <t>Nattviol</t>
        </is>
      </c>
      <c r="S46">
        <f>HYPERLINK("https://klasma.github.io/Logging_1981/artfynd/A 7672-2026 artfynd.xlsx", "A 7672-2026")</f>
        <v/>
      </c>
      <c r="T46">
        <f>HYPERLINK("https://klasma.github.io/Logging_1981/kartor/A 7672-2026 karta.png", "A 7672-2026")</f>
        <v/>
      </c>
      <c r="V46">
        <f>HYPERLINK("https://klasma.github.io/Logging_1981/klagomål/A 7672-2026 FSC-klagomål.docx", "A 7672-2026")</f>
        <v/>
      </c>
      <c r="W46">
        <f>HYPERLINK("https://klasma.github.io/Logging_1981/klagomålsmail/A 7672-2026 FSC-klagomål mail.docx", "A 7672-2026")</f>
        <v/>
      </c>
      <c r="X46">
        <f>HYPERLINK("https://klasma.github.io/Logging_1981/tillsyn/A 7672-2026 tillsynsbegäran.docx", "A 7672-2026")</f>
        <v/>
      </c>
      <c r="Y46">
        <f>HYPERLINK("https://klasma.github.io/Logging_1981/tillsynsmail/A 7672-2026 tillsynsbegäran mail.docx", "A 7672-2026")</f>
        <v/>
      </c>
    </row>
    <row r="47" ht="15" customHeight="1">
      <c r="A47" t="inlineStr">
        <is>
          <t>A 37166-2024</t>
        </is>
      </c>
      <c r="B47" s="1" t="n">
        <v>45539</v>
      </c>
      <c r="C47" s="1" t="n">
        <v>46085</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37166-2024 artfynd.xlsx", "A 37166-2024")</f>
        <v/>
      </c>
      <c r="T47">
        <f>HYPERLINK("https://klasma.github.io/Logging_1981/kartor/A 37166-2024 karta.png", "A 37166-2024")</f>
        <v/>
      </c>
      <c r="U47">
        <f>HYPERLINK("https://klasma.github.io/Logging_1981/knärot/A 37166-2024 karta knärot.png", "A 37166-2024")</f>
        <v/>
      </c>
      <c r="V47">
        <f>HYPERLINK("https://klasma.github.io/Logging_1981/klagomål/A 37166-2024 FSC-klagomål.docx", "A 37166-2024")</f>
        <v/>
      </c>
      <c r="W47">
        <f>HYPERLINK("https://klasma.github.io/Logging_1981/klagomålsmail/A 37166-2024 FSC-klagomål mail.docx", "A 37166-2024")</f>
        <v/>
      </c>
      <c r="X47">
        <f>HYPERLINK("https://klasma.github.io/Logging_1981/tillsyn/A 37166-2024 tillsynsbegäran.docx", "A 37166-2024")</f>
        <v/>
      </c>
      <c r="Y47">
        <f>HYPERLINK("https://klasma.github.io/Logging_1981/tillsynsmail/A 37166-2024 tillsynsbegäran mail.docx", "A 37166-2024")</f>
        <v/>
      </c>
    </row>
    <row r="48" ht="15" customHeight="1">
      <c r="A48" t="inlineStr">
        <is>
          <t>A 56704-2022</t>
        </is>
      </c>
      <c r="B48" s="1" t="n">
        <v>44893.78075231481</v>
      </c>
      <c r="C48" s="1" t="n">
        <v>46085</v>
      </c>
      <c r="D48" t="inlineStr">
        <is>
          <t>VÄSTMANLANDS LÄN</t>
        </is>
      </c>
      <c r="E48" t="inlineStr">
        <is>
          <t>SALA</t>
        </is>
      </c>
      <c r="G48" t="n">
        <v>3.2</v>
      </c>
      <c r="H48" t="n">
        <v>1</v>
      </c>
      <c r="I48" t="n">
        <v>0</v>
      </c>
      <c r="J48" t="n">
        <v>0</v>
      </c>
      <c r="K48" t="n">
        <v>1</v>
      </c>
      <c r="L48" t="n">
        <v>0</v>
      </c>
      <c r="M48" t="n">
        <v>0</v>
      </c>
      <c r="N48" t="n">
        <v>0</v>
      </c>
      <c r="O48" t="n">
        <v>1</v>
      </c>
      <c r="P48" t="n">
        <v>1</v>
      </c>
      <c r="Q48" t="n">
        <v>1</v>
      </c>
      <c r="R48" s="2" t="inlineStr">
        <is>
          <t>Knärot</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48705-2025</t>
        </is>
      </c>
      <c r="B49" s="1" t="n">
        <v>45936.62290509259</v>
      </c>
      <c r="C49" s="1" t="n">
        <v>46085</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46085</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43175-2023</t>
        </is>
      </c>
      <c r="B51" s="1" t="n">
        <v>45183</v>
      </c>
      <c r="C51" s="1" t="n">
        <v>46085</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53052-2025</t>
        </is>
      </c>
      <c r="B52" s="1" t="n">
        <v>45958.36266203703</v>
      </c>
      <c r="C52" s="1" t="n">
        <v>46085</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29985-2022</t>
        </is>
      </c>
      <c r="B53" s="1" t="n">
        <v>44756</v>
      </c>
      <c r="C53" s="1" t="n">
        <v>46085</v>
      </c>
      <c r="D53" t="inlineStr">
        <is>
          <t>VÄSTMANLANDS LÄN</t>
        </is>
      </c>
      <c r="E53" t="inlineStr">
        <is>
          <t>SALA</t>
        </is>
      </c>
      <c r="F53" t="inlineStr">
        <is>
          <t>Kommuner</t>
        </is>
      </c>
      <c r="G53" t="n">
        <v>1</v>
      </c>
      <c r="H53" t="n">
        <v>1</v>
      </c>
      <c r="I53" t="n">
        <v>1</v>
      </c>
      <c r="J53" t="n">
        <v>0</v>
      </c>
      <c r="K53" t="n">
        <v>0</v>
      </c>
      <c r="L53" t="n">
        <v>0</v>
      </c>
      <c r="M53" t="n">
        <v>0</v>
      </c>
      <c r="N53" t="n">
        <v>0</v>
      </c>
      <c r="O53" t="n">
        <v>0</v>
      </c>
      <c r="P53" t="n">
        <v>0</v>
      </c>
      <c r="Q53" t="n">
        <v>1</v>
      </c>
      <c r="R53" s="2" t="inlineStr">
        <is>
          <t>Skogsknipprot</t>
        </is>
      </c>
      <c r="S53">
        <f>HYPERLINK("https://klasma.github.io/Logging_1981/artfynd/A 29985-2022 artfynd.xlsx", "A 29985-2022")</f>
        <v/>
      </c>
      <c r="T53">
        <f>HYPERLINK("https://klasma.github.io/Logging_1981/kartor/A 29985-2022 karta.png", "A 29985-2022")</f>
        <v/>
      </c>
      <c r="V53">
        <f>HYPERLINK("https://klasma.github.io/Logging_1981/klagomål/A 29985-2022 FSC-klagomål.docx", "A 29985-2022")</f>
        <v/>
      </c>
      <c r="W53">
        <f>HYPERLINK("https://klasma.github.io/Logging_1981/klagomålsmail/A 29985-2022 FSC-klagomål mail.docx", "A 29985-2022")</f>
        <v/>
      </c>
      <c r="X53">
        <f>HYPERLINK("https://klasma.github.io/Logging_1981/tillsyn/A 29985-2022 tillsynsbegäran.docx", "A 29985-2022")</f>
        <v/>
      </c>
      <c r="Y53">
        <f>HYPERLINK("https://klasma.github.io/Logging_1981/tillsynsmail/A 29985-2022 tillsynsbegäran mail.docx", "A 29985-2022")</f>
        <v/>
      </c>
    </row>
    <row r="54" ht="15" customHeight="1">
      <c r="A54" t="inlineStr">
        <is>
          <t>A 7919-2022</t>
        </is>
      </c>
      <c r="B54" s="1" t="n">
        <v>44608</v>
      </c>
      <c r="C54" s="1" t="n">
        <v>46085</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55995-2025</t>
        </is>
      </c>
      <c r="B55" s="1" t="n">
        <v>45973.56733796297</v>
      </c>
      <c r="C55" s="1" t="n">
        <v>46085</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41270-2024</t>
        </is>
      </c>
      <c r="B56" s="1" t="n">
        <v>45559</v>
      </c>
      <c r="C56" s="1" t="n">
        <v>46085</v>
      </c>
      <c r="D56" t="inlineStr">
        <is>
          <t>VÄSTMANLANDS LÄN</t>
        </is>
      </c>
      <c r="E56" t="inlineStr">
        <is>
          <t>SALA</t>
        </is>
      </c>
      <c r="G56" t="n">
        <v>15.2</v>
      </c>
      <c r="H56" t="n">
        <v>1</v>
      </c>
      <c r="I56" t="n">
        <v>0</v>
      </c>
      <c r="J56" t="n">
        <v>1</v>
      </c>
      <c r="K56" t="n">
        <v>0</v>
      </c>
      <c r="L56" t="n">
        <v>0</v>
      </c>
      <c r="M56" t="n">
        <v>0</v>
      </c>
      <c r="N56" t="n">
        <v>0</v>
      </c>
      <c r="O56" t="n">
        <v>1</v>
      </c>
      <c r="P56" t="n">
        <v>0</v>
      </c>
      <c r="Q56" t="n">
        <v>1</v>
      </c>
      <c r="R56" s="2" t="inlineStr">
        <is>
          <t>Havsörn</t>
        </is>
      </c>
      <c r="S56">
        <f>HYPERLINK("https://klasma.github.io/Logging_1981/artfynd/A 41270-2024 artfynd.xlsx", "A 41270-2024")</f>
        <v/>
      </c>
      <c r="T56">
        <f>HYPERLINK("https://klasma.github.io/Logging_1981/kartor/A 41270-2024 karta.png", "A 41270-2024")</f>
        <v/>
      </c>
      <c r="V56">
        <f>HYPERLINK("https://klasma.github.io/Logging_1981/klagomål/A 41270-2024 FSC-klagomål.docx", "A 41270-2024")</f>
        <v/>
      </c>
      <c r="W56">
        <f>HYPERLINK("https://klasma.github.io/Logging_1981/klagomålsmail/A 41270-2024 FSC-klagomål mail.docx", "A 41270-2024")</f>
        <v/>
      </c>
      <c r="X56">
        <f>HYPERLINK("https://klasma.github.io/Logging_1981/tillsyn/A 41270-2024 tillsynsbegäran.docx", "A 41270-2024")</f>
        <v/>
      </c>
      <c r="Y56">
        <f>HYPERLINK("https://klasma.github.io/Logging_1981/tillsynsmail/A 41270-2024 tillsynsbegäran mail.docx", "A 41270-2024")</f>
        <v/>
      </c>
      <c r="Z56">
        <f>HYPERLINK("https://klasma.github.io/Logging_1981/fåglar/A 41270-2024 prioriterade fågelarter.docx", "A 41270-2024")</f>
        <v/>
      </c>
    </row>
    <row r="57" ht="15" customHeight="1">
      <c r="A57" t="inlineStr">
        <is>
          <t>A 29727-2023</t>
        </is>
      </c>
      <c r="B57" s="1" t="n">
        <v>45107</v>
      </c>
      <c r="C57" s="1" t="n">
        <v>46085</v>
      </c>
      <c r="D57" t="inlineStr">
        <is>
          <t>VÄSTMANLANDS LÄN</t>
        </is>
      </c>
      <c r="E57" t="inlineStr">
        <is>
          <t>SALA</t>
        </is>
      </c>
      <c r="G57" t="n">
        <v>1.9</v>
      </c>
      <c r="H57" t="n">
        <v>0</v>
      </c>
      <c r="I57" t="n">
        <v>0</v>
      </c>
      <c r="J57" t="n">
        <v>1</v>
      </c>
      <c r="K57" t="n">
        <v>0</v>
      </c>
      <c r="L57" t="n">
        <v>0</v>
      </c>
      <c r="M57" t="n">
        <v>0</v>
      </c>
      <c r="N57" t="n">
        <v>0</v>
      </c>
      <c r="O57" t="n">
        <v>1</v>
      </c>
      <c r="P57" t="n">
        <v>0</v>
      </c>
      <c r="Q57" t="n">
        <v>1</v>
      </c>
      <c r="R57" s="2" t="inlineStr">
        <is>
          <t>Vedtrappmossa</t>
        </is>
      </c>
      <c r="S57">
        <f>HYPERLINK("https://klasma.github.io/Logging_1981/artfynd/A 29727-2023 artfynd.xlsx", "A 29727-2023")</f>
        <v/>
      </c>
      <c r="T57">
        <f>HYPERLINK("https://klasma.github.io/Logging_1981/kartor/A 29727-2023 karta.png", "A 29727-2023")</f>
        <v/>
      </c>
      <c r="V57">
        <f>HYPERLINK("https://klasma.github.io/Logging_1981/klagomål/A 29727-2023 FSC-klagomål.docx", "A 29727-2023")</f>
        <v/>
      </c>
      <c r="W57">
        <f>HYPERLINK("https://klasma.github.io/Logging_1981/klagomålsmail/A 29727-2023 FSC-klagomål mail.docx", "A 29727-2023")</f>
        <v/>
      </c>
      <c r="X57">
        <f>HYPERLINK("https://klasma.github.io/Logging_1981/tillsyn/A 29727-2023 tillsynsbegäran.docx", "A 29727-2023")</f>
        <v/>
      </c>
      <c r="Y57">
        <f>HYPERLINK("https://klasma.github.io/Logging_1981/tillsynsmail/A 29727-2023 tillsynsbegäran mail.docx", "A 29727-2023")</f>
        <v/>
      </c>
    </row>
    <row r="58" ht="15" customHeight="1">
      <c r="A58" t="inlineStr">
        <is>
          <t>A 43068-2024</t>
        </is>
      </c>
      <c r="B58" s="1" t="n">
        <v>45567</v>
      </c>
      <c r="C58" s="1" t="n">
        <v>46085</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7731-2023</t>
        </is>
      </c>
      <c r="B59" s="1" t="n">
        <v>44973</v>
      </c>
      <c r="C59" s="1" t="n">
        <v>46085</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12509-2023</t>
        </is>
      </c>
      <c r="B60" s="1" t="n">
        <v>44999.95988425926</v>
      </c>
      <c r="C60" s="1" t="n">
        <v>46085</v>
      </c>
      <c r="D60" t="inlineStr">
        <is>
          <t>VÄSTMANLANDS LÄN</t>
        </is>
      </c>
      <c r="E60" t="inlineStr">
        <is>
          <t>SALA</t>
        </is>
      </c>
      <c r="G60" t="n">
        <v>13.9</v>
      </c>
      <c r="H60" t="n">
        <v>1</v>
      </c>
      <c r="I60" t="n">
        <v>0</v>
      </c>
      <c r="J60" t="n">
        <v>0</v>
      </c>
      <c r="K60" t="n">
        <v>0</v>
      </c>
      <c r="L60" t="n">
        <v>0</v>
      </c>
      <c r="M60" t="n">
        <v>0</v>
      </c>
      <c r="N60" t="n">
        <v>0</v>
      </c>
      <c r="O60" t="n">
        <v>0</v>
      </c>
      <c r="P60" t="n">
        <v>0</v>
      </c>
      <c r="Q60" t="n">
        <v>1</v>
      </c>
      <c r="R60" s="2" t="inlineStr">
        <is>
          <t>Grönvit nattviol</t>
        </is>
      </c>
      <c r="S60">
        <f>HYPERLINK("https://klasma.github.io/Logging_1981/artfynd/A 12509-2023 artfynd.xlsx", "A 12509-2023")</f>
        <v/>
      </c>
      <c r="T60">
        <f>HYPERLINK("https://klasma.github.io/Logging_1981/kartor/A 12509-2023 karta.png", "A 12509-2023")</f>
        <v/>
      </c>
      <c r="V60">
        <f>HYPERLINK("https://klasma.github.io/Logging_1981/klagomål/A 12509-2023 FSC-klagomål.docx", "A 12509-2023")</f>
        <v/>
      </c>
      <c r="W60">
        <f>HYPERLINK("https://klasma.github.io/Logging_1981/klagomålsmail/A 12509-2023 FSC-klagomål mail.docx", "A 12509-2023")</f>
        <v/>
      </c>
      <c r="X60">
        <f>HYPERLINK("https://klasma.github.io/Logging_1981/tillsyn/A 12509-2023 tillsynsbegäran.docx", "A 12509-2023")</f>
        <v/>
      </c>
      <c r="Y60">
        <f>HYPERLINK("https://klasma.github.io/Logging_1981/tillsynsmail/A 12509-2023 tillsynsbegäran mail.docx", "A 12509-2023")</f>
        <v/>
      </c>
    </row>
    <row r="61" ht="15" customHeight="1">
      <c r="A61" t="inlineStr">
        <is>
          <t>A 55550-2023</t>
        </is>
      </c>
      <c r="B61" s="1" t="n">
        <v>45232</v>
      </c>
      <c r="C61" s="1" t="n">
        <v>46085</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14775-2023</t>
        </is>
      </c>
      <c r="B62" s="1" t="n">
        <v>45014</v>
      </c>
      <c r="C62" s="1" t="n">
        <v>46085</v>
      </c>
      <c r="D62" t="inlineStr">
        <is>
          <t>VÄSTMANLANDS LÄN</t>
        </is>
      </c>
      <c r="E62" t="inlineStr">
        <is>
          <t>SALA</t>
        </is>
      </c>
      <c r="G62" t="n">
        <v>1.3</v>
      </c>
      <c r="H62" t="n">
        <v>1</v>
      </c>
      <c r="I62" t="n">
        <v>0</v>
      </c>
      <c r="J62" t="n">
        <v>0</v>
      </c>
      <c r="K62" t="n">
        <v>1</v>
      </c>
      <c r="L62" t="n">
        <v>0</v>
      </c>
      <c r="M62" t="n">
        <v>0</v>
      </c>
      <c r="N62" t="n">
        <v>0</v>
      </c>
      <c r="O62" t="n">
        <v>1</v>
      </c>
      <c r="P62" t="n">
        <v>1</v>
      </c>
      <c r="Q62" t="n">
        <v>1</v>
      </c>
      <c r="R62" s="2" t="inlineStr">
        <is>
          <t>Knärot</t>
        </is>
      </c>
      <c r="S62">
        <f>HYPERLINK("https://klasma.github.io/Logging_1981/artfynd/A 14775-2023 artfynd.xlsx", "A 14775-2023")</f>
        <v/>
      </c>
      <c r="T62">
        <f>HYPERLINK("https://klasma.github.io/Logging_1981/kartor/A 14775-2023 karta.png", "A 14775-2023")</f>
        <v/>
      </c>
      <c r="U62">
        <f>HYPERLINK("https://klasma.github.io/Logging_1981/knärot/A 14775-2023 karta knärot.png", "A 14775-2023")</f>
        <v/>
      </c>
      <c r="V62">
        <f>HYPERLINK("https://klasma.github.io/Logging_1981/klagomål/A 14775-2023 FSC-klagomål.docx", "A 14775-2023")</f>
        <v/>
      </c>
      <c r="W62">
        <f>HYPERLINK("https://klasma.github.io/Logging_1981/klagomålsmail/A 14775-2023 FSC-klagomål mail.docx", "A 14775-2023")</f>
        <v/>
      </c>
      <c r="X62">
        <f>HYPERLINK("https://klasma.github.io/Logging_1981/tillsyn/A 14775-2023 tillsynsbegäran.docx", "A 14775-2023")</f>
        <v/>
      </c>
      <c r="Y62">
        <f>HYPERLINK("https://klasma.github.io/Logging_1981/tillsynsmail/A 14775-2023 tillsynsbegäran mail.docx", "A 14775-2023")</f>
        <v/>
      </c>
    </row>
    <row r="63" ht="15" customHeight="1">
      <c r="A63" t="inlineStr">
        <is>
          <t>A 21738-2025</t>
        </is>
      </c>
      <c r="B63" s="1" t="n">
        <v>45783.59173611111</v>
      </c>
      <c r="C63" s="1" t="n">
        <v>46085</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22950-2025</t>
        </is>
      </c>
      <c r="B64" s="1" t="n">
        <v>45790.50728009259</v>
      </c>
      <c r="C64" s="1" t="n">
        <v>46085</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32594-2025</t>
        </is>
      </c>
      <c r="B65" s="1" t="n">
        <v>45838</v>
      </c>
      <c r="C65" s="1" t="n">
        <v>46085</v>
      </c>
      <c r="D65" t="inlineStr">
        <is>
          <t>VÄSTMANLANDS LÄN</t>
        </is>
      </c>
      <c r="E65" t="inlineStr">
        <is>
          <t>SALA</t>
        </is>
      </c>
      <c r="F65" t="inlineStr">
        <is>
          <t>Bergvik skog öst AB</t>
        </is>
      </c>
      <c r="G65" t="n">
        <v>0.9</v>
      </c>
      <c r="H65" t="n">
        <v>1</v>
      </c>
      <c r="I65" t="n">
        <v>0</v>
      </c>
      <c r="J65" t="n">
        <v>0</v>
      </c>
      <c r="K65" t="n">
        <v>0</v>
      </c>
      <c r="L65" t="n">
        <v>0</v>
      </c>
      <c r="M65" t="n">
        <v>0</v>
      </c>
      <c r="N65" t="n">
        <v>0</v>
      </c>
      <c r="O65" t="n">
        <v>0</v>
      </c>
      <c r="P65" t="n">
        <v>0</v>
      </c>
      <c r="Q65" t="n">
        <v>1</v>
      </c>
      <c r="R65" s="2" t="inlineStr">
        <is>
          <t>Blåsippa</t>
        </is>
      </c>
      <c r="S65">
        <f>HYPERLINK("https://klasma.github.io/Logging_1981/artfynd/A 32594-2025 artfynd.xlsx", "A 32594-2025")</f>
        <v/>
      </c>
      <c r="T65">
        <f>HYPERLINK("https://klasma.github.io/Logging_1981/kartor/A 32594-2025 karta.png", "A 32594-2025")</f>
        <v/>
      </c>
      <c r="V65">
        <f>HYPERLINK("https://klasma.github.io/Logging_1981/klagomål/A 32594-2025 FSC-klagomål.docx", "A 32594-2025")</f>
        <v/>
      </c>
      <c r="W65">
        <f>HYPERLINK("https://klasma.github.io/Logging_1981/klagomålsmail/A 32594-2025 FSC-klagomål mail.docx", "A 32594-2025")</f>
        <v/>
      </c>
      <c r="X65">
        <f>HYPERLINK("https://klasma.github.io/Logging_1981/tillsyn/A 32594-2025 tillsynsbegäran.docx", "A 32594-2025")</f>
        <v/>
      </c>
      <c r="Y65">
        <f>HYPERLINK("https://klasma.github.io/Logging_1981/tillsynsmail/A 32594-2025 tillsynsbegäran mail.docx", "A 32594-2025")</f>
        <v/>
      </c>
    </row>
    <row r="66" ht="15" customHeight="1">
      <c r="A66" t="inlineStr">
        <is>
          <t>A 22350-2024</t>
        </is>
      </c>
      <c r="B66" s="1" t="n">
        <v>45446</v>
      </c>
      <c r="C66" s="1" t="n">
        <v>46085</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Blåsippa</t>
        </is>
      </c>
      <c r="S66">
        <f>HYPERLINK("https://klasma.github.io/Logging_1981/artfynd/A 22350-2024 artfynd.xlsx", "A 22350-2024")</f>
        <v/>
      </c>
      <c r="T66">
        <f>HYPERLINK("https://klasma.github.io/Logging_1981/kartor/A 22350-2024 karta.png", "A 22350-2024")</f>
        <v/>
      </c>
      <c r="V66">
        <f>HYPERLINK("https://klasma.github.io/Logging_1981/klagomål/A 22350-2024 FSC-klagomål.docx", "A 22350-2024")</f>
        <v/>
      </c>
      <c r="W66">
        <f>HYPERLINK("https://klasma.github.io/Logging_1981/klagomålsmail/A 22350-2024 FSC-klagomål mail.docx", "A 22350-2024")</f>
        <v/>
      </c>
      <c r="X66">
        <f>HYPERLINK("https://klasma.github.io/Logging_1981/tillsyn/A 22350-2024 tillsynsbegäran.docx", "A 22350-2024")</f>
        <v/>
      </c>
      <c r="Y66">
        <f>HYPERLINK("https://klasma.github.io/Logging_1981/tillsynsmail/A 22350-2024 tillsynsbegäran mail.docx", "A 22350-2024")</f>
        <v/>
      </c>
    </row>
    <row r="67" ht="15" customHeight="1">
      <c r="A67" t="inlineStr">
        <is>
          <t>A 73124-2021</t>
        </is>
      </c>
      <c r="B67" s="1" t="n">
        <v>44550</v>
      </c>
      <c r="C67" s="1" t="n">
        <v>46085</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46085</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34110-2022</t>
        </is>
      </c>
      <c r="B69" s="1" t="n">
        <v>44791</v>
      </c>
      <c r="C69" s="1" t="n">
        <v>46085</v>
      </c>
      <c r="D69" t="inlineStr">
        <is>
          <t>VÄSTMANLANDS LÄN</t>
        </is>
      </c>
      <c r="E69" t="inlineStr">
        <is>
          <t>SALA</t>
        </is>
      </c>
      <c r="G69" t="n">
        <v>0.2</v>
      </c>
      <c r="H69" t="n">
        <v>0</v>
      </c>
      <c r="I69" t="n">
        <v>0</v>
      </c>
      <c r="J69" t="n">
        <v>0</v>
      </c>
      <c r="K69" t="n">
        <v>0</v>
      </c>
      <c r="L69" t="n">
        <v>0</v>
      </c>
      <c r="M69" t="n">
        <v>0</v>
      </c>
      <c r="N69" t="n">
        <v>0</v>
      </c>
      <c r="O69" t="n">
        <v>0</v>
      </c>
      <c r="P69" t="n">
        <v>0</v>
      </c>
      <c r="Q69" t="n">
        <v>0</v>
      </c>
      <c r="R69" s="2" t="inlineStr"/>
    </row>
    <row r="70" ht="15" customHeight="1">
      <c r="A70" t="inlineStr">
        <is>
          <t>A 43292-2021</t>
        </is>
      </c>
      <c r="B70" s="1" t="n">
        <v>44432</v>
      </c>
      <c r="C70" s="1" t="n">
        <v>46085</v>
      </c>
      <c r="D70" t="inlineStr">
        <is>
          <t>VÄSTMANLANDS LÄN</t>
        </is>
      </c>
      <c r="E70" t="inlineStr">
        <is>
          <t>SALA</t>
        </is>
      </c>
      <c r="G70" t="n">
        <v>15</v>
      </c>
      <c r="H70" t="n">
        <v>0</v>
      </c>
      <c r="I70" t="n">
        <v>0</v>
      </c>
      <c r="J70" t="n">
        <v>0</v>
      </c>
      <c r="K70" t="n">
        <v>0</v>
      </c>
      <c r="L70" t="n">
        <v>0</v>
      </c>
      <c r="M70" t="n">
        <v>0</v>
      </c>
      <c r="N70" t="n">
        <v>0</v>
      </c>
      <c r="O70" t="n">
        <v>0</v>
      </c>
      <c r="P70" t="n">
        <v>0</v>
      </c>
      <c r="Q70" t="n">
        <v>0</v>
      </c>
      <c r="R70" s="2" t="inlineStr"/>
    </row>
    <row r="71" ht="15" customHeight="1">
      <c r="A71" t="inlineStr">
        <is>
          <t>A 28999-2022</t>
        </is>
      </c>
      <c r="B71" s="1" t="n">
        <v>44749</v>
      </c>
      <c r="C71" s="1" t="n">
        <v>46085</v>
      </c>
      <c r="D71" t="inlineStr">
        <is>
          <t>VÄSTMANLANDS LÄN</t>
        </is>
      </c>
      <c r="E71" t="inlineStr">
        <is>
          <t>SALA</t>
        </is>
      </c>
      <c r="G71" t="n">
        <v>5.7</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46085</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46085</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46085</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46085</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46085</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46085</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46085</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46085</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46085</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46085</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46085</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46085</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46085</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46085</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46085</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46085</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46085</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46085</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46085</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46085</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46085</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46085</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46085</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46085</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46085</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46085</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46085</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46085</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46085</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46085</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46085</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46085</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46085</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46085</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46085</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46085</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46085</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46085</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46085</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46085</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46085</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46085</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46085</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46085</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46085</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46085</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46085</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46085</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46085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46085</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46085</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46085</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46085</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46085</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46085</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46085</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46085</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46085</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46085</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46085</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46085</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46085</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46085</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46085</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46085</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46085</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46085</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46085</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46085</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46085</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46085</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46085</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46085</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46085</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46085</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46085</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46085</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46085</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46085</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46085</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46085</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46085</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46085</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46085</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46085</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46085</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46085</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46085</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46085</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46085</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46085</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46085</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46085</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46085</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46085</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46085</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46085</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46085</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46085</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24248-2023</t>
        </is>
      </c>
      <c r="B172" s="1" t="n">
        <v>45079</v>
      </c>
      <c r="C172" s="1" t="n">
        <v>46085</v>
      </c>
      <c r="D172" t="inlineStr">
        <is>
          <t>VÄSTMANLANDS LÄN</t>
        </is>
      </c>
      <c r="E172" t="inlineStr">
        <is>
          <t>SALA</t>
        </is>
      </c>
      <c r="F172" t="inlineStr">
        <is>
          <t>Sveaskog</t>
        </is>
      </c>
      <c r="G172" t="n">
        <v>2</v>
      </c>
      <c r="H172" t="n">
        <v>0</v>
      </c>
      <c r="I172" t="n">
        <v>0</v>
      </c>
      <c r="J172" t="n">
        <v>0</v>
      </c>
      <c r="K172" t="n">
        <v>0</v>
      </c>
      <c r="L172" t="n">
        <v>0</v>
      </c>
      <c r="M172" t="n">
        <v>0</v>
      </c>
      <c r="N172" t="n">
        <v>0</v>
      </c>
      <c r="O172" t="n">
        <v>0</v>
      </c>
      <c r="P172" t="n">
        <v>0</v>
      </c>
      <c r="Q172" t="n">
        <v>0</v>
      </c>
      <c r="R172" s="2" t="inlineStr"/>
    </row>
    <row r="173" ht="15" customHeight="1">
      <c r="A173" t="inlineStr">
        <is>
          <t>A 38195-2021</t>
        </is>
      </c>
      <c r="B173" s="1" t="n">
        <v>44405</v>
      </c>
      <c r="C173" s="1" t="n">
        <v>46085</v>
      </c>
      <c r="D173" t="inlineStr">
        <is>
          <t>VÄSTMANLANDS LÄN</t>
        </is>
      </c>
      <c r="E173" t="inlineStr">
        <is>
          <t>SALA</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27228-2023</t>
        </is>
      </c>
      <c r="B174" s="1" t="n">
        <v>45096.59189814814</v>
      </c>
      <c r="C174" s="1" t="n">
        <v>46085</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41876-2022</t>
        </is>
      </c>
      <c r="B175" s="1" t="n">
        <v>44829.97008101852</v>
      </c>
      <c r="C175" s="1" t="n">
        <v>46085</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67958-2021</t>
        </is>
      </c>
      <c r="B176" s="1" t="n">
        <v>44525</v>
      </c>
      <c r="C176" s="1" t="n">
        <v>46085</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67965-2021</t>
        </is>
      </c>
      <c r="B177" s="1" t="n">
        <v>44525</v>
      </c>
      <c r="C177" s="1" t="n">
        <v>46085</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45015-2022</t>
        </is>
      </c>
      <c r="B178" s="1" t="n">
        <v>44841.63766203704</v>
      </c>
      <c r="C178" s="1" t="n">
        <v>46085</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10168-2022</t>
        </is>
      </c>
      <c r="B179" s="1" t="n">
        <v>44622.37693287037</v>
      </c>
      <c r="C179" s="1" t="n">
        <v>46085</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53838-2022</t>
        </is>
      </c>
      <c r="B180" s="1" t="n">
        <v>44880.59363425926</v>
      </c>
      <c r="C180" s="1" t="n">
        <v>46085</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57000-2021</t>
        </is>
      </c>
      <c r="B181" s="1" t="n">
        <v>44482.46760416667</v>
      </c>
      <c r="C181" s="1" t="n">
        <v>46085</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26579-2021</t>
        </is>
      </c>
      <c r="B182" s="1" t="n">
        <v>44348</v>
      </c>
      <c r="C182" s="1" t="n">
        <v>46085</v>
      </c>
      <c r="D182" t="inlineStr">
        <is>
          <t>VÄSTMANLANDS LÄN</t>
        </is>
      </c>
      <c r="E182" t="inlineStr">
        <is>
          <t>SALA</t>
        </is>
      </c>
      <c r="G182" t="n">
        <v>1.6</v>
      </c>
      <c r="H182" t="n">
        <v>0</v>
      </c>
      <c r="I182" t="n">
        <v>0</v>
      </c>
      <c r="J182" t="n">
        <v>0</v>
      </c>
      <c r="K182" t="n">
        <v>0</v>
      </c>
      <c r="L182" t="n">
        <v>0</v>
      </c>
      <c r="M182" t="n">
        <v>0</v>
      </c>
      <c r="N182" t="n">
        <v>0</v>
      </c>
      <c r="O182" t="n">
        <v>0</v>
      </c>
      <c r="P182" t="n">
        <v>0</v>
      </c>
      <c r="Q182" t="n">
        <v>0</v>
      </c>
      <c r="R182" s="2" t="inlineStr"/>
    </row>
    <row r="183" ht="15" customHeight="1">
      <c r="A183" t="inlineStr">
        <is>
          <t>A 25260-2023</t>
        </is>
      </c>
      <c r="B183" s="1" t="n">
        <v>45086</v>
      </c>
      <c r="C183" s="1" t="n">
        <v>46085</v>
      </c>
      <c r="D183" t="inlineStr">
        <is>
          <t>VÄSTMANLANDS LÄN</t>
        </is>
      </c>
      <c r="E183" t="inlineStr">
        <is>
          <t>SALA</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64932-2021</t>
        </is>
      </c>
      <c r="B184" s="1" t="n">
        <v>44512</v>
      </c>
      <c r="C184" s="1" t="n">
        <v>46085</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16769-2024</t>
        </is>
      </c>
      <c r="B185" s="1" t="n">
        <v>45411.38738425926</v>
      </c>
      <c r="C185" s="1" t="n">
        <v>46085</v>
      </c>
      <c r="D185" t="inlineStr">
        <is>
          <t>VÄSTMANLANDS LÄN</t>
        </is>
      </c>
      <c r="E185" t="inlineStr">
        <is>
          <t>SALA</t>
        </is>
      </c>
      <c r="G185" t="n">
        <v>12</v>
      </c>
      <c r="H185" t="n">
        <v>0</v>
      </c>
      <c r="I185" t="n">
        <v>0</v>
      </c>
      <c r="J185" t="n">
        <v>0</v>
      </c>
      <c r="K185" t="n">
        <v>0</v>
      </c>
      <c r="L185" t="n">
        <v>0</v>
      </c>
      <c r="M185" t="n">
        <v>0</v>
      </c>
      <c r="N185" t="n">
        <v>0</v>
      </c>
      <c r="O185" t="n">
        <v>0</v>
      </c>
      <c r="P185" t="n">
        <v>0</v>
      </c>
      <c r="Q185" t="n">
        <v>0</v>
      </c>
      <c r="R185" s="2" t="inlineStr"/>
    </row>
    <row r="186" ht="15" customHeight="1">
      <c r="A186" t="inlineStr">
        <is>
          <t>A 56688-2024</t>
        </is>
      </c>
      <c r="B186" s="1" t="n">
        <v>45627.66478009259</v>
      </c>
      <c r="C186" s="1" t="n">
        <v>46085</v>
      </c>
      <c r="D186" t="inlineStr">
        <is>
          <t>VÄSTMANLANDS LÄN</t>
        </is>
      </c>
      <c r="E186" t="inlineStr">
        <is>
          <t>SALA</t>
        </is>
      </c>
      <c r="G186" t="n">
        <v>0.9</v>
      </c>
      <c r="H186" t="n">
        <v>0</v>
      </c>
      <c r="I186" t="n">
        <v>0</v>
      </c>
      <c r="J186" t="n">
        <v>0</v>
      </c>
      <c r="K186" t="n">
        <v>0</v>
      </c>
      <c r="L186" t="n">
        <v>0</v>
      </c>
      <c r="M186" t="n">
        <v>0</v>
      </c>
      <c r="N186" t="n">
        <v>0</v>
      </c>
      <c r="O186" t="n">
        <v>0</v>
      </c>
      <c r="P186" t="n">
        <v>0</v>
      </c>
      <c r="Q186" t="n">
        <v>0</v>
      </c>
      <c r="R186" s="2" t="inlineStr"/>
    </row>
    <row r="187" ht="15" customHeight="1">
      <c r="A187" t="inlineStr">
        <is>
          <t>A 27261-2024</t>
        </is>
      </c>
      <c r="B187" s="1" t="n">
        <v>45471</v>
      </c>
      <c r="C187" s="1" t="n">
        <v>46085</v>
      </c>
      <c r="D187" t="inlineStr">
        <is>
          <t>VÄSTMANLANDS LÄN</t>
        </is>
      </c>
      <c r="E187" t="inlineStr">
        <is>
          <t>SALA</t>
        </is>
      </c>
      <c r="G187" t="n">
        <v>6.1</v>
      </c>
      <c r="H187" t="n">
        <v>0</v>
      </c>
      <c r="I187" t="n">
        <v>0</v>
      </c>
      <c r="J187" t="n">
        <v>0</v>
      </c>
      <c r="K187" t="n">
        <v>0</v>
      </c>
      <c r="L187" t="n">
        <v>0</v>
      </c>
      <c r="M187" t="n">
        <v>0</v>
      </c>
      <c r="N187" t="n">
        <v>0</v>
      </c>
      <c r="O187" t="n">
        <v>0</v>
      </c>
      <c r="P187" t="n">
        <v>0</v>
      </c>
      <c r="Q187" t="n">
        <v>0</v>
      </c>
      <c r="R187" s="2" t="inlineStr"/>
    </row>
    <row r="188" ht="15" customHeight="1">
      <c r="A188" t="inlineStr">
        <is>
          <t>A 60249-2023</t>
        </is>
      </c>
      <c r="B188" s="1" t="n">
        <v>45258</v>
      </c>
      <c r="C188" s="1" t="n">
        <v>46085</v>
      </c>
      <c r="D188" t="inlineStr">
        <is>
          <t>VÄSTMANLANDS LÄN</t>
        </is>
      </c>
      <c r="E188" t="inlineStr">
        <is>
          <t>SALA</t>
        </is>
      </c>
      <c r="G188" t="n">
        <v>2</v>
      </c>
      <c r="H188" t="n">
        <v>0</v>
      </c>
      <c r="I188" t="n">
        <v>0</v>
      </c>
      <c r="J188" t="n">
        <v>0</v>
      </c>
      <c r="K188" t="n">
        <v>0</v>
      </c>
      <c r="L188" t="n">
        <v>0</v>
      </c>
      <c r="M188" t="n">
        <v>0</v>
      </c>
      <c r="N188" t="n">
        <v>0</v>
      </c>
      <c r="O188" t="n">
        <v>0</v>
      </c>
      <c r="P188" t="n">
        <v>0</v>
      </c>
      <c r="Q188" t="n">
        <v>0</v>
      </c>
      <c r="R188" s="2" t="inlineStr"/>
    </row>
    <row r="189" ht="15" customHeight="1">
      <c r="A189" t="inlineStr">
        <is>
          <t>A 14271-2025</t>
        </is>
      </c>
      <c r="B189" s="1" t="n">
        <v>45740.64129629629</v>
      </c>
      <c r="C189" s="1" t="n">
        <v>46085</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18713-2025</t>
        </is>
      </c>
      <c r="B190" s="1" t="n">
        <v>45763</v>
      </c>
      <c r="C190" s="1" t="n">
        <v>46085</v>
      </c>
      <c r="D190" t="inlineStr">
        <is>
          <t>VÄSTMANLANDS LÄN</t>
        </is>
      </c>
      <c r="E190" t="inlineStr">
        <is>
          <t>SALA</t>
        </is>
      </c>
      <c r="F190" t="inlineStr">
        <is>
          <t>Bergvik skog öst AB</t>
        </is>
      </c>
      <c r="G190" t="n">
        <v>11.6</v>
      </c>
      <c r="H190" t="n">
        <v>0</v>
      </c>
      <c r="I190" t="n">
        <v>0</v>
      </c>
      <c r="J190" t="n">
        <v>0</v>
      </c>
      <c r="K190" t="n">
        <v>0</v>
      </c>
      <c r="L190" t="n">
        <v>0</v>
      </c>
      <c r="M190" t="n">
        <v>0</v>
      </c>
      <c r="N190" t="n">
        <v>0</v>
      </c>
      <c r="O190" t="n">
        <v>0</v>
      </c>
      <c r="P190" t="n">
        <v>0</v>
      </c>
      <c r="Q190" t="n">
        <v>0</v>
      </c>
      <c r="R190" s="2" t="inlineStr"/>
    </row>
    <row r="191" ht="15" customHeight="1">
      <c r="A191" t="inlineStr">
        <is>
          <t>A 69232-2021</t>
        </is>
      </c>
      <c r="B191" s="1" t="n">
        <v>44531.39696759259</v>
      </c>
      <c r="C191" s="1" t="n">
        <v>46085</v>
      </c>
      <c r="D191" t="inlineStr">
        <is>
          <t>VÄSTMANLANDS LÄN</t>
        </is>
      </c>
      <c r="E191" t="inlineStr">
        <is>
          <t>SALA</t>
        </is>
      </c>
      <c r="G191" t="n">
        <v>2.3</v>
      </c>
      <c r="H191" t="n">
        <v>0</v>
      </c>
      <c r="I191" t="n">
        <v>0</v>
      </c>
      <c r="J191" t="n">
        <v>0</v>
      </c>
      <c r="K191" t="n">
        <v>0</v>
      </c>
      <c r="L191" t="n">
        <v>0</v>
      </c>
      <c r="M191" t="n">
        <v>0</v>
      </c>
      <c r="N191" t="n">
        <v>0</v>
      </c>
      <c r="O191" t="n">
        <v>0</v>
      </c>
      <c r="P191" t="n">
        <v>0</v>
      </c>
      <c r="Q191" t="n">
        <v>0</v>
      </c>
      <c r="R191" s="2" t="inlineStr"/>
    </row>
    <row r="192" ht="15" customHeight="1">
      <c r="A192" t="inlineStr">
        <is>
          <t>A 54959-2024</t>
        </is>
      </c>
      <c r="B192" s="1" t="n">
        <v>45619</v>
      </c>
      <c r="C192" s="1" t="n">
        <v>46085</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28328-2023</t>
        </is>
      </c>
      <c r="B193" s="1" t="n">
        <v>45099.71063657408</v>
      </c>
      <c r="C193" s="1" t="n">
        <v>46085</v>
      </c>
      <c r="D193" t="inlineStr">
        <is>
          <t>VÄSTMANLANDS LÄN</t>
        </is>
      </c>
      <c r="E193" t="inlineStr">
        <is>
          <t>SALA</t>
        </is>
      </c>
      <c r="G193" t="n">
        <v>1.8</v>
      </c>
      <c r="H193" t="n">
        <v>0</v>
      </c>
      <c r="I193" t="n">
        <v>0</v>
      </c>
      <c r="J193" t="n">
        <v>0</v>
      </c>
      <c r="K193" t="n">
        <v>0</v>
      </c>
      <c r="L193" t="n">
        <v>0</v>
      </c>
      <c r="M193" t="n">
        <v>0</v>
      </c>
      <c r="N193" t="n">
        <v>0</v>
      </c>
      <c r="O193" t="n">
        <v>0</v>
      </c>
      <c r="P193" t="n">
        <v>0</v>
      </c>
      <c r="Q193" t="n">
        <v>0</v>
      </c>
      <c r="R193" s="2" t="inlineStr"/>
    </row>
    <row r="194" ht="15" customHeight="1">
      <c r="A194" t="inlineStr">
        <is>
          <t>A 27486-2022</t>
        </is>
      </c>
      <c r="B194" s="1" t="n">
        <v>44742.60846064815</v>
      </c>
      <c r="C194" s="1" t="n">
        <v>46085</v>
      </c>
      <c r="D194" t="inlineStr">
        <is>
          <t>VÄSTMANLANDS LÄN</t>
        </is>
      </c>
      <c r="E194" t="inlineStr">
        <is>
          <t>SALA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16651-2021</t>
        </is>
      </c>
      <c r="B195" s="1" t="n">
        <v>44294.50096064815</v>
      </c>
      <c r="C195" s="1" t="n">
        <v>46085</v>
      </c>
      <c r="D195" t="inlineStr">
        <is>
          <t>VÄSTMANLANDS LÄN</t>
        </is>
      </c>
      <c r="E195" t="inlineStr">
        <is>
          <t>SALA</t>
        </is>
      </c>
      <c r="G195" t="n">
        <v>7.7</v>
      </c>
      <c r="H195" t="n">
        <v>0</v>
      </c>
      <c r="I195" t="n">
        <v>0</v>
      </c>
      <c r="J195" t="n">
        <v>0</v>
      </c>
      <c r="K195" t="n">
        <v>0</v>
      </c>
      <c r="L195" t="n">
        <v>0</v>
      </c>
      <c r="M195" t="n">
        <v>0</v>
      </c>
      <c r="N195" t="n">
        <v>0</v>
      </c>
      <c r="O195" t="n">
        <v>0</v>
      </c>
      <c r="P195" t="n">
        <v>0</v>
      </c>
      <c r="Q195" t="n">
        <v>0</v>
      </c>
      <c r="R195" s="2" t="inlineStr"/>
    </row>
    <row r="196" ht="15" customHeight="1">
      <c r="A196" t="inlineStr">
        <is>
          <t>A 40085-2024</t>
        </is>
      </c>
      <c r="B196" s="1" t="n">
        <v>45554</v>
      </c>
      <c r="C196" s="1" t="n">
        <v>46085</v>
      </c>
      <c r="D196" t="inlineStr">
        <is>
          <t>VÄSTMANLANDS LÄN</t>
        </is>
      </c>
      <c r="E196" t="inlineStr">
        <is>
          <t>SALA</t>
        </is>
      </c>
      <c r="G196" t="n">
        <v>2.8</v>
      </c>
      <c r="H196" t="n">
        <v>0</v>
      </c>
      <c r="I196" t="n">
        <v>0</v>
      </c>
      <c r="J196" t="n">
        <v>0</v>
      </c>
      <c r="K196" t="n">
        <v>0</v>
      </c>
      <c r="L196" t="n">
        <v>0</v>
      </c>
      <c r="M196" t="n">
        <v>0</v>
      </c>
      <c r="N196" t="n">
        <v>0</v>
      </c>
      <c r="O196" t="n">
        <v>0</v>
      </c>
      <c r="P196" t="n">
        <v>0</v>
      </c>
      <c r="Q196" t="n">
        <v>0</v>
      </c>
      <c r="R196" s="2" t="inlineStr"/>
    </row>
    <row r="197" ht="15" customHeight="1">
      <c r="A197" t="inlineStr">
        <is>
          <t>A 6134-2024</t>
        </is>
      </c>
      <c r="B197" s="1" t="n">
        <v>45337</v>
      </c>
      <c r="C197" s="1" t="n">
        <v>46085</v>
      </c>
      <c r="D197" t="inlineStr">
        <is>
          <t>VÄSTMANLANDS LÄN</t>
        </is>
      </c>
      <c r="E197" t="inlineStr">
        <is>
          <t>SALA</t>
        </is>
      </c>
      <c r="G197" t="n">
        <v>1.8</v>
      </c>
      <c r="H197" t="n">
        <v>0</v>
      </c>
      <c r="I197" t="n">
        <v>0</v>
      </c>
      <c r="J197" t="n">
        <v>0</v>
      </c>
      <c r="K197" t="n">
        <v>0</v>
      </c>
      <c r="L197" t="n">
        <v>0</v>
      </c>
      <c r="M197" t="n">
        <v>0</v>
      </c>
      <c r="N197" t="n">
        <v>0</v>
      </c>
      <c r="O197" t="n">
        <v>0</v>
      </c>
      <c r="P197" t="n">
        <v>0</v>
      </c>
      <c r="Q197" t="n">
        <v>0</v>
      </c>
      <c r="R197" s="2" t="inlineStr"/>
    </row>
    <row r="198" ht="15" customHeight="1">
      <c r="A198" t="inlineStr">
        <is>
          <t>A 15354-2021</t>
        </is>
      </c>
      <c r="B198" s="1" t="n">
        <v>44284</v>
      </c>
      <c r="C198" s="1" t="n">
        <v>46085</v>
      </c>
      <c r="D198" t="inlineStr">
        <is>
          <t>VÄSTMANLANDS LÄN</t>
        </is>
      </c>
      <c r="E198" t="inlineStr">
        <is>
          <t>SALA</t>
        </is>
      </c>
      <c r="F198" t="inlineStr">
        <is>
          <t>Kyrkan</t>
        </is>
      </c>
      <c r="G198" t="n">
        <v>8.5</v>
      </c>
      <c r="H198" t="n">
        <v>0</v>
      </c>
      <c r="I198" t="n">
        <v>0</v>
      </c>
      <c r="J198" t="n">
        <v>0</v>
      </c>
      <c r="K198" t="n">
        <v>0</v>
      </c>
      <c r="L198" t="n">
        <v>0</v>
      </c>
      <c r="M198" t="n">
        <v>0</v>
      </c>
      <c r="N198" t="n">
        <v>0</v>
      </c>
      <c r="O198" t="n">
        <v>0</v>
      </c>
      <c r="P198" t="n">
        <v>0</v>
      </c>
      <c r="Q198" t="n">
        <v>0</v>
      </c>
      <c r="R198" s="2" t="inlineStr"/>
    </row>
    <row r="199" ht="15" customHeight="1">
      <c r="A199" t="inlineStr">
        <is>
          <t>A 18158-2025</t>
        </is>
      </c>
      <c r="B199" s="1" t="n">
        <v>45761</v>
      </c>
      <c r="C199" s="1" t="n">
        <v>46085</v>
      </c>
      <c r="D199" t="inlineStr">
        <is>
          <t>VÄSTMANLANDS LÄN</t>
        </is>
      </c>
      <c r="E199" t="inlineStr">
        <is>
          <t>SALA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49661-2024</t>
        </is>
      </c>
      <c r="B200" s="1" t="n">
        <v>45596</v>
      </c>
      <c r="C200" s="1" t="n">
        <v>46085</v>
      </c>
      <c r="D200" t="inlineStr">
        <is>
          <t>VÄSTMANLANDS LÄN</t>
        </is>
      </c>
      <c r="E200" t="inlineStr">
        <is>
          <t>SALA</t>
        </is>
      </c>
      <c r="G200" t="n">
        <v>6.7</v>
      </c>
      <c r="H200" t="n">
        <v>0</v>
      </c>
      <c r="I200" t="n">
        <v>0</v>
      </c>
      <c r="J200" t="n">
        <v>0</v>
      </c>
      <c r="K200" t="n">
        <v>0</v>
      </c>
      <c r="L200" t="n">
        <v>0</v>
      </c>
      <c r="M200" t="n">
        <v>0</v>
      </c>
      <c r="N200" t="n">
        <v>0</v>
      </c>
      <c r="O200" t="n">
        <v>0</v>
      </c>
      <c r="P200" t="n">
        <v>0</v>
      </c>
      <c r="Q200" t="n">
        <v>0</v>
      </c>
      <c r="R200" s="2" t="inlineStr"/>
    </row>
    <row r="201" ht="15" customHeight="1">
      <c r="A201" t="inlineStr">
        <is>
          <t>A 39182-2025</t>
        </is>
      </c>
      <c r="B201" s="1" t="n">
        <v>45888.66204861111</v>
      </c>
      <c r="C201" s="1" t="n">
        <v>46085</v>
      </c>
      <c r="D201" t="inlineStr">
        <is>
          <t>VÄSTMANLANDS LÄN</t>
        </is>
      </c>
      <c r="E201" t="inlineStr">
        <is>
          <t>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46279-2021</t>
        </is>
      </c>
      <c r="B202" s="1" t="n">
        <v>44442.57797453704</v>
      </c>
      <c r="C202" s="1" t="n">
        <v>46085</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35519-2024</t>
        </is>
      </c>
      <c r="B203" s="1" t="n">
        <v>45531</v>
      </c>
      <c r="C203" s="1" t="n">
        <v>46085</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73673-2021</t>
        </is>
      </c>
      <c r="B204" s="1" t="n">
        <v>44552.46501157407</v>
      </c>
      <c r="C204" s="1" t="n">
        <v>46085</v>
      </c>
      <c r="D204" t="inlineStr">
        <is>
          <t>VÄSTMANLANDS LÄN</t>
        </is>
      </c>
      <c r="E204" t="inlineStr">
        <is>
          <t>SALA</t>
        </is>
      </c>
      <c r="G204" t="n">
        <v>11.4</v>
      </c>
      <c r="H204" t="n">
        <v>0</v>
      </c>
      <c r="I204" t="n">
        <v>0</v>
      </c>
      <c r="J204" t="n">
        <v>0</v>
      </c>
      <c r="K204" t="n">
        <v>0</v>
      </c>
      <c r="L204" t="n">
        <v>0</v>
      </c>
      <c r="M204" t="n">
        <v>0</v>
      </c>
      <c r="N204" t="n">
        <v>0</v>
      </c>
      <c r="O204" t="n">
        <v>0</v>
      </c>
      <c r="P204" t="n">
        <v>0</v>
      </c>
      <c r="Q204" t="n">
        <v>0</v>
      </c>
      <c r="R204" s="2" t="inlineStr"/>
    </row>
    <row r="205" ht="15" customHeight="1">
      <c r="A205" t="inlineStr">
        <is>
          <t>A 39597-2022</t>
        </is>
      </c>
      <c r="B205" s="1" t="n">
        <v>44818</v>
      </c>
      <c r="C205" s="1" t="n">
        <v>46085</v>
      </c>
      <c r="D205" t="inlineStr">
        <is>
          <t>VÄSTMANLANDS LÄN</t>
        </is>
      </c>
      <c r="E205" t="inlineStr">
        <is>
          <t>SALA</t>
        </is>
      </c>
      <c r="G205" t="n">
        <v>2.3</v>
      </c>
      <c r="H205" t="n">
        <v>0</v>
      </c>
      <c r="I205" t="n">
        <v>0</v>
      </c>
      <c r="J205" t="n">
        <v>0</v>
      </c>
      <c r="K205" t="n">
        <v>0</v>
      </c>
      <c r="L205" t="n">
        <v>0</v>
      </c>
      <c r="M205" t="n">
        <v>0</v>
      </c>
      <c r="N205" t="n">
        <v>0</v>
      </c>
      <c r="O205" t="n">
        <v>0</v>
      </c>
      <c r="P205" t="n">
        <v>0</v>
      </c>
      <c r="Q205" t="n">
        <v>0</v>
      </c>
      <c r="R205" s="2" t="inlineStr"/>
    </row>
    <row r="206" ht="15" customHeight="1">
      <c r="A206" t="inlineStr">
        <is>
          <t>A 38574-2025</t>
        </is>
      </c>
      <c r="B206" s="1" t="n">
        <v>45884.46390046296</v>
      </c>
      <c r="C206" s="1" t="n">
        <v>46085</v>
      </c>
      <c r="D206" t="inlineStr">
        <is>
          <t>VÄSTMANLANDS LÄN</t>
        </is>
      </c>
      <c r="E206" t="inlineStr">
        <is>
          <t>SALA</t>
        </is>
      </c>
      <c r="G206" t="n">
        <v>2.1</v>
      </c>
      <c r="H206" t="n">
        <v>0</v>
      </c>
      <c r="I206" t="n">
        <v>0</v>
      </c>
      <c r="J206" t="n">
        <v>0</v>
      </c>
      <c r="K206" t="n">
        <v>0</v>
      </c>
      <c r="L206" t="n">
        <v>0</v>
      </c>
      <c r="M206" t="n">
        <v>0</v>
      </c>
      <c r="N206" t="n">
        <v>0</v>
      </c>
      <c r="O206" t="n">
        <v>0</v>
      </c>
      <c r="P206" t="n">
        <v>0</v>
      </c>
      <c r="Q206" t="n">
        <v>0</v>
      </c>
      <c r="R206" s="2" t="inlineStr"/>
    </row>
    <row r="207" ht="15" customHeight="1">
      <c r="A207" t="inlineStr">
        <is>
          <t>A 54347-2024</t>
        </is>
      </c>
      <c r="B207" s="1" t="n">
        <v>45617.39325231482</v>
      </c>
      <c r="C207" s="1" t="n">
        <v>46085</v>
      </c>
      <c r="D207" t="inlineStr">
        <is>
          <t>VÄSTMANLANDS LÄN</t>
        </is>
      </c>
      <c r="E207" t="inlineStr">
        <is>
          <t>SALA</t>
        </is>
      </c>
      <c r="G207" t="n">
        <v>2</v>
      </c>
      <c r="H207" t="n">
        <v>0</v>
      </c>
      <c r="I207" t="n">
        <v>0</v>
      </c>
      <c r="J207" t="n">
        <v>0</v>
      </c>
      <c r="K207" t="n">
        <v>0</v>
      </c>
      <c r="L207" t="n">
        <v>0</v>
      </c>
      <c r="M207" t="n">
        <v>0</v>
      </c>
      <c r="N207" t="n">
        <v>0</v>
      </c>
      <c r="O207" t="n">
        <v>0</v>
      </c>
      <c r="P207" t="n">
        <v>0</v>
      </c>
      <c r="Q207" t="n">
        <v>0</v>
      </c>
      <c r="R207" s="2" t="inlineStr"/>
    </row>
    <row r="208" ht="15" customHeight="1">
      <c r="A208" t="inlineStr">
        <is>
          <t>A 31864-2025</t>
        </is>
      </c>
      <c r="B208" s="1" t="n">
        <v>45834.63819444444</v>
      </c>
      <c r="C208" s="1" t="n">
        <v>46085</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16651-2021</t>
        </is>
      </c>
      <c r="B209" s="1" t="n">
        <v>44294.50096064815</v>
      </c>
      <c r="C209" s="1" t="n">
        <v>46085</v>
      </c>
      <c r="D209" t="inlineStr">
        <is>
          <t>VÄSTMANLANDS LÄN</t>
        </is>
      </c>
      <c r="E209" t="inlineStr">
        <is>
          <t>SALA</t>
        </is>
      </c>
      <c r="G209" t="n">
        <v>7.7</v>
      </c>
      <c r="H209" t="n">
        <v>0</v>
      </c>
      <c r="I209" t="n">
        <v>0</v>
      </c>
      <c r="J209" t="n">
        <v>0</v>
      </c>
      <c r="K209" t="n">
        <v>0</v>
      </c>
      <c r="L209" t="n">
        <v>0</v>
      </c>
      <c r="M209" t="n">
        <v>0</v>
      </c>
      <c r="N209" t="n">
        <v>0</v>
      </c>
      <c r="O209" t="n">
        <v>0</v>
      </c>
      <c r="P209" t="n">
        <v>0</v>
      </c>
      <c r="Q209" t="n">
        <v>0</v>
      </c>
      <c r="R209" s="2" t="inlineStr"/>
    </row>
    <row r="210" ht="15" customHeight="1">
      <c r="A210" t="inlineStr">
        <is>
          <t>A 38294-2025</t>
        </is>
      </c>
      <c r="B210" s="1" t="n">
        <v>45883.44854166666</v>
      </c>
      <c r="C210" s="1" t="n">
        <v>46085</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13022-2023</t>
        </is>
      </c>
      <c r="B211" s="1" t="n">
        <v>45002.33291666667</v>
      </c>
      <c r="C211" s="1" t="n">
        <v>46085</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35003-2024</t>
        </is>
      </c>
      <c r="B212" s="1" t="n">
        <v>45527.56790509259</v>
      </c>
      <c r="C212" s="1" t="n">
        <v>46085</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39167-2025</t>
        </is>
      </c>
      <c r="B213" s="1" t="n">
        <v>45888</v>
      </c>
      <c r="C213" s="1" t="n">
        <v>46085</v>
      </c>
      <c r="D213" t="inlineStr">
        <is>
          <t>VÄSTMANLANDS LÄN</t>
        </is>
      </c>
      <c r="E213" t="inlineStr">
        <is>
          <t>SALA</t>
        </is>
      </c>
      <c r="G213" t="n">
        <v>5.5</v>
      </c>
      <c r="H213" t="n">
        <v>0</v>
      </c>
      <c r="I213" t="n">
        <v>0</v>
      </c>
      <c r="J213" t="n">
        <v>0</v>
      </c>
      <c r="K213" t="n">
        <v>0</v>
      </c>
      <c r="L213" t="n">
        <v>0</v>
      </c>
      <c r="M213" t="n">
        <v>0</v>
      </c>
      <c r="N213" t="n">
        <v>0</v>
      </c>
      <c r="O213" t="n">
        <v>0</v>
      </c>
      <c r="P213" t="n">
        <v>0</v>
      </c>
      <c r="Q213" t="n">
        <v>0</v>
      </c>
      <c r="R213" s="2" t="inlineStr"/>
    </row>
    <row r="214" ht="15" customHeight="1">
      <c r="A214" t="inlineStr">
        <is>
          <t>A 17722-2025</t>
        </is>
      </c>
      <c r="B214" s="1" t="n">
        <v>45758</v>
      </c>
      <c r="C214" s="1" t="n">
        <v>46085</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66307-2021</t>
        </is>
      </c>
      <c r="B215" s="1" t="n">
        <v>44518.48670138889</v>
      </c>
      <c r="C215" s="1" t="n">
        <v>46085</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6030-2024</t>
        </is>
      </c>
      <c r="B216" s="1" t="n">
        <v>45336.62782407407</v>
      </c>
      <c r="C216" s="1" t="n">
        <v>46085</v>
      </c>
      <c r="D216" t="inlineStr">
        <is>
          <t>VÄSTMANLANDS LÄN</t>
        </is>
      </c>
      <c r="E216" t="inlineStr">
        <is>
          <t>SALA</t>
        </is>
      </c>
      <c r="G216" t="n">
        <v>3.9</v>
      </c>
      <c r="H216" t="n">
        <v>0</v>
      </c>
      <c r="I216" t="n">
        <v>0</v>
      </c>
      <c r="J216" t="n">
        <v>0</v>
      </c>
      <c r="K216" t="n">
        <v>0</v>
      </c>
      <c r="L216" t="n">
        <v>0</v>
      </c>
      <c r="M216" t="n">
        <v>0</v>
      </c>
      <c r="N216" t="n">
        <v>0</v>
      </c>
      <c r="O216" t="n">
        <v>0</v>
      </c>
      <c r="P216" t="n">
        <v>0</v>
      </c>
      <c r="Q216" t="n">
        <v>0</v>
      </c>
      <c r="R216" s="2" t="inlineStr"/>
    </row>
    <row r="217" ht="15" customHeight="1">
      <c r="A217" t="inlineStr">
        <is>
          <t>A 6021-2026</t>
        </is>
      </c>
      <c r="B217" s="1" t="n">
        <v>46050</v>
      </c>
      <c r="C217" s="1" t="n">
        <v>46085</v>
      </c>
      <c r="D217" t="inlineStr">
        <is>
          <t>VÄSTMANLANDS LÄN</t>
        </is>
      </c>
      <c r="E217" t="inlineStr">
        <is>
          <t>SALA</t>
        </is>
      </c>
      <c r="G217" t="n">
        <v>1.9</v>
      </c>
      <c r="H217" t="n">
        <v>0</v>
      </c>
      <c r="I217" t="n">
        <v>0</v>
      </c>
      <c r="J217" t="n">
        <v>0</v>
      </c>
      <c r="K217" t="n">
        <v>0</v>
      </c>
      <c r="L217" t="n">
        <v>0</v>
      </c>
      <c r="M217" t="n">
        <v>0</v>
      </c>
      <c r="N217" t="n">
        <v>0</v>
      </c>
      <c r="O217" t="n">
        <v>0</v>
      </c>
      <c r="P217" t="n">
        <v>0</v>
      </c>
      <c r="Q217" t="n">
        <v>0</v>
      </c>
      <c r="R217" s="2" t="inlineStr"/>
    </row>
    <row r="218" ht="15" customHeight="1">
      <c r="A218" t="inlineStr">
        <is>
          <t>A 26761-2023</t>
        </is>
      </c>
      <c r="B218" s="1" t="n">
        <v>45093</v>
      </c>
      <c r="C218" s="1" t="n">
        <v>46085</v>
      </c>
      <c r="D218" t="inlineStr">
        <is>
          <t>VÄSTMANLANDS LÄN</t>
        </is>
      </c>
      <c r="E218" t="inlineStr">
        <is>
          <t>SALA</t>
        </is>
      </c>
      <c r="G218" t="n">
        <v>4.3</v>
      </c>
      <c r="H218" t="n">
        <v>0</v>
      </c>
      <c r="I218" t="n">
        <v>0</v>
      </c>
      <c r="J218" t="n">
        <v>0</v>
      </c>
      <c r="K218" t="n">
        <v>0</v>
      </c>
      <c r="L218" t="n">
        <v>0</v>
      </c>
      <c r="M218" t="n">
        <v>0</v>
      </c>
      <c r="N218" t="n">
        <v>0</v>
      </c>
      <c r="O218" t="n">
        <v>0</v>
      </c>
      <c r="P218" t="n">
        <v>0</v>
      </c>
      <c r="Q218" t="n">
        <v>0</v>
      </c>
      <c r="R218" s="2" t="inlineStr"/>
    </row>
    <row r="219" ht="15" customHeight="1">
      <c r="A219" t="inlineStr">
        <is>
          <t>A 61892-2021</t>
        </is>
      </c>
      <c r="B219" s="1" t="n">
        <v>44502</v>
      </c>
      <c r="C219" s="1" t="n">
        <v>46085</v>
      </c>
      <c r="D219" t="inlineStr">
        <is>
          <t>VÄSTMANLANDS LÄN</t>
        </is>
      </c>
      <c r="E219" t="inlineStr">
        <is>
          <t>SALA</t>
        </is>
      </c>
      <c r="G219" t="n">
        <v>1.4</v>
      </c>
      <c r="H219" t="n">
        <v>0</v>
      </c>
      <c r="I219" t="n">
        <v>0</v>
      </c>
      <c r="J219" t="n">
        <v>0</v>
      </c>
      <c r="K219" t="n">
        <v>0</v>
      </c>
      <c r="L219" t="n">
        <v>0</v>
      </c>
      <c r="M219" t="n">
        <v>0</v>
      </c>
      <c r="N219" t="n">
        <v>0</v>
      </c>
      <c r="O219" t="n">
        <v>0</v>
      </c>
      <c r="P219" t="n">
        <v>0</v>
      </c>
      <c r="Q219" t="n">
        <v>0</v>
      </c>
      <c r="R219" s="2" t="inlineStr"/>
    </row>
    <row r="220" ht="15" customHeight="1">
      <c r="A220" t="inlineStr">
        <is>
          <t>A 7327-2026</t>
        </is>
      </c>
      <c r="B220" s="1" t="n">
        <v>46058.68371527778</v>
      </c>
      <c r="C220" s="1" t="n">
        <v>46085</v>
      </c>
      <c r="D220" t="inlineStr">
        <is>
          <t>VÄSTMANLANDS LÄN</t>
        </is>
      </c>
      <c r="E220" t="inlineStr">
        <is>
          <t>SALA</t>
        </is>
      </c>
      <c r="G220" t="n">
        <v>5.8</v>
      </c>
      <c r="H220" t="n">
        <v>0</v>
      </c>
      <c r="I220" t="n">
        <v>0</v>
      </c>
      <c r="J220" t="n">
        <v>0</v>
      </c>
      <c r="K220" t="n">
        <v>0</v>
      </c>
      <c r="L220" t="n">
        <v>0</v>
      </c>
      <c r="M220" t="n">
        <v>0</v>
      </c>
      <c r="N220" t="n">
        <v>0</v>
      </c>
      <c r="O220" t="n">
        <v>0</v>
      </c>
      <c r="P220" t="n">
        <v>0</v>
      </c>
      <c r="Q220" t="n">
        <v>0</v>
      </c>
      <c r="R220" s="2" t="inlineStr"/>
    </row>
    <row r="221" ht="15" customHeight="1">
      <c r="A221" t="inlineStr">
        <is>
          <t>A 52498-2022</t>
        </is>
      </c>
      <c r="B221" s="1" t="n">
        <v>44874.50152777778</v>
      </c>
      <c r="C221" s="1" t="n">
        <v>46085</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7332-2026</t>
        </is>
      </c>
      <c r="B222" s="1" t="n">
        <v>46058.68884259259</v>
      </c>
      <c r="C222" s="1" t="n">
        <v>46085</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7329-2026</t>
        </is>
      </c>
      <c r="B223" s="1" t="n">
        <v>46058.68678240741</v>
      </c>
      <c r="C223" s="1" t="n">
        <v>46085</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7324-2026</t>
        </is>
      </c>
      <c r="B224" s="1" t="n">
        <v>46058.68023148148</v>
      </c>
      <c r="C224" s="1" t="n">
        <v>46085</v>
      </c>
      <c r="D224" t="inlineStr">
        <is>
          <t>VÄSTMANLANDS LÄN</t>
        </is>
      </c>
      <c r="E224" t="inlineStr">
        <is>
          <t>SALA</t>
        </is>
      </c>
      <c r="G224" t="n">
        <v>0.9</v>
      </c>
      <c r="H224" t="n">
        <v>0</v>
      </c>
      <c r="I224" t="n">
        <v>0</v>
      </c>
      <c r="J224" t="n">
        <v>0</v>
      </c>
      <c r="K224" t="n">
        <v>0</v>
      </c>
      <c r="L224" t="n">
        <v>0</v>
      </c>
      <c r="M224" t="n">
        <v>0</v>
      </c>
      <c r="N224" t="n">
        <v>0</v>
      </c>
      <c r="O224" t="n">
        <v>0</v>
      </c>
      <c r="P224" t="n">
        <v>0</v>
      </c>
      <c r="Q224" t="n">
        <v>0</v>
      </c>
      <c r="R224" s="2" t="inlineStr"/>
    </row>
    <row r="225" ht="15" customHeight="1">
      <c r="A225" t="inlineStr">
        <is>
          <t>A 25860-2024</t>
        </is>
      </c>
      <c r="B225" s="1" t="n">
        <v>45467.46278935186</v>
      </c>
      <c r="C225" s="1" t="n">
        <v>46085</v>
      </c>
      <c r="D225" t="inlineStr">
        <is>
          <t>VÄSTMANLANDS LÄN</t>
        </is>
      </c>
      <c r="E225" t="inlineStr">
        <is>
          <t>SALA</t>
        </is>
      </c>
      <c r="G225" t="n">
        <v>0.7</v>
      </c>
      <c r="H225" t="n">
        <v>0</v>
      </c>
      <c r="I225" t="n">
        <v>0</v>
      </c>
      <c r="J225" t="n">
        <v>0</v>
      </c>
      <c r="K225" t="n">
        <v>0</v>
      </c>
      <c r="L225" t="n">
        <v>0</v>
      </c>
      <c r="M225" t="n">
        <v>0</v>
      </c>
      <c r="N225" t="n">
        <v>0</v>
      </c>
      <c r="O225" t="n">
        <v>0</v>
      </c>
      <c r="P225" t="n">
        <v>0</v>
      </c>
      <c r="Q225" t="n">
        <v>0</v>
      </c>
      <c r="R225" s="2" t="inlineStr"/>
    </row>
    <row r="226" ht="15" customHeight="1">
      <c r="A226" t="inlineStr">
        <is>
          <t>A 7772-2023</t>
        </is>
      </c>
      <c r="B226" s="1" t="n">
        <v>44973.40076388889</v>
      </c>
      <c r="C226" s="1" t="n">
        <v>46085</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7584-2026</t>
        </is>
      </c>
      <c r="B227" s="1" t="n">
        <v>46061.81653935185</v>
      </c>
      <c r="C227" s="1" t="n">
        <v>46085</v>
      </c>
      <c r="D227" t="inlineStr">
        <is>
          <t>VÄSTMANLANDS LÄN</t>
        </is>
      </c>
      <c r="E227" t="inlineStr">
        <is>
          <t>SALA</t>
        </is>
      </c>
      <c r="G227" t="n">
        <v>16.7</v>
      </c>
      <c r="H227" t="n">
        <v>0</v>
      </c>
      <c r="I227" t="n">
        <v>0</v>
      </c>
      <c r="J227" t="n">
        <v>0</v>
      </c>
      <c r="K227" t="n">
        <v>0</v>
      </c>
      <c r="L227" t="n">
        <v>0</v>
      </c>
      <c r="M227" t="n">
        <v>0</v>
      </c>
      <c r="N227" t="n">
        <v>0</v>
      </c>
      <c r="O227" t="n">
        <v>0</v>
      </c>
      <c r="P227" t="n">
        <v>0</v>
      </c>
      <c r="Q227" t="n">
        <v>0</v>
      </c>
      <c r="R227" s="2" t="inlineStr"/>
    </row>
    <row r="228" ht="15" customHeight="1">
      <c r="A228" t="inlineStr">
        <is>
          <t>A 7590-2026</t>
        </is>
      </c>
      <c r="B228" s="1" t="n">
        <v>46061.85252314815</v>
      </c>
      <c r="C228" s="1" t="n">
        <v>46085</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7596-2026</t>
        </is>
      </c>
      <c r="B229" s="1" t="n">
        <v>46061.90922453703</v>
      </c>
      <c r="C229" s="1" t="n">
        <v>46085</v>
      </c>
      <c r="D229" t="inlineStr">
        <is>
          <t>VÄSTMANLANDS LÄN</t>
        </is>
      </c>
      <c r="E229" t="inlineStr">
        <is>
          <t>SALA</t>
        </is>
      </c>
      <c r="G229" t="n">
        <v>3.1</v>
      </c>
      <c r="H229" t="n">
        <v>0</v>
      </c>
      <c r="I229" t="n">
        <v>0</v>
      </c>
      <c r="J229" t="n">
        <v>0</v>
      </c>
      <c r="K229" t="n">
        <v>0</v>
      </c>
      <c r="L229" t="n">
        <v>0</v>
      </c>
      <c r="M229" t="n">
        <v>0</v>
      </c>
      <c r="N229" t="n">
        <v>0</v>
      </c>
      <c r="O229" t="n">
        <v>0</v>
      </c>
      <c r="P229" t="n">
        <v>0</v>
      </c>
      <c r="Q229" t="n">
        <v>0</v>
      </c>
      <c r="R229" s="2" t="inlineStr"/>
    </row>
    <row r="230" ht="15" customHeight="1">
      <c r="A230" t="inlineStr">
        <is>
          <t>A 7588-2026</t>
        </is>
      </c>
      <c r="B230" s="1" t="n">
        <v>46061.83528935185</v>
      </c>
      <c r="C230" s="1" t="n">
        <v>46085</v>
      </c>
      <c r="D230" t="inlineStr">
        <is>
          <t>VÄSTMANLANDS LÄN</t>
        </is>
      </c>
      <c r="E230" t="inlineStr">
        <is>
          <t>SALA</t>
        </is>
      </c>
      <c r="G230" t="n">
        <v>2.8</v>
      </c>
      <c r="H230" t="n">
        <v>0</v>
      </c>
      <c r="I230" t="n">
        <v>0</v>
      </c>
      <c r="J230" t="n">
        <v>0</v>
      </c>
      <c r="K230" t="n">
        <v>0</v>
      </c>
      <c r="L230" t="n">
        <v>0</v>
      </c>
      <c r="M230" t="n">
        <v>0</v>
      </c>
      <c r="N230" t="n">
        <v>0</v>
      </c>
      <c r="O230" t="n">
        <v>0</v>
      </c>
      <c r="P230" t="n">
        <v>0</v>
      </c>
      <c r="Q230" t="n">
        <v>0</v>
      </c>
      <c r="R230" s="2" t="inlineStr"/>
    </row>
    <row r="231" ht="15" customHeight="1">
      <c r="A231" t="inlineStr">
        <is>
          <t>A 7654-2026</t>
        </is>
      </c>
      <c r="B231" s="1" t="n">
        <v>46062.38828703704</v>
      </c>
      <c r="C231" s="1" t="n">
        <v>46085</v>
      </c>
      <c r="D231" t="inlineStr">
        <is>
          <t>VÄSTMANLANDS LÄN</t>
        </is>
      </c>
      <c r="E231" t="inlineStr">
        <is>
          <t>SALA</t>
        </is>
      </c>
      <c r="G231" t="n">
        <v>4.5</v>
      </c>
      <c r="H231" t="n">
        <v>0</v>
      </c>
      <c r="I231" t="n">
        <v>0</v>
      </c>
      <c r="J231" t="n">
        <v>0</v>
      </c>
      <c r="K231" t="n">
        <v>0</v>
      </c>
      <c r="L231" t="n">
        <v>0</v>
      </c>
      <c r="M231" t="n">
        <v>0</v>
      </c>
      <c r="N231" t="n">
        <v>0</v>
      </c>
      <c r="O231" t="n">
        <v>0</v>
      </c>
      <c r="P231" t="n">
        <v>0</v>
      </c>
      <c r="Q231" t="n">
        <v>0</v>
      </c>
      <c r="R231" s="2" t="inlineStr"/>
    </row>
    <row r="232" ht="15" customHeight="1">
      <c r="A232" t="inlineStr">
        <is>
          <t>A 7498-2026</t>
        </is>
      </c>
      <c r="B232" s="1" t="n">
        <v>46059.55550925926</v>
      </c>
      <c r="C232" s="1" t="n">
        <v>46085</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7676-2026</t>
        </is>
      </c>
      <c r="B233" s="1" t="n">
        <v>46062.42498842593</v>
      </c>
      <c r="C233" s="1" t="n">
        <v>46085</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63749-2025</t>
        </is>
      </c>
      <c r="B234" s="1" t="n">
        <v>46017.75243055556</v>
      </c>
      <c r="C234" s="1" t="n">
        <v>46085</v>
      </c>
      <c r="D234" t="inlineStr">
        <is>
          <t>VÄSTMANLANDS LÄN</t>
        </is>
      </c>
      <c r="E234" t="inlineStr">
        <is>
          <t>SALA</t>
        </is>
      </c>
      <c r="G234" t="n">
        <v>1.5</v>
      </c>
      <c r="H234" t="n">
        <v>0</v>
      </c>
      <c r="I234" t="n">
        <v>0</v>
      </c>
      <c r="J234" t="n">
        <v>0</v>
      </c>
      <c r="K234" t="n">
        <v>0</v>
      </c>
      <c r="L234" t="n">
        <v>0</v>
      </c>
      <c r="M234" t="n">
        <v>0</v>
      </c>
      <c r="N234" t="n">
        <v>0</v>
      </c>
      <c r="O234" t="n">
        <v>0</v>
      </c>
      <c r="P234" t="n">
        <v>0</v>
      </c>
      <c r="Q234" t="n">
        <v>0</v>
      </c>
      <c r="R234" s="2" t="inlineStr"/>
    </row>
    <row r="235" ht="15" customHeight="1">
      <c r="A235" t="inlineStr">
        <is>
          <t>A 4214-2026</t>
        </is>
      </c>
      <c r="B235" s="1" t="n">
        <v>46044.76459490741</v>
      </c>
      <c r="C235" s="1" t="n">
        <v>46085</v>
      </c>
      <c r="D235" t="inlineStr">
        <is>
          <t>VÄSTMANLANDS LÄN</t>
        </is>
      </c>
      <c r="E235" t="inlineStr">
        <is>
          <t>SALA</t>
        </is>
      </c>
      <c r="G235" t="n">
        <v>1.7</v>
      </c>
      <c r="H235" t="n">
        <v>0</v>
      </c>
      <c r="I235" t="n">
        <v>0</v>
      </c>
      <c r="J235" t="n">
        <v>0</v>
      </c>
      <c r="K235" t="n">
        <v>0</v>
      </c>
      <c r="L235" t="n">
        <v>0</v>
      </c>
      <c r="M235" t="n">
        <v>0</v>
      </c>
      <c r="N235" t="n">
        <v>0</v>
      </c>
      <c r="O235" t="n">
        <v>0</v>
      </c>
      <c r="P235" t="n">
        <v>0</v>
      </c>
      <c r="Q235" t="n">
        <v>0</v>
      </c>
      <c r="R235" s="2" t="inlineStr"/>
    </row>
    <row r="236" ht="15" customHeight="1">
      <c r="A236" t="inlineStr">
        <is>
          <t>A 42416-2022</t>
        </is>
      </c>
      <c r="B236" s="1" t="n">
        <v>44831</v>
      </c>
      <c r="C236" s="1" t="n">
        <v>46085</v>
      </c>
      <c r="D236" t="inlineStr">
        <is>
          <t>VÄSTMANLANDS LÄN</t>
        </is>
      </c>
      <c r="E236" t="inlineStr">
        <is>
          <t>SALA</t>
        </is>
      </c>
      <c r="G236" t="n">
        <v>2.2</v>
      </c>
      <c r="H236" t="n">
        <v>0</v>
      </c>
      <c r="I236" t="n">
        <v>0</v>
      </c>
      <c r="J236" t="n">
        <v>0</v>
      </c>
      <c r="K236" t="n">
        <v>0</v>
      </c>
      <c r="L236" t="n">
        <v>0</v>
      </c>
      <c r="M236" t="n">
        <v>0</v>
      </c>
      <c r="N236" t="n">
        <v>0</v>
      </c>
      <c r="O236" t="n">
        <v>0</v>
      </c>
      <c r="P236" t="n">
        <v>0</v>
      </c>
      <c r="Q236" t="n">
        <v>0</v>
      </c>
      <c r="R236" s="2" t="inlineStr"/>
    </row>
    <row r="237" ht="15" customHeight="1">
      <c r="A237" t="inlineStr">
        <is>
          <t>A 19381-2025</t>
        </is>
      </c>
      <c r="B237" s="1" t="n">
        <v>45769</v>
      </c>
      <c r="C237" s="1" t="n">
        <v>46085</v>
      </c>
      <c r="D237" t="inlineStr">
        <is>
          <t>VÄSTMANLANDS LÄN</t>
        </is>
      </c>
      <c r="E237" t="inlineStr">
        <is>
          <t>SALA</t>
        </is>
      </c>
      <c r="G237" t="n">
        <v>0.6</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46085</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48688-2024</t>
        </is>
      </c>
      <c r="B239" s="1" t="n">
        <v>45593.50541666667</v>
      </c>
      <c r="C239" s="1" t="n">
        <v>46085</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63748-2025</t>
        </is>
      </c>
      <c r="B240" s="1" t="n">
        <v>46017.71640046296</v>
      </c>
      <c r="C240" s="1" t="n">
        <v>46085</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7593-2026</t>
        </is>
      </c>
      <c r="B241" s="1" t="n">
        <v>46061.88057870371</v>
      </c>
      <c r="C241" s="1" t="n">
        <v>46085</v>
      </c>
      <c r="D241" t="inlineStr">
        <is>
          <t>VÄSTMANLANDS LÄN</t>
        </is>
      </c>
      <c r="E241" t="inlineStr">
        <is>
          <t>SALA</t>
        </is>
      </c>
      <c r="G241" t="n">
        <v>7.5</v>
      </c>
      <c r="H241" t="n">
        <v>0</v>
      </c>
      <c r="I241" t="n">
        <v>0</v>
      </c>
      <c r="J241" t="n">
        <v>0</v>
      </c>
      <c r="K241" t="n">
        <v>0</v>
      </c>
      <c r="L241" t="n">
        <v>0</v>
      </c>
      <c r="M241" t="n">
        <v>0</v>
      </c>
      <c r="N241" t="n">
        <v>0</v>
      </c>
      <c r="O241" t="n">
        <v>0</v>
      </c>
      <c r="P241" t="n">
        <v>0</v>
      </c>
      <c r="Q241" t="n">
        <v>0</v>
      </c>
      <c r="R241" s="2" t="inlineStr"/>
    </row>
    <row r="242" ht="15" customHeight="1">
      <c r="A242" t="inlineStr">
        <is>
          <t>A 7597-2026</t>
        </is>
      </c>
      <c r="B242" s="1" t="n">
        <v>46061.91765046296</v>
      </c>
      <c r="C242" s="1" t="n">
        <v>46085</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40559-2025</t>
        </is>
      </c>
      <c r="B243" s="1" t="n">
        <v>45896.45037037037</v>
      </c>
      <c r="C243" s="1" t="n">
        <v>46085</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7595-2026</t>
        </is>
      </c>
      <c r="B244" s="1" t="n">
        <v>46061.90009259259</v>
      </c>
      <c r="C244" s="1" t="n">
        <v>46085</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7661-2026</t>
        </is>
      </c>
      <c r="B245" s="1" t="n">
        <v>46062.39614583334</v>
      </c>
      <c r="C245" s="1" t="n">
        <v>46085</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7680-2026</t>
        </is>
      </c>
      <c r="B246" s="1" t="n">
        <v>46062.43087962963</v>
      </c>
      <c r="C246" s="1" t="n">
        <v>46085</v>
      </c>
      <c r="D246" t="inlineStr">
        <is>
          <t>VÄSTMANLANDS LÄN</t>
        </is>
      </c>
      <c r="E246" t="inlineStr">
        <is>
          <t>SALA</t>
        </is>
      </c>
      <c r="G246" t="n">
        <v>2.7</v>
      </c>
      <c r="H246" t="n">
        <v>0</v>
      </c>
      <c r="I246" t="n">
        <v>0</v>
      </c>
      <c r="J246" t="n">
        <v>0</v>
      </c>
      <c r="K246" t="n">
        <v>0</v>
      </c>
      <c r="L246" t="n">
        <v>0</v>
      </c>
      <c r="M246" t="n">
        <v>0</v>
      </c>
      <c r="N246" t="n">
        <v>0</v>
      </c>
      <c r="O246" t="n">
        <v>0</v>
      </c>
      <c r="P246" t="n">
        <v>0</v>
      </c>
      <c r="Q246" t="n">
        <v>0</v>
      </c>
      <c r="R246" s="2" t="inlineStr"/>
    </row>
    <row r="247" ht="15" customHeight="1">
      <c r="A247" t="inlineStr">
        <is>
          <t>A 7850-2026</t>
        </is>
      </c>
      <c r="B247" s="1" t="n">
        <v>46062.66236111111</v>
      </c>
      <c r="C247" s="1" t="n">
        <v>46085</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40620-2025</t>
        </is>
      </c>
      <c r="B248" s="1" t="n">
        <v>45896.58609953704</v>
      </c>
      <c r="C248" s="1" t="n">
        <v>46085</v>
      </c>
      <c r="D248" t="inlineStr">
        <is>
          <t>VÄSTMANLANDS LÄN</t>
        </is>
      </c>
      <c r="E248" t="inlineStr">
        <is>
          <t>SALA</t>
        </is>
      </c>
      <c r="G248" t="n">
        <v>6.7</v>
      </c>
      <c r="H248" t="n">
        <v>0</v>
      </c>
      <c r="I248" t="n">
        <v>0</v>
      </c>
      <c r="J248" t="n">
        <v>0</v>
      </c>
      <c r="K248" t="n">
        <v>0</v>
      </c>
      <c r="L248" t="n">
        <v>0</v>
      </c>
      <c r="M248" t="n">
        <v>0</v>
      </c>
      <c r="N248" t="n">
        <v>0</v>
      </c>
      <c r="O248" t="n">
        <v>0</v>
      </c>
      <c r="P248" t="n">
        <v>0</v>
      </c>
      <c r="Q248" t="n">
        <v>0</v>
      </c>
      <c r="R248" s="2" t="inlineStr"/>
    </row>
    <row r="249" ht="15" customHeight="1">
      <c r="A249" t="inlineStr">
        <is>
          <t>A 7611-2026</t>
        </is>
      </c>
      <c r="B249" s="1" t="n">
        <v>46062.32387731481</v>
      </c>
      <c r="C249" s="1" t="n">
        <v>46085</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4683-2026</t>
        </is>
      </c>
      <c r="B250" s="1" t="n">
        <v>46048.43489583334</v>
      </c>
      <c r="C250" s="1" t="n">
        <v>46085</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45187-2024</t>
        </is>
      </c>
      <c r="B251" s="1" t="n">
        <v>45575</v>
      </c>
      <c r="C251" s="1" t="n">
        <v>46085</v>
      </c>
      <c r="D251" t="inlineStr">
        <is>
          <t>VÄSTMANLANDS LÄN</t>
        </is>
      </c>
      <c r="E251" t="inlineStr">
        <is>
          <t>SALA</t>
        </is>
      </c>
      <c r="G251" t="n">
        <v>0.7</v>
      </c>
      <c r="H251" t="n">
        <v>0</v>
      </c>
      <c r="I251" t="n">
        <v>0</v>
      </c>
      <c r="J251" t="n">
        <v>0</v>
      </c>
      <c r="K251" t="n">
        <v>0</v>
      </c>
      <c r="L251" t="n">
        <v>0</v>
      </c>
      <c r="M251" t="n">
        <v>0</v>
      </c>
      <c r="N251" t="n">
        <v>0</v>
      </c>
      <c r="O251" t="n">
        <v>0</v>
      </c>
      <c r="P251" t="n">
        <v>0</v>
      </c>
      <c r="Q251" t="n">
        <v>0</v>
      </c>
      <c r="R251" s="2" t="inlineStr"/>
    </row>
    <row r="252" ht="15" customHeight="1">
      <c r="A252" t="inlineStr">
        <is>
          <t>A 15968-2024</t>
        </is>
      </c>
      <c r="B252" s="1" t="n">
        <v>45405.56021990741</v>
      </c>
      <c r="C252" s="1" t="n">
        <v>46085</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22026-2021</t>
        </is>
      </c>
      <c r="B253" s="1" t="n">
        <v>44323</v>
      </c>
      <c r="C253" s="1" t="n">
        <v>46085</v>
      </c>
      <c r="D253" t="inlineStr">
        <is>
          <t>VÄSTMANLANDS LÄN</t>
        </is>
      </c>
      <c r="E253" t="inlineStr">
        <is>
          <t>SALA</t>
        </is>
      </c>
      <c r="G253" t="n">
        <v>2.9</v>
      </c>
      <c r="H253" t="n">
        <v>0</v>
      </c>
      <c r="I253" t="n">
        <v>0</v>
      </c>
      <c r="J253" t="n">
        <v>0</v>
      </c>
      <c r="K253" t="n">
        <v>0</v>
      </c>
      <c r="L253" t="n">
        <v>0</v>
      </c>
      <c r="M253" t="n">
        <v>0</v>
      </c>
      <c r="N253" t="n">
        <v>0</v>
      </c>
      <c r="O253" t="n">
        <v>0</v>
      </c>
      <c r="P253" t="n">
        <v>0</v>
      </c>
      <c r="Q253" t="n">
        <v>0</v>
      </c>
      <c r="R253" s="2" t="inlineStr"/>
    </row>
    <row r="254" ht="15" customHeight="1">
      <c r="A254" t="inlineStr">
        <is>
          <t>A 3733-2023</t>
        </is>
      </c>
      <c r="B254" s="1" t="n">
        <v>44951.42501157407</v>
      </c>
      <c r="C254" s="1" t="n">
        <v>46085</v>
      </c>
      <c r="D254" t="inlineStr">
        <is>
          <t>VÄSTMANLANDS LÄN</t>
        </is>
      </c>
      <c r="E254" t="inlineStr">
        <is>
          <t>SALA</t>
        </is>
      </c>
      <c r="G254" t="n">
        <v>3.1</v>
      </c>
      <c r="H254" t="n">
        <v>0</v>
      </c>
      <c r="I254" t="n">
        <v>0</v>
      </c>
      <c r="J254" t="n">
        <v>0</v>
      </c>
      <c r="K254" t="n">
        <v>0</v>
      </c>
      <c r="L254" t="n">
        <v>0</v>
      </c>
      <c r="M254" t="n">
        <v>0</v>
      </c>
      <c r="N254" t="n">
        <v>0</v>
      </c>
      <c r="O254" t="n">
        <v>0</v>
      </c>
      <c r="P254" t="n">
        <v>0</v>
      </c>
      <c r="Q254" t="n">
        <v>0</v>
      </c>
      <c r="R254" s="2" t="inlineStr"/>
    </row>
    <row r="255" ht="15" customHeight="1">
      <c r="A255" t="inlineStr">
        <is>
          <t>A 41230-2025</t>
        </is>
      </c>
      <c r="B255" s="1" t="n">
        <v>45898</v>
      </c>
      <c r="C255" s="1" t="n">
        <v>46085</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44544-2024</t>
        </is>
      </c>
      <c r="B256" s="1" t="n">
        <v>45574.46119212963</v>
      </c>
      <c r="C256" s="1" t="n">
        <v>46085</v>
      </c>
      <c r="D256" t="inlineStr">
        <is>
          <t>VÄSTMANLANDS LÄN</t>
        </is>
      </c>
      <c r="E256" t="inlineStr">
        <is>
          <t>SALA</t>
        </is>
      </c>
      <c r="G256" t="n">
        <v>3.3</v>
      </c>
      <c r="H256" t="n">
        <v>0</v>
      </c>
      <c r="I256" t="n">
        <v>0</v>
      </c>
      <c r="J256" t="n">
        <v>0</v>
      </c>
      <c r="K256" t="n">
        <v>0</v>
      </c>
      <c r="L256" t="n">
        <v>0</v>
      </c>
      <c r="M256" t="n">
        <v>0</v>
      </c>
      <c r="N256" t="n">
        <v>0</v>
      </c>
      <c r="O256" t="n">
        <v>0</v>
      </c>
      <c r="P256" t="n">
        <v>0</v>
      </c>
      <c r="Q256" t="n">
        <v>0</v>
      </c>
      <c r="R256" s="2" t="inlineStr"/>
    </row>
    <row r="257" ht="15" customHeight="1">
      <c r="A257" t="inlineStr">
        <is>
          <t>A 64729-2023</t>
        </is>
      </c>
      <c r="B257" s="1" t="n">
        <v>45281</v>
      </c>
      <c r="C257" s="1" t="n">
        <v>46085</v>
      </c>
      <c r="D257" t="inlineStr">
        <is>
          <t>VÄSTMANLANDS LÄN</t>
        </is>
      </c>
      <c r="E257" t="inlineStr">
        <is>
          <t>SALA</t>
        </is>
      </c>
      <c r="G257" t="n">
        <v>1.8</v>
      </c>
      <c r="H257" t="n">
        <v>0</v>
      </c>
      <c r="I257" t="n">
        <v>0</v>
      </c>
      <c r="J257" t="n">
        <v>0</v>
      </c>
      <c r="K257" t="n">
        <v>0</v>
      </c>
      <c r="L257" t="n">
        <v>0</v>
      </c>
      <c r="M257" t="n">
        <v>0</v>
      </c>
      <c r="N257" t="n">
        <v>0</v>
      </c>
      <c r="O257" t="n">
        <v>0</v>
      </c>
      <c r="P257" t="n">
        <v>0</v>
      </c>
      <c r="Q257" t="n">
        <v>0</v>
      </c>
      <c r="R257" s="2" t="inlineStr"/>
    </row>
    <row r="258" ht="15" customHeight="1">
      <c r="A258" t="inlineStr">
        <is>
          <t>A 41431-2025</t>
        </is>
      </c>
      <c r="B258" s="1" t="n">
        <v>45901.39347222223</v>
      </c>
      <c r="C258" s="1" t="n">
        <v>46085</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68864-2021</t>
        </is>
      </c>
      <c r="B259" s="1" t="n">
        <v>44530</v>
      </c>
      <c r="C259" s="1" t="n">
        <v>46085</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41414-2025</t>
        </is>
      </c>
      <c r="B260" s="1" t="n">
        <v>45901.360625</v>
      </c>
      <c r="C260" s="1" t="n">
        <v>46085</v>
      </c>
      <c r="D260" t="inlineStr">
        <is>
          <t>VÄSTMANLANDS LÄN</t>
        </is>
      </c>
      <c r="E260" t="inlineStr">
        <is>
          <t>SALA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53164-2024</t>
        </is>
      </c>
      <c r="B261" s="1" t="n">
        <v>45611.64887731482</v>
      </c>
      <c r="C261" s="1" t="n">
        <v>46085</v>
      </c>
      <c r="D261" t="inlineStr">
        <is>
          <t>VÄSTMANLANDS LÄN</t>
        </is>
      </c>
      <c r="E261" t="inlineStr">
        <is>
          <t>SALA</t>
        </is>
      </c>
      <c r="G261" t="n">
        <v>2.6</v>
      </c>
      <c r="H261" t="n">
        <v>0</v>
      </c>
      <c r="I261" t="n">
        <v>0</v>
      </c>
      <c r="J261" t="n">
        <v>0</v>
      </c>
      <c r="K261" t="n">
        <v>0</v>
      </c>
      <c r="L261" t="n">
        <v>0</v>
      </c>
      <c r="M261" t="n">
        <v>0</v>
      </c>
      <c r="N261" t="n">
        <v>0</v>
      </c>
      <c r="O261" t="n">
        <v>0</v>
      </c>
      <c r="P261" t="n">
        <v>0</v>
      </c>
      <c r="Q261" t="n">
        <v>0</v>
      </c>
      <c r="R261" s="2" t="inlineStr"/>
    </row>
    <row r="262" ht="15" customHeight="1">
      <c r="A262" t="inlineStr">
        <is>
          <t>A 61717-2024</t>
        </is>
      </c>
      <c r="B262" s="1" t="n">
        <v>45648</v>
      </c>
      <c r="C262" s="1" t="n">
        <v>46085</v>
      </c>
      <c r="D262" t="inlineStr">
        <is>
          <t>VÄSTMANLANDS LÄN</t>
        </is>
      </c>
      <c r="E262" t="inlineStr">
        <is>
          <t>SALA</t>
        </is>
      </c>
      <c r="G262" t="n">
        <v>3.7</v>
      </c>
      <c r="H262" t="n">
        <v>0</v>
      </c>
      <c r="I262" t="n">
        <v>0</v>
      </c>
      <c r="J262" t="n">
        <v>0</v>
      </c>
      <c r="K262" t="n">
        <v>0</v>
      </c>
      <c r="L262" t="n">
        <v>0</v>
      </c>
      <c r="M262" t="n">
        <v>0</v>
      </c>
      <c r="N262" t="n">
        <v>0</v>
      </c>
      <c r="O262" t="n">
        <v>0</v>
      </c>
      <c r="P262" t="n">
        <v>0</v>
      </c>
      <c r="Q262" t="n">
        <v>0</v>
      </c>
      <c r="R262" s="2" t="inlineStr"/>
    </row>
    <row r="263" ht="15" customHeight="1">
      <c r="A263" t="inlineStr">
        <is>
          <t>A 64925-2023</t>
        </is>
      </c>
      <c r="B263" s="1" t="n">
        <v>45282</v>
      </c>
      <c r="C263" s="1" t="n">
        <v>46085</v>
      </c>
      <c r="D263" t="inlineStr">
        <is>
          <t>VÄSTMANLANDS LÄN</t>
        </is>
      </c>
      <c r="E263" t="inlineStr">
        <is>
          <t>SALA</t>
        </is>
      </c>
      <c r="G263" t="n">
        <v>2.5</v>
      </c>
      <c r="H263" t="n">
        <v>0</v>
      </c>
      <c r="I263" t="n">
        <v>0</v>
      </c>
      <c r="J263" t="n">
        <v>0</v>
      </c>
      <c r="K263" t="n">
        <v>0</v>
      </c>
      <c r="L263" t="n">
        <v>0</v>
      </c>
      <c r="M263" t="n">
        <v>0</v>
      </c>
      <c r="N263" t="n">
        <v>0</v>
      </c>
      <c r="O263" t="n">
        <v>0</v>
      </c>
      <c r="P263" t="n">
        <v>0</v>
      </c>
      <c r="Q263" t="n">
        <v>0</v>
      </c>
      <c r="R263" s="2" t="inlineStr"/>
    </row>
    <row r="264" ht="15" customHeight="1">
      <c r="A264" t="inlineStr">
        <is>
          <t>A 16160-2024</t>
        </is>
      </c>
      <c r="B264" s="1" t="n">
        <v>45406</v>
      </c>
      <c r="C264" s="1" t="n">
        <v>46085</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40597-2022</t>
        </is>
      </c>
      <c r="B265" s="1" t="n">
        <v>44823.84862268518</v>
      </c>
      <c r="C265" s="1" t="n">
        <v>46085</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48570-2024</t>
        </is>
      </c>
      <c r="B266" s="1" t="n">
        <v>45591</v>
      </c>
      <c r="C266" s="1" t="n">
        <v>46085</v>
      </c>
      <c r="D266" t="inlineStr">
        <is>
          <t>VÄSTMANLANDS LÄN</t>
        </is>
      </c>
      <c r="E266" t="inlineStr">
        <is>
          <t>SALA</t>
        </is>
      </c>
      <c r="G266" t="n">
        <v>3</v>
      </c>
      <c r="H266" t="n">
        <v>0</v>
      </c>
      <c r="I266" t="n">
        <v>0</v>
      </c>
      <c r="J266" t="n">
        <v>0</v>
      </c>
      <c r="K266" t="n">
        <v>0</v>
      </c>
      <c r="L266" t="n">
        <v>0</v>
      </c>
      <c r="M266" t="n">
        <v>0</v>
      </c>
      <c r="N266" t="n">
        <v>0</v>
      </c>
      <c r="O266" t="n">
        <v>0</v>
      </c>
      <c r="P266" t="n">
        <v>0</v>
      </c>
      <c r="Q266" t="n">
        <v>0</v>
      </c>
      <c r="R266" s="2" t="inlineStr"/>
    </row>
    <row r="267" ht="15" customHeight="1">
      <c r="A267" t="inlineStr">
        <is>
          <t>A 7196-2025</t>
        </is>
      </c>
      <c r="B267" s="1" t="n">
        <v>45702</v>
      </c>
      <c r="C267" s="1" t="n">
        <v>46085</v>
      </c>
      <c r="D267" t="inlineStr">
        <is>
          <t>VÄSTMANLANDS LÄN</t>
        </is>
      </c>
      <c r="E267" t="inlineStr">
        <is>
          <t>SALA</t>
        </is>
      </c>
      <c r="G267" t="n">
        <v>1.3</v>
      </c>
      <c r="H267" t="n">
        <v>0</v>
      </c>
      <c r="I267" t="n">
        <v>0</v>
      </c>
      <c r="J267" t="n">
        <v>0</v>
      </c>
      <c r="K267" t="n">
        <v>0</v>
      </c>
      <c r="L267" t="n">
        <v>0</v>
      </c>
      <c r="M267" t="n">
        <v>0</v>
      </c>
      <c r="N267" t="n">
        <v>0</v>
      </c>
      <c r="O267" t="n">
        <v>0</v>
      </c>
      <c r="P267" t="n">
        <v>0</v>
      </c>
      <c r="Q267" t="n">
        <v>0</v>
      </c>
      <c r="R267" s="2" t="inlineStr"/>
    </row>
    <row r="268" ht="15" customHeight="1">
      <c r="A268" t="inlineStr">
        <is>
          <t>A 6183-2025</t>
        </is>
      </c>
      <c r="B268" s="1" t="n">
        <v>45698</v>
      </c>
      <c r="C268" s="1" t="n">
        <v>46085</v>
      </c>
      <c r="D268" t="inlineStr">
        <is>
          <t>VÄSTMANLANDS LÄN</t>
        </is>
      </c>
      <c r="E268" t="inlineStr">
        <is>
          <t>SALA</t>
        </is>
      </c>
      <c r="F268" t="inlineStr">
        <is>
          <t>Bergvik skog öst AB</t>
        </is>
      </c>
      <c r="G268" t="n">
        <v>2.3</v>
      </c>
      <c r="H268" t="n">
        <v>0</v>
      </c>
      <c r="I268" t="n">
        <v>0</v>
      </c>
      <c r="J268" t="n">
        <v>0</v>
      </c>
      <c r="K268" t="n">
        <v>0</v>
      </c>
      <c r="L268" t="n">
        <v>0</v>
      </c>
      <c r="M268" t="n">
        <v>0</v>
      </c>
      <c r="N268" t="n">
        <v>0</v>
      </c>
      <c r="O268" t="n">
        <v>0</v>
      </c>
      <c r="P268" t="n">
        <v>0</v>
      </c>
      <c r="Q268" t="n">
        <v>0</v>
      </c>
      <c r="R268" s="2" t="inlineStr"/>
    </row>
    <row r="269" ht="15" customHeight="1">
      <c r="A269" t="inlineStr">
        <is>
          <t>A 61517-2024</t>
        </is>
      </c>
      <c r="B269" s="1" t="n">
        <v>45645</v>
      </c>
      <c r="C269" s="1" t="n">
        <v>46085</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5219-2026</t>
        </is>
      </c>
      <c r="B270" s="1" t="n">
        <v>46049.76225694444</v>
      </c>
      <c r="C270" s="1" t="n">
        <v>46085</v>
      </c>
      <c r="D270" t="inlineStr">
        <is>
          <t>VÄSTMANLANDS LÄN</t>
        </is>
      </c>
      <c r="E270" t="inlineStr">
        <is>
          <t>SALA</t>
        </is>
      </c>
      <c r="G270" t="n">
        <v>1.9</v>
      </c>
      <c r="H270" t="n">
        <v>0</v>
      </c>
      <c r="I270" t="n">
        <v>0</v>
      </c>
      <c r="J270" t="n">
        <v>0</v>
      </c>
      <c r="K270" t="n">
        <v>0</v>
      </c>
      <c r="L270" t="n">
        <v>0</v>
      </c>
      <c r="M270" t="n">
        <v>0</v>
      </c>
      <c r="N270" t="n">
        <v>0</v>
      </c>
      <c r="O270" t="n">
        <v>0</v>
      </c>
      <c r="P270" t="n">
        <v>0</v>
      </c>
      <c r="Q270" t="n">
        <v>0</v>
      </c>
      <c r="R270" s="2" t="inlineStr"/>
    </row>
    <row r="271" ht="15" customHeight="1">
      <c r="A271" t="inlineStr">
        <is>
          <t>A 40871-2021</t>
        </is>
      </c>
      <c r="B271" s="1" t="n">
        <v>44421</v>
      </c>
      <c r="C271" s="1" t="n">
        <v>46085</v>
      </c>
      <c r="D271" t="inlineStr">
        <is>
          <t>VÄSTMANLANDS LÄN</t>
        </is>
      </c>
      <c r="E271" t="inlineStr">
        <is>
          <t>SALA</t>
        </is>
      </c>
      <c r="G271" t="n">
        <v>1.4</v>
      </c>
      <c r="H271" t="n">
        <v>0</v>
      </c>
      <c r="I271" t="n">
        <v>0</v>
      </c>
      <c r="J271" t="n">
        <v>0</v>
      </c>
      <c r="K271" t="n">
        <v>0</v>
      </c>
      <c r="L271" t="n">
        <v>0</v>
      </c>
      <c r="M271" t="n">
        <v>0</v>
      </c>
      <c r="N271" t="n">
        <v>0</v>
      </c>
      <c r="O271" t="n">
        <v>0</v>
      </c>
      <c r="P271" t="n">
        <v>0</v>
      </c>
      <c r="Q271" t="n">
        <v>0</v>
      </c>
      <c r="R271" s="2" t="inlineStr"/>
    </row>
    <row r="272" ht="15" customHeight="1">
      <c r="A272" t="inlineStr">
        <is>
          <t>A 16760-2024</t>
        </is>
      </c>
      <c r="B272" s="1" t="n">
        <v>45411</v>
      </c>
      <c r="C272" s="1" t="n">
        <v>46085</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21968-2024</t>
        </is>
      </c>
      <c r="B273" s="1" t="n">
        <v>45443</v>
      </c>
      <c r="C273" s="1" t="n">
        <v>46085</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19803-2024</t>
        </is>
      </c>
      <c r="B274" s="1" t="n">
        <v>45432</v>
      </c>
      <c r="C274" s="1" t="n">
        <v>46085</v>
      </c>
      <c r="D274" t="inlineStr">
        <is>
          <t>VÄSTMANLANDS LÄN</t>
        </is>
      </c>
      <c r="E274" t="inlineStr">
        <is>
          <t>SALA</t>
        </is>
      </c>
      <c r="G274" t="n">
        <v>3.1</v>
      </c>
      <c r="H274" t="n">
        <v>0</v>
      </c>
      <c r="I274" t="n">
        <v>0</v>
      </c>
      <c r="J274" t="n">
        <v>0</v>
      </c>
      <c r="K274" t="n">
        <v>0</v>
      </c>
      <c r="L274" t="n">
        <v>0</v>
      </c>
      <c r="M274" t="n">
        <v>0</v>
      </c>
      <c r="N274" t="n">
        <v>0</v>
      </c>
      <c r="O274" t="n">
        <v>0</v>
      </c>
      <c r="P274" t="n">
        <v>0</v>
      </c>
      <c r="Q274" t="n">
        <v>0</v>
      </c>
      <c r="R274" s="2" t="inlineStr"/>
    </row>
    <row r="275" ht="15" customHeight="1">
      <c r="A275" t="inlineStr">
        <is>
          <t>A 54603-2024</t>
        </is>
      </c>
      <c r="B275" s="1" t="n">
        <v>45617.68224537037</v>
      </c>
      <c r="C275" s="1" t="n">
        <v>46085</v>
      </c>
      <c r="D275" t="inlineStr">
        <is>
          <t>VÄSTMANLANDS LÄN</t>
        </is>
      </c>
      <c r="E275" t="inlineStr">
        <is>
          <t>SALA</t>
        </is>
      </c>
      <c r="G275" t="n">
        <v>1</v>
      </c>
      <c r="H275" t="n">
        <v>0</v>
      </c>
      <c r="I275" t="n">
        <v>0</v>
      </c>
      <c r="J275" t="n">
        <v>0</v>
      </c>
      <c r="K275" t="n">
        <v>0</v>
      </c>
      <c r="L275" t="n">
        <v>0</v>
      </c>
      <c r="M275" t="n">
        <v>0</v>
      </c>
      <c r="N275" t="n">
        <v>0</v>
      </c>
      <c r="O275" t="n">
        <v>0</v>
      </c>
      <c r="P275" t="n">
        <v>0</v>
      </c>
      <c r="Q275" t="n">
        <v>0</v>
      </c>
      <c r="R275" s="2" t="inlineStr"/>
    </row>
    <row r="276" ht="15" customHeight="1">
      <c r="A276" t="inlineStr">
        <is>
          <t>A 910-2026</t>
        </is>
      </c>
      <c r="B276" s="1" t="n">
        <v>46030.4771412037</v>
      </c>
      <c r="C276" s="1" t="n">
        <v>46085</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42421-2025</t>
        </is>
      </c>
      <c r="B277" s="1" t="n">
        <v>45905.40067129629</v>
      </c>
      <c r="C277" s="1" t="n">
        <v>46085</v>
      </c>
      <c r="D277" t="inlineStr">
        <is>
          <t>VÄSTMANLANDS LÄN</t>
        </is>
      </c>
      <c r="E277" t="inlineStr">
        <is>
          <t>SALA</t>
        </is>
      </c>
      <c r="G277" t="n">
        <v>1.3</v>
      </c>
      <c r="H277" t="n">
        <v>0</v>
      </c>
      <c r="I277" t="n">
        <v>0</v>
      </c>
      <c r="J277" t="n">
        <v>0</v>
      </c>
      <c r="K277" t="n">
        <v>0</v>
      </c>
      <c r="L277" t="n">
        <v>0</v>
      </c>
      <c r="M277" t="n">
        <v>0</v>
      </c>
      <c r="N277" t="n">
        <v>0</v>
      </c>
      <c r="O277" t="n">
        <v>0</v>
      </c>
      <c r="P277" t="n">
        <v>0</v>
      </c>
      <c r="Q277" t="n">
        <v>0</v>
      </c>
      <c r="R277" s="2" t="inlineStr"/>
    </row>
    <row r="278" ht="15" customHeight="1">
      <c r="A278" t="inlineStr">
        <is>
          <t>A 18762-2024</t>
        </is>
      </c>
      <c r="B278" s="1" t="n">
        <v>45426.55240740741</v>
      </c>
      <c r="C278" s="1" t="n">
        <v>46085</v>
      </c>
      <c r="D278" t="inlineStr">
        <is>
          <t>VÄSTMANLANDS LÄN</t>
        </is>
      </c>
      <c r="E278" t="inlineStr">
        <is>
          <t>SALA</t>
        </is>
      </c>
      <c r="G278" t="n">
        <v>6.2</v>
      </c>
      <c r="H278" t="n">
        <v>0</v>
      </c>
      <c r="I278" t="n">
        <v>0</v>
      </c>
      <c r="J278" t="n">
        <v>0</v>
      </c>
      <c r="K278" t="n">
        <v>0</v>
      </c>
      <c r="L278" t="n">
        <v>0</v>
      </c>
      <c r="M278" t="n">
        <v>0</v>
      </c>
      <c r="N278" t="n">
        <v>0</v>
      </c>
      <c r="O278" t="n">
        <v>0</v>
      </c>
      <c r="P278" t="n">
        <v>0</v>
      </c>
      <c r="Q278" t="n">
        <v>0</v>
      </c>
      <c r="R278" s="2" t="inlineStr"/>
    </row>
    <row r="279" ht="15" customHeight="1">
      <c r="A279" t="inlineStr">
        <is>
          <t>A 17120-2023</t>
        </is>
      </c>
      <c r="B279" s="1" t="n">
        <v>45034</v>
      </c>
      <c r="C279" s="1" t="n">
        <v>46085</v>
      </c>
      <c r="D279" t="inlineStr">
        <is>
          <t>VÄSTMANLANDS LÄN</t>
        </is>
      </c>
      <c r="E279" t="inlineStr">
        <is>
          <t>SALA</t>
        </is>
      </c>
      <c r="G279" t="n">
        <v>0.1</v>
      </c>
      <c r="H279" t="n">
        <v>0</v>
      </c>
      <c r="I279" t="n">
        <v>0</v>
      </c>
      <c r="J279" t="n">
        <v>0</v>
      </c>
      <c r="K279" t="n">
        <v>0</v>
      </c>
      <c r="L279" t="n">
        <v>0</v>
      </c>
      <c r="M279" t="n">
        <v>0</v>
      </c>
      <c r="N279" t="n">
        <v>0</v>
      </c>
      <c r="O279" t="n">
        <v>0</v>
      </c>
      <c r="P279" t="n">
        <v>0</v>
      </c>
      <c r="Q279" t="n">
        <v>0</v>
      </c>
      <c r="R279" s="2" t="inlineStr"/>
    </row>
    <row r="280" ht="15" customHeight="1">
      <c r="A280" t="inlineStr">
        <is>
          <t>A 42938-2023</t>
        </is>
      </c>
      <c r="B280" s="1" t="n">
        <v>45179</v>
      </c>
      <c r="C280" s="1" t="n">
        <v>46085</v>
      </c>
      <c r="D280" t="inlineStr">
        <is>
          <t>VÄSTMANLANDS LÄN</t>
        </is>
      </c>
      <c r="E280" t="inlineStr">
        <is>
          <t>SALA</t>
        </is>
      </c>
      <c r="G280" t="n">
        <v>10.9</v>
      </c>
      <c r="H280" t="n">
        <v>0</v>
      </c>
      <c r="I280" t="n">
        <v>0</v>
      </c>
      <c r="J280" t="n">
        <v>0</v>
      </c>
      <c r="K280" t="n">
        <v>0</v>
      </c>
      <c r="L280" t="n">
        <v>0</v>
      </c>
      <c r="M280" t="n">
        <v>0</v>
      </c>
      <c r="N280" t="n">
        <v>0</v>
      </c>
      <c r="O280" t="n">
        <v>0</v>
      </c>
      <c r="P280" t="n">
        <v>0</v>
      </c>
      <c r="Q280" t="n">
        <v>0</v>
      </c>
      <c r="R280" s="2" t="inlineStr"/>
    </row>
    <row r="281" ht="15" customHeight="1">
      <c r="A281" t="inlineStr">
        <is>
          <t>A 42984-2023</t>
        </is>
      </c>
      <c r="B281" s="1" t="n">
        <v>45179</v>
      </c>
      <c r="C281" s="1" t="n">
        <v>46085</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15972-2024</t>
        </is>
      </c>
      <c r="B282" s="1" t="n">
        <v>45405.56498842593</v>
      </c>
      <c r="C282" s="1" t="n">
        <v>46085</v>
      </c>
      <c r="D282" t="inlineStr">
        <is>
          <t>VÄSTMANLANDS LÄN</t>
        </is>
      </c>
      <c r="E282" t="inlineStr">
        <is>
          <t>SALA</t>
        </is>
      </c>
      <c r="G282" t="n">
        <v>1.8</v>
      </c>
      <c r="H282" t="n">
        <v>0</v>
      </c>
      <c r="I282" t="n">
        <v>0</v>
      </c>
      <c r="J282" t="n">
        <v>0</v>
      </c>
      <c r="K282" t="n">
        <v>0</v>
      </c>
      <c r="L282" t="n">
        <v>0</v>
      </c>
      <c r="M282" t="n">
        <v>0</v>
      </c>
      <c r="N282" t="n">
        <v>0</v>
      </c>
      <c r="O282" t="n">
        <v>0</v>
      </c>
      <c r="P282" t="n">
        <v>0</v>
      </c>
      <c r="Q282" t="n">
        <v>0</v>
      </c>
      <c r="R282" s="2" t="inlineStr"/>
    </row>
    <row r="283" ht="15" customHeight="1">
      <c r="A283" t="inlineStr">
        <is>
          <t>A 39714-2023</t>
        </is>
      </c>
      <c r="B283" s="1" t="n">
        <v>45167.62133101852</v>
      </c>
      <c r="C283" s="1" t="n">
        <v>46085</v>
      </c>
      <c r="D283" t="inlineStr">
        <is>
          <t>VÄSTMANLANDS LÄN</t>
        </is>
      </c>
      <c r="E283" t="inlineStr">
        <is>
          <t>SALA</t>
        </is>
      </c>
      <c r="G283" t="n">
        <v>1.3</v>
      </c>
      <c r="H283" t="n">
        <v>0</v>
      </c>
      <c r="I283" t="n">
        <v>0</v>
      </c>
      <c r="J283" t="n">
        <v>0</v>
      </c>
      <c r="K283" t="n">
        <v>0</v>
      </c>
      <c r="L283" t="n">
        <v>0</v>
      </c>
      <c r="M283" t="n">
        <v>0</v>
      </c>
      <c r="N283" t="n">
        <v>0</v>
      </c>
      <c r="O283" t="n">
        <v>0</v>
      </c>
      <c r="P283" t="n">
        <v>0</v>
      </c>
      <c r="Q283" t="n">
        <v>0</v>
      </c>
      <c r="R283" s="2" t="inlineStr"/>
    </row>
    <row r="284" ht="15" customHeight="1">
      <c r="A284" t="inlineStr">
        <is>
          <t>A 914-2026</t>
        </is>
      </c>
      <c r="B284" s="1" t="n">
        <v>46030.47952546296</v>
      </c>
      <c r="C284" s="1" t="n">
        <v>46085</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24864-2024</t>
        </is>
      </c>
      <c r="B285" s="1" t="n">
        <v>45461.48888888889</v>
      </c>
      <c r="C285" s="1" t="n">
        <v>46085</v>
      </c>
      <c r="D285" t="inlineStr">
        <is>
          <t>VÄSTMANLANDS LÄN</t>
        </is>
      </c>
      <c r="E285" t="inlineStr">
        <is>
          <t>SALA</t>
        </is>
      </c>
      <c r="G285" t="n">
        <v>0.6</v>
      </c>
      <c r="H285" t="n">
        <v>0</v>
      </c>
      <c r="I285" t="n">
        <v>0</v>
      </c>
      <c r="J285" t="n">
        <v>0</v>
      </c>
      <c r="K285" t="n">
        <v>0</v>
      </c>
      <c r="L285" t="n">
        <v>0</v>
      </c>
      <c r="M285" t="n">
        <v>0</v>
      </c>
      <c r="N285" t="n">
        <v>0</v>
      </c>
      <c r="O285" t="n">
        <v>0</v>
      </c>
      <c r="P285" t="n">
        <v>0</v>
      </c>
      <c r="Q285" t="n">
        <v>0</v>
      </c>
      <c r="R285" s="2" t="inlineStr"/>
    </row>
    <row r="286" ht="15" customHeight="1">
      <c r="A286" t="inlineStr">
        <is>
          <t>A 948-2026</t>
        </is>
      </c>
      <c r="B286" s="1" t="n">
        <v>46030.53986111111</v>
      </c>
      <c r="C286" s="1" t="n">
        <v>46085</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1118-2024</t>
        </is>
      </c>
      <c r="B287" s="1" t="n">
        <v>45302</v>
      </c>
      <c r="C287" s="1" t="n">
        <v>46085</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63933-2023</t>
        </is>
      </c>
      <c r="B288" s="1" t="n">
        <v>45278</v>
      </c>
      <c r="C288" s="1" t="n">
        <v>46085</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33527-2023</t>
        </is>
      </c>
      <c r="B289" s="1" t="n">
        <v>45131</v>
      </c>
      <c r="C289" s="1" t="n">
        <v>46085</v>
      </c>
      <c r="D289" t="inlineStr">
        <is>
          <t>VÄSTMANLANDS LÄN</t>
        </is>
      </c>
      <c r="E289" t="inlineStr">
        <is>
          <t>SALA</t>
        </is>
      </c>
      <c r="G289" t="n">
        <v>1</v>
      </c>
      <c r="H289" t="n">
        <v>0</v>
      </c>
      <c r="I289" t="n">
        <v>0</v>
      </c>
      <c r="J289" t="n">
        <v>0</v>
      </c>
      <c r="K289" t="n">
        <v>0</v>
      </c>
      <c r="L289" t="n">
        <v>0</v>
      </c>
      <c r="M289" t="n">
        <v>0</v>
      </c>
      <c r="N289" t="n">
        <v>0</v>
      </c>
      <c r="O289" t="n">
        <v>0</v>
      </c>
      <c r="P289" t="n">
        <v>0</v>
      </c>
      <c r="Q289" t="n">
        <v>0</v>
      </c>
      <c r="R289" s="2" t="inlineStr"/>
    </row>
    <row r="290" ht="15" customHeight="1">
      <c r="A290" t="inlineStr">
        <is>
          <t>A 43028-2025</t>
        </is>
      </c>
      <c r="B290" s="1" t="n">
        <v>45909.53472222222</v>
      </c>
      <c r="C290" s="1" t="n">
        <v>46085</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10913-2025</t>
        </is>
      </c>
      <c r="B291" s="1" t="n">
        <v>45722.73423611111</v>
      </c>
      <c r="C291" s="1" t="n">
        <v>46085</v>
      </c>
      <c r="D291" t="inlineStr">
        <is>
          <t>VÄSTMANLANDS LÄN</t>
        </is>
      </c>
      <c r="E291" t="inlineStr">
        <is>
          <t>SALA</t>
        </is>
      </c>
      <c r="G291" t="n">
        <v>7.6</v>
      </c>
      <c r="H291" t="n">
        <v>0</v>
      </c>
      <c r="I291" t="n">
        <v>0</v>
      </c>
      <c r="J291" t="n">
        <v>0</v>
      </c>
      <c r="K291" t="n">
        <v>0</v>
      </c>
      <c r="L291" t="n">
        <v>0</v>
      </c>
      <c r="M291" t="n">
        <v>0</v>
      </c>
      <c r="N291" t="n">
        <v>0</v>
      </c>
      <c r="O291" t="n">
        <v>0</v>
      </c>
      <c r="P291" t="n">
        <v>0</v>
      </c>
      <c r="Q291" t="n">
        <v>0</v>
      </c>
      <c r="R291" s="2" t="inlineStr"/>
    </row>
    <row r="292" ht="15" customHeight="1">
      <c r="A292" t="inlineStr">
        <is>
          <t>A 58107-2021</t>
        </is>
      </c>
      <c r="B292" s="1" t="n">
        <v>44487</v>
      </c>
      <c r="C292" s="1" t="n">
        <v>46085</v>
      </c>
      <c r="D292" t="inlineStr">
        <is>
          <t>VÄSTMANLANDS LÄN</t>
        </is>
      </c>
      <c r="E292" t="inlineStr">
        <is>
          <t>SALA</t>
        </is>
      </c>
      <c r="F292" t="inlineStr">
        <is>
          <t>Sveaskog</t>
        </is>
      </c>
      <c r="G292" t="n">
        <v>2.8</v>
      </c>
      <c r="H292" t="n">
        <v>0</v>
      </c>
      <c r="I292" t="n">
        <v>0</v>
      </c>
      <c r="J292" t="n">
        <v>0</v>
      </c>
      <c r="K292" t="n">
        <v>0</v>
      </c>
      <c r="L292" t="n">
        <v>0</v>
      </c>
      <c r="M292" t="n">
        <v>0</v>
      </c>
      <c r="N292" t="n">
        <v>0</v>
      </c>
      <c r="O292" t="n">
        <v>0</v>
      </c>
      <c r="P292" t="n">
        <v>0</v>
      </c>
      <c r="Q292" t="n">
        <v>0</v>
      </c>
      <c r="R292" s="2" t="inlineStr"/>
    </row>
    <row r="293" ht="15" customHeight="1">
      <c r="A293" t="inlineStr">
        <is>
          <t>A 43328-2025</t>
        </is>
      </c>
      <c r="B293" s="1" t="n">
        <v>45910</v>
      </c>
      <c r="C293" s="1" t="n">
        <v>46085</v>
      </c>
      <c r="D293" t="inlineStr">
        <is>
          <t>VÄSTMANLANDS LÄN</t>
        </is>
      </c>
      <c r="E293" t="inlineStr">
        <is>
          <t>SALA</t>
        </is>
      </c>
      <c r="G293" t="n">
        <v>0.8</v>
      </c>
      <c r="H293" t="n">
        <v>0</v>
      </c>
      <c r="I293" t="n">
        <v>0</v>
      </c>
      <c r="J293" t="n">
        <v>0</v>
      </c>
      <c r="K293" t="n">
        <v>0</v>
      </c>
      <c r="L293" t="n">
        <v>0</v>
      </c>
      <c r="M293" t="n">
        <v>0</v>
      </c>
      <c r="N293" t="n">
        <v>0</v>
      </c>
      <c r="O293" t="n">
        <v>0</v>
      </c>
      <c r="P293" t="n">
        <v>0</v>
      </c>
      <c r="Q293" t="n">
        <v>0</v>
      </c>
      <c r="R293" s="2" t="inlineStr"/>
    </row>
    <row r="294" ht="15" customHeight="1">
      <c r="A294" t="inlineStr">
        <is>
          <t>A 37190-2024</t>
        </is>
      </c>
      <c r="B294" s="1" t="n">
        <v>45539</v>
      </c>
      <c r="C294" s="1" t="n">
        <v>46085</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2927-2024</t>
        </is>
      </c>
      <c r="B295" s="1" t="n">
        <v>45315.58989583333</v>
      </c>
      <c r="C295" s="1" t="n">
        <v>46085</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39439-2021</t>
        </is>
      </c>
      <c r="B296" s="1" t="n">
        <v>44414</v>
      </c>
      <c r="C296" s="1" t="n">
        <v>46085</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10245-2026</t>
        </is>
      </c>
      <c r="B297" s="1" t="n">
        <v>46076.55144675926</v>
      </c>
      <c r="C297" s="1" t="n">
        <v>46085</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37183-2024</t>
        </is>
      </c>
      <c r="B298" s="1" t="n">
        <v>45539</v>
      </c>
      <c r="C298" s="1" t="n">
        <v>46085</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43031-2025</t>
        </is>
      </c>
      <c r="B299" s="1" t="n">
        <v>45909.53856481481</v>
      </c>
      <c r="C299" s="1" t="n">
        <v>46085</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17495-2024</t>
        </is>
      </c>
      <c r="B300" s="1" t="n">
        <v>45415</v>
      </c>
      <c r="C300" s="1" t="n">
        <v>46085</v>
      </c>
      <c r="D300" t="inlineStr">
        <is>
          <t>VÄSTMANLANDS LÄN</t>
        </is>
      </c>
      <c r="E300" t="inlineStr">
        <is>
          <t>SALA</t>
        </is>
      </c>
      <c r="G300" t="n">
        <v>3.1</v>
      </c>
      <c r="H300" t="n">
        <v>0</v>
      </c>
      <c r="I300" t="n">
        <v>0</v>
      </c>
      <c r="J300" t="n">
        <v>0</v>
      </c>
      <c r="K300" t="n">
        <v>0</v>
      </c>
      <c r="L300" t="n">
        <v>0</v>
      </c>
      <c r="M300" t="n">
        <v>0</v>
      </c>
      <c r="N300" t="n">
        <v>0</v>
      </c>
      <c r="O300" t="n">
        <v>0</v>
      </c>
      <c r="P300" t="n">
        <v>0</v>
      </c>
      <c r="Q300" t="n">
        <v>0</v>
      </c>
      <c r="R300" s="2" t="inlineStr"/>
    </row>
    <row r="301" ht="15" customHeight="1">
      <c r="A301" t="inlineStr">
        <is>
          <t>A 37263-2025</t>
        </is>
      </c>
      <c r="B301" s="1" t="n">
        <v>45876.4584837963</v>
      </c>
      <c r="C301" s="1" t="n">
        <v>46085</v>
      </c>
      <c r="D301" t="inlineStr">
        <is>
          <t>VÄSTMANLANDS LÄN</t>
        </is>
      </c>
      <c r="E301" t="inlineStr">
        <is>
          <t>SALA</t>
        </is>
      </c>
      <c r="G301" t="n">
        <v>2.3</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46085</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43129-2025</t>
        </is>
      </c>
      <c r="B303" s="1" t="n">
        <v>45909</v>
      </c>
      <c r="C303" s="1" t="n">
        <v>46085</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43130-2025</t>
        </is>
      </c>
      <c r="B304" s="1" t="n">
        <v>45909</v>
      </c>
      <c r="C304" s="1" t="n">
        <v>46085</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54199-2024</t>
        </is>
      </c>
      <c r="B305" s="1" t="n">
        <v>45616.64703703704</v>
      </c>
      <c r="C305" s="1" t="n">
        <v>46085</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10239-2026</t>
        </is>
      </c>
      <c r="B306" s="1" t="n">
        <v>46076.54824074074</v>
      </c>
      <c r="C306" s="1" t="n">
        <v>46085</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10252-2026</t>
        </is>
      </c>
      <c r="B307" s="1" t="n">
        <v>46076.55700231482</v>
      </c>
      <c r="C307" s="1" t="n">
        <v>46085</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11389-2024</t>
        </is>
      </c>
      <c r="B308" s="1" t="n">
        <v>45372.45016203704</v>
      </c>
      <c r="C308" s="1" t="n">
        <v>46085</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43128-2025</t>
        </is>
      </c>
      <c r="B309" s="1" t="n">
        <v>45909</v>
      </c>
      <c r="C309" s="1" t="n">
        <v>46085</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56706-2022</t>
        </is>
      </c>
      <c r="B310" s="1" t="n">
        <v>44893.78893518518</v>
      </c>
      <c r="C310" s="1" t="n">
        <v>46085</v>
      </c>
      <c r="D310" t="inlineStr">
        <is>
          <t>VÄSTMANLANDS LÄN</t>
        </is>
      </c>
      <c r="E310" t="inlineStr">
        <is>
          <t>SALA</t>
        </is>
      </c>
      <c r="G310" t="n">
        <v>4.5</v>
      </c>
      <c r="H310" t="n">
        <v>0</v>
      </c>
      <c r="I310" t="n">
        <v>0</v>
      </c>
      <c r="J310" t="n">
        <v>0</v>
      </c>
      <c r="K310" t="n">
        <v>0</v>
      </c>
      <c r="L310" t="n">
        <v>0</v>
      </c>
      <c r="M310" t="n">
        <v>0</v>
      </c>
      <c r="N310" t="n">
        <v>0</v>
      </c>
      <c r="O310" t="n">
        <v>0</v>
      </c>
      <c r="P310" t="n">
        <v>0</v>
      </c>
      <c r="Q310" t="n">
        <v>0</v>
      </c>
      <c r="R310" s="2" t="inlineStr"/>
    </row>
    <row r="311" ht="15" customHeight="1">
      <c r="A311" t="inlineStr">
        <is>
          <t>A 56707-2022</t>
        </is>
      </c>
      <c r="B311" s="1" t="n">
        <v>44893.79412037037</v>
      </c>
      <c r="C311" s="1" t="n">
        <v>46085</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43127-2025</t>
        </is>
      </c>
      <c r="B312" s="1" t="n">
        <v>45909</v>
      </c>
      <c r="C312" s="1" t="n">
        <v>46085</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60548-2024</t>
        </is>
      </c>
      <c r="B313" s="1" t="n">
        <v>45643.80978009259</v>
      </c>
      <c r="C313" s="1" t="n">
        <v>46085</v>
      </c>
      <c r="D313" t="inlineStr">
        <is>
          <t>VÄSTMANLANDS LÄN</t>
        </is>
      </c>
      <c r="E313" t="inlineStr">
        <is>
          <t>SALA</t>
        </is>
      </c>
      <c r="G313" t="n">
        <v>1.6</v>
      </c>
      <c r="H313" t="n">
        <v>0</v>
      </c>
      <c r="I313" t="n">
        <v>0</v>
      </c>
      <c r="J313" t="n">
        <v>0</v>
      </c>
      <c r="K313" t="n">
        <v>0</v>
      </c>
      <c r="L313" t="n">
        <v>0</v>
      </c>
      <c r="M313" t="n">
        <v>0</v>
      </c>
      <c r="N313" t="n">
        <v>0</v>
      </c>
      <c r="O313" t="n">
        <v>0</v>
      </c>
      <c r="P313" t="n">
        <v>0</v>
      </c>
      <c r="Q313" t="n">
        <v>0</v>
      </c>
      <c r="R313" s="2" t="inlineStr"/>
    </row>
    <row r="314" ht="15" customHeight="1">
      <c r="A314" t="inlineStr">
        <is>
          <t>A 30971-2022</t>
        </is>
      </c>
      <c r="B314" s="1" t="n">
        <v>44768.46725694444</v>
      </c>
      <c r="C314" s="1" t="n">
        <v>46085</v>
      </c>
      <c r="D314" t="inlineStr">
        <is>
          <t>VÄSTMANLANDS LÄN</t>
        </is>
      </c>
      <c r="E314" t="inlineStr">
        <is>
          <t>SALA</t>
        </is>
      </c>
      <c r="G314" t="n">
        <v>2.4</v>
      </c>
      <c r="H314" t="n">
        <v>0</v>
      </c>
      <c r="I314" t="n">
        <v>0</v>
      </c>
      <c r="J314" t="n">
        <v>0</v>
      </c>
      <c r="K314" t="n">
        <v>0</v>
      </c>
      <c r="L314" t="n">
        <v>0</v>
      </c>
      <c r="M314" t="n">
        <v>0</v>
      </c>
      <c r="N314" t="n">
        <v>0</v>
      </c>
      <c r="O314" t="n">
        <v>0</v>
      </c>
      <c r="P314" t="n">
        <v>0</v>
      </c>
      <c r="Q314" t="n">
        <v>0</v>
      </c>
      <c r="R314" s="2" t="inlineStr"/>
    </row>
    <row r="315" ht="15" customHeight="1">
      <c r="A315" t="inlineStr">
        <is>
          <t>A 1705-2026</t>
        </is>
      </c>
      <c r="B315" s="1" t="n">
        <v>46034.59930555556</v>
      </c>
      <c r="C315" s="1" t="n">
        <v>46085</v>
      </c>
      <c r="D315" t="inlineStr">
        <is>
          <t>VÄSTMANLANDS LÄN</t>
        </is>
      </c>
      <c r="E315" t="inlineStr">
        <is>
          <t>SALA</t>
        </is>
      </c>
      <c r="G315" t="n">
        <v>0.4</v>
      </c>
      <c r="H315" t="n">
        <v>0</v>
      </c>
      <c r="I315" t="n">
        <v>0</v>
      </c>
      <c r="J315" t="n">
        <v>0</v>
      </c>
      <c r="K315" t="n">
        <v>0</v>
      </c>
      <c r="L315" t="n">
        <v>0</v>
      </c>
      <c r="M315" t="n">
        <v>0</v>
      </c>
      <c r="N315" t="n">
        <v>0</v>
      </c>
      <c r="O315" t="n">
        <v>0</v>
      </c>
      <c r="P315" t="n">
        <v>0</v>
      </c>
      <c r="Q315" t="n">
        <v>0</v>
      </c>
      <c r="R315" s="2" t="inlineStr"/>
    </row>
    <row r="316" ht="15" customHeight="1">
      <c r="A316" t="inlineStr">
        <is>
          <t>A 44100-2025</t>
        </is>
      </c>
      <c r="B316" s="1" t="n">
        <v>45915.56707175926</v>
      </c>
      <c r="C316" s="1" t="n">
        <v>46085</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57895-2024</t>
        </is>
      </c>
      <c r="B317" s="1" t="n">
        <v>45631</v>
      </c>
      <c r="C317" s="1" t="n">
        <v>46085</v>
      </c>
      <c r="D317" t="inlineStr">
        <is>
          <t>VÄSTMANLANDS LÄN</t>
        </is>
      </c>
      <c r="E317" t="inlineStr">
        <is>
          <t>SALA</t>
        </is>
      </c>
      <c r="G317" t="n">
        <v>1</v>
      </c>
      <c r="H317" t="n">
        <v>0</v>
      </c>
      <c r="I317" t="n">
        <v>0</v>
      </c>
      <c r="J317" t="n">
        <v>0</v>
      </c>
      <c r="K317" t="n">
        <v>0</v>
      </c>
      <c r="L317" t="n">
        <v>0</v>
      </c>
      <c r="M317" t="n">
        <v>0</v>
      </c>
      <c r="N317" t="n">
        <v>0</v>
      </c>
      <c r="O317" t="n">
        <v>0</v>
      </c>
      <c r="P317" t="n">
        <v>0</v>
      </c>
      <c r="Q317" t="n">
        <v>0</v>
      </c>
      <c r="R317" s="2" t="inlineStr"/>
    </row>
    <row r="318" ht="15" customHeight="1">
      <c r="A318" t="inlineStr">
        <is>
          <t>A 31597-2024</t>
        </is>
      </c>
      <c r="B318" s="1" t="n">
        <v>45506</v>
      </c>
      <c r="C318" s="1" t="n">
        <v>46085</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17458-2024</t>
        </is>
      </c>
      <c r="B319" s="1" t="n">
        <v>45415</v>
      </c>
      <c r="C319" s="1" t="n">
        <v>46085</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56543-2024</t>
        </is>
      </c>
      <c r="B320" s="1" t="n">
        <v>45625</v>
      </c>
      <c r="C320" s="1" t="n">
        <v>46085</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44486-2025</t>
        </is>
      </c>
      <c r="B321" s="1" t="n">
        <v>45916.65517361111</v>
      </c>
      <c r="C321" s="1" t="n">
        <v>46085</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44524-2025</t>
        </is>
      </c>
      <c r="B322" s="1" t="n">
        <v>45916.72920138889</v>
      </c>
      <c r="C322" s="1" t="n">
        <v>46085</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43122-2025</t>
        </is>
      </c>
      <c r="B323" s="1" t="n">
        <v>45909</v>
      </c>
      <c r="C323" s="1" t="n">
        <v>46085</v>
      </c>
      <c r="D323" t="inlineStr">
        <is>
          <t>VÄSTMANLANDS LÄN</t>
        </is>
      </c>
      <c r="E323" t="inlineStr">
        <is>
          <t>SALA</t>
        </is>
      </c>
      <c r="G323" t="n">
        <v>3.2</v>
      </c>
      <c r="H323" t="n">
        <v>0</v>
      </c>
      <c r="I323" t="n">
        <v>0</v>
      </c>
      <c r="J323" t="n">
        <v>0</v>
      </c>
      <c r="K323" t="n">
        <v>0</v>
      </c>
      <c r="L323" t="n">
        <v>0</v>
      </c>
      <c r="M323" t="n">
        <v>0</v>
      </c>
      <c r="N323" t="n">
        <v>0</v>
      </c>
      <c r="O323" t="n">
        <v>0</v>
      </c>
      <c r="P323" t="n">
        <v>0</v>
      </c>
      <c r="Q323" t="n">
        <v>0</v>
      </c>
      <c r="R323" s="2" t="inlineStr"/>
    </row>
    <row r="324" ht="15" customHeight="1">
      <c r="A324" t="inlineStr">
        <is>
          <t>A 28661-2024</t>
        </is>
      </c>
      <c r="B324" s="1" t="n">
        <v>45478</v>
      </c>
      <c r="C324" s="1" t="n">
        <v>46085</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2529-2022</t>
        </is>
      </c>
      <c r="B325" s="1" t="n">
        <v>44579.86452546297</v>
      </c>
      <c r="C325" s="1" t="n">
        <v>46085</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56540-2024</t>
        </is>
      </c>
      <c r="B326" s="1" t="n">
        <v>45625</v>
      </c>
      <c r="C326" s="1" t="n">
        <v>46085</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31599-2024</t>
        </is>
      </c>
      <c r="B327" s="1" t="n">
        <v>45506</v>
      </c>
      <c r="C327" s="1" t="n">
        <v>46085</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31601-2024</t>
        </is>
      </c>
      <c r="B328" s="1" t="n">
        <v>45506</v>
      </c>
      <c r="C328" s="1" t="n">
        <v>46085</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31608-2024</t>
        </is>
      </c>
      <c r="B329" s="1" t="n">
        <v>45506</v>
      </c>
      <c r="C329" s="1" t="n">
        <v>46085</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31612-2024</t>
        </is>
      </c>
      <c r="B330" s="1" t="n">
        <v>45506</v>
      </c>
      <c r="C330" s="1" t="n">
        <v>46085</v>
      </c>
      <c r="D330" t="inlineStr">
        <is>
          <t>VÄSTMANLANDS LÄN</t>
        </is>
      </c>
      <c r="E330" t="inlineStr">
        <is>
          <t>SALA</t>
        </is>
      </c>
      <c r="G330" t="n">
        <v>3.2</v>
      </c>
      <c r="H330" t="n">
        <v>0</v>
      </c>
      <c r="I330" t="n">
        <v>0</v>
      </c>
      <c r="J330" t="n">
        <v>0</v>
      </c>
      <c r="K330" t="n">
        <v>0</v>
      </c>
      <c r="L330" t="n">
        <v>0</v>
      </c>
      <c r="M330" t="n">
        <v>0</v>
      </c>
      <c r="N330" t="n">
        <v>0</v>
      </c>
      <c r="O330" t="n">
        <v>0</v>
      </c>
      <c r="P330" t="n">
        <v>0</v>
      </c>
      <c r="Q330" t="n">
        <v>0</v>
      </c>
      <c r="R330" s="2" t="inlineStr"/>
    </row>
    <row r="331" ht="15" customHeight="1">
      <c r="A331" t="inlineStr">
        <is>
          <t>A 2900-2023</t>
        </is>
      </c>
      <c r="B331" s="1" t="n">
        <v>44943</v>
      </c>
      <c r="C331" s="1" t="n">
        <v>46085</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10579-2022</t>
        </is>
      </c>
      <c r="B332" s="1" t="n">
        <v>44624</v>
      </c>
      <c r="C332" s="1" t="n">
        <v>46085</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64693-2023</t>
        </is>
      </c>
      <c r="B333" s="1" t="n">
        <v>45281.63850694444</v>
      </c>
      <c r="C333" s="1" t="n">
        <v>46085</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64695-2023</t>
        </is>
      </c>
      <c r="B334" s="1" t="n">
        <v>45281.64099537037</v>
      </c>
      <c r="C334" s="1" t="n">
        <v>46085</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45371-2025</t>
        </is>
      </c>
      <c r="B335" s="1" t="n">
        <v>45922.39001157408</v>
      </c>
      <c r="C335" s="1" t="n">
        <v>46085</v>
      </c>
      <c r="D335" t="inlineStr">
        <is>
          <t>VÄSTMANLANDS LÄN</t>
        </is>
      </c>
      <c r="E335" t="inlineStr">
        <is>
          <t>SALA</t>
        </is>
      </c>
      <c r="G335" t="n">
        <v>2.1</v>
      </c>
      <c r="H335" t="n">
        <v>0</v>
      </c>
      <c r="I335" t="n">
        <v>0</v>
      </c>
      <c r="J335" t="n">
        <v>0</v>
      </c>
      <c r="K335" t="n">
        <v>0</v>
      </c>
      <c r="L335" t="n">
        <v>0</v>
      </c>
      <c r="M335" t="n">
        <v>0</v>
      </c>
      <c r="N335" t="n">
        <v>0</v>
      </c>
      <c r="O335" t="n">
        <v>0</v>
      </c>
      <c r="P335" t="n">
        <v>0</v>
      </c>
      <c r="Q335" t="n">
        <v>0</v>
      </c>
      <c r="R335" s="2" t="inlineStr"/>
    </row>
    <row r="336" ht="15" customHeight="1">
      <c r="A336" t="inlineStr">
        <is>
          <t>A 45177-2025</t>
        </is>
      </c>
      <c r="B336" s="1" t="n">
        <v>45919.52444444445</v>
      </c>
      <c r="C336" s="1" t="n">
        <v>46085</v>
      </c>
      <c r="D336" t="inlineStr">
        <is>
          <t>VÄSTMANLANDS LÄN</t>
        </is>
      </c>
      <c r="E336" t="inlineStr">
        <is>
          <t>SALA</t>
        </is>
      </c>
      <c r="G336" t="n">
        <v>2.4</v>
      </c>
      <c r="H336" t="n">
        <v>0</v>
      </c>
      <c r="I336" t="n">
        <v>0</v>
      </c>
      <c r="J336" t="n">
        <v>0</v>
      </c>
      <c r="K336" t="n">
        <v>0</v>
      </c>
      <c r="L336" t="n">
        <v>0</v>
      </c>
      <c r="M336" t="n">
        <v>0</v>
      </c>
      <c r="N336" t="n">
        <v>0</v>
      </c>
      <c r="O336" t="n">
        <v>0</v>
      </c>
      <c r="P336" t="n">
        <v>0</v>
      </c>
      <c r="Q336" t="n">
        <v>0</v>
      </c>
      <c r="R336" s="2" t="inlineStr"/>
    </row>
    <row r="337" ht="15" customHeight="1">
      <c r="A337" t="inlineStr">
        <is>
          <t>A 60730-2023</t>
        </is>
      </c>
      <c r="B337" s="1" t="n">
        <v>45260</v>
      </c>
      <c r="C337" s="1" t="n">
        <v>46085</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60731-2023</t>
        </is>
      </c>
      <c r="B338" s="1" t="n">
        <v>45260</v>
      </c>
      <c r="C338" s="1" t="n">
        <v>46085</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55784-2024</t>
        </is>
      </c>
      <c r="B339" s="1" t="n">
        <v>45623</v>
      </c>
      <c r="C339" s="1" t="n">
        <v>46085</v>
      </c>
      <c r="D339" t="inlineStr">
        <is>
          <t>VÄSTMANLANDS LÄN</t>
        </is>
      </c>
      <c r="E339" t="inlineStr">
        <is>
          <t>SALA</t>
        </is>
      </c>
      <c r="F339" t="inlineStr">
        <is>
          <t>Bergvik skog öst AB</t>
        </is>
      </c>
      <c r="G339" t="n">
        <v>28.4</v>
      </c>
      <c r="H339" t="n">
        <v>0</v>
      </c>
      <c r="I339" t="n">
        <v>0</v>
      </c>
      <c r="J339" t="n">
        <v>0</v>
      </c>
      <c r="K339" t="n">
        <v>0</v>
      </c>
      <c r="L339" t="n">
        <v>0</v>
      </c>
      <c r="M339" t="n">
        <v>0</v>
      </c>
      <c r="N339" t="n">
        <v>0</v>
      </c>
      <c r="O339" t="n">
        <v>0</v>
      </c>
      <c r="P339" t="n">
        <v>0</v>
      </c>
      <c r="Q339" t="n">
        <v>0</v>
      </c>
      <c r="R339" s="2" t="inlineStr"/>
    </row>
    <row r="340" ht="15" customHeight="1">
      <c r="A340" t="inlineStr">
        <is>
          <t>A 45914-2025</t>
        </is>
      </c>
      <c r="B340" s="1" t="n">
        <v>45923.82582175926</v>
      </c>
      <c r="C340" s="1" t="n">
        <v>46085</v>
      </c>
      <c r="D340" t="inlineStr">
        <is>
          <t>VÄSTMANLANDS LÄN</t>
        </is>
      </c>
      <c r="E340" t="inlineStr">
        <is>
          <t>SALA</t>
        </is>
      </c>
      <c r="F340" t="inlineStr">
        <is>
          <t>Kommuner</t>
        </is>
      </c>
      <c r="G340" t="n">
        <v>18.2</v>
      </c>
      <c r="H340" t="n">
        <v>0</v>
      </c>
      <c r="I340" t="n">
        <v>0</v>
      </c>
      <c r="J340" t="n">
        <v>0</v>
      </c>
      <c r="K340" t="n">
        <v>0</v>
      </c>
      <c r="L340" t="n">
        <v>0</v>
      </c>
      <c r="M340" t="n">
        <v>0</v>
      </c>
      <c r="N340" t="n">
        <v>0</v>
      </c>
      <c r="O340" t="n">
        <v>0</v>
      </c>
      <c r="P340" t="n">
        <v>0</v>
      </c>
      <c r="Q340" t="n">
        <v>0</v>
      </c>
      <c r="R340" s="2" t="inlineStr"/>
    </row>
    <row r="341" ht="15" customHeight="1">
      <c r="A341" t="inlineStr">
        <is>
          <t>A 29542-2023</t>
        </is>
      </c>
      <c r="B341" s="1" t="n">
        <v>45098</v>
      </c>
      <c r="C341" s="1" t="n">
        <v>46085</v>
      </c>
      <c r="D341" t="inlineStr">
        <is>
          <t>VÄSTMANLANDS LÄN</t>
        </is>
      </c>
      <c r="E341" t="inlineStr">
        <is>
          <t>SALA</t>
        </is>
      </c>
      <c r="G341" t="n">
        <v>4.8</v>
      </c>
      <c r="H341" t="n">
        <v>0</v>
      </c>
      <c r="I341" t="n">
        <v>0</v>
      </c>
      <c r="J341" t="n">
        <v>0</v>
      </c>
      <c r="K341" t="n">
        <v>0</v>
      </c>
      <c r="L341" t="n">
        <v>0</v>
      </c>
      <c r="M341" t="n">
        <v>0</v>
      </c>
      <c r="N341" t="n">
        <v>0</v>
      </c>
      <c r="O341" t="n">
        <v>0</v>
      </c>
      <c r="P341" t="n">
        <v>0</v>
      </c>
      <c r="Q341" t="n">
        <v>0</v>
      </c>
      <c r="R341" s="2" t="inlineStr"/>
    </row>
    <row r="342" ht="15" customHeight="1">
      <c r="A342" t="inlineStr">
        <is>
          <t>A 45909-2025</t>
        </is>
      </c>
      <c r="B342" s="1" t="n">
        <v>45923.75078703704</v>
      </c>
      <c r="C342" s="1" t="n">
        <v>46085</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27038-2023</t>
        </is>
      </c>
      <c r="B343" s="1" t="n">
        <v>45095</v>
      </c>
      <c r="C343" s="1" t="n">
        <v>46085</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46597-2025</t>
        </is>
      </c>
      <c r="B344" s="1" t="n">
        <v>45926.40113425926</v>
      </c>
      <c r="C344" s="1" t="n">
        <v>46085</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17051-2025</t>
        </is>
      </c>
      <c r="B345" s="1" t="n">
        <v>45755</v>
      </c>
      <c r="C345" s="1" t="n">
        <v>46085</v>
      </c>
      <c r="D345" t="inlineStr">
        <is>
          <t>VÄSTMANLANDS LÄN</t>
        </is>
      </c>
      <c r="E345" t="inlineStr">
        <is>
          <t>SALA</t>
        </is>
      </c>
      <c r="G345" t="n">
        <v>2.9</v>
      </c>
      <c r="H345" t="n">
        <v>0</v>
      </c>
      <c r="I345" t="n">
        <v>0</v>
      </c>
      <c r="J345" t="n">
        <v>0</v>
      </c>
      <c r="K345" t="n">
        <v>0</v>
      </c>
      <c r="L345" t="n">
        <v>0</v>
      </c>
      <c r="M345" t="n">
        <v>0</v>
      </c>
      <c r="N345" t="n">
        <v>0</v>
      </c>
      <c r="O345" t="n">
        <v>0</v>
      </c>
      <c r="P345" t="n">
        <v>0</v>
      </c>
      <c r="Q345" t="n">
        <v>0</v>
      </c>
      <c r="R345" s="2" t="inlineStr"/>
    </row>
    <row r="346" ht="15" customHeight="1">
      <c r="A346" t="inlineStr">
        <is>
          <t>A 8285-2025</t>
        </is>
      </c>
      <c r="B346" s="1" t="n">
        <v>45708</v>
      </c>
      <c r="C346" s="1" t="n">
        <v>46085</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46661-2025</t>
        </is>
      </c>
      <c r="B347" s="1" t="n">
        <v>45926</v>
      </c>
      <c r="C347" s="1" t="n">
        <v>46085</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14010-2021</t>
        </is>
      </c>
      <c r="B348" s="1" t="n">
        <v>44277.63396990741</v>
      </c>
      <c r="C348" s="1" t="n">
        <v>46085</v>
      </c>
      <c r="D348" t="inlineStr">
        <is>
          <t>VÄSTMANLANDS LÄN</t>
        </is>
      </c>
      <c r="E348" t="inlineStr">
        <is>
          <t>SALA</t>
        </is>
      </c>
      <c r="G348" t="n">
        <v>3.5</v>
      </c>
      <c r="H348" t="n">
        <v>0</v>
      </c>
      <c r="I348" t="n">
        <v>0</v>
      </c>
      <c r="J348" t="n">
        <v>0</v>
      </c>
      <c r="K348" t="n">
        <v>0</v>
      </c>
      <c r="L348" t="n">
        <v>0</v>
      </c>
      <c r="M348" t="n">
        <v>0</v>
      </c>
      <c r="N348" t="n">
        <v>0</v>
      </c>
      <c r="O348" t="n">
        <v>0</v>
      </c>
      <c r="P348" t="n">
        <v>0</v>
      </c>
      <c r="Q348" t="n">
        <v>0</v>
      </c>
      <c r="R348" s="2" t="inlineStr"/>
    </row>
    <row r="349" ht="15" customHeight="1">
      <c r="A349" t="inlineStr">
        <is>
          <t>A 22019-2021</t>
        </is>
      </c>
      <c r="B349" s="1" t="n">
        <v>44323</v>
      </c>
      <c r="C349" s="1" t="n">
        <v>46085</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46915-2025</t>
        </is>
      </c>
      <c r="B350" s="1" t="n">
        <v>45929.42114583333</v>
      </c>
      <c r="C350" s="1" t="n">
        <v>46085</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57404-2024</t>
        </is>
      </c>
      <c r="B351" s="1" t="n">
        <v>45629.71967592592</v>
      </c>
      <c r="C351" s="1" t="n">
        <v>46085</v>
      </c>
      <c r="D351" t="inlineStr">
        <is>
          <t>VÄSTMANLANDS LÄN</t>
        </is>
      </c>
      <c r="E351" t="inlineStr">
        <is>
          <t>SALA</t>
        </is>
      </c>
      <c r="G351" t="n">
        <v>0.3</v>
      </c>
      <c r="H351" t="n">
        <v>0</v>
      </c>
      <c r="I351" t="n">
        <v>0</v>
      </c>
      <c r="J351" t="n">
        <v>0</v>
      </c>
      <c r="K351" t="n">
        <v>0</v>
      </c>
      <c r="L351" t="n">
        <v>0</v>
      </c>
      <c r="M351" t="n">
        <v>0</v>
      </c>
      <c r="N351" t="n">
        <v>0</v>
      </c>
      <c r="O351" t="n">
        <v>0</v>
      </c>
      <c r="P351" t="n">
        <v>0</v>
      </c>
      <c r="Q351" t="n">
        <v>0</v>
      </c>
      <c r="R351" s="2" t="inlineStr"/>
    </row>
    <row r="352" ht="15" customHeight="1">
      <c r="A352" t="inlineStr">
        <is>
          <t>A 21777-2022</t>
        </is>
      </c>
      <c r="B352" s="1" t="n">
        <v>44708.48194444444</v>
      </c>
      <c r="C352" s="1" t="n">
        <v>46085</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17866-2025</t>
        </is>
      </c>
      <c r="B353" s="1" t="n">
        <v>45758</v>
      </c>
      <c r="C353" s="1" t="n">
        <v>46085</v>
      </c>
      <c r="D353" t="inlineStr">
        <is>
          <t>VÄSTMANLANDS LÄN</t>
        </is>
      </c>
      <c r="E353" t="inlineStr">
        <is>
          <t>SALA</t>
        </is>
      </c>
      <c r="F353" t="inlineStr">
        <is>
          <t>Bergvik skog öst AB</t>
        </is>
      </c>
      <c r="G353" t="n">
        <v>2.1</v>
      </c>
      <c r="H353" t="n">
        <v>0</v>
      </c>
      <c r="I353" t="n">
        <v>0</v>
      </c>
      <c r="J353" t="n">
        <v>0</v>
      </c>
      <c r="K353" t="n">
        <v>0</v>
      </c>
      <c r="L353" t="n">
        <v>0</v>
      </c>
      <c r="M353" t="n">
        <v>0</v>
      </c>
      <c r="N353" t="n">
        <v>0</v>
      </c>
      <c r="O353" t="n">
        <v>0</v>
      </c>
      <c r="P353" t="n">
        <v>0</v>
      </c>
      <c r="Q353" t="n">
        <v>0</v>
      </c>
      <c r="R353" s="2" t="inlineStr"/>
    </row>
    <row r="354" ht="15" customHeight="1">
      <c r="A354" t="inlineStr">
        <is>
          <t>A 33732-2023</t>
        </is>
      </c>
      <c r="B354" s="1" t="n">
        <v>45133.32409722222</v>
      </c>
      <c r="C354" s="1" t="n">
        <v>46085</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48057-2025</t>
        </is>
      </c>
      <c r="B355" s="1" t="n">
        <v>45932.67947916667</v>
      </c>
      <c r="C355" s="1" t="n">
        <v>46085</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35976-2024</t>
        </is>
      </c>
      <c r="B356" s="1" t="n">
        <v>45533.49555555556</v>
      </c>
      <c r="C356" s="1" t="n">
        <v>46085</v>
      </c>
      <c r="D356" t="inlineStr">
        <is>
          <t>VÄSTMANLANDS LÄN</t>
        </is>
      </c>
      <c r="E356" t="inlineStr">
        <is>
          <t>SALA</t>
        </is>
      </c>
      <c r="G356" t="n">
        <v>2.3</v>
      </c>
      <c r="H356" t="n">
        <v>0</v>
      </c>
      <c r="I356" t="n">
        <v>0</v>
      </c>
      <c r="J356" t="n">
        <v>0</v>
      </c>
      <c r="K356" t="n">
        <v>0</v>
      </c>
      <c r="L356" t="n">
        <v>0</v>
      </c>
      <c r="M356" t="n">
        <v>0</v>
      </c>
      <c r="N356" t="n">
        <v>0</v>
      </c>
      <c r="O356" t="n">
        <v>0</v>
      </c>
      <c r="P356" t="n">
        <v>0</v>
      </c>
      <c r="Q356" t="n">
        <v>0</v>
      </c>
      <c r="R356" s="2" t="inlineStr"/>
    </row>
    <row r="357" ht="15" customHeight="1">
      <c r="A357" t="inlineStr">
        <is>
          <t>A 47577-2025</t>
        </is>
      </c>
      <c r="B357" s="1" t="n">
        <v>45931.4047337963</v>
      </c>
      <c r="C357" s="1" t="n">
        <v>46085</v>
      </c>
      <c r="D357" t="inlineStr">
        <is>
          <t>VÄSTMANLANDS LÄN</t>
        </is>
      </c>
      <c r="E357" t="inlineStr">
        <is>
          <t>SALA</t>
        </is>
      </c>
      <c r="G357" t="n">
        <v>3.7</v>
      </c>
      <c r="H357" t="n">
        <v>0</v>
      </c>
      <c r="I357" t="n">
        <v>0</v>
      </c>
      <c r="J357" t="n">
        <v>0</v>
      </c>
      <c r="K357" t="n">
        <v>0</v>
      </c>
      <c r="L357" t="n">
        <v>0</v>
      </c>
      <c r="M357" t="n">
        <v>0</v>
      </c>
      <c r="N357" t="n">
        <v>0</v>
      </c>
      <c r="O357" t="n">
        <v>0</v>
      </c>
      <c r="P357" t="n">
        <v>0</v>
      </c>
      <c r="Q357" t="n">
        <v>0</v>
      </c>
      <c r="R357" s="2" t="inlineStr"/>
    </row>
    <row r="358" ht="15" customHeight="1">
      <c r="A358" t="inlineStr">
        <is>
          <t>A 7166-2025</t>
        </is>
      </c>
      <c r="B358" s="1" t="n">
        <v>45702</v>
      </c>
      <c r="C358" s="1" t="n">
        <v>46085</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44857-2023</t>
        </is>
      </c>
      <c r="B359" s="1" t="n">
        <v>45190.58479166667</v>
      </c>
      <c r="C359" s="1" t="n">
        <v>46085</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46352-2023</t>
        </is>
      </c>
      <c r="B360" s="1" t="n">
        <v>45192</v>
      </c>
      <c r="C360" s="1" t="n">
        <v>46085</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22397-2022</t>
        </is>
      </c>
      <c r="B361" s="1" t="n">
        <v>44713</v>
      </c>
      <c r="C361" s="1" t="n">
        <v>46085</v>
      </c>
      <c r="D361" t="inlineStr">
        <is>
          <t>VÄSTMANLANDS LÄN</t>
        </is>
      </c>
      <c r="E361" t="inlineStr">
        <is>
          <t>SALA</t>
        </is>
      </c>
      <c r="G361" t="n">
        <v>2.1</v>
      </c>
      <c r="H361" t="n">
        <v>0</v>
      </c>
      <c r="I361" t="n">
        <v>0</v>
      </c>
      <c r="J361" t="n">
        <v>0</v>
      </c>
      <c r="K361" t="n">
        <v>0</v>
      </c>
      <c r="L361" t="n">
        <v>0</v>
      </c>
      <c r="M361" t="n">
        <v>0</v>
      </c>
      <c r="N361" t="n">
        <v>0</v>
      </c>
      <c r="O361" t="n">
        <v>0</v>
      </c>
      <c r="P361" t="n">
        <v>0</v>
      </c>
      <c r="Q361" t="n">
        <v>0</v>
      </c>
      <c r="R361" s="2" t="inlineStr"/>
    </row>
    <row r="362" ht="15" customHeight="1">
      <c r="A362" t="inlineStr">
        <is>
          <t>A 27424-2023</t>
        </is>
      </c>
      <c r="B362" s="1" t="n">
        <v>45097.37690972222</v>
      </c>
      <c r="C362" s="1" t="n">
        <v>46085</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48710-2025</t>
        </is>
      </c>
      <c r="B363" s="1" t="n">
        <v>45936.63184027778</v>
      </c>
      <c r="C363" s="1" t="n">
        <v>46085</v>
      </c>
      <c r="D363" t="inlineStr">
        <is>
          <t>VÄSTMANLANDS LÄN</t>
        </is>
      </c>
      <c r="E363" t="inlineStr">
        <is>
          <t>SALA</t>
        </is>
      </c>
      <c r="G363" t="n">
        <v>2.7</v>
      </c>
      <c r="H363" t="n">
        <v>0</v>
      </c>
      <c r="I363" t="n">
        <v>0</v>
      </c>
      <c r="J363" t="n">
        <v>0</v>
      </c>
      <c r="K363" t="n">
        <v>0</v>
      </c>
      <c r="L363" t="n">
        <v>0</v>
      </c>
      <c r="M363" t="n">
        <v>0</v>
      </c>
      <c r="N363" t="n">
        <v>0</v>
      </c>
      <c r="O363" t="n">
        <v>0</v>
      </c>
      <c r="P363" t="n">
        <v>0</v>
      </c>
      <c r="Q363" t="n">
        <v>0</v>
      </c>
      <c r="R363" s="2" t="inlineStr"/>
    </row>
    <row r="364" ht="15" customHeight="1">
      <c r="A364" t="inlineStr">
        <is>
          <t>A 7469-2025</t>
        </is>
      </c>
      <c r="B364" s="1" t="n">
        <v>45705</v>
      </c>
      <c r="C364" s="1" t="n">
        <v>46085</v>
      </c>
      <c r="D364" t="inlineStr">
        <is>
          <t>VÄSTMANLANDS LÄN</t>
        </is>
      </c>
      <c r="E364" t="inlineStr">
        <is>
          <t>SALA</t>
        </is>
      </c>
      <c r="G364" t="n">
        <v>2.1</v>
      </c>
      <c r="H364" t="n">
        <v>0</v>
      </c>
      <c r="I364" t="n">
        <v>0</v>
      </c>
      <c r="J364" t="n">
        <v>0</v>
      </c>
      <c r="K364" t="n">
        <v>0</v>
      </c>
      <c r="L364" t="n">
        <v>0</v>
      </c>
      <c r="M364" t="n">
        <v>0</v>
      </c>
      <c r="N364" t="n">
        <v>0</v>
      </c>
      <c r="O364" t="n">
        <v>0</v>
      </c>
      <c r="P364" t="n">
        <v>0</v>
      </c>
      <c r="Q364" t="n">
        <v>0</v>
      </c>
      <c r="R364" s="2" t="inlineStr"/>
    </row>
    <row r="365" ht="15" customHeight="1">
      <c r="A365" t="inlineStr">
        <is>
          <t>A 6691-2025</t>
        </is>
      </c>
      <c r="B365" s="1" t="n">
        <v>45700.50625</v>
      </c>
      <c r="C365" s="1" t="n">
        <v>46085</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60036-2024</t>
        </is>
      </c>
      <c r="B366" s="1" t="n">
        <v>45642.46434027778</v>
      </c>
      <c r="C366" s="1" t="n">
        <v>46085</v>
      </c>
      <c r="D366" t="inlineStr">
        <is>
          <t>VÄSTMANLANDS LÄN</t>
        </is>
      </c>
      <c r="E366" t="inlineStr">
        <is>
          <t>SALA</t>
        </is>
      </c>
      <c r="G366" t="n">
        <v>2.5</v>
      </c>
      <c r="H366" t="n">
        <v>0</v>
      </c>
      <c r="I366" t="n">
        <v>0</v>
      </c>
      <c r="J366" t="n">
        <v>0</v>
      </c>
      <c r="K366" t="n">
        <v>0</v>
      </c>
      <c r="L366" t="n">
        <v>0</v>
      </c>
      <c r="M366" t="n">
        <v>0</v>
      </c>
      <c r="N366" t="n">
        <v>0</v>
      </c>
      <c r="O366" t="n">
        <v>0</v>
      </c>
      <c r="P366" t="n">
        <v>0</v>
      </c>
      <c r="Q366" t="n">
        <v>0</v>
      </c>
      <c r="R366" s="2" t="inlineStr"/>
    </row>
    <row r="367" ht="15" customHeight="1">
      <c r="A367" t="inlineStr">
        <is>
          <t>A 71471-2021</t>
        </is>
      </c>
      <c r="B367" s="1" t="n">
        <v>44540.53421296296</v>
      </c>
      <c r="C367" s="1" t="n">
        <v>46085</v>
      </c>
      <c r="D367" t="inlineStr">
        <is>
          <t>VÄSTMANLANDS LÄN</t>
        </is>
      </c>
      <c r="E367" t="inlineStr">
        <is>
          <t>SALA</t>
        </is>
      </c>
      <c r="G367" t="n">
        <v>13</v>
      </c>
      <c r="H367" t="n">
        <v>0</v>
      </c>
      <c r="I367" t="n">
        <v>0</v>
      </c>
      <c r="J367" t="n">
        <v>0</v>
      </c>
      <c r="K367" t="n">
        <v>0</v>
      </c>
      <c r="L367" t="n">
        <v>0</v>
      </c>
      <c r="M367" t="n">
        <v>0</v>
      </c>
      <c r="N367" t="n">
        <v>0</v>
      </c>
      <c r="O367" t="n">
        <v>0</v>
      </c>
      <c r="P367" t="n">
        <v>0</v>
      </c>
      <c r="Q367" t="n">
        <v>0</v>
      </c>
      <c r="R367" s="2" t="inlineStr"/>
    </row>
    <row r="368" ht="15" customHeight="1">
      <c r="A368" t="inlineStr">
        <is>
          <t>A 8775-2024</t>
        </is>
      </c>
      <c r="B368" s="1" t="n">
        <v>45356</v>
      </c>
      <c r="C368" s="1" t="n">
        <v>46085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43188-2023</t>
        </is>
      </c>
      <c r="B369" s="1" t="n">
        <v>45183</v>
      </c>
      <c r="C369" s="1" t="n">
        <v>46085</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43205-2023</t>
        </is>
      </c>
      <c r="B370" s="1" t="n">
        <v>45183</v>
      </c>
      <c r="C370" s="1" t="n">
        <v>46085</v>
      </c>
      <c r="D370" t="inlineStr">
        <is>
          <t>VÄSTMANLANDS LÄN</t>
        </is>
      </c>
      <c r="E370" t="inlineStr">
        <is>
          <t>SALA</t>
        </is>
      </c>
      <c r="G370" t="n">
        <v>2.1</v>
      </c>
      <c r="H370" t="n">
        <v>0</v>
      </c>
      <c r="I370" t="n">
        <v>0</v>
      </c>
      <c r="J370" t="n">
        <v>0</v>
      </c>
      <c r="K370" t="n">
        <v>0</v>
      </c>
      <c r="L370" t="n">
        <v>0</v>
      </c>
      <c r="M370" t="n">
        <v>0</v>
      </c>
      <c r="N370" t="n">
        <v>0</v>
      </c>
      <c r="O370" t="n">
        <v>0</v>
      </c>
      <c r="P370" t="n">
        <v>0</v>
      </c>
      <c r="Q370" t="n">
        <v>0</v>
      </c>
      <c r="R370" s="2" t="inlineStr"/>
    </row>
    <row r="371" ht="15" customHeight="1">
      <c r="A371" t="inlineStr">
        <is>
          <t>A 28827-2022</t>
        </is>
      </c>
      <c r="B371" s="1" t="n">
        <v>44749.45561342593</v>
      </c>
      <c r="C371" s="1" t="n">
        <v>46085</v>
      </c>
      <c r="D371" t="inlineStr">
        <is>
          <t>VÄSTMANLANDS LÄN</t>
        </is>
      </c>
      <c r="E371" t="inlineStr">
        <is>
          <t>SALA</t>
        </is>
      </c>
      <c r="F371" t="inlineStr">
        <is>
          <t>Kommuner</t>
        </is>
      </c>
      <c r="G371" t="n">
        <v>11.9</v>
      </c>
      <c r="H371" t="n">
        <v>0</v>
      </c>
      <c r="I371" t="n">
        <v>0</v>
      </c>
      <c r="J371" t="n">
        <v>0</v>
      </c>
      <c r="K371" t="n">
        <v>0</v>
      </c>
      <c r="L371" t="n">
        <v>0</v>
      </c>
      <c r="M371" t="n">
        <v>0</v>
      </c>
      <c r="N371" t="n">
        <v>0</v>
      </c>
      <c r="O371" t="n">
        <v>0</v>
      </c>
      <c r="P371" t="n">
        <v>0</v>
      </c>
      <c r="Q371" t="n">
        <v>0</v>
      </c>
      <c r="R371" s="2" t="inlineStr"/>
    </row>
    <row r="372" ht="15" customHeight="1">
      <c r="A372" t="inlineStr">
        <is>
          <t>A 15756-2025</t>
        </is>
      </c>
      <c r="B372" s="1" t="n">
        <v>45748.56810185185</v>
      </c>
      <c r="C372" s="1" t="n">
        <v>46085</v>
      </c>
      <c r="D372" t="inlineStr">
        <is>
          <t>VÄSTMANLANDS LÄN</t>
        </is>
      </c>
      <c r="E372" t="inlineStr">
        <is>
          <t>SALA</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19243-2025</t>
        </is>
      </c>
      <c r="B373" s="1" t="n">
        <v>45769</v>
      </c>
      <c r="C373" s="1" t="n">
        <v>46085</v>
      </c>
      <c r="D373" t="inlineStr">
        <is>
          <t>VÄSTMANLANDS LÄN</t>
        </is>
      </c>
      <c r="E373" t="inlineStr">
        <is>
          <t>SALA</t>
        </is>
      </c>
      <c r="F373" t="inlineStr">
        <is>
          <t>Bergvik skog öst AB</t>
        </is>
      </c>
      <c r="G373" t="n">
        <v>1.5</v>
      </c>
      <c r="H373" t="n">
        <v>0</v>
      </c>
      <c r="I373" t="n">
        <v>0</v>
      </c>
      <c r="J373" t="n">
        <v>0</v>
      </c>
      <c r="K373" t="n">
        <v>0</v>
      </c>
      <c r="L373" t="n">
        <v>0</v>
      </c>
      <c r="M373" t="n">
        <v>0</v>
      </c>
      <c r="N373" t="n">
        <v>0</v>
      </c>
      <c r="O373" t="n">
        <v>0</v>
      </c>
      <c r="P373" t="n">
        <v>0</v>
      </c>
      <c r="Q373" t="n">
        <v>0</v>
      </c>
      <c r="R373" s="2" t="inlineStr"/>
    </row>
    <row r="374" ht="15" customHeight="1">
      <c r="A374" t="inlineStr">
        <is>
          <t>A 48910-2025</t>
        </is>
      </c>
      <c r="B374" s="1" t="n">
        <v>45937.48649305556</v>
      </c>
      <c r="C374" s="1" t="n">
        <v>46085</v>
      </c>
      <c r="D374" t="inlineStr">
        <is>
          <t>VÄSTMANLANDS LÄN</t>
        </is>
      </c>
      <c r="E374" t="inlineStr">
        <is>
          <t>SALA</t>
        </is>
      </c>
      <c r="G374" t="n">
        <v>7.8</v>
      </c>
      <c r="H374" t="n">
        <v>0</v>
      </c>
      <c r="I374" t="n">
        <v>0</v>
      </c>
      <c r="J374" t="n">
        <v>0</v>
      </c>
      <c r="K374" t="n">
        <v>0</v>
      </c>
      <c r="L374" t="n">
        <v>0</v>
      </c>
      <c r="M374" t="n">
        <v>0</v>
      </c>
      <c r="N374" t="n">
        <v>0</v>
      </c>
      <c r="O374" t="n">
        <v>0</v>
      </c>
      <c r="P374" t="n">
        <v>0</v>
      </c>
      <c r="Q374" t="n">
        <v>0</v>
      </c>
      <c r="R374" s="2" t="inlineStr"/>
    </row>
    <row r="375" ht="15" customHeight="1">
      <c r="A375" t="inlineStr">
        <is>
          <t>A 59297-2023</t>
        </is>
      </c>
      <c r="B375" s="1" t="n">
        <v>45253</v>
      </c>
      <c r="C375" s="1" t="n">
        <v>46085</v>
      </c>
      <c r="D375" t="inlineStr">
        <is>
          <t>VÄSTMANLANDS LÄN</t>
        </is>
      </c>
      <c r="E375" t="inlineStr">
        <is>
          <t>SALA</t>
        </is>
      </c>
      <c r="G375" t="n">
        <v>2</v>
      </c>
      <c r="H375" t="n">
        <v>0</v>
      </c>
      <c r="I375" t="n">
        <v>0</v>
      </c>
      <c r="J375" t="n">
        <v>0</v>
      </c>
      <c r="K375" t="n">
        <v>0</v>
      </c>
      <c r="L375" t="n">
        <v>0</v>
      </c>
      <c r="M375" t="n">
        <v>0</v>
      </c>
      <c r="N375" t="n">
        <v>0</v>
      </c>
      <c r="O375" t="n">
        <v>0</v>
      </c>
      <c r="P375" t="n">
        <v>0</v>
      </c>
      <c r="Q375" t="n">
        <v>0</v>
      </c>
      <c r="R375" s="2" t="inlineStr"/>
    </row>
    <row r="376" ht="15" customHeight="1">
      <c r="A376" t="inlineStr">
        <is>
          <t>A 6136-2025</t>
        </is>
      </c>
      <c r="B376" s="1" t="n">
        <v>45698.37601851852</v>
      </c>
      <c r="C376" s="1" t="n">
        <v>46085</v>
      </c>
      <c r="D376" t="inlineStr">
        <is>
          <t>VÄSTMANLANDS LÄN</t>
        </is>
      </c>
      <c r="E376" t="inlineStr">
        <is>
          <t>SALA</t>
        </is>
      </c>
      <c r="F376" t="inlineStr">
        <is>
          <t>Bergvik skog öst AB</t>
        </is>
      </c>
      <c r="G376" t="n">
        <v>2.2</v>
      </c>
      <c r="H376" t="n">
        <v>0</v>
      </c>
      <c r="I376" t="n">
        <v>0</v>
      </c>
      <c r="J376" t="n">
        <v>0</v>
      </c>
      <c r="K376" t="n">
        <v>0</v>
      </c>
      <c r="L376" t="n">
        <v>0</v>
      </c>
      <c r="M376" t="n">
        <v>0</v>
      </c>
      <c r="N376" t="n">
        <v>0</v>
      </c>
      <c r="O376" t="n">
        <v>0</v>
      </c>
      <c r="P376" t="n">
        <v>0</v>
      </c>
      <c r="Q376" t="n">
        <v>0</v>
      </c>
      <c r="R376" s="2" t="inlineStr"/>
    </row>
    <row r="377" ht="15" customHeight="1">
      <c r="A377" t="inlineStr">
        <is>
          <t>A 6190-2025</t>
        </is>
      </c>
      <c r="B377" s="1" t="n">
        <v>45698</v>
      </c>
      <c r="C377" s="1" t="n">
        <v>46085</v>
      </c>
      <c r="D377" t="inlineStr">
        <is>
          <t>VÄSTMANLANDS LÄN</t>
        </is>
      </c>
      <c r="E377" t="inlineStr">
        <is>
          <t>SALA</t>
        </is>
      </c>
      <c r="F377" t="inlineStr">
        <is>
          <t>Bergvik skog öst AB</t>
        </is>
      </c>
      <c r="G377" t="n">
        <v>4.6</v>
      </c>
      <c r="H377" t="n">
        <v>0</v>
      </c>
      <c r="I377" t="n">
        <v>0</v>
      </c>
      <c r="J377" t="n">
        <v>0</v>
      </c>
      <c r="K377" t="n">
        <v>0</v>
      </c>
      <c r="L377" t="n">
        <v>0</v>
      </c>
      <c r="M377" t="n">
        <v>0</v>
      </c>
      <c r="N377" t="n">
        <v>0</v>
      </c>
      <c r="O377" t="n">
        <v>0</v>
      </c>
      <c r="P377" t="n">
        <v>0</v>
      </c>
      <c r="Q377" t="n">
        <v>0</v>
      </c>
      <c r="R377" s="2" t="inlineStr"/>
    </row>
    <row r="378" ht="15" customHeight="1">
      <c r="A378" t="inlineStr">
        <is>
          <t>A 49640-2025</t>
        </is>
      </c>
      <c r="B378" s="1" t="n">
        <v>45939.61459490741</v>
      </c>
      <c r="C378" s="1" t="n">
        <v>46085</v>
      </c>
      <c r="D378" t="inlineStr">
        <is>
          <t>VÄSTMANLANDS LÄN</t>
        </is>
      </c>
      <c r="E378" t="inlineStr">
        <is>
          <t>SALA</t>
        </is>
      </c>
      <c r="F378" t="inlineStr">
        <is>
          <t>Kommuner</t>
        </is>
      </c>
      <c r="G378" t="n">
        <v>18.8</v>
      </c>
      <c r="H378" t="n">
        <v>0</v>
      </c>
      <c r="I378" t="n">
        <v>0</v>
      </c>
      <c r="J378" t="n">
        <v>0</v>
      </c>
      <c r="K378" t="n">
        <v>0</v>
      </c>
      <c r="L378" t="n">
        <v>0</v>
      </c>
      <c r="M378" t="n">
        <v>0</v>
      </c>
      <c r="N378" t="n">
        <v>0</v>
      </c>
      <c r="O378" t="n">
        <v>0</v>
      </c>
      <c r="P378" t="n">
        <v>0</v>
      </c>
      <c r="Q378" t="n">
        <v>0</v>
      </c>
      <c r="R378" s="2" t="inlineStr"/>
    </row>
    <row r="379" ht="15" customHeight="1">
      <c r="A379" t="inlineStr">
        <is>
          <t>A 39011-2023</t>
        </is>
      </c>
      <c r="B379" s="1" t="n">
        <v>45162</v>
      </c>
      <c r="C379" s="1" t="n">
        <v>46085</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28863-2022</t>
        </is>
      </c>
      <c r="B380" s="1" t="n">
        <v>44749.50649305555</v>
      </c>
      <c r="C380" s="1" t="n">
        <v>46085</v>
      </c>
      <c r="D380" t="inlineStr">
        <is>
          <t>VÄSTMANLANDS LÄN</t>
        </is>
      </c>
      <c r="E380" t="inlineStr">
        <is>
          <t>SALA</t>
        </is>
      </c>
      <c r="G380" t="n">
        <v>1.6</v>
      </c>
      <c r="H380" t="n">
        <v>0</v>
      </c>
      <c r="I380" t="n">
        <v>0</v>
      </c>
      <c r="J380" t="n">
        <v>0</v>
      </c>
      <c r="K380" t="n">
        <v>0</v>
      </c>
      <c r="L380" t="n">
        <v>0</v>
      </c>
      <c r="M380" t="n">
        <v>0</v>
      </c>
      <c r="N380" t="n">
        <v>0</v>
      </c>
      <c r="O380" t="n">
        <v>0</v>
      </c>
      <c r="P380" t="n">
        <v>0</v>
      </c>
      <c r="Q380" t="n">
        <v>0</v>
      </c>
      <c r="R380" s="2" t="inlineStr"/>
    </row>
    <row r="381" ht="15" customHeight="1">
      <c r="A381" t="inlineStr">
        <is>
          <t>A 49585-2025</t>
        </is>
      </c>
      <c r="B381" s="1" t="n">
        <v>45939.5043287037</v>
      </c>
      <c r="C381" s="1" t="n">
        <v>46085</v>
      </c>
      <c r="D381" t="inlineStr">
        <is>
          <t>VÄSTMANLANDS LÄN</t>
        </is>
      </c>
      <c r="E381" t="inlineStr">
        <is>
          <t>SALA</t>
        </is>
      </c>
      <c r="G381" t="n">
        <v>2.2</v>
      </c>
      <c r="H381" t="n">
        <v>0</v>
      </c>
      <c r="I381" t="n">
        <v>0</v>
      </c>
      <c r="J381" t="n">
        <v>0</v>
      </c>
      <c r="K381" t="n">
        <v>0</v>
      </c>
      <c r="L381" t="n">
        <v>0</v>
      </c>
      <c r="M381" t="n">
        <v>0</v>
      </c>
      <c r="N381" t="n">
        <v>0</v>
      </c>
      <c r="O381" t="n">
        <v>0</v>
      </c>
      <c r="P381" t="n">
        <v>0</v>
      </c>
      <c r="Q381" t="n">
        <v>0</v>
      </c>
      <c r="R381" s="2" t="inlineStr"/>
    </row>
    <row r="382" ht="15" customHeight="1">
      <c r="A382" t="inlineStr">
        <is>
          <t>A 56547-2022</t>
        </is>
      </c>
      <c r="B382" s="1" t="n">
        <v>44893.48284722222</v>
      </c>
      <c r="C382" s="1" t="n">
        <v>46085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25541-2024</t>
        </is>
      </c>
      <c r="B383" s="1" t="n">
        <v>45463.56337962963</v>
      </c>
      <c r="C383" s="1" t="n">
        <v>46085</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50128-2025</t>
        </is>
      </c>
      <c r="B384" s="1" t="n">
        <v>45943.55318287037</v>
      </c>
      <c r="C384" s="1" t="n">
        <v>46085</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29213-2022</t>
        </is>
      </c>
      <c r="B385" s="1" t="n">
        <v>44750.57474537037</v>
      </c>
      <c r="C385" s="1" t="n">
        <v>46085</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56916-2022</t>
        </is>
      </c>
      <c r="B386" s="1" t="n">
        <v>44888</v>
      </c>
      <c r="C386" s="1" t="n">
        <v>46085</v>
      </c>
      <c r="D386" t="inlineStr">
        <is>
          <t>VÄSTMANLANDS LÄN</t>
        </is>
      </c>
      <c r="E386" t="inlineStr">
        <is>
          <t>SALA</t>
        </is>
      </c>
      <c r="G386" t="n">
        <v>1.7</v>
      </c>
      <c r="H386" t="n">
        <v>0</v>
      </c>
      <c r="I386" t="n">
        <v>0</v>
      </c>
      <c r="J386" t="n">
        <v>0</v>
      </c>
      <c r="K386" t="n">
        <v>0</v>
      </c>
      <c r="L386" t="n">
        <v>0</v>
      </c>
      <c r="M386" t="n">
        <v>0</v>
      </c>
      <c r="N386" t="n">
        <v>0</v>
      </c>
      <c r="O386" t="n">
        <v>0</v>
      </c>
      <c r="P386" t="n">
        <v>0</v>
      </c>
      <c r="Q386" t="n">
        <v>0</v>
      </c>
      <c r="R386" s="2" t="inlineStr"/>
    </row>
    <row r="387" ht="15" customHeight="1">
      <c r="A387" t="inlineStr">
        <is>
          <t>A 56964-2023</t>
        </is>
      </c>
      <c r="B387" s="1" t="n">
        <v>45244.63140046296</v>
      </c>
      <c r="C387" s="1" t="n">
        <v>46085</v>
      </c>
      <c r="D387" t="inlineStr">
        <is>
          <t>VÄSTMANLANDS LÄN</t>
        </is>
      </c>
      <c r="E387" t="inlineStr">
        <is>
          <t>SALA</t>
        </is>
      </c>
      <c r="G387" t="n">
        <v>4.6</v>
      </c>
      <c r="H387" t="n">
        <v>0</v>
      </c>
      <c r="I387" t="n">
        <v>0</v>
      </c>
      <c r="J387" t="n">
        <v>0</v>
      </c>
      <c r="K387" t="n">
        <v>0</v>
      </c>
      <c r="L387" t="n">
        <v>0</v>
      </c>
      <c r="M387" t="n">
        <v>0</v>
      </c>
      <c r="N387" t="n">
        <v>0</v>
      </c>
      <c r="O387" t="n">
        <v>0</v>
      </c>
      <c r="P387" t="n">
        <v>0</v>
      </c>
      <c r="Q387" t="n">
        <v>0</v>
      </c>
      <c r="R387" s="2" t="inlineStr"/>
    </row>
    <row r="388" ht="15" customHeight="1">
      <c r="A388" t="inlineStr">
        <is>
          <t>A 50249-2025</t>
        </is>
      </c>
      <c r="B388" s="1" t="n">
        <v>45944.31508101852</v>
      </c>
      <c r="C388" s="1" t="n">
        <v>46085</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50119-2025</t>
        </is>
      </c>
      <c r="B389" s="1" t="n">
        <v>45943.54883101852</v>
      </c>
      <c r="C389" s="1" t="n">
        <v>46085</v>
      </c>
      <c r="D389" t="inlineStr">
        <is>
          <t>VÄSTMANLANDS LÄN</t>
        </is>
      </c>
      <c r="E389" t="inlineStr">
        <is>
          <t>SALA</t>
        </is>
      </c>
      <c r="G389" t="n">
        <v>3.3</v>
      </c>
      <c r="H389" t="n">
        <v>0</v>
      </c>
      <c r="I389" t="n">
        <v>0</v>
      </c>
      <c r="J389" t="n">
        <v>0</v>
      </c>
      <c r="K389" t="n">
        <v>0</v>
      </c>
      <c r="L389" t="n">
        <v>0</v>
      </c>
      <c r="M389" t="n">
        <v>0</v>
      </c>
      <c r="N389" t="n">
        <v>0</v>
      </c>
      <c r="O389" t="n">
        <v>0</v>
      </c>
      <c r="P389" t="n">
        <v>0</v>
      </c>
      <c r="Q389" t="n">
        <v>0</v>
      </c>
      <c r="R389" s="2" t="inlineStr"/>
    </row>
    <row r="390" ht="15" customHeight="1">
      <c r="A390" t="inlineStr">
        <is>
          <t>A 50059-2025</t>
        </is>
      </c>
      <c r="B390" s="1" t="n">
        <v>45943.44125</v>
      </c>
      <c r="C390" s="1" t="n">
        <v>46085</v>
      </c>
      <c r="D390" t="inlineStr">
        <is>
          <t>VÄSTMANLANDS LÄN</t>
        </is>
      </c>
      <c r="E390" t="inlineStr">
        <is>
          <t>SALA</t>
        </is>
      </c>
      <c r="G390" t="n">
        <v>4.4</v>
      </c>
      <c r="H390" t="n">
        <v>0</v>
      </c>
      <c r="I390" t="n">
        <v>0</v>
      </c>
      <c r="J390" t="n">
        <v>0</v>
      </c>
      <c r="K390" t="n">
        <v>0</v>
      </c>
      <c r="L390" t="n">
        <v>0</v>
      </c>
      <c r="M390" t="n">
        <v>0</v>
      </c>
      <c r="N390" t="n">
        <v>0</v>
      </c>
      <c r="O390" t="n">
        <v>0</v>
      </c>
      <c r="P390" t="n">
        <v>0</v>
      </c>
      <c r="Q390" t="n">
        <v>0</v>
      </c>
      <c r="R390" s="2" t="inlineStr"/>
    </row>
    <row r="391" ht="15" customHeight="1">
      <c r="A391" t="inlineStr">
        <is>
          <t>A 1555-2024</t>
        </is>
      </c>
      <c r="B391" s="1" t="n">
        <v>45306</v>
      </c>
      <c r="C391" s="1" t="n">
        <v>46085</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13188-2025</t>
        </is>
      </c>
      <c r="B392" s="1" t="n">
        <v>45735.39246527778</v>
      </c>
      <c r="C392" s="1" t="n">
        <v>46085</v>
      </c>
      <c r="D392" t="inlineStr">
        <is>
          <t>VÄSTMANLANDS LÄN</t>
        </is>
      </c>
      <c r="E392" t="inlineStr">
        <is>
          <t>SALA</t>
        </is>
      </c>
      <c r="F392" t="inlineStr">
        <is>
          <t>Naturvårdsverket</t>
        </is>
      </c>
      <c r="G392" t="n">
        <v>18.4</v>
      </c>
      <c r="H392" t="n">
        <v>0</v>
      </c>
      <c r="I392" t="n">
        <v>0</v>
      </c>
      <c r="J392" t="n">
        <v>0</v>
      </c>
      <c r="K392" t="n">
        <v>0</v>
      </c>
      <c r="L392" t="n">
        <v>0</v>
      </c>
      <c r="M392" t="n">
        <v>0</v>
      </c>
      <c r="N392" t="n">
        <v>0</v>
      </c>
      <c r="O392" t="n">
        <v>0</v>
      </c>
      <c r="P392" t="n">
        <v>0</v>
      </c>
      <c r="Q392" t="n">
        <v>0</v>
      </c>
      <c r="R392" s="2" t="inlineStr"/>
    </row>
    <row r="393" ht="15" customHeight="1">
      <c r="A393" t="inlineStr">
        <is>
          <t>A 7197-2025</t>
        </is>
      </c>
      <c r="B393" s="1" t="n">
        <v>45702</v>
      </c>
      <c r="C393" s="1" t="n">
        <v>46085</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15099-2025</t>
        </is>
      </c>
      <c r="B394" s="1" t="n">
        <v>45744.3434837963</v>
      </c>
      <c r="C394" s="1" t="n">
        <v>46085</v>
      </c>
      <c r="D394" t="inlineStr">
        <is>
          <t>VÄSTMANLANDS LÄN</t>
        </is>
      </c>
      <c r="E394" t="inlineStr">
        <is>
          <t>SALA</t>
        </is>
      </c>
      <c r="F394" t="inlineStr">
        <is>
          <t>Sveaskog</t>
        </is>
      </c>
      <c r="G394" t="n">
        <v>14.4</v>
      </c>
      <c r="H394" t="n">
        <v>0</v>
      </c>
      <c r="I394" t="n">
        <v>0</v>
      </c>
      <c r="J394" t="n">
        <v>0</v>
      </c>
      <c r="K394" t="n">
        <v>0</v>
      </c>
      <c r="L394" t="n">
        <v>0</v>
      </c>
      <c r="M394" t="n">
        <v>0</v>
      </c>
      <c r="N394" t="n">
        <v>0</v>
      </c>
      <c r="O394" t="n">
        <v>0</v>
      </c>
      <c r="P394" t="n">
        <v>0</v>
      </c>
      <c r="Q394" t="n">
        <v>0</v>
      </c>
      <c r="R394" s="2" t="inlineStr"/>
    </row>
    <row r="395" ht="15" customHeight="1">
      <c r="A395" t="inlineStr">
        <is>
          <t>A 2928-2024</t>
        </is>
      </c>
      <c r="B395" s="1" t="n">
        <v>45315.59041666667</v>
      </c>
      <c r="C395" s="1" t="n">
        <v>46085</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51626-2025</t>
        </is>
      </c>
      <c r="B396" s="1" t="n">
        <v>45951.41769675926</v>
      </c>
      <c r="C396" s="1" t="n">
        <v>46085</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51690-2025</t>
        </is>
      </c>
      <c r="B397" s="1" t="n">
        <v>45951.53462962963</v>
      </c>
      <c r="C397" s="1" t="n">
        <v>46085</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45313-2024</t>
        </is>
      </c>
      <c r="B398" s="1" t="n">
        <v>45576</v>
      </c>
      <c r="C398" s="1" t="n">
        <v>46085</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56535-2022</t>
        </is>
      </c>
      <c r="B399" s="1" t="n">
        <v>44893.47173611111</v>
      </c>
      <c r="C399" s="1" t="n">
        <v>46085</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47909-2022</t>
        </is>
      </c>
      <c r="B400" s="1" t="n">
        <v>44855</v>
      </c>
      <c r="C400" s="1" t="n">
        <v>46085</v>
      </c>
      <c r="D400" t="inlineStr">
        <is>
          <t>VÄSTMANLANDS LÄN</t>
        </is>
      </c>
      <c r="E400" t="inlineStr">
        <is>
          <t>SALA</t>
        </is>
      </c>
      <c r="F400" t="inlineStr">
        <is>
          <t>Bergvik skog öst AB</t>
        </is>
      </c>
      <c r="G400" t="n">
        <v>2</v>
      </c>
      <c r="H400" t="n">
        <v>0</v>
      </c>
      <c r="I400" t="n">
        <v>0</v>
      </c>
      <c r="J400" t="n">
        <v>0</v>
      </c>
      <c r="K400" t="n">
        <v>0</v>
      </c>
      <c r="L400" t="n">
        <v>0</v>
      </c>
      <c r="M400" t="n">
        <v>0</v>
      </c>
      <c r="N400" t="n">
        <v>0</v>
      </c>
      <c r="O400" t="n">
        <v>0</v>
      </c>
      <c r="P400" t="n">
        <v>0</v>
      </c>
      <c r="Q400" t="n">
        <v>0</v>
      </c>
      <c r="R400" s="2" t="inlineStr"/>
    </row>
    <row r="401" ht="15" customHeight="1">
      <c r="A401" t="inlineStr">
        <is>
          <t>A 9962-2025</t>
        </is>
      </c>
      <c r="B401" s="1" t="n">
        <v>45719.37072916667</v>
      </c>
      <c r="C401" s="1" t="n">
        <v>46085</v>
      </c>
      <c r="D401" t="inlineStr">
        <is>
          <t>VÄSTMANLANDS LÄN</t>
        </is>
      </c>
      <c r="E401" t="inlineStr">
        <is>
          <t>SALA</t>
        </is>
      </c>
      <c r="G401" t="n">
        <v>4.5</v>
      </c>
      <c r="H401" t="n">
        <v>0</v>
      </c>
      <c r="I401" t="n">
        <v>0</v>
      </c>
      <c r="J401" t="n">
        <v>0</v>
      </c>
      <c r="K401" t="n">
        <v>0</v>
      </c>
      <c r="L401" t="n">
        <v>0</v>
      </c>
      <c r="M401" t="n">
        <v>0</v>
      </c>
      <c r="N401" t="n">
        <v>0</v>
      </c>
      <c r="O401" t="n">
        <v>0</v>
      </c>
      <c r="P401" t="n">
        <v>0</v>
      </c>
      <c r="Q401" t="n">
        <v>0</v>
      </c>
      <c r="R401" s="2" t="inlineStr"/>
    </row>
    <row r="402" ht="15" customHeight="1">
      <c r="A402" t="inlineStr">
        <is>
          <t>A 51809-2025</t>
        </is>
      </c>
      <c r="B402" s="1" t="n">
        <v>45951.80116898148</v>
      </c>
      <c r="C402" s="1" t="n">
        <v>46085</v>
      </c>
      <c r="D402" t="inlineStr">
        <is>
          <t>VÄSTMANLANDS LÄN</t>
        </is>
      </c>
      <c r="E402" t="inlineStr">
        <is>
          <t>SALA</t>
        </is>
      </c>
      <c r="F402" t="inlineStr">
        <is>
          <t>Kommuner</t>
        </is>
      </c>
      <c r="G402" t="n">
        <v>3.5</v>
      </c>
      <c r="H402" t="n">
        <v>0</v>
      </c>
      <c r="I402" t="n">
        <v>0</v>
      </c>
      <c r="J402" t="n">
        <v>0</v>
      </c>
      <c r="K402" t="n">
        <v>0</v>
      </c>
      <c r="L402" t="n">
        <v>0</v>
      </c>
      <c r="M402" t="n">
        <v>0</v>
      </c>
      <c r="N402" t="n">
        <v>0</v>
      </c>
      <c r="O402" t="n">
        <v>0</v>
      </c>
      <c r="P402" t="n">
        <v>0</v>
      </c>
      <c r="Q402" t="n">
        <v>0</v>
      </c>
      <c r="R402" s="2" t="inlineStr"/>
    </row>
    <row r="403" ht="15" customHeight="1">
      <c r="A403" t="inlineStr">
        <is>
          <t>A 52630-2022</t>
        </is>
      </c>
      <c r="B403" s="1" t="n">
        <v>44874</v>
      </c>
      <c r="C403" s="1" t="n">
        <v>46085</v>
      </c>
      <c r="D403" t="inlineStr">
        <is>
          <t>VÄSTMANLANDS LÄN</t>
        </is>
      </c>
      <c r="E403" t="inlineStr">
        <is>
          <t>SALA</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14024-2025</t>
        </is>
      </c>
      <c r="B404" s="1" t="n">
        <v>45740.34650462963</v>
      </c>
      <c r="C404" s="1" t="n">
        <v>46085</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51803-2025</t>
        </is>
      </c>
      <c r="B405" s="1" t="n">
        <v>45951.76818287037</v>
      </c>
      <c r="C405" s="1" t="n">
        <v>46085</v>
      </c>
      <c r="D405" t="inlineStr">
        <is>
          <t>VÄSTMANLANDS LÄN</t>
        </is>
      </c>
      <c r="E405" t="inlineStr">
        <is>
          <t>SALA</t>
        </is>
      </c>
      <c r="F405" t="inlineStr">
        <is>
          <t>Kommuner</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51805-2025</t>
        </is>
      </c>
      <c r="B406" s="1" t="n">
        <v>45951.78359953704</v>
      </c>
      <c r="C406" s="1" t="n">
        <v>46085</v>
      </c>
      <c r="D406" t="inlineStr">
        <is>
          <t>VÄSTMANLANDS LÄN</t>
        </is>
      </c>
      <c r="E406" t="inlineStr">
        <is>
          <t>SALA</t>
        </is>
      </c>
      <c r="F406" t="inlineStr">
        <is>
          <t>Kommuner</t>
        </is>
      </c>
      <c r="G406" t="n">
        <v>1.3</v>
      </c>
      <c r="H406" t="n">
        <v>0</v>
      </c>
      <c r="I406" t="n">
        <v>0</v>
      </c>
      <c r="J406" t="n">
        <v>0</v>
      </c>
      <c r="K406" t="n">
        <v>0</v>
      </c>
      <c r="L406" t="n">
        <v>0</v>
      </c>
      <c r="M406" t="n">
        <v>0</v>
      </c>
      <c r="N406" t="n">
        <v>0</v>
      </c>
      <c r="O406" t="n">
        <v>0</v>
      </c>
      <c r="P406" t="n">
        <v>0</v>
      </c>
      <c r="Q406" t="n">
        <v>0</v>
      </c>
      <c r="R406" s="2" t="inlineStr"/>
    </row>
    <row r="407" ht="15" customHeight="1">
      <c r="A407" t="inlineStr">
        <is>
          <t>A 56687-2024</t>
        </is>
      </c>
      <c r="B407" s="1" t="n">
        <v>45627.63271990741</v>
      </c>
      <c r="C407" s="1" t="n">
        <v>46085</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51804-2025</t>
        </is>
      </c>
      <c r="B408" s="1" t="n">
        <v>45951.77697916667</v>
      </c>
      <c r="C408" s="1" t="n">
        <v>46085</v>
      </c>
      <c r="D408" t="inlineStr">
        <is>
          <t>VÄSTMANLANDS LÄN</t>
        </is>
      </c>
      <c r="E408" t="inlineStr">
        <is>
          <t>SALA</t>
        </is>
      </c>
      <c r="F408" t="inlineStr">
        <is>
          <t>Kommuner</t>
        </is>
      </c>
      <c r="G408" t="n">
        <v>2</v>
      </c>
      <c r="H408" t="n">
        <v>0</v>
      </c>
      <c r="I408" t="n">
        <v>0</v>
      </c>
      <c r="J408" t="n">
        <v>0</v>
      </c>
      <c r="K408" t="n">
        <v>0</v>
      </c>
      <c r="L408" t="n">
        <v>0</v>
      </c>
      <c r="M408" t="n">
        <v>0</v>
      </c>
      <c r="N408" t="n">
        <v>0</v>
      </c>
      <c r="O408" t="n">
        <v>0</v>
      </c>
      <c r="P408" t="n">
        <v>0</v>
      </c>
      <c r="Q408" t="n">
        <v>0</v>
      </c>
      <c r="R408" s="2" t="inlineStr"/>
    </row>
    <row r="409" ht="15" customHeight="1">
      <c r="A409" t="inlineStr">
        <is>
          <t>A 51808-2025</t>
        </is>
      </c>
      <c r="B409" s="1" t="n">
        <v>45951.79302083333</v>
      </c>
      <c r="C409" s="1" t="n">
        <v>46085</v>
      </c>
      <c r="D409" t="inlineStr">
        <is>
          <t>VÄSTMANLANDS LÄN</t>
        </is>
      </c>
      <c r="E409" t="inlineStr">
        <is>
          <t>SALA</t>
        </is>
      </c>
      <c r="F409" t="inlineStr">
        <is>
          <t>Kommuner</t>
        </is>
      </c>
      <c r="G409" t="n">
        <v>3</v>
      </c>
      <c r="H409" t="n">
        <v>0</v>
      </c>
      <c r="I409" t="n">
        <v>0</v>
      </c>
      <c r="J409" t="n">
        <v>0</v>
      </c>
      <c r="K409" t="n">
        <v>0</v>
      </c>
      <c r="L409" t="n">
        <v>0</v>
      </c>
      <c r="M409" t="n">
        <v>0</v>
      </c>
      <c r="N409" t="n">
        <v>0</v>
      </c>
      <c r="O409" t="n">
        <v>0</v>
      </c>
      <c r="P409" t="n">
        <v>0</v>
      </c>
      <c r="Q409" t="n">
        <v>0</v>
      </c>
      <c r="R409" s="2" t="inlineStr"/>
    </row>
    <row r="410" ht="15" customHeight="1">
      <c r="A410" t="inlineStr">
        <is>
          <t>A 51764-2025</t>
        </is>
      </c>
      <c r="B410" s="1" t="n">
        <v>45951.63636574074</v>
      </c>
      <c r="C410" s="1" t="n">
        <v>46085</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3551-2024</t>
        </is>
      </c>
      <c r="B411" s="1" t="n">
        <v>45320.61099537037</v>
      </c>
      <c r="C411" s="1" t="n">
        <v>46085</v>
      </c>
      <c r="D411" t="inlineStr">
        <is>
          <t>VÄSTMANLANDS LÄN</t>
        </is>
      </c>
      <c r="E411" t="inlineStr">
        <is>
          <t>SALA</t>
        </is>
      </c>
      <c r="F411" t="inlineStr">
        <is>
          <t>Kommuner</t>
        </is>
      </c>
      <c r="G411" t="n">
        <v>6</v>
      </c>
      <c r="H411" t="n">
        <v>0</v>
      </c>
      <c r="I411" t="n">
        <v>0</v>
      </c>
      <c r="J411" t="n">
        <v>0</v>
      </c>
      <c r="K411" t="n">
        <v>0</v>
      </c>
      <c r="L411" t="n">
        <v>0</v>
      </c>
      <c r="M411" t="n">
        <v>0</v>
      </c>
      <c r="N411" t="n">
        <v>0</v>
      </c>
      <c r="O411" t="n">
        <v>0</v>
      </c>
      <c r="P411" t="n">
        <v>0</v>
      </c>
      <c r="Q411" t="n">
        <v>0</v>
      </c>
      <c r="R411" s="2" t="inlineStr"/>
    </row>
    <row r="412" ht="15" customHeight="1">
      <c r="A412" t="inlineStr">
        <is>
          <t>A 61715-2024</t>
        </is>
      </c>
      <c r="B412" s="1" t="n">
        <v>45648.89519675926</v>
      </c>
      <c r="C412" s="1" t="n">
        <v>46085</v>
      </c>
      <c r="D412" t="inlineStr">
        <is>
          <t>VÄSTMANLANDS LÄN</t>
        </is>
      </c>
      <c r="E412" t="inlineStr">
        <is>
          <t>SALA</t>
        </is>
      </c>
      <c r="G412" t="n">
        <v>2.5</v>
      </c>
      <c r="H412" t="n">
        <v>0</v>
      </c>
      <c r="I412" t="n">
        <v>0</v>
      </c>
      <c r="J412" t="n">
        <v>0</v>
      </c>
      <c r="K412" t="n">
        <v>0</v>
      </c>
      <c r="L412" t="n">
        <v>0</v>
      </c>
      <c r="M412" t="n">
        <v>0</v>
      </c>
      <c r="N412" t="n">
        <v>0</v>
      </c>
      <c r="O412" t="n">
        <v>0</v>
      </c>
      <c r="P412" t="n">
        <v>0</v>
      </c>
      <c r="Q412" t="n">
        <v>0</v>
      </c>
      <c r="R412" s="2" t="inlineStr"/>
    </row>
    <row r="413" ht="15" customHeight="1">
      <c r="A413" t="inlineStr">
        <is>
          <t>A 62635-2022</t>
        </is>
      </c>
      <c r="B413" s="1" t="n">
        <v>44917</v>
      </c>
      <c r="C413" s="1" t="n">
        <v>46085</v>
      </c>
      <c r="D413" t="inlineStr">
        <is>
          <t>VÄSTMANLANDS LÄN</t>
        </is>
      </c>
      <c r="E413" t="inlineStr">
        <is>
          <t>SALA</t>
        </is>
      </c>
      <c r="G413" t="n">
        <v>0.4</v>
      </c>
      <c r="H413" t="n">
        <v>0</v>
      </c>
      <c r="I413" t="n">
        <v>0</v>
      </c>
      <c r="J413" t="n">
        <v>0</v>
      </c>
      <c r="K413" t="n">
        <v>0</v>
      </c>
      <c r="L413" t="n">
        <v>0</v>
      </c>
      <c r="M413" t="n">
        <v>0</v>
      </c>
      <c r="N413" t="n">
        <v>0</v>
      </c>
      <c r="O413" t="n">
        <v>0</v>
      </c>
      <c r="P413" t="n">
        <v>0</v>
      </c>
      <c r="Q413" t="n">
        <v>0</v>
      </c>
      <c r="R413" s="2" t="inlineStr"/>
    </row>
    <row r="414" ht="15" customHeight="1">
      <c r="A414" t="inlineStr">
        <is>
          <t>A 19304-2025</t>
        </is>
      </c>
      <c r="B414" s="1" t="n">
        <v>45769</v>
      </c>
      <c r="C414" s="1" t="n">
        <v>46085</v>
      </c>
      <c r="D414" t="inlineStr">
        <is>
          <t>VÄSTMANLANDS LÄN</t>
        </is>
      </c>
      <c r="E414" t="inlineStr">
        <is>
          <t>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16404-2022</t>
        </is>
      </c>
      <c r="B415" s="1" t="n">
        <v>44671</v>
      </c>
      <c r="C415" s="1" t="n">
        <v>46085</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56057-2023</t>
        </is>
      </c>
      <c r="B416" s="1" t="n">
        <v>45233</v>
      </c>
      <c r="C416" s="1" t="n">
        <v>46085</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6097-2022</t>
        </is>
      </c>
      <c r="B417" s="1" t="n">
        <v>44599</v>
      </c>
      <c r="C417" s="1" t="n">
        <v>46085</v>
      </c>
      <c r="D417" t="inlineStr">
        <is>
          <t>VÄSTMANLANDS LÄN</t>
        </is>
      </c>
      <c r="E417" t="inlineStr">
        <is>
          <t>SALA</t>
        </is>
      </c>
      <c r="G417" t="n">
        <v>0.6</v>
      </c>
      <c r="H417" t="n">
        <v>0</v>
      </c>
      <c r="I417" t="n">
        <v>0</v>
      </c>
      <c r="J417" t="n">
        <v>0</v>
      </c>
      <c r="K417" t="n">
        <v>0</v>
      </c>
      <c r="L417" t="n">
        <v>0</v>
      </c>
      <c r="M417" t="n">
        <v>0</v>
      </c>
      <c r="N417" t="n">
        <v>0</v>
      </c>
      <c r="O417" t="n">
        <v>0</v>
      </c>
      <c r="P417" t="n">
        <v>0</v>
      </c>
      <c r="Q417" t="n">
        <v>0</v>
      </c>
      <c r="R417" s="2" t="inlineStr"/>
    </row>
    <row r="418" ht="15" customHeight="1">
      <c r="A418" t="inlineStr">
        <is>
          <t>A 10559-2024</t>
        </is>
      </c>
      <c r="B418" s="1" t="n">
        <v>45366</v>
      </c>
      <c r="C418" s="1" t="n">
        <v>46085</v>
      </c>
      <c r="D418" t="inlineStr">
        <is>
          <t>VÄSTMANLANDS LÄN</t>
        </is>
      </c>
      <c r="E418" t="inlineStr">
        <is>
          <t>SALA</t>
        </is>
      </c>
      <c r="G418" t="n">
        <v>0.3</v>
      </c>
      <c r="H418" t="n">
        <v>0</v>
      </c>
      <c r="I418" t="n">
        <v>0</v>
      </c>
      <c r="J418" t="n">
        <v>0</v>
      </c>
      <c r="K418" t="n">
        <v>0</v>
      </c>
      <c r="L418" t="n">
        <v>0</v>
      </c>
      <c r="M418" t="n">
        <v>0</v>
      </c>
      <c r="N418" t="n">
        <v>0</v>
      </c>
      <c r="O418" t="n">
        <v>0</v>
      </c>
      <c r="P418" t="n">
        <v>0</v>
      </c>
      <c r="Q418" t="n">
        <v>0</v>
      </c>
      <c r="R418" s="2" t="inlineStr"/>
    </row>
    <row r="419" ht="15" customHeight="1">
      <c r="A419" t="inlineStr">
        <is>
          <t>A 55024-2023</t>
        </is>
      </c>
      <c r="B419" s="1" t="n">
        <v>45229</v>
      </c>
      <c r="C419" s="1" t="n">
        <v>46085</v>
      </c>
      <c r="D419" t="inlineStr">
        <is>
          <t>VÄSTMANLANDS LÄN</t>
        </is>
      </c>
      <c r="E419" t="inlineStr">
        <is>
          <t>SALA</t>
        </is>
      </c>
      <c r="G419" t="n">
        <v>0.9</v>
      </c>
      <c r="H419" t="n">
        <v>0</v>
      </c>
      <c r="I419" t="n">
        <v>0</v>
      </c>
      <c r="J419" t="n">
        <v>0</v>
      </c>
      <c r="K419" t="n">
        <v>0</v>
      </c>
      <c r="L419" t="n">
        <v>0</v>
      </c>
      <c r="M419" t="n">
        <v>0</v>
      </c>
      <c r="N419" t="n">
        <v>0</v>
      </c>
      <c r="O419" t="n">
        <v>0</v>
      </c>
      <c r="P419" t="n">
        <v>0</v>
      </c>
      <c r="Q419" t="n">
        <v>0</v>
      </c>
      <c r="R419" s="2" t="inlineStr"/>
    </row>
    <row r="420" ht="15" customHeight="1">
      <c r="A420" t="inlineStr">
        <is>
          <t>A 55032-2023</t>
        </is>
      </c>
      <c r="B420" s="1" t="n">
        <v>45229</v>
      </c>
      <c r="C420" s="1" t="n">
        <v>46085</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29248-2022</t>
        </is>
      </c>
      <c r="B421" s="1" t="n">
        <v>44750</v>
      </c>
      <c r="C421" s="1" t="n">
        <v>46085</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59175-2022</t>
        </is>
      </c>
      <c r="B422" s="1" t="n">
        <v>44904.48502314815</v>
      </c>
      <c r="C422" s="1" t="n">
        <v>46085</v>
      </c>
      <c r="D422" t="inlineStr">
        <is>
          <t>VÄSTMANLANDS LÄN</t>
        </is>
      </c>
      <c r="E422" t="inlineStr">
        <is>
          <t>SALA</t>
        </is>
      </c>
      <c r="G422" t="n">
        <v>2.1</v>
      </c>
      <c r="H422" t="n">
        <v>0</v>
      </c>
      <c r="I422" t="n">
        <v>0</v>
      </c>
      <c r="J422" t="n">
        <v>0</v>
      </c>
      <c r="K422" t="n">
        <v>0</v>
      </c>
      <c r="L422" t="n">
        <v>0</v>
      </c>
      <c r="M422" t="n">
        <v>0</v>
      </c>
      <c r="N422" t="n">
        <v>0</v>
      </c>
      <c r="O422" t="n">
        <v>0</v>
      </c>
      <c r="P422" t="n">
        <v>0</v>
      </c>
      <c r="Q422" t="n">
        <v>0</v>
      </c>
      <c r="R422" s="2" t="inlineStr"/>
    </row>
    <row r="423" ht="15" customHeight="1">
      <c r="A423" t="inlineStr">
        <is>
          <t>A 39451-2022</t>
        </is>
      </c>
      <c r="B423" s="1" t="n">
        <v>44818.36606481481</v>
      </c>
      <c r="C423" s="1" t="n">
        <v>46085</v>
      </c>
      <c r="D423" t="inlineStr">
        <is>
          <t>VÄSTMANLANDS LÄN</t>
        </is>
      </c>
      <c r="E423" t="inlineStr">
        <is>
          <t>SALA</t>
        </is>
      </c>
      <c r="G423" t="n">
        <v>9.4</v>
      </c>
      <c r="H423" t="n">
        <v>0</v>
      </c>
      <c r="I423" t="n">
        <v>0</v>
      </c>
      <c r="J423" t="n">
        <v>0</v>
      </c>
      <c r="K423" t="n">
        <v>0</v>
      </c>
      <c r="L423" t="n">
        <v>0</v>
      </c>
      <c r="M423" t="n">
        <v>0</v>
      </c>
      <c r="N423" t="n">
        <v>0</v>
      </c>
      <c r="O423" t="n">
        <v>0</v>
      </c>
      <c r="P423" t="n">
        <v>0</v>
      </c>
      <c r="Q423" t="n">
        <v>0</v>
      </c>
      <c r="R423" s="2" t="inlineStr"/>
    </row>
    <row r="424" ht="15" customHeight="1">
      <c r="A424" t="inlineStr">
        <is>
          <t>A 53744-2025</t>
        </is>
      </c>
      <c r="B424" s="1" t="n">
        <v>45960.64863425926</v>
      </c>
      <c r="C424" s="1" t="n">
        <v>46085</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11631-2023</t>
        </is>
      </c>
      <c r="B425" s="1" t="n">
        <v>44994.44001157407</v>
      </c>
      <c r="C425" s="1" t="n">
        <v>46085</v>
      </c>
      <c r="D425" t="inlineStr">
        <is>
          <t>VÄSTMANLANDS LÄN</t>
        </is>
      </c>
      <c r="E425" t="inlineStr">
        <is>
          <t>SALA</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53725-2025</t>
        </is>
      </c>
      <c r="B426" s="1" t="n">
        <v>45960.63394675926</v>
      </c>
      <c r="C426" s="1" t="n">
        <v>46085</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60545-2024</t>
        </is>
      </c>
      <c r="B427" s="1" t="n">
        <v>45643</v>
      </c>
      <c r="C427" s="1" t="n">
        <v>46085</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60547-2024</t>
        </is>
      </c>
      <c r="B428" s="1" t="n">
        <v>45643</v>
      </c>
      <c r="C428" s="1" t="n">
        <v>46085</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15965-2024</t>
        </is>
      </c>
      <c r="B429" s="1" t="n">
        <v>45405.55740740741</v>
      </c>
      <c r="C429" s="1" t="n">
        <v>46085</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62648-2022</t>
        </is>
      </c>
      <c r="B430" s="1" t="n">
        <v>44917</v>
      </c>
      <c r="C430" s="1" t="n">
        <v>46085</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53724-2025</t>
        </is>
      </c>
      <c r="B431" s="1" t="n">
        <v>45960.63174768518</v>
      </c>
      <c r="C431" s="1" t="n">
        <v>46085</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1196-2023</t>
        </is>
      </c>
      <c r="B432" s="1" t="n">
        <v>44935.82290509259</v>
      </c>
      <c r="C432" s="1" t="n">
        <v>46085</v>
      </c>
      <c r="D432" t="inlineStr">
        <is>
          <t>VÄSTMANLANDS LÄN</t>
        </is>
      </c>
      <c r="E432" t="inlineStr">
        <is>
          <t>SALA</t>
        </is>
      </c>
      <c r="G432" t="n">
        <v>4.1</v>
      </c>
      <c r="H432" t="n">
        <v>0</v>
      </c>
      <c r="I432" t="n">
        <v>0</v>
      </c>
      <c r="J432" t="n">
        <v>0</v>
      </c>
      <c r="K432" t="n">
        <v>0</v>
      </c>
      <c r="L432" t="n">
        <v>0</v>
      </c>
      <c r="M432" t="n">
        <v>0</v>
      </c>
      <c r="N432" t="n">
        <v>0</v>
      </c>
      <c r="O432" t="n">
        <v>0</v>
      </c>
      <c r="P432" t="n">
        <v>0</v>
      </c>
      <c r="Q432" t="n">
        <v>0</v>
      </c>
      <c r="R432" s="2" t="inlineStr"/>
    </row>
    <row r="433" ht="15" customHeight="1">
      <c r="A433" t="inlineStr">
        <is>
          <t>A 1934-2023</t>
        </is>
      </c>
      <c r="B433" s="1" t="n">
        <v>44939.43024305555</v>
      </c>
      <c r="C433" s="1" t="n">
        <v>46085</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11927-2025</t>
        </is>
      </c>
      <c r="B434" s="1" t="n">
        <v>45728.5137962963</v>
      </c>
      <c r="C434" s="1" t="n">
        <v>46085</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60823-2024</t>
        </is>
      </c>
      <c r="B435" s="1" t="n">
        <v>45644</v>
      </c>
      <c r="C435" s="1" t="n">
        <v>46085</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38636-2024</t>
        </is>
      </c>
      <c r="B436" s="1" t="n">
        <v>45546</v>
      </c>
      <c r="C436" s="1" t="n">
        <v>46085</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96-2024</t>
        </is>
      </c>
      <c r="B437" s="1" t="n">
        <v>45293.85872685185</v>
      </c>
      <c r="C437" s="1" t="n">
        <v>46085</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54201-2025</t>
        </is>
      </c>
      <c r="B438" s="1" t="n">
        <v>45964.58055555556</v>
      </c>
      <c r="C438" s="1" t="n">
        <v>46085</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23374-2023</t>
        </is>
      </c>
      <c r="B439" s="1" t="n">
        <v>45076.4399537037</v>
      </c>
      <c r="C439" s="1" t="n">
        <v>46085</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61874-2021</t>
        </is>
      </c>
      <c r="B440" s="1" t="n">
        <v>44502</v>
      </c>
      <c r="C440" s="1" t="n">
        <v>46085</v>
      </c>
      <c r="D440" t="inlineStr">
        <is>
          <t>VÄSTMANLANDS LÄN</t>
        </is>
      </c>
      <c r="E440" t="inlineStr">
        <is>
          <t>SALA</t>
        </is>
      </c>
      <c r="F440" t="inlineStr">
        <is>
          <t>Kyrkan</t>
        </is>
      </c>
      <c r="G440" t="n">
        <v>1.3</v>
      </c>
      <c r="H440" t="n">
        <v>0</v>
      </c>
      <c r="I440" t="n">
        <v>0</v>
      </c>
      <c r="J440" t="n">
        <v>0</v>
      </c>
      <c r="K440" t="n">
        <v>0</v>
      </c>
      <c r="L440" t="n">
        <v>0</v>
      </c>
      <c r="M440" t="n">
        <v>0</v>
      </c>
      <c r="N440" t="n">
        <v>0</v>
      </c>
      <c r="O440" t="n">
        <v>0</v>
      </c>
      <c r="P440" t="n">
        <v>0</v>
      </c>
      <c r="Q440" t="n">
        <v>0</v>
      </c>
      <c r="R440" s="2" t="inlineStr"/>
    </row>
    <row r="441" ht="15" customHeight="1">
      <c r="A441" t="inlineStr">
        <is>
          <t>A 62651-2022</t>
        </is>
      </c>
      <c r="B441" s="1" t="n">
        <v>44917</v>
      </c>
      <c r="C441" s="1" t="n">
        <v>46085</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54836-2024</t>
        </is>
      </c>
      <c r="B442" s="1" t="n">
        <v>45618</v>
      </c>
      <c r="C442" s="1" t="n">
        <v>46085</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13987-2023</t>
        </is>
      </c>
      <c r="B443" s="1" t="n">
        <v>45007</v>
      </c>
      <c r="C443" s="1" t="n">
        <v>46085</v>
      </c>
      <c r="D443" t="inlineStr">
        <is>
          <t>VÄSTMANLANDS LÄN</t>
        </is>
      </c>
      <c r="E443" t="inlineStr">
        <is>
          <t>SALA</t>
        </is>
      </c>
      <c r="G443" t="n">
        <v>3.2</v>
      </c>
      <c r="H443" t="n">
        <v>0</v>
      </c>
      <c r="I443" t="n">
        <v>0</v>
      </c>
      <c r="J443" t="n">
        <v>0</v>
      </c>
      <c r="K443" t="n">
        <v>0</v>
      </c>
      <c r="L443" t="n">
        <v>0</v>
      </c>
      <c r="M443" t="n">
        <v>0</v>
      </c>
      <c r="N443" t="n">
        <v>0</v>
      </c>
      <c r="O443" t="n">
        <v>0</v>
      </c>
      <c r="P443" t="n">
        <v>0</v>
      </c>
      <c r="Q443" t="n">
        <v>0</v>
      </c>
      <c r="R443" s="2" t="inlineStr"/>
    </row>
    <row r="444" ht="15" customHeight="1">
      <c r="A444" t="inlineStr">
        <is>
          <t>A 13990-2023</t>
        </is>
      </c>
      <c r="B444" s="1" t="n">
        <v>45007</v>
      </c>
      <c r="C444" s="1" t="n">
        <v>46085</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51464-2024</t>
        </is>
      </c>
      <c r="B445" s="1" t="n">
        <v>45604.49768518518</v>
      </c>
      <c r="C445" s="1" t="n">
        <v>46085</v>
      </c>
      <c r="D445" t="inlineStr">
        <is>
          <t>VÄSTMANLANDS LÄN</t>
        </is>
      </c>
      <c r="E445" t="inlineStr">
        <is>
          <t>SALA</t>
        </is>
      </c>
      <c r="G445" t="n">
        <v>3.9</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46085</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1128-2025</t>
        </is>
      </c>
      <c r="B447" s="1" t="n">
        <v>45666.68469907407</v>
      </c>
      <c r="C447" s="1" t="n">
        <v>46085</v>
      </c>
      <c r="D447" t="inlineStr">
        <is>
          <t>VÄSTMANLANDS LÄN</t>
        </is>
      </c>
      <c r="E447" t="inlineStr">
        <is>
          <t>SALA</t>
        </is>
      </c>
      <c r="G447" t="n">
        <v>2.5</v>
      </c>
      <c r="H447" t="n">
        <v>0</v>
      </c>
      <c r="I447" t="n">
        <v>0</v>
      </c>
      <c r="J447" t="n">
        <v>0</v>
      </c>
      <c r="K447" t="n">
        <v>0</v>
      </c>
      <c r="L447" t="n">
        <v>0</v>
      </c>
      <c r="M447" t="n">
        <v>0</v>
      </c>
      <c r="N447" t="n">
        <v>0</v>
      </c>
      <c r="O447" t="n">
        <v>0</v>
      </c>
      <c r="P447" t="n">
        <v>0</v>
      </c>
      <c r="Q447" t="n">
        <v>0</v>
      </c>
      <c r="R447" s="2" t="inlineStr"/>
    </row>
    <row r="448" ht="15" customHeight="1">
      <c r="A448" t="inlineStr">
        <is>
          <t>A 54344-2025</t>
        </is>
      </c>
      <c r="B448" s="1" t="n">
        <v>45965.36462962963</v>
      </c>
      <c r="C448" s="1" t="n">
        <v>46085</v>
      </c>
      <c r="D448" t="inlineStr">
        <is>
          <t>VÄSTMANLANDS LÄN</t>
        </is>
      </c>
      <c r="E448" t="inlineStr">
        <is>
          <t>SALA</t>
        </is>
      </c>
      <c r="G448" t="n">
        <v>2</v>
      </c>
      <c r="H448" t="n">
        <v>0</v>
      </c>
      <c r="I448" t="n">
        <v>0</v>
      </c>
      <c r="J448" t="n">
        <v>0</v>
      </c>
      <c r="K448" t="n">
        <v>0</v>
      </c>
      <c r="L448" t="n">
        <v>0</v>
      </c>
      <c r="M448" t="n">
        <v>0</v>
      </c>
      <c r="N448" t="n">
        <v>0</v>
      </c>
      <c r="O448" t="n">
        <v>0</v>
      </c>
      <c r="P448" t="n">
        <v>0</v>
      </c>
      <c r="Q448" t="n">
        <v>0</v>
      </c>
      <c r="R448" s="2" t="inlineStr"/>
    </row>
    <row r="449" ht="15" customHeight="1">
      <c r="A449" t="inlineStr">
        <is>
          <t>A 43176-2023</t>
        </is>
      </c>
      <c r="B449" s="1" t="n">
        <v>45183</v>
      </c>
      <c r="C449" s="1" t="n">
        <v>46085</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73835-2021</t>
        </is>
      </c>
      <c r="B450" s="1" t="n">
        <v>44552.92112268518</v>
      </c>
      <c r="C450" s="1" t="n">
        <v>46085</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16159-2024</t>
        </is>
      </c>
      <c r="B451" s="1" t="n">
        <v>45406</v>
      </c>
      <c r="C451" s="1" t="n">
        <v>46085</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60379-2022</t>
        </is>
      </c>
      <c r="B452" s="1" t="n">
        <v>44910</v>
      </c>
      <c r="C452" s="1" t="n">
        <v>46085</v>
      </c>
      <c r="D452" t="inlineStr">
        <is>
          <t>VÄSTMANLANDS LÄN</t>
        </is>
      </c>
      <c r="E452" t="inlineStr">
        <is>
          <t>SALA</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1638-2023</t>
        </is>
      </c>
      <c r="B453" s="1" t="n">
        <v>44937</v>
      </c>
      <c r="C453" s="1" t="n">
        <v>46085</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7953-2024</t>
        </is>
      </c>
      <c r="B454" s="1" t="n">
        <v>45350</v>
      </c>
      <c r="C454" s="1" t="n">
        <v>46085</v>
      </c>
      <c r="D454" t="inlineStr">
        <is>
          <t>VÄSTMANLANDS LÄN</t>
        </is>
      </c>
      <c r="E454" t="inlineStr">
        <is>
          <t>SALA</t>
        </is>
      </c>
      <c r="G454" t="n">
        <v>2.6</v>
      </c>
      <c r="H454" t="n">
        <v>0</v>
      </c>
      <c r="I454" t="n">
        <v>0</v>
      </c>
      <c r="J454" t="n">
        <v>0</v>
      </c>
      <c r="K454" t="n">
        <v>0</v>
      </c>
      <c r="L454" t="n">
        <v>0</v>
      </c>
      <c r="M454" t="n">
        <v>0</v>
      </c>
      <c r="N454" t="n">
        <v>0</v>
      </c>
      <c r="O454" t="n">
        <v>0</v>
      </c>
      <c r="P454" t="n">
        <v>0</v>
      </c>
      <c r="Q454" t="n">
        <v>0</v>
      </c>
      <c r="R454" s="2" t="inlineStr"/>
    </row>
    <row r="455" ht="15" customHeight="1">
      <c r="A455" t="inlineStr">
        <is>
          <t>A 5477-2024</t>
        </is>
      </c>
      <c r="B455" s="1" t="n">
        <v>45333.67833333334</v>
      </c>
      <c r="C455" s="1" t="n">
        <v>46085</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46085</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50241-2023</t>
        </is>
      </c>
      <c r="B457" s="1" t="n">
        <v>45216</v>
      </c>
      <c r="C457" s="1" t="n">
        <v>46085</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3332-2024</t>
        </is>
      </c>
      <c r="B458" s="1" t="n">
        <v>45317</v>
      </c>
      <c r="C458" s="1" t="n">
        <v>46085</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26507-2023</t>
        </is>
      </c>
      <c r="B459" s="1" t="n">
        <v>45092</v>
      </c>
      <c r="C459" s="1" t="n">
        <v>46085</v>
      </c>
      <c r="D459" t="inlineStr">
        <is>
          <t>VÄSTMANLANDS LÄN</t>
        </is>
      </c>
      <c r="E459" t="inlineStr">
        <is>
          <t>SALA</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6032-2025</t>
        </is>
      </c>
      <c r="B460" s="1" t="n">
        <v>45695.6371875</v>
      </c>
      <c r="C460" s="1" t="n">
        <v>46085</v>
      </c>
      <c r="D460" t="inlineStr">
        <is>
          <t>VÄSTMANLANDS LÄN</t>
        </is>
      </c>
      <c r="E460" t="inlineStr">
        <is>
          <t>SALA</t>
        </is>
      </c>
      <c r="F460" t="inlineStr">
        <is>
          <t>Bergvik skog öst AB</t>
        </is>
      </c>
      <c r="G460" t="n">
        <v>8.1</v>
      </c>
      <c r="H460" t="n">
        <v>0</v>
      </c>
      <c r="I460" t="n">
        <v>0</v>
      </c>
      <c r="J460" t="n">
        <v>0</v>
      </c>
      <c r="K460" t="n">
        <v>0</v>
      </c>
      <c r="L460" t="n">
        <v>0</v>
      </c>
      <c r="M460" t="n">
        <v>0</v>
      </c>
      <c r="N460" t="n">
        <v>0</v>
      </c>
      <c r="O460" t="n">
        <v>0</v>
      </c>
      <c r="P460" t="n">
        <v>0</v>
      </c>
      <c r="Q460" t="n">
        <v>0</v>
      </c>
      <c r="R460" s="2" t="inlineStr"/>
    </row>
    <row r="461" ht="15" customHeight="1">
      <c r="A461" t="inlineStr">
        <is>
          <t>A 54893-2025</t>
        </is>
      </c>
      <c r="B461" s="1" t="n">
        <v>45967.36383101852</v>
      </c>
      <c r="C461" s="1" t="n">
        <v>46085</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35637-2022</t>
        </is>
      </c>
      <c r="B462" s="1" t="n">
        <v>44799.55194444444</v>
      </c>
      <c r="C462" s="1" t="n">
        <v>46085</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34814-2021</t>
        </is>
      </c>
      <c r="B463" s="1" t="n">
        <v>44383</v>
      </c>
      <c r="C463" s="1" t="n">
        <v>46085</v>
      </c>
      <c r="D463" t="inlineStr">
        <is>
          <t>VÄSTMANLANDS LÄN</t>
        </is>
      </c>
      <c r="E463" t="inlineStr">
        <is>
          <t>SALA</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54118-2023</t>
        </is>
      </c>
      <c r="B464" s="1" t="n">
        <v>45232</v>
      </c>
      <c r="C464" s="1" t="n">
        <v>46085</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35462-2024</t>
        </is>
      </c>
      <c r="B465" s="1" t="n">
        <v>45531</v>
      </c>
      <c r="C465" s="1" t="n">
        <v>46085</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19033-2025</t>
        </is>
      </c>
      <c r="B466" s="1" t="n">
        <v>45764.65796296296</v>
      </c>
      <c r="C466" s="1" t="n">
        <v>46085</v>
      </c>
      <c r="D466" t="inlineStr">
        <is>
          <t>VÄSTMANLANDS LÄN</t>
        </is>
      </c>
      <c r="E466" t="inlineStr">
        <is>
          <t>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36393-2023</t>
        </is>
      </c>
      <c r="B467" s="1" t="n">
        <v>45152</v>
      </c>
      <c r="C467" s="1" t="n">
        <v>46085</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45790-2023</t>
        </is>
      </c>
      <c r="B468" s="1" t="n">
        <v>45195.45958333334</v>
      </c>
      <c r="C468" s="1" t="n">
        <v>46085</v>
      </c>
      <c r="D468" t="inlineStr">
        <is>
          <t>VÄSTMANLANDS LÄN</t>
        </is>
      </c>
      <c r="E468" t="inlineStr">
        <is>
          <t>SALA</t>
        </is>
      </c>
      <c r="G468" t="n">
        <v>5.7</v>
      </c>
      <c r="H468" t="n">
        <v>0</v>
      </c>
      <c r="I468" t="n">
        <v>0</v>
      </c>
      <c r="J468" t="n">
        <v>0</v>
      </c>
      <c r="K468" t="n">
        <v>0</v>
      </c>
      <c r="L468" t="n">
        <v>0</v>
      </c>
      <c r="M468" t="n">
        <v>0</v>
      </c>
      <c r="N468" t="n">
        <v>0</v>
      </c>
      <c r="O468" t="n">
        <v>0</v>
      </c>
      <c r="P468" t="n">
        <v>0</v>
      </c>
      <c r="Q468" t="n">
        <v>0</v>
      </c>
      <c r="R468" s="2" t="inlineStr"/>
    </row>
    <row r="469" ht="15" customHeight="1">
      <c r="A469" t="inlineStr">
        <is>
          <t>A 56949-2023</t>
        </is>
      </c>
      <c r="B469" s="1" t="n">
        <v>45244.61589120371</v>
      </c>
      <c r="C469" s="1" t="n">
        <v>46085</v>
      </c>
      <c r="D469" t="inlineStr">
        <is>
          <t>VÄSTMANLANDS LÄN</t>
        </is>
      </c>
      <c r="E469" t="inlineStr">
        <is>
          <t>SALA</t>
        </is>
      </c>
      <c r="G469" t="n">
        <v>4.7</v>
      </c>
      <c r="H469" t="n">
        <v>0</v>
      </c>
      <c r="I469" t="n">
        <v>0</v>
      </c>
      <c r="J469" t="n">
        <v>0</v>
      </c>
      <c r="K469" t="n">
        <v>0</v>
      </c>
      <c r="L469" t="n">
        <v>0</v>
      </c>
      <c r="M469" t="n">
        <v>0</v>
      </c>
      <c r="N469" t="n">
        <v>0</v>
      </c>
      <c r="O469" t="n">
        <v>0</v>
      </c>
      <c r="P469" t="n">
        <v>0</v>
      </c>
      <c r="Q469" t="n">
        <v>0</v>
      </c>
      <c r="R469" s="2" t="inlineStr"/>
    </row>
    <row r="470" ht="15" customHeight="1">
      <c r="A470" t="inlineStr">
        <is>
          <t>A 57883-2024</t>
        </is>
      </c>
      <c r="B470" s="1" t="n">
        <v>45630</v>
      </c>
      <c r="C470" s="1" t="n">
        <v>46085</v>
      </c>
      <c r="D470" t="inlineStr">
        <is>
          <t>VÄSTMANLANDS LÄN</t>
        </is>
      </c>
      <c r="E470" t="inlineStr">
        <is>
          <t>SALA</t>
        </is>
      </c>
      <c r="G470" t="n">
        <v>5.4</v>
      </c>
      <c r="H470" t="n">
        <v>0</v>
      </c>
      <c r="I470" t="n">
        <v>0</v>
      </c>
      <c r="J470" t="n">
        <v>0</v>
      </c>
      <c r="K470" t="n">
        <v>0</v>
      </c>
      <c r="L470" t="n">
        <v>0</v>
      </c>
      <c r="M470" t="n">
        <v>0</v>
      </c>
      <c r="N470" t="n">
        <v>0</v>
      </c>
      <c r="O470" t="n">
        <v>0</v>
      </c>
      <c r="P470" t="n">
        <v>0</v>
      </c>
      <c r="Q470" t="n">
        <v>0</v>
      </c>
      <c r="R470" s="2" t="inlineStr"/>
    </row>
    <row r="471" ht="15" customHeight="1">
      <c r="A471" t="inlineStr">
        <is>
          <t>A 50876-2023</t>
        </is>
      </c>
      <c r="B471" s="1" t="n">
        <v>45211</v>
      </c>
      <c r="C471" s="1" t="n">
        <v>46085</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40214-2023</t>
        </is>
      </c>
      <c r="B472" s="1" t="n">
        <v>45169.45173611111</v>
      </c>
      <c r="C472" s="1" t="n">
        <v>46085</v>
      </c>
      <c r="D472" t="inlineStr">
        <is>
          <t>VÄSTMANLANDS LÄN</t>
        </is>
      </c>
      <c r="E472" t="inlineStr">
        <is>
          <t>SALA</t>
        </is>
      </c>
      <c r="G472" t="n">
        <v>5.5</v>
      </c>
      <c r="H472" t="n">
        <v>0</v>
      </c>
      <c r="I472" t="n">
        <v>0</v>
      </c>
      <c r="J472" t="n">
        <v>0</v>
      </c>
      <c r="K472" t="n">
        <v>0</v>
      </c>
      <c r="L472" t="n">
        <v>0</v>
      </c>
      <c r="M472" t="n">
        <v>0</v>
      </c>
      <c r="N472" t="n">
        <v>0</v>
      </c>
      <c r="O472" t="n">
        <v>0</v>
      </c>
      <c r="P472" t="n">
        <v>0</v>
      </c>
      <c r="Q472" t="n">
        <v>0</v>
      </c>
      <c r="R472" s="2" t="inlineStr"/>
    </row>
    <row r="473" ht="15" customHeight="1">
      <c r="A473" t="inlineStr">
        <is>
          <t>A 55997-2025</t>
        </is>
      </c>
      <c r="B473" s="1" t="n">
        <v>45973.56833333334</v>
      </c>
      <c r="C473" s="1" t="n">
        <v>46085</v>
      </c>
      <c r="D473" t="inlineStr">
        <is>
          <t>VÄSTMANLANDS LÄN</t>
        </is>
      </c>
      <c r="E473" t="inlineStr">
        <is>
          <t>SALA</t>
        </is>
      </c>
      <c r="F473" t="inlineStr">
        <is>
          <t>Sveaskog</t>
        </is>
      </c>
      <c r="G473" t="n">
        <v>2.1</v>
      </c>
      <c r="H473" t="n">
        <v>0</v>
      </c>
      <c r="I473" t="n">
        <v>0</v>
      </c>
      <c r="J473" t="n">
        <v>0</v>
      </c>
      <c r="K473" t="n">
        <v>0</v>
      </c>
      <c r="L473" t="n">
        <v>0</v>
      </c>
      <c r="M473" t="n">
        <v>0</v>
      </c>
      <c r="N473" t="n">
        <v>0</v>
      </c>
      <c r="O473" t="n">
        <v>0</v>
      </c>
      <c r="P473" t="n">
        <v>0</v>
      </c>
      <c r="Q473" t="n">
        <v>0</v>
      </c>
      <c r="R473" s="2" t="inlineStr"/>
    </row>
    <row r="474" ht="15" customHeight="1">
      <c r="A474" t="inlineStr">
        <is>
          <t>A 37624-2024</t>
        </is>
      </c>
      <c r="B474" s="1" t="n">
        <v>45541</v>
      </c>
      <c r="C474" s="1" t="n">
        <v>46085</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40398-2021</t>
        </is>
      </c>
      <c r="B475" s="1" t="n">
        <v>44419</v>
      </c>
      <c r="C475" s="1" t="n">
        <v>46085</v>
      </c>
      <c r="D475" t="inlineStr">
        <is>
          <t>VÄSTMANLANDS LÄN</t>
        </is>
      </c>
      <c r="E475" t="inlineStr">
        <is>
          <t>SALA</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35016-2024</t>
        </is>
      </c>
      <c r="B476" s="1" t="n">
        <v>45527.59115740741</v>
      </c>
      <c r="C476" s="1" t="n">
        <v>46085</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6351-2023</t>
        </is>
      </c>
      <c r="B477" s="1" t="n">
        <v>44965</v>
      </c>
      <c r="C477" s="1" t="n">
        <v>46085</v>
      </c>
      <c r="D477" t="inlineStr">
        <is>
          <t>VÄSTMANLANDS LÄN</t>
        </is>
      </c>
      <c r="E477" t="inlineStr">
        <is>
          <t>SALA</t>
        </is>
      </c>
      <c r="F477" t="inlineStr">
        <is>
          <t>Kommuner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55714-2025</t>
        </is>
      </c>
      <c r="B478" s="1" t="n">
        <v>45972.49131944445</v>
      </c>
      <c r="C478" s="1" t="n">
        <v>46085</v>
      </c>
      <c r="D478" t="inlineStr">
        <is>
          <t>VÄSTMANLANDS LÄN</t>
        </is>
      </c>
      <c r="E478" t="inlineStr">
        <is>
          <t>SALA</t>
        </is>
      </c>
      <c r="G478" t="n">
        <v>6.6</v>
      </c>
      <c r="H478" t="n">
        <v>0</v>
      </c>
      <c r="I478" t="n">
        <v>0</v>
      </c>
      <c r="J478" t="n">
        <v>0</v>
      </c>
      <c r="K478" t="n">
        <v>0</v>
      </c>
      <c r="L478" t="n">
        <v>0</v>
      </c>
      <c r="M478" t="n">
        <v>0</v>
      </c>
      <c r="N478" t="n">
        <v>0</v>
      </c>
      <c r="O478" t="n">
        <v>0</v>
      </c>
      <c r="P478" t="n">
        <v>0</v>
      </c>
      <c r="Q478" t="n">
        <v>0</v>
      </c>
      <c r="R478" s="2" t="inlineStr"/>
    </row>
    <row r="479" ht="15" customHeight="1">
      <c r="A479" t="inlineStr">
        <is>
          <t>A 37612-2024</t>
        </is>
      </c>
      <c r="B479" s="1" t="n">
        <v>45541</v>
      </c>
      <c r="C479" s="1" t="n">
        <v>46085</v>
      </c>
      <c r="D479" t="inlineStr">
        <is>
          <t>VÄSTMANLANDS LÄN</t>
        </is>
      </c>
      <c r="E479" t="inlineStr">
        <is>
          <t>SALA</t>
        </is>
      </c>
      <c r="G479" t="n">
        <v>2.2</v>
      </c>
      <c r="H479" t="n">
        <v>0</v>
      </c>
      <c r="I479" t="n">
        <v>0</v>
      </c>
      <c r="J479" t="n">
        <v>0</v>
      </c>
      <c r="K479" t="n">
        <v>0</v>
      </c>
      <c r="L479" t="n">
        <v>0</v>
      </c>
      <c r="M479" t="n">
        <v>0</v>
      </c>
      <c r="N479" t="n">
        <v>0</v>
      </c>
      <c r="O479" t="n">
        <v>0</v>
      </c>
      <c r="P479" t="n">
        <v>0</v>
      </c>
      <c r="Q479" t="n">
        <v>0</v>
      </c>
      <c r="R479" s="2" t="inlineStr"/>
    </row>
    <row r="480" ht="15" customHeight="1">
      <c r="A480" t="inlineStr">
        <is>
          <t>A 37615-2024</t>
        </is>
      </c>
      <c r="B480" s="1" t="n">
        <v>45541.50673611111</v>
      </c>
      <c r="C480" s="1" t="n">
        <v>46085</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27262-2024</t>
        </is>
      </c>
      <c r="B481" s="1" t="n">
        <v>45471</v>
      </c>
      <c r="C481" s="1" t="n">
        <v>46085</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56614-2025</t>
        </is>
      </c>
      <c r="B482" s="1" t="n">
        <v>45975.59288194445</v>
      </c>
      <c r="C482" s="1" t="n">
        <v>46085</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5728-2022</t>
        </is>
      </c>
      <c r="B483" s="1" t="n">
        <v>44596.42082175926</v>
      </c>
      <c r="C483" s="1" t="n">
        <v>46085</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56611-2025</t>
        </is>
      </c>
      <c r="B484" s="1" t="n">
        <v>45975</v>
      </c>
      <c r="C484" s="1" t="n">
        <v>46085</v>
      </c>
      <c r="D484" t="inlineStr">
        <is>
          <t>VÄSTMANLANDS LÄN</t>
        </is>
      </c>
      <c r="E484" t="inlineStr">
        <is>
          <t>SALA</t>
        </is>
      </c>
      <c r="G484" t="n">
        <v>2.8</v>
      </c>
      <c r="H484" t="n">
        <v>0</v>
      </c>
      <c r="I484" t="n">
        <v>0</v>
      </c>
      <c r="J484" t="n">
        <v>0</v>
      </c>
      <c r="K484" t="n">
        <v>0</v>
      </c>
      <c r="L484" t="n">
        <v>0</v>
      </c>
      <c r="M484" t="n">
        <v>0</v>
      </c>
      <c r="N484" t="n">
        <v>0</v>
      </c>
      <c r="O484" t="n">
        <v>0</v>
      </c>
      <c r="P484" t="n">
        <v>0</v>
      </c>
      <c r="Q484" t="n">
        <v>0</v>
      </c>
      <c r="R484" s="2" t="inlineStr"/>
    </row>
    <row r="485" ht="15" customHeight="1">
      <c r="A485" t="inlineStr">
        <is>
          <t>A 15584-2021</t>
        </is>
      </c>
      <c r="B485" s="1" t="n">
        <v>44285</v>
      </c>
      <c r="C485" s="1" t="n">
        <v>46085</v>
      </c>
      <c r="D485" t="inlineStr">
        <is>
          <t>VÄSTMANLANDS LÄN</t>
        </is>
      </c>
      <c r="E485" t="inlineStr">
        <is>
          <t>SALA</t>
        </is>
      </c>
      <c r="G485" t="n">
        <v>3.4</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44719.56697916667</v>
      </c>
      <c r="C486" s="1" t="n">
        <v>46085</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43751-2021</t>
        </is>
      </c>
      <c r="B487" s="1" t="n">
        <v>44433</v>
      </c>
      <c r="C487" s="1" t="n">
        <v>46085</v>
      </c>
      <c r="D487" t="inlineStr">
        <is>
          <t>VÄSTMANLANDS LÄN</t>
        </is>
      </c>
      <c r="E487" t="inlineStr">
        <is>
          <t>SALA</t>
        </is>
      </c>
      <c r="G487" t="n">
        <v>1.5</v>
      </c>
      <c r="H487" t="n">
        <v>0</v>
      </c>
      <c r="I487" t="n">
        <v>0</v>
      </c>
      <c r="J487" t="n">
        <v>0</v>
      </c>
      <c r="K487" t="n">
        <v>0</v>
      </c>
      <c r="L487" t="n">
        <v>0</v>
      </c>
      <c r="M487" t="n">
        <v>0</v>
      </c>
      <c r="N487" t="n">
        <v>0</v>
      </c>
      <c r="O487" t="n">
        <v>0</v>
      </c>
      <c r="P487" t="n">
        <v>0</v>
      </c>
      <c r="Q487" t="n">
        <v>0</v>
      </c>
      <c r="R487" s="2" t="inlineStr"/>
    </row>
    <row r="488" ht="15" customHeight="1">
      <c r="A488" t="inlineStr">
        <is>
          <t>A 59483-2022</t>
        </is>
      </c>
      <c r="B488" s="1" t="n">
        <v>44907.45679398148</v>
      </c>
      <c r="C488" s="1" t="n">
        <v>46085</v>
      </c>
      <c r="D488" t="inlineStr">
        <is>
          <t>VÄSTMANLANDS LÄN</t>
        </is>
      </c>
      <c r="E488" t="inlineStr">
        <is>
          <t>SALA</t>
        </is>
      </c>
      <c r="G488" t="n">
        <v>5.2</v>
      </c>
      <c r="H488" t="n">
        <v>0</v>
      </c>
      <c r="I488" t="n">
        <v>0</v>
      </c>
      <c r="J488" t="n">
        <v>0</v>
      </c>
      <c r="K488" t="n">
        <v>0</v>
      </c>
      <c r="L488" t="n">
        <v>0</v>
      </c>
      <c r="M488" t="n">
        <v>0</v>
      </c>
      <c r="N488" t="n">
        <v>0</v>
      </c>
      <c r="O488" t="n">
        <v>0</v>
      </c>
      <c r="P488" t="n">
        <v>0</v>
      </c>
      <c r="Q488" t="n">
        <v>0</v>
      </c>
      <c r="R488" s="2" t="inlineStr"/>
    </row>
    <row r="489" ht="15" customHeight="1">
      <c r="A489" t="inlineStr">
        <is>
          <t>A 57014-2025</t>
        </is>
      </c>
      <c r="B489" s="1" t="n">
        <v>45978</v>
      </c>
      <c r="C489" s="1" t="n">
        <v>46085</v>
      </c>
      <c r="D489" t="inlineStr">
        <is>
          <t>VÄSTMANLANDS LÄN</t>
        </is>
      </c>
      <c r="E489" t="inlineStr">
        <is>
          <t>SALA</t>
        </is>
      </c>
      <c r="G489" t="n">
        <v>2.2</v>
      </c>
      <c r="H489" t="n">
        <v>0</v>
      </c>
      <c r="I489" t="n">
        <v>0</v>
      </c>
      <c r="J489" t="n">
        <v>0</v>
      </c>
      <c r="K489" t="n">
        <v>0</v>
      </c>
      <c r="L489" t="n">
        <v>0</v>
      </c>
      <c r="M489" t="n">
        <v>0</v>
      </c>
      <c r="N489" t="n">
        <v>0</v>
      </c>
      <c r="O489" t="n">
        <v>0</v>
      </c>
      <c r="P489" t="n">
        <v>0</v>
      </c>
      <c r="Q489" t="n">
        <v>0</v>
      </c>
      <c r="R489" s="2" t="inlineStr"/>
    </row>
    <row r="490" ht="15" customHeight="1">
      <c r="A490" t="inlineStr">
        <is>
          <t>A 56502-2025</t>
        </is>
      </c>
      <c r="B490" s="1" t="n">
        <v>45975</v>
      </c>
      <c r="C490" s="1" t="n">
        <v>46085</v>
      </c>
      <c r="D490" t="inlineStr">
        <is>
          <t>VÄSTMANLANDS LÄN</t>
        </is>
      </c>
      <c r="E490" t="inlineStr">
        <is>
          <t>SALA</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56593-2025</t>
        </is>
      </c>
      <c r="B491" s="1" t="n">
        <v>45975</v>
      </c>
      <c r="C491" s="1" t="n">
        <v>46085</v>
      </c>
      <c r="D491" t="inlineStr">
        <is>
          <t>VÄSTMANLANDS LÄN</t>
        </is>
      </c>
      <c r="E491" t="inlineStr">
        <is>
          <t>SALA</t>
        </is>
      </c>
      <c r="F491" t="inlineStr">
        <is>
          <t>Kyrkan</t>
        </is>
      </c>
      <c r="G491" t="n">
        <v>0.1</v>
      </c>
      <c r="H491" t="n">
        <v>0</v>
      </c>
      <c r="I491" t="n">
        <v>0</v>
      </c>
      <c r="J491" t="n">
        <v>0</v>
      </c>
      <c r="K491" t="n">
        <v>0</v>
      </c>
      <c r="L491" t="n">
        <v>0</v>
      </c>
      <c r="M491" t="n">
        <v>0</v>
      </c>
      <c r="N491" t="n">
        <v>0</v>
      </c>
      <c r="O491" t="n">
        <v>0</v>
      </c>
      <c r="P491" t="n">
        <v>0</v>
      </c>
      <c r="Q491" t="n">
        <v>0</v>
      </c>
      <c r="R491" s="2" t="inlineStr"/>
    </row>
    <row r="492" ht="15" customHeight="1">
      <c r="A492" t="inlineStr">
        <is>
          <t>A 56645-2025</t>
        </is>
      </c>
      <c r="B492" s="1" t="n">
        <v>45975.63063657407</v>
      </c>
      <c r="C492" s="1" t="n">
        <v>46085</v>
      </c>
      <c r="D492" t="inlineStr">
        <is>
          <t>VÄSTMANLANDS LÄN</t>
        </is>
      </c>
      <c r="E492" t="inlineStr">
        <is>
          <t>SALA</t>
        </is>
      </c>
      <c r="F492" t="inlineStr">
        <is>
          <t>Bergvik skog öst AB</t>
        </is>
      </c>
      <c r="G492" t="n">
        <v>5.3</v>
      </c>
      <c r="H492" t="n">
        <v>0</v>
      </c>
      <c r="I492" t="n">
        <v>0</v>
      </c>
      <c r="J492" t="n">
        <v>0</v>
      </c>
      <c r="K492" t="n">
        <v>0</v>
      </c>
      <c r="L492" t="n">
        <v>0</v>
      </c>
      <c r="M492" t="n">
        <v>0</v>
      </c>
      <c r="N492" t="n">
        <v>0</v>
      </c>
      <c r="O492" t="n">
        <v>0</v>
      </c>
      <c r="P492" t="n">
        <v>0</v>
      </c>
      <c r="Q492" t="n">
        <v>0</v>
      </c>
      <c r="R492" s="2" t="inlineStr"/>
    </row>
    <row r="493" ht="15" customHeight="1">
      <c r="A493" t="inlineStr">
        <is>
          <t>A 73673-2021</t>
        </is>
      </c>
      <c r="B493" s="1" t="n">
        <v>44552.46501157407</v>
      </c>
      <c r="C493" s="1" t="n">
        <v>46085</v>
      </c>
      <c r="D493" t="inlineStr">
        <is>
          <t>VÄSTMANLANDS LÄN</t>
        </is>
      </c>
      <c r="E493" t="inlineStr">
        <is>
          <t>SALA</t>
        </is>
      </c>
      <c r="G493" t="n">
        <v>11.4</v>
      </c>
      <c r="H493" t="n">
        <v>0</v>
      </c>
      <c r="I493" t="n">
        <v>0</v>
      </c>
      <c r="J493" t="n">
        <v>0</v>
      </c>
      <c r="K493" t="n">
        <v>0</v>
      </c>
      <c r="L493" t="n">
        <v>0</v>
      </c>
      <c r="M493" t="n">
        <v>0</v>
      </c>
      <c r="N493" t="n">
        <v>0</v>
      </c>
      <c r="O493" t="n">
        <v>0</v>
      </c>
      <c r="P493" t="n">
        <v>0</v>
      </c>
      <c r="Q493" t="n">
        <v>0</v>
      </c>
      <c r="R493" s="2" t="inlineStr"/>
    </row>
    <row r="494" ht="15" customHeight="1">
      <c r="A494" t="inlineStr">
        <is>
          <t>A 19751-2022</t>
        </is>
      </c>
      <c r="B494" s="1" t="n">
        <v>44694</v>
      </c>
      <c r="C494" s="1" t="n">
        <v>46085</v>
      </c>
      <c r="D494" t="inlineStr">
        <is>
          <t>VÄSTMANLANDS LÄN</t>
        </is>
      </c>
      <c r="E494" t="inlineStr">
        <is>
          <t>SALA</t>
        </is>
      </c>
      <c r="G494" t="n">
        <v>2.7</v>
      </c>
      <c r="H494" t="n">
        <v>0</v>
      </c>
      <c r="I494" t="n">
        <v>0</v>
      </c>
      <c r="J494" t="n">
        <v>0</v>
      </c>
      <c r="K494" t="n">
        <v>0</v>
      </c>
      <c r="L494" t="n">
        <v>0</v>
      </c>
      <c r="M494" t="n">
        <v>0</v>
      </c>
      <c r="N494" t="n">
        <v>0</v>
      </c>
      <c r="O494" t="n">
        <v>0</v>
      </c>
      <c r="P494" t="n">
        <v>0</v>
      </c>
      <c r="Q494" t="n">
        <v>0</v>
      </c>
      <c r="R494" s="2" t="inlineStr"/>
    </row>
    <row r="495" ht="15" customHeight="1">
      <c r="A495" t="inlineStr">
        <is>
          <t>A 4853-2023</t>
        </is>
      </c>
      <c r="B495" s="1" t="n">
        <v>44957.73234953704</v>
      </c>
      <c r="C495" s="1" t="n">
        <v>46085</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57412-2025</t>
        </is>
      </c>
      <c r="B496" s="1" t="n">
        <v>45980.44883101852</v>
      </c>
      <c r="C496" s="1" t="n">
        <v>46085</v>
      </c>
      <c r="D496" t="inlineStr">
        <is>
          <t>VÄSTMANLANDS LÄN</t>
        </is>
      </c>
      <c r="E496" t="inlineStr">
        <is>
          <t>SALA</t>
        </is>
      </c>
      <c r="F496" t="inlineStr">
        <is>
          <t>Bergvik skog öst AB</t>
        </is>
      </c>
      <c r="G496" t="n">
        <v>4.5</v>
      </c>
      <c r="H496" t="n">
        <v>0</v>
      </c>
      <c r="I496" t="n">
        <v>0</v>
      </c>
      <c r="J496" t="n">
        <v>0</v>
      </c>
      <c r="K496" t="n">
        <v>0</v>
      </c>
      <c r="L496" t="n">
        <v>0</v>
      </c>
      <c r="M496" t="n">
        <v>0</v>
      </c>
      <c r="N496" t="n">
        <v>0</v>
      </c>
      <c r="O496" t="n">
        <v>0</v>
      </c>
      <c r="P496" t="n">
        <v>0</v>
      </c>
      <c r="Q496" t="n">
        <v>0</v>
      </c>
      <c r="R496" s="2" t="inlineStr"/>
    </row>
    <row r="497" ht="15" customHeight="1">
      <c r="A497" t="inlineStr">
        <is>
          <t>A 1993-2022</t>
        </is>
      </c>
      <c r="B497" s="1" t="n">
        <v>44575</v>
      </c>
      <c r="C497" s="1" t="n">
        <v>46085</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57414-2025</t>
        </is>
      </c>
      <c r="B498" s="1" t="n">
        <v>45980.45003472222</v>
      </c>
      <c r="C498" s="1" t="n">
        <v>46085</v>
      </c>
      <c r="D498" t="inlineStr">
        <is>
          <t>VÄSTMANLANDS LÄN</t>
        </is>
      </c>
      <c r="E498" t="inlineStr">
        <is>
          <t>SALA</t>
        </is>
      </c>
      <c r="F498" t="inlineStr">
        <is>
          <t>Bergvik skog öst AB</t>
        </is>
      </c>
      <c r="G498" t="n">
        <v>2</v>
      </c>
      <c r="H498" t="n">
        <v>0</v>
      </c>
      <c r="I498" t="n">
        <v>0</v>
      </c>
      <c r="J498" t="n">
        <v>0</v>
      </c>
      <c r="K498" t="n">
        <v>0</v>
      </c>
      <c r="L498" t="n">
        <v>0</v>
      </c>
      <c r="M498" t="n">
        <v>0</v>
      </c>
      <c r="N498" t="n">
        <v>0</v>
      </c>
      <c r="O498" t="n">
        <v>0</v>
      </c>
      <c r="P498" t="n">
        <v>0</v>
      </c>
      <c r="Q498" t="n">
        <v>0</v>
      </c>
      <c r="R498" s="2" t="inlineStr"/>
    </row>
    <row r="499" ht="15" customHeight="1">
      <c r="A499" t="inlineStr">
        <is>
          <t>A 57415-2025</t>
        </is>
      </c>
      <c r="B499" s="1" t="n">
        <v>45980.45099537037</v>
      </c>
      <c r="C499" s="1" t="n">
        <v>46085</v>
      </c>
      <c r="D499" t="inlineStr">
        <is>
          <t>VÄSTMANLANDS LÄN</t>
        </is>
      </c>
      <c r="E499" t="inlineStr">
        <is>
          <t>SALA</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1793-2023</t>
        </is>
      </c>
      <c r="B500" s="1" t="n">
        <v>44937</v>
      </c>
      <c r="C500" s="1" t="n">
        <v>46085</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58357-2025</t>
        </is>
      </c>
      <c r="B501" s="1" t="n">
        <v>45985.51518518518</v>
      </c>
      <c r="C501" s="1" t="n">
        <v>46085</v>
      </c>
      <c r="D501" t="inlineStr">
        <is>
          <t>VÄSTMANLANDS LÄN</t>
        </is>
      </c>
      <c r="E501" t="inlineStr">
        <is>
          <t>SALA</t>
        </is>
      </c>
      <c r="G501" t="n">
        <v>3</v>
      </c>
      <c r="H501" t="n">
        <v>0</v>
      </c>
      <c r="I501" t="n">
        <v>0</v>
      </c>
      <c r="J501" t="n">
        <v>0</v>
      </c>
      <c r="K501" t="n">
        <v>0</v>
      </c>
      <c r="L501" t="n">
        <v>0</v>
      </c>
      <c r="M501" t="n">
        <v>0</v>
      </c>
      <c r="N501" t="n">
        <v>0</v>
      </c>
      <c r="O501" t="n">
        <v>0</v>
      </c>
      <c r="P501" t="n">
        <v>0</v>
      </c>
      <c r="Q501" t="n">
        <v>0</v>
      </c>
      <c r="R501" s="2" t="inlineStr"/>
    </row>
    <row r="502" ht="15" customHeight="1">
      <c r="A502" t="inlineStr">
        <is>
          <t>A 42447-2022</t>
        </is>
      </c>
      <c r="B502" s="1" t="n">
        <v>44831</v>
      </c>
      <c r="C502" s="1" t="n">
        <v>46085</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55760-2025</t>
        </is>
      </c>
      <c r="B503" s="1" t="n">
        <v>45972</v>
      </c>
      <c r="C503" s="1" t="n">
        <v>46085</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58365-2025</t>
        </is>
      </c>
      <c r="B504" s="1" t="n">
        <v>45985.52288194445</v>
      </c>
      <c r="C504" s="1" t="n">
        <v>46085</v>
      </c>
      <c r="D504" t="inlineStr">
        <is>
          <t>VÄSTMANLANDS LÄN</t>
        </is>
      </c>
      <c r="E504" t="inlineStr">
        <is>
          <t>SALA</t>
        </is>
      </c>
      <c r="G504" t="n">
        <v>3.9</v>
      </c>
      <c r="H504" t="n">
        <v>0</v>
      </c>
      <c r="I504" t="n">
        <v>0</v>
      </c>
      <c r="J504" t="n">
        <v>0</v>
      </c>
      <c r="K504" t="n">
        <v>0</v>
      </c>
      <c r="L504" t="n">
        <v>0</v>
      </c>
      <c r="M504" t="n">
        <v>0</v>
      </c>
      <c r="N504" t="n">
        <v>0</v>
      </c>
      <c r="O504" t="n">
        <v>0</v>
      </c>
      <c r="P504" t="n">
        <v>0</v>
      </c>
      <c r="Q504" t="n">
        <v>0</v>
      </c>
      <c r="R504" s="2" t="inlineStr"/>
    </row>
    <row r="505" ht="15" customHeight="1">
      <c r="A505" t="inlineStr">
        <is>
          <t>A 58282-2025</t>
        </is>
      </c>
      <c r="B505" s="1" t="n">
        <v>45985.44309027777</v>
      </c>
      <c r="C505" s="1" t="n">
        <v>46085</v>
      </c>
      <c r="D505" t="inlineStr">
        <is>
          <t>VÄSTMANLANDS LÄN</t>
        </is>
      </c>
      <c r="E505" t="inlineStr">
        <is>
          <t>SALA</t>
        </is>
      </c>
      <c r="G505" t="n">
        <v>8.9</v>
      </c>
      <c r="H505" t="n">
        <v>0</v>
      </c>
      <c r="I505" t="n">
        <v>0</v>
      </c>
      <c r="J505" t="n">
        <v>0</v>
      </c>
      <c r="K505" t="n">
        <v>0</v>
      </c>
      <c r="L505" t="n">
        <v>0</v>
      </c>
      <c r="M505" t="n">
        <v>0</v>
      </c>
      <c r="N505" t="n">
        <v>0</v>
      </c>
      <c r="O505" t="n">
        <v>0</v>
      </c>
      <c r="P505" t="n">
        <v>0</v>
      </c>
      <c r="Q505" t="n">
        <v>0</v>
      </c>
      <c r="R505" s="2" t="inlineStr"/>
    </row>
    <row r="506" ht="15" customHeight="1">
      <c r="A506" t="inlineStr">
        <is>
          <t>A 58359-2025</t>
        </is>
      </c>
      <c r="B506" s="1" t="n">
        <v>45985.51594907408</v>
      </c>
      <c r="C506" s="1" t="n">
        <v>46085</v>
      </c>
      <c r="D506" t="inlineStr">
        <is>
          <t>VÄSTMANLANDS LÄN</t>
        </is>
      </c>
      <c r="E506" t="inlineStr">
        <is>
          <t>SALA</t>
        </is>
      </c>
      <c r="G506" t="n">
        <v>3.7</v>
      </c>
      <c r="H506" t="n">
        <v>0</v>
      </c>
      <c r="I506" t="n">
        <v>0</v>
      </c>
      <c r="J506" t="n">
        <v>0</v>
      </c>
      <c r="K506" t="n">
        <v>0</v>
      </c>
      <c r="L506" t="n">
        <v>0</v>
      </c>
      <c r="M506" t="n">
        <v>0</v>
      </c>
      <c r="N506" t="n">
        <v>0</v>
      </c>
      <c r="O506" t="n">
        <v>0</v>
      </c>
      <c r="P506" t="n">
        <v>0</v>
      </c>
      <c r="Q506" t="n">
        <v>0</v>
      </c>
      <c r="R506" s="2" t="inlineStr"/>
    </row>
    <row r="507" ht="15" customHeight="1">
      <c r="A507" t="inlineStr">
        <is>
          <t>A 58364-2025</t>
        </is>
      </c>
      <c r="B507" s="1" t="n">
        <v>45985.5228125</v>
      </c>
      <c r="C507" s="1" t="n">
        <v>46085</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6312-2025</t>
        </is>
      </c>
      <c r="B508" s="1" t="n">
        <v>45698</v>
      </c>
      <c r="C508" s="1" t="n">
        <v>46085</v>
      </c>
      <c r="D508" t="inlineStr">
        <is>
          <t>VÄSTMANLANDS LÄN</t>
        </is>
      </c>
      <c r="E508" t="inlineStr">
        <is>
          <t>SALA</t>
        </is>
      </c>
      <c r="G508" t="n">
        <v>1.2</v>
      </c>
      <c r="H508" t="n">
        <v>0</v>
      </c>
      <c r="I508" t="n">
        <v>0</v>
      </c>
      <c r="J508" t="n">
        <v>0</v>
      </c>
      <c r="K508" t="n">
        <v>0</v>
      </c>
      <c r="L508" t="n">
        <v>0</v>
      </c>
      <c r="M508" t="n">
        <v>0</v>
      </c>
      <c r="N508" t="n">
        <v>0</v>
      </c>
      <c r="O508" t="n">
        <v>0</v>
      </c>
      <c r="P508" t="n">
        <v>0</v>
      </c>
      <c r="Q508" t="n">
        <v>0</v>
      </c>
      <c r="R508" s="2" t="inlineStr"/>
    </row>
    <row r="509" ht="15" customHeight="1">
      <c r="A509" t="inlineStr">
        <is>
          <t>A 11183-2023</t>
        </is>
      </c>
      <c r="B509" s="1" t="n">
        <v>44992.57782407408</v>
      </c>
      <c r="C509" s="1" t="n">
        <v>46085</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11190-2023</t>
        </is>
      </c>
      <c r="B510" s="1" t="n">
        <v>44992</v>
      </c>
      <c r="C510" s="1" t="n">
        <v>46085</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31950-2023</t>
        </is>
      </c>
      <c r="B511" s="1" t="n">
        <v>45107</v>
      </c>
      <c r="C511" s="1" t="n">
        <v>46085</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55035-2023</t>
        </is>
      </c>
      <c r="B512" s="1" t="n">
        <v>45229</v>
      </c>
      <c r="C512" s="1" t="n">
        <v>46085</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51247-2025</t>
        </is>
      </c>
      <c r="B513" s="1" t="n">
        <v>45947.86487268518</v>
      </c>
      <c r="C513" s="1" t="n">
        <v>46085</v>
      </c>
      <c r="D513" t="inlineStr">
        <is>
          <t>VÄSTMANLANDS LÄN</t>
        </is>
      </c>
      <c r="E513" t="inlineStr">
        <is>
          <t>SALA</t>
        </is>
      </c>
      <c r="G513" t="n">
        <v>10.4</v>
      </c>
      <c r="H513" t="n">
        <v>0</v>
      </c>
      <c r="I513" t="n">
        <v>0</v>
      </c>
      <c r="J513" t="n">
        <v>0</v>
      </c>
      <c r="K513" t="n">
        <v>0</v>
      </c>
      <c r="L513" t="n">
        <v>0</v>
      </c>
      <c r="M513" t="n">
        <v>0</v>
      </c>
      <c r="N513" t="n">
        <v>0</v>
      </c>
      <c r="O513" t="n">
        <v>0</v>
      </c>
      <c r="P513" t="n">
        <v>0</v>
      </c>
      <c r="Q513" t="n">
        <v>0</v>
      </c>
      <c r="R513" s="2" t="inlineStr"/>
    </row>
    <row r="514" ht="15" customHeight="1">
      <c r="A514" t="inlineStr">
        <is>
          <t>A 48710-2024</t>
        </is>
      </c>
      <c r="B514" s="1" t="n">
        <v>45593.53636574074</v>
      </c>
      <c r="C514" s="1" t="n">
        <v>46085</v>
      </c>
      <c r="D514" t="inlineStr">
        <is>
          <t>VÄSTMANLANDS LÄN</t>
        </is>
      </c>
      <c r="E514" t="inlineStr">
        <is>
          <t>SALA</t>
        </is>
      </c>
      <c r="G514" t="n">
        <v>6.5</v>
      </c>
      <c r="H514" t="n">
        <v>0</v>
      </c>
      <c r="I514" t="n">
        <v>0</v>
      </c>
      <c r="J514" t="n">
        <v>0</v>
      </c>
      <c r="K514" t="n">
        <v>0</v>
      </c>
      <c r="L514" t="n">
        <v>0</v>
      </c>
      <c r="M514" t="n">
        <v>0</v>
      </c>
      <c r="N514" t="n">
        <v>0</v>
      </c>
      <c r="O514" t="n">
        <v>0</v>
      </c>
      <c r="P514" t="n">
        <v>0</v>
      </c>
      <c r="Q514" t="n">
        <v>0</v>
      </c>
      <c r="R514" s="2" t="inlineStr"/>
    </row>
    <row r="515" ht="15" customHeight="1">
      <c r="A515" t="inlineStr">
        <is>
          <t>A 23406-2024</t>
        </is>
      </c>
      <c r="B515" s="1" t="n">
        <v>45453.58296296297</v>
      </c>
      <c r="C515" s="1" t="n">
        <v>46085</v>
      </c>
      <c r="D515" t="inlineStr">
        <is>
          <t>VÄSTMANLANDS LÄN</t>
        </is>
      </c>
      <c r="E515" t="inlineStr">
        <is>
          <t>SALA</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12246-2023</t>
        </is>
      </c>
      <c r="B516" s="1" t="n">
        <v>44995</v>
      </c>
      <c r="C516" s="1" t="n">
        <v>46085</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48571-2024</t>
        </is>
      </c>
      <c r="B517" s="1" t="n">
        <v>45591</v>
      </c>
      <c r="C517" s="1" t="n">
        <v>46085</v>
      </c>
      <c r="D517" t="inlineStr">
        <is>
          <t>VÄSTMANLANDS LÄN</t>
        </is>
      </c>
      <c r="E517" t="inlineStr">
        <is>
          <t>SALA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52500-2024</t>
        </is>
      </c>
      <c r="B518" s="1" t="n">
        <v>45609</v>
      </c>
      <c r="C518" s="1" t="n">
        <v>46085</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43362-2023</t>
        </is>
      </c>
      <c r="B519" s="1" t="n">
        <v>45183</v>
      </c>
      <c r="C519" s="1" t="n">
        <v>46085</v>
      </c>
      <c r="D519" t="inlineStr">
        <is>
          <t>VÄSTMANLANDS LÄN</t>
        </is>
      </c>
      <c r="E519" t="inlineStr">
        <is>
          <t>SALA</t>
        </is>
      </c>
      <c r="G519" t="n">
        <v>2</v>
      </c>
      <c r="H519" t="n">
        <v>0</v>
      </c>
      <c r="I519" t="n">
        <v>0</v>
      </c>
      <c r="J519" t="n">
        <v>0</v>
      </c>
      <c r="K519" t="n">
        <v>0</v>
      </c>
      <c r="L519" t="n">
        <v>0</v>
      </c>
      <c r="M519" t="n">
        <v>0</v>
      </c>
      <c r="N519" t="n">
        <v>0</v>
      </c>
      <c r="O519" t="n">
        <v>0</v>
      </c>
      <c r="P519" t="n">
        <v>0</v>
      </c>
      <c r="Q519" t="n">
        <v>0</v>
      </c>
      <c r="R519" s="2" t="inlineStr"/>
    </row>
    <row r="520" ht="15" customHeight="1">
      <c r="A520" t="inlineStr">
        <is>
          <t>A 59817-2025</t>
        </is>
      </c>
      <c r="B520" s="1" t="n">
        <v>45992.63711805556</v>
      </c>
      <c r="C520" s="1" t="n">
        <v>46085</v>
      </c>
      <c r="D520" t="inlineStr">
        <is>
          <t>VÄSTMANLANDS LÄN</t>
        </is>
      </c>
      <c r="E520" t="inlineStr">
        <is>
          <t>SALA</t>
        </is>
      </c>
      <c r="G520" t="n">
        <v>6.9</v>
      </c>
      <c r="H520" t="n">
        <v>0</v>
      </c>
      <c r="I520" t="n">
        <v>0</v>
      </c>
      <c r="J520" t="n">
        <v>0</v>
      </c>
      <c r="K520" t="n">
        <v>0</v>
      </c>
      <c r="L520" t="n">
        <v>0</v>
      </c>
      <c r="M520" t="n">
        <v>0</v>
      </c>
      <c r="N520" t="n">
        <v>0</v>
      </c>
      <c r="O520" t="n">
        <v>0</v>
      </c>
      <c r="P520" t="n">
        <v>0</v>
      </c>
      <c r="Q520" t="n">
        <v>0</v>
      </c>
      <c r="R520" s="2" t="inlineStr"/>
    </row>
    <row r="521" ht="15" customHeight="1">
      <c r="A521" t="inlineStr">
        <is>
          <t>A 16767-2024</t>
        </is>
      </c>
      <c r="B521" s="1" t="n">
        <v>45411.38171296296</v>
      </c>
      <c r="C521" s="1" t="n">
        <v>46085</v>
      </c>
      <c r="D521" t="inlineStr">
        <is>
          <t>VÄSTMANLANDS LÄN</t>
        </is>
      </c>
      <c r="E521" t="inlineStr">
        <is>
          <t>SALA</t>
        </is>
      </c>
      <c r="G521" t="n">
        <v>2.5</v>
      </c>
      <c r="H521" t="n">
        <v>0</v>
      </c>
      <c r="I521" t="n">
        <v>0</v>
      </c>
      <c r="J521" t="n">
        <v>0</v>
      </c>
      <c r="K521" t="n">
        <v>0</v>
      </c>
      <c r="L521" t="n">
        <v>0</v>
      </c>
      <c r="M521" t="n">
        <v>0</v>
      </c>
      <c r="N521" t="n">
        <v>0</v>
      </c>
      <c r="O521" t="n">
        <v>0</v>
      </c>
      <c r="P521" t="n">
        <v>0</v>
      </c>
      <c r="Q521" t="n">
        <v>0</v>
      </c>
      <c r="R521" s="2" t="inlineStr"/>
    </row>
    <row r="522" ht="15" customHeight="1">
      <c r="A522" t="inlineStr">
        <is>
          <t>A 59390-2025</t>
        </is>
      </c>
      <c r="B522" s="1" t="n">
        <v>45989.4640162037</v>
      </c>
      <c r="C522" s="1" t="n">
        <v>46085</v>
      </c>
      <c r="D522" t="inlineStr">
        <is>
          <t>VÄSTMANLANDS LÄN</t>
        </is>
      </c>
      <c r="E522" t="inlineStr">
        <is>
          <t>SALA</t>
        </is>
      </c>
      <c r="G522" t="n">
        <v>1.8</v>
      </c>
      <c r="H522" t="n">
        <v>0</v>
      </c>
      <c r="I522" t="n">
        <v>0</v>
      </c>
      <c r="J522" t="n">
        <v>0</v>
      </c>
      <c r="K522" t="n">
        <v>0</v>
      </c>
      <c r="L522" t="n">
        <v>0</v>
      </c>
      <c r="M522" t="n">
        <v>0</v>
      </c>
      <c r="N522" t="n">
        <v>0</v>
      </c>
      <c r="O522" t="n">
        <v>0</v>
      </c>
      <c r="P522" t="n">
        <v>0</v>
      </c>
      <c r="Q522" t="n">
        <v>0</v>
      </c>
      <c r="R522" s="2" t="inlineStr"/>
    </row>
    <row r="523" ht="15" customHeight="1">
      <c r="A523" t="inlineStr">
        <is>
          <t>A 59385-2025</t>
        </is>
      </c>
      <c r="B523" s="1" t="n">
        <v>45989.45746527778</v>
      </c>
      <c r="C523" s="1" t="n">
        <v>46085</v>
      </c>
      <c r="D523" t="inlineStr">
        <is>
          <t>VÄSTMANLANDS LÄN</t>
        </is>
      </c>
      <c r="E523" t="inlineStr">
        <is>
          <t>SALA</t>
        </is>
      </c>
      <c r="G523" t="n">
        <v>0.4</v>
      </c>
      <c r="H523" t="n">
        <v>0</v>
      </c>
      <c r="I523" t="n">
        <v>0</v>
      </c>
      <c r="J523" t="n">
        <v>0</v>
      </c>
      <c r="K523" t="n">
        <v>0</v>
      </c>
      <c r="L523" t="n">
        <v>0</v>
      </c>
      <c r="M523" t="n">
        <v>0</v>
      </c>
      <c r="N523" t="n">
        <v>0</v>
      </c>
      <c r="O523" t="n">
        <v>0</v>
      </c>
      <c r="P523" t="n">
        <v>0</v>
      </c>
      <c r="Q523" t="n">
        <v>0</v>
      </c>
      <c r="R523" s="2" t="inlineStr"/>
    </row>
    <row r="524" ht="15" customHeight="1">
      <c r="A524" t="inlineStr">
        <is>
          <t>A 7950-2025</t>
        </is>
      </c>
      <c r="B524" s="1" t="n">
        <v>45707.41799768519</v>
      </c>
      <c r="C524" s="1" t="n">
        <v>46085</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60017-2025</t>
        </is>
      </c>
      <c r="B525" s="1" t="n">
        <v>45993.59998842593</v>
      </c>
      <c r="C525" s="1" t="n">
        <v>46085</v>
      </c>
      <c r="D525" t="inlineStr">
        <is>
          <t>VÄSTMANLANDS LÄN</t>
        </is>
      </c>
      <c r="E525" t="inlineStr">
        <is>
          <t>SALA</t>
        </is>
      </c>
      <c r="G525" t="n">
        <v>4.4</v>
      </c>
      <c r="H525" t="n">
        <v>0</v>
      </c>
      <c r="I525" t="n">
        <v>0</v>
      </c>
      <c r="J525" t="n">
        <v>0</v>
      </c>
      <c r="K525" t="n">
        <v>0</v>
      </c>
      <c r="L525" t="n">
        <v>0</v>
      </c>
      <c r="M525" t="n">
        <v>0</v>
      </c>
      <c r="N525" t="n">
        <v>0</v>
      </c>
      <c r="O525" t="n">
        <v>0</v>
      </c>
      <c r="P525" t="n">
        <v>0</v>
      </c>
      <c r="Q525" t="n">
        <v>0</v>
      </c>
      <c r="R525" s="2" t="inlineStr"/>
    </row>
    <row r="526" ht="15" customHeight="1">
      <c r="A526" t="inlineStr">
        <is>
          <t>A 60258-2025</t>
        </is>
      </c>
      <c r="B526" s="1" t="n">
        <v>45994.6064699074</v>
      </c>
      <c r="C526" s="1" t="n">
        <v>46085</v>
      </c>
      <c r="D526" t="inlineStr">
        <is>
          <t>VÄSTMANLANDS LÄN</t>
        </is>
      </c>
      <c r="E526" t="inlineStr">
        <is>
          <t>SALA</t>
        </is>
      </c>
      <c r="G526" t="n">
        <v>2.2</v>
      </c>
      <c r="H526" t="n">
        <v>0</v>
      </c>
      <c r="I526" t="n">
        <v>0</v>
      </c>
      <c r="J526" t="n">
        <v>0</v>
      </c>
      <c r="K526" t="n">
        <v>0</v>
      </c>
      <c r="L526" t="n">
        <v>0</v>
      </c>
      <c r="M526" t="n">
        <v>0</v>
      </c>
      <c r="N526" t="n">
        <v>0</v>
      </c>
      <c r="O526" t="n">
        <v>0</v>
      </c>
      <c r="P526" t="n">
        <v>0</v>
      </c>
      <c r="Q526" t="n">
        <v>0</v>
      </c>
      <c r="R526" s="2" t="inlineStr"/>
    </row>
    <row r="527" ht="15" customHeight="1">
      <c r="A527" t="inlineStr">
        <is>
          <t>A 31470-2021</t>
        </is>
      </c>
      <c r="B527" s="1" t="n">
        <v>44369</v>
      </c>
      <c r="C527" s="1" t="n">
        <v>46085</v>
      </c>
      <c r="D527" t="inlineStr">
        <is>
          <t>VÄSTMANLANDS LÄN</t>
        </is>
      </c>
      <c r="E527" t="inlineStr">
        <is>
          <t>SALA</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60241-2025</t>
        </is>
      </c>
      <c r="B528" s="1" t="n">
        <v>45994.58454861111</v>
      </c>
      <c r="C528" s="1" t="n">
        <v>46085</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59870-2025</t>
        </is>
      </c>
      <c r="B529" s="1" t="n">
        <v>45992.92226851852</v>
      </c>
      <c r="C529" s="1" t="n">
        <v>46085</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60259-2025</t>
        </is>
      </c>
      <c r="B530" s="1" t="n">
        <v>45994.60913194445</v>
      </c>
      <c r="C530" s="1" t="n">
        <v>46085</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60246-2025</t>
        </is>
      </c>
      <c r="B531" s="1" t="n">
        <v>45994.58931712963</v>
      </c>
      <c r="C531" s="1" t="n">
        <v>46085</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18461-2024</t>
        </is>
      </c>
      <c r="B532" s="1" t="n">
        <v>45425.47435185185</v>
      </c>
      <c r="C532" s="1" t="n">
        <v>46085</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60254-2025</t>
        </is>
      </c>
      <c r="B533" s="1" t="n">
        <v>45994.60146990741</v>
      </c>
      <c r="C533" s="1" t="n">
        <v>46085</v>
      </c>
      <c r="D533" t="inlineStr">
        <is>
          <t>VÄSTMANLANDS LÄN</t>
        </is>
      </c>
      <c r="E533" t="inlineStr">
        <is>
          <t>SALA</t>
        </is>
      </c>
      <c r="G533" t="n">
        <v>1.7</v>
      </c>
      <c r="H533" t="n">
        <v>0</v>
      </c>
      <c r="I533" t="n">
        <v>0</v>
      </c>
      <c r="J533" t="n">
        <v>0</v>
      </c>
      <c r="K533" t="n">
        <v>0</v>
      </c>
      <c r="L533" t="n">
        <v>0</v>
      </c>
      <c r="M533" t="n">
        <v>0</v>
      </c>
      <c r="N533" t="n">
        <v>0</v>
      </c>
      <c r="O533" t="n">
        <v>0</v>
      </c>
      <c r="P533" t="n">
        <v>0</v>
      </c>
      <c r="Q533" t="n">
        <v>0</v>
      </c>
      <c r="R533" s="2" t="inlineStr"/>
    </row>
    <row r="534" ht="15" customHeight="1">
      <c r="A534" t="inlineStr">
        <is>
          <t>A 10812-2021</t>
        </is>
      </c>
      <c r="B534" s="1" t="n">
        <v>44259</v>
      </c>
      <c r="C534" s="1" t="n">
        <v>46085</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59926-2025</t>
        </is>
      </c>
      <c r="B535" s="1" t="n">
        <v>45993.39221064815</v>
      </c>
      <c r="C535" s="1" t="n">
        <v>46085</v>
      </c>
      <c r="D535" t="inlineStr">
        <is>
          <t>VÄSTMANLANDS LÄN</t>
        </is>
      </c>
      <c r="E535" t="inlineStr">
        <is>
          <t>SALA</t>
        </is>
      </c>
      <c r="G535" t="n">
        <v>7.1</v>
      </c>
      <c r="H535" t="n">
        <v>0</v>
      </c>
      <c r="I535" t="n">
        <v>0</v>
      </c>
      <c r="J535" t="n">
        <v>0</v>
      </c>
      <c r="K535" t="n">
        <v>0</v>
      </c>
      <c r="L535" t="n">
        <v>0</v>
      </c>
      <c r="M535" t="n">
        <v>0</v>
      </c>
      <c r="N535" t="n">
        <v>0</v>
      </c>
      <c r="O535" t="n">
        <v>0</v>
      </c>
      <c r="P535" t="n">
        <v>0</v>
      </c>
      <c r="Q535" t="n">
        <v>0</v>
      </c>
      <c r="R535" s="2" t="inlineStr"/>
    </row>
    <row r="536" ht="15" customHeight="1">
      <c r="A536" t="inlineStr">
        <is>
          <t>A 29230-2022</t>
        </is>
      </c>
      <c r="B536" s="1" t="n">
        <v>44750</v>
      </c>
      <c r="C536" s="1" t="n">
        <v>46085</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9335-2022</t>
        </is>
      </c>
      <c r="B537" s="1" t="n">
        <v>44616.56579861111</v>
      </c>
      <c r="C537" s="1" t="n">
        <v>46085</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47479-2024</t>
        </is>
      </c>
      <c r="B538" s="1" t="n">
        <v>45587</v>
      </c>
      <c r="C538" s="1" t="n">
        <v>46085</v>
      </c>
      <c r="D538" t="inlineStr">
        <is>
          <t>VÄSTMANLANDS LÄN</t>
        </is>
      </c>
      <c r="E538" t="inlineStr">
        <is>
          <t>SALA</t>
        </is>
      </c>
      <c r="F538" t="inlineStr">
        <is>
          <t>Kommuner</t>
        </is>
      </c>
      <c r="G538" t="n">
        <v>0.8</v>
      </c>
      <c r="H538" t="n">
        <v>0</v>
      </c>
      <c r="I538" t="n">
        <v>0</v>
      </c>
      <c r="J538" t="n">
        <v>0</v>
      </c>
      <c r="K538" t="n">
        <v>0</v>
      </c>
      <c r="L538" t="n">
        <v>0</v>
      </c>
      <c r="M538" t="n">
        <v>0</v>
      </c>
      <c r="N538" t="n">
        <v>0</v>
      </c>
      <c r="O538" t="n">
        <v>0</v>
      </c>
      <c r="P538" t="n">
        <v>0</v>
      </c>
      <c r="Q538" t="n">
        <v>0</v>
      </c>
      <c r="R538" s="2" t="inlineStr"/>
    </row>
    <row r="539" ht="15" customHeight="1">
      <c r="A539" t="inlineStr">
        <is>
          <t>A 60629-2025</t>
        </is>
      </c>
      <c r="B539" s="1" t="n">
        <v>45996.41972222222</v>
      </c>
      <c r="C539" s="1" t="n">
        <v>46085</v>
      </c>
      <c r="D539" t="inlineStr">
        <is>
          <t>VÄSTMANLANDS LÄN</t>
        </is>
      </c>
      <c r="E539" t="inlineStr">
        <is>
          <t>SALA</t>
        </is>
      </c>
      <c r="G539" t="n">
        <v>4.3</v>
      </c>
      <c r="H539" t="n">
        <v>0</v>
      </c>
      <c r="I539" t="n">
        <v>0</v>
      </c>
      <c r="J539" t="n">
        <v>0</v>
      </c>
      <c r="K539" t="n">
        <v>0</v>
      </c>
      <c r="L539" t="n">
        <v>0</v>
      </c>
      <c r="M539" t="n">
        <v>0</v>
      </c>
      <c r="N539" t="n">
        <v>0</v>
      </c>
      <c r="O539" t="n">
        <v>0</v>
      </c>
      <c r="P539" t="n">
        <v>0</v>
      </c>
      <c r="Q539" t="n">
        <v>0</v>
      </c>
      <c r="R539" s="2" t="inlineStr"/>
    </row>
    <row r="540" ht="15" customHeight="1">
      <c r="A540" t="inlineStr">
        <is>
          <t>A 19065-2022</t>
        </is>
      </c>
      <c r="B540" s="1" t="n">
        <v>44691.44309027777</v>
      </c>
      <c r="C540" s="1" t="n">
        <v>46085</v>
      </c>
      <c r="D540" t="inlineStr">
        <is>
          <t>VÄSTMANLANDS LÄN</t>
        </is>
      </c>
      <c r="E540" t="inlineStr">
        <is>
          <t>SALA</t>
        </is>
      </c>
      <c r="G540" t="n">
        <v>3.4</v>
      </c>
      <c r="H540" t="n">
        <v>0</v>
      </c>
      <c r="I540" t="n">
        <v>0</v>
      </c>
      <c r="J540" t="n">
        <v>0</v>
      </c>
      <c r="K540" t="n">
        <v>0</v>
      </c>
      <c r="L540" t="n">
        <v>0</v>
      </c>
      <c r="M540" t="n">
        <v>0</v>
      </c>
      <c r="N540" t="n">
        <v>0</v>
      </c>
      <c r="O540" t="n">
        <v>0</v>
      </c>
      <c r="P540" t="n">
        <v>0</v>
      </c>
      <c r="Q540" t="n">
        <v>0</v>
      </c>
      <c r="R540" s="2" t="inlineStr"/>
    </row>
    <row r="541" ht="15" customHeight="1">
      <c r="A541" t="inlineStr">
        <is>
          <t>A 22961-2023</t>
        </is>
      </c>
      <c r="B541" s="1" t="n">
        <v>45072</v>
      </c>
      <c r="C541" s="1" t="n">
        <v>46085</v>
      </c>
      <c r="D541" t="inlineStr">
        <is>
          <t>VÄSTMANLANDS LÄN</t>
        </is>
      </c>
      <c r="E541" t="inlineStr">
        <is>
          <t>SALA</t>
        </is>
      </c>
      <c r="G541" t="n">
        <v>2.7</v>
      </c>
      <c r="H541" t="n">
        <v>0</v>
      </c>
      <c r="I541" t="n">
        <v>0</v>
      </c>
      <c r="J541" t="n">
        <v>0</v>
      </c>
      <c r="K541" t="n">
        <v>0</v>
      </c>
      <c r="L541" t="n">
        <v>0</v>
      </c>
      <c r="M541" t="n">
        <v>0</v>
      </c>
      <c r="N541" t="n">
        <v>0</v>
      </c>
      <c r="O541" t="n">
        <v>0</v>
      </c>
      <c r="P541" t="n">
        <v>0</v>
      </c>
      <c r="Q541" t="n">
        <v>0</v>
      </c>
      <c r="R541" s="2" t="inlineStr"/>
    </row>
    <row r="542" ht="15" customHeight="1">
      <c r="A542" t="inlineStr">
        <is>
          <t>A 22963-2023</t>
        </is>
      </c>
      <c r="B542" s="1" t="n">
        <v>45072</v>
      </c>
      <c r="C542" s="1" t="n">
        <v>46085</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16328-2025</t>
        </is>
      </c>
      <c r="B543" s="1" t="n">
        <v>45751</v>
      </c>
      <c r="C543" s="1" t="n">
        <v>46085</v>
      </c>
      <c r="D543" t="inlineStr">
        <is>
          <t>VÄSTMANLANDS LÄN</t>
        </is>
      </c>
      <c r="E543" t="inlineStr">
        <is>
          <t>SALA</t>
        </is>
      </c>
      <c r="G543" t="n">
        <v>2.9</v>
      </c>
      <c r="H543" t="n">
        <v>0</v>
      </c>
      <c r="I543" t="n">
        <v>0</v>
      </c>
      <c r="J543" t="n">
        <v>0</v>
      </c>
      <c r="K543" t="n">
        <v>0</v>
      </c>
      <c r="L543" t="n">
        <v>0</v>
      </c>
      <c r="M543" t="n">
        <v>0</v>
      </c>
      <c r="N543" t="n">
        <v>0</v>
      </c>
      <c r="O543" t="n">
        <v>0</v>
      </c>
      <c r="P543" t="n">
        <v>0</v>
      </c>
      <c r="Q543" t="n">
        <v>0</v>
      </c>
      <c r="R543" s="2" t="inlineStr"/>
    </row>
    <row r="544" ht="15" customHeight="1">
      <c r="A544" t="inlineStr">
        <is>
          <t>A 10585-2022</t>
        </is>
      </c>
      <c r="B544" s="1" t="n">
        <v>44624</v>
      </c>
      <c r="C544" s="1" t="n">
        <v>46085</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69236-2021</t>
        </is>
      </c>
      <c r="B545" s="1" t="n">
        <v>44531.4047337963</v>
      </c>
      <c r="C545" s="1" t="n">
        <v>46085</v>
      </c>
      <c r="D545" t="inlineStr">
        <is>
          <t>VÄSTMANLANDS LÄN</t>
        </is>
      </c>
      <c r="E545" t="inlineStr">
        <is>
          <t>SALA</t>
        </is>
      </c>
      <c r="G545" t="n">
        <v>2.8</v>
      </c>
      <c r="H545" t="n">
        <v>0</v>
      </c>
      <c r="I545" t="n">
        <v>0</v>
      </c>
      <c r="J545" t="n">
        <v>0</v>
      </c>
      <c r="K545" t="n">
        <v>0</v>
      </c>
      <c r="L545" t="n">
        <v>0</v>
      </c>
      <c r="M545" t="n">
        <v>0</v>
      </c>
      <c r="N545" t="n">
        <v>0</v>
      </c>
      <c r="O545" t="n">
        <v>0</v>
      </c>
      <c r="P545" t="n">
        <v>0</v>
      </c>
      <c r="Q545" t="n">
        <v>0</v>
      </c>
      <c r="R545" s="2" t="inlineStr"/>
    </row>
    <row r="546" ht="15" customHeight="1">
      <c r="A546" t="inlineStr">
        <is>
          <t>A 48117-2024</t>
        </is>
      </c>
      <c r="B546" s="1" t="n">
        <v>45589</v>
      </c>
      <c r="C546" s="1" t="n">
        <v>46085</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12225-2023</t>
        </is>
      </c>
      <c r="B547" s="1" t="n">
        <v>44995</v>
      </c>
      <c r="C547" s="1" t="n">
        <v>46085</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12252-2023</t>
        </is>
      </c>
      <c r="B548" s="1" t="n">
        <v>44995</v>
      </c>
      <c r="C548" s="1" t="n">
        <v>46085</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6116-2023</t>
        </is>
      </c>
      <c r="B549" s="1" t="n">
        <v>44964</v>
      </c>
      <c r="C549" s="1" t="n">
        <v>46085</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18100-2023</t>
        </is>
      </c>
      <c r="B550" s="1" t="n">
        <v>45040</v>
      </c>
      <c r="C550" s="1" t="n">
        <v>46085</v>
      </c>
      <c r="D550" t="inlineStr">
        <is>
          <t>VÄSTMANLANDS LÄN</t>
        </is>
      </c>
      <c r="E550" t="inlineStr">
        <is>
          <t>SALA</t>
        </is>
      </c>
      <c r="G550" t="n">
        <v>1.8</v>
      </c>
      <c r="H550" t="n">
        <v>0</v>
      </c>
      <c r="I550" t="n">
        <v>0</v>
      </c>
      <c r="J550" t="n">
        <v>0</v>
      </c>
      <c r="K550" t="n">
        <v>0</v>
      </c>
      <c r="L550" t="n">
        <v>0</v>
      </c>
      <c r="M550" t="n">
        <v>0</v>
      </c>
      <c r="N550" t="n">
        <v>0</v>
      </c>
      <c r="O550" t="n">
        <v>0</v>
      </c>
      <c r="P550" t="n">
        <v>0</v>
      </c>
      <c r="Q550" t="n">
        <v>0</v>
      </c>
      <c r="R550" s="2" t="inlineStr"/>
    </row>
    <row r="551" ht="15" customHeight="1">
      <c r="A551" t="inlineStr">
        <is>
          <t>A 31609-2024</t>
        </is>
      </c>
      <c r="B551" s="1" t="n">
        <v>45506</v>
      </c>
      <c r="C551" s="1" t="n">
        <v>46085</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13471-2025</t>
        </is>
      </c>
      <c r="B552" s="1" t="n">
        <v>45736.40579861111</v>
      </c>
      <c r="C552" s="1" t="n">
        <v>46085</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26854-2024</t>
        </is>
      </c>
      <c r="B553" s="1" t="n">
        <v>45470</v>
      </c>
      <c r="C553" s="1" t="n">
        <v>46085</v>
      </c>
      <c r="D553" t="inlineStr">
        <is>
          <t>VÄSTMANLANDS LÄN</t>
        </is>
      </c>
      <c r="E553" t="inlineStr">
        <is>
          <t>SALA</t>
        </is>
      </c>
      <c r="G553" t="n">
        <v>1.4</v>
      </c>
      <c r="H553" t="n">
        <v>0</v>
      </c>
      <c r="I553" t="n">
        <v>0</v>
      </c>
      <c r="J553" t="n">
        <v>0</v>
      </c>
      <c r="K553" t="n">
        <v>0</v>
      </c>
      <c r="L553" t="n">
        <v>0</v>
      </c>
      <c r="M553" t="n">
        <v>0</v>
      </c>
      <c r="N553" t="n">
        <v>0</v>
      </c>
      <c r="O553" t="n">
        <v>0</v>
      </c>
      <c r="P553" t="n">
        <v>0</v>
      </c>
      <c r="Q553" t="n">
        <v>0</v>
      </c>
      <c r="R553" s="2" t="inlineStr"/>
    </row>
    <row r="554" ht="15" customHeight="1">
      <c r="A554" t="inlineStr">
        <is>
          <t>A 37602-2024</t>
        </is>
      </c>
      <c r="B554" s="1" t="n">
        <v>45541</v>
      </c>
      <c r="C554" s="1" t="n">
        <v>46085</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1985-2022</t>
        </is>
      </c>
      <c r="B555" s="1" t="n">
        <v>44575</v>
      </c>
      <c r="C555" s="1" t="n">
        <v>46085</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61522-2025</t>
        </is>
      </c>
      <c r="B556" s="1" t="n">
        <v>46001.68684027778</v>
      </c>
      <c r="C556" s="1" t="n">
        <v>46085</v>
      </c>
      <c r="D556" t="inlineStr">
        <is>
          <t>VÄSTMANLANDS LÄN</t>
        </is>
      </c>
      <c r="E556" t="inlineStr">
        <is>
          <t>SALA</t>
        </is>
      </c>
      <c r="G556" t="n">
        <v>5.7</v>
      </c>
      <c r="H556" t="n">
        <v>0</v>
      </c>
      <c r="I556" t="n">
        <v>0</v>
      </c>
      <c r="J556" t="n">
        <v>0</v>
      </c>
      <c r="K556" t="n">
        <v>0</v>
      </c>
      <c r="L556" t="n">
        <v>0</v>
      </c>
      <c r="M556" t="n">
        <v>0</v>
      </c>
      <c r="N556" t="n">
        <v>0</v>
      </c>
      <c r="O556" t="n">
        <v>0</v>
      </c>
      <c r="P556" t="n">
        <v>0</v>
      </c>
      <c r="Q556" t="n">
        <v>0</v>
      </c>
      <c r="R556" s="2" t="inlineStr"/>
    </row>
    <row r="557" ht="15" customHeight="1">
      <c r="A557" t="inlineStr">
        <is>
          <t>A 21455-2023</t>
        </is>
      </c>
      <c r="B557" s="1" t="n">
        <v>45058</v>
      </c>
      <c r="C557" s="1" t="n">
        <v>46085</v>
      </c>
      <c r="D557" t="inlineStr">
        <is>
          <t>VÄSTMANLANDS LÄN</t>
        </is>
      </c>
      <c r="E557" t="inlineStr">
        <is>
          <t>SALA</t>
        </is>
      </c>
      <c r="G557" t="n">
        <v>6.4</v>
      </c>
      <c r="H557" t="n">
        <v>0</v>
      </c>
      <c r="I557" t="n">
        <v>0</v>
      </c>
      <c r="J557" t="n">
        <v>0</v>
      </c>
      <c r="K557" t="n">
        <v>0</v>
      </c>
      <c r="L557" t="n">
        <v>0</v>
      </c>
      <c r="M557" t="n">
        <v>0</v>
      </c>
      <c r="N557" t="n">
        <v>0</v>
      </c>
      <c r="O557" t="n">
        <v>0</v>
      </c>
      <c r="P557" t="n">
        <v>0</v>
      </c>
      <c r="Q557" t="n">
        <v>0</v>
      </c>
      <c r="R557" s="2" t="inlineStr"/>
    </row>
    <row r="558" ht="15" customHeight="1">
      <c r="A558" t="inlineStr">
        <is>
          <t>A 4797-2023</t>
        </is>
      </c>
      <c r="B558" s="1" t="n">
        <v>44957</v>
      </c>
      <c r="C558" s="1" t="n">
        <v>46085</v>
      </c>
      <c r="D558" t="inlineStr">
        <is>
          <t>VÄSTMANLANDS LÄN</t>
        </is>
      </c>
      <c r="E558" t="inlineStr">
        <is>
          <t>SALA</t>
        </is>
      </c>
      <c r="G558" t="n">
        <v>5.7</v>
      </c>
      <c r="H558" t="n">
        <v>0</v>
      </c>
      <c r="I558" t="n">
        <v>0</v>
      </c>
      <c r="J558" t="n">
        <v>0</v>
      </c>
      <c r="K558" t="n">
        <v>0</v>
      </c>
      <c r="L558" t="n">
        <v>0</v>
      </c>
      <c r="M558" t="n">
        <v>0</v>
      </c>
      <c r="N558" t="n">
        <v>0</v>
      </c>
      <c r="O558" t="n">
        <v>0</v>
      </c>
      <c r="P558" t="n">
        <v>0</v>
      </c>
      <c r="Q558" t="n">
        <v>0</v>
      </c>
      <c r="R558" s="2" t="inlineStr"/>
    </row>
    <row r="559" ht="15" customHeight="1">
      <c r="A559" t="inlineStr">
        <is>
          <t>A 4852-2023</t>
        </is>
      </c>
      <c r="B559" s="1" t="n">
        <v>44957.72496527778</v>
      </c>
      <c r="C559" s="1" t="n">
        <v>46085</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36858-2023</t>
        </is>
      </c>
      <c r="B560" s="1" t="n">
        <v>45154.55184027777</v>
      </c>
      <c r="C560" s="1" t="n">
        <v>46085</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4712-2026</t>
        </is>
      </c>
      <c r="B561" s="1" t="n">
        <v>46048.46082175926</v>
      </c>
      <c r="C561" s="1" t="n">
        <v>46085</v>
      </c>
      <c r="D561" t="inlineStr">
        <is>
          <t>VÄSTMANLANDS LÄN</t>
        </is>
      </c>
      <c r="E561" t="inlineStr">
        <is>
          <t>SALA</t>
        </is>
      </c>
      <c r="G561" t="n">
        <v>4.1</v>
      </c>
      <c r="H561" t="n">
        <v>0</v>
      </c>
      <c r="I561" t="n">
        <v>0</v>
      </c>
      <c r="J561" t="n">
        <v>0</v>
      </c>
      <c r="K561" t="n">
        <v>0</v>
      </c>
      <c r="L561" t="n">
        <v>0</v>
      </c>
      <c r="M561" t="n">
        <v>0</v>
      </c>
      <c r="N561" t="n">
        <v>0</v>
      </c>
      <c r="O561" t="n">
        <v>0</v>
      </c>
      <c r="P561" t="n">
        <v>0</v>
      </c>
      <c r="Q561" t="n">
        <v>0</v>
      </c>
      <c r="R561" s="2" t="inlineStr"/>
    </row>
    <row r="562" ht="15" customHeight="1">
      <c r="A562" t="inlineStr">
        <is>
          <t>A 4664-2026</t>
        </is>
      </c>
      <c r="B562" s="1" t="n">
        <v>46048.41061342593</v>
      </c>
      <c r="C562" s="1" t="n">
        <v>46085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58701-2021</t>
        </is>
      </c>
      <c r="B563" s="1" t="n">
        <v>44489.46454861111</v>
      </c>
      <c r="C563" s="1" t="n">
        <v>46085</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4624-2026</t>
        </is>
      </c>
      <c r="B564" s="1" t="n">
        <v>46048.38107638889</v>
      </c>
      <c r="C564" s="1" t="n">
        <v>46085</v>
      </c>
      <c r="D564" t="inlineStr">
        <is>
          <t>VÄSTMANLANDS LÄN</t>
        </is>
      </c>
      <c r="E564" t="inlineStr">
        <is>
          <t>SALA</t>
        </is>
      </c>
      <c r="G564" t="n">
        <v>12.3</v>
      </c>
      <c r="H564" t="n">
        <v>0</v>
      </c>
      <c r="I564" t="n">
        <v>0</v>
      </c>
      <c r="J564" t="n">
        <v>0</v>
      </c>
      <c r="K564" t="n">
        <v>0</v>
      </c>
      <c r="L564" t="n">
        <v>0</v>
      </c>
      <c r="M564" t="n">
        <v>0</v>
      </c>
      <c r="N564" t="n">
        <v>0</v>
      </c>
      <c r="O564" t="n">
        <v>0</v>
      </c>
      <c r="P564" t="n">
        <v>0</v>
      </c>
      <c r="Q564" t="n">
        <v>0</v>
      </c>
      <c r="R564" s="2" t="inlineStr"/>
    </row>
    <row r="565" ht="15" customHeight="1">
      <c r="A565" t="inlineStr">
        <is>
          <t>A 4681-2026</t>
        </is>
      </c>
      <c r="B565" s="1" t="n">
        <v>46048.43016203704</v>
      </c>
      <c r="C565" s="1" t="n">
        <v>46085</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35410-2022</t>
        </is>
      </c>
      <c r="B566" s="1" t="n">
        <v>44798.62576388889</v>
      </c>
      <c r="C566" s="1" t="n">
        <v>46085</v>
      </c>
      <c r="D566" t="inlineStr">
        <is>
          <t>VÄSTMANLANDS LÄN</t>
        </is>
      </c>
      <c r="E566" t="inlineStr">
        <is>
          <t>SALA</t>
        </is>
      </c>
      <c r="G566" t="n">
        <v>1.6</v>
      </c>
      <c r="H566" t="n">
        <v>0</v>
      </c>
      <c r="I566" t="n">
        <v>0</v>
      </c>
      <c r="J566" t="n">
        <v>0</v>
      </c>
      <c r="K566" t="n">
        <v>0</v>
      </c>
      <c r="L566" t="n">
        <v>0</v>
      </c>
      <c r="M566" t="n">
        <v>0</v>
      </c>
      <c r="N566" t="n">
        <v>0</v>
      </c>
      <c r="O566" t="n">
        <v>0</v>
      </c>
      <c r="P566" t="n">
        <v>0</v>
      </c>
      <c r="Q566" t="n">
        <v>0</v>
      </c>
      <c r="R566" s="2" t="inlineStr"/>
    </row>
    <row r="567" ht="15" customHeight="1">
      <c r="A567" t="inlineStr">
        <is>
          <t>A 37337-2024</t>
        </is>
      </c>
      <c r="B567" s="1" t="n">
        <v>45540</v>
      </c>
      <c r="C567" s="1" t="n">
        <v>46085</v>
      </c>
      <c r="D567" t="inlineStr">
        <is>
          <t>VÄSTMANLANDS LÄN</t>
        </is>
      </c>
      <c r="E567" t="inlineStr">
        <is>
          <t>SALA</t>
        </is>
      </c>
      <c r="G567" t="n">
        <v>6.5</v>
      </c>
      <c r="H567" t="n">
        <v>0</v>
      </c>
      <c r="I567" t="n">
        <v>0</v>
      </c>
      <c r="J567" t="n">
        <v>0</v>
      </c>
      <c r="K567" t="n">
        <v>0</v>
      </c>
      <c r="L567" t="n">
        <v>0</v>
      </c>
      <c r="M567" t="n">
        <v>0</v>
      </c>
      <c r="N567" t="n">
        <v>0</v>
      </c>
      <c r="O567" t="n">
        <v>0</v>
      </c>
      <c r="P567" t="n">
        <v>0</v>
      </c>
      <c r="Q567" t="n">
        <v>0</v>
      </c>
      <c r="R567" s="2" t="inlineStr"/>
    </row>
    <row r="568" ht="15" customHeight="1">
      <c r="A568" t="inlineStr">
        <is>
          <t>A 62523-2025</t>
        </is>
      </c>
      <c r="B568" s="1" t="n">
        <v>46007.61512731481</v>
      </c>
      <c r="C568" s="1" t="n">
        <v>46085</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5418-2026</t>
        </is>
      </c>
      <c r="B569" s="1" t="n">
        <v>46050.53740740741</v>
      </c>
      <c r="C569" s="1" t="n">
        <v>46085</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10250-2025</t>
        </is>
      </c>
      <c r="B570" s="1" t="n">
        <v>45720.36165509259</v>
      </c>
      <c r="C570" s="1" t="n">
        <v>46085</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5525-2026</t>
        </is>
      </c>
      <c r="B571" s="1" t="n">
        <v>46050.65055555556</v>
      </c>
      <c r="C571" s="1" t="n">
        <v>46085</v>
      </c>
      <c r="D571" t="inlineStr">
        <is>
          <t>VÄSTMANLANDS LÄN</t>
        </is>
      </c>
      <c r="E571" t="inlineStr">
        <is>
          <t>SALA</t>
        </is>
      </c>
      <c r="G571" t="n">
        <v>13.1</v>
      </c>
      <c r="H571" t="n">
        <v>0</v>
      </c>
      <c r="I571" t="n">
        <v>0</v>
      </c>
      <c r="J571" t="n">
        <v>0</v>
      </c>
      <c r="K571" t="n">
        <v>0</v>
      </c>
      <c r="L571" t="n">
        <v>0</v>
      </c>
      <c r="M571" t="n">
        <v>0</v>
      </c>
      <c r="N571" t="n">
        <v>0</v>
      </c>
      <c r="O571" t="n">
        <v>0</v>
      </c>
      <c r="P571" t="n">
        <v>0</v>
      </c>
      <c r="Q571" t="n">
        <v>0</v>
      </c>
      <c r="R571" s="2" t="inlineStr"/>
    </row>
    <row r="572" ht="15" customHeight="1">
      <c r="A572" t="inlineStr">
        <is>
          <t>A 23180-2022</t>
        </is>
      </c>
      <c r="B572" s="1" t="n">
        <v>44719.79344907407</v>
      </c>
      <c r="C572" s="1" t="n">
        <v>46085</v>
      </c>
      <c r="D572" t="inlineStr">
        <is>
          <t>VÄSTMANLANDS LÄN</t>
        </is>
      </c>
      <c r="E572" t="inlineStr">
        <is>
          <t>SALA</t>
        </is>
      </c>
      <c r="G572" t="n">
        <v>1.2</v>
      </c>
      <c r="H572" t="n">
        <v>0</v>
      </c>
      <c r="I572" t="n">
        <v>0</v>
      </c>
      <c r="J572" t="n">
        <v>0</v>
      </c>
      <c r="K572" t="n">
        <v>0</v>
      </c>
      <c r="L572" t="n">
        <v>0</v>
      </c>
      <c r="M572" t="n">
        <v>0</v>
      </c>
      <c r="N572" t="n">
        <v>0</v>
      </c>
      <c r="O572" t="n">
        <v>0</v>
      </c>
      <c r="P572" t="n">
        <v>0</v>
      </c>
      <c r="Q572" t="n">
        <v>0</v>
      </c>
      <c r="R572" s="2" t="inlineStr"/>
    </row>
    <row r="573" ht="15" customHeight="1">
      <c r="A573" t="inlineStr">
        <is>
          <t>A 21053-2022</t>
        </is>
      </c>
      <c r="B573" s="1" t="n">
        <v>44704</v>
      </c>
      <c r="C573" s="1" t="n">
        <v>46085</v>
      </c>
      <c r="D573" t="inlineStr">
        <is>
          <t>VÄSTMANLANDS LÄN</t>
        </is>
      </c>
      <c r="E573" t="inlineStr">
        <is>
          <t>SALA</t>
        </is>
      </c>
      <c r="G573" t="n">
        <v>2</v>
      </c>
      <c r="H573" t="n">
        <v>0</v>
      </c>
      <c r="I573" t="n">
        <v>0</v>
      </c>
      <c r="J573" t="n">
        <v>0</v>
      </c>
      <c r="K573" t="n">
        <v>0</v>
      </c>
      <c r="L573" t="n">
        <v>0</v>
      </c>
      <c r="M573" t="n">
        <v>0</v>
      </c>
      <c r="N573" t="n">
        <v>0</v>
      </c>
      <c r="O573" t="n">
        <v>0</v>
      </c>
      <c r="P573" t="n">
        <v>0</v>
      </c>
      <c r="Q573" t="n">
        <v>0</v>
      </c>
      <c r="R573" s="2" t="inlineStr"/>
    </row>
    <row r="574" ht="15" customHeight="1">
      <c r="A574" t="inlineStr">
        <is>
          <t>A 18340-2025</t>
        </is>
      </c>
      <c r="B574" s="1" t="n">
        <v>45762</v>
      </c>
      <c r="C574" s="1" t="n">
        <v>46085</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16638-2023</t>
        </is>
      </c>
      <c r="B575" s="1" t="n">
        <v>45027</v>
      </c>
      <c r="C575" s="1" t="n">
        <v>46085</v>
      </c>
      <c r="D575" t="inlineStr">
        <is>
          <t>VÄSTMANLANDS LÄN</t>
        </is>
      </c>
      <c r="E575" t="inlineStr">
        <is>
          <t>SALA</t>
        </is>
      </c>
      <c r="G575" t="n">
        <v>14.8</v>
      </c>
      <c r="H575" t="n">
        <v>0</v>
      </c>
      <c r="I575" t="n">
        <v>0</v>
      </c>
      <c r="J575" t="n">
        <v>0</v>
      </c>
      <c r="K575" t="n">
        <v>0</v>
      </c>
      <c r="L575" t="n">
        <v>0</v>
      </c>
      <c r="M575" t="n">
        <v>0</v>
      </c>
      <c r="N575" t="n">
        <v>0</v>
      </c>
      <c r="O575" t="n">
        <v>0</v>
      </c>
      <c r="P575" t="n">
        <v>0</v>
      </c>
      <c r="Q575" t="n">
        <v>0</v>
      </c>
      <c r="R575" s="2" t="inlineStr"/>
    </row>
    <row r="576" ht="15" customHeight="1">
      <c r="A576" t="inlineStr">
        <is>
          <t>A 21159-2022</t>
        </is>
      </c>
      <c r="B576" s="1" t="n">
        <v>44704</v>
      </c>
      <c r="C576" s="1" t="n">
        <v>46085</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63055-2025</t>
        </is>
      </c>
      <c r="B577" s="1" t="n">
        <v>46009.63619212963</v>
      </c>
      <c r="C577" s="1" t="n">
        <v>46085</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63353-2025</t>
        </is>
      </c>
      <c r="B578" s="1" t="n">
        <v>46010.66670138889</v>
      </c>
      <c r="C578" s="1" t="n">
        <v>46085</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41292-2021</t>
        </is>
      </c>
      <c r="B579" s="1" t="n">
        <v>44424</v>
      </c>
      <c r="C579" s="1" t="n">
        <v>46085</v>
      </c>
      <c r="D579" t="inlineStr">
        <is>
          <t>VÄSTMANLANDS LÄN</t>
        </is>
      </c>
      <c r="E579" t="inlineStr">
        <is>
          <t>SALA</t>
        </is>
      </c>
      <c r="G579" t="n">
        <v>0.3</v>
      </c>
      <c r="H579" t="n">
        <v>0</v>
      </c>
      <c r="I579" t="n">
        <v>0</v>
      </c>
      <c r="J579" t="n">
        <v>0</v>
      </c>
      <c r="K579" t="n">
        <v>0</v>
      </c>
      <c r="L579" t="n">
        <v>0</v>
      </c>
      <c r="M579" t="n">
        <v>0</v>
      </c>
      <c r="N579" t="n">
        <v>0</v>
      </c>
      <c r="O579" t="n">
        <v>0</v>
      </c>
      <c r="P579" t="n">
        <v>0</v>
      </c>
      <c r="Q579" t="n">
        <v>0</v>
      </c>
      <c r="R579" s="2" t="inlineStr"/>
    </row>
    <row r="580" ht="15" customHeight="1">
      <c r="A580" t="inlineStr">
        <is>
          <t>A 60328-2024</t>
        </is>
      </c>
      <c r="B580" s="1" t="n">
        <v>45643.38416666666</v>
      </c>
      <c r="C580" s="1" t="n">
        <v>46085</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5894-2026</t>
        </is>
      </c>
      <c r="B581" s="1" t="n">
        <v>46052.42412037037</v>
      </c>
      <c r="C581" s="1" t="n">
        <v>46085</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63051-2025</t>
        </is>
      </c>
      <c r="B582" s="1" t="n">
        <v>46009.63134259259</v>
      </c>
      <c r="C582" s="1" t="n">
        <v>46085</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17117-2023</t>
        </is>
      </c>
      <c r="B583" s="1" t="n">
        <v>45034</v>
      </c>
      <c r="C583" s="1" t="n">
        <v>46085</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63046-2025</t>
        </is>
      </c>
      <c r="B584" s="1" t="n">
        <v>46009.62373842593</v>
      </c>
      <c r="C584" s="1" t="n">
        <v>46085</v>
      </c>
      <c r="D584" t="inlineStr">
        <is>
          <t>VÄSTMANLANDS LÄN</t>
        </is>
      </c>
      <c r="E584" t="inlineStr">
        <is>
          <t>SALA</t>
        </is>
      </c>
      <c r="G584" t="n">
        <v>1.1</v>
      </c>
      <c r="H584" t="n">
        <v>0</v>
      </c>
      <c r="I584" t="n">
        <v>0</v>
      </c>
      <c r="J584" t="n">
        <v>0</v>
      </c>
      <c r="K584" t="n">
        <v>0</v>
      </c>
      <c r="L584" t="n">
        <v>0</v>
      </c>
      <c r="M584" t="n">
        <v>0</v>
      </c>
      <c r="N584" t="n">
        <v>0</v>
      </c>
      <c r="O584" t="n">
        <v>0</v>
      </c>
      <c r="P584" t="n">
        <v>0</v>
      </c>
      <c r="Q584" t="n">
        <v>0</v>
      </c>
      <c r="R584" s="2" t="inlineStr"/>
    </row>
    <row r="585" ht="15" customHeight="1">
      <c r="A585" t="inlineStr">
        <is>
          <t>A 59909-2024</t>
        </is>
      </c>
      <c r="B585" s="1" t="n">
        <v>45641</v>
      </c>
      <c r="C585" s="1" t="n">
        <v>46085</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63269-2025</t>
        </is>
      </c>
      <c r="B586" s="1" t="n">
        <v>46010</v>
      </c>
      <c r="C586" s="1" t="n">
        <v>46085</v>
      </c>
      <c r="D586" t="inlineStr">
        <is>
          <t>VÄSTMANLANDS LÄN</t>
        </is>
      </c>
      <c r="E586" t="inlineStr">
        <is>
          <t>SALA</t>
        </is>
      </c>
      <c r="G586" t="n">
        <v>6.4</v>
      </c>
      <c r="H586" t="n">
        <v>0</v>
      </c>
      <c r="I586" t="n">
        <v>0</v>
      </c>
      <c r="J586" t="n">
        <v>0</v>
      </c>
      <c r="K586" t="n">
        <v>0</v>
      </c>
      <c r="L586" t="n">
        <v>0</v>
      </c>
      <c r="M586" t="n">
        <v>0</v>
      </c>
      <c r="N586" t="n">
        <v>0</v>
      </c>
      <c r="O586" t="n">
        <v>0</v>
      </c>
      <c r="P586" t="n">
        <v>0</v>
      </c>
      <c r="Q586" t="n">
        <v>0</v>
      </c>
      <c r="R586" s="2" t="inlineStr"/>
    </row>
    <row r="587" ht="15" customHeight="1">
      <c r="A587" t="inlineStr">
        <is>
          <t>A 30028-2024</t>
        </is>
      </c>
      <c r="B587" s="1" t="n">
        <v>45485</v>
      </c>
      <c r="C587" s="1" t="n">
        <v>46085</v>
      </c>
      <c r="D587" t="inlineStr">
        <is>
          <t>VÄSTMANLANDS LÄN</t>
        </is>
      </c>
      <c r="E587" t="inlineStr">
        <is>
          <t>SALA</t>
        </is>
      </c>
      <c r="G587" t="n">
        <v>2.6</v>
      </c>
      <c r="H587" t="n">
        <v>0</v>
      </c>
      <c r="I587" t="n">
        <v>0</v>
      </c>
      <c r="J587" t="n">
        <v>0</v>
      </c>
      <c r="K587" t="n">
        <v>0</v>
      </c>
      <c r="L587" t="n">
        <v>0</v>
      </c>
      <c r="M587" t="n">
        <v>0</v>
      </c>
      <c r="N587" t="n">
        <v>0</v>
      </c>
      <c r="O587" t="n">
        <v>0</v>
      </c>
      <c r="P587" t="n">
        <v>0</v>
      </c>
      <c r="Q587" t="n">
        <v>0</v>
      </c>
      <c r="R587" s="2" t="inlineStr"/>
    </row>
    <row r="588" ht="15" customHeight="1">
      <c r="A588" t="inlineStr">
        <is>
          <t>A 33309-2022</t>
        </is>
      </c>
      <c r="B588" s="1" t="n">
        <v>44788.40986111111</v>
      </c>
      <c r="C588" s="1" t="n">
        <v>46085</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33273-2023</t>
        </is>
      </c>
      <c r="B589" s="1" t="n">
        <v>45127</v>
      </c>
      <c r="C589" s="1" t="n">
        <v>46085</v>
      </c>
      <c r="D589" t="inlineStr">
        <is>
          <t>VÄSTMANLANDS LÄN</t>
        </is>
      </c>
      <c r="E589" t="inlineStr">
        <is>
          <t>SALA</t>
        </is>
      </c>
      <c r="G589" t="n">
        <v>2.6</v>
      </c>
      <c r="H589" t="n">
        <v>0</v>
      </c>
      <c r="I589" t="n">
        <v>0</v>
      </c>
      <c r="J589" t="n">
        <v>0</v>
      </c>
      <c r="K589" t="n">
        <v>0</v>
      </c>
      <c r="L589" t="n">
        <v>0</v>
      </c>
      <c r="M589" t="n">
        <v>0</v>
      </c>
      <c r="N589" t="n">
        <v>0</v>
      </c>
      <c r="O589" t="n">
        <v>0</v>
      </c>
      <c r="P589" t="n">
        <v>0</v>
      </c>
      <c r="Q589" t="n">
        <v>0</v>
      </c>
      <c r="R589" s="2" t="inlineStr"/>
    </row>
    <row r="590" ht="15" customHeight="1">
      <c r="A590" t="inlineStr">
        <is>
          <t>A 7377-2023</t>
        </is>
      </c>
      <c r="B590" s="1" t="n">
        <v>44971</v>
      </c>
      <c r="C590" s="1" t="n">
        <v>46085</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27229-2022</t>
        </is>
      </c>
      <c r="B591" s="1" t="n">
        <v>44741</v>
      </c>
      <c r="C591" s="1" t="n">
        <v>46085</v>
      </c>
      <c r="D591" t="inlineStr">
        <is>
          <t>VÄSTMANLANDS LÄN</t>
        </is>
      </c>
      <c r="E591" t="inlineStr">
        <is>
          <t>SALA</t>
        </is>
      </c>
      <c r="F591" t="inlineStr">
        <is>
          <t>Kommuner</t>
        </is>
      </c>
      <c r="G591" t="n">
        <v>1.4</v>
      </c>
      <c r="H591" t="n">
        <v>0</v>
      </c>
      <c r="I591" t="n">
        <v>0</v>
      </c>
      <c r="J591" t="n">
        <v>0</v>
      </c>
      <c r="K591" t="n">
        <v>0</v>
      </c>
      <c r="L591" t="n">
        <v>0</v>
      </c>
      <c r="M591" t="n">
        <v>0</v>
      </c>
      <c r="N591" t="n">
        <v>0</v>
      </c>
      <c r="O591" t="n">
        <v>0</v>
      </c>
      <c r="P591" t="n">
        <v>0</v>
      </c>
      <c r="Q591" t="n">
        <v>0</v>
      </c>
      <c r="R591" s="2" t="inlineStr"/>
    </row>
    <row r="592" ht="15" customHeight="1">
      <c r="A592" t="inlineStr">
        <is>
          <t>A 24755-2021</t>
        </is>
      </c>
      <c r="B592" s="1" t="n">
        <v>44340</v>
      </c>
      <c r="C592" s="1" t="n">
        <v>46085</v>
      </c>
      <c r="D592" t="inlineStr">
        <is>
          <t>VÄSTMANLANDS LÄN</t>
        </is>
      </c>
      <c r="E592" t="inlineStr">
        <is>
          <t>SALA</t>
        </is>
      </c>
      <c r="G592" t="n">
        <v>1.2</v>
      </c>
      <c r="H592" t="n">
        <v>0</v>
      </c>
      <c r="I592" t="n">
        <v>0</v>
      </c>
      <c r="J592" t="n">
        <v>0</v>
      </c>
      <c r="K592" t="n">
        <v>0</v>
      </c>
      <c r="L592" t="n">
        <v>0</v>
      </c>
      <c r="M592" t="n">
        <v>0</v>
      </c>
      <c r="N592" t="n">
        <v>0</v>
      </c>
      <c r="O592" t="n">
        <v>0</v>
      </c>
      <c r="P592" t="n">
        <v>0</v>
      </c>
      <c r="Q592" t="n">
        <v>0</v>
      </c>
      <c r="R592" s="2" t="inlineStr"/>
    </row>
    <row r="593" ht="15" customHeight="1">
      <c r="A593" t="inlineStr">
        <is>
          <t>A 34867-2023</t>
        </is>
      </c>
      <c r="B593" s="1" t="n">
        <v>45142.33481481481</v>
      </c>
      <c r="C593" s="1" t="n">
        <v>46085</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52827-2024</t>
        </is>
      </c>
      <c r="B594" s="1" t="n">
        <v>45610</v>
      </c>
      <c r="C594" s="1" t="n">
        <v>46085</v>
      </c>
      <c r="D594" t="inlineStr">
        <is>
          <t>VÄSTMANLANDS LÄN</t>
        </is>
      </c>
      <c r="E594" t="inlineStr">
        <is>
          <t>SALA</t>
        </is>
      </c>
      <c r="G594" t="n">
        <v>0.2</v>
      </c>
      <c r="H594" t="n">
        <v>0</v>
      </c>
      <c r="I594" t="n">
        <v>0</v>
      </c>
      <c r="J594" t="n">
        <v>0</v>
      </c>
      <c r="K594" t="n">
        <v>0</v>
      </c>
      <c r="L594" t="n">
        <v>0</v>
      </c>
      <c r="M594" t="n">
        <v>0</v>
      </c>
      <c r="N594" t="n">
        <v>0</v>
      </c>
      <c r="O594" t="n">
        <v>0</v>
      </c>
      <c r="P594" t="n">
        <v>0</v>
      </c>
      <c r="Q594" t="n">
        <v>0</v>
      </c>
      <c r="R594" s="2" t="inlineStr"/>
    </row>
    <row r="595" ht="15" customHeight="1">
      <c r="A595" t="inlineStr">
        <is>
          <t>A 25748-2022</t>
        </is>
      </c>
      <c r="B595" s="1" t="n">
        <v>44732</v>
      </c>
      <c r="C595" s="1" t="n">
        <v>46085</v>
      </c>
      <c r="D595" t="inlineStr">
        <is>
          <t>VÄSTMANLANDS LÄN</t>
        </is>
      </c>
      <c r="E595" t="inlineStr">
        <is>
          <t>SALA</t>
        </is>
      </c>
      <c r="G595" t="n">
        <v>7.7</v>
      </c>
      <c r="H595" t="n">
        <v>0</v>
      </c>
      <c r="I595" t="n">
        <v>0</v>
      </c>
      <c r="J595" t="n">
        <v>0</v>
      </c>
      <c r="K595" t="n">
        <v>0</v>
      </c>
      <c r="L595" t="n">
        <v>0</v>
      </c>
      <c r="M595" t="n">
        <v>0</v>
      </c>
      <c r="N595" t="n">
        <v>0</v>
      </c>
      <c r="O595" t="n">
        <v>0</v>
      </c>
      <c r="P595" t="n">
        <v>0</v>
      </c>
      <c r="Q595" t="n">
        <v>0</v>
      </c>
      <c r="R595" s="2" t="inlineStr"/>
    </row>
    <row r="596" ht="15" customHeight="1">
      <c r="A596" t="inlineStr">
        <is>
          <t>A 53166-2024</t>
        </is>
      </c>
      <c r="B596" s="1" t="n">
        <v>45611</v>
      </c>
      <c r="C596" s="1" t="n">
        <v>46085</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11244-2024</t>
        </is>
      </c>
      <c r="B597" s="1" t="n">
        <v>45371</v>
      </c>
      <c r="C597" s="1" t="n">
        <v>46085</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46085</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6135-2023</t>
        </is>
      </c>
      <c r="B599" s="1" t="n">
        <v>44964.62628472222</v>
      </c>
      <c r="C599" s="1" t="n">
        <v>46085</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53864-2022</t>
        </is>
      </c>
      <c r="B600" s="1" t="n">
        <v>44880.64016203704</v>
      </c>
      <c r="C600" s="1" t="n">
        <v>46085</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27255-2023</t>
        </is>
      </c>
      <c r="B601" s="1" t="n">
        <v>45096</v>
      </c>
      <c r="C601" s="1" t="n">
        <v>46085</v>
      </c>
      <c r="D601" t="inlineStr">
        <is>
          <t>VÄSTMANLANDS LÄN</t>
        </is>
      </c>
      <c r="E601" t="inlineStr">
        <is>
          <t>SALA</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49512-2024</t>
        </is>
      </c>
      <c r="B602" s="1" t="n">
        <v>45591</v>
      </c>
      <c r="C602" s="1" t="n">
        <v>46085</v>
      </c>
      <c r="D602" t="inlineStr">
        <is>
          <t>VÄSTMANLANDS LÄN</t>
        </is>
      </c>
      <c r="E602" t="inlineStr">
        <is>
          <t>SALA</t>
        </is>
      </c>
      <c r="G602" t="n">
        <v>8.1</v>
      </c>
      <c r="H602" t="n">
        <v>0</v>
      </c>
      <c r="I602" t="n">
        <v>0</v>
      </c>
      <c r="J602" t="n">
        <v>0</v>
      </c>
      <c r="K602" t="n">
        <v>0</v>
      </c>
      <c r="L602" t="n">
        <v>0</v>
      </c>
      <c r="M602" t="n">
        <v>0</v>
      </c>
      <c r="N602" t="n">
        <v>0</v>
      </c>
      <c r="O602" t="n">
        <v>0</v>
      </c>
      <c r="P602" t="n">
        <v>0</v>
      </c>
      <c r="Q602" t="n">
        <v>0</v>
      </c>
      <c r="R602" s="2" t="inlineStr"/>
    </row>
    <row r="603" ht="15" customHeight="1">
      <c r="A603" t="inlineStr">
        <is>
          <t>A 13128-2023</t>
        </is>
      </c>
      <c r="B603" s="1" t="n">
        <v>45002</v>
      </c>
      <c r="C603" s="1" t="n">
        <v>46085</v>
      </c>
      <c r="D603" t="inlineStr">
        <is>
          <t>VÄSTMANLANDS LÄN</t>
        </is>
      </c>
      <c r="E603" t="inlineStr">
        <is>
          <t>SALA</t>
        </is>
      </c>
      <c r="G603" t="n">
        <v>7.9</v>
      </c>
      <c r="H603" t="n">
        <v>0</v>
      </c>
      <c r="I603" t="n">
        <v>0</v>
      </c>
      <c r="J603" t="n">
        <v>0</v>
      </c>
      <c r="K603" t="n">
        <v>0</v>
      </c>
      <c r="L603" t="n">
        <v>0</v>
      </c>
      <c r="M603" t="n">
        <v>0</v>
      </c>
      <c r="N603" t="n">
        <v>0</v>
      </c>
      <c r="O603" t="n">
        <v>0</v>
      </c>
      <c r="P603" t="n">
        <v>0</v>
      </c>
      <c r="Q603" t="n">
        <v>0</v>
      </c>
      <c r="R603" s="2" t="inlineStr"/>
    </row>
    <row r="604" ht="15" customHeight="1">
      <c r="A604" t="inlineStr">
        <is>
          <t>A 37958-2024</t>
        </is>
      </c>
      <c r="B604" s="1" t="n">
        <v>45544</v>
      </c>
      <c r="C604" s="1" t="n">
        <v>46085</v>
      </c>
      <c r="D604" t="inlineStr">
        <is>
          <t>VÄSTMANLANDS LÄN</t>
        </is>
      </c>
      <c r="E604" t="inlineStr">
        <is>
          <t>SALA</t>
        </is>
      </c>
      <c r="G604" t="n">
        <v>5.6</v>
      </c>
      <c r="H604" t="n">
        <v>0</v>
      </c>
      <c r="I604" t="n">
        <v>0</v>
      </c>
      <c r="J604" t="n">
        <v>0</v>
      </c>
      <c r="K604" t="n">
        <v>0</v>
      </c>
      <c r="L604" t="n">
        <v>0</v>
      </c>
      <c r="M604" t="n">
        <v>0</v>
      </c>
      <c r="N604" t="n">
        <v>0</v>
      </c>
      <c r="O604" t="n">
        <v>0</v>
      </c>
      <c r="P604" t="n">
        <v>0</v>
      </c>
      <c r="Q604" t="n">
        <v>0</v>
      </c>
      <c r="R604" s="2" t="inlineStr"/>
    </row>
    <row r="605" ht="15" customHeight="1">
      <c r="A605" t="inlineStr">
        <is>
          <t>A 18431-2023</t>
        </is>
      </c>
      <c r="B605" s="1" t="n">
        <v>45042</v>
      </c>
      <c r="C605" s="1" t="n">
        <v>46085</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60034-2024</t>
        </is>
      </c>
      <c r="B606" s="1" t="n">
        <v>45642.46261574074</v>
      </c>
      <c r="C606" s="1" t="n">
        <v>46085</v>
      </c>
      <c r="D606" t="inlineStr">
        <is>
          <t>VÄSTMANLANDS LÄN</t>
        </is>
      </c>
      <c r="E606" t="inlineStr">
        <is>
          <t>SALA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44951.60454861111</v>
      </c>
      <c r="C607" s="1" t="n">
        <v>46085</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57650-2024</t>
        </is>
      </c>
      <c r="B608" s="1" t="n">
        <v>45630</v>
      </c>
      <c r="C608" s="1" t="n">
        <v>46085</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52503-2024</t>
        </is>
      </c>
      <c r="B609" s="1" t="n">
        <v>45609.58806712963</v>
      </c>
      <c r="C609" s="1" t="n">
        <v>46085</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2521-2025</t>
        </is>
      </c>
      <c r="B610" s="1" t="n">
        <v>45674</v>
      </c>
      <c r="C610" s="1" t="n">
        <v>46085</v>
      </c>
      <c r="D610" t="inlineStr">
        <is>
          <t>VÄSTMANLANDS LÄN</t>
        </is>
      </c>
      <c r="E610" t="inlineStr">
        <is>
          <t>SALA</t>
        </is>
      </c>
      <c r="G610" t="n">
        <v>3.5</v>
      </c>
      <c r="H610" t="n">
        <v>0</v>
      </c>
      <c r="I610" t="n">
        <v>0</v>
      </c>
      <c r="J610" t="n">
        <v>0</v>
      </c>
      <c r="K610" t="n">
        <v>0</v>
      </c>
      <c r="L610" t="n">
        <v>0</v>
      </c>
      <c r="M610" t="n">
        <v>0</v>
      </c>
      <c r="N610" t="n">
        <v>0</v>
      </c>
      <c r="O610" t="n">
        <v>0</v>
      </c>
      <c r="P610" t="n">
        <v>0</v>
      </c>
      <c r="Q610" t="n">
        <v>0</v>
      </c>
      <c r="R610" s="2" t="inlineStr"/>
    </row>
    <row r="611" ht="15" customHeight="1">
      <c r="A611" t="inlineStr">
        <is>
          <t>A 10255-2024</t>
        </is>
      </c>
      <c r="B611" s="1" t="n">
        <v>45365</v>
      </c>
      <c r="C611" s="1" t="n">
        <v>46085</v>
      </c>
      <c r="D611" t="inlineStr">
        <is>
          <t>VÄSTMANLANDS LÄN</t>
        </is>
      </c>
      <c r="E611" t="inlineStr">
        <is>
          <t>SALA</t>
        </is>
      </c>
      <c r="F611" t="inlineStr">
        <is>
          <t>Kommuner</t>
        </is>
      </c>
      <c r="G611" t="n">
        <v>0.8</v>
      </c>
      <c r="H611" t="n">
        <v>0</v>
      </c>
      <c r="I611" t="n">
        <v>0</v>
      </c>
      <c r="J611" t="n">
        <v>0</v>
      </c>
      <c r="K611" t="n">
        <v>0</v>
      </c>
      <c r="L611" t="n">
        <v>0</v>
      </c>
      <c r="M611" t="n">
        <v>0</v>
      </c>
      <c r="N611" t="n">
        <v>0</v>
      </c>
      <c r="O611" t="n">
        <v>0</v>
      </c>
      <c r="P611" t="n">
        <v>0</v>
      </c>
      <c r="Q611" t="n">
        <v>0</v>
      </c>
      <c r="R611" s="2" t="inlineStr"/>
    </row>
    <row r="612" ht="15" customHeight="1">
      <c r="A612" t="inlineStr">
        <is>
          <t>A 31000-2022</t>
        </is>
      </c>
      <c r="B612" s="1" t="n">
        <v>44768</v>
      </c>
      <c r="C612" s="1" t="n">
        <v>46085</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28696-2023</t>
        </is>
      </c>
      <c r="B613" s="1" t="n">
        <v>45103.71759259259</v>
      </c>
      <c r="C613" s="1" t="n">
        <v>46085</v>
      </c>
      <c r="D613" t="inlineStr">
        <is>
          <t>VÄSTMANLANDS LÄN</t>
        </is>
      </c>
      <c r="E613" t="inlineStr">
        <is>
          <t>SALA</t>
        </is>
      </c>
      <c r="F613" t="inlineStr">
        <is>
          <t>Kommuner</t>
        </is>
      </c>
      <c r="G613" t="n">
        <v>5.9</v>
      </c>
      <c r="H613" t="n">
        <v>0</v>
      </c>
      <c r="I613" t="n">
        <v>0</v>
      </c>
      <c r="J613" t="n">
        <v>0</v>
      </c>
      <c r="K613" t="n">
        <v>0</v>
      </c>
      <c r="L613" t="n">
        <v>0</v>
      </c>
      <c r="M613" t="n">
        <v>0</v>
      </c>
      <c r="N613" t="n">
        <v>0</v>
      </c>
      <c r="O613" t="n">
        <v>0</v>
      </c>
      <c r="P613" t="n">
        <v>0</v>
      </c>
      <c r="Q613" t="n">
        <v>0</v>
      </c>
      <c r="R613" s="2" t="inlineStr"/>
    </row>
    <row r="614" ht="15" customHeight="1">
      <c r="A614" t="inlineStr">
        <is>
          <t>A 31072-2021</t>
        </is>
      </c>
      <c r="B614" s="1" t="n">
        <v>44368</v>
      </c>
      <c r="C614" s="1" t="n">
        <v>46085</v>
      </c>
      <c r="D614" t="inlineStr">
        <is>
          <t>VÄSTMANLANDS LÄN</t>
        </is>
      </c>
      <c r="E614" t="inlineStr">
        <is>
          <t>SALA</t>
        </is>
      </c>
      <c r="G614" t="n">
        <v>1.1</v>
      </c>
      <c r="H614" t="n">
        <v>0</v>
      </c>
      <c r="I614" t="n">
        <v>0</v>
      </c>
      <c r="J614" t="n">
        <v>0</v>
      </c>
      <c r="K614" t="n">
        <v>0</v>
      </c>
      <c r="L614" t="n">
        <v>0</v>
      </c>
      <c r="M614" t="n">
        <v>0</v>
      </c>
      <c r="N614" t="n">
        <v>0</v>
      </c>
      <c r="O614" t="n">
        <v>0</v>
      </c>
      <c r="P614" t="n">
        <v>0</v>
      </c>
      <c r="Q614" t="n">
        <v>0</v>
      </c>
      <c r="R614" s="2" t="inlineStr"/>
    </row>
    <row r="615" ht="15" customHeight="1">
      <c r="A615" t="inlineStr">
        <is>
          <t>A 31950-2023</t>
        </is>
      </c>
      <c r="B615" s="1" t="n">
        <v>45107</v>
      </c>
      <c r="C615" s="1" t="n">
        <v>46085</v>
      </c>
      <c r="D615" t="inlineStr">
        <is>
          <t>VÄSTMANLANDS LÄN</t>
        </is>
      </c>
      <c r="E615" t="inlineStr">
        <is>
          <t>SALA</t>
        </is>
      </c>
      <c r="G615" t="n">
        <v>0.1</v>
      </c>
      <c r="H615" t="n">
        <v>0</v>
      </c>
      <c r="I615" t="n">
        <v>0</v>
      </c>
      <c r="J615" t="n">
        <v>0</v>
      </c>
      <c r="K615" t="n">
        <v>0</v>
      </c>
      <c r="L615" t="n">
        <v>0</v>
      </c>
      <c r="M615" t="n">
        <v>0</v>
      </c>
      <c r="N615" t="n">
        <v>0</v>
      </c>
      <c r="O615" t="n">
        <v>0</v>
      </c>
      <c r="P615" t="n">
        <v>0</v>
      </c>
      <c r="Q615" t="n">
        <v>0</v>
      </c>
      <c r="R615" s="2" t="inlineStr"/>
    </row>
    <row r="616" ht="15" customHeight="1">
      <c r="A616" t="inlineStr">
        <is>
          <t>A 16543-2023</t>
        </is>
      </c>
      <c r="B616" s="1" t="n">
        <v>45029</v>
      </c>
      <c r="C616" s="1" t="n">
        <v>46085</v>
      </c>
      <c r="D616" t="inlineStr">
        <is>
          <t>VÄSTMANLANDS LÄN</t>
        </is>
      </c>
      <c r="E616" t="inlineStr">
        <is>
          <t>SALA</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22523-2023</t>
        </is>
      </c>
      <c r="B617" s="1" t="n">
        <v>45069</v>
      </c>
      <c r="C617" s="1" t="n">
        <v>46085</v>
      </c>
      <c r="D617" t="inlineStr">
        <is>
          <t>VÄSTMANLANDS LÄN</t>
        </is>
      </c>
      <c r="E617" t="inlineStr">
        <is>
          <t>SALA</t>
        </is>
      </c>
      <c r="G617" t="n">
        <v>2.4</v>
      </c>
      <c r="H617" t="n">
        <v>0</v>
      </c>
      <c r="I617" t="n">
        <v>0</v>
      </c>
      <c r="J617" t="n">
        <v>0</v>
      </c>
      <c r="K617" t="n">
        <v>0</v>
      </c>
      <c r="L617" t="n">
        <v>0</v>
      </c>
      <c r="M617" t="n">
        <v>0</v>
      </c>
      <c r="N617" t="n">
        <v>0</v>
      </c>
      <c r="O617" t="n">
        <v>0</v>
      </c>
      <c r="P617" t="n">
        <v>0</v>
      </c>
      <c r="Q617" t="n">
        <v>0</v>
      </c>
      <c r="R617" s="2" t="inlineStr"/>
    </row>
    <row r="618" ht="15" customHeight="1">
      <c r="A618" t="inlineStr">
        <is>
          <t>A 4663-2022</t>
        </is>
      </c>
      <c r="B618" s="1" t="n">
        <v>44592.45429398148</v>
      </c>
      <c r="C618" s="1" t="n">
        <v>46085</v>
      </c>
      <c r="D618" t="inlineStr">
        <is>
          <t>VÄSTMANLANDS LÄN</t>
        </is>
      </c>
      <c r="E618" t="inlineStr">
        <is>
          <t>SALA</t>
        </is>
      </c>
      <c r="G618" t="n">
        <v>2.5</v>
      </c>
      <c r="H618" t="n">
        <v>0</v>
      </c>
      <c r="I618" t="n">
        <v>0</v>
      </c>
      <c r="J618" t="n">
        <v>0</v>
      </c>
      <c r="K618" t="n">
        <v>0</v>
      </c>
      <c r="L618" t="n">
        <v>0</v>
      </c>
      <c r="M618" t="n">
        <v>0</v>
      </c>
      <c r="N618" t="n">
        <v>0</v>
      </c>
      <c r="O618" t="n">
        <v>0</v>
      </c>
      <c r="P618" t="n">
        <v>0</v>
      </c>
      <c r="Q618" t="n">
        <v>0</v>
      </c>
      <c r="R618" s="2" t="inlineStr"/>
    </row>
    <row r="619" ht="15" customHeight="1">
      <c r="A619" t="inlineStr">
        <is>
          <t>A 16693-2023</t>
        </is>
      </c>
      <c r="B619" s="1" t="n">
        <v>45028</v>
      </c>
      <c r="C619" s="1" t="n">
        <v>46085</v>
      </c>
      <c r="D619" t="inlineStr">
        <is>
          <t>VÄSTMANLANDS LÄN</t>
        </is>
      </c>
      <c r="E619" t="inlineStr">
        <is>
          <t>SALA</t>
        </is>
      </c>
      <c r="G619" t="n">
        <v>1.5</v>
      </c>
      <c r="H619" t="n">
        <v>0</v>
      </c>
      <c r="I619" t="n">
        <v>0</v>
      </c>
      <c r="J619" t="n">
        <v>0</v>
      </c>
      <c r="K619" t="n">
        <v>0</v>
      </c>
      <c r="L619" t="n">
        <v>0</v>
      </c>
      <c r="M619" t="n">
        <v>0</v>
      </c>
      <c r="N619" t="n">
        <v>0</v>
      </c>
      <c r="O619" t="n">
        <v>0</v>
      </c>
      <c r="P619" t="n">
        <v>0</v>
      </c>
      <c r="Q619" t="n">
        <v>0</v>
      </c>
      <c r="R619" s="2" t="inlineStr"/>
    </row>
    <row r="620" ht="15" customHeight="1">
      <c r="A620" t="inlineStr">
        <is>
          <t>A 23182-2022</t>
        </is>
      </c>
      <c r="B620" s="1" t="n">
        <v>44719.79707175926</v>
      </c>
      <c r="C620" s="1" t="n">
        <v>46085</v>
      </c>
      <c r="D620" t="inlineStr">
        <is>
          <t>VÄSTMANLANDS LÄN</t>
        </is>
      </c>
      <c r="E620" t="inlineStr">
        <is>
          <t>SALA</t>
        </is>
      </c>
      <c r="G620" t="n">
        <v>1.2</v>
      </c>
      <c r="H620" t="n">
        <v>0</v>
      </c>
      <c r="I620" t="n">
        <v>0</v>
      </c>
      <c r="J620" t="n">
        <v>0</v>
      </c>
      <c r="K620" t="n">
        <v>0</v>
      </c>
      <c r="L620" t="n">
        <v>0</v>
      </c>
      <c r="M620" t="n">
        <v>0</v>
      </c>
      <c r="N620" t="n">
        <v>0</v>
      </c>
      <c r="O620" t="n">
        <v>0</v>
      </c>
      <c r="P620" t="n">
        <v>0</v>
      </c>
      <c r="Q620" t="n">
        <v>0</v>
      </c>
      <c r="R620" s="2" t="inlineStr"/>
    </row>
    <row r="621" ht="15" customHeight="1">
      <c r="A621" t="inlineStr">
        <is>
          <t>A 6132-2025</t>
        </is>
      </c>
      <c r="B621" s="1" t="n">
        <v>45698</v>
      </c>
      <c r="C621" s="1" t="n">
        <v>46085</v>
      </c>
      <c r="D621" t="inlineStr">
        <is>
          <t>VÄSTMANLANDS LÄN</t>
        </is>
      </c>
      <c r="E621" t="inlineStr">
        <is>
          <t>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31859-2023</t>
        </is>
      </c>
      <c r="B622" s="1" t="n">
        <v>45118</v>
      </c>
      <c r="C622" s="1" t="n">
        <v>46085</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c r="U622">
        <f>HYPERLINK("https://klasma.github.io/Logging_1981/knärot/A 31859-2023 karta knärot.png", "A 31859-2023")</f>
        <v/>
      </c>
      <c r="V622">
        <f>HYPERLINK("https://klasma.github.io/Logging_1981/klagomål/A 31859-2023 FSC-klagomål.docx", "A 31859-2023")</f>
        <v/>
      </c>
      <c r="W622">
        <f>HYPERLINK("https://klasma.github.io/Logging_1981/klagomålsmail/A 31859-2023 FSC-klagomål mail.docx", "A 31859-2023")</f>
        <v/>
      </c>
      <c r="X622">
        <f>HYPERLINK("https://klasma.github.io/Logging_1981/tillsyn/A 31859-2023 tillsynsbegäran.docx", "A 31859-2023")</f>
        <v/>
      </c>
      <c r="Y622">
        <f>HYPERLINK("https://klasma.github.io/Logging_1981/tillsynsmail/A 31859-2023 tillsynsbegäran mail.docx", "A 31859-2023")</f>
        <v/>
      </c>
    </row>
    <row r="623" ht="15" customHeight="1">
      <c r="A623" t="inlineStr">
        <is>
          <t>A 57371-2022</t>
        </is>
      </c>
      <c r="B623" s="1" t="n">
        <v>44896.43832175926</v>
      </c>
      <c r="C623" s="1" t="n">
        <v>46085</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61681-2024</t>
        </is>
      </c>
      <c r="B624" s="1" t="n">
        <v>45647</v>
      </c>
      <c r="C624" s="1" t="n">
        <v>46085</v>
      </c>
      <c r="D624" t="inlineStr">
        <is>
          <t>VÄSTMANLANDS LÄN</t>
        </is>
      </c>
      <c r="E624" t="inlineStr">
        <is>
          <t>SALA</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54960-2024</t>
        </is>
      </c>
      <c r="B625" s="1" t="n">
        <v>45619.85208333333</v>
      </c>
      <c r="C625" s="1" t="n">
        <v>46085</v>
      </c>
      <c r="D625" t="inlineStr">
        <is>
          <t>VÄSTMANLANDS LÄN</t>
        </is>
      </c>
      <c r="E625" t="inlineStr">
        <is>
          <t>SALA</t>
        </is>
      </c>
      <c r="G625" t="n">
        <v>2.6</v>
      </c>
      <c r="H625" t="n">
        <v>0</v>
      </c>
      <c r="I625" t="n">
        <v>0</v>
      </c>
      <c r="J625" t="n">
        <v>0</v>
      </c>
      <c r="K625" t="n">
        <v>0</v>
      </c>
      <c r="L625" t="n">
        <v>0</v>
      </c>
      <c r="M625" t="n">
        <v>0</v>
      </c>
      <c r="N625" t="n">
        <v>0</v>
      </c>
      <c r="O625" t="n">
        <v>0</v>
      </c>
      <c r="P625" t="n">
        <v>0</v>
      </c>
      <c r="Q625" t="n">
        <v>0</v>
      </c>
      <c r="R625" s="2" t="inlineStr"/>
    </row>
    <row r="626" ht="15" customHeight="1">
      <c r="A626" t="inlineStr">
        <is>
          <t>A 31082-2021</t>
        </is>
      </c>
      <c r="B626" s="1" t="n">
        <v>44368</v>
      </c>
      <c r="C626" s="1" t="n">
        <v>46085</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20352-2022</t>
        </is>
      </c>
      <c r="B627" s="1" t="n">
        <v>44699.37318287037</v>
      </c>
      <c r="C627" s="1" t="n">
        <v>46085</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56548-2024</t>
        </is>
      </c>
      <c r="B628" s="1" t="n">
        <v>45625</v>
      </c>
      <c r="C628" s="1" t="n">
        <v>46085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47086-2022</t>
        </is>
      </c>
      <c r="B629" s="1" t="n">
        <v>44852</v>
      </c>
      <c r="C629" s="1" t="n">
        <v>46085</v>
      </c>
      <c r="D629" t="inlineStr">
        <is>
          <t>VÄSTMANLANDS LÄN</t>
        </is>
      </c>
      <c r="E629" t="inlineStr">
        <is>
          <t>SALA</t>
        </is>
      </c>
      <c r="G629" t="n">
        <v>12.5</v>
      </c>
      <c r="H629" t="n">
        <v>0</v>
      </c>
      <c r="I629" t="n">
        <v>0</v>
      </c>
      <c r="J629" t="n">
        <v>0</v>
      </c>
      <c r="K629" t="n">
        <v>0</v>
      </c>
      <c r="L629" t="n">
        <v>0</v>
      </c>
      <c r="M629" t="n">
        <v>0</v>
      </c>
      <c r="N629" t="n">
        <v>0</v>
      </c>
      <c r="O629" t="n">
        <v>0</v>
      </c>
      <c r="P629" t="n">
        <v>0</v>
      </c>
      <c r="Q629" t="n">
        <v>0</v>
      </c>
      <c r="R629" s="2" t="inlineStr"/>
    </row>
    <row r="630" ht="15" customHeight="1">
      <c r="A630" t="inlineStr">
        <is>
          <t>A 27657-2023</t>
        </is>
      </c>
      <c r="B630" s="1" t="n">
        <v>45097.76631944445</v>
      </c>
      <c r="C630" s="1" t="n">
        <v>46085</v>
      </c>
      <c r="D630" t="inlineStr">
        <is>
          <t>VÄSTMANLANDS LÄN</t>
        </is>
      </c>
      <c r="E630" t="inlineStr">
        <is>
          <t>SALA</t>
        </is>
      </c>
      <c r="G630" t="n">
        <v>0.1</v>
      </c>
      <c r="H630" t="n">
        <v>0</v>
      </c>
      <c r="I630" t="n">
        <v>0</v>
      </c>
      <c r="J630" t="n">
        <v>0</v>
      </c>
      <c r="K630" t="n">
        <v>0</v>
      </c>
      <c r="L630" t="n">
        <v>0</v>
      </c>
      <c r="M630" t="n">
        <v>0</v>
      </c>
      <c r="N630" t="n">
        <v>0</v>
      </c>
      <c r="O630" t="n">
        <v>0</v>
      </c>
      <c r="P630" t="n">
        <v>0</v>
      </c>
      <c r="Q630" t="n">
        <v>0</v>
      </c>
      <c r="R630" s="2" t="inlineStr"/>
    </row>
    <row r="631" ht="15" customHeight="1">
      <c r="A631" t="inlineStr">
        <is>
          <t>A 2766-2024</t>
        </is>
      </c>
      <c r="B631" s="1" t="n">
        <v>45314.60950231482</v>
      </c>
      <c r="C631" s="1" t="n">
        <v>46085</v>
      </c>
      <c r="D631" t="inlineStr">
        <is>
          <t>VÄSTMANLANDS LÄN</t>
        </is>
      </c>
      <c r="E631" t="inlineStr">
        <is>
          <t>SALA</t>
        </is>
      </c>
      <c r="G631" t="n">
        <v>2.8</v>
      </c>
      <c r="H631" t="n">
        <v>0</v>
      </c>
      <c r="I631" t="n">
        <v>0</v>
      </c>
      <c r="J631" t="n">
        <v>0</v>
      </c>
      <c r="K631" t="n">
        <v>0</v>
      </c>
      <c r="L631" t="n">
        <v>0</v>
      </c>
      <c r="M631" t="n">
        <v>0</v>
      </c>
      <c r="N631" t="n">
        <v>0</v>
      </c>
      <c r="O631" t="n">
        <v>0</v>
      </c>
      <c r="P631" t="n">
        <v>0</v>
      </c>
      <c r="Q631" t="n">
        <v>0</v>
      </c>
      <c r="R631" s="2" t="inlineStr"/>
    </row>
    <row r="632" ht="15" customHeight="1">
      <c r="A632" t="inlineStr">
        <is>
          <t>A 60550-2024</t>
        </is>
      </c>
      <c r="B632" s="1" t="n">
        <v>45643</v>
      </c>
      <c r="C632" s="1" t="n">
        <v>46085</v>
      </c>
      <c r="D632" t="inlineStr">
        <is>
          <t>VÄSTMANLANDS LÄN</t>
        </is>
      </c>
      <c r="E632" t="inlineStr">
        <is>
          <t>SALA</t>
        </is>
      </c>
      <c r="G632" t="n">
        <v>0.6</v>
      </c>
      <c r="H632" t="n">
        <v>0</v>
      </c>
      <c r="I632" t="n">
        <v>0</v>
      </c>
      <c r="J632" t="n">
        <v>0</v>
      </c>
      <c r="K632" t="n">
        <v>0</v>
      </c>
      <c r="L632" t="n">
        <v>0</v>
      </c>
      <c r="M632" t="n">
        <v>0</v>
      </c>
      <c r="N632" t="n">
        <v>0</v>
      </c>
      <c r="O632" t="n">
        <v>0</v>
      </c>
      <c r="P632" t="n">
        <v>0</v>
      </c>
      <c r="Q632" t="n">
        <v>0</v>
      </c>
      <c r="R632" s="2" t="inlineStr"/>
    </row>
    <row r="633" ht="15" customHeight="1">
      <c r="A633" t="inlineStr">
        <is>
          <t>A 14690-2025</t>
        </is>
      </c>
      <c r="B633" s="1" t="n">
        <v>45742.58212962963</v>
      </c>
      <c r="C633" s="1" t="n">
        <v>46085</v>
      </c>
      <c r="D633" t="inlineStr">
        <is>
          <t>VÄSTMANLANDS LÄN</t>
        </is>
      </c>
      <c r="E633" t="inlineStr">
        <is>
          <t>SALA</t>
        </is>
      </c>
      <c r="G633" t="n">
        <v>3.4</v>
      </c>
      <c r="H633" t="n">
        <v>0</v>
      </c>
      <c r="I633" t="n">
        <v>0</v>
      </c>
      <c r="J633" t="n">
        <v>0</v>
      </c>
      <c r="K633" t="n">
        <v>0</v>
      </c>
      <c r="L633" t="n">
        <v>0</v>
      </c>
      <c r="M633" t="n">
        <v>0</v>
      </c>
      <c r="N633" t="n">
        <v>0</v>
      </c>
      <c r="O633" t="n">
        <v>0</v>
      </c>
      <c r="P633" t="n">
        <v>0</v>
      </c>
      <c r="Q633" t="n">
        <v>0</v>
      </c>
      <c r="R633" s="2" t="inlineStr"/>
    </row>
    <row r="634" ht="15" customHeight="1">
      <c r="A634" t="inlineStr">
        <is>
          <t>A 24175-2024</t>
        </is>
      </c>
      <c r="B634" s="1" t="n">
        <v>45456</v>
      </c>
      <c r="C634" s="1" t="n">
        <v>46085</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988-2025</t>
        </is>
      </c>
      <c r="B635" s="1" t="n">
        <v>45666.44038194444</v>
      </c>
      <c r="C635" s="1" t="n">
        <v>46085</v>
      </c>
      <c r="D635" t="inlineStr">
        <is>
          <t>VÄSTMANLANDS LÄN</t>
        </is>
      </c>
      <c r="E635" t="inlineStr">
        <is>
          <t>SALA</t>
        </is>
      </c>
      <c r="G635" t="n">
        <v>1.3</v>
      </c>
      <c r="H635" t="n">
        <v>0</v>
      </c>
      <c r="I635" t="n">
        <v>0</v>
      </c>
      <c r="J635" t="n">
        <v>0</v>
      </c>
      <c r="K635" t="n">
        <v>0</v>
      </c>
      <c r="L635" t="n">
        <v>0</v>
      </c>
      <c r="M635" t="n">
        <v>0</v>
      </c>
      <c r="N635" t="n">
        <v>0</v>
      </c>
      <c r="O635" t="n">
        <v>0</v>
      </c>
      <c r="P635" t="n">
        <v>0</v>
      </c>
      <c r="Q635" t="n">
        <v>0</v>
      </c>
      <c r="R635" s="2" t="inlineStr"/>
    </row>
    <row r="636" ht="15" customHeight="1">
      <c r="A636" t="inlineStr">
        <is>
          <t>A 62449-2023</t>
        </is>
      </c>
      <c r="B636" s="1" t="n">
        <v>45268.49008101852</v>
      </c>
      <c r="C636" s="1" t="n">
        <v>46085</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54910-2023</t>
        </is>
      </c>
      <c r="B637" s="1" t="n">
        <v>45229</v>
      </c>
      <c r="C637" s="1" t="n">
        <v>46085</v>
      </c>
      <c r="D637" t="inlineStr">
        <is>
          <t>VÄSTMANLANDS LÄN</t>
        </is>
      </c>
      <c r="E637" t="inlineStr">
        <is>
          <t>SALA</t>
        </is>
      </c>
      <c r="G637" t="n">
        <v>2.4</v>
      </c>
      <c r="H637" t="n">
        <v>0</v>
      </c>
      <c r="I637" t="n">
        <v>0</v>
      </c>
      <c r="J637" t="n">
        <v>0</v>
      </c>
      <c r="K637" t="n">
        <v>0</v>
      </c>
      <c r="L637" t="n">
        <v>0</v>
      </c>
      <c r="M637" t="n">
        <v>0</v>
      </c>
      <c r="N637" t="n">
        <v>0</v>
      </c>
      <c r="O637" t="n">
        <v>0</v>
      </c>
      <c r="P637" t="n">
        <v>0</v>
      </c>
      <c r="Q637" t="n">
        <v>0</v>
      </c>
      <c r="R637" s="2" t="inlineStr"/>
    </row>
    <row r="638" ht="15" customHeight="1">
      <c r="A638" t="inlineStr">
        <is>
          <t>A 5032-2025</t>
        </is>
      </c>
      <c r="B638" s="1" t="n">
        <v>45691</v>
      </c>
      <c r="C638" s="1" t="n">
        <v>46085</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19222-2025</t>
        </is>
      </c>
      <c r="B639" s="1" t="n">
        <v>45769</v>
      </c>
      <c r="C639" s="1" t="n">
        <v>46085</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19241-2025</t>
        </is>
      </c>
      <c r="B640" s="1" t="n">
        <v>45769</v>
      </c>
      <c r="C640" s="1" t="n">
        <v>46085</v>
      </c>
      <c r="D640" t="inlineStr">
        <is>
          <t>VÄSTMANLANDS LÄN</t>
        </is>
      </c>
      <c r="E640" t="inlineStr">
        <is>
          <t>SALA</t>
        </is>
      </c>
      <c r="G640" t="n">
        <v>3.6</v>
      </c>
      <c r="H640" t="n">
        <v>0</v>
      </c>
      <c r="I640" t="n">
        <v>0</v>
      </c>
      <c r="J640" t="n">
        <v>0</v>
      </c>
      <c r="K640" t="n">
        <v>0</v>
      </c>
      <c r="L640" t="n">
        <v>0</v>
      </c>
      <c r="M640" t="n">
        <v>0</v>
      </c>
      <c r="N640" t="n">
        <v>0</v>
      </c>
      <c r="O640" t="n">
        <v>0</v>
      </c>
      <c r="P640" t="n">
        <v>0</v>
      </c>
      <c r="Q640" t="n">
        <v>0</v>
      </c>
      <c r="R640" s="2" t="inlineStr"/>
    </row>
    <row r="641" ht="15" customHeight="1">
      <c r="A641" t="inlineStr">
        <is>
          <t>A 66908-2021</t>
        </is>
      </c>
      <c r="B641" s="1" t="n">
        <v>44522</v>
      </c>
      <c r="C641" s="1" t="n">
        <v>46085</v>
      </c>
      <c r="D641" t="inlineStr">
        <is>
          <t>VÄSTMANLANDS LÄN</t>
        </is>
      </c>
      <c r="E641" t="inlineStr">
        <is>
          <t>SALA</t>
        </is>
      </c>
      <c r="G641" t="n">
        <v>2.6</v>
      </c>
      <c r="H641" t="n">
        <v>0</v>
      </c>
      <c r="I641" t="n">
        <v>0</v>
      </c>
      <c r="J641" t="n">
        <v>0</v>
      </c>
      <c r="K641" t="n">
        <v>0</v>
      </c>
      <c r="L641" t="n">
        <v>0</v>
      </c>
      <c r="M641" t="n">
        <v>0</v>
      </c>
      <c r="N641" t="n">
        <v>0</v>
      </c>
      <c r="O641" t="n">
        <v>0</v>
      </c>
      <c r="P641" t="n">
        <v>0</v>
      </c>
      <c r="Q641" t="n">
        <v>0</v>
      </c>
      <c r="R641" s="2" t="inlineStr"/>
    </row>
    <row r="642" ht="15" customHeight="1">
      <c r="A642" t="inlineStr">
        <is>
          <t>A 11696-2025</t>
        </is>
      </c>
      <c r="B642" s="1" t="n">
        <v>45727</v>
      </c>
      <c r="C642" s="1" t="n">
        <v>46085</v>
      </c>
      <c r="D642" t="inlineStr">
        <is>
          <t>VÄSTMANLANDS LÄN</t>
        </is>
      </c>
      <c r="E642" t="inlineStr">
        <is>
          <t>SALA</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26416-2023</t>
        </is>
      </c>
      <c r="B643" s="1" t="n">
        <v>45092.38087962963</v>
      </c>
      <c r="C643" s="1" t="n">
        <v>46085</v>
      </c>
      <c r="D643" t="inlineStr">
        <is>
          <t>VÄSTMANLANDS LÄN</t>
        </is>
      </c>
      <c r="E643" t="inlineStr">
        <is>
          <t>SALA</t>
        </is>
      </c>
      <c r="G643" t="n">
        <v>2.9</v>
      </c>
      <c r="H643" t="n">
        <v>0</v>
      </c>
      <c r="I643" t="n">
        <v>0</v>
      </c>
      <c r="J643" t="n">
        <v>0</v>
      </c>
      <c r="K643" t="n">
        <v>0</v>
      </c>
      <c r="L643" t="n">
        <v>0</v>
      </c>
      <c r="M643" t="n">
        <v>0</v>
      </c>
      <c r="N643" t="n">
        <v>0</v>
      </c>
      <c r="O643" t="n">
        <v>0</v>
      </c>
      <c r="P643" t="n">
        <v>0</v>
      </c>
      <c r="Q643" t="n">
        <v>0</v>
      </c>
      <c r="R643" s="2" t="inlineStr"/>
    </row>
    <row r="644" ht="15" customHeight="1">
      <c r="A644" t="inlineStr">
        <is>
          <t>A 26692-2023</t>
        </is>
      </c>
      <c r="B644" s="1" t="n">
        <v>45093.360625</v>
      </c>
      <c r="C644" s="1" t="n">
        <v>46085</v>
      </c>
      <c r="D644" t="inlineStr">
        <is>
          <t>VÄSTMANLANDS LÄN</t>
        </is>
      </c>
      <c r="E644" t="inlineStr">
        <is>
          <t>SALA</t>
        </is>
      </c>
      <c r="G644" t="n">
        <v>1.8</v>
      </c>
      <c r="H644" t="n">
        <v>0</v>
      </c>
      <c r="I644" t="n">
        <v>0</v>
      </c>
      <c r="J644" t="n">
        <v>0</v>
      </c>
      <c r="K644" t="n">
        <v>0</v>
      </c>
      <c r="L644" t="n">
        <v>0</v>
      </c>
      <c r="M644" t="n">
        <v>0</v>
      </c>
      <c r="N644" t="n">
        <v>0</v>
      </c>
      <c r="O644" t="n">
        <v>0</v>
      </c>
      <c r="P644" t="n">
        <v>0</v>
      </c>
      <c r="Q644" t="n">
        <v>0</v>
      </c>
      <c r="R644" s="2" t="inlineStr"/>
    </row>
    <row r="645" ht="15" customHeight="1">
      <c r="A645" t="inlineStr">
        <is>
          <t>A 43509-2021</t>
        </is>
      </c>
      <c r="B645" s="1" t="n">
        <v>44433</v>
      </c>
      <c r="C645" s="1" t="n">
        <v>46085</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15681-2025</t>
        </is>
      </c>
      <c r="B646" s="1" t="n">
        <v>45748.45454861111</v>
      </c>
      <c r="C646" s="1" t="n">
        <v>46085</v>
      </c>
      <c r="D646" t="inlineStr">
        <is>
          <t>VÄSTMANLANDS LÄN</t>
        </is>
      </c>
      <c r="E646" t="inlineStr">
        <is>
          <t>SALA</t>
        </is>
      </c>
      <c r="F646" t="inlineStr">
        <is>
          <t>Bergvik skog öst AB</t>
        </is>
      </c>
      <c r="G646" t="n">
        <v>4.3</v>
      </c>
      <c r="H646" t="n">
        <v>0</v>
      </c>
      <c r="I646" t="n">
        <v>0</v>
      </c>
      <c r="J646" t="n">
        <v>0</v>
      </c>
      <c r="K646" t="n">
        <v>0</v>
      </c>
      <c r="L646" t="n">
        <v>0</v>
      </c>
      <c r="M646" t="n">
        <v>0</v>
      </c>
      <c r="N646" t="n">
        <v>0</v>
      </c>
      <c r="O646" t="n">
        <v>0</v>
      </c>
      <c r="P646" t="n">
        <v>0</v>
      </c>
      <c r="Q646" t="n">
        <v>0</v>
      </c>
      <c r="R646" s="2" t="inlineStr"/>
    </row>
    <row r="647" ht="15" customHeight="1">
      <c r="A647" t="inlineStr">
        <is>
          <t>A 13746-2025</t>
        </is>
      </c>
      <c r="B647" s="1" t="n">
        <v>45737.40944444444</v>
      </c>
      <c r="C647" s="1" t="n">
        <v>46085</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25897-2024</t>
        </is>
      </c>
      <c r="B648" s="1" t="n">
        <v>45467.54435185185</v>
      </c>
      <c r="C648" s="1" t="n">
        <v>46085</v>
      </c>
      <c r="D648" t="inlineStr">
        <is>
          <t>VÄSTMANLANDS LÄN</t>
        </is>
      </c>
      <c r="E648" t="inlineStr">
        <is>
          <t>SALA</t>
        </is>
      </c>
      <c r="G648" t="n">
        <v>9.9</v>
      </c>
      <c r="H648" t="n">
        <v>0</v>
      </c>
      <c r="I648" t="n">
        <v>0</v>
      </c>
      <c r="J648" t="n">
        <v>0</v>
      </c>
      <c r="K648" t="n">
        <v>0</v>
      </c>
      <c r="L648" t="n">
        <v>0</v>
      </c>
      <c r="M648" t="n">
        <v>0</v>
      </c>
      <c r="N648" t="n">
        <v>0</v>
      </c>
      <c r="O648" t="n">
        <v>0</v>
      </c>
      <c r="P648" t="n">
        <v>0</v>
      </c>
      <c r="Q648" t="n">
        <v>0</v>
      </c>
      <c r="R648" s="2" t="inlineStr"/>
    </row>
    <row r="649" ht="15" customHeight="1">
      <c r="A649" t="inlineStr">
        <is>
          <t>A 23222-2023</t>
        </is>
      </c>
      <c r="B649" s="1" t="n">
        <v>45075</v>
      </c>
      <c r="C649" s="1" t="n">
        <v>46085</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23224-2023</t>
        </is>
      </c>
      <c r="B650" s="1" t="n">
        <v>45075.65040509259</v>
      </c>
      <c r="C650" s="1" t="n">
        <v>46085</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50479-2022</t>
        </is>
      </c>
      <c r="B651" s="1" t="n">
        <v>44861</v>
      </c>
      <c r="C651" s="1" t="n">
        <v>46085</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14919-2025</t>
        </is>
      </c>
      <c r="B652" s="1" t="n">
        <v>45743.54256944444</v>
      </c>
      <c r="C652" s="1" t="n">
        <v>46085</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14920-2025</t>
        </is>
      </c>
      <c r="B653" s="1" t="n">
        <v>45743</v>
      </c>
      <c r="C653" s="1" t="n">
        <v>46085</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2925-2024</t>
        </is>
      </c>
      <c r="B654" s="1" t="n">
        <v>45315.58909722222</v>
      </c>
      <c r="C654" s="1" t="n">
        <v>46085</v>
      </c>
      <c r="D654" t="inlineStr">
        <is>
          <t>VÄSTMANLANDS LÄN</t>
        </is>
      </c>
      <c r="E654" t="inlineStr">
        <is>
          <t>SALA</t>
        </is>
      </c>
      <c r="G654" t="n">
        <v>1.3</v>
      </c>
      <c r="H654" t="n">
        <v>0</v>
      </c>
      <c r="I654" t="n">
        <v>0</v>
      </c>
      <c r="J654" t="n">
        <v>0</v>
      </c>
      <c r="K654" t="n">
        <v>0</v>
      </c>
      <c r="L654" t="n">
        <v>0</v>
      </c>
      <c r="M654" t="n">
        <v>0</v>
      </c>
      <c r="N654" t="n">
        <v>0</v>
      </c>
      <c r="O654" t="n">
        <v>0</v>
      </c>
      <c r="P654" t="n">
        <v>0</v>
      </c>
      <c r="Q654" t="n">
        <v>0</v>
      </c>
      <c r="R654" s="2" t="inlineStr"/>
    </row>
    <row r="655" ht="15" customHeight="1">
      <c r="A655" t="inlineStr">
        <is>
          <t>A 44746-2024</t>
        </is>
      </c>
      <c r="B655" s="1" t="n">
        <v>45574.59813657407</v>
      </c>
      <c r="C655" s="1" t="n">
        <v>46085</v>
      </c>
      <c r="D655" t="inlineStr">
        <is>
          <t>VÄSTMANLANDS LÄN</t>
        </is>
      </c>
      <c r="E655" t="inlineStr">
        <is>
          <t>SALA</t>
        </is>
      </c>
      <c r="G655" t="n">
        <v>6.7</v>
      </c>
      <c r="H655" t="n">
        <v>0</v>
      </c>
      <c r="I655" t="n">
        <v>0</v>
      </c>
      <c r="J655" t="n">
        <v>0</v>
      </c>
      <c r="K655" t="n">
        <v>0</v>
      </c>
      <c r="L655" t="n">
        <v>0</v>
      </c>
      <c r="M655" t="n">
        <v>0</v>
      </c>
      <c r="N655" t="n">
        <v>0</v>
      </c>
      <c r="O655" t="n">
        <v>0</v>
      </c>
      <c r="P655" t="n">
        <v>0</v>
      </c>
      <c r="Q655" t="n">
        <v>0</v>
      </c>
      <c r="R655" s="2" t="inlineStr"/>
    </row>
    <row r="656" ht="15" customHeight="1">
      <c r="A656" t="inlineStr">
        <is>
          <t>A 44713-2023</t>
        </is>
      </c>
      <c r="B656" s="1" t="n">
        <v>45184</v>
      </c>
      <c r="C656" s="1" t="n">
        <v>46085</v>
      </c>
      <c r="D656" t="inlineStr">
        <is>
          <t>VÄSTMANLANDS LÄN</t>
        </is>
      </c>
      <c r="E656" t="inlineStr">
        <is>
          <t>SALA</t>
        </is>
      </c>
      <c r="F656" t="inlineStr">
        <is>
          <t>Kyrkan</t>
        </is>
      </c>
      <c r="G656" t="n">
        <v>7.6</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46085</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23431-2024</t>
        </is>
      </c>
      <c r="B658" s="1" t="n">
        <v>45453</v>
      </c>
      <c r="C658" s="1" t="n">
        <v>46085</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18877-2023</t>
        </is>
      </c>
      <c r="B659" s="1" t="n">
        <v>45044</v>
      </c>
      <c r="C659" s="1" t="n">
        <v>46085</v>
      </c>
      <c r="D659" t="inlineStr">
        <is>
          <t>VÄSTMANLANDS LÄN</t>
        </is>
      </c>
      <c r="E659" t="inlineStr">
        <is>
          <t>SALA</t>
        </is>
      </c>
      <c r="F659" t="inlineStr">
        <is>
          <t>Kommuner</t>
        </is>
      </c>
      <c r="G659" t="n">
        <v>4.4</v>
      </c>
      <c r="H659" t="n">
        <v>0</v>
      </c>
      <c r="I659" t="n">
        <v>0</v>
      </c>
      <c r="J659" t="n">
        <v>0</v>
      </c>
      <c r="K659" t="n">
        <v>0</v>
      </c>
      <c r="L659" t="n">
        <v>0</v>
      </c>
      <c r="M659" t="n">
        <v>0</v>
      </c>
      <c r="N659" t="n">
        <v>0</v>
      </c>
      <c r="O659" t="n">
        <v>0</v>
      </c>
      <c r="P659" t="n">
        <v>0</v>
      </c>
      <c r="Q659" t="n">
        <v>0</v>
      </c>
      <c r="R659" s="2" t="inlineStr"/>
    </row>
    <row r="660" ht="15" customHeight="1">
      <c r="A660" t="inlineStr">
        <is>
          <t>A 55556-2023</t>
        </is>
      </c>
      <c r="B660" s="1" t="n">
        <v>45232</v>
      </c>
      <c r="C660" s="1" t="n">
        <v>46085</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34494-2023</t>
        </is>
      </c>
      <c r="B661" s="1" t="n">
        <v>45133</v>
      </c>
      <c r="C661" s="1" t="n">
        <v>46085</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21168-2025</t>
        </is>
      </c>
      <c r="B662" s="1" t="n">
        <v>45777</v>
      </c>
      <c r="C662" s="1" t="n">
        <v>46085</v>
      </c>
      <c r="D662" t="inlineStr">
        <is>
          <t>VÄSTMANLANDS LÄN</t>
        </is>
      </c>
      <c r="E662" t="inlineStr">
        <is>
          <t>SALA</t>
        </is>
      </c>
      <c r="G662" t="n">
        <v>4.5</v>
      </c>
      <c r="H662" t="n">
        <v>0</v>
      </c>
      <c r="I662" t="n">
        <v>0</v>
      </c>
      <c r="J662" t="n">
        <v>0</v>
      </c>
      <c r="K662" t="n">
        <v>0</v>
      </c>
      <c r="L662" t="n">
        <v>0</v>
      </c>
      <c r="M662" t="n">
        <v>0</v>
      </c>
      <c r="N662" t="n">
        <v>0</v>
      </c>
      <c r="O662" t="n">
        <v>0</v>
      </c>
      <c r="P662" t="n">
        <v>0</v>
      </c>
      <c r="Q662" t="n">
        <v>0</v>
      </c>
      <c r="R662" s="2" t="inlineStr"/>
    </row>
    <row r="663" ht="15" customHeight="1">
      <c r="A663" t="inlineStr">
        <is>
          <t>A 13752-2025</t>
        </is>
      </c>
      <c r="B663" s="1" t="n">
        <v>45737.41416666667</v>
      </c>
      <c r="C663" s="1" t="n">
        <v>46085</v>
      </c>
      <c r="D663" t="inlineStr">
        <is>
          <t>VÄSTMANLANDS LÄN</t>
        </is>
      </c>
      <c r="E663" t="inlineStr">
        <is>
          <t>SALA</t>
        </is>
      </c>
      <c r="G663" t="n">
        <v>0.4</v>
      </c>
      <c r="H663" t="n">
        <v>0</v>
      </c>
      <c r="I663" t="n">
        <v>0</v>
      </c>
      <c r="J663" t="n">
        <v>0</v>
      </c>
      <c r="K663" t="n">
        <v>0</v>
      </c>
      <c r="L663" t="n">
        <v>0</v>
      </c>
      <c r="M663" t="n">
        <v>0</v>
      </c>
      <c r="N663" t="n">
        <v>0</v>
      </c>
      <c r="O663" t="n">
        <v>0</v>
      </c>
      <c r="P663" t="n">
        <v>0</v>
      </c>
      <c r="Q663" t="n">
        <v>0</v>
      </c>
      <c r="R663" s="2" t="inlineStr"/>
    </row>
    <row r="664" ht="15" customHeight="1">
      <c r="A664" t="inlineStr">
        <is>
          <t>A 21751-2025</t>
        </is>
      </c>
      <c r="B664" s="1" t="n">
        <v>45783.61372685185</v>
      </c>
      <c r="C664" s="1" t="n">
        <v>46085</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19398-2025</t>
        </is>
      </c>
      <c r="B665" s="1" t="n">
        <v>45769</v>
      </c>
      <c r="C665" s="1" t="n">
        <v>46085</v>
      </c>
      <c r="D665" t="inlineStr">
        <is>
          <t>VÄSTMANLANDS LÄN</t>
        </is>
      </c>
      <c r="E665" t="inlineStr">
        <is>
          <t>SALA</t>
        </is>
      </c>
      <c r="G665" t="n">
        <v>0.4</v>
      </c>
      <c r="H665" t="n">
        <v>0</v>
      </c>
      <c r="I665" t="n">
        <v>0</v>
      </c>
      <c r="J665" t="n">
        <v>0</v>
      </c>
      <c r="K665" t="n">
        <v>0</v>
      </c>
      <c r="L665" t="n">
        <v>0</v>
      </c>
      <c r="M665" t="n">
        <v>0</v>
      </c>
      <c r="N665" t="n">
        <v>0</v>
      </c>
      <c r="O665" t="n">
        <v>0</v>
      </c>
      <c r="P665" t="n">
        <v>0</v>
      </c>
      <c r="Q665" t="n">
        <v>0</v>
      </c>
      <c r="R665" s="2" t="inlineStr"/>
    </row>
    <row r="666" ht="15" customHeight="1">
      <c r="A666" t="inlineStr">
        <is>
          <t>A 21754-2025</t>
        </is>
      </c>
      <c r="B666" s="1" t="n">
        <v>45783.61837962963</v>
      </c>
      <c r="C666" s="1" t="n">
        <v>46085</v>
      </c>
      <c r="D666" t="inlineStr">
        <is>
          <t>VÄSTMANLANDS LÄN</t>
        </is>
      </c>
      <c r="E666" t="inlineStr">
        <is>
          <t>SALA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22921-2023</t>
        </is>
      </c>
      <c r="B667" s="1" t="n">
        <v>45070</v>
      </c>
      <c r="C667" s="1" t="n">
        <v>46085</v>
      </c>
      <c r="D667" t="inlineStr">
        <is>
          <t>VÄSTMANLANDS LÄN</t>
        </is>
      </c>
      <c r="E667" t="inlineStr">
        <is>
          <t>SALA</t>
        </is>
      </c>
      <c r="G667" t="n">
        <v>1.3</v>
      </c>
      <c r="H667" t="n">
        <v>0</v>
      </c>
      <c r="I667" t="n">
        <v>0</v>
      </c>
      <c r="J667" t="n">
        <v>0</v>
      </c>
      <c r="K667" t="n">
        <v>0</v>
      </c>
      <c r="L667" t="n">
        <v>0</v>
      </c>
      <c r="M667" t="n">
        <v>0</v>
      </c>
      <c r="N667" t="n">
        <v>0</v>
      </c>
      <c r="O667" t="n">
        <v>0</v>
      </c>
      <c r="P667" t="n">
        <v>0</v>
      </c>
      <c r="Q667" t="n">
        <v>0</v>
      </c>
      <c r="R667" s="2" t="inlineStr"/>
    </row>
    <row r="668" ht="15" customHeight="1">
      <c r="A668" t="inlineStr">
        <is>
          <t>A 37587-2024</t>
        </is>
      </c>
      <c r="B668" s="1" t="n">
        <v>45541</v>
      </c>
      <c r="C668" s="1" t="n">
        <v>46085</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16133-2025</t>
        </is>
      </c>
      <c r="B669" s="1" t="n">
        <v>45750</v>
      </c>
      <c r="C669" s="1" t="n">
        <v>46085</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22353-2025</t>
        </is>
      </c>
      <c r="B670" s="1" t="n">
        <v>45786</v>
      </c>
      <c r="C670" s="1" t="n">
        <v>46085</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64724-2023</t>
        </is>
      </c>
      <c r="B671" s="1" t="n">
        <v>45281.7602662037</v>
      </c>
      <c r="C671" s="1" t="n">
        <v>46085</v>
      </c>
      <c r="D671" t="inlineStr">
        <is>
          <t>VÄSTMANLANDS LÄN</t>
        </is>
      </c>
      <c r="E671" t="inlineStr">
        <is>
          <t>SALA</t>
        </is>
      </c>
      <c r="G671" t="n">
        <v>2.3</v>
      </c>
      <c r="H671" t="n">
        <v>0</v>
      </c>
      <c r="I671" t="n">
        <v>0</v>
      </c>
      <c r="J671" t="n">
        <v>0</v>
      </c>
      <c r="K671" t="n">
        <v>0</v>
      </c>
      <c r="L671" t="n">
        <v>0</v>
      </c>
      <c r="M671" t="n">
        <v>0</v>
      </c>
      <c r="N671" t="n">
        <v>0</v>
      </c>
      <c r="O671" t="n">
        <v>0</v>
      </c>
      <c r="P671" t="n">
        <v>0</v>
      </c>
      <c r="Q671" t="n">
        <v>0</v>
      </c>
      <c r="R671" s="2" t="inlineStr"/>
    </row>
    <row r="672" ht="15" customHeight="1">
      <c r="A672" t="inlineStr">
        <is>
          <t>A 6127-2025</t>
        </is>
      </c>
      <c r="B672" s="1" t="n">
        <v>45698</v>
      </c>
      <c r="C672" s="1" t="n">
        <v>46085</v>
      </c>
      <c r="D672" t="inlineStr">
        <is>
          <t>VÄSTMANLANDS LÄN</t>
        </is>
      </c>
      <c r="E672" t="inlineStr">
        <is>
          <t>SALA</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15272-2025</t>
        </is>
      </c>
      <c r="B673" s="1" t="n">
        <v>45744</v>
      </c>
      <c r="C673" s="1" t="n">
        <v>46085</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22370-2025</t>
        </is>
      </c>
      <c r="B674" s="1" t="n">
        <v>45786</v>
      </c>
      <c r="C674" s="1" t="n">
        <v>46085</v>
      </c>
      <c r="D674" t="inlineStr">
        <is>
          <t>VÄSTMANLANDS LÄN</t>
        </is>
      </c>
      <c r="E674" t="inlineStr">
        <is>
          <t>SALA</t>
        </is>
      </c>
      <c r="G674" t="n">
        <v>3.2</v>
      </c>
      <c r="H674" t="n">
        <v>0</v>
      </c>
      <c r="I674" t="n">
        <v>0</v>
      </c>
      <c r="J674" t="n">
        <v>0</v>
      </c>
      <c r="K674" t="n">
        <v>0</v>
      </c>
      <c r="L674" t="n">
        <v>0</v>
      </c>
      <c r="M674" t="n">
        <v>0</v>
      </c>
      <c r="N674" t="n">
        <v>0</v>
      </c>
      <c r="O674" t="n">
        <v>0</v>
      </c>
      <c r="P674" t="n">
        <v>0</v>
      </c>
      <c r="Q674" t="n">
        <v>0</v>
      </c>
      <c r="R674" s="2" t="inlineStr"/>
    </row>
    <row r="675" ht="15" customHeight="1">
      <c r="A675" t="inlineStr">
        <is>
          <t>A 22383-2025</t>
        </is>
      </c>
      <c r="B675" s="1" t="n">
        <v>45786</v>
      </c>
      <c r="C675" s="1" t="n">
        <v>46085</v>
      </c>
      <c r="D675" t="inlineStr">
        <is>
          <t>VÄSTMANLANDS LÄN</t>
        </is>
      </c>
      <c r="E675" t="inlineStr">
        <is>
          <t>SALA</t>
        </is>
      </c>
      <c r="G675" t="n">
        <v>2.2</v>
      </c>
      <c r="H675" t="n">
        <v>0</v>
      </c>
      <c r="I675" t="n">
        <v>0</v>
      </c>
      <c r="J675" t="n">
        <v>0</v>
      </c>
      <c r="K675" t="n">
        <v>0</v>
      </c>
      <c r="L675" t="n">
        <v>0</v>
      </c>
      <c r="M675" t="n">
        <v>0</v>
      </c>
      <c r="N675" t="n">
        <v>0</v>
      </c>
      <c r="O675" t="n">
        <v>0</v>
      </c>
      <c r="P675" t="n">
        <v>0</v>
      </c>
      <c r="Q675" t="n">
        <v>0</v>
      </c>
      <c r="R675" s="2" t="inlineStr"/>
    </row>
    <row r="676" ht="15" customHeight="1">
      <c r="A676" t="inlineStr">
        <is>
          <t>A 7176-2023</t>
        </is>
      </c>
      <c r="B676" s="1" t="n">
        <v>44970</v>
      </c>
      <c r="C676" s="1" t="n">
        <v>46085</v>
      </c>
      <c r="D676" t="inlineStr">
        <is>
          <t>VÄSTMANLANDS LÄN</t>
        </is>
      </c>
      <c r="E676" t="inlineStr">
        <is>
          <t>SALA</t>
        </is>
      </c>
      <c r="G676" t="n">
        <v>1.5</v>
      </c>
      <c r="H676" t="n">
        <v>0</v>
      </c>
      <c r="I676" t="n">
        <v>0</v>
      </c>
      <c r="J676" t="n">
        <v>0</v>
      </c>
      <c r="K676" t="n">
        <v>0</v>
      </c>
      <c r="L676" t="n">
        <v>0</v>
      </c>
      <c r="M676" t="n">
        <v>0</v>
      </c>
      <c r="N676" t="n">
        <v>0</v>
      </c>
      <c r="O676" t="n">
        <v>0</v>
      </c>
      <c r="P676" t="n">
        <v>0</v>
      </c>
      <c r="Q676" t="n">
        <v>0</v>
      </c>
      <c r="R676" s="2" t="inlineStr"/>
    </row>
    <row r="677" ht="15" customHeight="1">
      <c r="A677" t="inlineStr">
        <is>
          <t>A 22624-2025</t>
        </is>
      </c>
      <c r="B677" s="1" t="n">
        <v>45789.43327546296</v>
      </c>
      <c r="C677" s="1" t="n">
        <v>46085</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31405-2024</t>
        </is>
      </c>
      <c r="B678" s="1" t="n">
        <v>45505.5490625</v>
      </c>
      <c r="C678" s="1" t="n">
        <v>46085</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22616-2025</t>
        </is>
      </c>
      <c r="B679" s="1" t="n">
        <v>45789.42752314815</v>
      </c>
      <c r="C679" s="1" t="n">
        <v>46085</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43600-2024</t>
        </is>
      </c>
      <c r="B680" s="1" t="n">
        <v>45569</v>
      </c>
      <c r="C680" s="1" t="n">
        <v>46085</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13130-2025</t>
        </is>
      </c>
      <c r="B681" s="1" t="n">
        <v>45734</v>
      </c>
      <c r="C681" s="1" t="n">
        <v>46085</v>
      </c>
      <c r="D681" t="inlineStr">
        <is>
          <t>VÄSTMANLANDS LÄN</t>
        </is>
      </c>
      <c r="E681" t="inlineStr">
        <is>
          <t>SALA</t>
        </is>
      </c>
      <c r="G681" t="n">
        <v>1.5</v>
      </c>
      <c r="H681" t="n">
        <v>0</v>
      </c>
      <c r="I681" t="n">
        <v>0</v>
      </c>
      <c r="J681" t="n">
        <v>0</v>
      </c>
      <c r="K681" t="n">
        <v>0</v>
      </c>
      <c r="L681" t="n">
        <v>0</v>
      </c>
      <c r="M681" t="n">
        <v>0</v>
      </c>
      <c r="N681" t="n">
        <v>0</v>
      </c>
      <c r="O681" t="n">
        <v>0</v>
      </c>
      <c r="P681" t="n">
        <v>0</v>
      </c>
      <c r="Q681" t="n">
        <v>0</v>
      </c>
      <c r="R681" s="2" t="inlineStr"/>
    </row>
    <row r="682" ht="15" customHeight="1">
      <c r="A682" t="inlineStr">
        <is>
          <t>A 24169-2025</t>
        </is>
      </c>
      <c r="B682" s="1" t="n">
        <v>45796</v>
      </c>
      <c r="C682" s="1" t="n">
        <v>46085</v>
      </c>
      <c r="D682" t="inlineStr">
        <is>
          <t>VÄSTMANLANDS LÄN</t>
        </is>
      </c>
      <c r="E682" t="inlineStr">
        <is>
          <t>SALA</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22126-2025</t>
        </is>
      </c>
      <c r="B683" s="1" t="n">
        <v>45785</v>
      </c>
      <c r="C683" s="1" t="n">
        <v>46085</v>
      </c>
      <c r="D683" t="inlineStr">
        <is>
          <t>VÄSTMANLANDS LÄN</t>
        </is>
      </c>
      <c r="E683" t="inlineStr">
        <is>
          <t>SALA</t>
        </is>
      </c>
      <c r="G683" t="n">
        <v>10.6</v>
      </c>
      <c r="H683" t="n">
        <v>0</v>
      </c>
      <c r="I683" t="n">
        <v>0</v>
      </c>
      <c r="J683" t="n">
        <v>0</v>
      </c>
      <c r="K683" t="n">
        <v>0</v>
      </c>
      <c r="L683" t="n">
        <v>0</v>
      </c>
      <c r="M683" t="n">
        <v>0</v>
      </c>
      <c r="N683" t="n">
        <v>0</v>
      </c>
      <c r="O683" t="n">
        <v>0</v>
      </c>
      <c r="P683" t="n">
        <v>0</v>
      </c>
      <c r="Q683" t="n">
        <v>0</v>
      </c>
      <c r="R683" s="2" t="inlineStr"/>
    </row>
    <row r="684" ht="15" customHeight="1">
      <c r="A684" t="inlineStr">
        <is>
          <t>A 23810-2025</t>
        </is>
      </c>
      <c r="B684" s="1" t="n">
        <v>45793.56989583333</v>
      </c>
      <c r="C684" s="1" t="n">
        <v>46085</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24944-2023</t>
        </is>
      </c>
      <c r="B685" s="1" t="n">
        <v>45085</v>
      </c>
      <c r="C685" s="1" t="n">
        <v>46085</v>
      </c>
      <c r="D685" t="inlineStr">
        <is>
          <t>VÄSTMANLANDS LÄN</t>
        </is>
      </c>
      <c r="E685" t="inlineStr">
        <is>
          <t>SALA</t>
        </is>
      </c>
      <c r="G685" t="n">
        <v>3.8</v>
      </c>
      <c r="H685" t="n">
        <v>0</v>
      </c>
      <c r="I685" t="n">
        <v>0</v>
      </c>
      <c r="J685" t="n">
        <v>0</v>
      </c>
      <c r="K685" t="n">
        <v>0</v>
      </c>
      <c r="L685" t="n">
        <v>0</v>
      </c>
      <c r="M685" t="n">
        <v>0</v>
      </c>
      <c r="N685" t="n">
        <v>0</v>
      </c>
      <c r="O685" t="n">
        <v>0</v>
      </c>
      <c r="P685" t="n">
        <v>0</v>
      </c>
      <c r="Q685" t="n">
        <v>0</v>
      </c>
      <c r="R685" s="2" t="inlineStr"/>
    </row>
    <row r="686" ht="15" customHeight="1">
      <c r="A686" t="inlineStr">
        <is>
          <t>A 23804-2025</t>
        </is>
      </c>
      <c r="B686" s="1" t="n">
        <v>45793.55995370371</v>
      </c>
      <c r="C686" s="1" t="n">
        <v>46085</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11210-2025</t>
        </is>
      </c>
      <c r="B687" s="1" t="n">
        <v>45726</v>
      </c>
      <c r="C687" s="1" t="n">
        <v>46085</v>
      </c>
      <c r="D687" t="inlineStr">
        <is>
          <t>VÄSTMANLANDS LÄN</t>
        </is>
      </c>
      <c r="E687" t="inlineStr">
        <is>
          <t>SALA</t>
        </is>
      </c>
      <c r="G687" t="n">
        <v>4.1</v>
      </c>
      <c r="H687" t="n">
        <v>0</v>
      </c>
      <c r="I687" t="n">
        <v>0</v>
      </c>
      <c r="J687" t="n">
        <v>0</v>
      </c>
      <c r="K687" t="n">
        <v>0</v>
      </c>
      <c r="L687" t="n">
        <v>0</v>
      </c>
      <c r="M687" t="n">
        <v>0</v>
      </c>
      <c r="N687" t="n">
        <v>0</v>
      </c>
      <c r="O687" t="n">
        <v>0</v>
      </c>
      <c r="P687" t="n">
        <v>0</v>
      </c>
      <c r="Q687" t="n">
        <v>0</v>
      </c>
      <c r="R687" s="2" t="inlineStr"/>
    </row>
    <row r="688" ht="15" customHeight="1">
      <c r="A688" t="inlineStr">
        <is>
          <t>A 19297-2025</t>
        </is>
      </c>
      <c r="B688" s="1" t="n">
        <v>45769.56261574074</v>
      </c>
      <c r="C688" s="1" t="n">
        <v>46085</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24460-2025</t>
        </is>
      </c>
      <c r="B689" s="1" t="n">
        <v>45798</v>
      </c>
      <c r="C689" s="1" t="n">
        <v>46085</v>
      </c>
      <c r="D689" t="inlineStr">
        <is>
          <t>VÄSTMANLANDS LÄN</t>
        </is>
      </c>
      <c r="E689" t="inlineStr">
        <is>
          <t>SALA</t>
        </is>
      </c>
      <c r="F689" t="inlineStr">
        <is>
          <t>Bergvik skog öst AB</t>
        </is>
      </c>
      <c r="G689" t="n">
        <v>2.6</v>
      </c>
      <c r="H689" t="n">
        <v>0</v>
      </c>
      <c r="I689" t="n">
        <v>0</v>
      </c>
      <c r="J689" t="n">
        <v>0</v>
      </c>
      <c r="K689" t="n">
        <v>0</v>
      </c>
      <c r="L689" t="n">
        <v>0</v>
      </c>
      <c r="M689" t="n">
        <v>0</v>
      </c>
      <c r="N689" t="n">
        <v>0</v>
      </c>
      <c r="O689" t="n">
        <v>0</v>
      </c>
      <c r="P689" t="n">
        <v>0</v>
      </c>
      <c r="Q689" t="n">
        <v>0</v>
      </c>
      <c r="R689" s="2" t="inlineStr"/>
    </row>
    <row r="690" ht="15" customHeight="1">
      <c r="A690" t="inlineStr">
        <is>
          <t>A 55065-2024</t>
        </is>
      </c>
      <c r="B690" s="1" t="n">
        <v>45618</v>
      </c>
      <c r="C690" s="1" t="n">
        <v>46085</v>
      </c>
      <c r="D690" t="inlineStr">
        <is>
          <t>VÄSTMANLANDS LÄN</t>
        </is>
      </c>
      <c r="E690" t="inlineStr">
        <is>
          <t>SALA</t>
        </is>
      </c>
      <c r="G690" t="n">
        <v>3.5</v>
      </c>
      <c r="H690" t="n">
        <v>0</v>
      </c>
      <c r="I690" t="n">
        <v>0</v>
      </c>
      <c r="J690" t="n">
        <v>0</v>
      </c>
      <c r="K690" t="n">
        <v>0</v>
      </c>
      <c r="L690" t="n">
        <v>0</v>
      </c>
      <c r="M690" t="n">
        <v>0</v>
      </c>
      <c r="N690" t="n">
        <v>0</v>
      </c>
      <c r="O690" t="n">
        <v>0</v>
      </c>
      <c r="P690" t="n">
        <v>0</v>
      </c>
      <c r="Q690" t="n">
        <v>0</v>
      </c>
      <c r="R690" s="2" t="inlineStr"/>
    </row>
    <row r="691" ht="15" customHeight="1">
      <c r="A691" t="inlineStr">
        <is>
          <t>A 24463-2025</t>
        </is>
      </c>
      <c r="B691" s="1" t="n">
        <v>45798</v>
      </c>
      <c r="C691" s="1" t="n">
        <v>46085</v>
      </c>
      <c r="D691" t="inlineStr">
        <is>
          <t>VÄSTMANLANDS LÄN</t>
        </is>
      </c>
      <c r="E691" t="inlineStr">
        <is>
          <t>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24907-2025</t>
        </is>
      </c>
      <c r="B692" s="1" t="n">
        <v>45799</v>
      </c>
      <c r="C692" s="1" t="n">
        <v>46085</v>
      </c>
      <c r="D692" t="inlineStr">
        <is>
          <t>VÄSTMANLANDS LÄN</t>
        </is>
      </c>
      <c r="E692" t="inlineStr">
        <is>
          <t>SALA</t>
        </is>
      </c>
      <c r="G692" t="n">
        <v>3.5</v>
      </c>
      <c r="H692" t="n">
        <v>0</v>
      </c>
      <c r="I692" t="n">
        <v>0</v>
      </c>
      <c r="J692" t="n">
        <v>0</v>
      </c>
      <c r="K692" t="n">
        <v>0</v>
      </c>
      <c r="L692" t="n">
        <v>0</v>
      </c>
      <c r="M692" t="n">
        <v>0</v>
      </c>
      <c r="N692" t="n">
        <v>0</v>
      </c>
      <c r="O692" t="n">
        <v>0</v>
      </c>
      <c r="P692" t="n">
        <v>0</v>
      </c>
      <c r="Q692" t="n">
        <v>0</v>
      </c>
      <c r="R692" s="2" t="inlineStr"/>
    </row>
    <row r="693" ht="15" customHeight="1">
      <c r="A693" t="inlineStr">
        <is>
          <t>A 24910-2025</t>
        </is>
      </c>
      <c r="B693" s="1" t="n">
        <v>45799.53775462963</v>
      </c>
      <c r="C693" s="1" t="n">
        <v>46085</v>
      </c>
      <c r="D693" t="inlineStr">
        <is>
          <t>VÄSTMANLANDS LÄN</t>
        </is>
      </c>
      <c r="E693" t="inlineStr">
        <is>
          <t>SALA</t>
        </is>
      </c>
      <c r="G693" t="n">
        <v>3.5</v>
      </c>
      <c r="H693" t="n">
        <v>0</v>
      </c>
      <c r="I693" t="n">
        <v>0</v>
      </c>
      <c r="J693" t="n">
        <v>0</v>
      </c>
      <c r="K693" t="n">
        <v>0</v>
      </c>
      <c r="L693" t="n">
        <v>0</v>
      </c>
      <c r="M693" t="n">
        <v>0</v>
      </c>
      <c r="N693" t="n">
        <v>0</v>
      </c>
      <c r="O693" t="n">
        <v>0</v>
      </c>
      <c r="P693" t="n">
        <v>0</v>
      </c>
      <c r="Q693" t="n">
        <v>0</v>
      </c>
      <c r="R693" s="2" t="inlineStr"/>
    </row>
    <row r="694" ht="15" customHeight="1">
      <c r="A694" t="inlineStr">
        <is>
          <t>A 10909-2024</t>
        </is>
      </c>
      <c r="B694" s="1" t="n">
        <v>45370</v>
      </c>
      <c r="C694" s="1" t="n">
        <v>46085</v>
      </c>
      <c r="D694" t="inlineStr">
        <is>
          <t>VÄSTMANLANDS LÄN</t>
        </is>
      </c>
      <c r="E694" t="inlineStr">
        <is>
          <t>SALA</t>
        </is>
      </c>
      <c r="G694" t="n">
        <v>3.3</v>
      </c>
      <c r="H694" t="n">
        <v>0</v>
      </c>
      <c r="I694" t="n">
        <v>0</v>
      </c>
      <c r="J694" t="n">
        <v>0</v>
      </c>
      <c r="K694" t="n">
        <v>0</v>
      </c>
      <c r="L694" t="n">
        <v>0</v>
      </c>
      <c r="M694" t="n">
        <v>0</v>
      </c>
      <c r="N694" t="n">
        <v>0</v>
      </c>
      <c r="O694" t="n">
        <v>0</v>
      </c>
      <c r="P694" t="n">
        <v>0</v>
      </c>
      <c r="Q694" t="n">
        <v>0</v>
      </c>
      <c r="R694" s="2" t="inlineStr"/>
    </row>
    <row r="695" ht="15" customHeight="1">
      <c r="A695" t="inlineStr">
        <is>
          <t>A 26661-2025</t>
        </is>
      </c>
      <c r="B695" s="1" t="n">
        <v>45810</v>
      </c>
      <c r="C695" s="1" t="n">
        <v>46085</v>
      </c>
      <c r="D695" t="inlineStr">
        <is>
          <t>VÄSTMANLANDS LÄN</t>
        </is>
      </c>
      <c r="E695" t="inlineStr">
        <is>
          <t>SALA</t>
        </is>
      </c>
      <c r="G695" t="n">
        <v>3.5</v>
      </c>
      <c r="H695" t="n">
        <v>0</v>
      </c>
      <c r="I695" t="n">
        <v>0</v>
      </c>
      <c r="J695" t="n">
        <v>0</v>
      </c>
      <c r="K695" t="n">
        <v>0</v>
      </c>
      <c r="L695" t="n">
        <v>0</v>
      </c>
      <c r="M695" t="n">
        <v>0</v>
      </c>
      <c r="N695" t="n">
        <v>0</v>
      </c>
      <c r="O695" t="n">
        <v>0</v>
      </c>
      <c r="P695" t="n">
        <v>0</v>
      </c>
      <c r="Q695" t="n">
        <v>0</v>
      </c>
      <c r="R695" s="2" t="inlineStr"/>
    </row>
    <row r="696" ht="15" customHeight="1">
      <c r="A696" t="inlineStr">
        <is>
          <t>A 28193-2025</t>
        </is>
      </c>
      <c r="B696" s="1" t="n">
        <v>45818.425625</v>
      </c>
      <c r="C696" s="1" t="n">
        <v>46085</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27981-2025</t>
        </is>
      </c>
      <c r="B697" s="1" t="n">
        <v>45817.57471064815</v>
      </c>
      <c r="C697" s="1" t="n">
        <v>46085</v>
      </c>
      <c r="D697" t="inlineStr">
        <is>
          <t>VÄSTMANLANDS LÄN</t>
        </is>
      </c>
      <c r="E697" t="inlineStr">
        <is>
          <t>SALA</t>
        </is>
      </c>
      <c r="G697" t="n">
        <v>1.7</v>
      </c>
      <c r="H697" t="n">
        <v>0</v>
      </c>
      <c r="I697" t="n">
        <v>0</v>
      </c>
      <c r="J697" t="n">
        <v>0</v>
      </c>
      <c r="K697" t="n">
        <v>0</v>
      </c>
      <c r="L697" t="n">
        <v>0</v>
      </c>
      <c r="M697" t="n">
        <v>0</v>
      </c>
      <c r="N697" t="n">
        <v>0</v>
      </c>
      <c r="O697" t="n">
        <v>0</v>
      </c>
      <c r="P697" t="n">
        <v>0</v>
      </c>
      <c r="Q697" t="n">
        <v>0</v>
      </c>
      <c r="R697" s="2" t="inlineStr"/>
    </row>
    <row r="698" ht="15" customHeight="1">
      <c r="A698" t="inlineStr">
        <is>
          <t>A 28278-2025</t>
        </is>
      </c>
      <c r="B698" s="1" t="n">
        <v>45818.58454861111</v>
      </c>
      <c r="C698" s="1" t="n">
        <v>46085</v>
      </c>
      <c r="D698" t="inlineStr">
        <is>
          <t>VÄSTMANLANDS LÄN</t>
        </is>
      </c>
      <c r="E698" t="inlineStr">
        <is>
          <t>SALA</t>
        </is>
      </c>
      <c r="G698" t="n">
        <v>7.6</v>
      </c>
      <c r="H698" t="n">
        <v>0</v>
      </c>
      <c r="I698" t="n">
        <v>0</v>
      </c>
      <c r="J698" t="n">
        <v>0</v>
      </c>
      <c r="K698" t="n">
        <v>0</v>
      </c>
      <c r="L698" t="n">
        <v>0</v>
      </c>
      <c r="M698" t="n">
        <v>0</v>
      </c>
      <c r="N698" t="n">
        <v>0</v>
      </c>
      <c r="O698" t="n">
        <v>0</v>
      </c>
      <c r="P698" t="n">
        <v>0</v>
      </c>
      <c r="Q698" t="n">
        <v>0</v>
      </c>
      <c r="R698" s="2" t="inlineStr"/>
    </row>
    <row r="699" ht="15" customHeight="1">
      <c r="A699" t="inlineStr">
        <is>
          <t>A 27989-2025</t>
        </is>
      </c>
      <c r="B699" s="1" t="n">
        <v>45817.58716435185</v>
      </c>
      <c r="C699" s="1" t="n">
        <v>46085</v>
      </c>
      <c r="D699" t="inlineStr">
        <is>
          <t>VÄSTMANLANDS LÄN</t>
        </is>
      </c>
      <c r="E699" t="inlineStr">
        <is>
          <t>SALA</t>
        </is>
      </c>
      <c r="G699" t="n">
        <v>1.9</v>
      </c>
      <c r="H699" t="n">
        <v>0</v>
      </c>
      <c r="I699" t="n">
        <v>0</v>
      </c>
      <c r="J699" t="n">
        <v>0</v>
      </c>
      <c r="K699" t="n">
        <v>0</v>
      </c>
      <c r="L699" t="n">
        <v>0</v>
      </c>
      <c r="M699" t="n">
        <v>0</v>
      </c>
      <c r="N699" t="n">
        <v>0</v>
      </c>
      <c r="O699" t="n">
        <v>0</v>
      </c>
      <c r="P699" t="n">
        <v>0</v>
      </c>
      <c r="Q699" t="n">
        <v>0</v>
      </c>
      <c r="R699" s="2" t="inlineStr"/>
    </row>
    <row r="700" ht="15" customHeight="1">
      <c r="A700" t="inlineStr">
        <is>
          <t>A 28284-2025</t>
        </is>
      </c>
      <c r="B700" s="1" t="n">
        <v>45818.58893518519</v>
      </c>
      <c r="C700" s="1" t="n">
        <v>46085</v>
      </c>
      <c r="D700" t="inlineStr">
        <is>
          <t>VÄSTMANLANDS LÄN</t>
        </is>
      </c>
      <c r="E700" t="inlineStr">
        <is>
          <t>SALA</t>
        </is>
      </c>
      <c r="G700" t="n">
        <v>2.4</v>
      </c>
      <c r="H700" t="n">
        <v>0</v>
      </c>
      <c r="I700" t="n">
        <v>0</v>
      </c>
      <c r="J700" t="n">
        <v>0</v>
      </c>
      <c r="K700" t="n">
        <v>0</v>
      </c>
      <c r="L700" t="n">
        <v>0</v>
      </c>
      <c r="M700" t="n">
        <v>0</v>
      </c>
      <c r="N700" t="n">
        <v>0</v>
      </c>
      <c r="O700" t="n">
        <v>0</v>
      </c>
      <c r="P700" t="n">
        <v>0</v>
      </c>
      <c r="Q700" t="n">
        <v>0</v>
      </c>
      <c r="R700" s="2" t="inlineStr"/>
    </row>
    <row r="701" ht="15" customHeight="1">
      <c r="A701" t="inlineStr">
        <is>
          <t>A 28632-2025</t>
        </is>
      </c>
      <c r="B701" s="1" t="n">
        <v>45819.62344907408</v>
      </c>
      <c r="C701" s="1" t="n">
        <v>46085</v>
      </c>
      <c r="D701" t="inlineStr">
        <is>
          <t>VÄSTMANLANDS LÄN</t>
        </is>
      </c>
      <c r="E701" t="inlineStr">
        <is>
          <t>SALA</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28628-2025</t>
        </is>
      </c>
      <c r="B702" s="1" t="n">
        <v>45819.62158564815</v>
      </c>
      <c r="C702" s="1" t="n">
        <v>46085</v>
      </c>
      <c r="D702" t="inlineStr">
        <is>
          <t>VÄSTMANLANDS LÄN</t>
        </is>
      </c>
      <c r="E702" t="inlineStr">
        <is>
          <t>SALA</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28630-2025</t>
        </is>
      </c>
      <c r="B703" s="1" t="n">
        <v>45819.62274305556</v>
      </c>
      <c r="C703" s="1" t="n">
        <v>46085</v>
      </c>
      <c r="D703" t="inlineStr">
        <is>
          <t>VÄSTMANLANDS LÄN</t>
        </is>
      </c>
      <c r="E703" t="inlineStr">
        <is>
          <t>SALA</t>
        </is>
      </c>
      <c r="F703" t="inlineStr">
        <is>
          <t>Sveaskog</t>
        </is>
      </c>
      <c r="G703" t="n">
        <v>9</v>
      </c>
      <c r="H703" t="n">
        <v>0</v>
      </c>
      <c r="I703" t="n">
        <v>0</v>
      </c>
      <c r="J703" t="n">
        <v>0</v>
      </c>
      <c r="K703" t="n">
        <v>0</v>
      </c>
      <c r="L703" t="n">
        <v>0</v>
      </c>
      <c r="M703" t="n">
        <v>0</v>
      </c>
      <c r="N703" t="n">
        <v>0</v>
      </c>
      <c r="O703" t="n">
        <v>0</v>
      </c>
      <c r="P703" t="n">
        <v>0</v>
      </c>
      <c r="Q703" t="n">
        <v>0</v>
      </c>
      <c r="R703" s="2" t="inlineStr"/>
    </row>
    <row r="704" ht="15" customHeight="1">
      <c r="A704" t="inlineStr">
        <is>
          <t>A 28837-2025</t>
        </is>
      </c>
      <c r="B704" s="1" t="n">
        <v>45820.56243055555</v>
      </c>
      <c r="C704" s="1" t="n">
        <v>46085</v>
      </c>
      <c r="D704" t="inlineStr">
        <is>
          <t>VÄSTMANLANDS LÄN</t>
        </is>
      </c>
      <c r="E704" t="inlineStr">
        <is>
          <t>SALA</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28849-2025</t>
        </is>
      </c>
      <c r="B705" s="1" t="n">
        <v>45820</v>
      </c>
      <c r="C705" s="1" t="n">
        <v>46085</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29085-2025</t>
        </is>
      </c>
      <c r="B706" s="1" t="n">
        <v>45821</v>
      </c>
      <c r="C706" s="1" t="n">
        <v>46085</v>
      </c>
      <c r="D706" t="inlineStr">
        <is>
          <t>VÄSTMANLANDS LÄN</t>
        </is>
      </c>
      <c r="E706" t="inlineStr">
        <is>
          <t>SALA</t>
        </is>
      </c>
      <c r="G706" t="n">
        <v>3.5</v>
      </c>
      <c r="H706" t="n">
        <v>0</v>
      </c>
      <c r="I706" t="n">
        <v>0</v>
      </c>
      <c r="J706" t="n">
        <v>0</v>
      </c>
      <c r="K706" t="n">
        <v>0</v>
      </c>
      <c r="L706" t="n">
        <v>0</v>
      </c>
      <c r="M706" t="n">
        <v>0</v>
      </c>
      <c r="N706" t="n">
        <v>0</v>
      </c>
      <c r="O706" t="n">
        <v>0</v>
      </c>
      <c r="P706" t="n">
        <v>0</v>
      </c>
      <c r="Q706" t="n">
        <v>0</v>
      </c>
      <c r="R706" s="2" t="inlineStr"/>
    </row>
    <row r="707" ht="15" customHeight="1">
      <c r="A707" t="inlineStr">
        <is>
          <t>A 60541-2024</t>
        </is>
      </c>
      <c r="B707" s="1" t="n">
        <v>45643</v>
      </c>
      <c r="C707" s="1" t="n">
        <v>46085</v>
      </c>
      <c r="D707" t="inlineStr">
        <is>
          <t>VÄSTMANLANDS LÄN</t>
        </is>
      </c>
      <c r="E707" t="inlineStr">
        <is>
          <t>SALA</t>
        </is>
      </c>
      <c r="G707" t="n">
        <v>10.6</v>
      </c>
      <c r="H707" t="n">
        <v>0</v>
      </c>
      <c r="I707" t="n">
        <v>0</v>
      </c>
      <c r="J707" t="n">
        <v>0</v>
      </c>
      <c r="K707" t="n">
        <v>0</v>
      </c>
      <c r="L707" t="n">
        <v>0</v>
      </c>
      <c r="M707" t="n">
        <v>0</v>
      </c>
      <c r="N707" t="n">
        <v>0</v>
      </c>
      <c r="O707" t="n">
        <v>0</v>
      </c>
      <c r="P707" t="n">
        <v>0</v>
      </c>
      <c r="Q707" t="n">
        <v>0</v>
      </c>
      <c r="R707" s="2" t="inlineStr"/>
    </row>
    <row r="708" ht="15" customHeight="1">
      <c r="A708" t="inlineStr">
        <is>
          <t>A 29826-2025</t>
        </is>
      </c>
      <c r="B708" s="1" t="n">
        <v>45825.85761574074</v>
      </c>
      <c r="C708" s="1" t="n">
        <v>46085</v>
      </c>
      <c r="D708" t="inlineStr">
        <is>
          <t>VÄSTMANLANDS LÄN</t>
        </is>
      </c>
      <c r="E708" t="inlineStr">
        <is>
          <t>SALA</t>
        </is>
      </c>
      <c r="G708" t="n">
        <v>1.9</v>
      </c>
      <c r="H708" t="n">
        <v>0</v>
      </c>
      <c r="I708" t="n">
        <v>0</v>
      </c>
      <c r="J708" t="n">
        <v>0</v>
      </c>
      <c r="K708" t="n">
        <v>0</v>
      </c>
      <c r="L708" t="n">
        <v>0</v>
      </c>
      <c r="M708" t="n">
        <v>0</v>
      </c>
      <c r="N708" t="n">
        <v>0</v>
      </c>
      <c r="O708" t="n">
        <v>0</v>
      </c>
      <c r="P708" t="n">
        <v>0</v>
      </c>
      <c r="Q708" t="n">
        <v>0</v>
      </c>
      <c r="R708" s="2" t="inlineStr"/>
    </row>
    <row r="709" ht="15" customHeight="1">
      <c r="A709" t="inlineStr">
        <is>
          <t>A 29691-2025</t>
        </is>
      </c>
      <c r="B709" s="1" t="n">
        <v>45825.53645833334</v>
      </c>
      <c r="C709" s="1" t="n">
        <v>46085</v>
      </c>
      <c r="D709" t="inlineStr">
        <is>
          <t>VÄSTMANLANDS LÄN</t>
        </is>
      </c>
      <c r="E709" t="inlineStr">
        <is>
          <t>SALA</t>
        </is>
      </c>
      <c r="G709" t="n">
        <v>0.7</v>
      </c>
      <c r="H709" t="n">
        <v>0</v>
      </c>
      <c r="I709" t="n">
        <v>0</v>
      </c>
      <c r="J709" t="n">
        <v>0</v>
      </c>
      <c r="K709" t="n">
        <v>0</v>
      </c>
      <c r="L709" t="n">
        <v>0</v>
      </c>
      <c r="M709" t="n">
        <v>0</v>
      </c>
      <c r="N709" t="n">
        <v>0</v>
      </c>
      <c r="O709" t="n">
        <v>0</v>
      </c>
      <c r="P709" t="n">
        <v>0</v>
      </c>
      <c r="Q709" t="n">
        <v>0</v>
      </c>
      <c r="R709" s="2" t="inlineStr"/>
    </row>
    <row r="710" ht="15" customHeight="1">
      <c r="A710" t="inlineStr">
        <is>
          <t>A 30874-2025</t>
        </is>
      </c>
      <c r="B710" s="1" t="n">
        <v>45832.34430555555</v>
      </c>
      <c r="C710" s="1" t="n">
        <v>46085</v>
      </c>
      <c r="D710" t="inlineStr">
        <is>
          <t>VÄSTMANLANDS LÄN</t>
        </is>
      </c>
      <c r="E710" t="inlineStr">
        <is>
          <t>SALA</t>
        </is>
      </c>
      <c r="G710" t="n">
        <v>8.4</v>
      </c>
      <c r="H710" t="n">
        <v>0</v>
      </c>
      <c r="I710" t="n">
        <v>0</v>
      </c>
      <c r="J710" t="n">
        <v>0</v>
      </c>
      <c r="K710" t="n">
        <v>0</v>
      </c>
      <c r="L710" t="n">
        <v>0</v>
      </c>
      <c r="M710" t="n">
        <v>0</v>
      </c>
      <c r="N710" t="n">
        <v>0</v>
      </c>
      <c r="O710" t="n">
        <v>0</v>
      </c>
      <c r="P710" t="n">
        <v>0</v>
      </c>
      <c r="Q710" t="n">
        <v>0</v>
      </c>
      <c r="R710" s="2" t="inlineStr"/>
    </row>
    <row r="711" ht="15" customHeight="1">
      <c r="A711" t="inlineStr">
        <is>
          <t>A 30899-2025</t>
        </is>
      </c>
      <c r="B711" s="1" t="n">
        <v>45832.35767361111</v>
      </c>
      <c r="C711" s="1" t="n">
        <v>46085</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30866-2025</t>
        </is>
      </c>
      <c r="B712" s="1" t="n">
        <v>45832.3246875</v>
      </c>
      <c r="C712" s="1" t="n">
        <v>46085</v>
      </c>
      <c r="D712" t="inlineStr">
        <is>
          <t>VÄSTMANLANDS LÄN</t>
        </is>
      </c>
      <c r="E712" t="inlineStr">
        <is>
          <t>SALA</t>
        </is>
      </c>
      <c r="G712" t="n">
        <v>14.3</v>
      </c>
      <c r="H712" t="n">
        <v>0</v>
      </c>
      <c r="I712" t="n">
        <v>0</v>
      </c>
      <c r="J712" t="n">
        <v>0</v>
      </c>
      <c r="K712" t="n">
        <v>0</v>
      </c>
      <c r="L712" t="n">
        <v>0</v>
      </c>
      <c r="M712" t="n">
        <v>0</v>
      </c>
      <c r="N712" t="n">
        <v>0</v>
      </c>
      <c r="O712" t="n">
        <v>0</v>
      </c>
      <c r="P712" t="n">
        <v>0</v>
      </c>
      <c r="Q712" t="n">
        <v>0</v>
      </c>
      <c r="R712" s="2" t="inlineStr"/>
    </row>
    <row r="713" ht="15" customHeight="1">
      <c r="A713" t="inlineStr">
        <is>
          <t>A 31065-2025</t>
        </is>
      </c>
      <c r="B713" s="1" t="n">
        <v>45832.57571759259</v>
      </c>
      <c r="C713" s="1" t="n">
        <v>46085</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31612-2025</t>
        </is>
      </c>
      <c r="B714" s="1" t="n">
        <v>45833.80056712963</v>
      </c>
      <c r="C714" s="1" t="n">
        <v>46085</v>
      </c>
      <c r="D714" t="inlineStr">
        <is>
          <t>VÄSTMANLANDS LÄN</t>
        </is>
      </c>
      <c r="E714" t="inlineStr">
        <is>
          <t>SALA</t>
        </is>
      </c>
      <c r="G714" t="n">
        <v>6.3</v>
      </c>
      <c r="H714" t="n">
        <v>0</v>
      </c>
      <c r="I714" t="n">
        <v>0</v>
      </c>
      <c r="J714" t="n">
        <v>0</v>
      </c>
      <c r="K714" t="n">
        <v>0</v>
      </c>
      <c r="L714" t="n">
        <v>0</v>
      </c>
      <c r="M714" t="n">
        <v>0</v>
      </c>
      <c r="N714" t="n">
        <v>0</v>
      </c>
      <c r="O714" t="n">
        <v>0</v>
      </c>
      <c r="P714" t="n">
        <v>0</v>
      </c>
      <c r="Q714" t="n">
        <v>0</v>
      </c>
      <c r="R714" s="2" t="inlineStr"/>
    </row>
    <row r="715" ht="15" customHeight="1">
      <c r="A715" t="inlineStr">
        <is>
          <t>A 31748-2025</t>
        </is>
      </c>
      <c r="B715" s="1" t="n">
        <v>45834</v>
      </c>
      <c r="C715" s="1" t="n">
        <v>46085</v>
      </c>
      <c r="D715" t="inlineStr">
        <is>
          <t>VÄSTMANLANDS LÄN</t>
        </is>
      </c>
      <c r="E715" t="inlineStr">
        <is>
          <t>SALA</t>
        </is>
      </c>
      <c r="G715" t="n">
        <v>2</v>
      </c>
      <c r="H715" t="n">
        <v>0</v>
      </c>
      <c r="I715" t="n">
        <v>0</v>
      </c>
      <c r="J715" t="n">
        <v>0</v>
      </c>
      <c r="K715" t="n">
        <v>0</v>
      </c>
      <c r="L715" t="n">
        <v>0</v>
      </c>
      <c r="M715" t="n">
        <v>0</v>
      </c>
      <c r="N715" t="n">
        <v>0</v>
      </c>
      <c r="O715" t="n">
        <v>0</v>
      </c>
      <c r="P715" t="n">
        <v>0</v>
      </c>
      <c r="Q715" t="n">
        <v>0</v>
      </c>
      <c r="R715" s="2" t="inlineStr"/>
    </row>
    <row r="716" ht="15" customHeight="1">
      <c r="A716" t="inlineStr">
        <is>
          <t>A 31288-2025</t>
        </is>
      </c>
      <c r="B716" s="1" t="n">
        <v>45833</v>
      </c>
      <c r="C716" s="1" t="n">
        <v>46085</v>
      </c>
      <c r="D716" t="inlineStr">
        <is>
          <t>VÄSTMANLANDS LÄN</t>
        </is>
      </c>
      <c r="E716" t="inlineStr">
        <is>
          <t>SALA</t>
        </is>
      </c>
      <c r="G716" t="n">
        <v>3.1</v>
      </c>
      <c r="H716" t="n">
        <v>0</v>
      </c>
      <c r="I716" t="n">
        <v>0</v>
      </c>
      <c r="J716" t="n">
        <v>0</v>
      </c>
      <c r="K716" t="n">
        <v>0</v>
      </c>
      <c r="L716" t="n">
        <v>0</v>
      </c>
      <c r="M716" t="n">
        <v>0</v>
      </c>
      <c r="N716" t="n">
        <v>0</v>
      </c>
      <c r="O716" t="n">
        <v>0</v>
      </c>
      <c r="P716" t="n">
        <v>0</v>
      </c>
      <c r="Q716" t="n">
        <v>0</v>
      </c>
      <c r="R716" s="2" t="inlineStr"/>
    </row>
    <row r="717" ht="15" customHeight="1">
      <c r="A717" t="inlineStr">
        <is>
          <t>A 31771-2025</t>
        </is>
      </c>
      <c r="B717" s="1" t="n">
        <v>45834.50910879629</v>
      </c>
      <c r="C717" s="1" t="n">
        <v>46085</v>
      </c>
      <c r="D717" t="inlineStr">
        <is>
          <t>VÄSTMANLANDS LÄN</t>
        </is>
      </c>
      <c r="E717" t="inlineStr">
        <is>
          <t>SALA</t>
        </is>
      </c>
      <c r="G717" t="n">
        <v>5.1</v>
      </c>
      <c r="H717" t="n">
        <v>0</v>
      </c>
      <c r="I717" t="n">
        <v>0</v>
      </c>
      <c r="J717" t="n">
        <v>0</v>
      </c>
      <c r="K717" t="n">
        <v>0</v>
      </c>
      <c r="L717" t="n">
        <v>0</v>
      </c>
      <c r="M717" t="n">
        <v>0</v>
      </c>
      <c r="N717" t="n">
        <v>0</v>
      </c>
      <c r="O717" t="n">
        <v>0</v>
      </c>
      <c r="P717" t="n">
        <v>0</v>
      </c>
      <c r="Q717" t="n">
        <v>0</v>
      </c>
      <c r="R717" s="2" t="inlineStr"/>
    </row>
    <row r="718" ht="15" customHeight="1">
      <c r="A718" t="inlineStr">
        <is>
          <t>A 31554-2025</t>
        </is>
      </c>
      <c r="B718" s="1" t="n">
        <v>45833</v>
      </c>
      <c r="C718" s="1" t="n">
        <v>46085</v>
      </c>
      <c r="D718" t="inlineStr">
        <is>
          <t>VÄSTMANLANDS LÄN</t>
        </is>
      </c>
      <c r="E718" t="inlineStr">
        <is>
          <t>SALA</t>
        </is>
      </c>
      <c r="G718" t="n">
        <v>1.5</v>
      </c>
      <c r="H718" t="n">
        <v>0</v>
      </c>
      <c r="I718" t="n">
        <v>0</v>
      </c>
      <c r="J718" t="n">
        <v>0</v>
      </c>
      <c r="K718" t="n">
        <v>0</v>
      </c>
      <c r="L718" t="n">
        <v>0</v>
      </c>
      <c r="M718" t="n">
        <v>0</v>
      </c>
      <c r="N718" t="n">
        <v>0</v>
      </c>
      <c r="O718" t="n">
        <v>0</v>
      </c>
      <c r="P718" t="n">
        <v>0</v>
      </c>
      <c r="Q718" t="n">
        <v>0</v>
      </c>
      <c r="R718" s="2" t="inlineStr"/>
    </row>
    <row r="719" ht="15" customHeight="1">
      <c r="A719" t="inlineStr">
        <is>
          <t>A 31762-2025</t>
        </is>
      </c>
      <c r="B719" s="1" t="n">
        <v>45834.49288194445</v>
      </c>
      <c r="C719" s="1" t="n">
        <v>46085</v>
      </c>
      <c r="D719" t="inlineStr">
        <is>
          <t>VÄSTMANLANDS LÄN</t>
        </is>
      </c>
      <c r="E719" t="inlineStr">
        <is>
          <t>SALA</t>
        </is>
      </c>
      <c r="G719" t="n">
        <v>5.9</v>
      </c>
      <c r="H719" t="n">
        <v>0</v>
      </c>
      <c r="I719" t="n">
        <v>0</v>
      </c>
      <c r="J719" t="n">
        <v>0</v>
      </c>
      <c r="K719" t="n">
        <v>0</v>
      </c>
      <c r="L719" t="n">
        <v>0</v>
      </c>
      <c r="M719" t="n">
        <v>0</v>
      </c>
      <c r="N719" t="n">
        <v>0</v>
      </c>
      <c r="O719" t="n">
        <v>0</v>
      </c>
      <c r="P719" t="n">
        <v>0</v>
      </c>
      <c r="Q719" t="n">
        <v>0</v>
      </c>
      <c r="R719" s="2" t="inlineStr"/>
    </row>
    <row r="720" ht="15" customHeight="1">
      <c r="A720" t="inlineStr">
        <is>
          <t>A 31608-2025</t>
        </is>
      </c>
      <c r="B720" s="1" t="n">
        <v>45833</v>
      </c>
      <c r="C720" s="1" t="n">
        <v>46085</v>
      </c>
      <c r="D720" t="inlineStr">
        <is>
          <t>VÄSTMANLANDS LÄN</t>
        </is>
      </c>
      <c r="E720" t="inlineStr">
        <is>
          <t>SALA</t>
        </is>
      </c>
      <c r="G720" t="n">
        <v>6.1</v>
      </c>
      <c r="H720" t="n">
        <v>0</v>
      </c>
      <c r="I720" t="n">
        <v>0</v>
      </c>
      <c r="J720" t="n">
        <v>0</v>
      </c>
      <c r="K720" t="n">
        <v>0</v>
      </c>
      <c r="L720" t="n">
        <v>0</v>
      </c>
      <c r="M720" t="n">
        <v>0</v>
      </c>
      <c r="N720" t="n">
        <v>0</v>
      </c>
      <c r="O720" t="n">
        <v>0</v>
      </c>
      <c r="P720" t="n">
        <v>0</v>
      </c>
      <c r="Q720" t="n">
        <v>0</v>
      </c>
      <c r="R720" s="2" t="inlineStr"/>
    </row>
    <row r="721" ht="15" customHeight="1">
      <c r="A721" t="inlineStr">
        <is>
          <t>A 31610-2025</t>
        </is>
      </c>
      <c r="B721" s="1" t="n">
        <v>45833.78650462963</v>
      </c>
      <c r="C721" s="1" t="n">
        <v>46085</v>
      </c>
      <c r="D721" t="inlineStr">
        <is>
          <t>VÄSTMANLANDS LÄN</t>
        </is>
      </c>
      <c r="E721" t="inlineStr">
        <is>
          <t>SALA</t>
        </is>
      </c>
      <c r="G721" t="n">
        <v>8</v>
      </c>
      <c r="H721" t="n">
        <v>0</v>
      </c>
      <c r="I721" t="n">
        <v>0</v>
      </c>
      <c r="J721" t="n">
        <v>0</v>
      </c>
      <c r="K721" t="n">
        <v>0</v>
      </c>
      <c r="L721" t="n">
        <v>0</v>
      </c>
      <c r="M721" t="n">
        <v>0</v>
      </c>
      <c r="N721" t="n">
        <v>0</v>
      </c>
      <c r="O721" t="n">
        <v>0</v>
      </c>
      <c r="P721" t="n">
        <v>0</v>
      </c>
      <c r="Q721" t="n">
        <v>0</v>
      </c>
      <c r="R721" s="2" t="inlineStr"/>
    </row>
    <row r="722" ht="15" customHeight="1">
      <c r="A722" t="inlineStr">
        <is>
          <t>A 31296-2025</t>
        </is>
      </c>
      <c r="B722" s="1" t="n">
        <v>45833.36765046296</v>
      </c>
      <c r="C722" s="1" t="n">
        <v>46085</v>
      </c>
      <c r="D722" t="inlineStr">
        <is>
          <t>VÄSTMANLANDS LÄN</t>
        </is>
      </c>
      <c r="E722" t="inlineStr">
        <is>
          <t>SALA</t>
        </is>
      </c>
      <c r="G722" t="n">
        <v>3.7</v>
      </c>
      <c r="H722" t="n">
        <v>0</v>
      </c>
      <c r="I722" t="n">
        <v>0</v>
      </c>
      <c r="J722" t="n">
        <v>0</v>
      </c>
      <c r="K722" t="n">
        <v>0</v>
      </c>
      <c r="L722" t="n">
        <v>0</v>
      </c>
      <c r="M722" t="n">
        <v>0</v>
      </c>
      <c r="N722" t="n">
        <v>0</v>
      </c>
      <c r="O722" t="n">
        <v>0</v>
      </c>
      <c r="P722" t="n">
        <v>0</v>
      </c>
      <c r="Q722" t="n">
        <v>0</v>
      </c>
      <c r="R722" s="2" t="inlineStr"/>
    </row>
    <row r="723" ht="15" customHeight="1">
      <c r="A723" t="inlineStr">
        <is>
          <t>A 31573-2025</t>
        </is>
      </c>
      <c r="B723" s="1" t="n">
        <v>45833</v>
      </c>
      <c r="C723" s="1" t="n">
        <v>46085</v>
      </c>
      <c r="D723" t="inlineStr">
        <is>
          <t>VÄSTMANLANDS LÄN</t>
        </is>
      </c>
      <c r="E723" t="inlineStr">
        <is>
          <t>SALA</t>
        </is>
      </c>
      <c r="G723" t="n">
        <v>0.6</v>
      </c>
      <c r="H723" t="n">
        <v>0</v>
      </c>
      <c r="I723" t="n">
        <v>0</v>
      </c>
      <c r="J723" t="n">
        <v>0</v>
      </c>
      <c r="K723" t="n">
        <v>0</v>
      </c>
      <c r="L723" t="n">
        <v>0</v>
      </c>
      <c r="M723" t="n">
        <v>0</v>
      </c>
      <c r="N723" t="n">
        <v>0</v>
      </c>
      <c r="O723" t="n">
        <v>0</v>
      </c>
      <c r="P723" t="n">
        <v>0</v>
      </c>
      <c r="Q723" t="n">
        <v>0</v>
      </c>
      <c r="R723" s="2" t="inlineStr"/>
    </row>
    <row r="724" ht="15" customHeight="1">
      <c r="A724" t="inlineStr">
        <is>
          <t>A 32201-2025</t>
        </is>
      </c>
      <c r="B724" s="1" t="n">
        <v>45835</v>
      </c>
      <c r="C724" s="1" t="n">
        <v>46085</v>
      </c>
      <c r="D724" t="inlineStr">
        <is>
          <t>VÄSTMANLANDS LÄN</t>
        </is>
      </c>
      <c r="E724" t="inlineStr">
        <is>
          <t>SALA</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32205-2025</t>
        </is>
      </c>
      <c r="B725" s="1" t="n">
        <v>45835</v>
      </c>
      <c r="C725" s="1" t="n">
        <v>46085</v>
      </c>
      <c r="D725" t="inlineStr">
        <is>
          <t>VÄSTMANLANDS LÄN</t>
        </is>
      </c>
      <c r="E725" t="inlineStr">
        <is>
          <t>SALA</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32210-2025</t>
        </is>
      </c>
      <c r="B726" s="1" t="n">
        <v>45835</v>
      </c>
      <c r="C726" s="1" t="n">
        <v>46085</v>
      </c>
      <c r="D726" t="inlineStr">
        <is>
          <t>VÄSTMANLANDS LÄN</t>
        </is>
      </c>
      <c r="E726" t="inlineStr">
        <is>
          <t>SALA</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32286-2025</t>
        </is>
      </c>
      <c r="B727" s="1" t="n">
        <v>45835</v>
      </c>
      <c r="C727" s="1" t="n">
        <v>46085</v>
      </c>
      <c r="D727" t="inlineStr">
        <is>
          <t>VÄSTMANLANDS LÄN</t>
        </is>
      </c>
      <c r="E727" t="inlineStr">
        <is>
          <t>SALA</t>
        </is>
      </c>
      <c r="G727" t="n">
        <v>6.4</v>
      </c>
      <c r="H727" t="n">
        <v>0</v>
      </c>
      <c r="I727" t="n">
        <v>0</v>
      </c>
      <c r="J727" t="n">
        <v>0</v>
      </c>
      <c r="K727" t="n">
        <v>0</v>
      </c>
      <c r="L727" t="n">
        <v>0</v>
      </c>
      <c r="M727" t="n">
        <v>0</v>
      </c>
      <c r="N727" t="n">
        <v>0</v>
      </c>
      <c r="O727" t="n">
        <v>0</v>
      </c>
      <c r="P727" t="n">
        <v>0</v>
      </c>
      <c r="Q727" t="n">
        <v>0</v>
      </c>
      <c r="R727" s="2" t="inlineStr"/>
    </row>
    <row r="728" ht="15" customHeight="1">
      <c r="A728" t="inlineStr">
        <is>
          <t>A 32207-2025</t>
        </is>
      </c>
      <c r="B728" s="1" t="n">
        <v>45835</v>
      </c>
      <c r="C728" s="1" t="n">
        <v>46085</v>
      </c>
      <c r="D728" t="inlineStr">
        <is>
          <t>VÄSTMANLANDS LÄN</t>
        </is>
      </c>
      <c r="E728" t="inlineStr">
        <is>
          <t>SALA</t>
        </is>
      </c>
      <c r="F728" t="inlineStr">
        <is>
          <t>Bergvik skog öst AB</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32902-2025</t>
        </is>
      </c>
      <c r="B729" s="1" t="n">
        <v>45839</v>
      </c>
      <c r="C729" s="1" t="n">
        <v>46085</v>
      </c>
      <c r="D729" t="inlineStr">
        <is>
          <t>VÄSTMANLANDS LÄN</t>
        </is>
      </c>
      <c r="E729" t="inlineStr">
        <is>
          <t>SALA</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34069-2025</t>
        </is>
      </c>
      <c r="B730" s="1" t="n">
        <v>45845.43560185185</v>
      </c>
      <c r="C730" s="1" t="n">
        <v>46085</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c r="U730">
        <f>HYPERLINK("https://klasma.github.io/Logging_1981/knärot/A 34069-2025 karta knärot.png", "A 34069-2025")</f>
        <v/>
      </c>
      <c r="V730">
        <f>HYPERLINK("https://klasma.github.io/Logging_1981/klagomål/A 34069-2025 FSC-klagomål.docx", "A 34069-2025")</f>
        <v/>
      </c>
      <c r="W730">
        <f>HYPERLINK("https://klasma.github.io/Logging_1981/klagomålsmail/A 34069-2025 FSC-klagomål mail.docx", "A 34069-2025")</f>
        <v/>
      </c>
      <c r="X730">
        <f>HYPERLINK("https://klasma.github.io/Logging_1981/tillsyn/A 34069-2025 tillsynsbegäran.docx", "A 34069-2025")</f>
        <v/>
      </c>
      <c r="Y730">
        <f>HYPERLINK("https://klasma.github.io/Logging_1981/tillsynsmail/A 34069-2025 tillsynsbegäran mail.docx", "A 34069-2025")</f>
        <v/>
      </c>
    </row>
    <row r="731" ht="15" customHeight="1">
      <c r="A731" t="inlineStr">
        <is>
          <t>A 15744-2025</t>
        </is>
      </c>
      <c r="B731" s="1" t="n">
        <v>45748</v>
      </c>
      <c r="C731" s="1" t="n">
        <v>46085</v>
      </c>
      <c r="D731" t="inlineStr">
        <is>
          <t>VÄSTMANLANDS LÄN</t>
        </is>
      </c>
      <c r="E731" t="inlineStr">
        <is>
          <t>SALA</t>
        </is>
      </c>
      <c r="G731" t="n">
        <v>1.6</v>
      </c>
      <c r="H731" t="n">
        <v>0</v>
      </c>
      <c r="I731" t="n">
        <v>0</v>
      </c>
      <c r="J731" t="n">
        <v>0</v>
      </c>
      <c r="K731" t="n">
        <v>0</v>
      </c>
      <c r="L731" t="n">
        <v>0</v>
      </c>
      <c r="M731" t="n">
        <v>0</v>
      </c>
      <c r="N731" t="n">
        <v>0</v>
      </c>
      <c r="O731" t="n">
        <v>0</v>
      </c>
      <c r="P731" t="n">
        <v>0</v>
      </c>
      <c r="Q731" t="n">
        <v>0</v>
      </c>
      <c r="R731" s="2" t="inlineStr"/>
    </row>
    <row r="732" ht="15" customHeight="1">
      <c r="A732" t="inlineStr">
        <is>
          <t>A 35715-2025</t>
        </is>
      </c>
      <c r="B732" s="1" t="n">
        <v>45860.42148148148</v>
      </c>
      <c r="C732" s="1" t="n">
        <v>46085</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35651-2025</t>
        </is>
      </c>
      <c r="B733" s="1" t="n">
        <v>45859.52435185185</v>
      </c>
      <c r="C733" s="1" t="n">
        <v>46085</v>
      </c>
      <c r="D733" t="inlineStr">
        <is>
          <t>VÄSTMANLANDS LÄN</t>
        </is>
      </c>
      <c r="E733" t="inlineStr">
        <is>
          <t>SALA</t>
        </is>
      </c>
      <c r="G733" t="n">
        <v>6.3</v>
      </c>
      <c r="H733" t="n">
        <v>0</v>
      </c>
      <c r="I733" t="n">
        <v>0</v>
      </c>
      <c r="J733" t="n">
        <v>0</v>
      </c>
      <c r="K733" t="n">
        <v>0</v>
      </c>
      <c r="L733" t="n">
        <v>0</v>
      </c>
      <c r="M733" t="n">
        <v>0</v>
      </c>
      <c r="N733" t="n">
        <v>0</v>
      </c>
      <c r="O733" t="n">
        <v>0</v>
      </c>
      <c r="P733" t="n">
        <v>0</v>
      </c>
      <c r="Q733" t="n">
        <v>0</v>
      </c>
      <c r="R733" s="2" t="inlineStr"/>
    </row>
    <row r="734" ht="15" customHeight="1">
      <c r="A734" t="inlineStr">
        <is>
          <t>A 35775-2025</t>
        </is>
      </c>
      <c r="B734" s="1" t="n">
        <v>45860</v>
      </c>
      <c r="C734" s="1" t="n">
        <v>46085</v>
      </c>
      <c r="D734" t="inlineStr">
        <is>
          <t>VÄSTMANLANDS LÄN</t>
        </is>
      </c>
      <c r="E734" t="inlineStr">
        <is>
          <t>SALA</t>
        </is>
      </c>
      <c r="G734" t="n">
        <v>2.6</v>
      </c>
      <c r="H734" t="n">
        <v>0</v>
      </c>
      <c r="I734" t="n">
        <v>0</v>
      </c>
      <c r="J734" t="n">
        <v>0</v>
      </c>
      <c r="K734" t="n">
        <v>0</v>
      </c>
      <c r="L734" t="n">
        <v>0</v>
      </c>
      <c r="M734" t="n">
        <v>0</v>
      </c>
      <c r="N734" t="n">
        <v>0</v>
      </c>
      <c r="O734" t="n">
        <v>0</v>
      </c>
      <c r="P734" t="n">
        <v>0</v>
      </c>
      <c r="Q734" t="n">
        <v>0</v>
      </c>
      <c r="R734" s="2" t="inlineStr"/>
    </row>
    <row r="735" ht="15" customHeight="1">
      <c r="A735" t="inlineStr">
        <is>
          <t>A 35774-2025</t>
        </is>
      </c>
      <c r="B735" s="1" t="n">
        <v>45860.68780092592</v>
      </c>
      <c r="C735" s="1" t="n">
        <v>46085</v>
      </c>
      <c r="D735" t="inlineStr">
        <is>
          <t>VÄSTMANLANDS LÄN</t>
        </is>
      </c>
      <c r="E735" t="inlineStr">
        <is>
          <t>SALA</t>
        </is>
      </c>
      <c r="G735" t="n">
        <v>6.5</v>
      </c>
      <c r="H735" t="n">
        <v>0</v>
      </c>
      <c r="I735" t="n">
        <v>0</v>
      </c>
      <c r="J735" t="n">
        <v>0</v>
      </c>
      <c r="K735" t="n">
        <v>0</v>
      </c>
      <c r="L735" t="n">
        <v>0</v>
      </c>
      <c r="M735" t="n">
        <v>0</v>
      </c>
      <c r="N735" t="n">
        <v>0</v>
      </c>
      <c r="O735" t="n">
        <v>0</v>
      </c>
      <c r="P735" t="n">
        <v>0</v>
      </c>
      <c r="Q735" t="n">
        <v>0</v>
      </c>
      <c r="R735" s="2" t="inlineStr"/>
    </row>
    <row r="736" ht="15" customHeight="1">
      <c r="A736" t="inlineStr">
        <is>
          <t>A 35776-2025</t>
        </is>
      </c>
      <c r="B736" s="1" t="n">
        <v>45860.69211805556</v>
      </c>
      <c r="C736" s="1" t="n">
        <v>46085</v>
      </c>
      <c r="D736" t="inlineStr">
        <is>
          <t>VÄSTMANLANDS LÄN</t>
        </is>
      </c>
      <c r="E736" t="inlineStr">
        <is>
          <t>SALA</t>
        </is>
      </c>
      <c r="G736" t="n">
        <v>14.2</v>
      </c>
      <c r="H736" t="n">
        <v>0</v>
      </c>
      <c r="I736" t="n">
        <v>0</v>
      </c>
      <c r="J736" t="n">
        <v>0</v>
      </c>
      <c r="K736" t="n">
        <v>0</v>
      </c>
      <c r="L736" t="n">
        <v>0</v>
      </c>
      <c r="M736" t="n">
        <v>0</v>
      </c>
      <c r="N736" t="n">
        <v>0</v>
      </c>
      <c r="O736" t="n">
        <v>0</v>
      </c>
      <c r="P736" t="n">
        <v>0</v>
      </c>
      <c r="Q736" t="n">
        <v>0</v>
      </c>
      <c r="R736" s="2" t="inlineStr"/>
    </row>
    <row r="737" ht="15" customHeight="1">
      <c r="A737" t="inlineStr">
        <is>
          <t>A 35779-2025</t>
        </is>
      </c>
      <c r="B737" s="1" t="n">
        <v>45860.69495370371</v>
      </c>
      <c r="C737" s="1" t="n">
        <v>46085</v>
      </c>
      <c r="D737" t="inlineStr">
        <is>
          <t>VÄSTMANLANDS LÄN</t>
        </is>
      </c>
      <c r="E737" t="inlineStr">
        <is>
          <t>SALA</t>
        </is>
      </c>
      <c r="G737" t="n">
        <v>2.4</v>
      </c>
      <c r="H737" t="n">
        <v>0</v>
      </c>
      <c r="I737" t="n">
        <v>0</v>
      </c>
      <c r="J737" t="n">
        <v>0</v>
      </c>
      <c r="K737" t="n">
        <v>0</v>
      </c>
      <c r="L737" t="n">
        <v>0</v>
      </c>
      <c r="M737" t="n">
        <v>0</v>
      </c>
      <c r="N737" t="n">
        <v>0</v>
      </c>
      <c r="O737" t="n">
        <v>0</v>
      </c>
      <c r="P737" t="n">
        <v>0</v>
      </c>
      <c r="Q737" t="n">
        <v>0</v>
      </c>
      <c r="R737" s="2" t="inlineStr"/>
    </row>
    <row r="738" ht="15" customHeight="1">
      <c r="A738" t="inlineStr">
        <is>
          <t>A 36049-2025</t>
        </is>
      </c>
      <c r="B738" s="1" t="n">
        <v>45866.37065972222</v>
      </c>
      <c r="C738" s="1" t="n">
        <v>46085</v>
      </c>
      <c r="D738" t="inlineStr">
        <is>
          <t>VÄSTMANLANDS LÄN</t>
        </is>
      </c>
      <c r="E738" t="inlineStr">
        <is>
          <t>SALA</t>
        </is>
      </c>
      <c r="F738" t="inlineStr">
        <is>
          <t>Kommuner</t>
        </is>
      </c>
      <c r="G738" t="n">
        <v>1.9</v>
      </c>
      <c r="H738" t="n">
        <v>0</v>
      </c>
      <c r="I738" t="n">
        <v>0</v>
      </c>
      <c r="J738" t="n">
        <v>0</v>
      </c>
      <c r="K738" t="n">
        <v>0</v>
      </c>
      <c r="L738" t="n">
        <v>0</v>
      </c>
      <c r="M738" t="n">
        <v>0</v>
      </c>
      <c r="N738" t="n">
        <v>0</v>
      </c>
      <c r="O738" t="n">
        <v>0</v>
      </c>
      <c r="P738" t="n">
        <v>0</v>
      </c>
      <c r="Q738" t="n">
        <v>0</v>
      </c>
      <c r="R738" s="2" t="inlineStr"/>
    </row>
    <row r="739" ht="15" customHeight="1">
      <c r="A739" t="inlineStr">
        <is>
          <t>A 36031-2025</t>
        </is>
      </c>
      <c r="B739" s="1" t="n">
        <v>45865.46111111111</v>
      </c>
      <c r="C739" s="1" t="n">
        <v>46085</v>
      </c>
      <c r="D739" t="inlineStr">
        <is>
          <t>VÄSTMANLANDS LÄN</t>
        </is>
      </c>
      <c r="E739" t="inlineStr">
        <is>
          <t>SALA</t>
        </is>
      </c>
      <c r="G739" t="n">
        <v>7.2</v>
      </c>
      <c r="H739" t="n">
        <v>0</v>
      </c>
      <c r="I739" t="n">
        <v>0</v>
      </c>
      <c r="J739" t="n">
        <v>0</v>
      </c>
      <c r="K739" t="n">
        <v>0</v>
      </c>
      <c r="L739" t="n">
        <v>0</v>
      </c>
      <c r="M739" t="n">
        <v>0</v>
      </c>
      <c r="N739" t="n">
        <v>0</v>
      </c>
      <c r="O739" t="n">
        <v>0</v>
      </c>
      <c r="P739" t="n">
        <v>0</v>
      </c>
      <c r="Q739" t="n">
        <v>0</v>
      </c>
      <c r="R739" s="2" t="inlineStr"/>
    </row>
    <row r="740" ht="15" customHeight="1">
      <c r="A740" t="inlineStr">
        <is>
          <t>A 36060-2025</t>
        </is>
      </c>
      <c r="B740" s="1" t="n">
        <v>45866.39469907407</v>
      </c>
      <c r="C740" s="1" t="n">
        <v>46085</v>
      </c>
      <c r="D740" t="inlineStr">
        <is>
          <t>VÄSTMANLANDS LÄN</t>
        </is>
      </c>
      <c r="E740" t="inlineStr">
        <is>
          <t>SALA</t>
        </is>
      </c>
      <c r="F740" t="inlineStr">
        <is>
          <t>Kommuner</t>
        </is>
      </c>
      <c r="G740" t="n">
        <v>4.3</v>
      </c>
      <c r="H740" t="n">
        <v>0</v>
      </c>
      <c r="I740" t="n">
        <v>0</v>
      </c>
      <c r="J740" t="n">
        <v>0</v>
      </c>
      <c r="K740" t="n">
        <v>0</v>
      </c>
      <c r="L740" t="n">
        <v>0</v>
      </c>
      <c r="M740" t="n">
        <v>0</v>
      </c>
      <c r="N740" t="n">
        <v>0</v>
      </c>
      <c r="O740" t="n">
        <v>0</v>
      </c>
      <c r="P740" t="n">
        <v>0</v>
      </c>
      <c r="Q740" t="n">
        <v>0</v>
      </c>
      <c r="R740" s="2" t="inlineStr"/>
    </row>
    <row r="741" ht="15" customHeight="1">
      <c r="A741" t="inlineStr">
        <is>
          <t>A 36032-2025</t>
        </is>
      </c>
      <c r="B741" s="1" t="n">
        <v>45865.48740740741</v>
      </c>
      <c r="C741" s="1" t="n">
        <v>46085</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36043-2025</t>
        </is>
      </c>
      <c r="B742" s="1" t="n">
        <v>45866.35333333333</v>
      </c>
      <c r="C742" s="1" t="n">
        <v>46085</v>
      </c>
      <c r="D742" t="inlineStr">
        <is>
          <t>VÄSTMANLANDS LÄN</t>
        </is>
      </c>
      <c r="E742" t="inlineStr">
        <is>
          <t>SALA</t>
        </is>
      </c>
      <c r="F742" t="inlineStr">
        <is>
          <t>Kommuner</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36045-2025</t>
        </is>
      </c>
      <c r="B743" s="1" t="n">
        <v>45866.36200231482</v>
      </c>
      <c r="C743" s="1" t="n">
        <v>46085</v>
      </c>
      <c r="D743" t="inlineStr">
        <is>
          <t>VÄSTMANLANDS LÄN</t>
        </is>
      </c>
      <c r="E743" t="inlineStr">
        <is>
          <t>SALA</t>
        </is>
      </c>
      <c r="F743" t="inlineStr">
        <is>
          <t>Kommuner</t>
        </is>
      </c>
      <c r="G743" t="n">
        <v>1.7</v>
      </c>
      <c r="H743" t="n">
        <v>0</v>
      </c>
      <c r="I743" t="n">
        <v>0</v>
      </c>
      <c r="J743" t="n">
        <v>0</v>
      </c>
      <c r="K743" t="n">
        <v>0</v>
      </c>
      <c r="L743" t="n">
        <v>0</v>
      </c>
      <c r="M743" t="n">
        <v>0</v>
      </c>
      <c r="N743" t="n">
        <v>0</v>
      </c>
      <c r="O743" t="n">
        <v>0</v>
      </c>
      <c r="P743" t="n">
        <v>0</v>
      </c>
      <c r="Q743" t="n">
        <v>0</v>
      </c>
      <c r="R743" s="2" t="inlineStr"/>
    </row>
    <row r="744" ht="15" customHeight="1">
      <c r="A744" t="inlineStr">
        <is>
          <t>A 17985-2025</t>
        </is>
      </c>
      <c r="B744" s="1" t="n">
        <v>45761</v>
      </c>
      <c r="C744" s="1" t="n">
        <v>46085</v>
      </c>
      <c r="D744" t="inlineStr">
        <is>
          <t>VÄSTMANLANDS LÄN</t>
        </is>
      </c>
      <c r="E744" t="inlineStr">
        <is>
          <t>SALA</t>
        </is>
      </c>
      <c r="G744" t="n">
        <v>12.5</v>
      </c>
      <c r="H744" t="n">
        <v>0</v>
      </c>
      <c r="I744" t="n">
        <v>0</v>
      </c>
      <c r="J744" t="n">
        <v>0</v>
      </c>
      <c r="K744" t="n">
        <v>0</v>
      </c>
      <c r="L744" t="n">
        <v>0</v>
      </c>
      <c r="M744" t="n">
        <v>0</v>
      </c>
      <c r="N744" t="n">
        <v>0</v>
      </c>
      <c r="O744" t="n">
        <v>0</v>
      </c>
      <c r="P744" t="n">
        <v>0</v>
      </c>
      <c r="Q744" t="n">
        <v>0</v>
      </c>
      <c r="R744" s="2" t="inlineStr"/>
    </row>
    <row r="745" ht="15" customHeight="1">
      <c r="A745" t="inlineStr">
        <is>
          <t>A 31869-2025</t>
        </is>
      </c>
      <c r="B745" s="1" t="n">
        <v>45834.64555555556</v>
      </c>
      <c r="C745" s="1" t="n">
        <v>46085</v>
      </c>
      <c r="D745" t="inlineStr">
        <is>
          <t>VÄSTMANLANDS LÄN</t>
        </is>
      </c>
      <c r="E745" t="inlineStr">
        <is>
          <t>SALA</t>
        </is>
      </c>
      <c r="G745" t="n">
        <v>17.5</v>
      </c>
      <c r="H745" t="n">
        <v>0</v>
      </c>
      <c r="I745" t="n">
        <v>0</v>
      </c>
      <c r="J745" t="n">
        <v>0</v>
      </c>
      <c r="K745" t="n">
        <v>0</v>
      </c>
      <c r="L745" t="n">
        <v>0</v>
      </c>
      <c r="M745" t="n">
        <v>0</v>
      </c>
      <c r="N745" t="n">
        <v>0</v>
      </c>
      <c r="O745" t="n">
        <v>0</v>
      </c>
      <c r="P745" t="n">
        <v>0</v>
      </c>
      <c r="Q745" t="n">
        <v>0</v>
      </c>
      <c r="R745" s="2" t="inlineStr"/>
    </row>
    <row r="746" ht="15" customHeight="1">
      <c r="A746" t="inlineStr">
        <is>
          <t>A 31863-2025</t>
        </is>
      </c>
      <c r="B746" s="1" t="n">
        <v>45834.63303240741</v>
      </c>
      <c r="C746" s="1" t="n">
        <v>46085</v>
      </c>
      <c r="D746" t="inlineStr">
        <is>
          <t>VÄSTMANLANDS LÄN</t>
        </is>
      </c>
      <c r="E746" t="inlineStr">
        <is>
          <t>SALA</t>
        </is>
      </c>
      <c r="G746" t="n">
        <v>2.5</v>
      </c>
      <c r="H746" t="n">
        <v>0</v>
      </c>
      <c r="I746" t="n">
        <v>0</v>
      </c>
      <c r="J746" t="n">
        <v>0</v>
      </c>
      <c r="K746" t="n">
        <v>0</v>
      </c>
      <c r="L746" t="n">
        <v>0</v>
      </c>
      <c r="M746" t="n">
        <v>0</v>
      </c>
      <c r="N746" t="n">
        <v>0</v>
      </c>
      <c r="O746" t="n">
        <v>0</v>
      </c>
      <c r="P746" t="n">
        <v>0</v>
      </c>
      <c r="Q746" t="n">
        <v>0</v>
      </c>
      <c r="R746" s="2" t="inlineStr"/>
    </row>
    <row r="747" ht="15" customHeight="1">
      <c r="A747" t="inlineStr">
        <is>
          <t>A 17766-2025</t>
        </is>
      </c>
      <c r="B747" s="1" t="n">
        <v>45758</v>
      </c>
      <c r="C747" s="1" t="n">
        <v>46085</v>
      </c>
      <c r="D747" t="inlineStr">
        <is>
          <t>VÄSTMANLANDS LÄN</t>
        </is>
      </c>
      <c r="E747" t="inlineStr">
        <is>
          <t>SALA</t>
        </is>
      </c>
      <c r="G747" t="n">
        <v>16.5</v>
      </c>
      <c r="H747" t="n">
        <v>0</v>
      </c>
      <c r="I747" t="n">
        <v>0</v>
      </c>
      <c r="J747" t="n">
        <v>0</v>
      </c>
      <c r="K747" t="n">
        <v>0</v>
      </c>
      <c r="L747" t="n">
        <v>0</v>
      </c>
      <c r="M747" t="n">
        <v>0</v>
      </c>
      <c r="N747" t="n">
        <v>0</v>
      </c>
      <c r="O747" t="n">
        <v>0</v>
      </c>
      <c r="P747" t="n">
        <v>0</v>
      </c>
      <c r="Q747" t="n">
        <v>0</v>
      </c>
      <c r="R747" s="2" t="inlineStr"/>
    </row>
    <row r="748" ht="15" customHeight="1">
      <c r="A748" t="inlineStr">
        <is>
          <t>A 7664-2023</t>
        </is>
      </c>
      <c r="B748" s="1" t="n">
        <v>44972</v>
      </c>
      <c r="C748" s="1" t="n">
        <v>46085</v>
      </c>
      <c r="D748" t="inlineStr">
        <is>
          <t>VÄSTMANLANDS LÄN</t>
        </is>
      </c>
      <c r="E748" t="inlineStr">
        <is>
          <t>SALA</t>
        </is>
      </c>
      <c r="G748" t="n">
        <v>1.4</v>
      </c>
      <c r="H748" t="n">
        <v>0</v>
      </c>
      <c r="I748" t="n">
        <v>0</v>
      </c>
      <c r="J748" t="n">
        <v>0</v>
      </c>
      <c r="K748" t="n">
        <v>0</v>
      </c>
      <c r="L748" t="n">
        <v>0</v>
      </c>
      <c r="M748" t="n">
        <v>0</v>
      </c>
      <c r="N748" t="n">
        <v>0</v>
      </c>
      <c r="O748" t="n">
        <v>0</v>
      </c>
      <c r="P748" t="n">
        <v>0</v>
      </c>
      <c r="Q748" t="n">
        <v>0</v>
      </c>
      <c r="R748" s="2" t="inlineStr"/>
    </row>
    <row r="749" ht="15" customHeight="1">
      <c r="A749" t="inlineStr">
        <is>
          <t>A 3546-2025</t>
        </is>
      </c>
      <c r="B749" s="1" t="n">
        <v>45680</v>
      </c>
      <c r="C749" s="1" t="n">
        <v>46085</v>
      </c>
      <c r="D749" t="inlineStr">
        <is>
          <t>VÄSTMANLANDS LÄN</t>
        </is>
      </c>
      <c r="E749" t="inlineStr">
        <is>
          <t>SALA</t>
        </is>
      </c>
      <c r="G749" t="n">
        <v>0.4</v>
      </c>
      <c r="H749" t="n">
        <v>0</v>
      </c>
      <c r="I749" t="n">
        <v>0</v>
      </c>
      <c r="J749" t="n">
        <v>0</v>
      </c>
      <c r="K749" t="n">
        <v>0</v>
      </c>
      <c r="L749" t="n">
        <v>0</v>
      </c>
      <c r="M749" t="n">
        <v>0</v>
      </c>
      <c r="N749" t="n">
        <v>0</v>
      </c>
      <c r="O749" t="n">
        <v>0</v>
      </c>
      <c r="P749" t="n">
        <v>0</v>
      </c>
      <c r="Q749" t="n">
        <v>0</v>
      </c>
      <c r="R749" s="2" t="inlineStr"/>
    </row>
    <row r="750" ht="15" customHeight="1">
      <c r="A750" t="inlineStr">
        <is>
          <t>A 37017-2025</t>
        </is>
      </c>
      <c r="B750" s="1" t="n">
        <v>45874</v>
      </c>
      <c r="C750" s="1" t="n">
        <v>46085</v>
      </c>
      <c r="D750" t="inlineStr">
        <is>
          <t>VÄSTMANLANDS LÄN</t>
        </is>
      </c>
      <c r="E750" t="inlineStr">
        <is>
          <t>SALA</t>
        </is>
      </c>
      <c r="G750" t="n">
        <v>11.1</v>
      </c>
      <c r="H750" t="n">
        <v>0</v>
      </c>
      <c r="I750" t="n">
        <v>0</v>
      </c>
      <c r="J750" t="n">
        <v>0</v>
      </c>
      <c r="K750" t="n">
        <v>0</v>
      </c>
      <c r="L750" t="n">
        <v>0</v>
      </c>
      <c r="M750" t="n">
        <v>0</v>
      </c>
      <c r="N750" t="n">
        <v>0</v>
      </c>
      <c r="O750" t="n">
        <v>0</v>
      </c>
      <c r="P750" t="n">
        <v>0</v>
      </c>
      <c r="Q750" t="n">
        <v>0</v>
      </c>
      <c r="R750" s="2" t="inlineStr"/>
    </row>
    <row r="751" ht="15" customHeight="1">
      <c r="A751" t="inlineStr">
        <is>
          <t>A 37103-2025</t>
        </is>
      </c>
      <c r="B751" s="1" t="n">
        <v>45875.47743055555</v>
      </c>
      <c r="C751" s="1" t="n">
        <v>46085</v>
      </c>
      <c r="D751" t="inlineStr">
        <is>
          <t>VÄSTMANLANDS LÄN</t>
        </is>
      </c>
      <c r="E751" t="inlineStr">
        <is>
          <t>SALA</t>
        </is>
      </c>
      <c r="G751" t="n">
        <v>1.9</v>
      </c>
      <c r="H751" t="n">
        <v>0</v>
      </c>
      <c r="I751" t="n">
        <v>0</v>
      </c>
      <c r="J751" t="n">
        <v>0</v>
      </c>
      <c r="K751" t="n">
        <v>0</v>
      </c>
      <c r="L751" t="n">
        <v>0</v>
      </c>
      <c r="M751" t="n">
        <v>0</v>
      </c>
      <c r="N751" t="n">
        <v>0</v>
      </c>
      <c r="O751" t="n">
        <v>0</v>
      </c>
      <c r="P751" t="n">
        <v>0</v>
      </c>
      <c r="Q751" t="n">
        <v>0</v>
      </c>
      <c r="R751" s="2" t="inlineStr"/>
    </row>
    <row r="752" ht="15" customHeight="1">
      <c r="A752" t="inlineStr">
        <is>
          <t>A 37246-2025</t>
        </is>
      </c>
      <c r="B752" s="1" t="n">
        <v>45876.39435185185</v>
      </c>
      <c r="C752" s="1" t="n">
        <v>46085</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37590-2025</t>
        </is>
      </c>
      <c r="B753" s="1" t="n">
        <v>45880.41138888889</v>
      </c>
      <c r="C753" s="1" t="n">
        <v>46085</v>
      </c>
      <c r="D753" t="inlineStr">
        <is>
          <t>VÄSTMANLANDS LÄN</t>
        </is>
      </c>
      <c r="E753" t="inlineStr">
        <is>
          <t>SALA</t>
        </is>
      </c>
      <c r="G753" t="n">
        <v>2.2</v>
      </c>
      <c r="H753" t="n">
        <v>0</v>
      </c>
      <c r="I753" t="n">
        <v>0</v>
      </c>
      <c r="J753" t="n">
        <v>0</v>
      </c>
      <c r="K753" t="n">
        <v>0</v>
      </c>
      <c r="L753" t="n">
        <v>0</v>
      </c>
      <c r="M753" t="n">
        <v>0</v>
      </c>
      <c r="N753" t="n">
        <v>0</v>
      </c>
      <c r="O753" t="n">
        <v>0</v>
      </c>
      <c r="P753" t="n">
        <v>0</v>
      </c>
      <c r="Q753" t="n">
        <v>0</v>
      </c>
      <c r="R753" s="2" t="inlineStr"/>
    </row>
    <row r="754" ht="15" customHeight="1">
      <c r="A754" t="inlineStr">
        <is>
          <t>A 37593-2025</t>
        </is>
      </c>
      <c r="B754" s="1" t="n">
        <v>45880.41325231481</v>
      </c>
      <c r="C754" s="1" t="n">
        <v>46085</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43359-2024</t>
        </is>
      </c>
      <c r="B755" s="1" t="n">
        <v>45568.57724537037</v>
      </c>
      <c r="C755" s="1" t="n">
        <v>46085</v>
      </c>
      <c r="D755" t="inlineStr">
        <is>
          <t>VÄSTMANLANDS LÄN</t>
        </is>
      </c>
      <c r="E755" t="inlineStr">
        <is>
          <t>SALA</t>
        </is>
      </c>
      <c r="G755" t="n">
        <v>1.6</v>
      </c>
      <c r="H755" t="n">
        <v>0</v>
      </c>
      <c r="I755" t="n">
        <v>0</v>
      </c>
      <c r="J755" t="n">
        <v>0</v>
      </c>
      <c r="K755" t="n">
        <v>0</v>
      </c>
      <c r="L755" t="n">
        <v>0</v>
      </c>
      <c r="M755" t="n">
        <v>0</v>
      </c>
      <c r="N755" t="n">
        <v>0</v>
      </c>
      <c r="O755" t="n">
        <v>0</v>
      </c>
      <c r="P755" t="n">
        <v>0</v>
      </c>
      <c r="Q755" t="n">
        <v>0</v>
      </c>
      <c r="R755" s="2" t="inlineStr"/>
    </row>
    <row r="756">
      <c r="A756" t="inlineStr">
        <is>
          <t>A 29972-2025</t>
        </is>
      </c>
      <c r="B756" s="1" t="n">
        <v>45826</v>
      </c>
      <c r="C756" s="1" t="n">
        <v>46085</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2026-03-04T11:11:59Z</dcterms:created>
  <dcterms:modified xmlns:dcterms="http://purl.org/dc/terms/" xmlns:xsi="http://www.w3.org/2001/XMLSchema-instance" xsi:type="dcterms:W3CDTF">2026-03-04T11:12:00Z</dcterms:modified>
</cp:coreProperties>
</file>