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45982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45982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45982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45982</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10344-2025</t>
        </is>
      </c>
      <c r="B13" s="1" t="n">
        <v>45720</v>
      </c>
      <c r="C13" s="1" t="n">
        <v>45982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45982</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45982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45982</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45982</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45982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45982</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45982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45982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45982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45982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45982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45982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45982</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45982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45982</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45982</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45982</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45982</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45982</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45982</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45982</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45982</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45982</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45982</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37166-2024</t>
        </is>
      </c>
      <c r="B40" s="1" t="n">
        <v>45539</v>
      </c>
      <c r="C40" s="1" t="n">
        <v>45982</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45982</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50268-2025</t>
        </is>
      </c>
      <c r="B42" s="1" t="n">
        <v>45944.35162037037</v>
      </c>
      <c r="C42" s="1" t="n">
        <v>45982</v>
      </c>
      <c r="D42" t="inlineStr">
        <is>
          <t>VÄSTMANLANDS LÄN</t>
        </is>
      </c>
      <c r="E42" t="inlineStr">
        <is>
          <t>SALA</t>
        </is>
      </c>
      <c r="G42" t="n">
        <v>0.7</v>
      </c>
      <c r="H42" t="n">
        <v>1</v>
      </c>
      <c r="I42" t="n">
        <v>0</v>
      </c>
      <c r="J42" t="n">
        <v>0</v>
      </c>
      <c r="K42" t="n">
        <v>0</v>
      </c>
      <c r="L42" t="n">
        <v>0</v>
      </c>
      <c r="M42" t="n">
        <v>0</v>
      </c>
      <c r="N42" t="n">
        <v>0</v>
      </c>
      <c r="O42" t="n">
        <v>0</v>
      </c>
      <c r="P42" t="n">
        <v>0</v>
      </c>
      <c r="Q42" t="n">
        <v>1</v>
      </c>
      <c r="R42" s="2" t="inlineStr">
        <is>
          <t>Fläcknycklar</t>
        </is>
      </c>
      <c r="S42">
        <f>HYPERLINK("https://klasma.github.io/Logging_1981/artfynd/A 50268-2025 artfynd.xlsx", "A 50268-2025")</f>
        <v/>
      </c>
      <c r="T42">
        <f>HYPERLINK("https://klasma.github.io/Logging_1981/kartor/A 50268-2025 karta.png", "A 50268-2025")</f>
        <v/>
      </c>
      <c r="V42">
        <f>HYPERLINK("https://klasma.github.io/Logging_1981/klagomål/A 50268-2025 FSC-klagomål.docx", "A 50268-2025")</f>
        <v/>
      </c>
      <c r="W42">
        <f>HYPERLINK("https://klasma.github.io/Logging_1981/klagomålsmail/A 50268-2025 FSC-klagomål mail.docx", "A 50268-2025")</f>
        <v/>
      </c>
      <c r="X42">
        <f>HYPERLINK("https://klasma.github.io/Logging_1981/tillsyn/A 50268-2025 tillsynsbegäran.docx", "A 50268-2025")</f>
        <v/>
      </c>
      <c r="Y42">
        <f>HYPERLINK("https://klasma.github.io/Logging_1981/tillsynsmail/A 50268-2025 tillsynsbegäran mail.docx", "A 50268-2025")</f>
        <v/>
      </c>
    </row>
    <row r="43" ht="15" customHeight="1">
      <c r="A43" t="inlineStr">
        <is>
          <t>A 53052-2025</t>
        </is>
      </c>
      <c r="B43" s="1" t="n">
        <v>45958.36266203703</v>
      </c>
      <c r="C43" s="1" t="n">
        <v>45982</v>
      </c>
      <c r="D43" t="inlineStr">
        <is>
          <t>VÄSTMANLANDS LÄN</t>
        </is>
      </c>
      <c r="E43" t="inlineStr">
        <is>
          <t>SALA</t>
        </is>
      </c>
      <c r="F43" t="inlineStr">
        <is>
          <t>Sveaskog</t>
        </is>
      </c>
      <c r="G43" t="n">
        <v>1.1</v>
      </c>
      <c r="H43" t="n">
        <v>0</v>
      </c>
      <c r="I43" t="n">
        <v>0</v>
      </c>
      <c r="J43" t="n">
        <v>1</v>
      </c>
      <c r="K43" t="n">
        <v>0</v>
      </c>
      <c r="L43" t="n">
        <v>0</v>
      </c>
      <c r="M43" t="n">
        <v>0</v>
      </c>
      <c r="N43" t="n">
        <v>0</v>
      </c>
      <c r="O43" t="n">
        <v>1</v>
      </c>
      <c r="P43" t="n">
        <v>0</v>
      </c>
      <c r="Q43" t="n">
        <v>1</v>
      </c>
      <c r="R43" s="2" t="inlineStr">
        <is>
          <t>Motaggsvamp</t>
        </is>
      </c>
      <c r="S43">
        <f>HYPERLINK("https://klasma.github.io/Logging_1981/artfynd/A 53052-2025 artfynd.xlsx", "A 53052-2025")</f>
        <v/>
      </c>
      <c r="T43">
        <f>HYPERLINK("https://klasma.github.io/Logging_1981/kartor/A 53052-2025 karta.png", "A 53052-2025")</f>
        <v/>
      </c>
      <c r="V43">
        <f>HYPERLINK("https://klasma.github.io/Logging_1981/klagomål/A 53052-2025 FSC-klagomål.docx", "A 53052-2025")</f>
        <v/>
      </c>
      <c r="W43">
        <f>HYPERLINK("https://klasma.github.io/Logging_1981/klagomålsmail/A 53052-2025 FSC-klagomål mail.docx", "A 53052-2025")</f>
        <v/>
      </c>
      <c r="X43">
        <f>HYPERLINK("https://klasma.github.io/Logging_1981/tillsyn/A 53052-2025 tillsynsbegäran.docx", "A 53052-2025")</f>
        <v/>
      </c>
      <c r="Y43">
        <f>HYPERLINK("https://klasma.github.io/Logging_1981/tillsynsmail/A 53052-2025 tillsynsbegäran mail.docx", "A 53052-2025")</f>
        <v/>
      </c>
    </row>
    <row r="44" ht="15" customHeight="1">
      <c r="A44" t="inlineStr">
        <is>
          <t>A 32594-2025</t>
        </is>
      </c>
      <c r="B44" s="1" t="n">
        <v>45838</v>
      </c>
      <c r="C44" s="1" t="n">
        <v>45982</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22350-2024</t>
        </is>
      </c>
      <c r="B45" s="1" t="n">
        <v>45446</v>
      </c>
      <c r="C45" s="1" t="n">
        <v>45982</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14775-2023</t>
        </is>
      </c>
      <c r="B46" s="1" t="n">
        <v>45014</v>
      </c>
      <c r="C46" s="1" t="n">
        <v>45982</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45982</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55995-2025</t>
        </is>
      </c>
      <c r="B48" s="1" t="n">
        <v>45973.56733796297</v>
      </c>
      <c r="C48" s="1" t="n">
        <v>45982</v>
      </c>
      <c r="D48" t="inlineStr">
        <is>
          <t>VÄSTMANLANDS LÄN</t>
        </is>
      </c>
      <c r="E48" t="inlineStr">
        <is>
          <t>SALA</t>
        </is>
      </c>
      <c r="F48" t="inlineStr">
        <is>
          <t>Sveaskog</t>
        </is>
      </c>
      <c r="G48" t="n">
        <v>4.5</v>
      </c>
      <c r="H48" t="n">
        <v>1</v>
      </c>
      <c r="I48" t="n">
        <v>0</v>
      </c>
      <c r="J48" t="n">
        <v>0</v>
      </c>
      <c r="K48" t="n">
        <v>0</v>
      </c>
      <c r="L48" t="n">
        <v>0</v>
      </c>
      <c r="M48" t="n">
        <v>0</v>
      </c>
      <c r="N48" t="n">
        <v>0</v>
      </c>
      <c r="O48" t="n">
        <v>0</v>
      </c>
      <c r="P48" t="n">
        <v>0</v>
      </c>
      <c r="Q48" t="n">
        <v>1</v>
      </c>
      <c r="R48" s="2" t="inlineStr">
        <is>
          <t>Fläcknycklar</t>
        </is>
      </c>
      <c r="S48">
        <f>HYPERLINK("https://klasma.github.io/Logging_1981/artfynd/A 55995-2025 artfynd.xlsx", "A 55995-2025")</f>
        <v/>
      </c>
      <c r="T48">
        <f>HYPERLINK("https://klasma.github.io/Logging_1981/kartor/A 55995-2025 karta.png", "A 55995-2025")</f>
        <v/>
      </c>
      <c r="V48">
        <f>HYPERLINK("https://klasma.github.io/Logging_1981/klagomål/A 55995-2025 FSC-klagomål.docx", "A 55995-2025")</f>
        <v/>
      </c>
      <c r="W48">
        <f>HYPERLINK("https://klasma.github.io/Logging_1981/klagomålsmail/A 55995-2025 FSC-klagomål mail.docx", "A 55995-2025")</f>
        <v/>
      </c>
      <c r="X48">
        <f>HYPERLINK("https://klasma.github.io/Logging_1981/tillsyn/A 55995-2025 tillsynsbegäran.docx", "A 55995-2025")</f>
        <v/>
      </c>
      <c r="Y48">
        <f>HYPERLINK("https://klasma.github.io/Logging_1981/tillsynsmail/A 55995-2025 tillsynsbegäran mail.docx", "A 55995-2025")</f>
        <v/>
      </c>
    </row>
    <row r="49" ht="15" customHeight="1">
      <c r="A49" t="inlineStr">
        <is>
          <t>A 38255-2025</t>
        </is>
      </c>
      <c r="B49" s="1" t="n">
        <v>45883.38020833334</v>
      </c>
      <c r="C49" s="1" t="n">
        <v>45982</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60852-2024</t>
        </is>
      </c>
      <c r="B50" s="1" t="n">
        <v>45644</v>
      </c>
      <c r="C50" s="1" t="n">
        <v>45982</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48705-2025</t>
        </is>
      </c>
      <c r="B51" s="1" t="n">
        <v>45936.62290509259</v>
      </c>
      <c r="C51" s="1" t="n">
        <v>45982</v>
      </c>
      <c r="D51" t="inlineStr">
        <is>
          <t>VÄSTMANLANDS LÄN</t>
        </is>
      </c>
      <c r="E51" t="inlineStr">
        <is>
          <t>SALA</t>
        </is>
      </c>
      <c r="G51" t="n">
        <v>4.4</v>
      </c>
      <c r="H51" t="n">
        <v>1</v>
      </c>
      <c r="I51" t="n">
        <v>1</v>
      </c>
      <c r="J51" t="n">
        <v>0</v>
      </c>
      <c r="K51" t="n">
        <v>0</v>
      </c>
      <c r="L51" t="n">
        <v>0</v>
      </c>
      <c r="M51" t="n">
        <v>0</v>
      </c>
      <c r="N51" t="n">
        <v>0</v>
      </c>
      <c r="O51" t="n">
        <v>0</v>
      </c>
      <c r="P51" t="n">
        <v>0</v>
      </c>
      <c r="Q51" t="n">
        <v>1</v>
      </c>
      <c r="R51" s="2" t="inlineStr">
        <is>
          <t>Plattlummer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19361-2025</t>
        </is>
      </c>
      <c r="B52" s="1" t="n">
        <v>45769.63357638889</v>
      </c>
      <c r="C52" s="1" t="n">
        <v>45982</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45982</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43175-2023</t>
        </is>
      </c>
      <c r="B54" s="1" t="n">
        <v>45183</v>
      </c>
      <c r="C54" s="1" t="n">
        <v>45982</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55550-2023</t>
        </is>
      </c>
      <c r="B55" s="1" t="n">
        <v>45232</v>
      </c>
      <c r="C55" s="1" t="n">
        <v>45982</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41270-2024</t>
        </is>
      </c>
      <c r="B56" s="1" t="n">
        <v>45559</v>
      </c>
      <c r="C56" s="1" t="n">
        <v>45982</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43068-2024</t>
        </is>
      </c>
      <c r="B57" s="1" t="n">
        <v>45567</v>
      </c>
      <c r="C57" s="1" t="n">
        <v>45982</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7919-2022</t>
        </is>
      </c>
      <c r="B58" s="1" t="n">
        <v>44608</v>
      </c>
      <c r="C58" s="1" t="n">
        <v>45982</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29985-2022</t>
        </is>
      </c>
      <c r="B59" s="1" t="n">
        <v>44756</v>
      </c>
      <c r="C59" s="1" t="n">
        <v>45982</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45982</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45982</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21738-2025</t>
        </is>
      </c>
      <c r="B62" s="1" t="n">
        <v>45783.59173611111</v>
      </c>
      <c r="C62" s="1" t="n">
        <v>45982</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45982</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45982</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45982</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45982</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45982</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45982</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45982</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45982</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45982</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45982</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45982</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45982</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45982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45982</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45982</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45982</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45982</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45982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45982</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45982</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45982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45982</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45982</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45982</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45982</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45982</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45982</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45982</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45982</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45982</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45982</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45982</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45982</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45982</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45982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45982</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45982</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45982</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45982</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45982</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45982</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45982</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45982</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45982</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45982</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45982</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45982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45982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45982</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45982</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45982</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45982</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45982</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45982</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45982</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45982</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45982</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45982</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45982</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45982</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45982</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45982</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45982</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45982</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45982</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45982</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61415-2020</t>
        </is>
      </c>
      <c r="B141" s="1" t="n">
        <v>44156</v>
      </c>
      <c r="C141" s="1" t="n">
        <v>45982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24882-2022</t>
        </is>
      </c>
      <c r="B142" s="1" t="n">
        <v>44728.56488425926</v>
      </c>
      <c r="C142" s="1" t="n">
        <v>45982</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70218-2021</t>
        </is>
      </c>
      <c r="B143" s="1" t="n">
        <v>44535.6571412037</v>
      </c>
      <c r="C143" s="1" t="n">
        <v>45982</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45982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45982</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44615.47800925926</v>
      </c>
      <c r="C146" s="1" t="n">
        <v>45982</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45982</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45982</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45982</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45982</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69192-2020</t>
        </is>
      </c>
      <c r="B151" s="1" t="n">
        <v>44191</v>
      </c>
      <c r="C151" s="1" t="n">
        <v>45982</v>
      </c>
      <c r="D151" t="inlineStr">
        <is>
          <t>VÄSTMANLANDS LÄN</t>
        </is>
      </c>
      <c r="E151" t="inlineStr">
        <is>
          <t>SALA</t>
        </is>
      </c>
      <c r="G151" t="n">
        <v>0.8</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44880.42752314815</v>
      </c>
      <c r="C152" s="1" t="n">
        <v>45982</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45982</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44839.506875</v>
      </c>
      <c r="C154" s="1" t="n">
        <v>45982</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45982</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44879.87171296297</v>
      </c>
      <c r="C156" s="1" t="n">
        <v>45982</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23847-2022</t>
        </is>
      </c>
      <c r="B157" s="1" t="n">
        <v>44722</v>
      </c>
      <c r="C157" s="1" t="n">
        <v>45982</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45982</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45982</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30915-2021</t>
        </is>
      </c>
      <c r="B160" s="1" t="n">
        <v>44365</v>
      </c>
      <c r="C160" s="1" t="n">
        <v>45982</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30918-2021</t>
        </is>
      </c>
      <c r="B161" s="1" t="n">
        <v>44365.60569444444</v>
      </c>
      <c r="C161" s="1" t="n">
        <v>45982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65353-2021</t>
        </is>
      </c>
      <c r="B163" s="1" t="n">
        <v>44515</v>
      </c>
      <c r="C163" s="1" t="n">
        <v>45982</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45982</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40094-2022</t>
        </is>
      </c>
      <c r="B165" s="1" t="n">
        <v>44819</v>
      </c>
      <c r="C165" s="1" t="n">
        <v>45982</v>
      </c>
      <c r="D165" t="inlineStr">
        <is>
          <t>VÄSTMANLANDS LÄN</t>
        </is>
      </c>
      <c r="E165" t="inlineStr">
        <is>
          <t>SALA</t>
        </is>
      </c>
      <c r="G165" t="n">
        <v>1.7</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45982</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72405-2021</t>
        </is>
      </c>
      <c r="B168" s="1" t="n">
        <v>44545</v>
      </c>
      <c r="C168" s="1" t="n">
        <v>45982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73519-2021</t>
        </is>
      </c>
      <c r="B169" s="1" t="n">
        <v>44551</v>
      </c>
      <c r="C169" s="1" t="n">
        <v>45982</v>
      </c>
      <c r="D169" t="inlineStr">
        <is>
          <t>VÄSTMANLANDS LÄN</t>
        </is>
      </c>
      <c r="E169" t="inlineStr">
        <is>
          <t>SALA</t>
        </is>
      </c>
      <c r="G169" t="n">
        <v>0.3</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45982</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45982</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37881-2021</t>
        </is>
      </c>
      <c r="B172" s="1" t="n">
        <v>44403</v>
      </c>
      <c r="C172" s="1" t="n">
        <v>45982</v>
      </c>
      <c r="D172" t="inlineStr">
        <is>
          <t>VÄSTMANLANDS LÄN</t>
        </is>
      </c>
      <c r="E172" t="inlineStr">
        <is>
          <t>SALA</t>
        </is>
      </c>
      <c r="G172" t="n">
        <v>4.6</v>
      </c>
      <c r="H172" t="n">
        <v>0</v>
      </c>
      <c r="I172" t="n">
        <v>0</v>
      </c>
      <c r="J172" t="n">
        <v>0</v>
      </c>
      <c r="K172" t="n">
        <v>0</v>
      </c>
      <c r="L172" t="n">
        <v>0</v>
      </c>
      <c r="M172" t="n">
        <v>0</v>
      </c>
      <c r="N172" t="n">
        <v>0</v>
      </c>
      <c r="O172" t="n">
        <v>0</v>
      </c>
      <c r="P172" t="n">
        <v>0</v>
      </c>
      <c r="Q172" t="n">
        <v>0</v>
      </c>
      <c r="R172" s="2" t="inlineStr"/>
    </row>
    <row r="173" ht="15" customHeight="1">
      <c r="A173" t="inlineStr">
        <is>
          <t>A 40113-2022</t>
        </is>
      </c>
      <c r="B173" s="1" t="n">
        <v>44819</v>
      </c>
      <c r="C173" s="1" t="n">
        <v>45982</v>
      </c>
      <c r="D173" t="inlineStr">
        <is>
          <t>VÄSTMANLANDS LÄN</t>
        </is>
      </c>
      <c r="E173" t="inlineStr">
        <is>
          <t>SALA</t>
        </is>
      </c>
      <c r="G173" t="n">
        <v>0.9</v>
      </c>
      <c r="H173" t="n">
        <v>0</v>
      </c>
      <c r="I173" t="n">
        <v>0</v>
      </c>
      <c r="J173" t="n">
        <v>0</v>
      </c>
      <c r="K173" t="n">
        <v>0</v>
      </c>
      <c r="L173" t="n">
        <v>0</v>
      </c>
      <c r="M173" t="n">
        <v>0</v>
      </c>
      <c r="N173" t="n">
        <v>0</v>
      </c>
      <c r="O173" t="n">
        <v>0</v>
      </c>
      <c r="P173" t="n">
        <v>0</v>
      </c>
      <c r="Q173" t="n">
        <v>0</v>
      </c>
      <c r="R173" s="2" t="inlineStr"/>
    </row>
    <row r="174" ht="15" customHeight="1">
      <c r="A174" t="inlineStr">
        <is>
          <t>A 29233-2022</t>
        </is>
      </c>
      <c r="B174" s="1" t="n">
        <v>44750</v>
      </c>
      <c r="C174" s="1" t="n">
        <v>45982</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45982</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45982</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45982</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45015-2022</t>
        </is>
      </c>
      <c r="B178" s="1" t="n">
        <v>44841.63766203704</v>
      </c>
      <c r="C178" s="1" t="n">
        <v>45982</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10168-2022</t>
        </is>
      </c>
      <c r="B179" s="1" t="n">
        <v>44622.37693287037</v>
      </c>
      <c r="C179" s="1" t="n">
        <v>45982</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44482.46760416667</v>
      </c>
      <c r="C180" s="1" t="n">
        <v>45982</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45982</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64932-2021</t>
        </is>
      </c>
      <c r="B182" s="1" t="n">
        <v>44512</v>
      </c>
      <c r="C182" s="1" t="n">
        <v>45982</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54910-2023</t>
        </is>
      </c>
      <c r="B183" s="1" t="n">
        <v>45229</v>
      </c>
      <c r="C183" s="1" t="n">
        <v>45982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62449-2023</t>
        </is>
      </c>
      <c r="B184" s="1" t="n">
        <v>45268.49008101852</v>
      </c>
      <c r="C184" s="1" t="n">
        <v>45982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17458-2024</t>
        </is>
      </c>
      <c r="B185" s="1" t="n">
        <v>45415</v>
      </c>
      <c r="C185" s="1" t="n">
        <v>45982</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58107-2021</t>
        </is>
      </c>
      <c r="B186" s="1" t="n">
        <v>44487</v>
      </c>
      <c r="C186" s="1" t="n">
        <v>45982</v>
      </c>
      <c r="D186" t="inlineStr">
        <is>
          <t>VÄSTMANLANDS LÄN</t>
        </is>
      </c>
      <c r="E186" t="inlineStr">
        <is>
          <t>SALA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35462-2024</t>
        </is>
      </c>
      <c r="B187" s="1" t="n">
        <v>45531</v>
      </c>
      <c r="C187" s="1" t="n">
        <v>45982</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14024-2025</t>
        </is>
      </c>
      <c r="B188" s="1" t="n">
        <v>45740.34650462963</v>
      </c>
      <c r="C188" s="1" t="n">
        <v>45982</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56543-2024</t>
        </is>
      </c>
      <c r="B189" s="1" t="n">
        <v>45625</v>
      </c>
      <c r="C189" s="1" t="n">
        <v>45982</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31950-2023</t>
        </is>
      </c>
      <c r="B190" s="1" t="n">
        <v>45107</v>
      </c>
      <c r="C190" s="1" t="n">
        <v>45982</v>
      </c>
      <c r="D190" t="inlineStr">
        <is>
          <t>VÄSTMANLANDS LÄN</t>
        </is>
      </c>
      <c r="E190" t="inlineStr">
        <is>
          <t>SALA</t>
        </is>
      </c>
      <c r="G190" t="n">
        <v>1.9</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45982</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6097-2022</t>
        </is>
      </c>
      <c r="B192" s="1" t="n">
        <v>44599</v>
      </c>
      <c r="C192" s="1" t="n">
        <v>45982</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13022-2023</t>
        </is>
      </c>
      <c r="B193" s="1" t="n">
        <v>45002.33291666667</v>
      </c>
      <c r="C193" s="1" t="n">
        <v>45982</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4853-2023</t>
        </is>
      </c>
      <c r="B194" s="1" t="n">
        <v>44957.73234953704</v>
      </c>
      <c r="C194" s="1" t="n">
        <v>45982</v>
      </c>
      <c r="D194" t="inlineStr">
        <is>
          <t>VÄSTMANLANDS LÄN</t>
        </is>
      </c>
      <c r="E194" t="inlineStr">
        <is>
          <t>SALA</t>
        </is>
      </c>
      <c r="G194" t="n">
        <v>2.7</v>
      </c>
      <c r="H194" t="n">
        <v>0</v>
      </c>
      <c r="I194" t="n">
        <v>0</v>
      </c>
      <c r="J194" t="n">
        <v>0</v>
      </c>
      <c r="K194" t="n">
        <v>0</v>
      </c>
      <c r="L194" t="n">
        <v>0</v>
      </c>
      <c r="M194" t="n">
        <v>0</v>
      </c>
      <c r="N194" t="n">
        <v>0</v>
      </c>
      <c r="O194" t="n">
        <v>0</v>
      </c>
      <c r="P194" t="n">
        <v>0</v>
      </c>
      <c r="Q194" t="n">
        <v>0</v>
      </c>
      <c r="R194" s="2" t="inlineStr"/>
    </row>
    <row r="195" ht="15" customHeight="1">
      <c r="A195" t="inlineStr">
        <is>
          <t>A 12246-2023</t>
        </is>
      </c>
      <c r="B195" s="1" t="n">
        <v>44995</v>
      </c>
      <c r="C195" s="1" t="n">
        <v>45982</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26692-2023</t>
        </is>
      </c>
      <c r="B196" s="1" t="n">
        <v>45093.360625</v>
      </c>
      <c r="C196" s="1" t="n">
        <v>45982</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42447-2022</t>
        </is>
      </c>
      <c r="B197" s="1" t="n">
        <v>44831</v>
      </c>
      <c r="C197" s="1" t="n">
        <v>45982</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33732-2023</t>
        </is>
      </c>
      <c r="B198" s="1" t="n">
        <v>45133.32409722222</v>
      </c>
      <c r="C198" s="1" t="n">
        <v>45982</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59909-2024</t>
        </is>
      </c>
      <c r="B199" s="1" t="n">
        <v>45641</v>
      </c>
      <c r="C199" s="1" t="n">
        <v>45982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45982</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45982</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51464-2024</t>
        </is>
      </c>
      <c r="B202" s="1" t="n">
        <v>45604.49768518518</v>
      </c>
      <c r="C202" s="1" t="n">
        <v>45982</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41292-2021</t>
        </is>
      </c>
      <c r="B203" s="1" t="n">
        <v>44424</v>
      </c>
      <c r="C203" s="1" t="n">
        <v>45982</v>
      </c>
      <c r="D203" t="inlineStr">
        <is>
          <t>VÄSTMANLANDS LÄN</t>
        </is>
      </c>
      <c r="E203" t="inlineStr">
        <is>
          <t>SALA</t>
        </is>
      </c>
      <c r="G203" t="n">
        <v>0.3</v>
      </c>
      <c r="H203" t="n">
        <v>0</v>
      </c>
      <c r="I203" t="n">
        <v>0</v>
      </c>
      <c r="J203" t="n">
        <v>0</v>
      </c>
      <c r="K203" t="n">
        <v>0</v>
      </c>
      <c r="L203" t="n">
        <v>0</v>
      </c>
      <c r="M203" t="n">
        <v>0</v>
      </c>
      <c r="N203" t="n">
        <v>0</v>
      </c>
      <c r="O203" t="n">
        <v>0</v>
      </c>
      <c r="P203" t="n">
        <v>0</v>
      </c>
      <c r="Q203" t="n">
        <v>0</v>
      </c>
      <c r="R203" s="2" t="inlineStr"/>
    </row>
    <row r="204" ht="15" customHeight="1">
      <c r="A204" t="inlineStr">
        <is>
          <t>A 54603-2024</t>
        </is>
      </c>
      <c r="B204" s="1" t="n">
        <v>45617.68224537037</v>
      </c>
      <c r="C204" s="1" t="n">
        <v>45982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45982</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4797-2023</t>
        </is>
      </c>
      <c r="B206" s="1" t="n">
        <v>44957</v>
      </c>
      <c r="C206" s="1" t="n">
        <v>45982</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15972-2024</t>
        </is>
      </c>
      <c r="B207" s="1" t="n">
        <v>45405.56498842593</v>
      </c>
      <c r="C207" s="1" t="n">
        <v>45982</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45982</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1555-2024</t>
        </is>
      </c>
      <c r="B209" s="1" t="n">
        <v>45306</v>
      </c>
      <c r="C209" s="1" t="n">
        <v>45982</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22624-2025</t>
        </is>
      </c>
      <c r="B210" s="1" t="n">
        <v>45789.43327546296</v>
      </c>
      <c r="C210" s="1" t="n">
        <v>45982</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61517-2024</t>
        </is>
      </c>
      <c r="B211" s="1" t="n">
        <v>45645</v>
      </c>
      <c r="C211" s="1" t="n">
        <v>45982</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22370-2025</t>
        </is>
      </c>
      <c r="B212" s="1" t="n">
        <v>45786</v>
      </c>
      <c r="C212" s="1" t="n">
        <v>45982</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13130-2025</t>
        </is>
      </c>
      <c r="B213" s="1" t="n">
        <v>45734</v>
      </c>
      <c r="C213" s="1" t="n">
        <v>45982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38574-2025</t>
        </is>
      </c>
      <c r="B214" s="1" t="n">
        <v>45884.46390046296</v>
      </c>
      <c r="C214" s="1" t="n">
        <v>45982</v>
      </c>
      <c r="D214" t="inlineStr">
        <is>
          <t>VÄSTMANLANDS LÄN</t>
        </is>
      </c>
      <c r="E214" t="inlineStr">
        <is>
          <t>SALA</t>
        </is>
      </c>
      <c r="G214" t="n">
        <v>2.1</v>
      </c>
      <c r="H214" t="n">
        <v>0</v>
      </c>
      <c r="I214" t="n">
        <v>0</v>
      </c>
      <c r="J214" t="n">
        <v>0</v>
      </c>
      <c r="K214" t="n">
        <v>0</v>
      </c>
      <c r="L214" t="n">
        <v>0</v>
      </c>
      <c r="M214" t="n">
        <v>0</v>
      </c>
      <c r="N214" t="n">
        <v>0</v>
      </c>
      <c r="O214" t="n">
        <v>0</v>
      </c>
      <c r="P214" t="n">
        <v>0</v>
      </c>
      <c r="Q214" t="n">
        <v>0</v>
      </c>
      <c r="R214" s="2" t="inlineStr"/>
    </row>
    <row r="215" ht="15" customHeight="1">
      <c r="A215" t="inlineStr">
        <is>
          <t>A 15756-2025</t>
        </is>
      </c>
      <c r="B215" s="1" t="n">
        <v>45748.56810185185</v>
      </c>
      <c r="C215" s="1" t="n">
        <v>45982</v>
      </c>
      <c r="D215" t="inlineStr">
        <is>
          <t>VÄSTMANLANDS LÄN</t>
        </is>
      </c>
      <c r="E215" t="inlineStr">
        <is>
          <t>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31000-2022</t>
        </is>
      </c>
      <c r="B216" s="1" t="n">
        <v>44768</v>
      </c>
      <c r="C216" s="1" t="n">
        <v>45982</v>
      </c>
      <c r="D216" t="inlineStr">
        <is>
          <t>VÄSTMANLANDS LÄN</t>
        </is>
      </c>
      <c r="E216" t="inlineStr">
        <is>
          <t>SALA</t>
        </is>
      </c>
      <c r="G216" t="n">
        <v>5.7</v>
      </c>
      <c r="H216" t="n">
        <v>0</v>
      </c>
      <c r="I216" t="n">
        <v>0</v>
      </c>
      <c r="J216" t="n">
        <v>0</v>
      </c>
      <c r="K216" t="n">
        <v>0</v>
      </c>
      <c r="L216" t="n">
        <v>0</v>
      </c>
      <c r="M216" t="n">
        <v>0</v>
      </c>
      <c r="N216" t="n">
        <v>0</v>
      </c>
      <c r="O216" t="n">
        <v>0</v>
      </c>
      <c r="P216" t="n">
        <v>0</v>
      </c>
      <c r="Q216" t="n">
        <v>0</v>
      </c>
      <c r="R216" s="2" t="inlineStr"/>
    </row>
    <row r="217" ht="15" customHeight="1">
      <c r="A217" t="inlineStr">
        <is>
          <t>A 37183-2024</t>
        </is>
      </c>
      <c r="B217" s="1" t="n">
        <v>45539</v>
      </c>
      <c r="C217" s="1" t="n">
        <v>45982</v>
      </c>
      <c r="D217" t="inlineStr">
        <is>
          <t>VÄSTMANLANDS LÄN</t>
        </is>
      </c>
      <c r="E217" t="inlineStr">
        <is>
          <t>SALA</t>
        </is>
      </c>
      <c r="G217" t="n">
        <v>1.2</v>
      </c>
      <c r="H217" t="n">
        <v>0</v>
      </c>
      <c r="I217" t="n">
        <v>0</v>
      </c>
      <c r="J217" t="n">
        <v>0</v>
      </c>
      <c r="K217" t="n">
        <v>0</v>
      </c>
      <c r="L217" t="n">
        <v>0</v>
      </c>
      <c r="M217" t="n">
        <v>0</v>
      </c>
      <c r="N217" t="n">
        <v>0</v>
      </c>
      <c r="O217" t="n">
        <v>0</v>
      </c>
      <c r="P217" t="n">
        <v>0</v>
      </c>
      <c r="Q217" t="n">
        <v>0</v>
      </c>
      <c r="R217" s="2" t="inlineStr"/>
    </row>
    <row r="218" ht="15" customHeight="1">
      <c r="A218" t="inlineStr">
        <is>
          <t>A 23804-2025</t>
        </is>
      </c>
      <c r="B218" s="1" t="n">
        <v>45793.55995370371</v>
      </c>
      <c r="C218" s="1" t="n">
        <v>45982</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22126-2025</t>
        </is>
      </c>
      <c r="B219" s="1" t="n">
        <v>45785</v>
      </c>
      <c r="C219" s="1" t="n">
        <v>45982</v>
      </c>
      <c r="D219" t="inlineStr">
        <is>
          <t>VÄSTMANLANDS LÄN</t>
        </is>
      </c>
      <c r="E219" t="inlineStr">
        <is>
          <t>SALA</t>
        </is>
      </c>
      <c r="G219" t="n">
        <v>10.6</v>
      </c>
      <c r="H219" t="n">
        <v>0</v>
      </c>
      <c r="I219" t="n">
        <v>0</v>
      </c>
      <c r="J219" t="n">
        <v>0</v>
      </c>
      <c r="K219" t="n">
        <v>0</v>
      </c>
      <c r="L219" t="n">
        <v>0</v>
      </c>
      <c r="M219" t="n">
        <v>0</v>
      </c>
      <c r="N219" t="n">
        <v>0</v>
      </c>
      <c r="O219" t="n">
        <v>0</v>
      </c>
      <c r="P219" t="n">
        <v>0</v>
      </c>
      <c r="Q219" t="n">
        <v>0</v>
      </c>
      <c r="R219" s="2" t="inlineStr"/>
    </row>
    <row r="220" ht="15" customHeight="1">
      <c r="A220" t="inlineStr">
        <is>
          <t>A 19297-2025</t>
        </is>
      </c>
      <c r="B220" s="1" t="n">
        <v>45769.56261574074</v>
      </c>
      <c r="C220" s="1" t="n">
        <v>45982</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31864-2025</t>
        </is>
      </c>
      <c r="B221" s="1" t="n">
        <v>45834.63819444444</v>
      </c>
      <c r="C221" s="1" t="n">
        <v>45982</v>
      </c>
      <c r="D221" t="inlineStr">
        <is>
          <t>VÄSTMANLANDS LÄN</t>
        </is>
      </c>
      <c r="E221" t="inlineStr">
        <is>
          <t>SALA</t>
        </is>
      </c>
      <c r="G221" t="n">
        <v>6.3</v>
      </c>
      <c r="H221" t="n">
        <v>0</v>
      </c>
      <c r="I221" t="n">
        <v>0</v>
      </c>
      <c r="J221" t="n">
        <v>0</v>
      </c>
      <c r="K221" t="n">
        <v>0</v>
      </c>
      <c r="L221" t="n">
        <v>0</v>
      </c>
      <c r="M221" t="n">
        <v>0</v>
      </c>
      <c r="N221" t="n">
        <v>0</v>
      </c>
      <c r="O221" t="n">
        <v>0</v>
      </c>
      <c r="P221" t="n">
        <v>0</v>
      </c>
      <c r="Q221" t="n">
        <v>0</v>
      </c>
      <c r="R221" s="2" t="inlineStr"/>
    </row>
    <row r="222" ht="15" customHeight="1">
      <c r="A222" t="inlineStr">
        <is>
          <t>A 23810-2025</t>
        </is>
      </c>
      <c r="B222" s="1" t="n">
        <v>45793.56989583333</v>
      </c>
      <c r="C222" s="1" t="n">
        <v>45982</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27229-2022</t>
        </is>
      </c>
      <c r="B223" s="1" t="n">
        <v>44741</v>
      </c>
      <c r="C223" s="1" t="n">
        <v>45982</v>
      </c>
      <c r="D223" t="inlineStr">
        <is>
          <t>VÄSTMANLANDS LÄN</t>
        </is>
      </c>
      <c r="E223" t="inlineStr">
        <is>
          <t>SALA</t>
        </is>
      </c>
      <c r="F223" t="inlineStr">
        <is>
          <t>Kommuner</t>
        </is>
      </c>
      <c r="G223" t="n">
        <v>1.4</v>
      </c>
      <c r="H223" t="n">
        <v>0</v>
      </c>
      <c r="I223" t="n">
        <v>0</v>
      </c>
      <c r="J223" t="n">
        <v>0</v>
      </c>
      <c r="K223" t="n">
        <v>0</v>
      </c>
      <c r="L223" t="n">
        <v>0</v>
      </c>
      <c r="M223" t="n">
        <v>0</v>
      </c>
      <c r="N223" t="n">
        <v>0</v>
      </c>
      <c r="O223" t="n">
        <v>0</v>
      </c>
      <c r="P223" t="n">
        <v>0</v>
      </c>
      <c r="Q223" t="n">
        <v>0</v>
      </c>
      <c r="R223" s="2" t="inlineStr"/>
    </row>
    <row r="224" ht="15" customHeight="1">
      <c r="A224" t="inlineStr">
        <is>
          <t>A 16651-2021</t>
        </is>
      </c>
      <c r="B224" s="1" t="n">
        <v>44294.50096064815</v>
      </c>
      <c r="C224" s="1" t="n">
        <v>45982</v>
      </c>
      <c r="D224" t="inlineStr">
        <is>
          <t>VÄSTMANLANDS LÄN</t>
        </is>
      </c>
      <c r="E224" t="inlineStr">
        <is>
          <t>SALA</t>
        </is>
      </c>
      <c r="G224" t="n">
        <v>7.7</v>
      </c>
      <c r="H224" t="n">
        <v>0</v>
      </c>
      <c r="I224" t="n">
        <v>0</v>
      </c>
      <c r="J224" t="n">
        <v>0</v>
      </c>
      <c r="K224" t="n">
        <v>0</v>
      </c>
      <c r="L224" t="n">
        <v>0</v>
      </c>
      <c r="M224" t="n">
        <v>0</v>
      </c>
      <c r="N224" t="n">
        <v>0</v>
      </c>
      <c r="O224" t="n">
        <v>0</v>
      </c>
      <c r="P224" t="n">
        <v>0</v>
      </c>
      <c r="Q224" t="n">
        <v>0</v>
      </c>
      <c r="R224" s="2" t="inlineStr"/>
    </row>
    <row r="225" ht="15" customHeight="1">
      <c r="A225" t="inlineStr">
        <is>
          <t>A 24169-2025</t>
        </is>
      </c>
      <c r="B225" s="1" t="n">
        <v>45796</v>
      </c>
      <c r="C225" s="1" t="n">
        <v>45982</v>
      </c>
      <c r="D225" t="inlineStr">
        <is>
          <t>VÄSTMANLANDS LÄN</t>
        </is>
      </c>
      <c r="E225" t="inlineStr">
        <is>
          <t>SALA</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11210-2025</t>
        </is>
      </c>
      <c r="B226" s="1" t="n">
        <v>45726</v>
      </c>
      <c r="C226" s="1" t="n">
        <v>45982</v>
      </c>
      <c r="D226" t="inlineStr">
        <is>
          <t>VÄSTMANLANDS LÄN</t>
        </is>
      </c>
      <c r="E226" t="inlineStr">
        <is>
          <t>SALA</t>
        </is>
      </c>
      <c r="G226" t="n">
        <v>4.1</v>
      </c>
      <c r="H226" t="n">
        <v>0</v>
      </c>
      <c r="I226" t="n">
        <v>0</v>
      </c>
      <c r="J226" t="n">
        <v>0</v>
      </c>
      <c r="K226" t="n">
        <v>0</v>
      </c>
      <c r="L226" t="n">
        <v>0</v>
      </c>
      <c r="M226" t="n">
        <v>0</v>
      </c>
      <c r="N226" t="n">
        <v>0</v>
      </c>
      <c r="O226" t="n">
        <v>0</v>
      </c>
      <c r="P226" t="n">
        <v>0</v>
      </c>
      <c r="Q226" t="n">
        <v>0</v>
      </c>
      <c r="R226" s="2" t="inlineStr"/>
    </row>
    <row r="227" ht="15" customHeight="1">
      <c r="A227" t="inlineStr">
        <is>
          <t>A 1793-2023</t>
        </is>
      </c>
      <c r="B227" s="1" t="n">
        <v>44937</v>
      </c>
      <c r="C227" s="1" t="n">
        <v>45982</v>
      </c>
      <c r="D227" t="inlineStr">
        <is>
          <t>VÄSTMANLANDS LÄN</t>
        </is>
      </c>
      <c r="E227" t="inlineStr">
        <is>
          <t>SALA</t>
        </is>
      </c>
      <c r="G227" t="n">
        <v>2.6</v>
      </c>
      <c r="H227" t="n">
        <v>0</v>
      </c>
      <c r="I227" t="n">
        <v>0</v>
      </c>
      <c r="J227" t="n">
        <v>0</v>
      </c>
      <c r="K227" t="n">
        <v>0</v>
      </c>
      <c r="L227" t="n">
        <v>0</v>
      </c>
      <c r="M227" t="n">
        <v>0</v>
      </c>
      <c r="N227" t="n">
        <v>0</v>
      </c>
      <c r="O227" t="n">
        <v>0</v>
      </c>
      <c r="P227" t="n">
        <v>0</v>
      </c>
      <c r="Q227" t="n">
        <v>0</v>
      </c>
      <c r="R227" s="2" t="inlineStr"/>
    </row>
    <row r="228" ht="15" customHeight="1">
      <c r="A228" t="inlineStr">
        <is>
          <t>A 24944-2023</t>
        </is>
      </c>
      <c r="B228" s="1" t="n">
        <v>45085</v>
      </c>
      <c r="C228" s="1" t="n">
        <v>45982</v>
      </c>
      <c r="D228" t="inlineStr">
        <is>
          <t>VÄSTMANLANDS LÄN</t>
        </is>
      </c>
      <c r="E228" t="inlineStr">
        <is>
          <t>SALA</t>
        </is>
      </c>
      <c r="G228" t="n">
        <v>3.8</v>
      </c>
      <c r="H228" t="n">
        <v>0</v>
      </c>
      <c r="I228" t="n">
        <v>0</v>
      </c>
      <c r="J228" t="n">
        <v>0</v>
      </c>
      <c r="K228" t="n">
        <v>0</v>
      </c>
      <c r="L228" t="n">
        <v>0</v>
      </c>
      <c r="M228" t="n">
        <v>0</v>
      </c>
      <c r="N228" t="n">
        <v>0</v>
      </c>
      <c r="O228" t="n">
        <v>0</v>
      </c>
      <c r="P228" t="n">
        <v>0</v>
      </c>
      <c r="Q228" t="n">
        <v>0</v>
      </c>
      <c r="R228" s="2" t="inlineStr"/>
    </row>
    <row r="229" ht="15" customHeight="1">
      <c r="A229" t="inlineStr">
        <is>
          <t>A 29248-2022</t>
        </is>
      </c>
      <c r="B229" s="1" t="n">
        <v>44750</v>
      </c>
      <c r="C229" s="1" t="n">
        <v>45982</v>
      </c>
      <c r="D229" t="inlineStr">
        <is>
          <t>VÄSTMANLANDS LÄN</t>
        </is>
      </c>
      <c r="E229" t="inlineStr">
        <is>
          <t>SALA</t>
        </is>
      </c>
      <c r="G229" t="n">
        <v>1.6</v>
      </c>
      <c r="H229" t="n">
        <v>0</v>
      </c>
      <c r="I229" t="n">
        <v>0</v>
      </c>
      <c r="J229" t="n">
        <v>0</v>
      </c>
      <c r="K229" t="n">
        <v>0</v>
      </c>
      <c r="L229" t="n">
        <v>0</v>
      </c>
      <c r="M229" t="n">
        <v>0</v>
      </c>
      <c r="N229" t="n">
        <v>0</v>
      </c>
      <c r="O229" t="n">
        <v>0</v>
      </c>
      <c r="P229" t="n">
        <v>0</v>
      </c>
      <c r="Q229" t="n">
        <v>0</v>
      </c>
      <c r="R229" s="2" t="inlineStr"/>
    </row>
    <row r="230" ht="15" customHeight="1">
      <c r="A230" t="inlineStr">
        <is>
          <t>A 39167-2025</t>
        </is>
      </c>
      <c r="B230" s="1" t="n">
        <v>45888</v>
      </c>
      <c r="C230" s="1" t="n">
        <v>45982</v>
      </c>
      <c r="D230" t="inlineStr">
        <is>
          <t>VÄSTMANLANDS LÄN</t>
        </is>
      </c>
      <c r="E230" t="inlineStr">
        <is>
          <t>SALA</t>
        </is>
      </c>
      <c r="G230" t="n">
        <v>5.5</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45982</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22397-2022</t>
        </is>
      </c>
      <c r="B232" s="1" t="n">
        <v>44713</v>
      </c>
      <c r="C232" s="1" t="n">
        <v>45982</v>
      </c>
      <c r="D232" t="inlineStr">
        <is>
          <t>VÄSTMANLANDS LÄN</t>
        </is>
      </c>
      <c r="E232" t="inlineStr">
        <is>
          <t>SALA</t>
        </is>
      </c>
      <c r="G232" t="n">
        <v>2.1</v>
      </c>
      <c r="H232" t="n">
        <v>0</v>
      </c>
      <c r="I232" t="n">
        <v>0</v>
      </c>
      <c r="J232" t="n">
        <v>0</v>
      </c>
      <c r="K232" t="n">
        <v>0</v>
      </c>
      <c r="L232" t="n">
        <v>0</v>
      </c>
      <c r="M232" t="n">
        <v>0</v>
      </c>
      <c r="N232" t="n">
        <v>0</v>
      </c>
      <c r="O232" t="n">
        <v>0</v>
      </c>
      <c r="P232" t="n">
        <v>0</v>
      </c>
      <c r="Q232" t="n">
        <v>0</v>
      </c>
      <c r="R232" s="2" t="inlineStr"/>
    </row>
    <row r="233" ht="15" customHeight="1">
      <c r="A233" t="inlineStr">
        <is>
          <t>A 24460-2025</t>
        </is>
      </c>
      <c r="B233" s="1" t="n">
        <v>45798</v>
      </c>
      <c r="C233" s="1" t="n">
        <v>45982</v>
      </c>
      <c r="D233" t="inlineStr">
        <is>
          <t>VÄSTMANLANDS LÄN</t>
        </is>
      </c>
      <c r="E233" t="inlineStr">
        <is>
          <t>SALA</t>
        </is>
      </c>
      <c r="F233" t="inlineStr">
        <is>
          <t>Bergvik skog öst AB</t>
        </is>
      </c>
      <c r="G233" t="n">
        <v>2.6</v>
      </c>
      <c r="H233" t="n">
        <v>0</v>
      </c>
      <c r="I233" t="n">
        <v>0</v>
      </c>
      <c r="J233" t="n">
        <v>0</v>
      </c>
      <c r="K233" t="n">
        <v>0</v>
      </c>
      <c r="L233" t="n">
        <v>0</v>
      </c>
      <c r="M233" t="n">
        <v>0</v>
      </c>
      <c r="N233" t="n">
        <v>0</v>
      </c>
      <c r="O233" t="n">
        <v>0</v>
      </c>
      <c r="P233" t="n">
        <v>0</v>
      </c>
      <c r="Q233" t="n">
        <v>0</v>
      </c>
      <c r="R233" s="2" t="inlineStr"/>
    </row>
    <row r="234" ht="15" customHeight="1">
      <c r="A234" t="inlineStr">
        <is>
          <t>A 28863-2022</t>
        </is>
      </c>
      <c r="B234" s="1" t="n">
        <v>44749.50649305555</v>
      </c>
      <c r="C234" s="1" t="n">
        <v>45982</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24463-2025</t>
        </is>
      </c>
      <c r="B235" s="1" t="n">
        <v>45798</v>
      </c>
      <c r="C235" s="1" t="n">
        <v>45982</v>
      </c>
      <c r="D235" t="inlineStr">
        <is>
          <t>VÄSTMANLANDS LÄN</t>
        </is>
      </c>
      <c r="E235" t="inlineStr">
        <is>
          <t>SALA</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45982</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7681-2021</t>
        </is>
      </c>
      <c r="B237" s="1" t="n">
        <v>44242</v>
      </c>
      <c r="C237" s="1" t="n">
        <v>45982</v>
      </c>
      <c r="D237" t="inlineStr">
        <is>
          <t>VÄSTMANLANDS LÄN</t>
        </is>
      </c>
      <c r="E237" t="inlineStr">
        <is>
          <t>SALA</t>
        </is>
      </c>
      <c r="F237" t="inlineStr">
        <is>
          <t>Sveaskog</t>
        </is>
      </c>
      <c r="G237" t="n">
        <v>16.1</v>
      </c>
      <c r="H237" t="n">
        <v>0</v>
      </c>
      <c r="I237" t="n">
        <v>0</v>
      </c>
      <c r="J237" t="n">
        <v>0</v>
      </c>
      <c r="K237" t="n">
        <v>0</v>
      </c>
      <c r="L237" t="n">
        <v>0</v>
      </c>
      <c r="M237" t="n">
        <v>0</v>
      </c>
      <c r="N237" t="n">
        <v>0</v>
      </c>
      <c r="O237" t="n">
        <v>0</v>
      </c>
      <c r="P237" t="n">
        <v>0</v>
      </c>
      <c r="Q237" t="n">
        <v>0</v>
      </c>
      <c r="R237" s="2" t="inlineStr"/>
    </row>
    <row r="238" ht="15" customHeight="1">
      <c r="A238" t="inlineStr">
        <is>
          <t>A 55065-2024</t>
        </is>
      </c>
      <c r="B238" s="1" t="n">
        <v>45618</v>
      </c>
      <c r="C238" s="1" t="n">
        <v>45982</v>
      </c>
      <c r="D238" t="inlineStr">
        <is>
          <t>VÄSTMANLANDS LÄN</t>
        </is>
      </c>
      <c r="E238" t="inlineStr">
        <is>
          <t>SALA</t>
        </is>
      </c>
      <c r="G238" t="n">
        <v>3.5</v>
      </c>
      <c r="H238" t="n">
        <v>0</v>
      </c>
      <c r="I238" t="n">
        <v>0</v>
      </c>
      <c r="J238" t="n">
        <v>0</v>
      </c>
      <c r="K238" t="n">
        <v>0</v>
      </c>
      <c r="L238" t="n">
        <v>0</v>
      </c>
      <c r="M238" t="n">
        <v>0</v>
      </c>
      <c r="N238" t="n">
        <v>0</v>
      </c>
      <c r="O238" t="n">
        <v>0</v>
      </c>
      <c r="P238" t="n">
        <v>0</v>
      </c>
      <c r="Q238" t="n">
        <v>0</v>
      </c>
      <c r="R238" s="2" t="inlineStr"/>
    </row>
    <row r="239" ht="15" customHeight="1">
      <c r="A239" t="inlineStr">
        <is>
          <t>A 14919-2025</t>
        </is>
      </c>
      <c r="B239" s="1" t="n">
        <v>45743.54256944444</v>
      </c>
      <c r="C239" s="1" t="n">
        <v>45982</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14920-2025</t>
        </is>
      </c>
      <c r="B240" s="1" t="n">
        <v>45743</v>
      </c>
      <c r="C240" s="1" t="n">
        <v>45982</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40398-2021</t>
        </is>
      </c>
      <c r="B241" s="1" t="n">
        <v>44419</v>
      </c>
      <c r="C241" s="1" t="n">
        <v>45982</v>
      </c>
      <c r="D241" t="inlineStr">
        <is>
          <t>VÄSTMANLANDS LÄN</t>
        </is>
      </c>
      <c r="E241" t="inlineStr">
        <is>
          <t>SALA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24907-2025</t>
        </is>
      </c>
      <c r="B242" s="1" t="n">
        <v>45799</v>
      </c>
      <c r="C242" s="1" t="n">
        <v>45982</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24910-2025</t>
        </is>
      </c>
      <c r="B243" s="1" t="n">
        <v>45799.53775462963</v>
      </c>
      <c r="C243" s="1" t="n">
        <v>45982</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43362-2023</t>
        </is>
      </c>
      <c r="B244" s="1" t="n">
        <v>45183</v>
      </c>
      <c r="C244" s="1" t="n">
        <v>45982</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2900-2023</t>
        </is>
      </c>
      <c r="B245" s="1" t="n">
        <v>44943</v>
      </c>
      <c r="C245" s="1" t="n">
        <v>45982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6030-2024</t>
        </is>
      </c>
      <c r="B246" s="1" t="n">
        <v>45336.62782407407</v>
      </c>
      <c r="C246" s="1" t="n">
        <v>45982</v>
      </c>
      <c r="D246" t="inlineStr">
        <is>
          <t>VÄSTMANLANDS LÄN</t>
        </is>
      </c>
      <c r="E246" t="inlineStr">
        <is>
          <t>SALA</t>
        </is>
      </c>
      <c r="G246" t="n">
        <v>3.9</v>
      </c>
      <c r="H246" t="n">
        <v>0</v>
      </c>
      <c r="I246" t="n">
        <v>0</v>
      </c>
      <c r="J246" t="n">
        <v>0</v>
      </c>
      <c r="K246" t="n">
        <v>0</v>
      </c>
      <c r="L246" t="n">
        <v>0</v>
      </c>
      <c r="M246" t="n">
        <v>0</v>
      </c>
      <c r="N246" t="n">
        <v>0</v>
      </c>
      <c r="O246" t="n">
        <v>0</v>
      </c>
      <c r="P246" t="n">
        <v>0</v>
      </c>
      <c r="Q246" t="n">
        <v>0</v>
      </c>
      <c r="R246" s="2" t="inlineStr"/>
    </row>
    <row r="247" ht="15" customHeight="1">
      <c r="A247" t="inlineStr">
        <is>
          <t>A 40559-2025</t>
        </is>
      </c>
      <c r="B247" s="1" t="n">
        <v>45896.45037037037</v>
      </c>
      <c r="C247" s="1" t="n">
        <v>45982</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45982</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40620-2025</t>
        </is>
      </c>
      <c r="B249" s="1" t="n">
        <v>45896.58609953704</v>
      </c>
      <c r="C249" s="1" t="n">
        <v>45982</v>
      </c>
      <c r="D249" t="inlineStr">
        <is>
          <t>VÄSTMANLANDS LÄN</t>
        </is>
      </c>
      <c r="E249" t="inlineStr">
        <is>
          <t>SALA</t>
        </is>
      </c>
      <c r="G249" t="n">
        <v>6.7</v>
      </c>
      <c r="H249" t="n">
        <v>0</v>
      </c>
      <c r="I249" t="n">
        <v>0</v>
      </c>
      <c r="J249" t="n">
        <v>0</v>
      </c>
      <c r="K249" t="n">
        <v>0</v>
      </c>
      <c r="L249" t="n">
        <v>0</v>
      </c>
      <c r="M249" t="n">
        <v>0</v>
      </c>
      <c r="N249" t="n">
        <v>0</v>
      </c>
      <c r="O249" t="n">
        <v>0</v>
      </c>
      <c r="P249" t="n">
        <v>0</v>
      </c>
      <c r="Q249" t="n">
        <v>0</v>
      </c>
      <c r="R249" s="2" t="inlineStr"/>
    </row>
    <row r="250" ht="15" customHeight="1">
      <c r="A250" t="inlineStr">
        <is>
          <t>A 52630-2022</t>
        </is>
      </c>
      <c r="B250" s="1" t="n">
        <v>44874</v>
      </c>
      <c r="C250" s="1" t="n">
        <v>45982</v>
      </c>
      <c r="D250" t="inlineStr">
        <is>
          <t>VÄSTMANLANDS LÄN</t>
        </is>
      </c>
      <c r="E250" t="inlineStr">
        <is>
          <t>SALA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14690-2025</t>
        </is>
      </c>
      <c r="B251" s="1" t="n">
        <v>45742.58212962963</v>
      </c>
      <c r="C251" s="1" t="n">
        <v>45982</v>
      </c>
      <c r="D251" t="inlineStr">
        <is>
          <t>VÄSTMANLANDS LÄN</t>
        </is>
      </c>
      <c r="E251" t="inlineStr">
        <is>
          <t>SALA</t>
        </is>
      </c>
      <c r="G251" t="n">
        <v>3.4</v>
      </c>
      <c r="H251" t="n">
        <v>0</v>
      </c>
      <c r="I251" t="n">
        <v>0</v>
      </c>
      <c r="J251" t="n">
        <v>0</v>
      </c>
      <c r="K251" t="n">
        <v>0</v>
      </c>
      <c r="L251" t="n">
        <v>0</v>
      </c>
      <c r="M251" t="n">
        <v>0</v>
      </c>
      <c r="N251" t="n">
        <v>0</v>
      </c>
      <c r="O251" t="n">
        <v>0</v>
      </c>
      <c r="P251" t="n">
        <v>0</v>
      </c>
      <c r="Q251" t="n">
        <v>0</v>
      </c>
      <c r="R251" s="2" t="inlineStr"/>
    </row>
    <row r="252" ht="15" customHeight="1">
      <c r="A252" t="inlineStr">
        <is>
          <t>A 50128-2025</t>
        </is>
      </c>
      <c r="B252" s="1" t="n">
        <v>45943.55318287037</v>
      </c>
      <c r="C252" s="1" t="n">
        <v>45982</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50119-2025</t>
        </is>
      </c>
      <c r="B253" s="1" t="n">
        <v>45943.54883101852</v>
      </c>
      <c r="C253" s="1" t="n">
        <v>45982</v>
      </c>
      <c r="D253" t="inlineStr">
        <is>
          <t>VÄSTMANLANDS LÄN</t>
        </is>
      </c>
      <c r="E253" t="inlineStr">
        <is>
          <t>SALA</t>
        </is>
      </c>
      <c r="G253" t="n">
        <v>3.3</v>
      </c>
      <c r="H253" t="n">
        <v>0</v>
      </c>
      <c r="I253" t="n">
        <v>0</v>
      </c>
      <c r="J253" t="n">
        <v>0</v>
      </c>
      <c r="K253" t="n">
        <v>0</v>
      </c>
      <c r="L253" t="n">
        <v>0</v>
      </c>
      <c r="M253" t="n">
        <v>0</v>
      </c>
      <c r="N253" t="n">
        <v>0</v>
      </c>
      <c r="O253" t="n">
        <v>0</v>
      </c>
      <c r="P253" t="n">
        <v>0</v>
      </c>
      <c r="Q253" t="n">
        <v>0</v>
      </c>
      <c r="R253" s="2" t="inlineStr"/>
    </row>
    <row r="254" ht="15" customHeight="1">
      <c r="A254" t="inlineStr">
        <is>
          <t>A 2521-2025</t>
        </is>
      </c>
      <c r="B254" s="1" t="n">
        <v>45674</v>
      </c>
      <c r="C254" s="1" t="n">
        <v>45982</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50059-2025</t>
        </is>
      </c>
      <c r="B255" s="1" t="n">
        <v>45943.44125</v>
      </c>
      <c r="C255" s="1" t="n">
        <v>45982</v>
      </c>
      <c r="D255" t="inlineStr">
        <is>
          <t>VÄSTMANLANDS LÄN</t>
        </is>
      </c>
      <c r="E255" t="inlineStr">
        <is>
          <t>SALA</t>
        </is>
      </c>
      <c r="G255" t="n">
        <v>4.4</v>
      </c>
      <c r="H255" t="n">
        <v>0</v>
      </c>
      <c r="I255" t="n">
        <v>0</v>
      </c>
      <c r="J255" t="n">
        <v>0</v>
      </c>
      <c r="K255" t="n">
        <v>0</v>
      </c>
      <c r="L255" t="n">
        <v>0</v>
      </c>
      <c r="M255" t="n">
        <v>0</v>
      </c>
      <c r="N255" t="n">
        <v>0</v>
      </c>
      <c r="O255" t="n">
        <v>0</v>
      </c>
      <c r="P255" t="n">
        <v>0</v>
      </c>
      <c r="Q255" t="n">
        <v>0</v>
      </c>
      <c r="R255" s="2" t="inlineStr"/>
    </row>
    <row r="256" ht="15" customHeight="1">
      <c r="A256" t="inlineStr">
        <is>
          <t>A 41230-2025</t>
        </is>
      </c>
      <c r="B256" s="1" t="n">
        <v>45898</v>
      </c>
      <c r="C256" s="1" t="n">
        <v>45982</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10909-2024</t>
        </is>
      </c>
      <c r="B257" s="1" t="n">
        <v>45370</v>
      </c>
      <c r="C257" s="1" t="n">
        <v>45982</v>
      </c>
      <c r="D257" t="inlineStr">
        <is>
          <t>VÄSTMANLANDS LÄN</t>
        </is>
      </c>
      <c r="E257" t="inlineStr">
        <is>
          <t>SALA</t>
        </is>
      </c>
      <c r="G257" t="n">
        <v>3.3</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45982</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60548-2024</t>
        </is>
      </c>
      <c r="B259" s="1" t="n">
        <v>45643.80978009259</v>
      </c>
      <c r="C259" s="1" t="n">
        <v>45982</v>
      </c>
      <c r="D259" t="inlineStr">
        <is>
          <t>VÄSTMANLANDS LÄN</t>
        </is>
      </c>
      <c r="E259" t="inlineStr">
        <is>
          <t>SALA</t>
        </is>
      </c>
      <c r="G259" t="n">
        <v>1.6</v>
      </c>
      <c r="H259" t="n">
        <v>0</v>
      </c>
      <c r="I259" t="n">
        <v>0</v>
      </c>
      <c r="J259" t="n">
        <v>0</v>
      </c>
      <c r="K259" t="n">
        <v>0</v>
      </c>
      <c r="L259" t="n">
        <v>0</v>
      </c>
      <c r="M259" t="n">
        <v>0</v>
      </c>
      <c r="N259" t="n">
        <v>0</v>
      </c>
      <c r="O259" t="n">
        <v>0</v>
      </c>
      <c r="P259" t="n">
        <v>0</v>
      </c>
      <c r="Q259" t="n">
        <v>0</v>
      </c>
      <c r="R259" s="2" t="inlineStr"/>
    </row>
    <row r="260" ht="15" customHeight="1">
      <c r="A260" t="inlineStr">
        <is>
          <t>A 41414-2025</t>
        </is>
      </c>
      <c r="B260" s="1" t="n">
        <v>45901.360625</v>
      </c>
      <c r="C260" s="1" t="n">
        <v>45982</v>
      </c>
      <c r="D260" t="inlineStr">
        <is>
          <t>VÄSTMANLANDS LÄN</t>
        </is>
      </c>
      <c r="E260" t="inlineStr">
        <is>
          <t>SALA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26761-2023</t>
        </is>
      </c>
      <c r="B261" s="1" t="n">
        <v>45093</v>
      </c>
      <c r="C261" s="1" t="n">
        <v>45982</v>
      </c>
      <c r="D261" t="inlineStr">
        <is>
          <t>VÄSTMANLANDS LÄN</t>
        </is>
      </c>
      <c r="E261" t="inlineStr">
        <is>
          <t>SALA</t>
        </is>
      </c>
      <c r="G261" t="n">
        <v>4.3</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45982</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55035-2023</t>
        </is>
      </c>
      <c r="B263" s="1" t="n">
        <v>45229</v>
      </c>
      <c r="C263" s="1" t="n">
        <v>45982</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53164-2024</t>
        </is>
      </c>
      <c r="B264" s="1" t="n">
        <v>45611.64887731482</v>
      </c>
      <c r="C264" s="1" t="n">
        <v>45982</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41431-2025</t>
        </is>
      </c>
      <c r="B265" s="1" t="n">
        <v>45901.39347222223</v>
      </c>
      <c r="C265" s="1" t="n">
        <v>45982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60249-2023</t>
        </is>
      </c>
      <c r="B266" s="1" t="n">
        <v>45258</v>
      </c>
      <c r="C266" s="1" t="n">
        <v>45982</v>
      </c>
      <c r="D266" t="inlineStr">
        <is>
          <t>VÄSTMANLANDS LÄN</t>
        </is>
      </c>
      <c r="E266" t="inlineStr">
        <is>
          <t>SALA</t>
        </is>
      </c>
      <c r="G266" t="n">
        <v>2</v>
      </c>
      <c r="H266" t="n">
        <v>0</v>
      </c>
      <c r="I266" t="n">
        <v>0</v>
      </c>
      <c r="J266" t="n">
        <v>0</v>
      </c>
      <c r="K266" t="n">
        <v>0</v>
      </c>
      <c r="L266" t="n">
        <v>0</v>
      </c>
      <c r="M266" t="n">
        <v>0</v>
      </c>
      <c r="N266" t="n">
        <v>0</v>
      </c>
      <c r="O266" t="n">
        <v>0</v>
      </c>
      <c r="P266" t="n">
        <v>0</v>
      </c>
      <c r="Q266" t="n">
        <v>0</v>
      </c>
      <c r="R266" s="2" t="inlineStr"/>
    </row>
    <row r="267" ht="15" customHeight="1">
      <c r="A267" t="inlineStr">
        <is>
          <t>A 26661-2025</t>
        </is>
      </c>
      <c r="B267" s="1" t="n">
        <v>45810</v>
      </c>
      <c r="C267" s="1" t="n">
        <v>45982</v>
      </c>
      <c r="D267" t="inlineStr">
        <is>
          <t>VÄSTMANLANDS LÄN</t>
        </is>
      </c>
      <c r="E267" t="inlineStr">
        <is>
          <t>SALA</t>
        </is>
      </c>
      <c r="G267" t="n">
        <v>3.5</v>
      </c>
      <c r="H267" t="n">
        <v>0</v>
      </c>
      <c r="I267" t="n">
        <v>0</v>
      </c>
      <c r="J267" t="n">
        <v>0</v>
      </c>
      <c r="K267" t="n">
        <v>0</v>
      </c>
      <c r="L267" t="n">
        <v>0</v>
      </c>
      <c r="M267" t="n">
        <v>0</v>
      </c>
      <c r="N267" t="n">
        <v>0</v>
      </c>
      <c r="O267" t="n">
        <v>0</v>
      </c>
      <c r="P267" t="n">
        <v>0</v>
      </c>
      <c r="Q267" t="n">
        <v>0</v>
      </c>
      <c r="R267" s="2" t="inlineStr"/>
    </row>
    <row r="268" ht="15" customHeight="1">
      <c r="A268" t="inlineStr">
        <is>
          <t>A 50249-2025</t>
        </is>
      </c>
      <c r="B268" s="1" t="n">
        <v>45944.31508101852</v>
      </c>
      <c r="C268" s="1" t="n">
        <v>45982</v>
      </c>
      <c r="D268" t="inlineStr">
        <is>
          <t>VÄSTMANLANDS LÄN</t>
        </is>
      </c>
      <c r="E268" t="inlineStr">
        <is>
          <t>SALA</t>
        </is>
      </c>
      <c r="G268" t="n">
        <v>2.3</v>
      </c>
      <c r="H268" t="n">
        <v>0</v>
      </c>
      <c r="I268" t="n">
        <v>0</v>
      </c>
      <c r="J268" t="n">
        <v>0</v>
      </c>
      <c r="K268" t="n">
        <v>0</v>
      </c>
      <c r="L268" t="n">
        <v>0</v>
      </c>
      <c r="M268" t="n">
        <v>0</v>
      </c>
      <c r="N268" t="n">
        <v>0</v>
      </c>
      <c r="O268" t="n">
        <v>0</v>
      </c>
      <c r="P268" t="n">
        <v>0</v>
      </c>
      <c r="Q268" t="n">
        <v>0</v>
      </c>
      <c r="R268" s="2" t="inlineStr"/>
    </row>
    <row r="269" ht="15" customHeight="1">
      <c r="A269" t="inlineStr">
        <is>
          <t>A 31597-2024</t>
        </is>
      </c>
      <c r="B269" s="1" t="n">
        <v>45506</v>
      </c>
      <c r="C269" s="1" t="n">
        <v>45982</v>
      </c>
      <c r="D269" t="inlineStr">
        <is>
          <t>VÄSTMANLANDS LÄN</t>
        </is>
      </c>
      <c r="E269" t="inlineStr">
        <is>
          <t>SALA</t>
        </is>
      </c>
      <c r="G269" t="n">
        <v>2.4</v>
      </c>
      <c r="H269" t="n">
        <v>0</v>
      </c>
      <c r="I269" t="n">
        <v>0</v>
      </c>
      <c r="J269" t="n">
        <v>0</v>
      </c>
      <c r="K269" t="n">
        <v>0</v>
      </c>
      <c r="L269" t="n">
        <v>0</v>
      </c>
      <c r="M269" t="n">
        <v>0</v>
      </c>
      <c r="N269" t="n">
        <v>0</v>
      </c>
      <c r="O269" t="n">
        <v>0</v>
      </c>
      <c r="P269" t="n">
        <v>0</v>
      </c>
      <c r="Q269" t="n">
        <v>0</v>
      </c>
      <c r="R269" s="2" t="inlineStr"/>
    </row>
    <row r="270" ht="15" customHeight="1">
      <c r="A270" t="inlineStr">
        <is>
          <t>A 31599-2024</t>
        </is>
      </c>
      <c r="B270" s="1" t="n">
        <v>45506</v>
      </c>
      <c r="C270" s="1" t="n">
        <v>45982</v>
      </c>
      <c r="D270" t="inlineStr">
        <is>
          <t>VÄSTMANLANDS LÄN</t>
        </is>
      </c>
      <c r="E270" t="inlineStr">
        <is>
          <t>SALA</t>
        </is>
      </c>
      <c r="G270" t="n">
        <v>0.9</v>
      </c>
      <c r="H270" t="n">
        <v>0</v>
      </c>
      <c r="I270" t="n">
        <v>0</v>
      </c>
      <c r="J270" t="n">
        <v>0</v>
      </c>
      <c r="K270" t="n">
        <v>0</v>
      </c>
      <c r="L270" t="n">
        <v>0</v>
      </c>
      <c r="M270" t="n">
        <v>0</v>
      </c>
      <c r="N270" t="n">
        <v>0</v>
      </c>
      <c r="O270" t="n">
        <v>0</v>
      </c>
      <c r="P270" t="n">
        <v>0</v>
      </c>
      <c r="Q270" t="n">
        <v>0</v>
      </c>
      <c r="R270" s="2" t="inlineStr"/>
    </row>
    <row r="271" ht="15" customHeight="1">
      <c r="A271" t="inlineStr">
        <is>
          <t>A 31601-2024</t>
        </is>
      </c>
      <c r="B271" s="1" t="n">
        <v>45506</v>
      </c>
      <c r="C271" s="1" t="n">
        <v>45982</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31608-2024</t>
        </is>
      </c>
      <c r="B272" s="1" t="n">
        <v>45506</v>
      </c>
      <c r="C272" s="1" t="n">
        <v>45982</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31612-2024</t>
        </is>
      </c>
      <c r="B273" s="1" t="n">
        <v>45506</v>
      </c>
      <c r="C273" s="1" t="n">
        <v>45982</v>
      </c>
      <c r="D273" t="inlineStr">
        <is>
          <t>VÄSTMANLANDS LÄN</t>
        </is>
      </c>
      <c r="E273" t="inlineStr">
        <is>
          <t>SALA</t>
        </is>
      </c>
      <c r="G273" t="n">
        <v>3.2</v>
      </c>
      <c r="H273" t="n">
        <v>0</v>
      </c>
      <c r="I273" t="n">
        <v>0</v>
      </c>
      <c r="J273" t="n">
        <v>0</v>
      </c>
      <c r="K273" t="n">
        <v>0</v>
      </c>
      <c r="L273" t="n">
        <v>0</v>
      </c>
      <c r="M273" t="n">
        <v>0</v>
      </c>
      <c r="N273" t="n">
        <v>0</v>
      </c>
      <c r="O273" t="n">
        <v>0</v>
      </c>
      <c r="P273" t="n">
        <v>0</v>
      </c>
      <c r="Q273" t="n">
        <v>0</v>
      </c>
      <c r="R273" s="2" t="inlineStr"/>
    </row>
    <row r="274" ht="15" customHeight="1">
      <c r="A274" t="inlineStr">
        <is>
          <t>A 52500-2024</t>
        </is>
      </c>
      <c r="B274" s="1" t="n">
        <v>45609</v>
      </c>
      <c r="C274" s="1" t="n">
        <v>45982</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21968-2024</t>
        </is>
      </c>
      <c r="B275" s="1" t="n">
        <v>45443</v>
      </c>
      <c r="C275" s="1" t="n">
        <v>45982</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56949-2023</t>
        </is>
      </c>
      <c r="B276" s="1" t="n">
        <v>45244.61589120371</v>
      </c>
      <c r="C276" s="1" t="n">
        <v>45982</v>
      </c>
      <c r="D276" t="inlineStr">
        <is>
          <t>VÄSTMANLANDS LÄN</t>
        </is>
      </c>
      <c r="E276" t="inlineStr">
        <is>
          <t>SALA</t>
        </is>
      </c>
      <c r="G276" t="n">
        <v>4.7</v>
      </c>
      <c r="H276" t="n">
        <v>0</v>
      </c>
      <c r="I276" t="n">
        <v>0</v>
      </c>
      <c r="J276" t="n">
        <v>0</v>
      </c>
      <c r="K276" t="n">
        <v>0</v>
      </c>
      <c r="L276" t="n">
        <v>0</v>
      </c>
      <c r="M276" t="n">
        <v>0</v>
      </c>
      <c r="N276" t="n">
        <v>0</v>
      </c>
      <c r="O276" t="n">
        <v>0</v>
      </c>
      <c r="P276" t="n">
        <v>0</v>
      </c>
      <c r="Q276" t="n">
        <v>0</v>
      </c>
      <c r="R276" s="2" t="inlineStr"/>
    </row>
    <row r="277" ht="15" customHeight="1">
      <c r="A277" t="inlineStr">
        <is>
          <t>A 27989-2025</t>
        </is>
      </c>
      <c r="B277" s="1" t="n">
        <v>45817.58716435185</v>
      </c>
      <c r="C277" s="1" t="n">
        <v>45982</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27981-2025</t>
        </is>
      </c>
      <c r="B278" s="1" t="n">
        <v>45817.57471064815</v>
      </c>
      <c r="C278" s="1" t="n">
        <v>45982</v>
      </c>
      <c r="D278" t="inlineStr">
        <is>
          <t>VÄSTMANLANDS LÄN</t>
        </is>
      </c>
      <c r="E278" t="inlineStr">
        <is>
          <t>SALA</t>
        </is>
      </c>
      <c r="G278" t="n">
        <v>1.7</v>
      </c>
      <c r="H278" t="n">
        <v>0</v>
      </c>
      <c r="I278" t="n">
        <v>0</v>
      </c>
      <c r="J278" t="n">
        <v>0</v>
      </c>
      <c r="K278" t="n">
        <v>0</v>
      </c>
      <c r="L278" t="n">
        <v>0</v>
      </c>
      <c r="M278" t="n">
        <v>0</v>
      </c>
      <c r="N278" t="n">
        <v>0</v>
      </c>
      <c r="O278" t="n">
        <v>0</v>
      </c>
      <c r="P278" t="n">
        <v>0</v>
      </c>
      <c r="Q278" t="n">
        <v>0</v>
      </c>
      <c r="R278" s="2" t="inlineStr"/>
    </row>
    <row r="279" ht="15" customHeight="1">
      <c r="A279" t="inlineStr">
        <is>
          <t>A 28193-2025</t>
        </is>
      </c>
      <c r="B279" s="1" t="n">
        <v>45818.425625</v>
      </c>
      <c r="C279" s="1" t="n">
        <v>45982</v>
      </c>
      <c r="D279" t="inlineStr">
        <is>
          <t>VÄSTMANLANDS LÄN</t>
        </is>
      </c>
      <c r="E279" t="inlineStr">
        <is>
          <t>SALA</t>
        </is>
      </c>
      <c r="G279" t="n">
        <v>1.8</v>
      </c>
      <c r="H279" t="n">
        <v>0</v>
      </c>
      <c r="I279" t="n">
        <v>0</v>
      </c>
      <c r="J279" t="n">
        <v>0</v>
      </c>
      <c r="K279" t="n">
        <v>0</v>
      </c>
      <c r="L279" t="n">
        <v>0</v>
      </c>
      <c r="M279" t="n">
        <v>0</v>
      </c>
      <c r="N279" t="n">
        <v>0</v>
      </c>
      <c r="O279" t="n">
        <v>0</v>
      </c>
      <c r="P279" t="n">
        <v>0</v>
      </c>
      <c r="Q279" t="n">
        <v>0</v>
      </c>
      <c r="R279" s="2" t="inlineStr"/>
    </row>
    <row r="280" ht="15" customHeight="1">
      <c r="A280" t="inlineStr">
        <is>
          <t>A 51247-2025</t>
        </is>
      </c>
      <c r="B280" s="1" t="n">
        <v>45947.86487268518</v>
      </c>
      <c r="C280" s="1" t="n">
        <v>45982</v>
      </c>
      <c r="D280" t="inlineStr">
        <is>
          <t>VÄSTMANLANDS LÄN</t>
        </is>
      </c>
      <c r="E280" t="inlineStr">
        <is>
          <t>SALA</t>
        </is>
      </c>
      <c r="G280" t="n">
        <v>10.4</v>
      </c>
      <c r="H280" t="n">
        <v>0</v>
      </c>
      <c r="I280" t="n">
        <v>0</v>
      </c>
      <c r="J280" t="n">
        <v>0</v>
      </c>
      <c r="K280" t="n">
        <v>0</v>
      </c>
      <c r="L280" t="n">
        <v>0</v>
      </c>
      <c r="M280" t="n">
        <v>0</v>
      </c>
      <c r="N280" t="n">
        <v>0</v>
      </c>
      <c r="O280" t="n">
        <v>0</v>
      </c>
      <c r="P280" t="n">
        <v>0</v>
      </c>
      <c r="Q280" t="n">
        <v>0</v>
      </c>
      <c r="R280" s="2" t="inlineStr"/>
    </row>
    <row r="281" ht="15" customHeight="1">
      <c r="A281" t="inlineStr">
        <is>
          <t>A 42421-2025</t>
        </is>
      </c>
      <c r="B281" s="1" t="n">
        <v>45905.40067129629</v>
      </c>
      <c r="C281" s="1" t="n">
        <v>45982</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28284-2025</t>
        </is>
      </c>
      <c r="B282" s="1" t="n">
        <v>45818.58893518519</v>
      </c>
      <c r="C282" s="1" t="n">
        <v>45982</v>
      </c>
      <c r="D282" t="inlineStr">
        <is>
          <t>VÄSTMANLANDS LÄN</t>
        </is>
      </c>
      <c r="E282" t="inlineStr">
        <is>
          <t>SALA</t>
        </is>
      </c>
      <c r="G282" t="n">
        <v>2.4</v>
      </c>
      <c r="H282" t="n">
        <v>0</v>
      </c>
      <c r="I282" t="n">
        <v>0</v>
      </c>
      <c r="J282" t="n">
        <v>0</v>
      </c>
      <c r="K282" t="n">
        <v>0</v>
      </c>
      <c r="L282" t="n">
        <v>0</v>
      </c>
      <c r="M282" t="n">
        <v>0</v>
      </c>
      <c r="N282" t="n">
        <v>0</v>
      </c>
      <c r="O282" t="n">
        <v>0</v>
      </c>
      <c r="P282" t="n">
        <v>0</v>
      </c>
      <c r="Q282" t="n">
        <v>0</v>
      </c>
      <c r="R282" s="2" t="inlineStr"/>
    </row>
    <row r="283" ht="15" customHeight="1">
      <c r="A283" t="inlineStr">
        <is>
          <t>A 96-2024</t>
        </is>
      </c>
      <c r="B283" s="1" t="n">
        <v>45293.85872685185</v>
      </c>
      <c r="C283" s="1" t="n">
        <v>45982</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54118-2023</t>
        </is>
      </c>
      <c r="B284" s="1" t="n">
        <v>45232</v>
      </c>
      <c r="C284" s="1" t="n">
        <v>45982</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28278-2025</t>
        </is>
      </c>
      <c r="B285" s="1" t="n">
        <v>45818.58454861111</v>
      </c>
      <c r="C285" s="1" t="n">
        <v>45982</v>
      </c>
      <c r="D285" t="inlineStr">
        <is>
          <t>VÄSTMANLANDS LÄN</t>
        </is>
      </c>
      <c r="E285" t="inlineStr">
        <is>
          <t>SALA</t>
        </is>
      </c>
      <c r="G285" t="n">
        <v>7.6</v>
      </c>
      <c r="H285" t="n">
        <v>0</v>
      </c>
      <c r="I285" t="n">
        <v>0</v>
      </c>
      <c r="J285" t="n">
        <v>0</v>
      </c>
      <c r="K285" t="n">
        <v>0</v>
      </c>
      <c r="L285" t="n">
        <v>0</v>
      </c>
      <c r="M285" t="n">
        <v>0</v>
      </c>
      <c r="N285" t="n">
        <v>0</v>
      </c>
      <c r="O285" t="n">
        <v>0</v>
      </c>
      <c r="P285" t="n">
        <v>0</v>
      </c>
      <c r="Q285" t="n">
        <v>0</v>
      </c>
      <c r="R285" s="2" t="inlineStr"/>
    </row>
    <row r="286" ht="15" customHeight="1">
      <c r="A286" t="inlineStr">
        <is>
          <t>A 28628-2025</t>
        </is>
      </c>
      <c r="B286" s="1" t="n">
        <v>45819.62158564815</v>
      </c>
      <c r="C286" s="1" t="n">
        <v>45982</v>
      </c>
      <c r="D286" t="inlineStr">
        <is>
          <t>VÄSTMANLANDS LÄN</t>
        </is>
      </c>
      <c r="E286" t="inlineStr">
        <is>
          <t>SALA</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28632-2025</t>
        </is>
      </c>
      <c r="B287" s="1" t="n">
        <v>45819.62344907408</v>
      </c>
      <c r="C287" s="1" t="n">
        <v>45982</v>
      </c>
      <c r="D287" t="inlineStr">
        <is>
          <t>VÄSTMANLANDS LÄN</t>
        </is>
      </c>
      <c r="E287" t="inlineStr">
        <is>
          <t>SALA</t>
        </is>
      </c>
      <c r="F287" t="inlineStr">
        <is>
          <t>Sveaskog</t>
        </is>
      </c>
      <c r="G287" t="n">
        <v>2.4</v>
      </c>
      <c r="H287" t="n">
        <v>0</v>
      </c>
      <c r="I287" t="n">
        <v>0</v>
      </c>
      <c r="J287" t="n">
        <v>0</v>
      </c>
      <c r="K287" t="n">
        <v>0</v>
      </c>
      <c r="L287" t="n">
        <v>0</v>
      </c>
      <c r="M287" t="n">
        <v>0</v>
      </c>
      <c r="N287" t="n">
        <v>0</v>
      </c>
      <c r="O287" t="n">
        <v>0</v>
      </c>
      <c r="P287" t="n">
        <v>0</v>
      </c>
      <c r="Q287" t="n">
        <v>0</v>
      </c>
      <c r="R287" s="2" t="inlineStr"/>
    </row>
    <row r="288" ht="15" customHeight="1">
      <c r="A288" t="inlineStr">
        <is>
          <t>A 28630-2025</t>
        </is>
      </c>
      <c r="B288" s="1" t="n">
        <v>45819.62274305556</v>
      </c>
      <c r="C288" s="1" t="n">
        <v>45982</v>
      </c>
      <c r="D288" t="inlineStr">
        <is>
          <t>VÄSTMANLANDS LÄN</t>
        </is>
      </c>
      <c r="E288" t="inlineStr">
        <is>
          <t>SALA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17495-2024</t>
        </is>
      </c>
      <c r="B289" s="1" t="n">
        <v>45415</v>
      </c>
      <c r="C289" s="1" t="n">
        <v>45982</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34814-2021</t>
        </is>
      </c>
      <c r="B290" s="1" t="n">
        <v>44383</v>
      </c>
      <c r="C290" s="1" t="n">
        <v>45982</v>
      </c>
      <c r="D290" t="inlineStr">
        <is>
          <t>VÄSTMANLANDS LÄN</t>
        </is>
      </c>
      <c r="E290" t="inlineStr">
        <is>
          <t>SALA</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28837-2025</t>
        </is>
      </c>
      <c r="B291" s="1" t="n">
        <v>45820.56243055555</v>
      </c>
      <c r="C291" s="1" t="n">
        <v>45982</v>
      </c>
      <c r="D291" t="inlineStr">
        <is>
          <t>VÄSTMANLANDS LÄN</t>
        </is>
      </c>
      <c r="E291" t="inlineStr">
        <is>
          <t>SALA</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28849-2025</t>
        </is>
      </c>
      <c r="B292" s="1" t="n">
        <v>45820</v>
      </c>
      <c r="C292" s="1" t="n">
        <v>45982</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37263-2025</t>
        </is>
      </c>
      <c r="B293" s="1" t="n">
        <v>45876.4584837963</v>
      </c>
      <c r="C293" s="1" t="n">
        <v>45982</v>
      </c>
      <c r="D293" t="inlineStr">
        <is>
          <t>VÄSTMANLANDS LÄN</t>
        </is>
      </c>
      <c r="E293" t="inlineStr">
        <is>
          <t>SALA</t>
        </is>
      </c>
      <c r="G293" t="n">
        <v>2.3</v>
      </c>
      <c r="H293" t="n">
        <v>0</v>
      </c>
      <c r="I293" t="n">
        <v>0</v>
      </c>
      <c r="J293" t="n">
        <v>0</v>
      </c>
      <c r="K293" t="n">
        <v>0</v>
      </c>
      <c r="L293" t="n">
        <v>0</v>
      </c>
      <c r="M293" t="n">
        <v>0</v>
      </c>
      <c r="N293" t="n">
        <v>0</v>
      </c>
      <c r="O293" t="n">
        <v>0</v>
      </c>
      <c r="P293" t="n">
        <v>0</v>
      </c>
      <c r="Q293" t="n">
        <v>0</v>
      </c>
      <c r="R293" s="2" t="inlineStr"/>
    </row>
    <row r="294" ht="15" customHeight="1">
      <c r="A294" t="inlineStr">
        <is>
          <t>A 25748-2022</t>
        </is>
      </c>
      <c r="B294" s="1" t="n">
        <v>44732</v>
      </c>
      <c r="C294" s="1" t="n">
        <v>45982</v>
      </c>
      <c r="D294" t="inlineStr">
        <is>
          <t>VÄSTMANLANDS LÄN</t>
        </is>
      </c>
      <c r="E294" t="inlineStr">
        <is>
          <t>SALA</t>
        </is>
      </c>
      <c r="G294" t="n">
        <v>7.7</v>
      </c>
      <c r="H294" t="n">
        <v>0</v>
      </c>
      <c r="I294" t="n">
        <v>0</v>
      </c>
      <c r="J294" t="n">
        <v>0</v>
      </c>
      <c r="K294" t="n">
        <v>0</v>
      </c>
      <c r="L294" t="n">
        <v>0</v>
      </c>
      <c r="M294" t="n">
        <v>0</v>
      </c>
      <c r="N294" t="n">
        <v>0</v>
      </c>
      <c r="O294" t="n">
        <v>0</v>
      </c>
      <c r="P294" t="n">
        <v>0</v>
      </c>
      <c r="Q294" t="n">
        <v>0</v>
      </c>
      <c r="R294" s="2" t="inlineStr"/>
    </row>
    <row r="295" ht="15" customHeight="1">
      <c r="A295" t="inlineStr">
        <is>
          <t>A 51626-2025</t>
        </is>
      </c>
      <c r="B295" s="1" t="n">
        <v>45951.41769675926</v>
      </c>
      <c r="C295" s="1" t="n">
        <v>45982</v>
      </c>
      <c r="D295" t="inlineStr">
        <is>
          <t>VÄSTMANLANDS LÄN</t>
        </is>
      </c>
      <c r="E295" t="inlineStr">
        <is>
          <t>SALA</t>
        </is>
      </c>
      <c r="G295" t="n">
        <v>2.6</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45982</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29085-2025</t>
        </is>
      </c>
      <c r="B297" s="1" t="n">
        <v>45821</v>
      </c>
      <c r="C297" s="1" t="n">
        <v>45982</v>
      </c>
      <c r="D297" t="inlineStr">
        <is>
          <t>VÄSTMANLANDS LÄN</t>
        </is>
      </c>
      <c r="E297" t="inlineStr">
        <is>
          <t>SALA</t>
        </is>
      </c>
      <c r="G297" t="n">
        <v>3.5</v>
      </c>
      <c r="H297" t="n">
        <v>0</v>
      </c>
      <c r="I297" t="n">
        <v>0</v>
      </c>
      <c r="J297" t="n">
        <v>0</v>
      </c>
      <c r="K297" t="n">
        <v>0</v>
      </c>
      <c r="L297" t="n">
        <v>0</v>
      </c>
      <c r="M297" t="n">
        <v>0</v>
      </c>
      <c r="N297" t="n">
        <v>0</v>
      </c>
      <c r="O297" t="n">
        <v>0</v>
      </c>
      <c r="P297" t="n">
        <v>0</v>
      </c>
      <c r="Q297" t="n">
        <v>0</v>
      </c>
      <c r="R297" s="2" t="inlineStr"/>
    </row>
    <row r="298" ht="15" customHeight="1">
      <c r="A298" t="inlineStr">
        <is>
          <t>A 3733-2023</t>
        </is>
      </c>
      <c r="B298" s="1" t="n">
        <v>44951.42501157407</v>
      </c>
      <c r="C298" s="1" t="n">
        <v>45982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6136-2025</t>
        </is>
      </c>
      <c r="B299" s="1" t="n">
        <v>45698.37601851852</v>
      </c>
      <c r="C299" s="1" t="n">
        <v>45982</v>
      </c>
      <c r="D299" t="inlineStr">
        <is>
          <t>VÄSTMANLANDS LÄN</t>
        </is>
      </c>
      <c r="E299" t="inlineStr">
        <is>
          <t>SALA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6190-2025</t>
        </is>
      </c>
      <c r="B300" s="1" t="n">
        <v>45698</v>
      </c>
      <c r="C300" s="1" t="n">
        <v>45982</v>
      </c>
      <c r="D300" t="inlineStr">
        <is>
          <t>VÄSTMANLANDS LÄN</t>
        </is>
      </c>
      <c r="E300" t="inlineStr">
        <is>
          <t>SALA</t>
        </is>
      </c>
      <c r="F300" t="inlineStr">
        <is>
          <t>Bergvik skog öst AB</t>
        </is>
      </c>
      <c r="G300" t="n">
        <v>4.6</v>
      </c>
      <c r="H300" t="n">
        <v>0</v>
      </c>
      <c r="I300" t="n">
        <v>0</v>
      </c>
      <c r="J300" t="n">
        <v>0</v>
      </c>
      <c r="K300" t="n">
        <v>0</v>
      </c>
      <c r="L300" t="n">
        <v>0</v>
      </c>
      <c r="M300" t="n">
        <v>0</v>
      </c>
      <c r="N300" t="n">
        <v>0</v>
      </c>
      <c r="O300" t="n">
        <v>0</v>
      </c>
      <c r="P300" t="n">
        <v>0</v>
      </c>
      <c r="Q300" t="n">
        <v>0</v>
      </c>
      <c r="R300" s="2" t="inlineStr"/>
    </row>
    <row r="301" ht="15" customHeight="1">
      <c r="A301" t="inlineStr">
        <is>
          <t>A 51804-2025</t>
        </is>
      </c>
      <c r="B301" s="1" t="n">
        <v>45951.77697916667</v>
      </c>
      <c r="C301" s="1" t="n">
        <v>45982</v>
      </c>
      <c r="D301" t="inlineStr">
        <is>
          <t>VÄSTMANLANDS LÄN</t>
        </is>
      </c>
      <c r="E301" t="inlineStr">
        <is>
          <t>SALA</t>
        </is>
      </c>
      <c r="F301" t="inlineStr">
        <is>
          <t>Kommuner</t>
        </is>
      </c>
      <c r="G301" t="n">
        <v>2</v>
      </c>
      <c r="H301" t="n">
        <v>0</v>
      </c>
      <c r="I301" t="n">
        <v>0</v>
      </c>
      <c r="J301" t="n">
        <v>0</v>
      </c>
      <c r="K301" t="n">
        <v>0</v>
      </c>
      <c r="L301" t="n">
        <v>0</v>
      </c>
      <c r="M301" t="n">
        <v>0</v>
      </c>
      <c r="N301" t="n">
        <v>0</v>
      </c>
      <c r="O301" t="n">
        <v>0</v>
      </c>
      <c r="P301" t="n">
        <v>0</v>
      </c>
      <c r="Q301" t="n">
        <v>0</v>
      </c>
      <c r="R301" s="2" t="inlineStr"/>
    </row>
    <row r="302" ht="15" customHeight="1">
      <c r="A302" t="inlineStr">
        <is>
          <t>A 43128-2025</t>
        </is>
      </c>
      <c r="B302" s="1" t="n">
        <v>45909</v>
      </c>
      <c r="C302" s="1" t="n">
        <v>45982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40554-2025</t>
        </is>
      </c>
      <c r="B303" s="1" t="n">
        <v>45896.44506944445</v>
      </c>
      <c r="C303" s="1" t="n">
        <v>45982</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29691-2025</t>
        </is>
      </c>
      <c r="B304" s="1" t="n">
        <v>45825.53645833334</v>
      </c>
      <c r="C304" s="1" t="n">
        <v>45982</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51690-2025</t>
        </is>
      </c>
      <c r="B305" s="1" t="n">
        <v>45951.53462962963</v>
      </c>
      <c r="C305" s="1" t="n">
        <v>45982</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51764-2025</t>
        </is>
      </c>
      <c r="B306" s="1" t="n">
        <v>45951.63636574074</v>
      </c>
      <c r="C306" s="1" t="n">
        <v>45982</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16760-2024</t>
        </is>
      </c>
      <c r="B307" s="1" t="n">
        <v>45411</v>
      </c>
      <c r="C307" s="1" t="n">
        <v>45982</v>
      </c>
      <c r="D307" t="inlineStr">
        <is>
          <t>VÄSTMANLANDS LÄN</t>
        </is>
      </c>
      <c r="E307" t="inlineStr">
        <is>
          <t>SALA</t>
        </is>
      </c>
      <c r="G307" t="n">
        <v>2.6</v>
      </c>
      <c r="H307" t="n">
        <v>0</v>
      </c>
      <c r="I307" t="n">
        <v>0</v>
      </c>
      <c r="J307" t="n">
        <v>0</v>
      </c>
      <c r="K307" t="n">
        <v>0</v>
      </c>
      <c r="L307" t="n">
        <v>0</v>
      </c>
      <c r="M307" t="n">
        <v>0</v>
      </c>
      <c r="N307" t="n">
        <v>0</v>
      </c>
      <c r="O307" t="n">
        <v>0</v>
      </c>
      <c r="P307" t="n">
        <v>0</v>
      </c>
      <c r="Q307" t="n">
        <v>0</v>
      </c>
      <c r="R307" s="2" t="inlineStr"/>
    </row>
    <row r="308" ht="15" customHeight="1">
      <c r="A308" t="inlineStr">
        <is>
          <t>A 60541-2024</t>
        </is>
      </c>
      <c r="B308" s="1" t="n">
        <v>45643</v>
      </c>
      <c r="C308" s="1" t="n">
        <v>45982</v>
      </c>
      <c r="D308" t="inlineStr">
        <is>
          <t>VÄSTMANLANDS LÄN</t>
        </is>
      </c>
      <c r="E308" t="inlineStr">
        <is>
          <t>SALA</t>
        </is>
      </c>
      <c r="G308" t="n">
        <v>10.6</v>
      </c>
      <c r="H308" t="n">
        <v>0</v>
      </c>
      <c r="I308" t="n">
        <v>0</v>
      </c>
      <c r="J308" t="n">
        <v>0</v>
      </c>
      <c r="K308" t="n">
        <v>0</v>
      </c>
      <c r="L308" t="n">
        <v>0</v>
      </c>
      <c r="M308" t="n">
        <v>0</v>
      </c>
      <c r="N308" t="n">
        <v>0</v>
      </c>
      <c r="O308" t="n">
        <v>0</v>
      </c>
      <c r="P308" t="n">
        <v>0</v>
      </c>
      <c r="Q308" t="n">
        <v>0</v>
      </c>
      <c r="R308" s="2" t="inlineStr"/>
    </row>
    <row r="309" ht="15" customHeight="1">
      <c r="A309" t="inlineStr">
        <is>
          <t>A 43129-2025</t>
        </is>
      </c>
      <c r="B309" s="1" t="n">
        <v>45909</v>
      </c>
      <c r="C309" s="1" t="n">
        <v>45982</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43130-2025</t>
        </is>
      </c>
      <c r="B310" s="1" t="n">
        <v>45909</v>
      </c>
      <c r="C310" s="1" t="n">
        <v>45982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51809-2025</t>
        </is>
      </c>
      <c r="B311" s="1" t="n">
        <v>45951.80116898148</v>
      </c>
      <c r="C311" s="1" t="n">
        <v>45982</v>
      </c>
      <c r="D311" t="inlineStr">
        <is>
          <t>VÄSTMANLANDS LÄN</t>
        </is>
      </c>
      <c r="E311" t="inlineStr">
        <is>
          <t>SALA</t>
        </is>
      </c>
      <c r="F311" t="inlineStr">
        <is>
          <t>Kommuner</t>
        </is>
      </c>
      <c r="G311" t="n">
        <v>3.5</v>
      </c>
      <c r="H311" t="n">
        <v>0</v>
      </c>
      <c r="I311" t="n">
        <v>0</v>
      </c>
      <c r="J311" t="n">
        <v>0</v>
      </c>
      <c r="K311" t="n">
        <v>0</v>
      </c>
      <c r="L311" t="n">
        <v>0</v>
      </c>
      <c r="M311" t="n">
        <v>0</v>
      </c>
      <c r="N311" t="n">
        <v>0</v>
      </c>
      <c r="O311" t="n">
        <v>0</v>
      </c>
      <c r="P311" t="n">
        <v>0</v>
      </c>
      <c r="Q311" t="n">
        <v>0</v>
      </c>
      <c r="R311" s="2" t="inlineStr"/>
    </row>
    <row r="312" ht="15" customHeight="1">
      <c r="A312" t="inlineStr">
        <is>
          <t>A 51803-2025</t>
        </is>
      </c>
      <c r="B312" s="1" t="n">
        <v>45951.76818287037</v>
      </c>
      <c r="C312" s="1" t="n">
        <v>45982</v>
      </c>
      <c r="D312" t="inlineStr">
        <is>
          <t>VÄSTMANLANDS LÄN</t>
        </is>
      </c>
      <c r="E312" t="inlineStr">
        <is>
          <t>SALA</t>
        </is>
      </c>
      <c r="F312" t="inlineStr">
        <is>
          <t>Kommuner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51808-2025</t>
        </is>
      </c>
      <c r="B313" s="1" t="n">
        <v>45951.79302083333</v>
      </c>
      <c r="C313" s="1" t="n">
        <v>45982</v>
      </c>
      <c r="D313" t="inlineStr">
        <is>
          <t>VÄSTMANLANDS LÄN</t>
        </is>
      </c>
      <c r="E313" t="inlineStr">
        <is>
          <t>SALA</t>
        </is>
      </c>
      <c r="F313" t="inlineStr">
        <is>
          <t>Kommuner</t>
        </is>
      </c>
      <c r="G313" t="n">
        <v>3</v>
      </c>
      <c r="H313" t="n">
        <v>0</v>
      </c>
      <c r="I313" t="n">
        <v>0</v>
      </c>
      <c r="J313" t="n">
        <v>0</v>
      </c>
      <c r="K313" t="n">
        <v>0</v>
      </c>
      <c r="L313" t="n">
        <v>0</v>
      </c>
      <c r="M313" t="n">
        <v>0</v>
      </c>
      <c r="N313" t="n">
        <v>0</v>
      </c>
      <c r="O313" t="n">
        <v>0</v>
      </c>
      <c r="P313" t="n">
        <v>0</v>
      </c>
      <c r="Q313" t="n">
        <v>0</v>
      </c>
      <c r="R313" s="2" t="inlineStr"/>
    </row>
    <row r="314" ht="15" customHeight="1">
      <c r="A314" t="inlineStr">
        <is>
          <t>A 51805-2025</t>
        </is>
      </c>
      <c r="B314" s="1" t="n">
        <v>45951.78359953704</v>
      </c>
      <c r="C314" s="1" t="n">
        <v>45982</v>
      </c>
      <c r="D314" t="inlineStr">
        <is>
          <t>VÄSTMANLANDS LÄN</t>
        </is>
      </c>
      <c r="E314" t="inlineStr">
        <is>
          <t>SALA</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43028-2025</t>
        </is>
      </c>
      <c r="B315" s="1" t="n">
        <v>45909.53472222222</v>
      </c>
      <c r="C315" s="1" t="n">
        <v>45982</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43031-2025</t>
        </is>
      </c>
      <c r="B316" s="1" t="n">
        <v>45909.53856481481</v>
      </c>
      <c r="C316" s="1" t="n">
        <v>45982</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6127-2025</t>
        </is>
      </c>
      <c r="B317" s="1" t="n">
        <v>45698</v>
      </c>
      <c r="C317" s="1" t="n">
        <v>45982</v>
      </c>
      <c r="D317" t="inlineStr">
        <is>
          <t>VÄSTMANLANDS LÄN</t>
        </is>
      </c>
      <c r="E317" t="inlineStr">
        <is>
          <t>SALA</t>
        </is>
      </c>
      <c r="F317" t="inlineStr">
        <is>
          <t>Bergvik skog öst AB</t>
        </is>
      </c>
      <c r="G317" t="n">
        <v>4.3</v>
      </c>
      <c r="H317" t="n">
        <v>0</v>
      </c>
      <c r="I317" t="n">
        <v>0</v>
      </c>
      <c r="J317" t="n">
        <v>0</v>
      </c>
      <c r="K317" t="n">
        <v>0</v>
      </c>
      <c r="L317" t="n">
        <v>0</v>
      </c>
      <c r="M317" t="n">
        <v>0</v>
      </c>
      <c r="N317" t="n">
        <v>0</v>
      </c>
      <c r="O317" t="n">
        <v>0</v>
      </c>
      <c r="P317" t="n">
        <v>0</v>
      </c>
      <c r="Q317" t="n">
        <v>0</v>
      </c>
      <c r="R317" s="2" t="inlineStr"/>
    </row>
    <row r="318" ht="15" customHeight="1">
      <c r="A318" t="inlineStr">
        <is>
          <t>A 29826-2025</t>
        </is>
      </c>
      <c r="B318" s="1" t="n">
        <v>45825.85761574074</v>
      </c>
      <c r="C318" s="1" t="n">
        <v>45982</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988-2025</t>
        </is>
      </c>
      <c r="B319" s="1" t="n">
        <v>45666.44038194444</v>
      </c>
      <c r="C319" s="1" t="n">
        <v>45982</v>
      </c>
      <c r="D319" t="inlineStr">
        <is>
          <t>VÄSTMANLANDS LÄN</t>
        </is>
      </c>
      <c r="E319" t="inlineStr">
        <is>
          <t>SALA</t>
        </is>
      </c>
      <c r="G319" t="n">
        <v>1.3</v>
      </c>
      <c r="H319" t="n">
        <v>0</v>
      </c>
      <c r="I319" t="n">
        <v>0</v>
      </c>
      <c r="J319" t="n">
        <v>0</v>
      </c>
      <c r="K319" t="n">
        <v>0</v>
      </c>
      <c r="L319" t="n">
        <v>0</v>
      </c>
      <c r="M319" t="n">
        <v>0</v>
      </c>
      <c r="N319" t="n">
        <v>0</v>
      </c>
      <c r="O319" t="n">
        <v>0</v>
      </c>
      <c r="P319" t="n">
        <v>0</v>
      </c>
      <c r="Q319" t="n">
        <v>0</v>
      </c>
      <c r="R319" s="2" t="inlineStr"/>
    </row>
    <row r="320" ht="15" customHeight="1">
      <c r="A320" t="inlineStr">
        <is>
          <t>A 60328-2024</t>
        </is>
      </c>
      <c r="B320" s="1" t="n">
        <v>45643.38416666666</v>
      </c>
      <c r="C320" s="1" t="n">
        <v>45982</v>
      </c>
      <c r="D320" t="inlineStr">
        <is>
          <t>VÄSTMANLANDS LÄN</t>
        </is>
      </c>
      <c r="E320" t="inlineStr">
        <is>
          <t>SALA</t>
        </is>
      </c>
      <c r="G320" t="n">
        <v>0.5</v>
      </c>
      <c r="H320" t="n">
        <v>0</v>
      </c>
      <c r="I320" t="n">
        <v>0</v>
      </c>
      <c r="J320" t="n">
        <v>0</v>
      </c>
      <c r="K320" t="n">
        <v>0</v>
      </c>
      <c r="L320" t="n">
        <v>0</v>
      </c>
      <c r="M320" t="n">
        <v>0</v>
      </c>
      <c r="N320" t="n">
        <v>0</v>
      </c>
      <c r="O320" t="n">
        <v>0</v>
      </c>
      <c r="P320" t="n">
        <v>0</v>
      </c>
      <c r="Q320" t="n">
        <v>0</v>
      </c>
      <c r="R320" s="2" t="inlineStr"/>
    </row>
    <row r="321" ht="15" customHeight="1">
      <c r="A321" t="inlineStr">
        <is>
          <t>A 43328-2025</t>
        </is>
      </c>
      <c r="B321" s="1" t="n">
        <v>45910</v>
      </c>
      <c r="C321" s="1" t="n">
        <v>45982</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35016-2024</t>
        </is>
      </c>
      <c r="B322" s="1" t="n">
        <v>45527.59115740741</v>
      </c>
      <c r="C322" s="1" t="n">
        <v>45982</v>
      </c>
      <c r="D322" t="inlineStr">
        <is>
          <t>VÄSTMANLANDS LÄN</t>
        </is>
      </c>
      <c r="E322" t="inlineStr">
        <is>
          <t>SALA</t>
        </is>
      </c>
      <c r="G322" t="n">
        <v>0.4</v>
      </c>
      <c r="H322" t="n">
        <v>0</v>
      </c>
      <c r="I322" t="n">
        <v>0</v>
      </c>
      <c r="J322" t="n">
        <v>0</v>
      </c>
      <c r="K322" t="n">
        <v>0</v>
      </c>
      <c r="L322" t="n">
        <v>0</v>
      </c>
      <c r="M322" t="n">
        <v>0</v>
      </c>
      <c r="N322" t="n">
        <v>0</v>
      </c>
      <c r="O322" t="n">
        <v>0</v>
      </c>
      <c r="P322" t="n">
        <v>0</v>
      </c>
      <c r="Q322" t="n">
        <v>0</v>
      </c>
      <c r="R322" s="2" t="inlineStr"/>
    </row>
    <row r="323" ht="15" customHeight="1">
      <c r="A323" t="inlineStr">
        <is>
          <t>A 25897-2024</t>
        </is>
      </c>
      <c r="B323" s="1" t="n">
        <v>45467.54435185185</v>
      </c>
      <c r="C323" s="1" t="n">
        <v>45982</v>
      </c>
      <c r="D323" t="inlineStr">
        <is>
          <t>VÄSTMANLANDS LÄN</t>
        </is>
      </c>
      <c r="E323" t="inlineStr">
        <is>
          <t>SALA</t>
        </is>
      </c>
      <c r="G323" t="n">
        <v>9.9</v>
      </c>
      <c r="H323" t="n">
        <v>0</v>
      </c>
      <c r="I323" t="n">
        <v>0</v>
      </c>
      <c r="J323" t="n">
        <v>0</v>
      </c>
      <c r="K323" t="n">
        <v>0</v>
      </c>
      <c r="L323" t="n">
        <v>0</v>
      </c>
      <c r="M323" t="n">
        <v>0</v>
      </c>
      <c r="N323" t="n">
        <v>0</v>
      </c>
      <c r="O323" t="n">
        <v>0</v>
      </c>
      <c r="P323" t="n">
        <v>0</v>
      </c>
      <c r="Q323" t="n">
        <v>0</v>
      </c>
      <c r="R323" s="2" t="inlineStr"/>
    </row>
    <row r="324" ht="15" customHeight="1">
      <c r="A324" t="inlineStr">
        <is>
          <t>A 31072-2021</t>
        </is>
      </c>
      <c r="B324" s="1" t="n">
        <v>44368</v>
      </c>
      <c r="C324" s="1" t="n">
        <v>45982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57371-2022</t>
        </is>
      </c>
      <c r="B325" s="1" t="n">
        <v>44896.43832175926</v>
      </c>
      <c r="C325" s="1" t="n">
        <v>45982</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22019-2021</t>
        </is>
      </c>
      <c r="B326" s="1" t="n">
        <v>44323</v>
      </c>
      <c r="C326" s="1" t="n">
        <v>45982</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55784-2024</t>
        </is>
      </c>
      <c r="B327" s="1" t="n">
        <v>45623</v>
      </c>
      <c r="C327" s="1" t="n">
        <v>45982</v>
      </c>
      <c r="D327" t="inlineStr">
        <is>
          <t>VÄSTMANLANDS LÄN</t>
        </is>
      </c>
      <c r="E327" t="inlineStr">
        <is>
          <t>SALA</t>
        </is>
      </c>
      <c r="F327" t="inlineStr">
        <is>
          <t>Bergvik skog öst AB</t>
        </is>
      </c>
      <c r="G327" t="n">
        <v>28.4</v>
      </c>
      <c r="H327" t="n">
        <v>0</v>
      </c>
      <c r="I327" t="n">
        <v>0</v>
      </c>
      <c r="J327" t="n">
        <v>0</v>
      </c>
      <c r="K327" t="n">
        <v>0</v>
      </c>
      <c r="L327" t="n">
        <v>0</v>
      </c>
      <c r="M327" t="n">
        <v>0</v>
      </c>
      <c r="N327" t="n">
        <v>0</v>
      </c>
      <c r="O327" t="n">
        <v>0</v>
      </c>
      <c r="P327" t="n">
        <v>0</v>
      </c>
      <c r="Q327" t="n">
        <v>0</v>
      </c>
      <c r="R327" s="2" t="inlineStr"/>
    </row>
    <row r="328" ht="15" customHeight="1">
      <c r="A328" t="inlineStr">
        <is>
          <t>A 31608-2025</t>
        </is>
      </c>
      <c r="B328" s="1" t="n">
        <v>45833</v>
      </c>
      <c r="C328" s="1" t="n">
        <v>45982</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16651-2021</t>
        </is>
      </c>
      <c r="B329" s="1" t="n">
        <v>44294.50096064815</v>
      </c>
      <c r="C329" s="1" t="n">
        <v>45982</v>
      </c>
      <c r="D329" t="inlineStr">
        <is>
          <t>VÄSTMANLANDS LÄN</t>
        </is>
      </c>
      <c r="E329" t="inlineStr">
        <is>
          <t>SALA</t>
        </is>
      </c>
      <c r="G329" t="n">
        <v>7.7</v>
      </c>
      <c r="H329" t="n">
        <v>0</v>
      </c>
      <c r="I329" t="n">
        <v>0</v>
      </c>
      <c r="J329" t="n">
        <v>0</v>
      </c>
      <c r="K329" t="n">
        <v>0</v>
      </c>
      <c r="L329" t="n">
        <v>0</v>
      </c>
      <c r="M329" t="n">
        <v>0</v>
      </c>
      <c r="N329" t="n">
        <v>0</v>
      </c>
      <c r="O329" t="n">
        <v>0</v>
      </c>
      <c r="P329" t="n">
        <v>0</v>
      </c>
      <c r="Q329" t="n">
        <v>0</v>
      </c>
      <c r="R329" s="2" t="inlineStr"/>
    </row>
    <row r="330" ht="15" customHeight="1">
      <c r="A330" t="inlineStr">
        <is>
          <t>A 30866-2025</t>
        </is>
      </c>
      <c r="B330" s="1" t="n">
        <v>45832.3246875</v>
      </c>
      <c r="C330" s="1" t="n">
        <v>45982</v>
      </c>
      <c r="D330" t="inlineStr">
        <is>
          <t>VÄSTMANLANDS LÄN</t>
        </is>
      </c>
      <c r="E330" t="inlineStr">
        <is>
          <t>SALA</t>
        </is>
      </c>
      <c r="G330" t="n">
        <v>14.3</v>
      </c>
      <c r="H330" t="n">
        <v>0</v>
      </c>
      <c r="I330" t="n">
        <v>0</v>
      </c>
      <c r="J330" t="n">
        <v>0</v>
      </c>
      <c r="K330" t="n">
        <v>0</v>
      </c>
      <c r="L330" t="n">
        <v>0</v>
      </c>
      <c r="M330" t="n">
        <v>0</v>
      </c>
      <c r="N330" t="n">
        <v>0</v>
      </c>
      <c r="O330" t="n">
        <v>0</v>
      </c>
      <c r="P330" t="n">
        <v>0</v>
      </c>
      <c r="Q330" t="n">
        <v>0</v>
      </c>
      <c r="R330" s="2" t="inlineStr"/>
    </row>
    <row r="331" ht="15" customHeight="1">
      <c r="A331" t="inlineStr">
        <is>
          <t>A 30874-2025</t>
        </is>
      </c>
      <c r="B331" s="1" t="n">
        <v>45832.34430555555</v>
      </c>
      <c r="C331" s="1" t="n">
        <v>45982</v>
      </c>
      <c r="D331" t="inlineStr">
        <is>
          <t>VÄSTMANLANDS LÄN</t>
        </is>
      </c>
      <c r="E331" t="inlineStr">
        <is>
          <t>SALA</t>
        </is>
      </c>
      <c r="G331" t="n">
        <v>8.4</v>
      </c>
      <c r="H331" t="n">
        <v>0</v>
      </c>
      <c r="I331" t="n">
        <v>0</v>
      </c>
      <c r="J331" t="n">
        <v>0</v>
      </c>
      <c r="K331" t="n">
        <v>0</v>
      </c>
      <c r="L331" t="n">
        <v>0</v>
      </c>
      <c r="M331" t="n">
        <v>0</v>
      </c>
      <c r="N331" t="n">
        <v>0</v>
      </c>
      <c r="O331" t="n">
        <v>0</v>
      </c>
      <c r="P331" t="n">
        <v>0</v>
      </c>
      <c r="Q331" t="n">
        <v>0</v>
      </c>
      <c r="R331" s="2" t="inlineStr"/>
    </row>
    <row r="332" ht="15" customHeight="1">
      <c r="A332" t="inlineStr">
        <is>
          <t>A 31573-2025</t>
        </is>
      </c>
      <c r="B332" s="1" t="n">
        <v>45833</v>
      </c>
      <c r="C332" s="1" t="n">
        <v>45982</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31288-2025</t>
        </is>
      </c>
      <c r="B333" s="1" t="n">
        <v>45833</v>
      </c>
      <c r="C333" s="1" t="n">
        <v>45982</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31554-2025</t>
        </is>
      </c>
      <c r="B334" s="1" t="n">
        <v>45833</v>
      </c>
      <c r="C334" s="1" t="n">
        <v>45982</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30899-2025</t>
        </is>
      </c>
      <c r="B335" s="1" t="n">
        <v>45832.35767361111</v>
      </c>
      <c r="C335" s="1" t="n">
        <v>45982</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19803-2024</t>
        </is>
      </c>
      <c r="B336" s="1" t="n">
        <v>45432</v>
      </c>
      <c r="C336" s="1" t="n">
        <v>45982</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31065-2025</t>
        </is>
      </c>
      <c r="B337" s="1" t="n">
        <v>45832.57571759259</v>
      </c>
      <c r="C337" s="1" t="n">
        <v>45982</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7196-2025</t>
        </is>
      </c>
      <c r="B338" s="1" t="n">
        <v>45702</v>
      </c>
      <c r="C338" s="1" t="n">
        <v>45982</v>
      </c>
      <c r="D338" t="inlineStr">
        <is>
          <t>VÄSTMANLANDS LÄN</t>
        </is>
      </c>
      <c r="E338" t="inlineStr">
        <is>
          <t>SALA</t>
        </is>
      </c>
      <c r="G338" t="n">
        <v>1.3</v>
      </c>
      <c r="H338" t="n">
        <v>0</v>
      </c>
      <c r="I338" t="n">
        <v>0</v>
      </c>
      <c r="J338" t="n">
        <v>0</v>
      </c>
      <c r="K338" t="n">
        <v>0</v>
      </c>
      <c r="L338" t="n">
        <v>0</v>
      </c>
      <c r="M338" t="n">
        <v>0</v>
      </c>
      <c r="N338" t="n">
        <v>0</v>
      </c>
      <c r="O338" t="n">
        <v>0</v>
      </c>
      <c r="P338" t="n">
        <v>0</v>
      </c>
      <c r="Q338" t="n">
        <v>0</v>
      </c>
      <c r="R338" s="2" t="inlineStr"/>
    </row>
    <row r="339" ht="15" customHeight="1">
      <c r="A339" t="inlineStr">
        <is>
          <t>A 31296-2025</t>
        </is>
      </c>
      <c r="B339" s="1" t="n">
        <v>45833.36765046296</v>
      </c>
      <c r="C339" s="1" t="n">
        <v>45982</v>
      </c>
      <c r="D339" t="inlineStr">
        <is>
          <t>VÄSTMANLANDS LÄN</t>
        </is>
      </c>
      <c r="E339" t="inlineStr">
        <is>
          <t>SALA</t>
        </is>
      </c>
      <c r="G339" t="n">
        <v>3.7</v>
      </c>
      <c r="H339" t="n">
        <v>0</v>
      </c>
      <c r="I339" t="n">
        <v>0</v>
      </c>
      <c r="J339" t="n">
        <v>0</v>
      </c>
      <c r="K339" t="n">
        <v>0</v>
      </c>
      <c r="L339" t="n">
        <v>0</v>
      </c>
      <c r="M339" t="n">
        <v>0</v>
      </c>
      <c r="N339" t="n">
        <v>0</v>
      </c>
      <c r="O339" t="n">
        <v>0</v>
      </c>
      <c r="P339" t="n">
        <v>0</v>
      </c>
      <c r="Q339" t="n">
        <v>0</v>
      </c>
      <c r="R339" s="2" t="inlineStr"/>
    </row>
    <row r="340" ht="15" customHeight="1">
      <c r="A340" t="inlineStr">
        <is>
          <t>A 44100-2025</t>
        </is>
      </c>
      <c r="B340" s="1" t="n">
        <v>45915.56707175926</v>
      </c>
      <c r="C340" s="1" t="n">
        <v>45982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40597-2022</t>
        </is>
      </c>
      <c r="B341" s="1" t="n">
        <v>44823.84862268518</v>
      </c>
      <c r="C341" s="1" t="n">
        <v>45982</v>
      </c>
      <c r="D341" t="inlineStr">
        <is>
          <t>VÄSTMANLANDS LÄN</t>
        </is>
      </c>
      <c r="E341" t="inlineStr">
        <is>
          <t>SALA</t>
        </is>
      </c>
      <c r="G341" t="n">
        <v>3.5</v>
      </c>
      <c r="H341" t="n">
        <v>0</v>
      </c>
      <c r="I341" t="n">
        <v>0</v>
      </c>
      <c r="J341" t="n">
        <v>0</v>
      </c>
      <c r="K341" t="n">
        <v>0</v>
      </c>
      <c r="L341" t="n">
        <v>0</v>
      </c>
      <c r="M341" t="n">
        <v>0</v>
      </c>
      <c r="N341" t="n">
        <v>0</v>
      </c>
      <c r="O341" t="n">
        <v>0</v>
      </c>
      <c r="P341" t="n">
        <v>0</v>
      </c>
      <c r="Q341" t="n">
        <v>0</v>
      </c>
      <c r="R341" s="2" t="inlineStr"/>
    </row>
    <row r="342" ht="15" customHeight="1">
      <c r="A342" t="inlineStr">
        <is>
          <t>A 31748-2025</t>
        </is>
      </c>
      <c r="B342" s="1" t="n">
        <v>45834</v>
      </c>
      <c r="C342" s="1" t="n">
        <v>45982</v>
      </c>
      <c r="D342" t="inlineStr">
        <is>
          <t>VÄSTMANLANDS LÄN</t>
        </is>
      </c>
      <c r="E342" t="inlineStr">
        <is>
          <t>SALA</t>
        </is>
      </c>
      <c r="G342" t="n">
        <v>2</v>
      </c>
      <c r="H342" t="n">
        <v>0</v>
      </c>
      <c r="I342" t="n">
        <v>0</v>
      </c>
      <c r="J342" t="n">
        <v>0</v>
      </c>
      <c r="K342" t="n">
        <v>0</v>
      </c>
      <c r="L342" t="n">
        <v>0</v>
      </c>
      <c r="M342" t="n">
        <v>0</v>
      </c>
      <c r="N342" t="n">
        <v>0</v>
      </c>
      <c r="O342" t="n">
        <v>0</v>
      </c>
      <c r="P342" t="n">
        <v>0</v>
      </c>
      <c r="Q342" t="n">
        <v>0</v>
      </c>
      <c r="R342" s="2" t="inlineStr"/>
    </row>
    <row r="343" ht="15" customHeight="1">
      <c r="A343" t="inlineStr">
        <is>
          <t>A 32210-2025</t>
        </is>
      </c>
      <c r="B343" s="1" t="n">
        <v>45835</v>
      </c>
      <c r="C343" s="1" t="n">
        <v>45982</v>
      </c>
      <c r="D343" t="inlineStr">
        <is>
          <t>VÄSTMANLANDS LÄN</t>
        </is>
      </c>
      <c r="E343" t="inlineStr">
        <is>
          <t>SALA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31610-2025</t>
        </is>
      </c>
      <c r="B344" s="1" t="n">
        <v>45833.78650462963</v>
      </c>
      <c r="C344" s="1" t="n">
        <v>45982</v>
      </c>
      <c r="D344" t="inlineStr">
        <is>
          <t>VÄSTMANLANDS LÄN</t>
        </is>
      </c>
      <c r="E344" t="inlineStr">
        <is>
          <t>SALA</t>
        </is>
      </c>
      <c r="G344" t="n">
        <v>8</v>
      </c>
      <c r="H344" t="n">
        <v>0</v>
      </c>
      <c r="I344" t="n">
        <v>0</v>
      </c>
      <c r="J344" t="n">
        <v>0</v>
      </c>
      <c r="K344" t="n">
        <v>0</v>
      </c>
      <c r="L344" t="n">
        <v>0</v>
      </c>
      <c r="M344" t="n">
        <v>0</v>
      </c>
      <c r="N344" t="n">
        <v>0</v>
      </c>
      <c r="O344" t="n">
        <v>0</v>
      </c>
      <c r="P344" t="n">
        <v>0</v>
      </c>
      <c r="Q344" t="n">
        <v>0</v>
      </c>
      <c r="R344" s="2" t="inlineStr"/>
    </row>
    <row r="345" ht="15" customHeight="1">
      <c r="A345" t="inlineStr">
        <is>
          <t>A 32201-2025</t>
        </is>
      </c>
      <c r="B345" s="1" t="n">
        <v>45835</v>
      </c>
      <c r="C345" s="1" t="n">
        <v>45982</v>
      </c>
      <c r="D345" t="inlineStr">
        <is>
          <t>VÄSTMANLANDS LÄN</t>
        </is>
      </c>
      <c r="E345" t="inlineStr">
        <is>
          <t>SALA</t>
        </is>
      </c>
      <c r="F345" t="inlineStr">
        <is>
          <t>Bergvik skog öst AB</t>
        </is>
      </c>
      <c r="G345" t="n">
        <v>1.8</v>
      </c>
      <c r="H345" t="n">
        <v>0</v>
      </c>
      <c r="I345" t="n">
        <v>0</v>
      </c>
      <c r="J345" t="n">
        <v>0</v>
      </c>
      <c r="K345" t="n">
        <v>0</v>
      </c>
      <c r="L345" t="n">
        <v>0</v>
      </c>
      <c r="M345" t="n">
        <v>0</v>
      </c>
      <c r="N345" t="n">
        <v>0</v>
      </c>
      <c r="O345" t="n">
        <v>0</v>
      </c>
      <c r="P345" t="n">
        <v>0</v>
      </c>
      <c r="Q345" t="n">
        <v>0</v>
      </c>
      <c r="R345" s="2" t="inlineStr"/>
    </row>
    <row r="346" ht="15" customHeight="1">
      <c r="A346" t="inlineStr">
        <is>
          <t>A 31612-2025</t>
        </is>
      </c>
      <c r="B346" s="1" t="n">
        <v>45833.80056712963</v>
      </c>
      <c r="C346" s="1" t="n">
        <v>45982</v>
      </c>
      <c r="D346" t="inlineStr">
        <is>
          <t>VÄSTMANLANDS LÄN</t>
        </is>
      </c>
      <c r="E346" t="inlineStr">
        <is>
          <t>SALA</t>
        </is>
      </c>
      <c r="G346" t="n">
        <v>6.3</v>
      </c>
      <c r="H346" t="n">
        <v>0</v>
      </c>
      <c r="I346" t="n">
        <v>0</v>
      </c>
      <c r="J346" t="n">
        <v>0</v>
      </c>
      <c r="K346" t="n">
        <v>0</v>
      </c>
      <c r="L346" t="n">
        <v>0</v>
      </c>
      <c r="M346" t="n">
        <v>0</v>
      </c>
      <c r="N346" t="n">
        <v>0</v>
      </c>
      <c r="O346" t="n">
        <v>0</v>
      </c>
      <c r="P346" t="n">
        <v>0</v>
      </c>
      <c r="Q346" t="n">
        <v>0</v>
      </c>
      <c r="R346" s="2" t="inlineStr"/>
    </row>
    <row r="347" ht="15" customHeight="1">
      <c r="A347" t="inlineStr">
        <is>
          <t>A 32207-2025</t>
        </is>
      </c>
      <c r="B347" s="1" t="n">
        <v>45835</v>
      </c>
      <c r="C347" s="1" t="n">
        <v>45982</v>
      </c>
      <c r="D347" t="inlineStr">
        <is>
          <t>VÄSTMANLANDS LÄN</t>
        </is>
      </c>
      <c r="E347" t="inlineStr">
        <is>
          <t>SALA</t>
        </is>
      </c>
      <c r="F347" t="inlineStr">
        <is>
          <t>Bergvik skog öst AB</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31762-2025</t>
        </is>
      </c>
      <c r="B348" s="1" t="n">
        <v>45834.49288194445</v>
      </c>
      <c r="C348" s="1" t="n">
        <v>45982</v>
      </c>
      <c r="D348" t="inlineStr">
        <is>
          <t>VÄSTMANLANDS LÄN</t>
        </is>
      </c>
      <c r="E348" t="inlineStr">
        <is>
          <t>SALA</t>
        </is>
      </c>
      <c r="G348" t="n">
        <v>5.9</v>
      </c>
      <c r="H348" t="n">
        <v>0</v>
      </c>
      <c r="I348" t="n">
        <v>0</v>
      </c>
      <c r="J348" t="n">
        <v>0</v>
      </c>
      <c r="K348" t="n">
        <v>0</v>
      </c>
      <c r="L348" t="n">
        <v>0</v>
      </c>
      <c r="M348" t="n">
        <v>0</v>
      </c>
      <c r="N348" t="n">
        <v>0</v>
      </c>
      <c r="O348" t="n">
        <v>0</v>
      </c>
      <c r="P348" t="n">
        <v>0</v>
      </c>
      <c r="Q348" t="n">
        <v>0</v>
      </c>
      <c r="R348" s="2" t="inlineStr"/>
    </row>
    <row r="349" ht="15" customHeight="1">
      <c r="A349" t="inlineStr">
        <is>
          <t>A 31771-2025</t>
        </is>
      </c>
      <c r="B349" s="1" t="n">
        <v>45834.50910879629</v>
      </c>
      <c r="C349" s="1" t="n">
        <v>45982</v>
      </c>
      <c r="D349" t="inlineStr">
        <is>
          <t>VÄSTMANLANDS LÄN</t>
        </is>
      </c>
      <c r="E349" t="inlineStr">
        <is>
          <t>SALA</t>
        </is>
      </c>
      <c r="G349" t="n">
        <v>5.1</v>
      </c>
      <c r="H349" t="n">
        <v>0</v>
      </c>
      <c r="I349" t="n">
        <v>0</v>
      </c>
      <c r="J349" t="n">
        <v>0</v>
      </c>
      <c r="K349" t="n">
        <v>0</v>
      </c>
      <c r="L349" t="n">
        <v>0</v>
      </c>
      <c r="M349" t="n">
        <v>0</v>
      </c>
      <c r="N349" t="n">
        <v>0</v>
      </c>
      <c r="O349" t="n">
        <v>0</v>
      </c>
      <c r="P349" t="n">
        <v>0</v>
      </c>
      <c r="Q349" t="n">
        <v>0</v>
      </c>
      <c r="R349" s="2" t="inlineStr"/>
    </row>
    <row r="350" ht="15" customHeight="1">
      <c r="A350" t="inlineStr">
        <is>
          <t>A 32205-2025</t>
        </is>
      </c>
      <c r="B350" s="1" t="n">
        <v>45835</v>
      </c>
      <c r="C350" s="1" t="n">
        <v>45982</v>
      </c>
      <c r="D350" t="inlineStr">
        <is>
          <t>VÄSTMANLANDS LÄN</t>
        </is>
      </c>
      <c r="E350" t="inlineStr">
        <is>
          <t>SALA</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32286-2025</t>
        </is>
      </c>
      <c r="B351" s="1" t="n">
        <v>45835</v>
      </c>
      <c r="C351" s="1" t="n">
        <v>45982</v>
      </c>
      <c r="D351" t="inlineStr">
        <is>
          <t>VÄSTMANLANDS LÄN</t>
        </is>
      </c>
      <c r="E351" t="inlineStr">
        <is>
          <t>SALA</t>
        </is>
      </c>
      <c r="G351" t="n">
        <v>6.4</v>
      </c>
      <c r="H351" t="n">
        <v>0</v>
      </c>
      <c r="I351" t="n">
        <v>0</v>
      </c>
      <c r="J351" t="n">
        <v>0</v>
      </c>
      <c r="K351" t="n">
        <v>0</v>
      </c>
      <c r="L351" t="n">
        <v>0</v>
      </c>
      <c r="M351" t="n">
        <v>0</v>
      </c>
      <c r="N351" t="n">
        <v>0</v>
      </c>
      <c r="O351" t="n">
        <v>0</v>
      </c>
      <c r="P351" t="n">
        <v>0</v>
      </c>
      <c r="Q351" t="n">
        <v>0</v>
      </c>
      <c r="R351" s="2" t="inlineStr"/>
    </row>
    <row r="352" ht="15" customHeight="1">
      <c r="A352" t="inlineStr">
        <is>
          <t>A 64925-2023</t>
        </is>
      </c>
      <c r="B352" s="1" t="n">
        <v>45282</v>
      </c>
      <c r="C352" s="1" t="n">
        <v>45982</v>
      </c>
      <c r="D352" t="inlineStr">
        <is>
          <t>VÄSTMANLANDS LÄN</t>
        </is>
      </c>
      <c r="E352" t="inlineStr">
        <is>
          <t>SALA</t>
        </is>
      </c>
      <c r="G352" t="n">
        <v>2.5</v>
      </c>
      <c r="H352" t="n">
        <v>0</v>
      </c>
      <c r="I352" t="n">
        <v>0</v>
      </c>
      <c r="J352" t="n">
        <v>0</v>
      </c>
      <c r="K352" t="n">
        <v>0</v>
      </c>
      <c r="L352" t="n">
        <v>0</v>
      </c>
      <c r="M352" t="n">
        <v>0</v>
      </c>
      <c r="N352" t="n">
        <v>0</v>
      </c>
      <c r="O352" t="n">
        <v>0</v>
      </c>
      <c r="P352" t="n">
        <v>0</v>
      </c>
      <c r="Q352" t="n">
        <v>0</v>
      </c>
      <c r="R352" s="2" t="inlineStr"/>
    </row>
    <row r="353" ht="15" customHeight="1">
      <c r="A353" t="inlineStr">
        <is>
          <t>A 23406-2024</t>
        </is>
      </c>
      <c r="B353" s="1" t="n">
        <v>45453.58296296297</v>
      </c>
      <c r="C353" s="1" t="n">
        <v>45982</v>
      </c>
      <c r="D353" t="inlineStr">
        <is>
          <t>VÄSTMANLANDS LÄN</t>
        </is>
      </c>
      <c r="E353" t="inlineStr">
        <is>
          <t>SALA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32902-2025</t>
        </is>
      </c>
      <c r="B354" s="1" t="n">
        <v>45839</v>
      </c>
      <c r="C354" s="1" t="n">
        <v>45982</v>
      </c>
      <c r="D354" t="inlineStr">
        <is>
          <t>VÄSTMANLANDS LÄN</t>
        </is>
      </c>
      <c r="E354" t="inlineStr">
        <is>
          <t>SALA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16133-2025</t>
        </is>
      </c>
      <c r="B355" s="1" t="n">
        <v>45750</v>
      </c>
      <c r="C355" s="1" t="n">
        <v>45982</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15099-2025</t>
        </is>
      </c>
      <c r="B356" s="1" t="n">
        <v>45744.3434837963</v>
      </c>
      <c r="C356" s="1" t="n">
        <v>45982</v>
      </c>
      <c r="D356" t="inlineStr">
        <is>
          <t>VÄSTMANLANDS LÄN</t>
        </is>
      </c>
      <c r="E356" t="inlineStr">
        <is>
          <t>SALA</t>
        </is>
      </c>
      <c r="F356" t="inlineStr">
        <is>
          <t>Sveaskog</t>
        </is>
      </c>
      <c r="G356" t="n">
        <v>14.4</v>
      </c>
      <c r="H356" t="n">
        <v>0</v>
      </c>
      <c r="I356" t="n">
        <v>0</v>
      </c>
      <c r="J356" t="n">
        <v>0</v>
      </c>
      <c r="K356" t="n">
        <v>0</v>
      </c>
      <c r="L356" t="n">
        <v>0</v>
      </c>
      <c r="M356" t="n">
        <v>0</v>
      </c>
      <c r="N356" t="n">
        <v>0</v>
      </c>
      <c r="O356" t="n">
        <v>0</v>
      </c>
      <c r="P356" t="n">
        <v>0</v>
      </c>
      <c r="Q356" t="n">
        <v>0</v>
      </c>
      <c r="R356" s="2" t="inlineStr"/>
    </row>
    <row r="357" ht="15" customHeight="1">
      <c r="A357" t="inlineStr">
        <is>
          <t>A 44524-2025</t>
        </is>
      </c>
      <c r="B357" s="1" t="n">
        <v>45916.72920138889</v>
      </c>
      <c r="C357" s="1" t="n">
        <v>45982</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60036-2024</t>
        </is>
      </c>
      <c r="B358" s="1" t="n">
        <v>45642.46434027778</v>
      </c>
      <c r="C358" s="1" t="n">
        <v>45982</v>
      </c>
      <c r="D358" t="inlineStr">
        <is>
          <t>VÄSTMANLANDS LÄN</t>
        </is>
      </c>
      <c r="E358" t="inlineStr">
        <is>
          <t>SALA</t>
        </is>
      </c>
      <c r="G358" t="n">
        <v>2.5</v>
      </c>
      <c r="H358" t="n">
        <v>0</v>
      </c>
      <c r="I358" t="n">
        <v>0</v>
      </c>
      <c r="J358" t="n">
        <v>0</v>
      </c>
      <c r="K358" t="n">
        <v>0</v>
      </c>
      <c r="L358" t="n">
        <v>0</v>
      </c>
      <c r="M358" t="n">
        <v>0</v>
      </c>
      <c r="N358" t="n">
        <v>0</v>
      </c>
      <c r="O358" t="n">
        <v>0</v>
      </c>
      <c r="P358" t="n">
        <v>0</v>
      </c>
      <c r="Q358" t="n">
        <v>0</v>
      </c>
      <c r="R358" s="2" t="inlineStr"/>
    </row>
    <row r="359" ht="15" customHeight="1">
      <c r="A359" t="inlineStr">
        <is>
          <t>A 44486-2025</t>
        </is>
      </c>
      <c r="B359" s="1" t="n">
        <v>45916.65517361111</v>
      </c>
      <c r="C359" s="1" t="n">
        <v>45982</v>
      </c>
      <c r="D359" t="inlineStr">
        <is>
          <t>VÄSTMANLANDS LÄN</t>
        </is>
      </c>
      <c r="E359" t="inlineStr">
        <is>
          <t>SALA</t>
        </is>
      </c>
      <c r="G359" t="n">
        <v>1.7</v>
      </c>
      <c r="H359" t="n">
        <v>0</v>
      </c>
      <c r="I359" t="n">
        <v>0</v>
      </c>
      <c r="J359" t="n">
        <v>0</v>
      </c>
      <c r="K359" t="n">
        <v>0</v>
      </c>
      <c r="L359" t="n">
        <v>0</v>
      </c>
      <c r="M359" t="n">
        <v>0</v>
      </c>
      <c r="N359" t="n">
        <v>0</v>
      </c>
      <c r="O359" t="n">
        <v>0</v>
      </c>
      <c r="P359" t="n">
        <v>0</v>
      </c>
      <c r="Q359" t="n">
        <v>0</v>
      </c>
      <c r="R359" s="2" t="inlineStr"/>
    </row>
    <row r="360" ht="15" customHeight="1">
      <c r="A360" t="inlineStr">
        <is>
          <t>A 52827-2024</t>
        </is>
      </c>
      <c r="B360" s="1" t="n">
        <v>45610</v>
      </c>
      <c r="C360" s="1" t="n">
        <v>45982</v>
      </c>
      <c r="D360" t="inlineStr">
        <is>
          <t>VÄSTMANLANDS LÄN</t>
        </is>
      </c>
      <c r="E360" t="inlineStr">
        <is>
          <t>SALA</t>
        </is>
      </c>
      <c r="G360" t="n">
        <v>0.2</v>
      </c>
      <c r="H360" t="n">
        <v>0</v>
      </c>
      <c r="I360" t="n">
        <v>0</v>
      </c>
      <c r="J360" t="n">
        <v>0</v>
      </c>
      <c r="K360" t="n">
        <v>0</v>
      </c>
      <c r="L360" t="n">
        <v>0</v>
      </c>
      <c r="M360" t="n">
        <v>0</v>
      </c>
      <c r="N360" t="n">
        <v>0</v>
      </c>
      <c r="O360" t="n">
        <v>0</v>
      </c>
      <c r="P360" t="n">
        <v>0</v>
      </c>
      <c r="Q360" t="n">
        <v>0</v>
      </c>
      <c r="R360" s="2" t="inlineStr"/>
    </row>
    <row r="361" ht="15" customHeight="1">
      <c r="A361" t="inlineStr">
        <is>
          <t>A 16328-2025</t>
        </is>
      </c>
      <c r="B361" s="1" t="n">
        <v>45751</v>
      </c>
      <c r="C361" s="1" t="n">
        <v>45982</v>
      </c>
      <c r="D361" t="inlineStr">
        <is>
          <t>VÄSTMANLANDS LÄN</t>
        </is>
      </c>
      <c r="E361" t="inlineStr">
        <is>
          <t>SALA</t>
        </is>
      </c>
      <c r="G361" t="n">
        <v>2.9</v>
      </c>
      <c r="H361" t="n">
        <v>0</v>
      </c>
      <c r="I361" t="n">
        <v>0</v>
      </c>
      <c r="J361" t="n">
        <v>0</v>
      </c>
      <c r="K361" t="n">
        <v>0</v>
      </c>
      <c r="L361" t="n">
        <v>0</v>
      </c>
      <c r="M361" t="n">
        <v>0</v>
      </c>
      <c r="N361" t="n">
        <v>0</v>
      </c>
      <c r="O361" t="n">
        <v>0</v>
      </c>
      <c r="P361" t="n">
        <v>0</v>
      </c>
      <c r="Q361" t="n">
        <v>0</v>
      </c>
      <c r="R361" s="2" t="inlineStr"/>
    </row>
    <row r="362" ht="15" customHeight="1">
      <c r="A362" t="inlineStr">
        <is>
          <t>A 45177-2025</t>
        </is>
      </c>
      <c r="B362" s="1" t="n">
        <v>45919.52444444445</v>
      </c>
      <c r="C362" s="1" t="n">
        <v>45982</v>
      </c>
      <c r="D362" t="inlineStr">
        <is>
          <t>VÄSTMANLANDS LÄN</t>
        </is>
      </c>
      <c r="E362" t="inlineStr">
        <is>
          <t>SALA</t>
        </is>
      </c>
      <c r="G362" t="n">
        <v>2.4</v>
      </c>
      <c r="H362" t="n">
        <v>0</v>
      </c>
      <c r="I362" t="n">
        <v>0</v>
      </c>
      <c r="J362" t="n">
        <v>0</v>
      </c>
      <c r="K362" t="n">
        <v>0</v>
      </c>
      <c r="L362" t="n">
        <v>0</v>
      </c>
      <c r="M362" t="n">
        <v>0</v>
      </c>
      <c r="N362" t="n">
        <v>0</v>
      </c>
      <c r="O362" t="n">
        <v>0</v>
      </c>
      <c r="P362" t="n">
        <v>0</v>
      </c>
      <c r="Q362" t="n">
        <v>0</v>
      </c>
      <c r="R362" s="2" t="inlineStr"/>
    </row>
    <row r="363" ht="15" customHeight="1">
      <c r="A363" t="inlineStr">
        <is>
          <t>A 66908-2021</t>
        </is>
      </c>
      <c r="B363" s="1" t="n">
        <v>44522</v>
      </c>
      <c r="C363" s="1" t="n">
        <v>45982</v>
      </c>
      <c r="D363" t="inlineStr">
        <is>
          <t>VÄSTMANLANDS LÄN</t>
        </is>
      </c>
      <c r="E363" t="inlineStr">
        <is>
          <t>SALA</t>
        </is>
      </c>
      <c r="G363" t="n">
        <v>2.6</v>
      </c>
      <c r="H363" t="n">
        <v>0</v>
      </c>
      <c r="I363" t="n">
        <v>0</v>
      </c>
      <c r="J363" t="n">
        <v>0</v>
      </c>
      <c r="K363" t="n">
        <v>0</v>
      </c>
      <c r="L363" t="n">
        <v>0</v>
      </c>
      <c r="M363" t="n">
        <v>0</v>
      </c>
      <c r="N363" t="n">
        <v>0</v>
      </c>
      <c r="O363" t="n">
        <v>0</v>
      </c>
      <c r="P363" t="n">
        <v>0</v>
      </c>
      <c r="Q363" t="n">
        <v>0</v>
      </c>
      <c r="R363" s="2" t="inlineStr"/>
    </row>
    <row r="364" ht="15" customHeight="1">
      <c r="A364" t="inlineStr">
        <is>
          <t>A 73835-2021</t>
        </is>
      </c>
      <c r="B364" s="1" t="n">
        <v>44552.92112268518</v>
      </c>
      <c r="C364" s="1" t="n">
        <v>45982</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3810-2023</t>
        </is>
      </c>
      <c r="B365" s="1" t="n">
        <v>44951.60454861111</v>
      </c>
      <c r="C365" s="1" t="n">
        <v>45982</v>
      </c>
      <c r="D365" t="inlineStr">
        <is>
          <t>VÄSTMANLANDS LÄN</t>
        </is>
      </c>
      <c r="E365" t="inlineStr">
        <is>
          <t>SALA</t>
        </is>
      </c>
      <c r="G365" t="n">
        <v>4.2</v>
      </c>
      <c r="H365" t="n">
        <v>0</v>
      </c>
      <c r="I365" t="n">
        <v>0</v>
      </c>
      <c r="J365" t="n">
        <v>0</v>
      </c>
      <c r="K365" t="n">
        <v>0</v>
      </c>
      <c r="L365" t="n">
        <v>0</v>
      </c>
      <c r="M365" t="n">
        <v>0</v>
      </c>
      <c r="N365" t="n">
        <v>0</v>
      </c>
      <c r="O365" t="n">
        <v>0</v>
      </c>
      <c r="P365" t="n">
        <v>0</v>
      </c>
      <c r="Q365" t="n">
        <v>0</v>
      </c>
      <c r="R365" s="2" t="inlineStr"/>
    </row>
    <row r="366" ht="15" customHeight="1">
      <c r="A366" t="inlineStr">
        <is>
          <t>A 53724-2025</t>
        </is>
      </c>
      <c r="B366" s="1" t="n">
        <v>45960.63174768518</v>
      </c>
      <c r="C366" s="1" t="n">
        <v>45982</v>
      </c>
      <c r="D366" t="inlineStr">
        <is>
          <t>VÄSTMANLANDS LÄN</t>
        </is>
      </c>
      <c r="E366" t="inlineStr">
        <is>
          <t>SALA</t>
        </is>
      </c>
      <c r="G366" t="n">
        <v>2.8</v>
      </c>
      <c r="H366" t="n">
        <v>0</v>
      </c>
      <c r="I366" t="n">
        <v>0</v>
      </c>
      <c r="J366" t="n">
        <v>0</v>
      </c>
      <c r="K366" t="n">
        <v>0</v>
      </c>
      <c r="L366" t="n">
        <v>0</v>
      </c>
      <c r="M366" t="n">
        <v>0</v>
      </c>
      <c r="N366" t="n">
        <v>0</v>
      </c>
      <c r="O366" t="n">
        <v>0</v>
      </c>
      <c r="P366" t="n">
        <v>0</v>
      </c>
      <c r="Q366" t="n">
        <v>0</v>
      </c>
      <c r="R366" s="2" t="inlineStr"/>
    </row>
    <row r="367" ht="15" customHeight="1">
      <c r="A367" t="inlineStr">
        <is>
          <t>A 34069-2025</t>
        </is>
      </c>
      <c r="B367" s="1" t="n">
        <v>45845.43560185185</v>
      </c>
      <c r="C367" s="1" t="n">
        <v>45982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c r="U367">
        <f>HYPERLINK("https://klasma.github.io/Logging_1981/knärot/A 34069-2025 karta knärot.png", "A 34069-2025")</f>
        <v/>
      </c>
      <c r="V367">
        <f>HYPERLINK("https://klasma.github.io/Logging_1981/klagomål/A 34069-2025 FSC-klagomål.docx", "A 34069-2025")</f>
        <v/>
      </c>
      <c r="W367">
        <f>HYPERLINK("https://klasma.github.io/Logging_1981/klagomålsmail/A 34069-2025 FSC-klagomål mail.docx", "A 34069-2025")</f>
        <v/>
      </c>
      <c r="X367">
        <f>HYPERLINK("https://klasma.github.io/Logging_1981/tillsyn/A 34069-2025 tillsynsbegäran.docx", "A 34069-2025")</f>
        <v/>
      </c>
      <c r="Y367">
        <f>HYPERLINK("https://klasma.github.io/Logging_1981/tillsynsmail/A 34069-2025 tillsynsbegäran mail.docx", "A 34069-2025")</f>
        <v/>
      </c>
    </row>
    <row r="368" ht="15" customHeight="1">
      <c r="A368" t="inlineStr">
        <is>
          <t>A 43122-2025</t>
        </is>
      </c>
      <c r="B368" s="1" t="n">
        <v>45909</v>
      </c>
      <c r="C368" s="1" t="n">
        <v>45982</v>
      </c>
      <c r="D368" t="inlineStr">
        <is>
          <t>VÄSTMANLANDS LÄN</t>
        </is>
      </c>
      <c r="E368" t="inlineStr">
        <is>
          <t>SALA</t>
        </is>
      </c>
      <c r="G368" t="n">
        <v>3.2</v>
      </c>
      <c r="H368" t="n">
        <v>0</v>
      </c>
      <c r="I368" t="n">
        <v>0</v>
      </c>
      <c r="J368" t="n">
        <v>0</v>
      </c>
      <c r="K368" t="n">
        <v>0</v>
      </c>
      <c r="L368" t="n">
        <v>0</v>
      </c>
      <c r="M368" t="n">
        <v>0</v>
      </c>
      <c r="N368" t="n">
        <v>0</v>
      </c>
      <c r="O368" t="n">
        <v>0</v>
      </c>
      <c r="P368" t="n">
        <v>0</v>
      </c>
      <c r="Q368" t="n">
        <v>0</v>
      </c>
      <c r="R368" s="2" t="inlineStr"/>
    </row>
    <row r="369" ht="15" customHeight="1">
      <c r="A369" t="inlineStr">
        <is>
          <t>A 53744-2025</t>
        </is>
      </c>
      <c r="B369" s="1" t="n">
        <v>45960.64863425926</v>
      </c>
      <c r="C369" s="1" t="n">
        <v>45982</v>
      </c>
      <c r="D369" t="inlineStr">
        <is>
          <t>VÄSTMANLANDS LÄN</t>
        </is>
      </c>
      <c r="E369" t="inlineStr">
        <is>
          <t>SALA</t>
        </is>
      </c>
      <c r="G369" t="n">
        <v>2</v>
      </c>
      <c r="H369" t="n">
        <v>0</v>
      </c>
      <c r="I369" t="n">
        <v>0</v>
      </c>
      <c r="J369" t="n">
        <v>0</v>
      </c>
      <c r="K369" t="n">
        <v>0</v>
      </c>
      <c r="L369" t="n">
        <v>0</v>
      </c>
      <c r="M369" t="n">
        <v>0</v>
      </c>
      <c r="N369" t="n">
        <v>0</v>
      </c>
      <c r="O369" t="n">
        <v>0</v>
      </c>
      <c r="P369" t="n">
        <v>0</v>
      </c>
      <c r="Q369" t="n">
        <v>0</v>
      </c>
      <c r="R369" s="2" t="inlineStr"/>
    </row>
    <row r="370" ht="15" customHeight="1">
      <c r="A370" t="inlineStr">
        <is>
          <t>A 15744-2025</t>
        </is>
      </c>
      <c r="B370" s="1" t="n">
        <v>45748</v>
      </c>
      <c r="C370" s="1" t="n">
        <v>45982</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53725-2025</t>
        </is>
      </c>
      <c r="B371" s="1" t="n">
        <v>45960.63394675926</v>
      </c>
      <c r="C371" s="1" t="n">
        <v>45982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12252-2023</t>
        </is>
      </c>
      <c r="B372" s="1" t="n">
        <v>44995</v>
      </c>
      <c r="C372" s="1" t="n">
        <v>45982</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54344-2025</t>
        </is>
      </c>
      <c r="B373" s="1" t="n">
        <v>45965.36462962963</v>
      </c>
      <c r="C373" s="1" t="n">
        <v>45982</v>
      </c>
      <c r="D373" t="inlineStr">
        <is>
          <t>VÄSTMANLANDS LÄN</t>
        </is>
      </c>
      <c r="E373" t="inlineStr">
        <is>
          <t>SALA</t>
        </is>
      </c>
      <c r="G373" t="n">
        <v>2</v>
      </c>
      <c r="H373" t="n">
        <v>0</v>
      </c>
      <c r="I373" t="n">
        <v>0</v>
      </c>
      <c r="J373" t="n">
        <v>0</v>
      </c>
      <c r="K373" t="n">
        <v>0</v>
      </c>
      <c r="L373" t="n">
        <v>0</v>
      </c>
      <c r="M373" t="n">
        <v>0</v>
      </c>
      <c r="N373" t="n">
        <v>0</v>
      </c>
      <c r="O373" t="n">
        <v>0</v>
      </c>
      <c r="P373" t="n">
        <v>0</v>
      </c>
      <c r="Q373" t="n">
        <v>0</v>
      </c>
      <c r="R373" s="2" t="inlineStr"/>
    </row>
    <row r="374" ht="15" customHeight="1">
      <c r="A374" t="inlineStr">
        <is>
          <t>A 54590-2025</t>
        </is>
      </c>
      <c r="B374" s="1" t="n">
        <v>45965.74199074074</v>
      </c>
      <c r="C374" s="1" t="n">
        <v>45982</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54201-2025</t>
        </is>
      </c>
      <c r="B375" s="1" t="n">
        <v>45964.58055555556</v>
      </c>
      <c r="C375" s="1" t="n">
        <v>45982</v>
      </c>
      <c r="D375" t="inlineStr">
        <is>
          <t>VÄSTMANLANDS LÄN</t>
        </is>
      </c>
      <c r="E375" t="inlineStr">
        <is>
          <t>SALA</t>
        </is>
      </c>
      <c r="G375" t="n">
        <v>1.7</v>
      </c>
      <c r="H375" t="n">
        <v>0</v>
      </c>
      <c r="I375" t="n">
        <v>0</v>
      </c>
      <c r="J375" t="n">
        <v>0</v>
      </c>
      <c r="K375" t="n">
        <v>0</v>
      </c>
      <c r="L375" t="n">
        <v>0</v>
      </c>
      <c r="M375" t="n">
        <v>0</v>
      </c>
      <c r="N375" t="n">
        <v>0</v>
      </c>
      <c r="O375" t="n">
        <v>0</v>
      </c>
      <c r="P375" t="n">
        <v>0</v>
      </c>
      <c r="Q375" t="n">
        <v>0</v>
      </c>
      <c r="R375" s="2" t="inlineStr"/>
    </row>
    <row r="376" ht="15" customHeight="1">
      <c r="A376" t="inlineStr">
        <is>
          <t>A 25260-2023</t>
        </is>
      </c>
      <c r="B376" s="1" t="n">
        <v>45086</v>
      </c>
      <c r="C376" s="1" t="n">
        <v>45982</v>
      </c>
      <c r="D376" t="inlineStr">
        <is>
          <t>VÄSTMANLANDS LÄN</t>
        </is>
      </c>
      <c r="E376" t="inlineStr">
        <is>
          <t>SALA</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45371-2025</t>
        </is>
      </c>
      <c r="B377" s="1" t="n">
        <v>45922.39001157408</v>
      </c>
      <c r="C377" s="1" t="n">
        <v>45982</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57404-2024</t>
        </is>
      </c>
      <c r="B378" s="1" t="n">
        <v>45629.71967592592</v>
      </c>
      <c r="C378" s="1" t="n">
        <v>45982</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13128-2023</t>
        </is>
      </c>
      <c r="B379" s="1" t="n">
        <v>45002</v>
      </c>
      <c r="C379" s="1" t="n">
        <v>45982</v>
      </c>
      <c r="D379" t="inlineStr">
        <is>
          <t>VÄSTMANLANDS LÄN</t>
        </is>
      </c>
      <c r="E379" t="inlineStr">
        <is>
          <t>SALA</t>
        </is>
      </c>
      <c r="G379" t="n">
        <v>7.9</v>
      </c>
      <c r="H379" t="n">
        <v>0</v>
      </c>
      <c r="I379" t="n">
        <v>0</v>
      </c>
      <c r="J379" t="n">
        <v>0</v>
      </c>
      <c r="K379" t="n">
        <v>0</v>
      </c>
      <c r="L379" t="n">
        <v>0</v>
      </c>
      <c r="M379" t="n">
        <v>0</v>
      </c>
      <c r="N379" t="n">
        <v>0</v>
      </c>
      <c r="O379" t="n">
        <v>0</v>
      </c>
      <c r="P379" t="n">
        <v>0</v>
      </c>
      <c r="Q379" t="n">
        <v>0</v>
      </c>
      <c r="R379" s="2" t="inlineStr"/>
    </row>
    <row r="380" ht="15" customHeight="1">
      <c r="A380" t="inlineStr">
        <is>
          <t>A 54893-2025</t>
        </is>
      </c>
      <c r="B380" s="1" t="n">
        <v>45967.36383101852</v>
      </c>
      <c r="C380" s="1" t="n">
        <v>45982</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45914-2025</t>
        </is>
      </c>
      <c r="B381" s="1" t="n">
        <v>45923.82582175926</v>
      </c>
      <c r="C381" s="1" t="n">
        <v>45982</v>
      </c>
      <c r="D381" t="inlineStr">
        <is>
          <t>VÄSTMANLANDS LÄN</t>
        </is>
      </c>
      <c r="E381" t="inlineStr">
        <is>
          <t>SALA</t>
        </is>
      </c>
      <c r="F381" t="inlineStr">
        <is>
          <t>Kommuner</t>
        </is>
      </c>
      <c r="G381" t="n">
        <v>18.2</v>
      </c>
      <c r="H381" t="n">
        <v>0</v>
      </c>
      <c r="I381" t="n">
        <v>0</v>
      </c>
      <c r="J381" t="n">
        <v>0</v>
      </c>
      <c r="K381" t="n">
        <v>0</v>
      </c>
      <c r="L381" t="n">
        <v>0</v>
      </c>
      <c r="M381" t="n">
        <v>0</v>
      </c>
      <c r="N381" t="n">
        <v>0</v>
      </c>
      <c r="O381" t="n">
        <v>0</v>
      </c>
      <c r="P381" t="n">
        <v>0</v>
      </c>
      <c r="Q381" t="n">
        <v>0</v>
      </c>
      <c r="R381" s="2" t="inlineStr"/>
    </row>
    <row r="382" ht="15" customHeight="1">
      <c r="A382" t="inlineStr">
        <is>
          <t>A 35775-2025</t>
        </is>
      </c>
      <c r="B382" s="1" t="n">
        <v>45860</v>
      </c>
      <c r="C382" s="1" t="n">
        <v>45982</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35779-2025</t>
        </is>
      </c>
      <c r="B383" s="1" t="n">
        <v>45860.69495370371</v>
      </c>
      <c r="C383" s="1" t="n">
        <v>45982</v>
      </c>
      <c r="D383" t="inlineStr">
        <is>
          <t>VÄSTMANLANDS LÄN</t>
        </is>
      </c>
      <c r="E383" t="inlineStr">
        <is>
          <t>SALA</t>
        </is>
      </c>
      <c r="G383" t="n">
        <v>2.4</v>
      </c>
      <c r="H383" t="n">
        <v>0</v>
      </c>
      <c r="I383" t="n">
        <v>0</v>
      </c>
      <c r="J383" t="n">
        <v>0</v>
      </c>
      <c r="K383" t="n">
        <v>0</v>
      </c>
      <c r="L383" t="n">
        <v>0</v>
      </c>
      <c r="M383" t="n">
        <v>0</v>
      </c>
      <c r="N383" t="n">
        <v>0</v>
      </c>
      <c r="O383" t="n">
        <v>0</v>
      </c>
      <c r="P383" t="n">
        <v>0</v>
      </c>
      <c r="Q383" t="n">
        <v>0</v>
      </c>
      <c r="R383" s="2" t="inlineStr"/>
    </row>
    <row r="384" ht="15" customHeight="1">
      <c r="A384" t="inlineStr">
        <is>
          <t>A 35776-2025</t>
        </is>
      </c>
      <c r="B384" s="1" t="n">
        <v>45860.69211805556</v>
      </c>
      <c r="C384" s="1" t="n">
        <v>45982</v>
      </c>
      <c r="D384" t="inlineStr">
        <is>
          <t>VÄSTMANLANDS LÄN</t>
        </is>
      </c>
      <c r="E384" t="inlineStr">
        <is>
          <t>SALA</t>
        </is>
      </c>
      <c r="G384" t="n">
        <v>14.2</v>
      </c>
      <c r="H384" t="n">
        <v>0</v>
      </c>
      <c r="I384" t="n">
        <v>0</v>
      </c>
      <c r="J384" t="n">
        <v>0</v>
      </c>
      <c r="K384" t="n">
        <v>0</v>
      </c>
      <c r="L384" t="n">
        <v>0</v>
      </c>
      <c r="M384" t="n">
        <v>0</v>
      </c>
      <c r="N384" t="n">
        <v>0</v>
      </c>
      <c r="O384" t="n">
        <v>0</v>
      </c>
      <c r="P384" t="n">
        <v>0</v>
      </c>
      <c r="Q384" t="n">
        <v>0</v>
      </c>
      <c r="R384" s="2" t="inlineStr"/>
    </row>
    <row r="385" ht="15" customHeight="1">
      <c r="A385" t="inlineStr">
        <is>
          <t>A 35715-2025</t>
        </is>
      </c>
      <c r="B385" s="1" t="n">
        <v>45860.42148148148</v>
      </c>
      <c r="C385" s="1" t="n">
        <v>45982</v>
      </c>
      <c r="D385" t="inlineStr">
        <is>
          <t>VÄSTMANLANDS LÄN</t>
        </is>
      </c>
      <c r="E385" t="inlineStr">
        <is>
          <t>SALA</t>
        </is>
      </c>
      <c r="G385" t="n">
        <v>3.8</v>
      </c>
      <c r="H385" t="n">
        <v>0</v>
      </c>
      <c r="I385" t="n">
        <v>0</v>
      </c>
      <c r="J385" t="n">
        <v>0</v>
      </c>
      <c r="K385" t="n">
        <v>0</v>
      </c>
      <c r="L385" t="n">
        <v>0</v>
      </c>
      <c r="M385" t="n">
        <v>0</v>
      </c>
      <c r="N385" t="n">
        <v>0</v>
      </c>
      <c r="O385" t="n">
        <v>0</v>
      </c>
      <c r="P385" t="n">
        <v>0</v>
      </c>
      <c r="Q385" t="n">
        <v>0</v>
      </c>
      <c r="R385" s="2" t="inlineStr"/>
    </row>
    <row r="386" ht="15" customHeight="1">
      <c r="A386" t="inlineStr">
        <is>
          <t>A 24864-2024</t>
        </is>
      </c>
      <c r="B386" s="1" t="n">
        <v>45461.48888888889</v>
      </c>
      <c r="C386" s="1" t="n">
        <v>45982</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35651-2025</t>
        </is>
      </c>
      <c r="B387" s="1" t="n">
        <v>45859.52435185185</v>
      </c>
      <c r="C387" s="1" t="n">
        <v>45982</v>
      </c>
      <c r="D387" t="inlineStr">
        <is>
          <t>VÄSTMANLANDS LÄN</t>
        </is>
      </c>
      <c r="E387" t="inlineStr">
        <is>
          <t>SALA</t>
        </is>
      </c>
      <c r="G387" t="n">
        <v>6.3</v>
      </c>
      <c r="H387" t="n">
        <v>0</v>
      </c>
      <c r="I387" t="n">
        <v>0</v>
      </c>
      <c r="J387" t="n">
        <v>0</v>
      </c>
      <c r="K387" t="n">
        <v>0</v>
      </c>
      <c r="L387" t="n">
        <v>0</v>
      </c>
      <c r="M387" t="n">
        <v>0</v>
      </c>
      <c r="N387" t="n">
        <v>0</v>
      </c>
      <c r="O387" t="n">
        <v>0</v>
      </c>
      <c r="P387" t="n">
        <v>0</v>
      </c>
      <c r="Q387" t="n">
        <v>0</v>
      </c>
      <c r="R387" s="2" t="inlineStr"/>
    </row>
    <row r="388" ht="15" customHeight="1">
      <c r="A388" t="inlineStr">
        <is>
          <t>A 35774-2025</t>
        </is>
      </c>
      <c r="B388" s="1" t="n">
        <v>45860.68780092592</v>
      </c>
      <c r="C388" s="1" t="n">
        <v>45982</v>
      </c>
      <c r="D388" t="inlineStr">
        <is>
          <t>VÄSTMANLANDS LÄN</t>
        </is>
      </c>
      <c r="E388" t="inlineStr">
        <is>
          <t>SALA</t>
        </is>
      </c>
      <c r="G388" t="n">
        <v>6.5</v>
      </c>
      <c r="H388" t="n">
        <v>0</v>
      </c>
      <c r="I388" t="n">
        <v>0</v>
      </c>
      <c r="J388" t="n">
        <v>0</v>
      </c>
      <c r="K388" t="n">
        <v>0</v>
      </c>
      <c r="L388" t="n">
        <v>0</v>
      </c>
      <c r="M388" t="n">
        <v>0</v>
      </c>
      <c r="N388" t="n">
        <v>0</v>
      </c>
      <c r="O388" t="n">
        <v>0</v>
      </c>
      <c r="P388" t="n">
        <v>0</v>
      </c>
      <c r="Q388" t="n">
        <v>0</v>
      </c>
      <c r="R388" s="2" t="inlineStr"/>
    </row>
    <row r="389" ht="15" customHeight="1">
      <c r="A389" t="inlineStr">
        <is>
          <t>A 45909-2025</t>
        </is>
      </c>
      <c r="B389" s="1" t="n">
        <v>45923.75078703704</v>
      </c>
      <c r="C389" s="1" t="n">
        <v>45982</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36060-2025</t>
        </is>
      </c>
      <c r="B390" s="1" t="n">
        <v>45866.39469907407</v>
      </c>
      <c r="C390" s="1" t="n">
        <v>45982</v>
      </c>
      <c r="D390" t="inlineStr">
        <is>
          <t>VÄSTMANLANDS LÄN</t>
        </is>
      </c>
      <c r="E390" t="inlineStr">
        <is>
          <t>SALA</t>
        </is>
      </c>
      <c r="F390" t="inlineStr">
        <is>
          <t>Kommuner</t>
        </is>
      </c>
      <c r="G390" t="n">
        <v>4.3</v>
      </c>
      <c r="H390" t="n">
        <v>0</v>
      </c>
      <c r="I390" t="n">
        <v>0</v>
      </c>
      <c r="J390" t="n">
        <v>0</v>
      </c>
      <c r="K390" t="n">
        <v>0</v>
      </c>
      <c r="L390" t="n">
        <v>0</v>
      </c>
      <c r="M390" t="n">
        <v>0</v>
      </c>
      <c r="N390" t="n">
        <v>0</v>
      </c>
      <c r="O390" t="n">
        <v>0</v>
      </c>
      <c r="P390" t="n">
        <v>0</v>
      </c>
      <c r="Q390" t="n">
        <v>0</v>
      </c>
      <c r="R390" s="2" t="inlineStr"/>
    </row>
    <row r="391" ht="15" customHeight="1">
      <c r="A391" t="inlineStr">
        <is>
          <t>A 36031-2025</t>
        </is>
      </c>
      <c r="B391" s="1" t="n">
        <v>45865.46111111111</v>
      </c>
      <c r="C391" s="1" t="n">
        <v>45982</v>
      </c>
      <c r="D391" t="inlineStr">
        <is>
          <t>VÄSTMANLANDS LÄN</t>
        </is>
      </c>
      <c r="E391" t="inlineStr">
        <is>
          <t>SALA</t>
        </is>
      </c>
      <c r="G391" t="n">
        <v>7.2</v>
      </c>
      <c r="H391" t="n">
        <v>0</v>
      </c>
      <c r="I391" t="n">
        <v>0</v>
      </c>
      <c r="J391" t="n">
        <v>0</v>
      </c>
      <c r="K391" t="n">
        <v>0</v>
      </c>
      <c r="L391" t="n">
        <v>0</v>
      </c>
      <c r="M391" t="n">
        <v>0</v>
      </c>
      <c r="N391" t="n">
        <v>0</v>
      </c>
      <c r="O391" t="n">
        <v>0</v>
      </c>
      <c r="P391" t="n">
        <v>0</v>
      </c>
      <c r="Q391" t="n">
        <v>0</v>
      </c>
      <c r="R391" s="2" t="inlineStr"/>
    </row>
    <row r="392" ht="15" customHeight="1">
      <c r="A392" t="inlineStr">
        <is>
          <t>A 36043-2025</t>
        </is>
      </c>
      <c r="B392" s="1" t="n">
        <v>45866.35333333333</v>
      </c>
      <c r="C392" s="1" t="n">
        <v>45982</v>
      </c>
      <c r="D392" t="inlineStr">
        <is>
          <t>VÄSTMANLANDS LÄN</t>
        </is>
      </c>
      <c r="E392" t="inlineStr">
        <is>
          <t>SALA</t>
        </is>
      </c>
      <c r="F392" t="inlineStr">
        <is>
          <t>Kommuner</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24755-2021</t>
        </is>
      </c>
      <c r="B393" s="1" t="n">
        <v>44340</v>
      </c>
      <c r="C393" s="1" t="n">
        <v>45982</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36032-2025</t>
        </is>
      </c>
      <c r="B394" s="1" t="n">
        <v>45865.48740740741</v>
      </c>
      <c r="C394" s="1" t="n">
        <v>45982</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36049-2025</t>
        </is>
      </c>
      <c r="B395" s="1" t="n">
        <v>45866.37065972222</v>
      </c>
      <c r="C395" s="1" t="n">
        <v>45982</v>
      </c>
      <c r="D395" t="inlineStr">
        <is>
          <t>VÄSTMANLANDS LÄN</t>
        </is>
      </c>
      <c r="E395" t="inlineStr">
        <is>
          <t>SALA</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36045-2025</t>
        </is>
      </c>
      <c r="B396" s="1" t="n">
        <v>45866.36200231482</v>
      </c>
      <c r="C396" s="1" t="n">
        <v>45982</v>
      </c>
      <c r="D396" t="inlineStr">
        <is>
          <t>VÄSTMANLANDS LÄN</t>
        </is>
      </c>
      <c r="E396" t="inlineStr">
        <is>
          <t>SALA</t>
        </is>
      </c>
      <c r="F396" t="inlineStr">
        <is>
          <t>Kommuner</t>
        </is>
      </c>
      <c r="G396" t="n">
        <v>1.7</v>
      </c>
      <c r="H396" t="n">
        <v>0</v>
      </c>
      <c r="I396" t="n">
        <v>0</v>
      </c>
      <c r="J396" t="n">
        <v>0</v>
      </c>
      <c r="K396" t="n">
        <v>0</v>
      </c>
      <c r="L396" t="n">
        <v>0</v>
      </c>
      <c r="M396" t="n">
        <v>0</v>
      </c>
      <c r="N396" t="n">
        <v>0</v>
      </c>
      <c r="O396" t="n">
        <v>0</v>
      </c>
      <c r="P396" t="n">
        <v>0</v>
      </c>
      <c r="Q396" t="n">
        <v>0</v>
      </c>
      <c r="R396" s="2" t="inlineStr"/>
    </row>
    <row r="397" ht="15" customHeight="1">
      <c r="A397" t="inlineStr">
        <is>
          <t>A 46915-2025</t>
        </is>
      </c>
      <c r="B397" s="1" t="n">
        <v>45929.42114583333</v>
      </c>
      <c r="C397" s="1" t="n">
        <v>45982</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17766-2025</t>
        </is>
      </c>
      <c r="B398" s="1" t="n">
        <v>45758</v>
      </c>
      <c r="C398" s="1" t="n">
        <v>45982</v>
      </c>
      <c r="D398" t="inlineStr">
        <is>
          <t>VÄSTMANLANDS LÄN</t>
        </is>
      </c>
      <c r="E398" t="inlineStr">
        <is>
          <t>SALA</t>
        </is>
      </c>
      <c r="G398" t="n">
        <v>16.5</v>
      </c>
      <c r="H398" t="n">
        <v>0</v>
      </c>
      <c r="I398" t="n">
        <v>0</v>
      </c>
      <c r="J398" t="n">
        <v>0</v>
      </c>
      <c r="K398" t="n">
        <v>0</v>
      </c>
      <c r="L398" t="n">
        <v>0</v>
      </c>
      <c r="M398" t="n">
        <v>0</v>
      </c>
      <c r="N398" t="n">
        <v>0</v>
      </c>
      <c r="O398" t="n">
        <v>0</v>
      </c>
      <c r="P398" t="n">
        <v>0</v>
      </c>
      <c r="Q398" t="n">
        <v>0</v>
      </c>
      <c r="R398" s="2" t="inlineStr"/>
    </row>
    <row r="399" ht="15" customHeight="1">
      <c r="A399" t="inlineStr">
        <is>
          <t>A 46597-2025</t>
        </is>
      </c>
      <c r="B399" s="1" t="n">
        <v>45926.40113425926</v>
      </c>
      <c r="C399" s="1" t="n">
        <v>45982</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31863-2025</t>
        </is>
      </c>
      <c r="B400" s="1" t="n">
        <v>45834.63303240741</v>
      </c>
      <c r="C400" s="1" t="n">
        <v>45982</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3546-2025</t>
        </is>
      </c>
      <c r="B401" s="1" t="n">
        <v>45680</v>
      </c>
      <c r="C401" s="1" t="n">
        <v>45982</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31869-2025</t>
        </is>
      </c>
      <c r="B402" s="1" t="n">
        <v>45834.64555555556</v>
      </c>
      <c r="C402" s="1" t="n">
        <v>45982</v>
      </c>
      <c r="D402" t="inlineStr">
        <is>
          <t>VÄSTMANLANDS LÄN</t>
        </is>
      </c>
      <c r="E402" t="inlineStr">
        <is>
          <t>SALA</t>
        </is>
      </c>
      <c r="G402" t="n">
        <v>17.5</v>
      </c>
      <c r="H402" t="n">
        <v>0</v>
      </c>
      <c r="I402" t="n">
        <v>0</v>
      </c>
      <c r="J402" t="n">
        <v>0</v>
      </c>
      <c r="K402" t="n">
        <v>0</v>
      </c>
      <c r="L402" t="n">
        <v>0</v>
      </c>
      <c r="M402" t="n">
        <v>0</v>
      </c>
      <c r="N402" t="n">
        <v>0</v>
      </c>
      <c r="O402" t="n">
        <v>0</v>
      </c>
      <c r="P402" t="n">
        <v>0</v>
      </c>
      <c r="Q402" t="n">
        <v>0</v>
      </c>
      <c r="R402" s="2" t="inlineStr"/>
    </row>
    <row r="403" ht="15" customHeight="1">
      <c r="A403" t="inlineStr">
        <is>
          <t>A 7664-2023</t>
        </is>
      </c>
      <c r="B403" s="1" t="n">
        <v>44972</v>
      </c>
      <c r="C403" s="1" t="n">
        <v>45982</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28696-2023</t>
        </is>
      </c>
      <c r="B404" s="1" t="n">
        <v>45103.71759259259</v>
      </c>
      <c r="C404" s="1" t="n">
        <v>45982</v>
      </c>
      <c r="D404" t="inlineStr">
        <is>
          <t>VÄSTMANLANDS LÄN</t>
        </is>
      </c>
      <c r="E404" t="inlineStr">
        <is>
          <t>SALA</t>
        </is>
      </c>
      <c r="F404" t="inlineStr">
        <is>
          <t>Kommuner</t>
        </is>
      </c>
      <c r="G404" t="n">
        <v>5.9</v>
      </c>
      <c r="H404" t="n">
        <v>0</v>
      </c>
      <c r="I404" t="n">
        <v>0</v>
      </c>
      <c r="J404" t="n">
        <v>0</v>
      </c>
      <c r="K404" t="n">
        <v>0</v>
      </c>
      <c r="L404" t="n">
        <v>0</v>
      </c>
      <c r="M404" t="n">
        <v>0</v>
      </c>
      <c r="N404" t="n">
        <v>0</v>
      </c>
      <c r="O404" t="n">
        <v>0</v>
      </c>
      <c r="P404" t="n">
        <v>0</v>
      </c>
      <c r="Q404" t="n">
        <v>0</v>
      </c>
      <c r="R404" s="2" t="inlineStr"/>
    </row>
    <row r="405" ht="15" customHeight="1">
      <c r="A405" t="inlineStr">
        <is>
          <t>A 17985-2025</t>
        </is>
      </c>
      <c r="B405" s="1" t="n">
        <v>45761</v>
      </c>
      <c r="C405" s="1" t="n">
        <v>45982</v>
      </c>
      <c r="D405" t="inlineStr">
        <is>
          <t>VÄSTMANLANDS LÄN</t>
        </is>
      </c>
      <c r="E405" t="inlineStr">
        <is>
          <t>SALA</t>
        </is>
      </c>
      <c r="G405" t="n">
        <v>12.5</v>
      </c>
      <c r="H405" t="n">
        <v>0</v>
      </c>
      <c r="I405" t="n">
        <v>0</v>
      </c>
      <c r="J405" t="n">
        <v>0</v>
      </c>
      <c r="K405" t="n">
        <v>0</v>
      </c>
      <c r="L405" t="n">
        <v>0</v>
      </c>
      <c r="M405" t="n">
        <v>0</v>
      </c>
      <c r="N405" t="n">
        <v>0</v>
      </c>
      <c r="O405" t="n">
        <v>0</v>
      </c>
      <c r="P405" t="n">
        <v>0</v>
      </c>
      <c r="Q405" t="n">
        <v>0</v>
      </c>
      <c r="R405" s="2" t="inlineStr"/>
    </row>
    <row r="406" ht="15" customHeight="1">
      <c r="A406" t="inlineStr">
        <is>
          <t>A 6691-2025</t>
        </is>
      </c>
      <c r="B406" s="1" t="n">
        <v>45700.50625</v>
      </c>
      <c r="C406" s="1" t="n">
        <v>45982</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1934-2023</t>
        </is>
      </c>
      <c r="B407" s="1" t="n">
        <v>44939.43024305555</v>
      </c>
      <c r="C407" s="1" t="n">
        <v>45982</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35519-2024</t>
        </is>
      </c>
      <c r="B408" s="1" t="n">
        <v>45531</v>
      </c>
      <c r="C408" s="1" t="n">
        <v>45982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47577-2025</t>
        </is>
      </c>
      <c r="B409" s="1" t="n">
        <v>45931.4047337963</v>
      </c>
      <c r="C409" s="1" t="n">
        <v>45982</v>
      </c>
      <c r="D409" t="inlineStr">
        <is>
          <t>VÄSTMANLANDS LÄN</t>
        </is>
      </c>
      <c r="E409" t="inlineStr">
        <is>
          <t>SALA</t>
        </is>
      </c>
      <c r="G409" t="n">
        <v>3.7</v>
      </c>
      <c r="H409" t="n">
        <v>0</v>
      </c>
      <c r="I409" t="n">
        <v>0</v>
      </c>
      <c r="J409" t="n">
        <v>0</v>
      </c>
      <c r="K409" t="n">
        <v>0</v>
      </c>
      <c r="L409" t="n">
        <v>0</v>
      </c>
      <c r="M409" t="n">
        <v>0</v>
      </c>
      <c r="N409" t="n">
        <v>0</v>
      </c>
      <c r="O409" t="n">
        <v>0</v>
      </c>
      <c r="P409" t="n">
        <v>0</v>
      </c>
      <c r="Q409" t="n">
        <v>0</v>
      </c>
      <c r="R409" s="2" t="inlineStr"/>
    </row>
    <row r="410" ht="15" customHeight="1">
      <c r="A410" t="inlineStr">
        <is>
          <t>A 37103-2025</t>
        </is>
      </c>
      <c r="B410" s="1" t="n">
        <v>45875.47743055555</v>
      </c>
      <c r="C410" s="1" t="n">
        <v>45982</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55997-2025</t>
        </is>
      </c>
      <c r="B411" s="1" t="n">
        <v>45973.56833333334</v>
      </c>
      <c r="C411" s="1" t="n">
        <v>45982</v>
      </c>
      <c r="D411" t="inlineStr">
        <is>
          <t>VÄSTMANLANDS LÄN</t>
        </is>
      </c>
      <c r="E411" t="inlineStr">
        <is>
          <t>SALA</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37017-2025</t>
        </is>
      </c>
      <c r="B412" s="1" t="n">
        <v>45874</v>
      </c>
      <c r="C412" s="1" t="n">
        <v>45982</v>
      </c>
      <c r="D412" t="inlineStr">
        <is>
          <t>VÄSTMANLANDS LÄN</t>
        </is>
      </c>
      <c r="E412" t="inlineStr">
        <is>
          <t>SALA</t>
        </is>
      </c>
      <c r="G412" t="n">
        <v>11.1</v>
      </c>
      <c r="H412" t="n">
        <v>0</v>
      </c>
      <c r="I412" t="n">
        <v>0</v>
      </c>
      <c r="J412" t="n">
        <v>0</v>
      </c>
      <c r="K412" t="n">
        <v>0</v>
      </c>
      <c r="L412" t="n">
        <v>0</v>
      </c>
      <c r="M412" t="n">
        <v>0</v>
      </c>
      <c r="N412" t="n">
        <v>0</v>
      </c>
      <c r="O412" t="n">
        <v>0</v>
      </c>
      <c r="P412" t="n">
        <v>0</v>
      </c>
      <c r="Q412" t="n">
        <v>0</v>
      </c>
      <c r="R412" s="2" t="inlineStr"/>
    </row>
    <row r="413" ht="15" customHeight="1">
      <c r="A413" t="inlineStr">
        <is>
          <t>A 50241-2023</t>
        </is>
      </c>
      <c r="B413" s="1" t="n">
        <v>45216</v>
      </c>
      <c r="C413" s="1" t="n">
        <v>45982</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30971-2022</t>
        </is>
      </c>
      <c r="B414" s="1" t="n">
        <v>44768.46725694444</v>
      </c>
      <c r="C414" s="1" t="n">
        <v>45982</v>
      </c>
      <c r="D414" t="inlineStr">
        <is>
          <t>VÄSTMANLANDS LÄN</t>
        </is>
      </c>
      <c r="E414" t="inlineStr">
        <is>
          <t>SALA</t>
        </is>
      </c>
      <c r="G414" t="n">
        <v>2.4</v>
      </c>
      <c r="H414" t="n">
        <v>0</v>
      </c>
      <c r="I414" t="n">
        <v>0</v>
      </c>
      <c r="J414" t="n">
        <v>0</v>
      </c>
      <c r="K414" t="n">
        <v>0</v>
      </c>
      <c r="L414" t="n">
        <v>0</v>
      </c>
      <c r="M414" t="n">
        <v>0</v>
      </c>
      <c r="N414" t="n">
        <v>0</v>
      </c>
      <c r="O414" t="n">
        <v>0</v>
      </c>
      <c r="P414" t="n">
        <v>0</v>
      </c>
      <c r="Q414" t="n">
        <v>0</v>
      </c>
      <c r="R414" s="2" t="inlineStr"/>
    </row>
    <row r="415" ht="15" customHeight="1">
      <c r="A415" t="inlineStr">
        <is>
          <t>A 46661-2025</t>
        </is>
      </c>
      <c r="B415" s="1" t="n">
        <v>45926</v>
      </c>
      <c r="C415" s="1" t="n">
        <v>45982</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37246-2025</t>
        </is>
      </c>
      <c r="B416" s="1" t="n">
        <v>45876.39435185185</v>
      </c>
      <c r="C416" s="1" t="n">
        <v>45982</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35637-2022</t>
        </is>
      </c>
      <c r="B417" s="1" t="n">
        <v>44799.55194444444</v>
      </c>
      <c r="C417" s="1" t="n">
        <v>45982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19304-2025</t>
        </is>
      </c>
      <c r="B418" s="1" t="n">
        <v>45769</v>
      </c>
      <c r="C418" s="1" t="n">
        <v>45982</v>
      </c>
      <c r="D418" t="inlineStr">
        <is>
          <t>VÄSTMANLANDS LÄN</t>
        </is>
      </c>
      <c r="E418" t="inlineStr">
        <is>
          <t>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27038-2023</t>
        </is>
      </c>
      <c r="B419" s="1" t="n">
        <v>45095</v>
      </c>
      <c r="C419" s="1" t="n">
        <v>45982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37590-2025</t>
        </is>
      </c>
      <c r="B420" s="1" t="n">
        <v>45880.41138888889</v>
      </c>
      <c r="C420" s="1" t="n">
        <v>45982</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37593-2025</t>
        </is>
      </c>
      <c r="B421" s="1" t="n">
        <v>45880.41325231481</v>
      </c>
      <c r="C421" s="1" t="n">
        <v>45982</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55714-2025</t>
        </is>
      </c>
      <c r="B422" s="1" t="n">
        <v>45972.49131944445</v>
      </c>
      <c r="C422" s="1" t="n">
        <v>45982</v>
      </c>
      <c r="D422" t="inlineStr">
        <is>
          <t>VÄSTMANLANDS LÄN</t>
        </is>
      </c>
      <c r="E422" t="inlineStr">
        <is>
          <t>SALA</t>
        </is>
      </c>
      <c r="G422" t="n">
        <v>6.6</v>
      </c>
      <c r="H422" t="n">
        <v>0</v>
      </c>
      <c r="I422" t="n">
        <v>0</v>
      </c>
      <c r="J422" t="n">
        <v>0</v>
      </c>
      <c r="K422" t="n">
        <v>0</v>
      </c>
      <c r="L422" t="n">
        <v>0</v>
      </c>
      <c r="M422" t="n">
        <v>0</v>
      </c>
      <c r="N422" t="n">
        <v>0</v>
      </c>
      <c r="O422" t="n">
        <v>0</v>
      </c>
      <c r="P422" t="n">
        <v>0</v>
      </c>
      <c r="Q422" t="n">
        <v>0</v>
      </c>
      <c r="R422" s="2" t="inlineStr"/>
    </row>
    <row r="423" ht="15" customHeight="1">
      <c r="A423" t="inlineStr">
        <is>
          <t>A 23182-2022</t>
        </is>
      </c>
      <c r="B423" s="1" t="n">
        <v>44719.79707175926</v>
      </c>
      <c r="C423" s="1" t="n">
        <v>45982</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17722-2025</t>
        </is>
      </c>
      <c r="B424" s="1" t="n">
        <v>45758</v>
      </c>
      <c r="C424" s="1" t="n">
        <v>45982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31859-2023</t>
        </is>
      </c>
      <c r="B425" s="1" t="n">
        <v>45118</v>
      </c>
      <c r="C425" s="1" t="n">
        <v>45982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c r="U425">
        <f>HYPERLINK("https://klasma.github.io/Logging_1981/knärot/A 31859-2023 karta knärot.png", "A 31859-2023")</f>
        <v/>
      </c>
      <c r="V425">
        <f>HYPERLINK("https://klasma.github.io/Logging_1981/klagomål/A 31859-2023 FSC-klagomål.docx", "A 31859-2023")</f>
        <v/>
      </c>
      <c r="W425">
        <f>HYPERLINK("https://klasma.github.io/Logging_1981/klagomålsmail/A 31859-2023 FSC-klagomål mail.docx", "A 31859-2023")</f>
        <v/>
      </c>
      <c r="X425">
        <f>HYPERLINK("https://klasma.github.io/Logging_1981/tillsyn/A 31859-2023 tillsynsbegäran.docx", "A 31859-2023")</f>
        <v/>
      </c>
      <c r="Y425">
        <f>HYPERLINK("https://klasma.github.io/Logging_1981/tillsynsmail/A 31859-2023 tillsynsbegäran mail.docx", "A 31859-2023")</f>
        <v/>
      </c>
    </row>
    <row r="426" ht="15" customHeight="1">
      <c r="A426" t="inlineStr">
        <is>
          <t>A 7469-2025</t>
        </is>
      </c>
      <c r="B426" s="1" t="n">
        <v>45705</v>
      </c>
      <c r="C426" s="1" t="n">
        <v>45982</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60034-2024</t>
        </is>
      </c>
      <c r="B427" s="1" t="n">
        <v>45642.46261574074</v>
      </c>
      <c r="C427" s="1" t="n">
        <v>45982</v>
      </c>
      <c r="D427" t="inlineStr">
        <is>
          <t>VÄSTMANLANDS LÄN</t>
        </is>
      </c>
      <c r="E427" t="inlineStr">
        <is>
          <t>SALA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38294-2025</t>
        </is>
      </c>
      <c r="B428" s="1" t="n">
        <v>45883.44854166666</v>
      </c>
      <c r="C428" s="1" t="n">
        <v>45982</v>
      </c>
      <c r="D428" t="inlineStr">
        <is>
          <t>VÄSTMANLANDS LÄN</t>
        </is>
      </c>
      <c r="E428" t="inlineStr">
        <is>
          <t>SALA</t>
        </is>
      </c>
      <c r="G428" t="n">
        <v>1.5</v>
      </c>
      <c r="H428" t="n">
        <v>0</v>
      </c>
      <c r="I428" t="n">
        <v>0</v>
      </c>
      <c r="J428" t="n">
        <v>0</v>
      </c>
      <c r="K428" t="n">
        <v>0</v>
      </c>
      <c r="L428" t="n">
        <v>0</v>
      </c>
      <c r="M428" t="n">
        <v>0</v>
      </c>
      <c r="N428" t="n">
        <v>0</v>
      </c>
      <c r="O428" t="n">
        <v>0</v>
      </c>
      <c r="P428" t="n">
        <v>0</v>
      </c>
      <c r="Q428" t="n">
        <v>0</v>
      </c>
      <c r="R428" s="2" t="inlineStr"/>
    </row>
    <row r="429" ht="15" customHeight="1">
      <c r="A429" t="inlineStr">
        <is>
          <t>A 56645-2025</t>
        </is>
      </c>
      <c r="B429" s="1" t="n">
        <v>45975.63063657407</v>
      </c>
      <c r="C429" s="1" t="n">
        <v>45982</v>
      </c>
      <c r="D429" t="inlineStr">
        <is>
          <t>VÄSTMANLANDS LÄN</t>
        </is>
      </c>
      <c r="E429" t="inlineStr">
        <is>
          <t>SALA</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43359-2024</t>
        </is>
      </c>
      <c r="B430" s="1" t="n">
        <v>45568.57724537037</v>
      </c>
      <c r="C430" s="1" t="n">
        <v>45982</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29972-2025</t>
        </is>
      </c>
      <c r="B431" s="1" t="n">
        <v>45826</v>
      </c>
      <c r="C431" s="1" t="n">
        <v>45982</v>
      </c>
      <c r="D431" t="inlineStr">
        <is>
          <t>VÄSTMANLANDS LÄN</t>
        </is>
      </c>
      <c r="E431" t="inlineStr">
        <is>
          <t>SALA</t>
        </is>
      </c>
      <c r="G431" t="n">
        <v>2.7</v>
      </c>
      <c r="H431" t="n">
        <v>0</v>
      </c>
      <c r="I431" t="n">
        <v>0</v>
      </c>
      <c r="J431" t="n">
        <v>0</v>
      </c>
      <c r="K431" t="n">
        <v>0</v>
      </c>
      <c r="L431" t="n">
        <v>0</v>
      </c>
      <c r="M431" t="n">
        <v>0</v>
      </c>
      <c r="N431" t="n">
        <v>0</v>
      </c>
      <c r="O431" t="n">
        <v>0</v>
      </c>
      <c r="P431" t="n">
        <v>0</v>
      </c>
      <c r="Q431" t="n">
        <v>0</v>
      </c>
      <c r="R431" s="2" t="inlineStr"/>
    </row>
    <row r="432" ht="15" customHeight="1">
      <c r="A432" t="inlineStr">
        <is>
          <t>A 48057-2025</t>
        </is>
      </c>
      <c r="B432" s="1" t="n">
        <v>45932.67947916667</v>
      </c>
      <c r="C432" s="1" t="n">
        <v>45982</v>
      </c>
      <c r="D432" t="inlineStr">
        <is>
          <t>VÄSTMANLANDS LÄN</t>
        </is>
      </c>
      <c r="E432" t="inlineStr">
        <is>
          <t>SALA</t>
        </is>
      </c>
      <c r="G432" t="n">
        <v>4.3</v>
      </c>
      <c r="H432" t="n">
        <v>0</v>
      </c>
      <c r="I432" t="n">
        <v>0</v>
      </c>
      <c r="J432" t="n">
        <v>0</v>
      </c>
      <c r="K432" t="n">
        <v>0</v>
      </c>
      <c r="L432" t="n">
        <v>0</v>
      </c>
      <c r="M432" t="n">
        <v>0</v>
      </c>
      <c r="N432" t="n">
        <v>0</v>
      </c>
      <c r="O432" t="n">
        <v>0</v>
      </c>
      <c r="P432" t="n">
        <v>0</v>
      </c>
      <c r="Q432" t="n">
        <v>0</v>
      </c>
      <c r="R432" s="2" t="inlineStr"/>
    </row>
    <row r="433" ht="15" customHeight="1">
      <c r="A433" t="inlineStr">
        <is>
          <t>A 34867-2023</t>
        </is>
      </c>
      <c r="B433" s="1" t="n">
        <v>45142.33481481481</v>
      </c>
      <c r="C433" s="1" t="n">
        <v>45982</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11631-2023</t>
        </is>
      </c>
      <c r="B434" s="1" t="n">
        <v>44994.44001157407</v>
      </c>
      <c r="C434" s="1" t="n">
        <v>45982</v>
      </c>
      <c r="D434" t="inlineStr">
        <is>
          <t>VÄSTMANLANDS LÄN</t>
        </is>
      </c>
      <c r="E434" t="inlineStr">
        <is>
          <t>SALA</t>
        </is>
      </c>
      <c r="F434" t="inlineStr">
        <is>
          <t>Kommuner</t>
        </is>
      </c>
      <c r="G434" t="n">
        <v>1.9</v>
      </c>
      <c r="H434" t="n">
        <v>0</v>
      </c>
      <c r="I434" t="n">
        <v>0</v>
      </c>
      <c r="J434" t="n">
        <v>0</v>
      </c>
      <c r="K434" t="n">
        <v>0</v>
      </c>
      <c r="L434" t="n">
        <v>0</v>
      </c>
      <c r="M434" t="n">
        <v>0</v>
      </c>
      <c r="N434" t="n">
        <v>0</v>
      </c>
      <c r="O434" t="n">
        <v>0</v>
      </c>
      <c r="P434" t="n">
        <v>0</v>
      </c>
      <c r="Q434" t="n">
        <v>0</v>
      </c>
      <c r="R434" s="2" t="inlineStr"/>
    </row>
    <row r="435" ht="15" customHeight="1">
      <c r="A435" t="inlineStr">
        <is>
          <t>A 56614-2025</t>
        </is>
      </c>
      <c r="B435" s="1" t="n">
        <v>45975.59288194445</v>
      </c>
      <c r="C435" s="1" t="n">
        <v>45982</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46279-2021</t>
        </is>
      </c>
      <c r="B436" s="1" t="n">
        <v>44442.57797453704</v>
      </c>
      <c r="C436" s="1" t="n">
        <v>45982</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56593-2025</t>
        </is>
      </c>
      <c r="B437" s="1" t="n">
        <v>45975</v>
      </c>
      <c r="C437" s="1" t="n">
        <v>45982</v>
      </c>
      <c r="D437" t="inlineStr">
        <is>
          <t>VÄSTMANLANDS LÄN</t>
        </is>
      </c>
      <c r="E437" t="inlineStr">
        <is>
          <t>SALA</t>
        </is>
      </c>
      <c r="F437" t="inlineStr">
        <is>
          <t>Kyrkan</t>
        </is>
      </c>
      <c r="G437" t="n">
        <v>0.1</v>
      </c>
      <c r="H437" t="n">
        <v>0</v>
      </c>
      <c r="I437" t="n">
        <v>0</v>
      </c>
      <c r="J437" t="n">
        <v>0</v>
      </c>
      <c r="K437" t="n">
        <v>0</v>
      </c>
      <c r="L437" t="n">
        <v>0</v>
      </c>
      <c r="M437" t="n">
        <v>0</v>
      </c>
      <c r="N437" t="n">
        <v>0</v>
      </c>
      <c r="O437" t="n">
        <v>0</v>
      </c>
      <c r="P437" t="n">
        <v>0</v>
      </c>
      <c r="Q437" t="n">
        <v>0</v>
      </c>
      <c r="R437" s="2" t="inlineStr"/>
    </row>
    <row r="438" ht="15" customHeight="1">
      <c r="A438" t="inlineStr">
        <is>
          <t>A 57014-2025</t>
        </is>
      </c>
      <c r="B438" s="1" t="n">
        <v>45978</v>
      </c>
      <c r="C438" s="1" t="n">
        <v>45982</v>
      </c>
      <c r="D438" t="inlineStr">
        <is>
          <t>VÄSTMANLANDS LÄN</t>
        </is>
      </c>
      <c r="E438" t="inlineStr">
        <is>
          <t>SALA</t>
        </is>
      </c>
      <c r="G438" t="n">
        <v>2.2</v>
      </c>
      <c r="H438" t="n">
        <v>0</v>
      </c>
      <c r="I438" t="n">
        <v>0</v>
      </c>
      <c r="J438" t="n">
        <v>0</v>
      </c>
      <c r="K438" t="n">
        <v>0</v>
      </c>
      <c r="L438" t="n">
        <v>0</v>
      </c>
      <c r="M438" t="n">
        <v>0</v>
      </c>
      <c r="N438" t="n">
        <v>0</v>
      </c>
      <c r="O438" t="n">
        <v>0</v>
      </c>
      <c r="P438" t="n">
        <v>0</v>
      </c>
      <c r="Q438" t="n">
        <v>0</v>
      </c>
      <c r="R438" s="2" t="inlineStr"/>
    </row>
    <row r="439" ht="15" customHeight="1">
      <c r="A439" t="inlineStr">
        <is>
          <t>A 8775-2024</t>
        </is>
      </c>
      <c r="B439" s="1" t="n">
        <v>45356</v>
      </c>
      <c r="C439" s="1" t="n">
        <v>45982</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48710-2024</t>
        </is>
      </c>
      <c r="B440" s="1" t="n">
        <v>45593.53636574074</v>
      </c>
      <c r="C440" s="1" t="n">
        <v>45982</v>
      </c>
      <c r="D440" t="inlineStr">
        <is>
          <t>VÄSTMANLANDS LÄN</t>
        </is>
      </c>
      <c r="E440" t="inlineStr">
        <is>
          <t>SALA</t>
        </is>
      </c>
      <c r="G440" t="n">
        <v>6.5</v>
      </c>
      <c r="H440" t="n">
        <v>0</v>
      </c>
      <c r="I440" t="n">
        <v>0</v>
      </c>
      <c r="J440" t="n">
        <v>0</v>
      </c>
      <c r="K440" t="n">
        <v>0</v>
      </c>
      <c r="L440" t="n">
        <v>0</v>
      </c>
      <c r="M440" t="n">
        <v>0</v>
      </c>
      <c r="N440" t="n">
        <v>0</v>
      </c>
      <c r="O440" t="n">
        <v>0</v>
      </c>
      <c r="P440" t="n">
        <v>0</v>
      </c>
      <c r="Q440" t="n">
        <v>0</v>
      </c>
      <c r="R440" s="2" t="inlineStr"/>
    </row>
    <row r="441" ht="15" customHeight="1">
      <c r="A441" t="inlineStr">
        <is>
          <t>A 56611-2025</t>
        </is>
      </c>
      <c r="B441" s="1" t="n">
        <v>45975</v>
      </c>
      <c r="C441" s="1" t="n">
        <v>45982</v>
      </c>
      <c r="D441" t="inlineStr">
        <is>
          <t>VÄSTMANLANDS LÄN</t>
        </is>
      </c>
      <c r="E441" t="inlineStr">
        <is>
          <t>SALA</t>
        </is>
      </c>
      <c r="G441" t="n">
        <v>2.8</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45982</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48710-2025</t>
        </is>
      </c>
      <c r="B443" s="1" t="n">
        <v>45936.63184027778</v>
      </c>
      <c r="C443" s="1" t="n">
        <v>45982</v>
      </c>
      <c r="D443" t="inlineStr">
        <is>
          <t>VÄSTMANLANDS LÄN</t>
        </is>
      </c>
      <c r="E443" t="inlineStr">
        <is>
          <t>SALA</t>
        </is>
      </c>
      <c r="G443" t="n">
        <v>2.7</v>
      </c>
      <c r="H443" t="n">
        <v>0</v>
      </c>
      <c r="I443" t="n">
        <v>0</v>
      </c>
      <c r="J443" t="n">
        <v>0</v>
      </c>
      <c r="K443" t="n">
        <v>0</v>
      </c>
      <c r="L443" t="n">
        <v>0</v>
      </c>
      <c r="M443" t="n">
        <v>0</v>
      </c>
      <c r="N443" t="n">
        <v>0</v>
      </c>
      <c r="O443" t="n">
        <v>0</v>
      </c>
      <c r="P443" t="n">
        <v>0</v>
      </c>
      <c r="Q443" t="n">
        <v>0</v>
      </c>
      <c r="R443" s="2" t="inlineStr"/>
    </row>
    <row r="444" ht="15" customHeight="1">
      <c r="A444" t="inlineStr">
        <is>
          <t>A 24248-2023</t>
        </is>
      </c>
      <c r="B444" s="1" t="n">
        <v>45079</v>
      </c>
      <c r="C444" s="1" t="n">
        <v>45982</v>
      </c>
      <c r="D444" t="inlineStr">
        <is>
          <t>VÄSTMANLANDS LÄN</t>
        </is>
      </c>
      <c r="E444" t="inlineStr">
        <is>
          <t>SALA</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73673-2021</t>
        </is>
      </c>
      <c r="B445" s="1" t="n">
        <v>44552.46501157407</v>
      </c>
      <c r="C445" s="1" t="n">
        <v>45982</v>
      </c>
      <c r="D445" t="inlineStr">
        <is>
          <t>VÄSTMANLANDS LÄN</t>
        </is>
      </c>
      <c r="E445" t="inlineStr">
        <is>
          <t>SALA</t>
        </is>
      </c>
      <c r="G445" t="n">
        <v>11.4</v>
      </c>
      <c r="H445" t="n">
        <v>0</v>
      </c>
      <c r="I445" t="n">
        <v>0</v>
      </c>
      <c r="J445" t="n">
        <v>0</v>
      </c>
      <c r="K445" t="n">
        <v>0</v>
      </c>
      <c r="L445" t="n">
        <v>0</v>
      </c>
      <c r="M445" t="n">
        <v>0</v>
      </c>
      <c r="N445" t="n">
        <v>0</v>
      </c>
      <c r="O445" t="n">
        <v>0</v>
      </c>
      <c r="P445" t="n">
        <v>0</v>
      </c>
      <c r="Q445" t="n">
        <v>0</v>
      </c>
      <c r="R445" s="2" t="inlineStr"/>
    </row>
    <row r="446" ht="15" customHeight="1">
      <c r="A446" t="inlineStr">
        <is>
          <t>A 56502-2025</t>
        </is>
      </c>
      <c r="B446" s="1" t="n">
        <v>45975</v>
      </c>
      <c r="C446" s="1" t="n">
        <v>45982</v>
      </c>
      <c r="D446" t="inlineStr">
        <is>
          <t>VÄSTMANLANDS LÄN</t>
        </is>
      </c>
      <c r="E446" t="inlineStr">
        <is>
          <t>SALA</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10559-2024</t>
        </is>
      </c>
      <c r="B447" s="1" t="n">
        <v>45366</v>
      </c>
      <c r="C447" s="1" t="n">
        <v>45982</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40214-2023</t>
        </is>
      </c>
      <c r="B448" s="1" t="n">
        <v>45169.45173611111</v>
      </c>
      <c r="C448" s="1" t="n">
        <v>45982</v>
      </c>
      <c r="D448" t="inlineStr">
        <is>
          <t>VÄSTMANLANDS LÄN</t>
        </is>
      </c>
      <c r="E448" t="inlineStr">
        <is>
          <t>SALA</t>
        </is>
      </c>
      <c r="G448" t="n">
        <v>5.5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45982</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18100-2023</t>
        </is>
      </c>
      <c r="B450" s="1" t="n">
        <v>45040</v>
      </c>
      <c r="C450" s="1" t="n">
        <v>45982</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48910-2025</t>
        </is>
      </c>
      <c r="B451" s="1" t="n">
        <v>45937.48649305556</v>
      </c>
      <c r="C451" s="1" t="n">
        <v>45982</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57414-2025</t>
        </is>
      </c>
      <c r="B452" s="1" t="n">
        <v>45980.45003472222</v>
      </c>
      <c r="C452" s="1" t="n">
        <v>45982</v>
      </c>
      <c r="D452" t="inlineStr">
        <is>
          <t>VÄSTMANLANDS LÄN</t>
        </is>
      </c>
      <c r="E452" t="inlineStr">
        <is>
          <t>SALA</t>
        </is>
      </c>
      <c r="F452" t="inlineStr">
        <is>
          <t>Bergvik skog öst AB</t>
        </is>
      </c>
      <c r="G452" t="n">
        <v>2</v>
      </c>
      <c r="H452" t="n">
        <v>0</v>
      </c>
      <c r="I452" t="n">
        <v>0</v>
      </c>
      <c r="J452" t="n">
        <v>0</v>
      </c>
      <c r="K452" t="n">
        <v>0</v>
      </c>
      <c r="L452" t="n">
        <v>0</v>
      </c>
      <c r="M452" t="n">
        <v>0</v>
      </c>
      <c r="N452" t="n">
        <v>0</v>
      </c>
      <c r="O452" t="n">
        <v>0</v>
      </c>
      <c r="P452" t="n">
        <v>0</v>
      </c>
      <c r="Q452" t="n">
        <v>0</v>
      </c>
      <c r="R452" s="2" t="inlineStr"/>
    </row>
    <row r="453" ht="15" customHeight="1">
      <c r="A453" t="inlineStr">
        <is>
          <t>A 57415-2025</t>
        </is>
      </c>
      <c r="B453" s="1" t="n">
        <v>45980.45099537037</v>
      </c>
      <c r="C453" s="1" t="n">
        <v>45982</v>
      </c>
      <c r="D453" t="inlineStr">
        <is>
          <t>VÄSTMANLANDS LÄN</t>
        </is>
      </c>
      <c r="E453" t="inlineStr">
        <is>
          <t>SALA</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49585-2025</t>
        </is>
      </c>
      <c r="B454" s="1" t="n">
        <v>45939.5043287037</v>
      </c>
      <c r="C454" s="1" t="n">
        <v>45982</v>
      </c>
      <c r="D454" t="inlineStr">
        <is>
          <t>VÄSTMANLANDS LÄN</t>
        </is>
      </c>
      <c r="E454" t="inlineStr">
        <is>
          <t>SALA</t>
        </is>
      </c>
      <c r="G454" t="n">
        <v>2.2</v>
      </c>
      <c r="H454" t="n">
        <v>0</v>
      </c>
      <c r="I454" t="n">
        <v>0</v>
      </c>
      <c r="J454" t="n">
        <v>0</v>
      </c>
      <c r="K454" t="n">
        <v>0</v>
      </c>
      <c r="L454" t="n">
        <v>0</v>
      </c>
      <c r="M454" t="n">
        <v>0</v>
      </c>
      <c r="N454" t="n">
        <v>0</v>
      </c>
      <c r="O454" t="n">
        <v>0</v>
      </c>
      <c r="P454" t="n">
        <v>0</v>
      </c>
      <c r="Q454" t="n">
        <v>0</v>
      </c>
      <c r="R454" s="2" t="inlineStr"/>
    </row>
    <row r="455" ht="15" customHeight="1">
      <c r="A455" t="inlineStr">
        <is>
          <t>A 23374-2023</t>
        </is>
      </c>
      <c r="B455" s="1" t="n">
        <v>45076.4399537037</v>
      </c>
      <c r="C455" s="1" t="n">
        <v>45982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6134-2024</t>
        </is>
      </c>
      <c r="B456" s="1" t="n">
        <v>45337</v>
      </c>
      <c r="C456" s="1" t="n">
        <v>45982</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48117-2024</t>
        </is>
      </c>
      <c r="B457" s="1" t="n">
        <v>45589</v>
      </c>
      <c r="C457" s="1" t="n">
        <v>45982</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31082-2021</t>
        </is>
      </c>
      <c r="B458" s="1" t="n">
        <v>44368</v>
      </c>
      <c r="C458" s="1" t="n">
        <v>45982</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31470-2021</t>
        </is>
      </c>
      <c r="B459" s="1" t="n">
        <v>44369</v>
      </c>
      <c r="C459" s="1" t="n">
        <v>45982</v>
      </c>
      <c r="D459" t="inlineStr">
        <is>
          <t>VÄSTMANLANDS LÄN</t>
        </is>
      </c>
      <c r="E459" t="inlineStr">
        <is>
          <t>SALA</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24175-2024</t>
        </is>
      </c>
      <c r="B460" s="1" t="n">
        <v>45456</v>
      </c>
      <c r="C460" s="1" t="n">
        <v>45982</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28328-2023</t>
        </is>
      </c>
      <c r="B461" s="1" t="n">
        <v>45099.71063657408</v>
      </c>
      <c r="C461" s="1" t="n">
        <v>45982</v>
      </c>
      <c r="D461" t="inlineStr">
        <is>
          <t>VÄSTMANLANDS LÄN</t>
        </is>
      </c>
      <c r="E461" t="inlineStr">
        <is>
          <t>SALA</t>
        </is>
      </c>
      <c r="G461" t="n">
        <v>1.8</v>
      </c>
      <c r="H461" t="n">
        <v>0</v>
      </c>
      <c r="I461" t="n">
        <v>0</v>
      </c>
      <c r="J461" t="n">
        <v>0</v>
      </c>
      <c r="K461" t="n">
        <v>0</v>
      </c>
      <c r="L461" t="n">
        <v>0</v>
      </c>
      <c r="M461" t="n">
        <v>0</v>
      </c>
      <c r="N461" t="n">
        <v>0</v>
      </c>
      <c r="O461" t="n">
        <v>0</v>
      </c>
      <c r="P461" t="n">
        <v>0</v>
      </c>
      <c r="Q461" t="n">
        <v>0</v>
      </c>
      <c r="R461" s="2" t="inlineStr"/>
    </row>
    <row r="462" ht="15" customHeight="1">
      <c r="A462" t="inlineStr">
        <is>
          <t>A 49640-2025</t>
        </is>
      </c>
      <c r="B462" s="1" t="n">
        <v>45939.61459490741</v>
      </c>
      <c r="C462" s="1" t="n">
        <v>45982</v>
      </c>
      <c r="D462" t="inlineStr">
        <is>
          <t>VÄSTMANLANDS LÄN</t>
        </is>
      </c>
      <c r="E462" t="inlineStr">
        <is>
          <t>SALA</t>
        </is>
      </c>
      <c r="F462" t="inlineStr">
        <is>
          <t>Kommuner</t>
        </is>
      </c>
      <c r="G462" t="n">
        <v>18.8</v>
      </c>
      <c r="H462" t="n">
        <v>0</v>
      </c>
      <c r="I462" t="n">
        <v>0</v>
      </c>
      <c r="J462" t="n">
        <v>0</v>
      </c>
      <c r="K462" t="n">
        <v>0</v>
      </c>
      <c r="L462" t="n">
        <v>0</v>
      </c>
      <c r="M462" t="n">
        <v>0</v>
      </c>
      <c r="N462" t="n">
        <v>0</v>
      </c>
      <c r="O462" t="n">
        <v>0</v>
      </c>
      <c r="P462" t="n">
        <v>0</v>
      </c>
      <c r="Q462" t="n">
        <v>0</v>
      </c>
      <c r="R462" s="2" t="inlineStr"/>
    </row>
    <row r="463" ht="15" customHeight="1">
      <c r="A463" t="inlineStr">
        <is>
          <t>A 61715-2024</t>
        </is>
      </c>
      <c r="B463" s="1" t="n">
        <v>45648.89519675926</v>
      </c>
      <c r="C463" s="1" t="n">
        <v>45982</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57412-2025</t>
        </is>
      </c>
      <c r="B464" s="1" t="n">
        <v>45980.44883101852</v>
      </c>
      <c r="C464" s="1" t="n">
        <v>45982</v>
      </c>
      <c r="D464" t="inlineStr">
        <is>
          <t>VÄSTMANLANDS LÄN</t>
        </is>
      </c>
      <c r="E464" t="inlineStr">
        <is>
          <t>SALA</t>
        </is>
      </c>
      <c r="F464" t="inlineStr">
        <is>
          <t>Bergvik skog öst AB</t>
        </is>
      </c>
      <c r="G464" t="n">
        <v>4.5</v>
      </c>
      <c r="H464" t="n">
        <v>0</v>
      </c>
      <c r="I464" t="n">
        <v>0</v>
      </c>
      <c r="J464" t="n">
        <v>0</v>
      </c>
      <c r="K464" t="n">
        <v>0</v>
      </c>
      <c r="L464" t="n">
        <v>0</v>
      </c>
      <c r="M464" t="n">
        <v>0</v>
      </c>
      <c r="N464" t="n">
        <v>0</v>
      </c>
      <c r="O464" t="n">
        <v>0</v>
      </c>
      <c r="P464" t="n">
        <v>0</v>
      </c>
      <c r="Q464" t="n">
        <v>0</v>
      </c>
      <c r="R464" s="2" t="inlineStr"/>
    </row>
    <row r="465" ht="15" customHeight="1">
      <c r="A465" t="inlineStr">
        <is>
          <t>A 38195-2021</t>
        </is>
      </c>
      <c r="B465" s="1" t="n">
        <v>44405</v>
      </c>
      <c r="C465" s="1" t="n">
        <v>45982</v>
      </c>
      <c r="D465" t="inlineStr">
        <is>
          <t>VÄSTMANLANDS LÄN</t>
        </is>
      </c>
      <c r="E465" t="inlineStr">
        <is>
          <t>SALA</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6132-2025</t>
        </is>
      </c>
      <c r="B466" s="1" t="n">
        <v>45698</v>
      </c>
      <c r="C466" s="1" t="n">
        <v>45982</v>
      </c>
      <c r="D466" t="inlineStr">
        <is>
          <t>VÄSTMANLANDS LÄN</t>
        </is>
      </c>
      <c r="E466" t="inlineStr">
        <is>
          <t>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44708.48194444444</v>
      </c>
      <c r="C467" s="1" t="n">
        <v>45982</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11389-2024</t>
        </is>
      </c>
      <c r="B468" s="1" t="n">
        <v>45372.45016203704</v>
      </c>
      <c r="C468" s="1" t="n">
        <v>45982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2925-2024</t>
        </is>
      </c>
      <c r="B469" s="1" t="n">
        <v>45315.58909722222</v>
      </c>
      <c r="C469" s="1" t="n">
        <v>45982</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39439-2021</t>
        </is>
      </c>
      <c r="B470" s="1" t="n">
        <v>44414</v>
      </c>
      <c r="C470" s="1" t="n">
        <v>45982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3332-2024</t>
        </is>
      </c>
      <c r="B471" s="1" t="n">
        <v>45317</v>
      </c>
      <c r="C471" s="1" t="n">
        <v>45982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2529-2022</t>
        </is>
      </c>
      <c r="B472" s="1" t="n">
        <v>44579.86452546297</v>
      </c>
      <c r="C472" s="1" t="n">
        <v>45982</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13471-2025</t>
        </is>
      </c>
      <c r="B473" s="1" t="n">
        <v>45736.40579861111</v>
      </c>
      <c r="C473" s="1" t="n">
        <v>45982</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15681-2025</t>
        </is>
      </c>
      <c r="B474" s="1" t="n">
        <v>45748.45454861111</v>
      </c>
      <c r="C474" s="1" t="n">
        <v>45982</v>
      </c>
      <c r="D474" t="inlineStr">
        <is>
          <t>VÄSTMANLANDS LÄN</t>
        </is>
      </c>
      <c r="E474" t="inlineStr">
        <is>
          <t>SALA</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18431-2023</t>
        </is>
      </c>
      <c r="B475" s="1" t="n">
        <v>45042</v>
      </c>
      <c r="C475" s="1" t="n">
        <v>45982</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27424-2023</t>
        </is>
      </c>
      <c r="B476" s="1" t="n">
        <v>45097.37690972222</v>
      </c>
      <c r="C476" s="1" t="n">
        <v>45982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58701-2021</t>
        </is>
      </c>
      <c r="B477" s="1" t="n">
        <v>44489.46454861111</v>
      </c>
      <c r="C477" s="1" t="n">
        <v>45982</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11244-2024</t>
        </is>
      </c>
      <c r="B478" s="1" t="n">
        <v>45371</v>
      </c>
      <c r="C478" s="1" t="n">
        <v>45982</v>
      </c>
      <c r="D478" t="inlineStr">
        <is>
          <t>VÄSTMANLANDS LÄN</t>
        </is>
      </c>
      <c r="E478" t="inlineStr">
        <is>
          <t>SALA</t>
        </is>
      </c>
      <c r="G478" t="n">
        <v>1.2</v>
      </c>
      <c r="H478" t="n">
        <v>0</v>
      </c>
      <c r="I478" t="n">
        <v>0</v>
      </c>
      <c r="J478" t="n">
        <v>0</v>
      </c>
      <c r="K478" t="n">
        <v>0</v>
      </c>
      <c r="L478" t="n">
        <v>0</v>
      </c>
      <c r="M478" t="n">
        <v>0</v>
      </c>
      <c r="N478" t="n">
        <v>0</v>
      </c>
      <c r="O478" t="n">
        <v>0</v>
      </c>
      <c r="P478" t="n">
        <v>0</v>
      </c>
      <c r="Q478" t="n">
        <v>0</v>
      </c>
      <c r="R478" s="2" t="inlineStr"/>
    </row>
    <row r="479" ht="15" customHeight="1">
      <c r="A479" t="inlineStr">
        <is>
          <t>A 12225-2023</t>
        </is>
      </c>
      <c r="B479" s="1" t="n">
        <v>44995</v>
      </c>
      <c r="C479" s="1" t="n">
        <v>45982</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61874-2021</t>
        </is>
      </c>
      <c r="B480" s="1" t="n">
        <v>44502</v>
      </c>
      <c r="C480" s="1" t="n">
        <v>45982</v>
      </c>
      <c r="D480" t="inlineStr">
        <is>
          <t>VÄSTMANLANDS LÄN</t>
        </is>
      </c>
      <c r="E480" t="inlineStr">
        <is>
          <t>SALA</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62651-2022</t>
        </is>
      </c>
      <c r="B481" s="1" t="n">
        <v>44917</v>
      </c>
      <c r="C481" s="1" t="n">
        <v>45982</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15968-2024</t>
        </is>
      </c>
      <c r="B482" s="1" t="n">
        <v>45405.56021990741</v>
      </c>
      <c r="C482" s="1" t="n">
        <v>45982</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60730-2023</t>
        </is>
      </c>
      <c r="B483" s="1" t="n">
        <v>45260</v>
      </c>
      <c r="C483" s="1" t="n">
        <v>45982</v>
      </c>
      <c r="D483" t="inlineStr">
        <is>
          <t>VÄSTMANLANDS LÄN</t>
        </is>
      </c>
      <c r="E483" t="inlineStr">
        <is>
          <t>SALA</t>
        </is>
      </c>
      <c r="G483" t="n">
        <v>1.3</v>
      </c>
      <c r="H483" t="n">
        <v>0</v>
      </c>
      <c r="I483" t="n">
        <v>0</v>
      </c>
      <c r="J483" t="n">
        <v>0</v>
      </c>
      <c r="K483" t="n">
        <v>0</v>
      </c>
      <c r="L483" t="n">
        <v>0</v>
      </c>
      <c r="M483" t="n">
        <v>0</v>
      </c>
      <c r="N483" t="n">
        <v>0</v>
      </c>
      <c r="O483" t="n">
        <v>0</v>
      </c>
      <c r="P483" t="n">
        <v>0</v>
      </c>
      <c r="Q483" t="n">
        <v>0</v>
      </c>
      <c r="R483" s="2" t="inlineStr"/>
    </row>
    <row r="484" ht="15" customHeight="1">
      <c r="A484" t="inlineStr">
        <is>
          <t>A 60731-2023</t>
        </is>
      </c>
      <c r="B484" s="1" t="n">
        <v>45260</v>
      </c>
      <c r="C484" s="1" t="n">
        <v>45982</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18461-2024</t>
        </is>
      </c>
      <c r="B485" s="1" t="n">
        <v>45425.47435185185</v>
      </c>
      <c r="C485" s="1" t="n">
        <v>45982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4663-2022</t>
        </is>
      </c>
      <c r="B486" s="1" t="n">
        <v>44592.45429398148</v>
      </c>
      <c r="C486" s="1" t="n">
        <v>45982</v>
      </c>
      <c r="D486" t="inlineStr">
        <is>
          <t>VÄSTMANLANDS LÄN</t>
        </is>
      </c>
      <c r="E486" t="inlineStr">
        <is>
          <t>SALA</t>
        </is>
      </c>
      <c r="G486" t="n">
        <v>2.5</v>
      </c>
      <c r="H486" t="n">
        <v>0</v>
      </c>
      <c r="I486" t="n">
        <v>0</v>
      </c>
      <c r="J486" t="n">
        <v>0</v>
      </c>
      <c r="K486" t="n">
        <v>0</v>
      </c>
      <c r="L486" t="n">
        <v>0</v>
      </c>
      <c r="M486" t="n">
        <v>0</v>
      </c>
      <c r="N486" t="n">
        <v>0</v>
      </c>
      <c r="O486" t="n">
        <v>0</v>
      </c>
      <c r="P486" t="n">
        <v>0</v>
      </c>
      <c r="Q486" t="n">
        <v>0</v>
      </c>
      <c r="R486" s="2" t="inlineStr"/>
    </row>
    <row r="487" ht="15" customHeight="1">
      <c r="A487" t="inlineStr">
        <is>
          <t>A 6032-2025</t>
        </is>
      </c>
      <c r="B487" s="1" t="n">
        <v>45695.6371875</v>
      </c>
      <c r="C487" s="1" t="n">
        <v>45982</v>
      </c>
      <c r="D487" t="inlineStr">
        <is>
          <t>VÄSTMANLANDS LÄN</t>
        </is>
      </c>
      <c r="E487" t="inlineStr">
        <is>
          <t>SALA</t>
        </is>
      </c>
      <c r="F487" t="inlineStr">
        <is>
          <t>Bergvik skog öst AB</t>
        </is>
      </c>
      <c r="G487" t="n">
        <v>8.1</v>
      </c>
      <c r="H487" t="n">
        <v>0</v>
      </c>
      <c r="I487" t="n">
        <v>0</v>
      </c>
      <c r="J487" t="n">
        <v>0</v>
      </c>
      <c r="K487" t="n">
        <v>0</v>
      </c>
      <c r="L487" t="n">
        <v>0</v>
      </c>
      <c r="M487" t="n">
        <v>0</v>
      </c>
      <c r="N487" t="n">
        <v>0</v>
      </c>
      <c r="O487" t="n">
        <v>0</v>
      </c>
      <c r="P487" t="n">
        <v>0</v>
      </c>
      <c r="Q487" t="n">
        <v>0</v>
      </c>
      <c r="R487" s="2" t="inlineStr"/>
    </row>
    <row r="488" ht="15" customHeight="1">
      <c r="A488" t="inlineStr">
        <is>
          <t>A 2766-2024</t>
        </is>
      </c>
      <c r="B488" s="1" t="n">
        <v>45314.60950231482</v>
      </c>
      <c r="C488" s="1" t="n">
        <v>45982</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6351-2023</t>
        </is>
      </c>
      <c r="B489" s="1" t="n">
        <v>44965</v>
      </c>
      <c r="C489" s="1" t="n">
        <v>45982</v>
      </c>
      <c r="D489" t="inlineStr">
        <is>
          <t>VÄSTMANLANDS LÄN</t>
        </is>
      </c>
      <c r="E489" t="inlineStr">
        <is>
          <t>SALA</t>
        </is>
      </c>
      <c r="F489" t="inlineStr">
        <is>
          <t>Kommuner</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45187-2024</t>
        </is>
      </c>
      <c r="B490" s="1" t="n">
        <v>45575</v>
      </c>
      <c r="C490" s="1" t="n">
        <v>45982</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33527-2023</t>
        </is>
      </c>
      <c r="B491" s="1" t="n">
        <v>45131</v>
      </c>
      <c r="C491" s="1" t="n">
        <v>45982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7377-2023</t>
        </is>
      </c>
      <c r="B492" s="1" t="n">
        <v>44971</v>
      </c>
      <c r="C492" s="1" t="n">
        <v>45982</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6308-2021</t>
        </is>
      </c>
      <c r="B493" s="1" t="n">
        <v>44235</v>
      </c>
      <c r="C493" s="1" t="n">
        <v>45982</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21159-2022</t>
        </is>
      </c>
      <c r="B494" s="1" t="n">
        <v>44704</v>
      </c>
      <c r="C494" s="1" t="n">
        <v>45982</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56688-2024</t>
        </is>
      </c>
      <c r="B495" s="1" t="n">
        <v>45627.66478009259</v>
      </c>
      <c r="C495" s="1" t="n">
        <v>45982</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16159-2024</t>
        </is>
      </c>
      <c r="B496" s="1" t="n">
        <v>45406</v>
      </c>
      <c r="C496" s="1" t="n">
        <v>45982</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66307-2021</t>
        </is>
      </c>
      <c r="B497" s="1" t="n">
        <v>44518.48670138889</v>
      </c>
      <c r="C497" s="1" t="n">
        <v>45982</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27262-2024</t>
        </is>
      </c>
      <c r="B498" s="1" t="n">
        <v>45471</v>
      </c>
      <c r="C498" s="1" t="n">
        <v>45982</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10913-2025</t>
        </is>
      </c>
      <c r="B499" s="1" t="n">
        <v>45722.73423611111</v>
      </c>
      <c r="C499" s="1" t="n">
        <v>45982</v>
      </c>
      <c r="D499" t="inlineStr">
        <is>
          <t>VÄSTMANLANDS LÄN</t>
        </is>
      </c>
      <c r="E499" t="inlineStr">
        <is>
          <t>SALA</t>
        </is>
      </c>
      <c r="G499" t="n">
        <v>7.6</v>
      </c>
      <c r="H499" t="n">
        <v>0</v>
      </c>
      <c r="I499" t="n">
        <v>0</v>
      </c>
      <c r="J499" t="n">
        <v>0</v>
      </c>
      <c r="K499" t="n">
        <v>0</v>
      </c>
      <c r="L499" t="n">
        <v>0</v>
      </c>
      <c r="M499" t="n">
        <v>0</v>
      </c>
      <c r="N499" t="n">
        <v>0</v>
      </c>
      <c r="O499" t="n">
        <v>0</v>
      </c>
      <c r="P499" t="n">
        <v>0</v>
      </c>
      <c r="Q499" t="n">
        <v>0</v>
      </c>
      <c r="R499" s="2" t="inlineStr"/>
    </row>
    <row r="500" ht="15" customHeight="1">
      <c r="A500" t="inlineStr">
        <is>
          <t>A 35410-2022</t>
        </is>
      </c>
      <c r="B500" s="1" t="n">
        <v>44798.62576388889</v>
      </c>
      <c r="C500" s="1" t="n">
        <v>45982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1118-2024</t>
        </is>
      </c>
      <c r="B501" s="1" t="n">
        <v>45302</v>
      </c>
      <c r="C501" s="1" t="n">
        <v>45982</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19033-2025</t>
        </is>
      </c>
      <c r="B502" s="1" t="n">
        <v>45764.65796296296</v>
      </c>
      <c r="C502" s="1" t="n">
        <v>45982</v>
      </c>
      <c r="D502" t="inlineStr">
        <is>
          <t>VÄSTMANLANDS LÄN</t>
        </is>
      </c>
      <c r="E502" t="inlineStr">
        <is>
          <t>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53864-2022</t>
        </is>
      </c>
      <c r="B503" s="1" t="n">
        <v>44880.64016203704</v>
      </c>
      <c r="C503" s="1" t="n">
        <v>45982</v>
      </c>
      <c r="D503" t="inlineStr">
        <is>
          <t>VÄSTMANLANDS LÄN</t>
        </is>
      </c>
      <c r="E503" t="inlineStr">
        <is>
          <t>SALA</t>
        </is>
      </c>
      <c r="G503" t="n">
        <v>5.9</v>
      </c>
      <c r="H503" t="n">
        <v>0</v>
      </c>
      <c r="I503" t="n">
        <v>0</v>
      </c>
      <c r="J503" t="n">
        <v>0</v>
      </c>
      <c r="K503" t="n">
        <v>0</v>
      </c>
      <c r="L503" t="n">
        <v>0</v>
      </c>
      <c r="M503" t="n">
        <v>0</v>
      </c>
      <c r="N503" t="n">
        <v>0</v>
      </c>
      <c r="O503" t="n">
        <v>0</v>
      </c>
      <c r="P503" t="n">
        <v>0</v>
      </c>
      <c r="Q503" t="n">
        <v>0</v>
      </c>
      <c r="R503" s="2" t="inlineStr"/>
    </row>
    <row r="504" ht="15" customHeight="1">
      <c r="A504" t="inlineStr">
        <is>
          <t>A 40085-2024</t>
        </is>
      </c>
      <c r="B504" s="1" t="n">
        <v>45554</v>
      </c>
      <c r="C504" s="1" t="n">
        <v>45982</v>
      </c>
      <c r="D504" t="inlineStr">
        <is>
          <t>VÄSTMANLANDS LÄN</t>
        </is>
      </c>
      <c r="E504" t="inlineStr">
        <is>
          <t>SALA</t>
        </is>
      </c>
      <c r="G504" t="n">
        <v>2.8</v>
      </c>
      <c r="H504" t="n">
        <v>0</v>
      </c>
      <c r="I504" t="n">
        <v>0</v>
      </c>
      <c r="J504" t="n">
        <v>0</v>
      </c>
      <c r="K504" t="n">
        <v>0</v>
      </c>
      <c r="L504" t="n">
        <v>0</v>
      </c>
      <c r="M504" t="n">
        <v>0</v>
      </c>
      <c r="N504" t="n">
        <v>0</v>
      </c>
      <c r="O504" t="n">
        <v>0</v>
      </c>
      <c r="P504" t="n">
        <v>0</v>
      </c>
      <c r="Q504" t="n">
        <v>0</v>
      </c>
      <c r="R504" s="2" t="inlineStr"/>
    </row>
    <row r="505" ht="15" customHeight="1">
      <c r="A505" t="inlineStr">
        <is>
          <t>A 3551-2024</t>
        </is>
      </c>
      <c r="B505" s="1" t="n">
        <v>45320.61099537037</v>
      </c>
      <c r="C505" s="1" t="n">
        <v>45982</v>
      </c>
      <c r="D505" t="inlineStr">
        <is>
          <t>VÄSTMANLANDS LÄN</t>
        </is>
      </c>
      <c r="E505" t="inlineStr">
        <is>
          <t>SALA</t>
        </is>
      </c>
      <c r="F505" t="inlineStr">
        <is>
          <t>Kommuner</t>
        </is>
      </c>
      <c r="G505" t="n">
        <v>6</v>
      </c>
      <c r="H505" t="n">
        <v>0</v>
      </c>
      <c r="I505" t="n">
        <v>0</v>
      </c>
      <c r="J505" t="n">
        <v>0</v>
      </c>
      <c r="K505" t="n">
        <v>0</v>
      </c>
      <c r="L505" t="n">
        <v>0</v>
      </c>
      <c r="M505" t="n">
        <v>0</v>
      </c>
      <c r="N505" t="n">
        <v>0</v>
      </c>
      <c r="O505" t="n">
        <v>0</v>
      </c>
      <c r="P505" t="n">
        <v>0</v>
      </c>
      <c r="Q505" t="n">
        <v>0</v>
      </c>
      <c r="R505" s="2" t="inlineStr"/>
    </row>
    <row r="506" ht="15" customHeight="1">
      <c r="A506" t="inlineStr">
        <is>
          <t>A 22961-2023</t>
        </is>
      </c>
      <c r="B506" s="1" t="n">
        <v>45072</v>
      </c>
      <c r="C506" s="1" t="n">
        <v>45982</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22963-2023</t>
        </is>
      </c>
      <c r="B507" s="1" t="n">
        <v>45072</v>
      </c>
      <c r="C507" s="1" t="n">
        <v>45982</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54960-2024</t>
        </is>
      </c>
      <c r="B508" s="1" t="n">
        <v>45619.85208333333</v>
      </c>
      <c r="C508" s="1" t="n">
        <v>45982</v>
      </c>
      <c r="D508" t="inlineStr">
        <is>
          <t>VÄSTMANLANDS LÄN</t>
        </is>
      </c>
      <c r="E508" t="inlineStr">
        <is>
          <t>SALA</t>
        </is>
      </c>
      <c r="G508" t="n">
        <v>2.6</v>
      </c>
      <c r="H508" t="n">
        <v>0</v>
      </c>
      <c r="I508" t="n">
        <v>0</v>
      </c>
      <c r="J508" t="n">
        <v>0</v>
      </c>
      <c r="K508" t="n">
        <v>0</v>
      </c>
      <c r="L508" t="n">
        <v>0</v>
      </c>
      <c r="M508" t="n">
        <v>0</v>
      </c>
      <c r="N508" t="n">
        <v>0</v>
      </c>
      <c r="O508" t="n">
        <v>0</v>
      </c>
      <c r="P508" t="n">
        <v>0</v>
      </c>
      <c r="Q508" t="n">
        <v>0</v>
      </c>
      <c r="R508" s="2" t="inlineStr"/>
    </row>
    <row r="509" ht="15" customHeight="1">
      <c r="A509" t="inlineStr">
        <is>
          <t>A 27228-2023</t>
        </is>
      </c>
      <c r="B509" s="1" t="n">
        <v>45096.59189814814</v>
      </c>
      <c r="C509" s="1" t="n">
        <v>45982</v>
      </c>
      <c r="D509" t="inlineStr">
        <is>
          <t>VÄSTMANLANDS LÄN</t>
        </is>
      </c>
      <c r="E509" t="inlineStr">
        <is>
          <t>SALA</t>
        </is>
      </c>
      <c r="G509" t="n">
        <v>1</v>
      </c>
      <c r="H509" t="n">
        <v>0</v>
      </c>
      <c r="I509" t="n">
        <v>0</v>
      </c>
      <c r="J509" t="n">
        <v>0</v>
      </c>
      <c r="K509" t="n">
        <v>0</v>
      </c>
      <c r="L509" t="n">
        <v>0</v>
      </c>
      <c r="M509" t="n">
        <v>0</v>
      </c>
      <c r="N509" t="n">
        <v>0</v>
      </c>
      <c r="O509" t="n">
        <v>0</v>
      </c>
      <c r="P509" t="n">
        <v>0</v>
      </c>
      <c r="Q509" t="n">
        <v>0</v>
      </c>
      <c r="R509" s="2" t="inlineStr"/>
    </row>
    <row r="510" ht="15" customHeight="1">
      <c r="A510" t="inlineStr">
        <is>
          <t>A 26507-2023</t>
        </is>
      </c>
      <c r="B510" s="1" t="n">
        <v>45092</v>
      </c>
      <c r="C510" s="1" t="n">
        <v>45982</v>
      </c>
      <c r="D510" t="inlineStr">
        <is>
          <t>VÄSTMANLANDS LÄN</t>
        </is>
      </c>
      <c r="E510" t="inlineStr">
        <is>
          <t>SALA</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6183-2025</t>
        </is>
      </c>
      <c r="B511" s="1" t="n">
        <v>45698</v>
      </c>
      <c r="C511" s="1" t="n">
        <v>45982</v>
      </c>
      <c r="D511" t="inlineStr">
        <is>
          <t>VÄSTMANLANDS LÄN</t>
        </is>
      </c>
      <c r="E511" t="inlineStr">
        <is>
          <t>SALA</t>
        </is>
      </c>
      <c r="F511" t="inlineStr">
        <is>
          <t>Bergvik skog öst AB</t>
        </is>
      </c>
      <c r="G511" t="n">
        <v>2.3</v>
      </c>
      <c r="H511" t="n">
        <v>0</v>
      </c>
      <c r="I511" t="n">
        <v>0</v>
      </c>
      <c r="J511" t="n">
        <v>0</v>
      </c>
      <c r="K511" t="n">
        <v>0</v>
      </c>
      <c r="L511" t="n">
        <v>0</v>
      </c>
      <c r="M511" t="n">
        <v>0</v>
      </c>
      <c r="N511" t="n">
        <v>0</v>
      </c>
      <c r="O511" t="n">
        <v>0</v>
      </c>
      <c r="P511" t="n">
        <v>0</v>
      </c>
      <c r="Q511" t="n">
        <v>0</v>
      </c>
      <c r="R511" s="2" t="inlineStr"/>
    </row>
    <row r="512" ht="15" customHeight="1">
      <c r="A512" t="inlineStr">
        <is>
          <t>A 16543-2023</t>
        </is>
      </c>
      <c r="B512" s="1" t="n">
        <v>45029</v>
      </c>
      <c r="C512" s="1" t="n">
        <v>45982</v>
      </c>
      <c r="D512" t="inlineStr">
        <is>
          <t>VÄSTMANLANDS LÄN</t>
        </is>
      </c>
      <c r="E512" t="inlineStr">
        <is>
          <t>SALA</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43176-2023</t>
        </is>
      </c>
      <c r="B513" s="1" t="n">
        <v>45183</v>
      </c>
      <c r="C513" s="1" t="n">
        <v>45982</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37624-2024</t>
        </is>
      </c>
      <c r="B514" s="1" t="n">
        <v>45541</v>
      </c>
      <c r="C514" s="1" t="n">
        <v>45982</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57895-2024</t>
        </is>
      </c>
      <c r="B515" s="1" t="n">
        <v>45631</v>
      </c>
      <c r="C515" s="1" t="n">
        <v>45982</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47086-2022</t>
        </is>
      </c>
      <c r="B516" s="1" t="n">
        <v>44852</v>
      </c>
      <c r="C516" s="1" t="n">
        <v>45982</v>
      </c>
      <c r="D516" t="inlineStr">
        <is>
          <t>VÄSTMANLANDS LÄN</t>
        </is>
      </c>
      <c r="E516" t="inlineStr">
        <is>
          <t>SALA</t>
        </is>
      </c>
      <c r="G516" t="n">
        <v>12.5</v>
      </c>
      <c r="H516" t="n">
        <v>0</v>
      </c>
      <c r="I516" t="n">
        <v>0</v>
      </c>
      <c r="J516" t="n">
        <v>0</v>
      </c>
      <c r="K516" t="n">
        <v>0</v>
      </c>
      <c r="L516" t="n">
        <v>0</v>
      </c>
      <c r="M516" t="n">
        <v>0</v>
      </c>
      <c r="N516" t="n">
        <v>0</v>
      </c>
      <c r="O516" t="n">
        <v>0</v>
      </c>
      <c r="P516" t="n">
        <v>0</v>
      </c>
      <c r="Q516" t="n">
        <v>0</v>
      </c>
      <c r="R516" s="2" t="inlineStr"/>
    </row>
    <row r="517" ht="15" customHeight="1">
      <c r="A517" t="inlineStr">
        <is>
          <t>A 14010-2021</t>
        </is>
      </c>
      <c r="B517" s="1" t="n">
        <v>44277.63396990741</v>
      </c>
      <c r="C517" s="1" t="n">
        <v>45982</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56687-2024</t>
        </is>
      </c>
      <c r="B518" s="1" t="n">
        <v>45627.63271990741</v>
      </c>
      <c r="C518" s="1" t="n">
        <v>45982</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54347-2024</t>
        </is>
      </c>
      <c r="B519" s="1" t="n">
        <v>45617.39325231482</v>
      </c>
      <c r="C519" s="1" t="n">
        <v>45982</v>
      </c>
      <c r="D519" t="inlineStr">
        <is>
          <t>VÄSTMANLANDS LÄN</t>
        </is>
      </c>
      <c r="E519" t="inlineStr">
        <is>
          <t>SALA</t>
        </is>
      </c>
      <c r="G519" t="n">
        <v>2</v>
      </c>
      <c r="H519" t="n">
        <v>0</v>
      </c>
      <c r="I519" t="n">
        <v>0</v>
      </c>
      <c r="J519" t="n">
        <v>0</v>
      </c>
      <c r="K519" t="n">
        <v>0</v>
      </c>
      <c r="L519" t="n">
        <v>0</v>
      </c>
      <c r="M519" t="n">
        <v>0</v>
      </c>
      <c r="N519" t="n">
        <v>0</v>
      </c>
      <c r="O519" t="n">
        <v>0</v>
      </c>
      <c r="P519" t="n">
        <v>0</v>
      </c>
      <c r="Q519" t="n">
        <v>0</v>
      </c>
      <c r="R519" s="2" t="inlineStr"/>
    </row>
    <row r="520" ht="15" customHeight="1">
      <c r="A520" t="inlineStr">
        <is>
          <t>A 64693-2023</t>
        </is>
      </c>
      <c r="B520" s="1" t="n">
        <v>45281.63850694444</v>
      </c>
      <c r="C520" s="1" t="n">
        <v>45982</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64695-2023</t>
        </is>
      </c>
      <c r="B521" s="1" t="n">
        <v>45281.64099537037</v>
      </c>
      <c r="C521" s="1" t="n">
        <v>45982</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27486-2022</t>
        </is>
      </c>
      <c r="B522" s="1" t="n">
        <v>44742.60846064815</v>
      </c>
      <c r="C522" s="1" t="n">
        <v>45982</v>
      </c>
      <c r="D522" t="inlineStr">
        <is>
          <t>VÄSTMANLANDS LÄN</t>
        </is>
      </c>
      <c r="E522" t="inlineStr">
        <is>
          <t>SALA</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35003-2024</t>
        </is>
      </c>
      <c r="B523" s="1" t="n">
        <v>45527.56790509259</v>
      </c>
      <c r="C523" s="1" t="n">
        <v>45982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48688-2024</t>
        </is>
      </c>
      <c r="B524" s="1" t="n">
        <v>45593.50541666667</v>
      </c>
      <c r="C524" s="1" t="n">
        <v>45982</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15354-2021</t>
        </is>
      </c>
      <c r="B525" s="1" t="n">
        <v>44284</v>
      </c>
      <c r="C525" s="1" t="n">
        <v>45982</v>
      </c>
      <c r="D525" t="inlineStr">
        <is>
          <t>VÄSTMANLANDS LÄN</t>
        </is>
      </c>
      <c r="E525" t="inlineStr">
        <is>
          <t>SALA</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63933-2023</t>
        </is>
      </c>
      <c r="B526" s="1" t="n">
        <v>45278</v>
      </c>
      <c r="C526" s="1" t="n">
        <v>45982</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44746-2024</t>
        </is>
      </c>
      <c r="B527" s="1" t="n">
        <v>45574.59813657407</v>
      </c>
      <c r="C527" s="1" t="n">
        <v>45982</v>
      </c>
      <c r="D527" t="inlineStr">
        <is>
          <t>VÄSTMANLANDS LÄN</t>
        </is>
      </c>
      <c r="E527" t="inlineStr">
        <is>
          <t>SALA</t>
        </is>
      </c>
      <c r="G527" t="n">
        <v>6.7</v>
      </c>
      <c r="H527" t="n">
        <v>0</v>
      </c>
      <c r="I527" t="n">
        <v>0</v>
      </c>
      <c r="J527" t="n">
        <v>0</v>
      </c>
      <c r="K527" t="n">
        <v>0</v>
      </c>
      <c r="L527" t="n">
        <v>0</v>
      </c>
      <c r="M527" t="n">
        <v>0</v>
      </c>
      <c r="N527" t="n">
        <v>0</v>
      </c>
      <c r="O527" t="n">
        <v>0</v>
      </c>
      <c r="P527" t="n">
        <v>0</v>
      </c>
      <c r="Q527" t="n">
        <v>0</v>
      </c>
      <c r="R527" s="2" t="inlineStr"/>
    </row>
    <row r="528" ht="15" customHeight="1">
      <c r="A528" t="inlineStr">
        <is>
          <t>A 33273-2023</t>
        </is>
      </c>
      <c r="B528" s="1" t="n">
        <v>45127</v>
      </c>
      <c r="C528" s="1" t="n">
        <v>45982</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11696-2025</t>
        </is>
      </c>
      <c r="B529" s="1" t="n">
        <v>45727</v>
      </c>
      <c r="C529" s="1" t="n">
        <v>45982</v>
      </c>
      <c r="D529" t="inlineStr">
        <is>
          <t>VÄSTMANLANDS LÄN</t>
        </is>
      </c>
      <c r="E529" t="inlineStr">
        <is>
          <t>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60545-2024</t>
        </is>
      </c>
      <c r="B530" s="1" t="n">
        <v>45643</v>
      </c>
      <c r="C530" s="1" t="n">
        <v>45982</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60547-2024</t>
        </is>
      </c>
      <c r="B531" s="1" t="n">
        <v>45643</v>
      </c>
      <c r="C531" s="1" t="n">
        <v>45982</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1985-2022</t>
        </is>
      </c>
      <c r="B532" s="1" t="n">
        <v>44575</v>
      </c>
      <c r="C532" s="1" t="n">
        <v>45982</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27261-2024</t>
        </is>
      </c>
      <c r="B533" s="1" t="n">
        <v>45471</v>
      </c>
      <c r="C533" s="1" t="n">
        <v>45982</v>
      </c>
      <c r="D533" t="inlineStr">
        <is>
          <t>VÄSTMANLANDS LÄN</t>
        </is>
      </c>
      <c r="E533" t="inlineStr">
        <is>
          <t>SALA</t>
        </is>
      </c>
      <c r="G533" t="n">
        <v>6.1</v>
      </c>
      <c r="H533" t="n">
        <v>0</v>
      </c>
      <c r="I533" t="n">
        <v>0</v>
      </c>
      <c r="J533" t="n">
        <v>0</v>
      </c>
      <c r="K533" t="n">
        <v>0</v>
      </c>
      <c r="L533" t="n">
        <v>0</v>
      </c>
      <c r="M533" t="n">
        <v>0</v>
      </c>
      <c r="N533" t="n">
        <v>0</v>
      </c>
      <c r="O533" t="n">
        <v>0</v>
      </c>
      <c r="P533" t="n">
        <v>0</v>
      </c>
      <c r="Q533" t="n">
        <v>0</v>
      </c>
      <c r="R533" s="2" t="inlineStr"/>
    </row>
    <row r="534" ht="15" customHeight="1">
      <c r="A534" t="inlineStr">
        <is>
          <t>A 35976-2024</t>
        </is>
      </c>
      <c r="B534" s="1" t="n">
        <v>45533.49555555556</v>
      </c>
      <c r="C534" s="1" t="n">
        <v>45982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55556-2023</t>
        </is>
      </c>
      <c r="B535" s="1" t="n">
        <v>45232</v>
      </c>
      <c r="C535" s="1" t="n">
        <v>45982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57650-2024</t>
        </is>
      </c>
      <c r="B536" s="1" t="n">
        <v>45630</v>
      </c>
      <c r="C536" s="1" t="n">
        <v>45982</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50479-2022</t>
        </is>
      </c>
      <c r="B537" s="1" t="n">
        <v>44861</v>
      </c>
      <c r="C537" s="1" t="n">
        <v>45982</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45790-2023</t>
        </is>
      </c>
      <c r="B538" s="1" t="n">
        <v>45195.45958333334</v>
      </c>
      <c r="C538" s="1" t="n">
        <v>45982</v>
      </c>
      <c r="D538" t="inlineStr">
        <is>
          <t>VÄSTMANLANDS LÄN</t>
        </is>
      </c>
      <c r="E538" t="inlineStr">
        <is>
          <t>SALA</t>
        </is>
      </c>
      <c r="G538" t="n">
        <v>5.7</v>
      </c>
      <c r="H538" t="n">
        <v>0</v>
      </c>
      <c r="I538" t="n">
        <v>0</v>
      </c>
      <c r="J538" t="n">
        <v>0</v>
      </c>
      <c r="K538" t="n">
        <v>0</v>
      </c>
      <c r="L538" t="n">
        <v>0</v>
      </c>
      <c r="M538" t="n">
        <v>0</v>
      </c>
      <c r="N538" t="n">
        <v>0</v>
      </c>
      <c r="O538" t="n">
        <v>0</v>
      </c>
      <c r="P538" t="n">
        <v>0</v>
      </c>
      <c r="Q538" t="n">
        <v>0</v>
      </c>
      <c r="R538" s="2" t="inlineStr"/>
    </row>
    <row r="539" ht="15" customHeight="1">
      <c r="A539" t="inlineStr">
        <is>
          <t>A 2928-2024</t>
        </is>
      </c>
      <c r="B539" s="1" t="n">
        <v>45315.59041666667</v>
      </c>
      <c r="C539" s="1" t="n">
        <v>45982</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73673-2021</t>
        </is>
      </c>
      <c r="B540" s="1" t="n">
        <v>44552.46501157407</v>
      </c>
      <c r="C540" s="1" t="n">
        <v>45982</v>
      </c>
      <c r="D540" t="inlineStr">
        <is>
          <t>VÄSTMANLANDS LÄN</t>
        </is>
      </c>
      <c r="E540" t="inlineStr">
        <is>
          <t>SALA</t>
        </is>
      </c>
      <c r="G540" t="n">
        <v>11.4</v>
      </c>
      <c r="H540" t="n">
        <v>0</v>
      </c>
      <c r="I540" t="n">
        <v>0</v>
      </c>
      <c r="J540" t="n">
        <v>0</v>
      </c>
      <c r="K540" t="n">
        <v>0</v>
      </c>
      <c r="L540" t="n">
        <v>0</v>
      </c>
      <c r="M540" t="n">
        <v>0</v>
      </c>
      <c r="N540" t="n">
        <v>0</v>
      </c>
      <c r="O540" t="n">
        <v>0</v>
      </c>
      <c r="P540" t="n">
        <v>0</v>
      </c>
      <c r="Q540" t="n">
        <v>0</v>
      </c>
      <c r="R540" s="2" t="inlineStr"/>
    </row>
    <row r="541" ht="15" customHeight="1">
      <c r="A541" t="inlineStr">
        <is>
          <t>A 40871-2021</t>
        </is>
      </c>
      <c r="B541" s="1" t="n">
        <v>44421</v>
      </c>
      <c r="C541" s="1" t="n">
        <v>45982</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14271-2025</t>
        </is>
      </c>
      <c r="B542" s="1" t="n">
        <v>45740.64129629629</v>
      </c>
      <c r="C542" s="1" t="n">
        <v>45982</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54199-2024</t>
        </is>
      </c>
      <c r="B543" s="1" t="n">
        <v>45616.64703703704</v>
      </c>
      <c r="C543" s="1" t="n">
        <v>45982</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6312-2025</t>
        </is>
      </c>
      <c r="B544" s="1" t="n">
        <v>45698</v>
      </c>
      <c r="C544" s="1" t="n">
        <v>45982</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44857-2023</t>
        </is>
      </c>
      <c r="B545" s="1" t="n">
        <v>45190.58479166667</v>
      </c>
      <c r="C545" s="1" t="n">
        <v>45982</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62654-2022</t>
        </is>
      </c>
      <c r="B546" s="1" t="n">
        <v>44917</v>
      </c>
      <c r="C546" s="1" t="n">
        <v>45982</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43188-2023</t>
        </is>
      </c>
      <c r="B547" s="1" t="n">
        <v>45183</v>
      </c>
      <c r="C547" s="1" t="n">
        <v>45982</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43205-2023</t>
        </is>
      </c>
      <c r="B548" s="1" t="n">
        <v>45183</v>
      </c>
      <c r="C548" s="1" t="n">
        <v>45982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61892-2021</t>
        </is>
      </c>
      <c r="B549" s="1" t="n">
        <v>44502</v>
      </c>
      <c r="C549" s="1" t="n">
        <v>45982</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29213-2022</t>
        </is>
      </c>
      <c r="B550" s="1" t="n">
        <v>44750.57474537037</v>
      </c>
      <c r="C550" s="1" t="n">
        <v>45982</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59483-2022</t>
        </is>
      </c>
      <c r="B551" s="1" t="n">
        <v>44907.45679398148</v>
      </c>
      <c r="C551" s="1" t="n">
        <v>45982</v>
      </c>
      <c r="D551" t="inlineStr">
        <is>
          <t>VÄSTMANLANDS LÄN</t>
        </is>
      </c>
      <c r="E551" t="inlineStr">
        <is>
          <t>SALA</t>
        </is>
      </c>
      <c r="G551" t="n">
        <v>5.2</v>
      </c>
      <c r="H551" t="n">
        <v>0</v>
      </c>
      <c r="I551" t="n">
        <v>0</v>
      </c>
      <c r="J551" t="n">
        <v>0</v>
      </c>
      <c r="K551" t="n">
        <v>0</v>
      </c>
      <c r="L551" t="n">
        <v>0</v>
      </c>
      <c r="M551" t="n">
        <v>0</v>
      </c>
      <c r="N551" t="n">
        <v>0</v>
      </c>
      <c r="O551" t="n">
        <v>0</v>
      </c>
      <c r="P551" t="n">
        <v>0</v>
      </c>
      <c r="Q551" t="n">
        <v>0</v>
      </c>
      <c r="R551" s="2" t="inlineStr"/>
    </row>
    <row r="552" ht="15" customHeight="1">
      <c r="A552" t="inlineStr">
        <is>
          <t>A 16160-2024</t>
        </is>
      </c>
      <c r="B552" s="1" t="n">
        <v>45406</v>
      </c>
      <c r="C552" s="1" t="n">
        <v>45982</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39597-2022</t>
        </is>
      </c>
      <c r="B553" s="1" t="n">
        <v>44818</v>
      </c>
      <c r="C553" s="1" t="n">
        <v>45982</v>
      </c>
      <c r="D553" t="inlineStr">
        <is>
          <t>VÄSTMANLANDS LÄN</t>
        </is>
      </c>
      <c r="E553" t="inlineStr">
        <is>
          <t>SALA</t>
        </is>
      </c>
      <c r="G553" t="n">
        <v>2.3</v>
      </c>
      <c r="H553" t="n">
        <v>0</v>
      </c>
      <c r="I553" t="n">
        <v>0</v>
      </c>
      <c r="J553" t="n">
        <v>0</v>
      </c>
      <c r="K553" t="n">
        <v>0</v>
      </c>
      <c r="L553" t="n">
        <v>0</v>
      </c>
      <c r="M553" t="n">
        <v>0</v>
      </c>
      <c r="N553" t="n">
        <v>0</v>
      </c>
      <c r="O553" t="n">
        <v>0</v>
      </c>
      <c r="P553" t="n">
        <v>0</v>
      </c>
      <c r="Q553" t="n">
        <v>0</v>
      </c>
      <c r="R553" s="2" t="inlineStr"/>
    </row>
    <row r="554" ht="15" customHeight="1">
      <c r="A554" t="inlineStr">
        <is>
          <t>A 22921-2023</t>
        </is>
      </c>
      <c r="B554" s="1" t="n">
        <v>45070</v>
      </c>
      <c r="C554" s="1" t="n">
        <v>45982</v>
      </c>
      <c r="D554" t="inlineStr">
        <is>
          <t>VÄSTMANLANDS LÄN</t>
        </is>
      </c>
      <c r="E554" t="inlineStr">
        <is>
          <t>SALA</t>
        </is>
      </c>
      <c r="G554" t="n">
        <v>1.3</v>
      </c>
      <c r="H554" t="n">
        <v>0</v>
      </c>
      <c r="I554" t="n">
        <v>0</v>
      </c>
      <c r="J554" t="n">
        <v>0</v>
      </c>
      <c r="K554" t="n">
        <v>0</v>
      </c>
      <c r="L554" t="n">
        <v>0</v>
      </c>
      <c r="M554" t="n">
        <v>0</v>
      </c>
      <c r="N554" t="n">
        <v>0</v>
      </c>
      <c r="O554" t="n">
        <v>0</v>
      </c>
      <c r="P554" t="n">
        <v>0</v>
      </c>
      <c r="Q554" t="n">
        <v>0</v>
      </c>
      <c r="R554" s="2" t="inlineStr"/>
    </row>
    <row r="555" ht="15" customHeight="1">
      <c r="A555" t="inlineStr">
        <is>
          <t>A 36858-2023</t>
        </is>
      </c>
      <c r="B555" s="1" t="n">
        <v>45154.55184027777</v>
      </c>
      <c r="C555" s="1" t="n">
        <v>45982</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55024-2023</t>
        </is>
      </c>
      <c r="B556" s="1" t="n">
        <v>45229</v>
      </c>
      <c r="C556" s="1" t="n">
        <v>45982</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55032-2023</t>
        </is>
      </c>
      <c r="B557" s="1" t="n">
        <v>45229</v>
      </c>
      <c r="C557" s="1" t="n">
        <v>45982</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20352-2022</t>
        </is>
      </c>
      <c r="B558" s="1" t="n">
        <v>44699.37318287037</v>
      </c>
      <c r="C558" s="1" t="n">
        <v>45982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5032-2025</t>
        </is>
      </c>
      <c r="B559" s="1" t="n">
        <v>45691</v>
      </c>
      <c r="C559" s="1" t="n">
        <v>45982</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17117-2023</t>
        </is>
      </c>
      <c r="B560" s="1" t="n">
        <v>45034</v>
      </c>
      <c r="C560" s="1" t="n">
        <v>45982</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19243-2025</t>
        </is>
      </c>
      <c r="B561" s="1" t="n">
        <v>45769</v>
      </c>
      <c r="C561" s="1" t="n">
        <v>45982</v>
      </c>
      <c r="D561" t="inlineStr">
        <is>
          <t>VÄSTMANLANDS LÄN</t>
        </is>
      </c>
      <c r="E561" t="inlineStr">
        <is>
          <t>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7166-2025</t>
        </is>
      </c>
      <c r="B562" s="1" t="n">
        <v>45702</v>
      </c>
      <c r="C562" s="1" t="n">
        <v>45982</v>
      </c>
      <c r="D562" t="inlineStr">
        <is>
          <t>VÄSTMANLANDS LÄN</t>
        </is>
      </c>
      <c r="E562" t="inlineStr">
        <is>
          <t>SALA</t>
        </is>
      </c>
      <c r="G562" t="n">
        <v>6.1</v>
      </c>
      <c r="H562" t="n">
        <v>0</v>
      </c>
      <c r="I562" t="n">
        <v>0</v>
      </c>
      <c r="J562" t="n">
        <v>0</v>
      </c>
      <c r="K562" t="n">
        <v>0</v>
      </c>
      <c r="L562" t="n">
        <v>0</v>
      </c>
      <c r="M562" t="n">
        <v>0</v>
      </c>
      <c r="N562" t="n">
        <v>0</v>
      </c>
      <c r="O562" t="n">
        <v>0</v>
      </c>
      <c r="P562" t="n">
        <v>0</v>
      </c>
      <c r="Q562" t="n">
        <v>0</v>
      </c>
      <c r="R562" s="2" t="inlineStr"/>
    </row>
    <row r="563" ht="15" customHeight="1">
      <c r="A563" t="inlineStr">
        <is>
          <t>A 36393-2023</t>
        </is>
      </c>
      <c r="B563" s="1" t="n">
        <v>45152</v>
      </c>
      <c r="C563" s="1" t="n">
        <v>45982</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26416-2023</t>
        </is>
      </c>
      <c r="B564" s="1" t="n">
        <v>45092.38087962963</v>
      </c>
      <c r="C564" s="1" t="n">
        <v>45982</v>
      </c>
      <c r="D564" t="inlineStr">
        <is>
          <t>VÄSTMANLANDS LÄN</t>
        </is>
      </c>
      <c r="E564" t="inlineStr">
        <is>
          <t>SALA</t>
        </is>
      </c>
      <c r="G564" t="n">
        <v>2.9</v>
      </c>
      <c r="H564" t="n">
        <v>0</v>
      </c>
      <c r="I564" t="n">
        <v>0</v>
      </c>
      <c r="J564" t="n">
        <v>0</v>
      </c>
      <c r="K564" t="n">
        <v>0</v>
      </c>
      <c r="L564" t="n">
        <v>0</v>
      </c>
      <c r="M564" t="n">
        <v>0</v>
      </c>
      <c r="N564" t="n">
        <v>0</v>
      </c>
      <c r="O564" t="n">
        <v>0</v>
      </c>
      <c r="P564" t="n">
        <v>0</v>
      </c>
      <c r="Q564" t="n">
        <v>0</v>
      </c>
      <c r="R564" s="2" t="inlineStr"/>
    </row>
    <row r="565" ht="15" customHeight="1">
      <c r="A565" t="inlineStr">
        <is>
          <t>A 66821-2020</t>
        </is>
      </c>
      <c r="B565" s="1" t="n">
        <v>44179.88008101852</v>
      </c>
      <c r="C565" s="1" t="n">
        <v>45982</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28661-2024</t>
        </is>
      </c>
      <c r="B566" s="1" t="n">
        <v>45478</v>
      </c>
      <c r="C566" s="1" t="n">
        <v>45982</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27255-2023</t>
        </is>
      </c>
      <c r="B567" s="1" t="n">
        <v>45096</v>
      </c>
      <c r="C567" s="1" t="n">
        <v>45982</v>
      </c>
      <c r="D567" t="inlineStr">
        <is>
          <t>VÄSTMANLANDS LÄN</t>
        </is>
      </c>
      <c r="E567" t="inlineStr">
        <is>
          <t>SALA</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7197-2025</t>
        </is>
      </c>
      <c r="B568" s="1" t="n">
        <v>45702</v>
      </c>
      <c r="C568" s="1" t="n">
        <v>45982</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13752-2025</t>
        </is>
      </c>
      <c r="B569" s="1" t="n">
        <v>45737.41416666667</v>
      </c>
      <c r="C569" s="1" t="n">
        <v>45982</v>
      </c>
      <c r="D569" t="inlineStr">
        <is>
          <t>VÄSTMANLANDS LÄN</t>
        </is>
      </c>
      <c r="E569" t="inlineStr">
        <is>
          <t>SALA</t>
        </is>
      </c>
      <c r="G569" t="n">
        <v>0.4</v>
      </c>
      <c r="H569" t="n">
        <v>0</v>
      </c>
      <c r="I569" t="n">
        <v>0</v>
      </c>
      <c r="J569" t="n">
        <v>0</v>
      </c>
      <c r="K569" t="n">
        <v>0</v>
      </c>
      <c r="L569" t="n">
        <v>0</v>
      </c>
      <c r="M569" t="n">
        <v>0</v>
      </c>
      <c r="N569" t="n">
        <v>0</v>
      </c>
      <c r="O569" t="n">
        <v>0</v>
      </c>
      <c r="P569" t="n">
        <v>0</v>
      </c>
      <c r="Q569" t="n">
        <v>0</v>
      </c>
      <c r="R569" s="2" t="inlineStr"/>
    </row>
    <row r="570" ht="15" customHeight="1">
      <c r="A570" t="inlineStr">
        <is>
          <t>A 2927-2024</t>
        </is>
      </c>
      <c r="B570" s="1" t="n">
        <v>45315.58989583333</v>
      </c>
      <c r="C570" s="1" t="n">
        <v>45982</v>
      </c>
      <c r="D570" t="inlineStr">
        <is>
          <t>VÄSTMANLANDS LÄN</t>
        </is>
      </c>
      <c r="E570" t="inlineStr">
        <is>
          <t>SALA</t>
        </is>
      </c>
      <c r="G570" t="n">
        <v>2.5</v>
      </c>
      <c r="H570" t="n">
        <v>0</v>
      </c>
      <c r="I570" t="n">
        <v>0</v>
      </c>
      <c r="J570" t="n">
        <v>0</v>
      </c>
      <c r="K570" t="n">
        <v>0</v>
      </c>
      <c r="L570" t="n">
        <v>0</v>
      </c>
      <c r="M570" t="n">
        <v>0</v>
      </c>
      <c r="N570" t="n">
        <v>0</v>
      </c>
      <c r="O570" t="n">
        <v>0</v>
      </c>
      <c r="P570" t="n">
        <v>0</v>
      </c>
      <c r="Q570" t="n">
        <v>0</v>
      </c>
      <c r="R570" s="2" t="inlineStr"/>
    </row>
    <row r="571" ht="15" customHeight="1">
      <c r="A571" t="inlineStr">
        <is>
          <t>A 26854-2024</t>
        </is>
      </c>
      <c r="B571" s="1" t="n">
        <v>45470</v>
      </c>
      <c r="C571" s="1" t="n">
        <v>45982</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48570-2024</t>
        </is>
      </c>
      <c r="B572" s="1" t="n">
        <v>45591</v>
      </c>
      <c r="C572" s="1" t="n">
        <v>45982</v>
      </c>
      <c r="D572" t="inlineStr">
        <is>
          <t>VÄSTMANLANDS LÄN</t>
        </is>
      </c>
      <c r="E572" t="inlineStr">
        <is>
          <t>SALA</t>
        </is>
      </c>
      <c r="G572" t="n">
        <v>3</v>
      </c>
      <c r="H572" t="n">
        <v>0</v>
      </c>
      <c r="I572" t="n">
        <v>0</v>
      </c>
      <c r="J572" t="n">
        <v>0</v>
      </c>
      <c r="K572" t="n">
        <v>0</v>
      </c>
      <c r="L572" t="n">
        <v>0</v>
      </c>
      <c r="M572" t="n">
        <v>0</v>
      </c>
      <c r="N572" t="n">
        <v>0</v>
      </c>
      <c r="O572" t="n">
        <v>0</v>
      </c>
      <c r="P572" t="n">
        <v>0</v>
      </c>
      <c r="Q572" t="n">
        <v>0</v>
      </c>
      <c r="R572" s="2" t="inlineStr"/>
    </row>
    <row r="573" ht="15" customHeight="1">
      <c r="A573" t="inlineStr">
        <is>
          <t>A 10812-2021</t>
        </is>
      </c>
      <c r="B573" s="1" t="n">
        <v>44259</v>
      </c>
      <c r="C573" s="1" t="n">
        <v>45982</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57883-2024</t>
        </is>
      </c>
      <c r="B574" s="1" t="n">
        <v>45630</v>
      </c>
      <c r="C574" s="1" t="n">
        <v>45982</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16769-2024</t>
        </is>
      </c>
      <c r="B575" s="1" t="n">
        <v>45411.38738425926</v>
      </c>
      <c r="C575" s="1" t="n">
        <v>45982</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18877-2023</t>
        </is>
      </c>
      <c r="B576" s="1" t="n">
        <v>45044</v>
      </c>
      <c r="C576" s="1" t="n">
        <v>45982</v>
      </c>
      <c r="D576" t="inlineStr">
        <is>
          <t>VÄSTMANLANDS LÄN</t>
        </is>
      </c>
      <c r="E576" t="inlineStr">
        <is>
          <t>SALA</t>
        </is>
      </c>
      <c r="F576" t="inlineStr">
        <is>
          <t>Kommuner</t>
        </is>
      </c>
      <c r="G576" t="n">
        <v>4.4</v>
      </c>
      <c r="H576" t="n">
        <v>0</v>
      </c>
      <c r="I576" t="n">
        <v>0</v>
      </c>
      <c r="J576" t="n">
        <v>0</v>
      </c>
      <c r="K576" t="n">
        <v>0</v>
      </c>
      <c r="L576" t="n">
        <v>0</v>
      </c>
      <c r="M576" t="n">
        <v>0</v>
      </c>
      <c r="N576" t="n">
        <v>0</v>
      </c>
      <c r="O576" t="n">
        <v>0</v>
      </c>
      <c r="P576" t="n">
        <v>0</v>
      </c>
      <c r="Q576" t="n">
        <v>0</v>
      </c>
      <c r="R576" s="2" t="inlineStr"/>
    </row>
    <row r="577" ht="15" customHeight="1">
      <c r="A577" t="inlineStr">
        <is>
          <t>A 44544-2024</t>
        </is>
      </c>
      <c r="B577" s="1" t="n">
        <v>45574.46119212963</v>
      </c>
      <c r="C577" s="1" t="n">
        <v>45982</v>
      </c>
      <c r="D577" t="inlineStr">
        <is>
          <t>VÄSTMANLANDS LÄN</t>
        </is>
      </c>
      <c r="E577" t="inlineStr">
        <is>
          <t>SALA</t>
        </is>
      </c>
      <c r="G577" t="n">
        <v>3.3</v>
      </c>
      <c r="H577" t="n">
        <v>0</v>
      </c>
      <c r="I577" t="n">
        <v>0</v>
      </c>
      <c r="J577" t="n">
        <v>0</v>
      </c>
      <c r="K577" t="n">
        <v>0</v>
      </c>
      <c r="L577" t="n">
        <v>0</v>
      </c>
      <c r="M577" t="n">
        <v>0</v>
      </c>
      <c r="N577" t="n">
        <v>0</v>
      </c>
      <c r="O577" t="n">
        <v>0</v>
      </c>
      <c r="P577" t="n">
        <v>0</v>
      </c>
      <c r="Q577" t="n">
        <v>0</v>
      </c>
      <c r="R577" s="2" t="inlineStr"/>
    </row>
    <row r="578" ht="15" customHeight="1">
      <c r="A578" t="inlineStr">
        <is>
          <t>A 60379-2022</t>
        </is>
      </c>
      <c r="B578" s="1" t="n">
        <v>44910</v>
      </c>
      <c r="C578" s="1" t="n">
        <v>45982</v>
      </c>
      <c r="D578" t="inlineStr">
        <is>
          <t>VÄSTMANLANDS LÄN</t>
        </is>
      </c>
      <c r="E578" t="inlineStr">
        <is>
          <t>SALA</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56547-2022</t>
        </is>
      </c>
      <c r="B579" s="1" t="n">
        <v>44893.48284722222</v>
      </c>
      <c r="C579" s="1" t="n">
        <v>45982</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29542-2023</t>
        </is>
      </c>
      <c r="B580" s="1" t="n">
        <v>45098</v>
      </c>
      <c r="C580" s="1" t="n">
        <v>45982</v>
      </c>
      <c r="D580" t="inlineStr">
        <is>
          <t>VÄSTMANLANDS LÄN</t>
        </is>
      </c>
      <c r="E580" t="inlineStr">
        <is>
          <t>SALA</t>
        </is>
      </c>
      <c r="G580" t="n">
        <v>4.8</v>
      </c>
      <c r="H580" t="n">
        <v>0</v>
      </c>
      <c r="I580" t="n">
        <v>0</v>
      </c>
      <c r="J580" t="n">
        <v>0</v>
      </c>
      <c r="K580" t="n">
        <v>0</v>
      </c>
      <c r="L580" t="n">
        <v>0</v>
      </c>
      <c r="M580" t="n">
        <v>0</v>
      </c>
      <c r="N580" t="n">
        <v>0</v>
      </c>
      <c r="O580" t="n">
        <v>0</v>
      </c>
      <c r="P580" t="n">
        <v>0</v>
      </c>
      <c r="Q580" t="n">
        <v>0</v>
      </c>
      <c r="R580" s="2" t="inlineStr"/>
    </row>
    <row r="581" ht="15" customHeight="1">
      <c r="A581" t="inlineStr">
        <is>
          <t>A 16638-2023</t>
        </is>
      </c>
      <c r="B581" s="1" t="n">
        <v>45027</v>
      </c>
      <c r="C581" s="1" t="n">
        <v>45982</v>
      </c>
      <c r="D581" t="inlineStr">
        <is>
          <t>VÄSTMANLANDS LÄN</t>
        </is>
      </c>
      <c r="E581" t="inlineStr">
        <is>
          <t>SALA</t>
        </is>
      </c>
      <c r="G581" t="n">
        <v>14.8</v>
      </c>
      <c r="H581" t="n">
        <v>0</v>
      </c>
      <c r="I581" t="n">
        <v>0</v>
      </c>
      <c r="J581" t="n">
        <v>0</v>
      </c>
      <c r="K581" t="n">
        <v>0</v>
      </c>
      <c r="L581" t="n">
        <v>0</v>
      </c>
      <c r="M581" t="n">
        <v>0</v>
      </c>
      <c r="N581" t="n">
        <v>0</v>
      </c>
      <c r="O581" t="n">
        <v>0</v>
      </c>
      <c r="P581" t="n">
        <v>0</v>
      </c>
      <c r="Q581" t="n">
        <v>0</v>
      </c>
      <c r="R581" s="2" t="inlineStr"/>
    </row>
    <row r="582" ht="15" customHeight="1">
      <c r="A582" t="inlineStr">
        <is>
          <t>A 37190-2024</t>
        </is>
      </c>
      <c r="B582" s="1" t="n">
        <v>45539</v>
      </c>
      <c r="C582" s="1" t="n">
        <v>45982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23222-2023</t>
        </is>
      </c>
      <c r="B583" s="1" t="n">
        <v>45075</v>
      </c>
      <c r="C583" s="1" t="n">
        <v>45982</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23224-2023</t>
        </is>
      </c>
      <c r="B584" s="1" t="n">
        <v>45075.65040509259</v>
      </c>
      <c r="C584" s="1" t="n">
        <v>45982</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22026-2021</t>
        </is>
      </c>
      <c r="B585" s="1" t="n">
        <v>44323</v>
      </c>
      <c r="C585" s="1" t="n">
        <v>45982</v>
      </c>
      <c r="D585" t="inlineStr">
        <is>
          <t>VÄSTMANLANDS LÄN</t>
        </is>
      </c>
      <c r="E585" t="inlineStr">
        <is>
          <t>SALA</t>
        </is>
      </c>
      <c r="G585" t="n">
        <v>2.9</v>
      </c>
      <c r="H585" t="n">
        <v>0</v>
      </c>
      <c r="I585" t="n">
        <v>0</v>
      </c>
      <c r="J585" t="n">
        <v>0</v>
      </c>
      <c r="K585" t="n">
        <v>0</v>
      </c>
      <c r="L585" t="n">
        <v>0</v>
      </c>
      <c r="M585" t="n">
        <v>0</v>
      </c>
      <c r="N585" t="n">
        <v>0</v>
      </c>
      <c r="O585" t="n">
        <v>0</v>
      </c>
      <c r="P585" t="n">
        <v>0</v>
      </c>
      <c r="Q585" t="n">
        <v>0</v>
      </c>
      <c r="R585" s="2" t="inlineStr"/>
    </row>
    <row r="586" ht="15" customHeight="1">
      <c r="A586" t="inlineStr">
        <is>
          <t>A 68864-2021</t>
        </is>
      </c>
      <c r="B586" s="1" t="n">
        <v>44530</v>
      </c>
      <c r="C586" s="1" t="n">
        <v>45982</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19065-2022</t>
        </is>
      </c>
      <c r="B587" s="1" t="n">
        <v>44691.44309027777</v>
      </c>
      <c r="C587" s="1" t="n">
        <v>45982</v>
      </c>
      <c r="D587" t="inlineStr">
        <is>
          <t>VÄSTMANLANDS LÄN</t>
        </is>
      </c>
      <c r="E587" t="inlineStr">
        <is>
          <t>SALA</t>
        </is>
      </c>
      <c r="G587" t="n">
        <v>3.4</v>
      </c>
      <c r="H587" t="n">
        <v>0</v>
      </c>
      <c r="I587" t="n">
        <v>0</v>
      </c>
      <c r="J587" t="n">
        <v>0</v>
      </c>
      <c r="K587" t="n">
        <v>0</v>
      </c>
      <c r="L587" t="n">
        <v>0</v>
      </c>
      <c r="M587" t="n">
        <v>0</v>
      </c>
      <c r="N587" t="n">
        <v>0</v>
      </c>
      <c r="O587" t="n">
        <v>0</v>
      </c>
      <c r="P587" t="n">
        <v>0</v>
      </c>
      <c r="Q587" t="n">
        <v>0</v>
      </c>
      <c r="R587" s="2" t="inlineStr"/>
    </row>
    <row r="588" ht="15" customHeight="1">
      <c r="A588" t="inlineStr">
        <is>
          <t>A 37612-2024</t>
        </is>
      </c>
      <c r="B588" s="1" t="n">
        <v>45541</v>
      </c>
      <c r="C588" s="1" t="n">
        <v>45982</v>
      </c>
      <c r="D588" t="inlineStr">
        <is>
          <t>VÄSTMANLANDS LÄN</t>
        </is>
      </c>
      <c r="E588" t="inlineStr">
        <is>
          <t>SALA</t>
        </is>
      </c>
      <c r="G588" t="n">
        <v>2.2</v>
      </c>
      <c r="H588" t="n">
        <v>0</v>
      </c>
      <c r="I588" t="n">
        <v>0</v>
      </c>
      <c r="J588" t="n">
        <v>0</v>
      </c>
      <c r="K588" t="n">
        <v>0</v>
      </c>
      <c r="L588" t="n">
        <v>0</v>
      </c>
      <c r="M588" t="n">
        <v>0</v>
      </c>
      <c r="N588" t="n">
        <v>0</v>
      </c>
      <c r="O588" t="n">
        <v>0</v>
      </c>
      <c r="P588" t="n">
        <v>0</v>
      </c>
      <c r="Q588" t="n">
        <v>0</v>
      </c>
      <c r="R588" s="2" t="inlineStr"/>
    </row>
    <row r="589" ht="15" customHeight="1">
      <c r="A589" t="inlineStr">
        <is>
          <t>A 37615-2024</t>
        </is>
      </c>
      <c r="B589" s="1" t="n">
        <v>45541.50673611111</v>
      </c>
      <c r="C589" s="1" t="n">
        <v>45982</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18158-2025</t>
        </is>
      </c>
      <c r="B590" s="1" t="n">
        <v>45761</v>
      </c>
      <c r="C590" s="1" t="n">
        <v>45982</v>
      </c>
      <c r="D590" t="inlineStr">
        <is>
          <t>VÄSTMANLANDS LÄN</t>
        </is>
      </c>
      <c r="E590" t="inlineStr">
        <is>
          <t>SALA</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9962-2025</t>
        </is>
      </c>
      <c r="B591" s="1" t="n">
        <v>45719.37072916667</v>
      </c>
      <c r="C591" s="1" t="n">
        <v>45982</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37602-2024</t>
        </is>
      </c>
      <c r="B592" s="1" t="n">
        <v>45541</v>
      </c>
      <c r="C592" s="1" t="n">
        <v>45982</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18762-2024</t>
        </is>
      </c>
      <c r="B593" s="1" t="n">
        <v>45426.55240740741</v>
      </c>
      <c r="C593" s="1" t="n">
        <v>45982</v>
      </c>
      <c r="D593" t="inlineStr">
        <is>
          <t>VÄSTMANLANDS LÄN</t>
        </is>
      </c>
      <c r="E593" t="inlineStr">
        <is>
          <t>SALA</t>
        </is>
      </c>
      <c r="G593" t="n">
        <v>6.2</v>
      </c>
      <c r="H593" t="n">
        <v>0</v>
      </c>
      <c r="I593" t="n">
        <v>0</v>
      </c>
      <c r="J593" t="n">
        <v>0</v>
      </c>
      <c r="K593" t="n">
        <v>0</v>
      </c>
      <c r="L593" t="n">
        <v>0</v>
      </c>
      <c r="M593" t="n">
        <v>0</v>
      </c>
      <c r="N593" t="n">
        <v>0</v>
      </c>
      <c r="O593" t="n">
        <v>0</v>
      </c>
      <c r="P593" t="n">
        <v>0</v>
      </c>
      <c r="Q593" t="n">
        <v>0</v>
      </c>
      <c r="R593" s="2" t="inlineStr"/>
    </row>
    <row r="594" ht="15" customHeight="1">
      <c r="A594" t="inlineStr">
        <is>
          <t>A 39011-2023</t>
        </is>
      </c>
      <c r="B594" s="1" t="n">
        <v>45162</v>
      </c>
      <c r="C594" s="1" t="n">
        <v>45982</v>
      </c>
      <c r="D594" t="inlineStr">
        <is>
          <t>VÄSTMANLANDS LÄN</t>
        </is>
      </c>
      <c r="E594" t="inlineStr">
        <is>
          <t>SALA</t>
        </is>
      </c>
      <c r="G594" t="n">
        <v>1.6</v>
      </c>
      <c r="H594" t="n">
        <v>0</v>
      </c>
      <c r="I594" t="n">
        <v>0</v>
      </c>
      <c r="J594" t="n">
        <v>0</v>
      </c>
      <c r="K594" t="n">
        <v>0</v>
      </c>
      <c r="L594" t="n">
        <v>0</v>
      </c>
      <c r="M594" t="n">
        <v>0</v>
      </c>
      <c r="N594" t="n">
        <v>0</v>
      </c>
      <c r="O594" t="n">
        <v>0</v>
      </c>
      <c r="P594" t="n">
        <v>0</v>
      </c>
      <c r="Q594" t="n">
        <v>0</v>
      </c>
      <c r="R594" s="2" t="inlineStr"/>
    </row>
    <row r="595" ht="15" customHeight="1">
      <c r="A595" t="inlineStr">
        <is>
          <t>A 46352-2023</t>
        </is>
      </c>
      <c r="B595" s="1" t="n">
        <v>45192</v>
      </c>
      <c r="C595" s="1" t="n">
        <v>45982</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43751-2021</t>
        </is>
      </c>
      <c r="B596" s="1" t="n">
        <v>44433</v>
      </c>
      <c r="C596" s="1" t="n">
        <v>45982</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1128-2025</t>
        </is>
      </c>
      <c r="B597" s="1" t="n">
        <v>45666.68469907407</v>
      </c>
      <c r="C597" s="1" t="n">
        <v>45982</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31950-2023</t>
        </is>
      </c>
      <c r="B598" s="1" t="n">
        <v>45107</v>
      </c>
      <c r="C598" s="1" t="n">
        <v>45982</v>
      </c>
      <c r="D598" t="inlineStr">
        <is>
          <t>VÄSTMANLANDS LÄN</t>
        </is>
      </c>
      <c r="E598" t="inlineStr">
        <is>
          <t>SALA</t>
        </is>
      </c>
      <c r="G598" t="n">
        <v>0.1</v>
      </c>
      <c r="H598" t="n">
        <v>0</v>
      </c>
      <c r="I598" t="n">
        <v>0</v>
      </c>
      <c r="J598" t="n">
        <v>0</v>
      </c>
      <c r="K598" t="n">
        <v>0</v>
      </c>
      <c r="L598" t="n">
        <v>0</v>
      </c>
      <c r="M598" t="n">
        <v>0</v>
      </c>
      <c r="N598" t="n">
        <v>0</v>
      </c>
      <c r="O598" t="n">
        <v>0</v>
      </c>
      <c r="P598" t="n">
        <v>0</v>
      </c>
      <c r="Q598" t="n">
        <v>0</v>
      </c>
      <c r="R598" s="2" t="inlineStr"/>
    </row>
    <row r="599" ht="15" customHeight="1">
      <c r="A599" t="inlineStr">
        <is>
          <t>A 56540-2024</t>
        </is>
      </c>
      <c r="B599" s="1" t="n">
        <v>45625</v>
      </c>
      <c r="C599" s="1" t="n">
        <v>45982</v>
      </c>
      <c r="D599" t="inlineStr">
        <is>
          <t>VÄSTMANLANDS LÄN</t>
        </is>
      </c>
      <c r="E599" t="inlineStr">
        <is>
          <t>SALA</t>
        </is>
      </c>
      <c r="G599" t="n">
        <v>1.8</v>
      </c>
      <c r="H599" t="n">
        <v>0</v>
      </c>
      <c r="I599" t="n">
        <v>0</v>
      </c>
      <c r="J599" t="n">
        <v>0</v>
      </c>
      <c r="K599" t="n">
        <v>0</v>
      </c>
      <c r="L599" t="n">
        <v>0</v>
      </c>
      <c r="M599" t="n">
        <v>0</v>
      </c>
      <c r="N599" t="n">
        <v>0</v>
      </c>
      <c r="O599" t="n">
        <v>0</v>
      </c>
      <c r="P599" t="n">
        <v>0</v>
      </c>
      <c r="Q599" t="n">
        <v>0</v>
      </c>
      <c r="R599" s="2" t="inlineStr"/>
    </row>
    <row r="600" ht="15" customHeight="1">
      <c r="A600" t="inlineStr">
        <is>
          <t>A 6116-2023</t>
        </is>
      </c>
      <c r="B600" s="1" t="n">
        <v>44964</v>
      </c>
      <c r="C600" s="1" t="n">
        <v>45982</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25860-2024</t>
        </is>
      </c>
      <c r="B601" s="1" t="n">
        <v>45467.46278935186</v>
      </c>
      <c r="C601" s="1" t="n">
        <v>45982</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10154-2021</t>
        </is>
      </c>
      <c r="B602" s="1" t="n">
        <v>44256</v>
      </c>
      <c r="C602" s="1" t="n">
        <v>45982</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56916-2022</t>
        </is>
      </c>
      <c r="B603" s="1" t="n">
        <v>44888</v>
      </c>
      <c r="C603" s="1" t="n">
        <v>45982</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71471-2021</t>
        </is>
      </c>
      <c r="B604" s="1" t="n">
        <v>44540.53421296296</v>
      </c>
      <c r="C604" s="1" t="n">
        <v>45982</v>
      </c>
      <c r="D604" t="inlineStr">
        <is>
          <t>VÄSTMANLANDS LÄN</t>
        </is>
      </c>
      <c r="E604" t="inlineStr">
        <is>
          <t>SALA</t>
        </is>
      </c>
      <c r="G604" t="n">
        <v>13</v>
      </c>
      <c r="H604" t="n">
        <v>0</v>
      </c>
      <c r="I604" t="n">
        <v>0</v>
      </c>
      <c r="J604" t="n">
        <v>0</v>
      </c>
      <c r="K604" t="n">
        <v>0</v>
      </c>
      <c r="L604" t="n">
        <v>0</v>
      </c>
      <c r="M604" t="n">
        <v>0</v>
      </c>
      <c r="N604" t="n">
        <v>0</v>
      </c>
      <c r="O604" t="n">
        <v>0</v>
      </c>
      <c r="P604" t="n">
        <v>0</v>
      </c>
      <c r="Q604" t="n">
        <v>0</v>
      </c>
      <c r="R604" s="2" t="inlineStr"/>
    </row>
    <row r="605" ht="15" customHeight="1">
      <c r="A605" t="inlineStr">
        <is>
          <t>A 13987-2023</t>
        </is>
      </c>
      <c r="B605" s="1" t="n">
        <v>45007</v>
      </c>
      <c r="C605" s="1" t="n">
        <v>45982</v>
      </c>
      <c r="D605" t="inlineStr">
        <is>
          <t>VÄSTMANLANDS LÄN</t>
        </is>
      </c>
      <c r="E605" t="inlineStr">
        <is>
          <t>SALA</t>
        </is>
      </c>
      <c r="G605" t="n">
        <v>3.2</v>
      </c>
      <c r="H605" t="n">
        <v>0</v>
      </c>
      <c r="I605" t="n">
        <v>0</v>
      </c>
      <c r="J605" t="n">
        <v>0</v>
      </c>
      <c r="K605" t="n">
        <v>0</v>
      </c>
      <c r="L605" t="n">
        <v>0</v>
      </c>
      <c r="M605" t="n">
        <v>0</v>
      </c>
      <c r="N605" t="n">
        <v>0</v>
      </c>
      <c r="O605" t="n">
        <v>0</v>
      </c>
      <c r="P605" t="n">
        <v>0</v>
      </c>
      <c r="Q605" t="n">
        <v>0</v>
      </c>
      <c r="R605" s="2" t="inlineStr"/>
    </row>
    <row r="606" ht="15" customHeight="1">
      <c r="A606" t="inlineStr">
        <is>
          <t>A 13990-2023</t>
        </is>
      </c>
      <c r="B606" s="1" t="n">
        <v>45007</v>
      </c>
      <c r="C606" s="1" t="n">
        <v>45982</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1993-2022</t>
        </is>
      </c>
      <c r="B607" s="1" t="n">
        <v>44575</v>
      </c>
      <c r="C607" s="1" t="n">
        <v>45982</v>
      </c>
      <c r="D607" t="inlineStr">
        <is>
          <t>VÄSTMANLANDS LÄN</t>
        </is>
      </c>
      <c r="E607" t="inlineStr">
        <is>
          <t>SALA</t>
        </is>
      </c>
      <c r="G607" t="n">
        <v>1.6</v>
      </c>
      <c r="H607" t="n">
        <v>0</v>
      </c>
      <c r="I607" t="n">
        <v>0</v>
      </c>
      <c r="J607" t="n">
        <v>0</v>
      </c>
      <c r="K607" t="n">
        <v>0</v>
      </c>
      <c r="L607" t="n">
        <v>0</v>
      </c>
      <c r="M607" t="n">
        <v>0</v>
      </c>
      <c r="N607" t="n">
        <v>0</v>
      </c>
      <c r="O607" t="n">
        <v>0</v>
      </c>
      <c r="P607" t="n">
        <v>0</v>
      </c>
      <c r="Q607" t="n">
        <v>0</v>
      </c>
      <c r="R607" s="2" t="inlineStr"/>
    </row>
    <row r="608" ht="15" customHeight="1">
      <c r="A608" t="inlineStr">
        <is>
          <t>A 17051-2025</t>
        </is>
      </c>
      <c r="B608" s="1" t="n">
        <v>45755</v>
      </c>
      <c r="C608" s="1" t="n">
        <v>45982</v>
      </c>
      <c r="D608" t="inlineStr">
        <is>
          <t>VÄSTMANLANDS LÄN</t>
        </is>
      </c>
      <c r="E608" t="inlineStr">
        <is>
          <t>SALA</t>
        </is>
      </c>
      <c r="G608" t="n">
        <v>2.9</v>
      </c>
      <c r="H608" t="n">
        <v>0</v>
      </c>
      <c r="I608" t="n">
        <v>0</v>
      </c>
      <c r="J608" t="n">
        <v>0</v>
      </c>
      <c r="K608" t="n">
        <v>0</v>
      </c>
      <c r="L608" t="n">
        <v>0</v>
      </c>
      <c r="M608" t="n">
        <v>0</v>
      </c>
      <c r="N608" t="n">
        <v>0</v>
      </c>
      <c r="O608" t="n">
        <v>0</v>
      </c>
      <c r="P608" t="n">
        <v>0</v>
      </c>
      <c r="Q608" t="n">
        <v>0</v>
      </c>
      <c r="R608" s="2" t="inlineStr"/>
    </row>
    <row r="609" ht="15" customHeight="1">
      <c r="A609" t="inlineStr">
        <is>
          <t>A 43509-2021</t>
        </is>
      </c>
      <c r="B609" s="1" t="n">
        <v>44433</v>
      </c>
      <c r="C609" s="1" t="n">
        <v>45982</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54959-2024</t>
        </is>
      </c>
      <c r="B610" s="1" t="n">
        <v>45619</v>
      </c>
      <c r="C610" s="1" t="n">
        <v>45982</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56964-2023</t>
        </is>
      </c>
      <c r="B611" s="1" t="n">
        <v>45244.63140046296</v>
      </c>
      <c r="C611" s="1" t="n">
        <v>45982</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37337-2024</t>
        </is>
      </c>
      <c r="B612" s="1" t="n">
        <v>45540</v>
      </c>
      <c r="C612" s="1" t="n">
        <v>45982</v>
      </c>
      <c r="D612" t="inlineStr">
        <is>
          <t>VÄSTMANLANDS LÄN</t>
        </is>
      </c>
      <c r="E612" t="inlineStr">
        <is>
          <t>SALA</t>
        </is>
      </c>
      <c r="G612" t="n">
        <v>6.5</v>
      </c>
      <c r="H612" t="n">
        <v>0</v>
      </c>
      <c r="I612" t="n">
        <v>0</v>
      </c>
      <c r="J612" t="n">
        <v>0</v>
      </c>
      <c r="K612" t="n">
        <v>0</v>
      </c>
      <c r="L612" t="n">
        <v>0</v>
      </c>
      <c r="M612" t="n">
        <v>0</v>
      </c>
      <c r="N612" t="n">
        <v>0</v>
      </c>
      <c r="O612" t="n">
        <v>0</v>
      </c>
      <c r="P612" t="n">
        <v>0</v>
      </c>
      <c r="Q612" t="n">
        <v>0</v>
      </c>
      <c r="R612" s="2" t="inlineStr"/>
    </row>
    <row r="613" ht="15" customHeight="1">
      <c r="A613" t="inlineStr">
        <is>
          <t>A 17120-2023</t>
        </is>
      </c>
      <c r="B613" s="1" t="n">
        <v>45034</v>
      </c>
      <c r="C613" s="1" t="n">
        <v>45982</v>
      </c>
      <c r="D613" t="inlineStr">
        <is>
          <t>VÄSTMANLANDS LÄN</t>
        </is>
      </c>
      <c r="E613" t="inlineStr">
        <is>
          <t>SALA</t>
        </is>
      </c>
      <c r="G613" t="n">
        <v>0.1</v>
      </c>
      <c r="H613" t="n">
        <v>0</v>
      </c>
      <c r="I613" t="n">
        <v>0</v>
      </c>
      <c r="J613" t="n">
        <v>0</v>
      </c>
      <c r="K613" t="n">
        <v>0</v>
      </c>
      <c r="L613" t="n">
        <v>0</v>
      </c>
      <c r="M613" t="n">
        <v>0</v>
      </c>
      <c r="N613" t="n">
        <v>0</v>
      </c>
      <c r="O613" t="n">
        <v>0</v>
      </c>
      <c r="P613" t="n">
        <v>0</v>
      </c>
      <c r="Q613" t="n">
        <v>0</v>
      </c>
      <c r="R613" s="2" t="inlineStr"/>
    </row>
    <row r="614" ht="15" customHeight="1">
      <c r="A614" t="inlineStr">
        <is>
          <t>A 34494-2023</t>
        </is>
      </c>
      <c r="B614" s="1" t="n">
        <v>45133</v>
      </c>
      <c r="C614" s="1" t="n">
        <v>45982</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10579-2022</t>
        </is>
      </c>
      <c r="B615" s="1" t="n">
        <v>44624</v>
      </c>
      <c r="C615" s="1" t="n">
        <v>45982</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9335-2022</t>
        </is>
      </c>
      <c r="B616" s="1" t="n">
        <v>44616.56579861111</v>
      </c>
      <c r="C616" s="1" t="n">
        <v>45982</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45313-2024</t>
        </is>
      </c>
      <c r="B617" s="1" t="n">
        <v>45576</v>
      </c>
      <c r="C617" s="1" t="n">
        <v>45982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23119-2022</t>
        </is>
      </c>
      <c r="B618" s="1" t="n">
        <v>44719.56697916667</v>
      </c>
      <c r="C618" s="1" t="n">
        <v>45982</v>
      </c>
      <c r="D618" t="inlineStr">
        <is>
          <t>VÄSTMANLANDS LÄN</t>
        </is>
      </c>
      <c r="E618" t="inlineStr">
        <is>
          <t>SALA</t>
        </is>
      </c>
      <c r="G618" t="n">
        <v>7</v>
      </c>
      <c r="H618" t="n">
        <v>0</v>
      </c>
      <c r="I618" t="n">
        <v>0</v>
      </c>
      <c r="J618" t="n">
        <v>0</v>
      </c>
      <c r="K618" t="n">
        <v>0</v>
      </c>
      <c r="L618" t="n">
        <v>0</v>
      </c>
      <c r="M618" t="n">
        <v>0</v>
      </c>
      <c r="N618" t="n">
        <v>0</v>
      </c>
      <c r="O618" t="n">
        <v>0</v>
      </c>
      <c r="P618" t="n">
        <v>0</v>
      </c>
      <c r="Q618" t="n">
        <v>0</v>
      </c>
      <c r="R618" s="2" t="inlineStr"/>
    </row>
    <row r="619" ht="15" customHeight="1">
      <c r="A619" t="inlineStr">
        <is>
          <t>A 1196-2023</t>
        </is>
      </c>
      <c r="B619" s="1" t="n">
        <v>44935.82290509259</v>
      </c>
      <c r="C619" s="1" t="n">
        <v>45982</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52503-2024</t>
        </is>
      </c>
      <c r="B620" s="1" t="n">
        <v>45609.58806712963</v>
      </c>
      <c r="C620" s="1" t="n">
        <v>45982</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7953-2024</t>
        </is>
      </c>
      <c r="B621" s="1" t="n">
        <v>45350</v>
      </c>
      <c r="C621" s="1" t="n">
        <v>45982</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30028-2024</t>
        </is>
      </c>
      <c r="B622" s="1" t="n">
        <v>45485</v>
      </c>
      <c r="C622" s="1" t="n">
        <v>45982</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7950-2025</t>
        </is>
      </c>
      <c r="B623" s="1" t="n">
        <v>45707.41799768519</v>
      </c>
      <c r="C623" s="1" t="n">
        <v>45982</v>
      </c>
      <c r="D623" t="inlineStr">
        <is>
          <t>VÄSTMANLANDS LÄN</t>
        </is>
      </c>
      <c r="E623" t="inlineStr">
        <is>
          <t>SALA</t>
        </is>
      </c>
      <c r="G623" t="n">
        <v>3.2</v>
      </c>
      <c r="H623" t="n">
        <v>0</v>
      </c>
      <c r="I623" t="n">
        <v>0</v>
      </c>
      <c r="J623" t="n">
        <v>0</v>
      </c>
      <c r="K623" t="n">
        <v>0</v>
      </c>
      <c r="L623" t="n">
        <v>0</v>
      </c>
      <c r="M623" t="n">
        <v>0</v>
      </c>
      <c r="N623" t="n">
        <v>0</v>
      </c>
      <c r="O623" t="n">
        <v>0</v>
      </c>
      <c r="P623" t="n">
        <v>0</v>
      </c>
      <c r="Q623" t="n">
        <v>0</v>
      </c>
      <c r="R623" s="2" t="inlineStr"/>
    </row>
    <row r="624" ht="15" customHeight="1">
      <c r="A624" t="inlineStr">
        <is>
          <t>A 27657-2023</t>
        </is>
      </c>
      <c r="B624" s="1" t="n">
        <v>45097.76631944445</v>
      </c>
      <c r="C624" s="1" t="n">
        <v>45982</v>
      </c>
      <c r="D624" t="inlineStr">
        <is>
          <t>VÄSTMANLANDS LÄN</t>
        </is>
      </c>
      <c r="E624" t="inlineStr">
        <is>
          <t>SALA</t>
        </is>
      </c>
      <c r="G624" t="n">
        <v>0.1</v>
      </c>
      <c r="H624" t="n">
        <v>0</v>
      </c>
      <c r="I624" t="n">
        <v>0</v>
      </c>
      <c r="J624" t="n">
        <v>0</v>
      </c>
      <c r="K624" t="n">
        <v>0</v>
      </c>
      <c r="L624" t="n">
        <v>0</v>
      </c>
      <c r="M624" t="n">
        <v>0</v>
      </c>
      <c r="N624" t="n">
        <v>0</v>
      </c>
      <c r="O624" t="n">
        <v>0</v>
      </c>
      <c r="P624" t="n">
        <v>0</v>
      </c>
      <c r="Q624" t="n">
        <v>0</v>
      </c>
      <c r="R624" s="2" t="inlineStr"/>
    </row>
    <row r="625" ht="15" customHeight="1">
      <c r="A625" t="inlineStr">
        <is>
          <t>A 13855-2023</t>
        </is>
      </c>
      <c r="B625" s="1" t="n">
        <v>45007</v>
      </c>
      <c r="C625" s="1" t="n">
        <v>45982</v>
      </c>
      <c r="D625" t="inlineStr">
        <is>
          <t>VÄSTMANLANDS LÄN</t>
        </is>
      </c>
      <c r="E625" t="inlineStr">
        <is>
          <t>SALA</t>
        </is>
      </c>
      <c r="G625" t="n">
        <v>2.9</v>
      </c>
      <c r="H625" t="n">
        <v>0</v>
      </c>
      <c r="I625" t="n">
        <v>0</v>
      </c>
      <c r="J625" t="n">
        <v>0</v>
      </c>
      <c r="K625" t="n">
        <v>0</v>
      </c>
      <c r="L625" t="n">
        <v>0</v>
      </c>
      <c r="M625" t="n">
        <v>0</v>
      </c>
      <c r="N625" t="n">
        <v>0</v>
      </c>
      <c r="O625" t="n">
        <v>0</v>
      </c>
      <c r="P625" t="n">
        <v>0</v>
      </c>
      <c r="Q625" t="n">
        <v>0</v>
      </c>
      <c r="R625" s="2" t="inlineStr"/>
    </row>
    <row r="626" ht="15" customHeight="1">
      <c r="A626" t="inlineStr">
        <is>
          <t>A 33309-2022</t>
        </is>
      </c>
      <c r="B626" s="1" t="n">
        <v>44788.40986111111</v>
      </c>
      <c r="C626" s="1" t="n">
        <v>45982</v>
      </c>
      <c r="D626" t="inlineStr">
        <is>
          <t>VÄSTMANLANDS LÄN</t>
        </is>
      </c>
      <c r="E626" t="inlineStr">
        <is>
          <t>SALA</t>
        </is>
      </c>
      <c r="G626" t="n">
        <v>2.6</v>
      </c>
      <c r="H626" t="n">
        <v>0</v>
      </c>
      <c r="I626" t="n">
        <v>0</v>
      </c>
      <c r="J626" t="n">
        <v>0</v>
      </c>
      <c r="K626" t="n">
        <v>0</v>
      </c>
      <c r="L626" t="n">
        <v>0</v>
      </c>
      <c r="M626" t="n">
        <v>0</v>
      </c>
      <c r="N626" t="n">
        <v>0</v>
      </c>
      <c r="O626" t="n">
        <v>0</v>
      </c>
      <c r="P626" t="n">
        <v>0</v>
      </c>
      <c r="Q626" t="n">
        <v>0</v>
      </c>
      <c r="R626" s="2" t="inlineStr"/>
    </row>
    <row r="627" ht="15" customHeight="1">
      <c r="A627" t="inlineStr">
        <is>
          <t>A 47909-2022</t>
        </is>
      </c>
      <c r="B627" s="1" t="n">
        <v>44855</v>
      </c>
      <c r="C627" s="1" t="n">
        <v>45982</v>
      </c>
      <c r="D627" t="inlineStr">
        <is>
          <t>VÄSTMANLANDS LÄN</t>
        </is>
      </c>
      <c r="E627" t="inlineStr">
        <is>
          <t>SALA</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15272-2025</t>
        </is>
      </c>
      <c r="B628" s="1" t="n">
        <v>45744</v>
      </c>
      <c r="C628" s="1" t="n">
        <v>45982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11183-2023</t>
        </is>
      </c>
      <c r="B629" s="1" t="n">
        <v>44992.57782407408</v>
      </c>
      <c r="C629" s="1" t="n">
        <v>45982</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11190-2023</t>
        </is>
      </c>
      <c r="B630" s="1" t="n">
        <v>44992</v>
      </c>
      <c r="C630" s="1" t="n">
        <v>45982</v>
      </c>
      <c r="D630" t="inlineStr">
        <is>
          <t>VÄSTMANLANDS LÄN</t>
        </is>
      </c>
      <c r="E630" t="inlineStr">
        <is>
          <t>SALA</t>
        </is>
      </c>
      <c r="G630" t="n">
        <v>1</v>
      </c>
      <c r="H630" t="n">
        <v>0</v>
      </c>
      <c r="I630" t="n">
        <v>0</v>
      </c>
      <c r="J630" t="n">
        <v>0</v>
      </c>
      <c r="K630" t="n">
        <v>0</v>
      </c>
      <c r="L630" t="n">
        <v>0</v>
      </c>
      <c r="M630" t="n">
        <v>0</v>
      </c>
      <c r="N630" t="n">
        <v>0</v>
      </c>
      <c r="O630" t="n">
        <v>0</v>
      </c>
      <c r="P630" t="n">
        <v>0</v>
      </c>
      <c r="Q630" t="n">
        <v>0</v>
      </c>
      <c r="R630" s="2" t="inlineStr"/>
    </row>
    <row r="631" ht="15" customHeight="1">
      <c r="A631" t="inlineStr">
        <is>
          <t>A 53838-2022</t>
        </is>
      </c>
      <c r="B631" s="1" t="n">
        <v>44880.59363425926</v>
      </c>
      <c r="C631" s="1" t="n">
        <v>45982</v>
      </c>
      <c r="D631" t="inlineStr">
        <is>
          <t>VÄSTMANLANDS LÄN</t>
        </is>
      </c>
      <c r="E631" t="inlineStr">
        <is>
          <t>SALA</t>
        </is>
      </c>
      <c r="G631" t="n">
        <v>3.9</v>
      </c>
      <c r="H631" t="n">
        <v>0</v>
      </c>
      <c r="I631" t="n">
        <v>0</v>
      </c>
      <c r="J631" t="n">
        <v>0</v>
      </c>
      <c r="K631" t="n">
        <v>0</v>
      </c>
      <c r="L631" t="n">
        <v>0</v>
      </c>
      <c r="M631" t="n">
        <v>0</v>
      </c>
      <c r="N631" t="n">
        <v>0</v>
      </c>
      <c r="O631" t="n">
        <v>0</v>
      </c>
      <c r="P631" t="n">
        <v>0</v>
      </c>
      <c r="Q631" t="n">
        <v>0</v>
      </c>
      <c r="R631" s="2" t="inlineStr"/>
    </row>
    <row r="632" ht="15" customHeight="1">
      <c r="A632" t="inlineStr">
        <is>
          <t>A 6088-2021</t>
        </is>
      </c>
      <c r="B632" s="1" t="n">
        <v>44232</v>
      </c>
      <c r="C632" s="1" t="n">
        <v>45982</v>
      </c>
      <c r="D632" t="inlineStr">
        <is>
          <t>VÄSTMANLANDS LÄN</t>
        </is>
      </c>
      <c r="E632" t="inlineStr">
        <is>
          <t>SALA</t>
        </is>
      </c>
      <c r="G632" t="n">
        <v>0.2</v>
      </c>
      <c r="H632" t="n">
        <v>0</v>
      </c>
      <c r="I632" t="n">
        <v>0</v>
      </c>
      <c r="J632" t="n">
        <v>0</v>
      </c>
      <c r="K632" t="n">
        <v>0</v>
      </c>
      <c r="L632" t="n">
        <v>0</v>
      </c>
      <c r="M632" t="n">
        <v>0</v>
      </c>
      <c r="N632" t="n">
        <v>0</v>
      </c>
      <c r="O632" t="n">
        <v>0</v>
      </c>
      <c r="P632" t="n">
        <v>0</v>
      </c>
      <c r="Q632" t="n">
        <v>0</v>
      </c>
      <c r="R632" s="2" t="inlineStr"/>
    </row>
    <row r="633" ht="15" customHeight="1">
      <c r="A633" t="inlineStr">
        <is>
          <t>A 53166-2024</t>
        </is>
      </c>
      <c r="B633" s="1" t="n">
        <v>45611</v>
      </c>
      <c r="C633" s="1" t="n">
        <v>45982</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28827-2022</t>
        </is>
      </c>
      <c r="B634" s="1" t="n">
        <v>44749.45561342593</v>
      </c>
      <c r="C634" s="1" t="n">
        <v>45982</v>
      </c>
      <c r="D634" t="inlineStr">
        <is>
          <t>VÄSTMANLANDS LÄN</t>
        </is>
      </c>
      <c r="E634" t="inlineStr">
        <is>
          <t>SALA</t>
        </is>
      </c>
      <c r="F634" t="inlineStr">
        <is>
          <t>Kommuner</t>
        </is>
      </c>
      <c r="G634" t="n">
        <v>11.9</v>
      </c>
      <c r="H634" t="n">
        <v>0</v>
      </c>
      <c r="I634" t="n">
        <v>0</v>
      </c>
      <c r="J634" t="n">
        <v>0</v>
      </c>
      <c r="K634" t="n">
        <v>0</v>
      </c>
      <c r="L634" t="n">
        <v>0</v>
      </c>
      <c r="M634" t="n">
        <v>0</v>
      </c>
      <c r="N634" t="n">
        <v>0</v>
      </c>
      <c r="O634" t="n">
        <v>0</v>
      </c>
      <c r="P634" t="n">
        <v>0</v>
      </c>
      <c r="Q634" t="n">
        <v>0</v>
      </c>
      <c r="R634" s="2" t="inlineStr"/>
    </row>
    <row r="635" ht="15" customHeight="1">
      <c r="A635" t="inlineStr">
        <is>
          <t>A 17866-2025</t>
        </is>
      </c>
      <c r="B635" s="1" t="n">
        <v>45758</v>
      </c>
      <c r="C635" s="1" t="n">
        <v>45982</v>
      </c>
      <c r="D635" t="inlineStr">
        <is>
          <t>VÄSTMANLANDS LÄN</t>
        </is>
      </c>
      <c r="E635" t="inlineStr">
        <is>
          <t>SALA</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54836-2024</t>
        </is>
      </c>
      <c r="B636" s="1" t="n">
        <v>45618</v>
      </c>
      <c r="C636" s="1" t="n">
        <v>45982</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64729-2023</t>
        </is>
      </c>
      <c r="B637" s="1" t="n">
        <v>45281</v>
      </c>
      <c r="C637" s="1" t="n">
        <v>45982</v>
      </c>
      <c r="D637" t="inlineStr">
        <is>
          <t>VÄSTMANLANDS LÄN</t>
        </is>
      </c>
      <c r="E637" t="inlineStr">
        <is>
          <t>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10585-2022</t>
        </is>
      </c>
      <c r="B638" s="1" t="n">
        <v>44624</v>
      </c>
      <c r="C638" s="1" t="n">
        <v>45982</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22523-2023</t>
        </is>
      </c>
      <c r="B639" s="1" t="n">
        <v>45069</v>
      </c>
      <c r="C639" s="1" t="n">
        <v>45982</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31609-2024</t>
        </is>
      </c>
      <c r="B640" s="1" t="n">
        <v>45506</v>
      </c>
      <c r="C640" s="1" t="n">
        <v>45982</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56057-2023</t>
        </is>
      </c>
      <c r="B641" s="1" t="n">
        <v>45233</v>
      </c>
      <c r="C641" s="1" t="n">
        <v>45982</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62635-2022</t>
        </is>
      </c>
      <c r="B642" s="1" t="n">
        <v>44917</v>
      </c>
      <c r="C642" s="1" t="n">
        <v>45982</v>
      </c>
      <c r="D642" t="inlineStr">
        <is>
          <t>VÄSTMANLANDS LÄN</t>
        </is>
      </c>
      <c r="E642" t="inlineStr">
        <is>
          <t>SALA</t>
        </is>
      </c>
      <c r="G642" t="n">
        <v>0.4</v>
      </c>
      <c r="H642" t="n">
        <v>0</v>
      </c>
      <c r="I642" t="n">
        <v>0</v>
      </c>
      <c r="J642" t="n">
        <v>0</v>
      </c>
      <c r="K642" t="n">
        <v>0</v>
      </c>
      <c r="L642" t="n">
        <v>0</v>
      </c>
      <c r="M642" t="n">
        <v>0</v>
      </c>
      <c r="N642" t="n">
        <v>0</v>
      </c>
      <c r="O642" t="n">
        <v>0</v>
      </c>
      <c r="P642" t="n">
        <v>0</v>
      </c>
      <c r="Q642" t="n">
        <v>0</v>
      </c>
      <c r="R642" s="2" t="inlineStr"/>
    </row>
    <row r="643" ht="15" customHeight="1">
      <c r="A643" t="inlineStr">
        <is>
          <t>A 4852-2023</t>
        </is>
      </c>
      <c r="B643" s="1" t="n">
        <v>44957.72496527778</v>
      </c>
      <c r="C643" s="1" t="n">
        <v>45982</v>
      </c>
      <c r="D643" t="inlineStr">
        <is>
          <t>VÄSTMANLANDS LÄN</t>
        </is>
      </c>
      <c r="E643" t="inlineStr">
        <is>
          <t>SALA</t>
        </is>
      </c>
      <c r="G643" t="n">
        <v>2</v>
      </c>
      <c r="H643" t="n">
        <v>0</v>
      </c>
      <c r="I643" t="n">
        <v>0</v>
      </c>
      <c r="J643" t="n">
        <v>0</v>
      </c>
      <c r="K643" t="n">
        <v>0</v>
      </c>
      <c r="L643" t="n">
        <v>0</v>
      </c>
      <c r="M643" t="n">
        <v>0</v>
      </c>
      <c r="N643" t="n">
        <v>0</v>
      </c>
      <c r="O643" t="n">
        <v>0</v>
      </c>
      <c r="P643" t="n">
        <v>0</v>
      </c>
      <c r="Q643" t="n">
        <v>0</v>
      </c>
      <c r="R643" s="2" t="inlineStr"/>
    </row>
    <row r="644" ht="15" customHeight="1">
      <c r="A644" t="inlineStr">
        <is>
          <t>A 39714-2023</t>
        </is>
      </c>
      <c r="B644" s="1" t="n">
        <v>45167.62133101852</v>
      </c>
      <c r="C644" s="1" t="n">
        <v>45982</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42984-2023</t>
        </is>
      </c>
      <c r="B645" s="1" t="n">
        <v>45179</v>
      </c>
      <c r="C645" s="1" t="n">
        <v>45982</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38636-2024</t>
        </is>
      </c>
      <c r="B646" s="1" t="n">
        <v>45546</v>
      </c>
      <c r="C646" s="1" t="n">
        <v>45982</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56535-2022</t>
        </is>
      </c>
      <c r="B647" s="1" t="n">
        <v>44893.47173611111</v>
      </c>
      <c r="C647" s="1" t="n">
        <v>45982</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60550-2024</t>
        </is>
      </c>
      <c r="B648" s="1" t="n">
        <v>45643</v>
      </c>
      <c r="C648" s="1" t="n">
        <v>45982</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13746-2025</t>
        </is>
      </c>
      <c r="B649" s="1" t="n">
        <v>45737.40944444444</v>
      </c>
      <c r="C649" s="1" t="n">
        <v>45982</v>
      </c>
      <c r="D649" t="inlineStr">
        <is>
          <t>VÄSTMANLANDS LÄN</t>
        </is>
      </c>
      <c r="E649" t="inlineStr">
        <is>
          <t>SALA</t>
        </is>
      </c>
      <c r="G649" t="n">
        <v>2.1</v>
      </c>
      <c r="H649" t="n">
        <v>0</v>
      </c>
      <c r="I649" t="n">
        <v>0</v>
      </c>
      <c r="J649" t="n">
        <v>0</v>
      </c>
      <c r="K649" t="n">
        <v>0</v>
      </c>
      <c r="L649" t="n">
        <v>0</v>
      </c>
      <c r="M649" t="n">
        <v>0</v>
      </c>
      <c r="N649" t="n">
        <v>0</v>
      </c>
      <c r="O649" t="n">
        <v>0</v>
      </c>
      <c r="P649" t="n">
        <v>0</v>
      </c>
      <c r="Q649" t="n">
        <v>0</v>
      </c>
      <c r="R649" s="2" t="inlineStr"/>
    </row>
    <row r="650" ht="15" customHeight="1">
      <c r="A650" t="inlineStr">
        <is>
          <t>A 29230-2022</t>
        </is>
      </c>
      <c r="B650" s="1" t="n">
        <v>44750</v>
      </c>
      <c r="C650" s="1" t="n">
        <v>45982</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59175-2022</t>
        </is>
      </c>
      <c r="B651" s="1" t="n">
        <v>44904.48502314815</v>
      </c>
      <c r="C651" s="1" t="n">
        <v>45982</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19381-2025</t>
        </is>
      </c>
      <c r="B652" s="1" t="n">
        <v>45769</v>
      </c>
      <c r="C652" s="1" t="n">
        <v>45982</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42938-2023</t>
        </is>
      </c>
      <c r="B653" s="1" t="n">
        <v>45179</v>
      </c>
      <c r="C653" s="1" t="n">
        <v>45982</v>
      </c>
      <c r="D653" t="inlineStr">
        <is>
          <t>VÄSTMANLANDS LÄN</t>
        </is>
      </c>
      <c r="E653" t="inlineStr">
        <is>
          <t>SALA</t>
        </is>
      </c>
      <c r="G653" t="n">
        <v>10.9</v>
      </c>
      <c r="H653" t="n">
        <v>0</v>
      </c>
      <c r="I653" t="n">
        <v>0</v>
      </c>
      <c r="J653" t="n">
        <v>0</v>
      </c>
      <c r="K653" t="n">
        <v>0</v>
      </c>
      <c r="L653" t="n">
        <v>0</v>
      </c>
      <c r="M653" t="n">
        <v>0</v>
      </c>
      <c r="N653" t="n">
        <v>0</v>
      </c>
      <c r="O653" t="n">
        <v>0</v>
      </c>
      <c r="P653" t="n">
        <v>0</v>
      </c>
      <c r="Q653" t="n">
        <v>0</v>
      </c>
      <c r="R653" s="2" t="inlineStr"/>
    </row>
    <row r="654" ht="15" customHeight="1">
      <c r="A654" t="inlineStr">
        <is>
          <t>A 19222-2025</t>
        </is>
      </c>
      <c r="B654" s="1" t="n">
        <v>45769</v>
      </c>
      <c r="C654" s="1" t="n">
        <v>45982</v>
      </c>
      <c r="D654" t="inlineStr">
        <is>
          <t>VÄSTMANLANDS LÄN</t>
        </is>
      </c>
      <c r="E654" t="inlineStr">
        <is>
          <t>SALA</t>
        </is>
      </c>
      <c r="G654" t="n">
        <v>1.8</v>
      </c>
      <c r="H654" t="n">
        <v>0</v>
      </c>
      <c r="I654" t="n">
        <v>0</v>
      </c>
      <c r="J654" t="n">
        <v>0</v>
      </c>
      <c r="K654" t="n">
        <v>0</v>
      </c>
      <c r="L654" t="n">
        <v>0</v>
      </c>
      <c r="M654" t="n">
        <v>0</v>
      </c>
      <c r="N654" t="n">
        <v>0</v>
      </c>
      <c r="O654" t="n">
        <v>0</v>
      </c>
      <c r="P654" t="n">
        <v>0</v>
      </c>
      <c r="Q654" t="n">
        <v>0</v>
      </c>
      <c r="R654" s="2" t="inlineStr"/>
    </row>
    <row r="655" ht="15" customHeight="1">
      <c r="A655" t="inlineStr">
        <is>
          <t>A 19241-2025</t>
        </is>
      </c>
      <c r="B655" s="1" t="n">
        <v>45769</v>
      </c>
      <c r="C655" s="1" t="n">
        <v>45982</v>
      </c>
      <c r="D655" t="inlineStr">
        <is>
          <t>VÄSTMANLANDS LÄN</t>
        </is>
      </c>
      <c r="E655" t="inlineStr">
        <is>
          <t>SALA</t>
        </is>
      </c>
      <c r="G655" t="n">
        <v>3.6</v>
      </c>
      <c r="H655" t="n">
        <v>0</v>
      </c>
      <c r="I655" t="n">
        <v>0</v>
      </c>
      <c r="J655" t="n">
        <v>0</v>
      </c>
      <c r="K655" t="n">
        <v>0</v>
      </c>
      <c r="L655" t="n">
        <v>0</v>
      </c>
      <c r="M655" t="n">
        <v>0</v>
      </c>
      <c r="N655" t="n">
        <v>0</v>
      </c>
      <c r="O655" t="n">
        <v>0</v>
      </c>
      <c r="P655" t="n">
        <v>0</v>
      </c>
      <c r="Q655" t="n">
        <v>0</v>
      </c>
      <c r="R655" s="2" t="inlineStr"/>
    </row>
    <row r="656" ht="15" customHeight="1">
      <c r="A656" t="inlineStr">
        <is>
          <t>A 60823-2024</t>
        </is>
      </c>
      <c r="B656" s="1" t="n">
        <v>45644</v>
      </c>
      <c r="C656" s="1" t="n">
        <v>45982</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61681-2024</t>
        </is>
      </c>
      <c r="B657" s="1" t="n">
        <v>45647</v>
      </c>
      <c r="C657" s="1" t="n">
        <v>45982</v>
      </c>
      <c r="D657" t="inlineStr">
        <is>
          <t>VÄSTMANLANDS LÄN</t>
        </is>
      </c>
      <c r="E657" t="inlineStr">
        <is>
          <t>SALA</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49661-2024</t>
        </is>
      </c>
      <c r="B658" s="1" t="n">
        <v>45596</v>
      </c>
      <c r="C658" s="1" t="n">
        <v>45982</v>
      </c>
      <c r="D658" t="inlineStr">
        <is>
          <t>VÄSTMANLANDS LÄN</t>
        </is>
      </c>
      <c r="E658" t="inlineStr">
        <is>
          <t>SALA</t>
        </is>
      </c>
      <c r="G658" t="n">
        <v>6.7</v>
      </c>
      <c r="H658" t="n">
        <v>0</v>
      </c>
      <c r="I658" t="n">
        <v>0</v>
      </c>
      <c r="J658" t="n">
        <v>0</v>
      </c>
      <c r="K658" t="n">
        <v>0</v>
      </c>
      <c r="L658" t="n">
        <v>0</v>
      </c>
      <c r="M658" t="n">
        <v>0</v>
      </c>
      <c r="N658" t="n">
        <v>0</v>
      </c>
      <c r="O658" t="n">
        <v>0</v>
      </c>
      <c r="P658" t="n">
        <v>0</v>
      </c>
      <c r="Q658" t="n">
        <v>0</v>
      </c>
      <c r="R658" s="2" t="inlineStr"/>
    </row>
    <row r="659" ht="15" customHeight="1">
      <c r="A659" t="inlineStr">
        <is>
          <t>A 59297-2023</t>
        </is>
      </c>
      <c r="B659" s="1" t="n">
        <v>45253</v>
      </c>
      <c r="C659" s="1" t="n">
        <v>45982</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15965-2024</t>
        </is>
      </c>
      <c r="B660" s="1" t="n">
        <v>45405.55740740741</v>
      </c>
      <c r="C660" s="1" t="n">
        <v>45982</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23180-2022</t>
        </is>
      </c>
      <c r="B661" s="1" t="n">
        <v>44719.79344907407</v>
      </c>
      <c r="C661" s="1" t="n">
        <v>45982</v>
      </c>
      <c r="D661" t="inlineStr">
        <is>
          <t>VÄSTMANLANDS LÄN</t>
        </is>
      </c>
      <c r="E661" t="inlineStr">
        <is>
          <t>SALA</t>
        </is>
      </c>
      <c r="G661" t="n">
        <v>1.2</v>
      </c>
      <c r="H661" t="n">
        <v>0</v>
      </c>
      <c r="I661" t="n">
        <v>0</v>
      </c>
      <c r="J661" t="n">
        <v>0</v>
      </c>
      <c r="K661" t="n">
        <v>0</v>
      </c>
      <c r="L661" t="n">
        <v>0</v>
      </c>
      <c r="M661" t="n">
        <v>0</v>
      </c>
      <c r="N661" t="n">
        <v>0</v>
      </c>
      <c r="O661" t="n">
        <v>0</v>
      </c>
      <c r="P661" t="n">
        <v>0</v>
      </c>
      <c r="Q661" t="n">
        <v>0</v>
      </c>
      <c r="R661" s="2" t="inlineStr"/>
    </row>
    <row r="662" ht="15" customHeight="1">
      <c r="A662" t="inlineStr">
        <is>
          <t>A 21455-2023</t>
        </is>
      </c>
      <c r="B662" s="1" t="n">
        <v>45058</v>
      </c>
      <c r="C662" s="1" t="n">
        <v>45982</v>
      </c>
      <c r="D662" t="inlineStr">
        <is>
          <t>VÄSTMANLANDS LÄN</t>
        </is>
      </c>
      <c r="E662" t="inlineStr">
        <is>
          <t>SALA</t>
        </is>
      </c>
      <c r="G662" t="n">
        <v>6.4</v>
      </c>
      <c r="H662" t="n">
        <v>0</v>
      </c>
      <c r="I662" t="n">
        <v>0</v>
      </c>
      <c r="J662" t="n">
        <v>0</v>
      </c>
      <c r="K662" t="n">
        <v>0</v>
      </c>
      <c r="L662" t="n">
        <v>0</v>
      </c>
      <c r="M662" t="n">
        <v>0</v>
      </c>
      <c r="N662" t="n">
        <v>0</v>
      </c>
      <c r="O662" t="n">
        <v>0</v>
      </c>
      <c r="P662" t="n">
        <v>0</v>
      </c>
      <c r="Q662" t="n">
        <v>0</v>
      </c>
      <c r="R662" s="2" t="inlineStr"/>
    </row>
    <row r="663" ht="15" customHeight="1">
      <c r="A663" t="inlineStr">
        <is>
          <t>A 21053-2022</t>
        </is>
      </c>
      <c r="B663" s="1" t="n">
        <v>44704</v>
      </c>
      <c r="C663" s="1" t="n">
        <v>45982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11927-2025</t>
        </is>
      </c>
      <c r="B664" s="1" t="n">
        <v>45728.5137962963</v>
      </c>
      <c r="C664" s="1" t="n">
        <v>45982</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50876-2023</t>
        </is>
      </c>
      <c r="B665" s="1" t="n">
        <v>45211</v>
      </c>
      <c r="C665" s="1" t="n">
        <v>45982</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10255-2024</t>
        </is>
      </c>
      <c r="B666" s="1" t="n">
        <v>45365</v>
      </c>
      <c r="C666" s="1" t="n">
        <v>45982</v>
      </c>
      <c r="D666" t="inlineStr">
        <is>
          <t>VÄSTMANLANDS LÄN</t>
        </is>
      </c>
      <c r="E666" t="inlineStr">
        <is>
          <t>SALA</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62648-2022</t>
        </is>
      </c>
      <c r="B667" s="1" t="n">
        <v>44917</v>
      </c>
      <c r="C667" s="1" t="n">
        <v>45982</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56548-2024</t>
        </is>
      </c>
      <c r="B668" s="1" t="n">
        <v>45625</v>
      </c>
      <c r="C668" s="1" t="n">
        <v>45982</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5477-2024</t>
        </is>
      </c>
      <c r="B669" s="1" t="n">
        <v>45333.67833333334</v>
      </c>
      <c r="C669" s="1" t="n">
        <v>45982</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39451-2022</t>
        </is>
      </c>
      <c r="B670" s="1" t="n">
        <v>44818.36606481481</v>
      </c>
      <c r="C670" s="1" t="n">
        <v>45982</v>
      </c>
      <c r="D670" t="inlineStr">
        <is>
          <t>VÄSTMANLANDS LÄN</t>
        </is>
      </c>
      <c r="E670" t="inlineStr">
        <is>
          <t>SALA</t>
        </is>
      </c>
      <c r="G670" t="n">
        <v>9.4</v>
      </c>
      <c r="H670" t="n">
        <v>0</v>
      </c>
      <c r="I670" t="n">
        <v>0</v>
      </c>
      <c r="J670" t="n">
        <v>0</v>
      </c>
      <c r="K670" t="n">
        <v>0</v>
      </c>
      <c r="L670" t="n">
        <v>0</v>
      </c>
      <c r="M670" t="n">
        <v>0</v>
      </c>
      <c r="N670" t="n">
        <v>0</v>
      </c>
      <c r="O670" t="n">
        <v>0</v>
      </c>
      <c r="P670" t="n">
        <v>0</v>
      </c>
      <c r="Q670" t="n">
        <v>0</v>
      </c>
      <c r="R670" s="2" t="inlineStr"/>
    </row>
    <row r="671" ht="15" customHeight="1">
      <c r="A671" t="inlineStr">
        <is>
          <t>A 7772-2023</t>
        </is>
      </c>
      <c r="B671" s="1" t="n">
        <v>44973.40076388889</v>
      </c>
      <c r="C671" s="1" t="n">
        <v>45982</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19751-2022</t>
        </is>
      </c>
      <c r="B672" s="1" t="n">
        <v>44694</v>
      </c>
      <c r="C672" s="1" t="n">
        <v>45982</v>
      </c>
      <c r="D672" t="inlineStr">
        <is>
          <t>VÄSTMANLANDS LÄN</t>
        </is>
      </c>
      <c r="E672" t="inlineStr">
        <is>
          <t>SALA</t>
        </is>
      </c>
      <c r="G672" t="n">
        <v>2.7</v>
      </c>
      <c r="H672" t="n">
        <v>0</v>
      </c>
      <c r="I672" t="n">
        <v>0</v>
      </c>
      <c r="J672" t="n">
        <v>0</v>
      </c>
      <c r="K672" t="n">
        <v>0</v>
      </c>
      <c r="L672" t="n">
        <v>0</v>
      </c>
      <c r="M672" t="n">
        <v>0</v>
      </c>
      <c r="N672" t="n">
        <v>0</v>
      </c>
      <c r="O672" t="n">
        <v>0</v>
      </c>
      <c r="P672" t="n">
        <v>0</v>
      </c>
      <c r="Q672" t="n">
        <v>0</v>
      </c>
      <c r="R672" s="2" t="inlineStr"/>
    </row>
    <row r="673" ht="15" customHeight="1">
      <c r="A673" t="inlineStr">
        <is>
          <t>A 44713-2023</t>
        </is>
      </c>
      <c r="B673" s="1" t="n">
        <v>45184</v>
      </c>
      <c r="C673" s="1" t="n">
        <v>45982</v>
      </c>
      <c r="D673" t="inlineStr">
        <is>
          <t>VÄSTMANLANDS LÄN</t>
        </is>
      </c>
      <c r="E673" t="inlineStr">
        <is>
          <t>SALA</t>
        </is>
      </c>
      <c r="F673" t="inlineStr">
        <is>
          <t>Kyrkan</t>
        </is>
      </c>
      <c r="G673" t="n">
        <v>7.6</v>
      </c>
      <c r="H673" t="n">
        <v>0</v>
      </c>
      <c r="I673" t="n">
        <v>0</v>
      </c>
      <c r="J673" t="n">
        <v>0</v>
      </c>
      <c r="K673" t="n">
        <v>0</v>
      </c>
      <c r="L673" t="n">
        <v>0</v>
      </c>
      <c r="M673" t="n">
        <v>0</v>
      </c>
      <c r="N673" t="n">
        <v>0</v>
      </c>
      <c r="O673" t="n">
        <v>0</v>
      </c>
      <c r="P673" t="n">
        <v>0</v>
      </c>
      <c r="Q673" t="n">
        <v>0</v>
      </c>
      <c r="R673" s="2" t="inlineStr"/>
    </row>
    <row r="674" ht="15" customHeight="1">
      <c r="A674" t="inlineStr">
        <is>
          <t>A 18713-2025</t>
        </is>
      </c>
      <c r="B674" s="1" t="n">
        <v>45763</v>
      </c>
      <c r="C674" s="1" t="n">
        <v>45982</v>
      </c>
      <c r="D674" t="inlineStr">
        <is>
          <t>VÄSTMANLANDS LÄN</t>
        </is>
      </c>
      <c r="E674" t="inlineStr">
        <is>
          <t>SALA</t>
        </is>
      </c>
      <c r="F674" t="inlineStr">
        <is>
          <t>Bergvik skog öst AB</t>
        </is>
      </c>
      <c r="G674" t="n">
        <v>11.6</v>
      </c>
      <c r="H674" t="n">
        <v>0</v>
      </c>
      <c r="I674" t="n">
        <v>0</v>
      </c>
      <c r="J674" t="n">
        <v>0</v>
      </c>
      <c r="K674" t="n">
        <v>0</v>
      </c>
      <c r="L674" t="n">
        <v>0</v>
      </c>
      <c r="M674" t="n">
        <v>0</v>
      </c>
      <c r="N674" t="n">
        <v>0</v>
      </c>
      <c r="O674" t="n">
        <v>0</v>
      </c>
      <c r="P674" t="n">
        <v>0</v>
      </c>
      <c r="Q674" t="n">
        <v>0</v>
      </c>
      <c r="R674" s="2" t="inlineStr"/>
    </row>
    <row r="675" ht="15" customHeight="1">
      <c r="A675" t="inlineStr">
        <is>
          <t>A 47479-2024</t>
        </is>
      </c>
      <c r="B675" s="1" t="n">
        <v>45587</v>
      </c>
      <c r="C675" s="1" t="n">
        <v>45982</v>
      </c>
      <c r="D675" t="inlineStr">
        <is>
          <t>VÄSTMANLANDS LÄN</t>
        </is>
      </c>
      <c r="E675" t="inlineStr">
        <is>
          <t>SALA</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69236-2021</t>
        </is>
      </c>
      <c r="B676" s="1" t="n">
        <v>44531.4047337963</v>
      </c>
      <c r="C676" s="1" t="n">
        <v>45982</v>
      </c>
      <c r="D676" t="inlineStr">
        <is>
          <t>VÄSTMANLANDS LÄN</t>
        </is>
      </c>
      <c r="E676" t="inlineStr">
        <is>
          <t>SALA</t>
        </is>
      </c>
      <c r="G676" t="n">
        <v>2.8</v>
      </c>
      <c r="H676" t="n">
        <v>0</v>
      </c>
      <c r="I676" t="n">
        <v>0</v>
      </c>
      <c r="J676" t="n">
        <v>0</v>
      </c>
      <c r="K676" t="n">
        <v>0</v>
      </c>
      <c r="L676" t="n">
        <v>0</v>
      </c>
      <c r="M676" t="n">
        <v>0</v>
      </c>
      <c r="N676" t="n">
        <v>0</v>
      </c>
      <c r="O676" t="n">
        <v>0</v>
      </c>
      <c r="P676" t="n">
        <v>0</v>
      </c>
      <c r="Q676" t="n">
        <v>0</v>
      </c>
      <c r="R676" s="2" t="inlineStr"/>
    </row>
    <row r="677" ht="15" customHeight="1">
      <c r="A677" t="inlineStr">
        <is>
          <t>A 25541-2024</t>
        </is>
      </c>
      <c r="B677" s="1" t="n">
        <v>45463.56337962963</v>
      </c>
      <c r="C677" s="1" t="n">
        <v>45982</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5728-2022</t>
        </is>
      </c>
      <c r="B678" s="1" t="n">
        <v>44596.42082175926</v>
      </c>
      <c r="C678" s="1" t="n">
        <v>45982</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10250-2025</t>
        </is>
      </c>
      <c r="B679" s="1" t="n">
        <v>45720.36165509259</v>
      </c>
      <c r="C679" s="1" t="n">
        <v>45982</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49512-2024</t>
        </is>
      </c>
      <c r="B680" s="1" t="n">
        <v>45591</v>
      </c>
      <c r="C680" s="1" t="n">
        <v>45982</v>
      </c>
      <c r="D680" t="inlineStr">
        <is>
          <t>VÄSTMANLANDS LÄN</t>
        </is>
      </c>
      <c r="E680" t="inlineStr">
        <is>
          <t>SALA</t>
        </is>
      </c>
      <c r="G680" t="n">
        <v>8.1</v>
      </c>
      <c r="H680" t="n">
        <v>0</v>
      </c>
      <c r="I680" t="n">
        <v>0</v>
      </c>
      <c r="J680" t="n">
        <v>0</v>
      </c>
      <c r="K680" t="n">
        <v>0</v>
      </c>
      <c r="L680" t="n">
        <v>0</v>
      </c>
      <c r="M680" t="n">
        <v>0</v>
      </c>
      <c r="N680" t="n">
        <v>0</v>
      </c>
      <c r="O680" t="n">
        <v>0</v>
      </c>
      <c r="P680" t="n">
        <v>0</v>
      </c>
      <c r="Q680" t="n">
        <v>0</v>
      </c>
      <c r="R680" s="2" t="inlineStr"/>
    </row>
    <row r="681" ht="15" customHeight="1">
      <c r="A681" t="inlineStr">
        <is>
          <t>A 42416-2022</t>
        </is>
      </c>
      <c r="B681" s="1" t="n">
        <v>44831</v>
      </c>
      <c r="C681" s="1" t="n">
        <v>45982</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6135-2023</t>
        </is>
      </c>
      <c r="B682" s="1" t="n">
        <v>44964.62628472222</v>
      </c>
      <c r="C682" s="1" t="n">
        <v>45982</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45982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8285-2025</t>
        </is>
      </c>
      <c r="B684" s="1" t="n">
        <v>45708</v>
      </c>
      <c r="C684" s="1" t="n">
        <v>45982</v>
      </c>
      <c r="D684" t="inlineStr">
        <is>
          <t>VÄSTMANLANDS LÄN</t>
        </is>
      </c>
      <c r="E684" t="inlineStr">
        <is>
          <t>SALA</t>
        </is>
      </c>
      <c r="G684" t="n">
        <v>5.7</v>
      </c>
      <c r="H684" t="n">
        <v>0</v>
      </c>
      <c r="I684" t="n">
        <v>0</v>
      </c>
      <c r="J684" t="n">
        <v>0</v>
      </c>
      <c r="K684" t="n">
        <v>0</v>
      </c>
      <c r="L684" t="n">
        <v>0</v>
      </c>
      <c r="M684" t="n">
        <v>0</v>
      </c>
      <c r="N684" t="n">
        <v>0</v>
      </c>
      <c r="O684" t="n">
        <v>0</v>
      </c>
      <c r="P684" t="n">
        <v>0</v>
      </c>
      <c r="Q684" t="n">
        <v>0</v>
      </c>
      <c r="R684" s="2" t="inlineStr"/>
    </row>
    <row r="685" ht="15" customHeight="1">
      <c r="A685" t="inlineStr">
        <is>
          <t>A 15584-2021</t>
        </is>
      </c>
      <c r="B685" s="1" t="n">
        <v>44285</v>
      </c>
      <c r="C685" s="1" t="n">
        <v>45982</v>
      </c>
      <c r="D685" t="inlineStr">
        <is>
          <t>VÄSTMANLANDS LÄN</t>
        </is>
      </c>
      <c r="E685" t="inlineStr">
        <is>
          <t>SALA</t>
        </is>
      </c>
      <c r="G685" t="n">
        <v>3.4</v>
      </c>
      <c r="H685" t="n">
        <v>0</v>
      </c>
      <c r="I685" t="n">
        <v>0</v>
      </c>
      <c r="J685" t="n">
        <v>0</v>
      </c>
      <c r="K685" t="n">
        <v>0</v>
      </c>
      <c r="L685" t="n">
        <v>0</v>
      </c>
      <c r="M685" t="n">
        <v>0</v>
      </c>
      <c r="N685" t="n">
        <v>0</v>
      </c>
      <c r="O685" t="n">
        <v>0</v>
      </c>
      <c r="P685" t="n">
        <v>0</v>
      </c>
      <c r="Q685" t="n">
        <v>0</v>
      </c>
      <c r="R685" s="2" t="inlineStr"/>
    </row>
    <row r="686" ht="15" customHeight="1">
      <c r="A686" t="inlineStr">
        <is>
          <t>A 18340-2025</t>
        </is>
      </c>
      <c r="B686" s="1" t="n">
        <v>45762</v>
      </c>
      <c r="C686" s="1" t="n">
        <v>45982</v>
      </c>
      <c r="D686" t="inlineStr">
        <is>
          <t>VÄSTMANLANDS LÄN</t>
        </is>
      </c>
      <c r="E686" t="inlineStr">
        <is>
          <t>SALA</t>
        </is>
      </c>
      <c r="G686" t="n">
        <v>2.1</v>
      </c>
      <c r="H686" t="n">
        <v>0</v>
      </c>
      <c r="I686" t="n">
        <v>0</v>
      </c>
      <c r="J686" t="n">
        <v>0</v>
      </c>
      <c r="K686" t="n">
        <v>0</v>
      </c>
      <c r="L686" t="n">
        <v>0</v>
      </c>
      <c r="M686" t="n">
        <v>0</v>
      </c>
      <c r="N686" t="n">
        <v>0</v>
      </c>
      <c r="O686" t="n">
        <v>0</v>
      </c>
      <c r="P686" t="n">
        <v>0</v>
      </c>
      <c r="Q686" t="n">
        <v>0</v>
      </c>
      <c r="R686" s="2" t="inlineStr"/>
    </row>
    <row r="687" ht="15" customHeight="1">
      <c r="A687" t="inlineStr">
        <is>
          <t>A 56706-2022</t>
        </is>
      </c>
      <c r="B687" s="1" t="n">
        <v>44893.78893518518</v>
      </c>
      <c r="C687" s="1" t="n">
        <v>45982</v>
      </c>
      <c r="D687" t="inlineStr">
        <is>
          <t>VÄSTMANLANDS LÄN</t>
        </is>
      </c>
      <c r="E687" t="inlineStr">
        <is>
          <t>SALA</t>
        </is>
      </c>
      <c r="G687" t="n">
        <v>4.5</v>
      </c>
      <c r="H687" t="n">
        <v>0</v>
      </c>
      <c r="I687" t="n">
        <v>0</v>
      </c>
      <c r="J687" t="n">
        <v>0</v>
      </c>
      <c r="K687" t="n">
        <v>0</v>
      </c>
      <c r="L687" t="n">
        <v>0</v>
      </c>
      <c r="M687" t="n">
        <v>0</v>
      </c>
      <c r="N687" t="n">
        <v>0</v>
      </c>
      <c r="O687" t="n">
        <v>0</v>
      </c>
      <c r="P687" t="n">
        <v>0</v>
      </c>
      <c r="Q687" t="n">
        <v>0</v>
      </c>
      <c r="R687" s="2" t="inlineStr"/>
    </row>
    <row r="688" ht="15" customHeight="1">
      <c r="A688" t="inlineStr">
        <is>
          <t>A 56707-2022</t>
        </is>
      </c>
      <c r="B688" s="1" t="n">
        <v>44893.79412037037</v>
      </c>
      <c r="C688" s="1" t="n">
        <v>45982</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48571-2024</t>
        </is>
      </c>
      <c r="B689" s="1" t="n">
        <v>45591</v>
      </c>
      <c r="C689" s="1" t="n">
        <v>45982</v>
      </c>
      <c r="D689" t="inlineStr">
        <is>
          <t>VÄSTMANLANDS LÄN</t>
        </is>
      </c>
      <c r="E689" t="inlineStr">
        <is>
          <t>SALA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13188-2025</t>
        </is>
      </c>
      <c r="B690" s="1" t="n">
        <v>45735.39246527778</v>
      </c>
      <c r="C690" s="1" t="n">
        <v>45982</v>
      </c>
      <c r="D690" t="inlineStr">
        <is>
          <t>VÄSTMANLANDS LÄN</t>
        </is>
      </c>
      <c r="E690" t="inlineStr">
        <is>
          <t>SALA</t>
        </is>
      </c>
      <c r="F690" t="inlineStr">
        <is>
          <t>Naturvårdsverket</t>
        </is>
      </c>
      <c r="G690" t="n">
        <v>18.4</v>
      </c>
      <c r="H690" t="n">
        <v>0</v>
      </c>
      <c r="I690" t="n">
        <v>0</v>
      </c>
      <c r="J690" t="n">
        <v>0</v>
      </c>
      <c r="K690" t="n">
        <v>0</v>
      </c>
      <c r="L690" t="n">
        <v>0</v>
      </c>
      <c r="M690" t="n">
        <v>0</v>
      </c>
      <c r="N690" t="n">
        <v>0</v>
      </c>
      <c r="O690" t="n">
        <v>0</v>
      </c>
      <c r="P690" t="n">
        <v>0</v>
      </c>
      <c r="Q690" t="n">
        <v>0</v>
      </c>
      <c r="R690" s="2" t="inlineStr"/>
    </row>
    <row r="691" ht="15" customHeight="1">
      <c r="A691" t="inlineStr">
        <is>
          <t>A 23431-2024</t>
        </is>
      </c>
      <c r="B691" s="1" t="n">
        <v>45453</v>
      </c>
      <c r="C691" s="1" t="n">
        <v>45982</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21168-2025</t>
        </is>
      </c>
      <c r="B692" s="1" t="n">
        <v>45777</v>
      </c>
      <c r="C692" s="1" t="n">
        <v>45982</v>
      </c>
      <c r="D692" t="inlineStr">
        <is>
          <t>VÄSTMANLANDS LÄN</t>
        </is>
      </c>
      <c r="E692" t="inlineStr">
        <is>
          <t>SALA</t>
        </is>
      </c>
      <c r="G692" t="n">
        <v>4.5</v>
      </c>
      <c r="H692" t="n">
        <v>0</v>
      </c>
      <c r="I692" t="n">
        <v>0</v>
      </c>
      <c r="J692" t="n">
        <v>0</v>
      </c>
      <c r="K692" t="n">
        <v>0</v>
      </c>
      <c r="L692" t="n">
        <v>0</v>
      </c>
      <c r="M692" t="n">
        <v>0</v>
      </c>
      <c r="N692" t="n">
        <v>0</v>
      </c>
      <c r="O692" t="n">
        <v>0</v>
      </c>
      <c r="P692" t="n">
        <v>0</v>
      </c>
      <c r="Q692" t="n">
        <v>0</v>
      </c>
      <c r="R692" s="2" t="inlineStr"/>
    </row>
    <row r="693" ht="15" customHeight="1">
      <c r="A693" t="inlineStr">
        <is>
          <t>A 21754-2025</t>
        </is>
      </c>
      <c r="B693" s="1" t="n">
        <v>45783.61837962963</v>
      </c>
      <c r="C693" s="1" t="n">
        <v>45982</v>
      </c>
      <c r="D693" t="inlineStr">
        <is>
          <t>VÄSTMANLANDS LÄN</t>
        </is>
      </c>
      <c r="E693" t="inlineStr">
        <is>
          <t>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21751-2025</t>
        </is>
      </c>
      <c r="B694" s="1" t="n">
        <v>45783.61372685185</v>
      </c>
      <c r="C694" s="1" t="n">
        <v>45982</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37587-2024</t>
        </is>
      </c>
      <c r="B695" s="1" t="n">
        <v>45541</v>
      </c>
      <c r="C695" s="1" t="n">
        <v>45982</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64724-2023</t>
        </is>
      </c>
      <c r="B696" s="1" t="n">
        <v>45281.7602662037</v>
      </c>
      <c r="C696" s="1" t="n">
        <v>45982</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7176-2023</t>
        </is>
      </c>
      <c r="B697" s="1" t="n">
        <v>44970</v>
      </c>
      <c r="C697" s="1" t="n">
        <v>45982</v>
      </c>
      <c r="D697" t="inlineStr">
        <is>
          <t>VÄSTMANLANDS LÄN</t>
        </is>
      </c>
      <c r="E697" t="inlineStr">
        <is>
          <t>SALA</t>
        </is>
      </c>
      <c r="G697" t="n">
        <v>1.5</v>
      </c>
      <c r="H697" t="n">
        <v>0</v>
      </c>
      <c r="I697" t="n">
        <v>0</v>
      </c>
      <c r="J697" t="n">
        <v>0</v>
      </c>
      <c r="K697" t="n">
        <v>0</v>
      </c>
      <c r="L697" t="n">
        <v>0</v>
      </c>
      <c r="M697" t="n">
        <v>0</v>
      </c>
      <c r="N697" t="n">
        <v>0</v>
      </c>
      <c r="O697" t="n">
        <v>0</v>
      </c>
      <c r="P697" t="n">
        <v>0</v>
      </c>
      <c r="Q697" t="n">
        <v>0</v>
      </c>
      <c r="R697" s="2" t="inlineStr"/>
    </row>
    <row r="698" ht="15" customHeight="1">
      <c r="A698" t="inlineStr">
        <is>
          <t>A 43600-2024</t>
        </is>
      </c>
      <c r="B698" s="1" t="n">
        <v>45569</v>
      </c>
      <c r="C698" s="1" t="n">
        <v>45982</v>
      </c>
      <c r="D698" t="inlineStr">
        <is>
          <t>VÄSTMANLANDS LÄN</t>
        </is>
      </c>
      <c r="E698" t="inlineStr">
        <is>
          <t>SALA</t>
        </is>
      </c>
      <c r="G698" t="n">
        <v>0.9</v>
      </c>
      <c r="H698" t="n">
        <v>0</v>
      </c>
      <c r="I698" t="n">
        <v>0</v>
      </c>
      <c r="J698" t="n">
        <v>0</v>
      </c>
      <c r="K698" t="n">
        <v>0</v>
      </c>
      <c r="L698" t="n">
        <v>0</v>
      </c>
      <c r="M698" t="n">
        <v>0</v>
      </c>
      <c r="N698" t="n">
        <v>0</v>
      </c>
      <c r="O698" t="n">
        <v>0</v>
      </c>
      <c r="P698" t="n">
        <v>0</v>
      </c>
      <c r="Q698" t="n">
        <v>0</v>
      </c>
      <c r="R698" s="2" t="inlineStr"/>
    </row>
    <row r="699" ht="15" customHeight="1">
      <c r="A699" t="inlineStr">
        <is>
          <t>A 31405-2024</t>
        </is>
      </c>
      <c r="B699" s="1" t="n">
        <v>45505.5490625</v>
      </c>
      <c r="C699" s="1" t="n">
        <v>45982</v>
      </c>
      <c r="D699" t="inlineStr">
        <is>
          <t>VÄSTMANLANDS LÄN</t>
        </is>
      </c>
      <c r="E699" t="inlineStr">
        <is>
          <t>SALA</t>
        </is>
      </c>
      <c r="G699" t="n">
        <v>5.2</v>
      </c>
      <c r="H699" t="n">
        <v>0</v>
      </c>
      <c r="I699" t="n">
        <v>0</v>
      </c>
      <c r="J699" t="n">
        <v>0</v>
      </c>
      <c r="K699" t="n">
        <v>0</v>
      </c>
      <c r="L699" t="n">
        <v>0</v>
      </c>
      <c r="M699" t="n">
        <v>0</v>
      </c>
      <c r="N699" t="n">
        <v>0</v>
      </c>
      <c r="O699" t="n">
        <v>0</v>
      </c>
      <c r="P699" t="n">
        <v>0</v>
      </c>
      <c r="Q699" t="n">
        <v>0</v>
      </c>
      <c r="R699" s="2" t="inlineStr"/>
    </row>
    <row r="700" ht="15" customHeight="1">
      <c r="A700" t="inlineStr">
        <is>
          <t>A 22616-2025</t>
        </is>
      </c>
      <c r="B700" s="1" t="n">
        <v>45789.42752314815</v>
      </c>
      <c r="C700" s="1" t="n">
        <v>45982</v>
      </c>
      <c r="D700" t="inlineStr">
        <is>
          <t>VÄSTMANLANDS LÄN</t>
        </is>
      </c>
      <c r="E700" t="inlineStr">
        <is>
          <t>SALA</t>
        </is>
      </c>
      <c r="G700" t="n">
        <v>0.8</v>
      </c>
      <c r="H700" t="n">
        <v>0</v>
      </c>
      <c r="I700" t="n">
        <v>0</v>
      </c>
      <c r="J700" t="n">
        <v>0</v>
      </c>
      <c r="K700" t="n">
        <v>0</v>
      </c>
      <c r="L700" t="n">
        <v>0</v>
      </c>
      <c r="M700" t="n">
        <v>0</v>
      </c>
      <c r="N700" t="n">
        <v>0</v>
      </c>
      <c r="O700" t="n">
        <v>0</v>
      </c>
      <c r="P700" t="n">
        <v>0</v>
      </c>
      <c r="Q700" t="n">
        <v>0</v>
      </c>
      <c r="R700" s="2" t="inlineStr"/>
    </row>
    <row r="701" ht="15" customHeight="1">
      <c r="A701" t="inlineStr">
        <is>
          <t>A 22353-2025</t>
        </is>
      </c>
      <c r="B701" s="1" t="n">
        <v>45786</v>
      </c>
      <c r="C701" s="1" t="n">
        <v>45982</v>
      </c>
      <c r="D701" t="inlineStr">
        <is>
          <t>VÄSTMANLANDS LÄN</t>
        </is>
      </c>
      <c r="E701" t="inlineStr">
        <is>
          <t>SALA</t>
        </is>
      </c>
      <c r="G701" t="n">
        <v>2.5</v>
      </c>
      <c r="H701" t="n">
        <v>0</v>
      </c>
      <c r="I701" t="n">
        <v>0</v>
      </c>
      <c r="J701" t="n">
        <v>0</v>
      </c>
      <c r="K701" t="n">
        <v>0</v>
      </c>
      <c r="L701" t="n">
        <v>0</v>
      </c>
      <c r="M701" t="n">
        <v>0</v>
      </c>
      <c r="N701" t="n">
        <v>0</v>
      </c>
      <c r="O701" t="n">
        <v>0</v>
      </c>
      <c r="P701" t="n">
        <v>0</v>
      </c>
      <c r="Q701" t="n">
        <v>0</v>
      </c>
      <c r="R701" s="2" t="inlineStr"/>
    </row>
    <row r="702">
      <c r="A702" t="inlineStr">
        <is>
          <t>A 22383-2025</t>
        </is>
      </c>
      <c r="B702" s="1" t="n">
        <v>45786</v>
      </c>
      <c r="C702" s="1" t="n">
        <v>45982</v>
      </c>
      <c r="D702" t="inlineStr">
        <is>
          <t>VÄSTMANLANDS LÄN</t>
        </is>
      </c>
      <c r="E702" t="inlineStr">
        <is>
          <t>SALA</t>
        </is>
      </c>
      <c r="G702" t="n">
        <v>2.2</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2025-11-21T19:54:48Z</dcterms:created>
  <dcterms:modified xmlns:dcterms="http://purl.org/dc/terms/" xmlns:xsi="http://www.w3.org/2001/XMLSchema-instance" xsi:type="dcterms:W3CDTF">2025-11-21T19:54:48Z</dcterms:modified>
</cp:coreProperties>
</file>