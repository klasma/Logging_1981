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45936</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45936</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45936</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45936</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45936</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27488-2023</t>
        </is>
      </c>
      <c r="B13" s="1" t="n">
        <v>45097</v>
      </c>
      <c r="C13" s="1" t="n">
        <v>45936</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45936</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45936</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10344-2025</t>
        </is>
      </c>
      <c r="B16" s="1" t="n">
        <v>45720</v>
      </c>
      <c r="C16" s="1" t="n">
        <v>45936</v>
      </c>
      <c r="D16" t="inlineStr">
        <is>
          <t>VÄSTMANLANDS LÄN</t>
        </is>
      </c>
      <c r="E16" t="inlineStr">
        <is>
          <t>SALA</t>
        </is>
      </c>
      <c r="G16" t="n">
        <v>4.2</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26571-2021</t>
        </is>
      </c>
      <c r="B17" s="1" t="n">
        <v>44348</v>
      </c>
      <c r="C17" s="1" t="n">
        <v>45936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4264-2024</t>
        </is>
      </c>
      <c r="B18" s="1" t="n">
        <v>45324</v>
      </c>
      <c r="C18" s="1" t="n">
        <v>45936</v>
      </c>
      <c r="D18" t="inlineStr">
        <is>
          <t>VÄSTMANLANDS LÄN</t>
        </is>
      </c>
      <c r="E18" t="inlineStr">
        <is>
          <t>SALA</t>
        </is>
      </c>
      <c r="G18" t="n">
        <v>2.5</v>
      </c>
      <c r="H18" t="n">
        <v>0</v>
      </c>
      <c r="I18" t="n">
        <v>1</v>
      </c>
      <c r="J18" t="n">
        <v>2</v>
      </c>
      <c r="K18" t="n">
        <v>0</v>
      </c>
      <c r="L18" t="n">
        <v>0</v>
      </c>
      <c r="M18" t="n">
        <v>0</v>
      </c>
      <c r="N18" t="n">
        <v>0</v>
      </c>
      <c r="O18" t="n">
        <v>2</v>
      </c>
      <c r="P18" t="n">
        <v>0</v>
      </c>
      <c r="Q18" t="n">
        <v>3</v>
      </c>
      <c r="R18" s="2" t="inlineStr">
        <is>
          <t>Brunpudrad nållav
Vedtrappmossa
Dvärghäxört</t>
        </is>
      </c>
      <c r="S18">
        <f>HYPERLINK("https://klasma.github.io/Logging_1981/artfynd/A 4264-2024 artfynd.xlsx", "A 4264-2024")</f>
        <v/>
      </c>
      <c r="T18">
        <f>HYPERLINK("https://klasma.github.io/Logging_1981/kartor/A 4264-2024 karta.png", "A 4264-2024")</f>
        <v/>
      </c>
      <c r="V18">
        <f>HYPERLINK("https://klasma.github.io/Logging_1981/klagomål/A 4264-2024 FSC-klagomål.docx", "A 4264-2024")</f>
        <v/>
      </c>
      <c r="W18">
        <f>HYPERLINK("https://klasma.github.io/Logging_1981/klagomålsmail/A 4264-2024 FSC-klagomål mail.docx", "A 4264-2024")</f>
        <v/>
      </c>
      <c r="X18">
        <f>HYPERLINK("https://klasma.github.io/Logging_1981/tillsyn/A 4264-2024 tillsynsbegäran.docx", "A 4264-2024")</f>
        <v/>
      </c>
      <c r="Y18">
        <f>HYPERLINK("https://klasma.github.io/Logging_1981/tillsynsmail/A 4264-2024 tillsynsbegäran mail.docx", "A 4264-2024")</f>
        <v/>
      </c>
    </row>
    <row r="19" ht="15" customHeight="1">
      <c r="A19" t="inlineStr">
        <is>
          <t>A 53019-2024</t>
        </is>
      </c>
      <c r="B19" s="1" t="n">
        <v>45610</v>
      </c>
      <c r="C19" s="1" t="n">
        <v>45936</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35461-2024</t>
        </is>
      </c>
      <c r="B20" s="1" t="n">
        <v>45531</v>
      </c>
      <c r="C20" s="1" t="n">
        <v>45936</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40493-2024</t>
        </is>
      </c>
      <c r="B21" s="1" t="n">
        <v>45555</v>
      </c>
      <c r="C21" s="1" t="n">
        <v>45936</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62768-2021</t>
        </is>
      </c>
      <c r="B22" s="1" t="n">
        <v>44504</v>
      </c>
      <c r="C22" s="1" t="n">
        <v>45936</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45936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45936</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45936</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45936</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45936</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45936</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1500-2022</t>
        </is>
      </c>
      <c r="B30" s="1" t="n">
        <v>44573.54357638889</v>
      </c>
      <c r="C30" s="1" t="n">
        <v>45936</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12444-2024</t>
        </is>
      </c>
      <c r="B31" s="1" t="n">
        <v>45379.46285879629</v>
      </c>
      <c r="C31" s="1" t="n">
        <v>45936</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45936</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45936</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24872-2025</t>
        </is>
      </c>
      <c r="B34" s="1" t="n">
        <v>45799.49038194444</v>
      </c>
      <c r="C34" s="1" t="n">
        <v>45936</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61454-2024</t>
        </is>
      </c>
      <c r="B35" s="1" t="n">
        <v>45646</v>
      </c>
      <c r="C35" s="1" t="n">
        <v>45936</v>
      </c>
      <c r="D35" t="inlineStr">
        <is>
          <t>VÄSTMANLANDS LÄN</t>
        </is>
      </c>
      <c r="E35" t="inlineStr">
        <is>
          <t>SALA</t>
        </is>
      </c>
      <c r="G35" t="n">
        <v>15</v>
      </c>
      <c r="H35" t="n">
        <v>2</v>
      </c>
      <c r="I35" t="n">
        <v>0</v>
      </c>
      <c r="J35" t="n">
        <v>0</v>
      </c>
      <c r="K35" t="n">
        <v>1</v>
      </c>
      <c r="L35" t="n">
        <v>0</v>
      </c>
      <c r="M35" t="n">
        <v>0</v>
      </c>
      <c r="N35" t="n">
        <v>0</v>
      </c>
      <c r="O35" t="n">
        <v>1</v>
      </c>
      <c r="P35" t="n">
        <v>1</v>
      </c>
      <c r="Q35" t="n">
        <v>2</v>
      </c>
      <c r="R35" s="2" t="inlineStr">
        <is>
          <t>Knärot
Mindre vattensalamander</t>
        </is>
      </c>
      <c r="S35">
        <f>HYPERLINK("https://klasma.github.io/Logging_1981/artfynd/A 61454-2024 artfynd.xlsx", "A 61454-2024")</f>
        <v/>
      </c>
      <c r="T35">
        <f>HYPERLINK("https://klasma.github.io/Logging_1981/kartor/A 61454-2024 karta.png", "A 61454-2024")</f>
        <v/>
      </c>
      <c r="U35">
        <f>HYPERLINK("https://klasma.github.io/Logging_1981/knärot/A 61454-2024 karta knärot.png", "A 61454-2024")</f>
        <v/>
      </c>
      <c r="V35">
        <f>HYPERLINK("https://klasma.github.io/Logging_1981/klagomål/A 61454-2024 FSC-klagomål.docx", "A 61454-2024")</f>
        <v/>
      </c>
      <c r="W35">
        <f>HYPERLINK("https://klasma.github.io/Logging_1981/klagomålsmail/A 61454-2024 FSC-klagomål mail.docx", "A 61454-2024")</f>
        <v/>
      </c>
      <c r="X35">
        <f>HYPERLINK("https://klasma.github.io/Logging_1981/tillsyn/A 61454-2024 tillsynsbegäran.docx", "A 61454-2024")</f>
        <v/>
      </c>
      <c r="Y35">
        <f>HYPERLINK("https://klasma.github.io/Logging_1981/tillsynsmail/A 61454-2024 tillsynsbegäran mail.docx", "A 61454-2024")</f>
        <v/>
      </c>
    </row>
    <row r="36" ht="15" customHeight="1">
      <c r="A36" t="inlineStr">
        <is>
          <t>A 11846-2024</t>
        </is>
      </c>
      <c r="B36" s="1" t="n">
        <v>45376.4047337963</v>
      </c>
      <c r="C36" s="1" t="n">
        <v>45936</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44970-2021</t>
        </is>
      </c>
      <c r="B37" s="1" t="n">
        <v>44438.74399305556</v>
      </c>
      <c r="C37" s="1" t="n">
        <v>45936</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69362-2020</t>
        </is>
      </c>
      <c r="B38" s="1" t="n">
        <v>44193</v>
      </c>
      <c r="C38" s="1" t="n">
        <v>45936</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43705-2022</t>
        </is>
      </c>
      <c r="B39" s="1" t="n">
        <v>44837</v>
      </c>
      <c r="C39" s="1" t="n">
        <v>45936</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45936</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14775-2023</t>
        </is>
      </c>
      <c r="B41" s="1" t="n">
        <v>45014</v>
      </c>
      <c r="C41" s="1" t="n">
        <v>45936</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12509-2023</t>
        </is>
      </c>
      <c r="B42" s="1" t="n">
        <v>44999.95988425926</v>
      </c>
      <c r="C42" s="1" t="n">
        <v>45936</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37166-2024</t>
        </is>
      </c>
      <c r="B43" s="1" t="n">
        <v>45539</v>
      </c>
      <c r="C43" s="1" t="n">
        <v>45936</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38255-2025</t>
        </is>
      </c>
      <c r="B44" s="1" t="n">
        <v>45883.38020833334</v>
      </c>
      <c r="C44" s="1" t="n">
        <v>45936</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29727-2023</t>
        </is>
      </c>
      <c r="B45" s="1" t="n">
        <v>45107</v>
      </c>
      <c r="C45" s="1" t="n">
        <v>45936</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56014-2020</t>
        </is>
      </c>
      <c r="B46" s="1" t="n">
        <v>44132</v>
      </c>
      <c r="C46" s="1" t="n">
        <v>45936</v>
      </c>
      <c r="D46" t="inlineStr">
        <is>
          <t>VÄSTMANLANDS LÄN</t>
        </is>
      </c>
      <c r="E46" t="inlineStr">
        <is>
          <t>SALA</t>
        </is>
      </c>
      <c r="G46" t="n">
        <v>5.6</v>
      </c>
      <c r="H46" t="n">
        <v>0</v>
      </c>
      <c r="I46" t="n">
        <v>0</v>
      </c>
      <c r="J46" t="n">
        <v>0</v>
      </c>
      <c r="K46" t="n">
        <v>1</v>
      </c>
      <c r="L46" t="n">
        <v>0</v>
      </c>
      <c r="M46" t="n">
        <v>0</v>
      </c>
      <c r="N46" t="n">
        <v>0</v>
      </c>
      <c r="O46" t="n">
        <v>1</v>
      </c>
      <c r="P46" t="n">
        <v>1</v>
      </c>
      <c r="Q46" t="n">
        <v>1</v>
      </c>
      <c r="R46" s="2" t="inlineStr">
        <is>
          <t>Blackticka</t>
        </is>
      </c>
      <c r="S46">
        <f>HYPERLINK("https://klasma.github.io/Logging_1981/artfynd/A 56014-2020 artfynd.xlsx", "A 56014-2020")</f>
        <v/>
      </c>
      <c r="T46">
        <f>HYPERLINK("https://klasma.github.io/Logging_1981/kartor/A 56014-2020 karta.png", "A 56014-2020")</f>
        <v/>
      </c>
      <c r="V46">
        <f>HYPERLINK("https://klasma.github.io/Logging_1981/klagomål/A 56014-2020 FSC-klagomål.docx", "A 56014-2020")</f>
        <v/>
      </c>
      <c r="W46">
        <f>HYPERLINK("https://klasma.github.io/Logging_1981/klagomålsmail/A 56014-2020 FSC-klagomål mail.docx", "A 56014-2020")</f>
        <v/>
      </c>
      <c r="X46">
        <f>HYPERLINK("https://klasma.github.io/Logging_1981/tillsyn/A 56014-2020 tillsynsbegäran.docx", "A 56014-2020")</f>
        <v/>
      </c>
      <c r="Y46">
        <f>HYPERLINK("https://klasma.github.io/Logging_1981/tillsynsmail/A 56014-2020 tillsynsbegäran mail.docx", "A 56014-2020")</f>
        <v/>
      </c>
    </row>
    <row r="47" ht="15" customHeight="1">
      <c r="A47" t="inlineStr">
        <is>
          <t>A 19361-2025</t>
        </is>
      </c>
      <c r="B47" s="1" t="n">
        <v>45769.63357638889</v>
      </c>
      <c r="C47" s="1" t="n">
        <v>45936</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43068-2024</t>
        </is>
      </c>
      <c r="B48" s="1" t="n">
        <v>45567</v>
      </c>
      <c r="C48" s="1" t="n">
        <v>45936</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41570-2021</t>
        </is>
      </c>
      <c r="B49" s="1" t="n">
        <v>44425</v>
      </c>
      <c r="C49" s="1" t="n">
        <v>45936</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60852-2024</t>
        </is>
      </c>
      <c r="B50" s="1" t="n">
        <v>45644</v>
      </c>
      <c r="C50" s="1" t="n">
        <v>45936</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7919-2022</t>
        </is>
      </c>
      <c r="B51" s="1" t="n">
        <v>44608</v>
      </c>
      <c r="C51" s="1" t="n">
        <v>45936</v>
      </c>
      <c r="D51" t="inlineStr">
        <is>
          <t>VÄSTMANLANDS LÄN</t>
        </is>
      </c>
      <c r="E51" t="inlineStr">
        <is>
          <t>SALA</t>
        </is>
      </c>
      <c r="F51" t="inlineStr">
        <is>
          <t>Bergvik skog öst AB</t>
        </is>
      </c>
      <c r="G51" t="n">
        <v>4.5</v>
      </c>
      <c r="H51" t="n">
        <v>1</v>
      </c>
      <c r="I51" t="n">
        <v>0</v>
      </c>
      <c r="J51" t="n">
        <v>1</v>
      </c>
      <c r="K51" t="n">
        <v>0</v>
      </c>
      <c r="L51" t="n">
        <v>0</v>
      </c>
      <c r="M51" t="n">
        <v>0</v>
      </c>
      <c r="N51" t="n">
        <v>0</v>
      </c>
      <c r="O51" t="n">
        <v>1</v>
      </c>
      <c r="P51" t="n">
        <v>0</v>
      </c>
      <c r="Q51" t="n">
        <v>1</v>
      </c>
      <c r="R51" s="2" t="inlineStr">
        <is>
          <t>Ävjepilört</t>
        </is>
      </c>
      <c r="S51">
        <f>HYPERLINK("https://klasma.github.io/Logging_1981/artfynd/A 7919-2022 artfynd.xlsx", "A 7919-2022")</f>
        <v/>
      </c>
      <c r="T51">
        <f>HYPERLINK("https://klasma.github.io/Logging_1981/kartor/A 7919-2022 karta.png", "A 7919-2022")</f>
        <v/>
      </c>
      <c r="V51">
        <f>HYPERLINK("https://klasma.github.io/Logging_1981/klagomål/A 7919-2022 FSC-klagomål.docx", "A 7919-2022")</f>
        <v/>
      </c>
      <c r="W51">
        <f>HYPERLINK("https://klasma.github.io/Logging_1981/klagomålsmail/A 7919-2022 FSC-klagomål mail.docx", "A 7919-2022")</f>
        <v/>
      </c>
      <c r="X51">
        <f>HYPERLINK("https://klasma.github.io/Logging_1981/tillsyn/A 7919-2022 tillsynsbegäran.docx", "A 7919-2022")</f>
        <v/>
      </c>
      <c r="Y51">
        <f>HYPERLINK("https://klasma.github.io/Logging_1981/tillsynsmail/A 7919-2022 tillsynsbegäran mail.docx", "A 7919-2022")</f>
        <v/>
      </c>
    </row>
    <row r="52" ht="15" customHeight="1">
      <c r="A52" t="inlineStr">
        <is>
          <t>A 29985-2022</t>
        </is>
      </c>
      <c r="B52" s="1" t="n">
        <v>44756</v>
      </c>
      <c r="C52" s="1" t="n">
        <v>45936</v>
      </c>
      <c r="D52" t="inlineStr">
        <is>
          <t>VÄSTMANLANDS LÄN</t>
        </is>
      </c>
      <c r="E52" t="inlineStr">
        <is>
          <t>SALA</t>
        </is>
      </c>
      <c r="F52" t="inlineStr">
        <is>
          <t>Kommuner</t>
        </is>
      </c>
      <c r="G52" t="n">
        <v>1</v>
      </c>
      <c r="H52" t="n">
        <v>1</v>
      </c>
      <c r="I52" t="n">
        <v>1</v>
      </c>
      <c r="J52" t="n">
        <v>0</v>
      </c>
      <c r="K52" t="n">
        <v>0</v>
      </c>
      <c r="L52" t="n">
        <v>0</v>
      </c>
      <c r="M52" t="n">
        <v>0</v>
      </c>
      <c r="N52" t="n">
        <v>0</v>
      </c>
      <c r="O52" t="n">
        <v>0</v>
      </c>
      <c r="P52" t="n">
        <v>0</v>
      </c>
      <c r="Q52" t="n">
        <v>1</v>
      </c>
      <c r="R52" s="2" t="inlineStr">
        <is>
          <t>Skogsknipprot</t>
        </is>
      </c>
      <c r="S52">
        <f>HYPERLINK("https://klasma.github.io/Logging_1981/artfynd/A 29985-2022 artfynd.xlsx", "A 29985-2022")</f>
        <v/>
      </c>
      <c r="T52">
        <f>HYPERLINK("https://klasma.github.io/Logging_1981/kartor/A 29985-2022 karta.png", "A 29985-2022")</f>
        <v/>
      </c>
      <c r="V52">
        <f>HYPERLINK("https://klasma.github.io/Logging_1981/klagomål/A 29985-2022 FSC-klagomål.docx", "A 29985-2022")</f>
        <v/>
      </c>
      <c r="W52">
        <f>HYPERLINK("https://klasma.github.io/Logging_1981/klagomålsmail/A 29985-2022 FSC-klagomål mail.docx", "A 29985-2022")</f>
        <v/>
      </c>
      <c r="X52">
        <f>HYPERLINK("https://klasma.github.io/Logging_1981/tillsyn/A 29985-2022 tillsynsbegäran.docx", "A 29985-2022")</f>
        <v/>
      </c>
      <c r="Y52">
        <f>HYPERLINK("https://klasma.github.io/Logging_1981/tillsynsmail/A 29985-2022 tillsynsbegäran mail.docx", "A 29985-2022")</f>
        <v/>
      </c>
    </row>
    <row r="53" ht="15" customHeight="1">
      <c r="A53" t="inlineStr">
        <is>
          <t>A 43175-2023</t>
        </is>
      </c>
      <c r="B53" s="1" t="n">
        <v>45183</v>
      </c>
      <c r="C53" s="1" t="n">
        <v>45936</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7731-2023</t>
        </is>
      </c>
      <c r="B54" s="1" t="n">
        <v>44973</v>
      </c>
      <c r="C54" s="1" t="n">
        <v>45936</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56704-2022</t>
        </is>
      </c>
      <c r="B55" s="1" t="n">
        <v>44893.78075231481</v>
      </c>
      <c r="C55" s="1" t="n">
        <v>45936</v>
      </c>
      <c r="D55" t="inlineStr">
        <is>
          <t>VÄSTMANLANDS LÄN</t>
        </is>
      </c>
      <c r="E55" t="inlineStr">
        <is>
          <t>SALA</t>
        </is>
      </c>
      <c r="G55" t="n">
        <v>3.2</v>
      </c>
      <c r="H55" t="n">
        <v>1</v>
      </c>
      <c r="I55" t="n">
        <v>0</v>
      </c>
      <c r="J55" t="n">
        <v>0</v>
      </c>
      <c r="K55" t="n">
        <v>1</v>
      </c>
      <c r="L55" t="n">
        <v>0</v>
      </c>
      <c r="M55" t="n">
        <v>0</v>
      </c>
      <c r="N55" t="n">
        <v>0</v>
      </c>
      <c r="O55" t="n">
        <v>1</v>
      </c>
      <c r="P55" t="n">
        <v>1</v>
      </c>
      <c r="Q55" t="n">
        <v>1</v>
      </c>
      <c r="R55" s="2" t="inlineStr">
        <is>
          <t>Knärot</t>
        </is>
      </c>
      <c r="S55">
        <f>HYPERLINK("https://klasma.github.io/Logging_1981/artfynd/A 56704-2022 artfynd.xlsx", "A 56704-2022")</f>
        <v/>
      </c>
      <c r="T55">
        <f>HYPERLINK("https://klasma.github.io/Logging_1981/kartor/A 56704-2022 karta.png", "A 56704-2022")</f>
        <v/>
      </c>
      <c r="U55">
        <f>HYPERLINK("https://klasma.github.io/Logging_1981/knärot/A 56704-2022 karta knärot.png", "A 56704-2022")</f>
        <v/>
      </c>
      <c r="V55">
        <f>HYPERLINK("https://klasma.github.io/Logging_1981/klagomål/A 56704-2022 FSC-klagomål.docx", "A 56704-2022")</f>
        <v/>
      </c>
      <c r="W55">
        <f>HYPERLINK("https://klasma.github.io/Logging_1981/klagomålsmail/A 56704-2022 FSC-klagomål mail.docx", "A 56704-2022")</f>
        <v/>
      </c>
      <c r="X55">
        <f>HYPERLINK("https://klasma.github.io/Logging_1981/tillsyn/A 56704-2022 tillsynsbegäran.docx", "A 56704-2022")</f>
        <v/>
      </c>
      <c r="Y55">
        <f>HYPERLINK("https://klasma.github.io/Logging_1981/tillsynsmail/A 56704-2022 tillsynsbegäran mail.docx", "A 56704-2022")</f>
        <v/>
      </c>
    </row>
    <row r="56" ht="15" customHeight="1">
      <c r="A56" t="inlineStr">
        <is>
          <t>A 21738-2025</t>
        </is>
      </c>
      <c r="B56" s="1" t="n">
        <v>45783.59173611111</v>
      </c>
      <c r="C56" s="1" t="n">
        <v>45936</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55550-2023</t>
        </is>
      </c>
      <c r="B57" s="1" t="n">
        <v>45232</v>
      </c>
      <c r="C57" s="1" t="n">
        <v>45936</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22950-2025</t>
        </is>
      </c>
      <c r="B58" s="1" t="n">
        <v>45790.50728009259</v>
      </c>
      <c r="C58" s="1" t="n">
        <v>45936</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41270-2024</t>
        </is>
      </c>
      <c r="B59" s="1" t="n">
        <v>45559</v>
      </c>
      <c r="C59" s="1" t="n">
        <v>45936</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32594-2025</t>
        </is>
      </c>
      <c r="B60" s="1" t="n">
        <v>45838</v>
      </c>
      <c r="C60" s="1" t="n">
        <v>45936</v>
      </c>
      <c r="D60" t="inlineStr">
        <is>
          <t>VÄSTMANLANDS LÄN</t>
        </is>
      </c>
      <c r="E60" t="inlineStr">
        <is>
          <t>SALA</t>
        </is>
      </c>
      <c r="F60" t="inlineStr">
        <is>
          <t>Bergvik skog öst AB</t>
        </is>
      </c>
      <c r="G60" t="n">
        <v>0.9</v>
      </c>
      <c r="H60" t="n">
        <v>1</v>
      </c>
      <c r="I60" t="n">
        <v>0</v>
      </c>
      <c r="J60" t="n">
        <v>0</v>
      </c>
      <c r="K60" t="n">
        <v>0</v>
      </c>
      <c r="L60" t="n">
        <v>0</v>
      </c>
      <c r="M60" t="n">
        <v>0</v>
      </c>
      <c r="N60" t="n">
        <v>0</v>
      </c>
      <c r="O60" t="n">
        <v>0</v>
      </c>
      <c r="P60" t="n">
        <v>0</v>
      </c>
      <c r="Q60" t="n">
        <v>1</v>
      </c>
      <c r="R60" s="2" t="inlineStr">
        <is>
          <t>Blåsippa</t>
        </is>
      </c>
      <c r="S60">
        <f>HYPERLINK("https://klasma.github.io/Logging_1981/artfynd/A 32594-2025 artfynd.xlsx", "A 32594-2025")</f>
        <v/>
      </c>
      <c r="T60">
        <f>HYPERLINK("https://klasma.github.io/Logging_1981/kartor/A 32594-2025 karta.png", "A 32594-2025")</f>
        <v/>
      </c>
      <c r="V60">
        <f>HYPERLINK("https://klasma.github.io/Logging_1981/klagomål/A 32594-2025 FSC-klagomål.docx", "A 32594-2025")</f>
        <v/>
      </c>
      <c r="W60">
        <f>HYPERLINK("https://klasma.github.io/Logging_1981/klagomålsmail/A 32594-2025 FSC-klagomål mail.docx", "A 32594-2025")</f>
        <v/>
      </c>
      <c r="X60">
        <f>HYPERLINK("https://klasma.github.io/Logging_1981/tillsyn/A 32594-2025 tillsynsbegäran.docx", "A 32594-2025")</f>
        <v/>
      </c>
      <c r="Y60">
        <f>HYPERLINK("https://klasma.github.io/Logging_1981/tillsynsmail/A 32594-2025 tillsynsbegäran mail.docx", "A 32594-2025")</f>
        <v/>
      </c>
    </row>
    <row r="61" ht="15" customHeight="1">
      <c r="A61" t="inlineStr">
        <is>
          <t>A 22350-2024</t>
        </is>
      </c>
      <c r="B61" s="1" t="n">
        <v>45446</v>
      </c>
      <c r="C61" s="1" t="n">
        <v>45936</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58314-2020</t>
        </is>
      </c>
      <c r="B62" s="1" t="n">
        <v>44145</v>
      </c>
      <c r="C62" s="1" t="n">
        <v>45936</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45936</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45936</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45936</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45936</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45936</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45936</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45936</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45936</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45936</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45936</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45936</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45936</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45936</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45936</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45936</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45936</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45936</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45936</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45936</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45936</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45936</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45936</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45936</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45936</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45936</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45936</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45936</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45936</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45936</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45936</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45936</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45936</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45936</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45936</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45936</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45936</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45936</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45936</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45936</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45936</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45936</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45936</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45936</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45936</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45936</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45936</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45936</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45936</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45936</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45936</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45936</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45936</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45936</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45936</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45936</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45936</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45936</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45936</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45936</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45936</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45936</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45936</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45936</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45936</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45936</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45936</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45936</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45936</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45936</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73606-2021</t>
        </is>
      </c>
      <c r="B137" s="1" t="n">
        <v>44552</v>
      </c>
      <c r="C137" s="1" t="n">
        <v>45936</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45936</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10168-2022</t>
        </is>
      </c>
      <c r="B139" s="1" t="n">
        <v>44622.37693287037</v>
      </c>
      <c r="C139" s="1" t="n">
        <v>45936</v>
      </c>
      <c r="D139" t="inlineStr">
        <is>
          <t>VÄSTMANLANDS LÄN</t>
        </is>
      </c>
      <c r="E139" t="inlineStr">
        <is>
          <t>SALA</t>
        </is>
      </c>
      <c r="G139" t="n">
        <v>2.1</v>
      </c>
      <c r="H139" t="n">
        <v>0</v>
      </c>
      <c r="I139" t="n">
        <v>0</v>
      </c>
      <c r="J139" t="n">
        <v>0</v>
      </c>
      <c r="K139" t="n">
        <v>0</v>
      </c>
      <c r="L139" t="n">
        <v>0</v>
      </c>
      <c r="M139" t="n">
        <v>0</v>
      </c>
      <c r="N139" t="n">
        <v>0</v>
      </c>
      <c r="O139" t="n">
        <v>0</v>
      </c>
      <c r="P139" t="n">
        <v>0</v>
      </c>
      <c r="Q139" t="n">
        <v>0</v>
      </c>
      <c r="R139" s="2" t="inlineStr"/>
    </row>
    <row r="140" ht="15" customHeight="1">
      <c r="A140" t="inlineStr">
        <is>
          <t>A 69192-2020</t>
        </is>
      </c>
      <c r="B140" s="1" t="n">
        <v>44191</v>
      </c>
      <c r="C140" s="1" t="n">
        <v>45936</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45936</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45936</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55881-2020</t>
        </is>
      </c>
      <c r="B143" s="1" t="n">
        <v>44132</v>
      </c>
      <c r="C143" s="1" t="n">
        <v>45936</v>
      </c>
      <c r="D143" t="inlineStr">
        <is>
          <t>VÄSTMANLANDS LÄN</t>
        </is>
      </c>
      <c r="E143" t="inlineStr">
        <is>
          <t>SALA</t>
        </is>
      </c>
      <c r="G143" t="n">
        <v>3</v>
      </c>
      <c r="H143" t="n">
        <v>0</v>
      </c>
      <c r="I143" t="n">
        <v>0</v>
      </c>
      <c r="J143" t="n">
        <v>0</v>
      </c>
      <c r="K143" t="n">
        <v>0</v>
      </c>
      <c r="L143" t="n">
        <v>0</v>
      </c>
      <c r="M143" t="n">
        <v>0</v>
      </c>
      <c r="N143" t="n">
        <v>0</v>
      </c>
      <c r="O143" t="n">
        <v>0</v>
      </c>
      <c r="P143" t="n">
        <v>0</v>
      </c>
      <c r="Q143" t="n">
        <v>0</v>
      </c>
      <c r="R143" s="2" t="inlineStr"/>
    </row>
    <row r="144" ht="15" customHeight="1">
      <c r="A144" t="inlineStr">
        <is>
          <t>A 63290-2021</t>
        </is>
      </c>
      <c r="B144" s="1" t="n">
        <v>44505</v>
      </c>
      <c r="C144" s="1" t="n">
        <v>45936</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45936</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44224-2022</t>
        </is>
      </c>
      <c r="B146" s="1" t="n">
        <v>44839.506875</v>
      </c>
      <c r="C146" s="1" t="n">
        <v>45936</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9050-2022</t>
        </is>
      </c>
      <c r="B147" s="1" t="n">
        <v>44615.45451388889</v>
      </c>
      <c r="C147" s="1" t="n">
        <v>45936</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58781-2020</t>
        </is>
      </c>
      <c r="B148" s="1" t="n">
        <v>44146</v>
      </c>
      <c r="C148" s="1" t="n">
        <v>45936</v>
      </c>
      <c r="D148" t="inlineStr">
        <is>
          <t>VÄSTMANLANDS LÄN</t>
        </is>
      </c>
      <c r="E148" t="inlineStr">
        <is>
          <t>SALA</t>
        </is>
      </c>
      <c r="G148" t="n">
        <v>1.2</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45936</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73519-2021</t>
        </is>
      </c>
      <c r="B150" s="1" t="n">
        <v>44551</v>
      </c>
      <c r="C150" s="1" t="n">
        <v>45936</v>
      </c>
      <c r="D150" t="inlineStr">
        <is>
          <t>VÄSTMANLANDS LÄN</t>
        </is>
      </c>
      <c r="E150" t="inlineStr">
        <is>
          <t>SALA</t>
        </is>
      </c>
      <c r="G150" t="n">
        <v>0.3</v>
      </c>
      <c r="H150" t="n">
        <v>0</v>
      </c>
      <c r="I150" t="n">
        <v>0</v>
      </c>
      <c r="J150" t="n">
        <v>0</v>
      </c>
      <c r="K150" t="n">
        <v>0</v>
      </c>
      <c r="L150" t="n">
        <v>0</v>
      </c>
      <c r="M150" t="n">
        <v>0</v>
      </c>
      <c r="N150" t="n">
        <v>0</v>
      </c>
      <c r="O150" t="n">
        <v>0</v>
      </c>
      <c r="P150" t="n">
        <v>0</v>
      </c>
      <c r="Q150" t="n">
        <v>0</v>
      </c>
      <c r="R150" s="2" t="inlineStr"/>
    </row>
    <row r="151" ht="15" customHeight="1">
      <c r="A151" t="inlineStr">
        <is>
          <t>A 57000-2021</t>
        </is>
      </c>
      <c r="B151" s="1" t="n">
        <v>44482.46760416667</v>
      </c>
      <c r="C151" s="1" t="n">
        <v>45936</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49254-2022</t>
        </is>
      </c>
      <c r="B152" s="1" t="n">
        <v>44861</v>
      </c>
      <c r="C152" s="1" t="n">
        <v>45936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45936</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72805-2021</t>
        </is>
      </c>
      <c r="B154" s="1" t="n">
        <v>44546</v>
      </c>
      <c r="C154" s="1" t="n">
        <v>45936</v>
      </c>
      <c r="D154" t="inlineStr">
        <is>
          <t>VÄSTMANLANDS LÄN</t>
        </is>
      </c>
      <c r="E154" t="inlineStr">
        <is>
          <t>SALA</t>
        </is>
      </c>
      <c r="G154" t="n">
        <v>7.8</v>
      </c>
      <c r="H154" t="n">
        <v>0</v>
      </c>
      <c r="I154" t="n">
        <v>0</v>
      </c>
      <c r="J154" t="n">
        <v>0</v>
      </c>
      <c r="K154" t="n">
        <v>0</v>
      </c>
      <c r="L154" t="n">
        <v>0</v>
      </c>
      <c r="M154" t="n">
        <v>0</v>
      </c>
      <c r="N154" t="n">
        <v>0</v>
      </c>
      <c r="O154" t="n">
        <v>0</v>
      </c>
      <c r="P154" t="n">
        <v>0</v>
      </c>
      <c r="Q154" t="n">
        <v>0</v>
      </c>
      <c r="R154" s="2" t="inlineStr"/>
    </row>
    <row r="155" ht="15" customHeight="1">
      <c r="A155" t="inlineStr">
        <is>
          <t>A 72808-2021</t>
        </is>
      </c>
      <c r="B155" s="1" t="n">
        <v>44546</v>
      </c>
      <c r="C155" s="1" t="n">
        <v>45936</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26579-2021</t>
        </is>
      </c>
      <c r="B156" s="1" t="n">
        <v>44348</v>
      </c>
      <c r="C156" s="1" t="n">
        <v>45936</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11370-2022</t>
        </is>
      </c>
      <c r="B157" s="1" t="n">
        <v>44630</v>
      </c>
      <c r="C157" s="1" t="n">
        <v>45936</v>
      </c>
      <c r="D157" t="inlineStr">
        <is>
          <t>VÄSTMANLANDS LÄN</t>
        </is>
      </c>
      <c r="E157" t="inlineStr">
        <is>
          <t>SALA</t>
        </is>
      </c>
      <c r="G157" t="n">
        <v>4.3</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44879.87171296297</v>
      </c>
      <c r="C158" s="1" t="n">
        <v>45936</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40113-2022</t>
        </is>
      </c>
      <c r="B159" s="1" t="n">
        <v>44819</v>
      </c>
      <c r="C159" s="1" t="n">
        <v>45936</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64932-2021</t>
        </is>
      </c>
      <c r="B160" s="1" t="n">
        <v>44512</v>
      </c>
      <c r="C160" s="1" t="n">
        <v>45936</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45936</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67962-2021</t>
        </is>
      </c>
      <c r="B162" s="1" t="n">
        <v>44525</v>
      </c>
      <c r="C162" s="1" t="n">
        <v>45936</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29233-2022</t>
        </is>
      </c>
      <c r="B163" s="1" t="n">
        <v>44750</v>
      </c>
      <c r="C163" s="1" t="n">
        <v>45936</v>
      </c>
      <c r="D163" t="inlineStr">
        <is>
          <t>VÄSTMANLANDS LÄN</t>
        </is>
      </c>
      <c r="E163" t="inlineStr">
        <is>
          <t>SALA</t>
        </is>
      </c>
      <c r="G163" t="n">
        <v>2.4</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45936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45936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45936</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58107-2021</t>
        </is>
      </c>
      <c r="B167" s="1" t="n">
        <v>44487</v>
      </c>
      <c r="C167" s="1" t="n">
        <v>45936</v>
      </c>
      <c r="D167" t="inlineStr">
        <is>
          <t>VÄSTMANLANDS LÄN</t>
        </is>
      </c>
      <c r="E167" t="inlineStr">
        <is>
          <t>SALA</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30904-2021</t>
        </is>
      </c>
      <c r="B168" s="1" t="n">
        <v>44365.5983449074</v>
      </c>
      <c r="C168" s="1" t="n">
        <v>45936</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61415-2020</t>
        </is>
      </c>
      <c r="B169" s="1" t="n">
        <v>44156</v>
      </c>
      <c r="C169" s="1" t="n">
        <v>45936</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35462-2024</t>
        </is>
      </c>
      <c r="B170" s="1" t="n">
        <v>45531</v>
      </c>
      <c r="C170" s="1" t="n">
        <v>45936</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14024-2025</t>
        </is>
      </c>
      <c r="B171" s="1" t="n">
        <v>45740.34650462963</v>
      </c>
      <c r="C171" s="1" t="n">
        <v>45936</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26692-2023</t>
        </is>
      </c>
      <c r="B172" s="1" t="n">
        <v>45093.360625</v>
      </c>
      <c r="C172" s="1" t="n">
        <v>45936</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45936</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45936</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45936</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24882-2022</t>
        </is>
      </c>
      <c r="B176" s="1" t="n">
        <v>44728.56488425926</v>
      </c>
      <c r="C176" s="1" t="n">
        <v>45936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45936</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45936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45936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45936</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65353-2021</t>
        </is>
      </c>
      <c r="B181" s="1" t="n">
        <v>44515</v>
      </c>
      <c r="C181" s="1" t="n">
        <v>45936</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56543-2024</t>
        </is>
      </c>
      <c r="B182" s="1" t="n">
        <v>45625</v>
      </c>
      <c r="C182" s="1" t="n">
        <v>45936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31950-2023</t>
        </is>
      </c>
      <c r="B183" s="1" t="n">
        <v>45107</v>
      </c>
      <c r="C183" s="1" t="n">
        <v>45936</v>
      </c>
      <c r="D183" t="inlineStr">
        <is>
          <t>VÄSTMANLANDS LÄN</t>
        </is>
      </c>
      <c r="E183" t="inlineStr">
        <is>
          <t>SALA</t>
        </is>
      </c>
      <c r="G183" t="n">
        <v>1.9</v>
      </c>
      <c r="H183" t="n">
        <v>0</v>
      </c>
      <c r="I183" t="n">
        <v>0</v>
      </c>
      <c r="J183" t="n">
        <v>0</v>
      </c>
      <c r="K183" t="n">
        <v>0</v>
      </c>
      <c r="L183" t="n">
        <v>0</v>
      </c>
      <c r="M183" t="n">
        <v>0</v>
      </c>
      <c r="N183" t="n">
        <v>0</v>
      </c>
      <c r="O183" t="n">
        <v>0</v>
      </c>
      <c r="P183" t="n">
        <v>0</v>
      </c>
      <c r="Q183" t="n">
        <v>0</v>
      </c>
      <c r="R183" s="2" t="inlineStr"/>
    </row>
    <row r="184" ht="15" customHeight="1">
      <c r="A184" t="inlineStr">
        <is>
          <t>A 22575-2022</t>
        </is>
      </c>
      <c r="B184" s="1" t="n">
        <v>44713</v>
      </c>
      <c r="C184" s="1" t="n">
        <v>45936</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70218-2021</t>
        </is>
      </c>
      <c r="B185" s="1" t="n">
        <v>44535.6571412037</v>
      </c>
      <c r="C185" s="1" t="n">
        <v>45936</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40094-2022</t>
        </is>
      </c>
      <c r="B186" s="1" t="n">
        <v>44819</v>
      </c>
      <c r="C186" s="1" t="n">
        <v>45936</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3204-2022</t>
        </is>
      </c>
      <c r="B187" s="1" t="n">
        <v>44582</v>
      </c>
      <c r="C187" s="1" t="n">
        <v>45936</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45936</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26570-2021</t>
        </is>
      </c>
      <c r="B189" s="1" t="n">
        <v>44348</v>
      </c>
      <c r="C189" s="1" t="n">
        <v>45936</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14047-2021</t>
        </is>
      </c>
      <c r="B190" s="1" t="n">
        <v>44277</v>
      </c>
      <c r="C190" s="1" t="n">
        <v>45936</v>
      </c>
      <c r="D190" t="inlineStr">
        <is>
          <t>VÄSTMANLANDS LÄN</t>
        </is>
      </c>
      <c r="E190" t="inlineStr">
        <is>
          <t>SALA</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6097-2022</t>
        </is>
      </c>
      <c r="B191" s="1" t="n">
        <v>44599</v>
      </c>
      <c r="C191" s="1" t="n">
        <v>45936</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25260-2023</t>
        </is>
      </c>
      <c r="B192" s="1" t="n">
        <v>45086</v>
      </c>
      <c r="C192" s="1" t="n">
        <v>45936</v>
      </c>
      <c r="D192" t="inlineStr">
        <is>
          <t>VÄSTMANLANDS LÄN</t>
        </is>
      </c>
      <c r="E192" t="inlineStr">
        <is>
          <t>SALA</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53630-2022</t>
        </is>
      </c>
      <c r="B193" s="1" t="n">
        <v>44879.87533564815</v>
      </c>
      <c r="C193" s="1" t="n">
        <v>45936</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57404-2024</t>
        </is>
      </c>
      <c r="B194" s="1" t="n">
        <v>45629.71967592592</v>
      </c>
      <c r="C194" s="1" t="n">
        <v>45936</v>
      </c>
      <c r="D194" t="inlineStr">
        <is>
          <t>VÄSTMANLANDS LÄN</t>
        </is>
      </c>
      <c r="E194" t="inlineStr">
        <is>
          <t>SALA</t>
        </is>
      </c>
      <c r="G194" t="n">
        <v>0.3</v>
      </c>
      <c r="H194" t="n">
        <v>0</v>
      </c>
      <c r="I194" t="n">
        <v>0</v>
      </c>
      <c r="J194" t="n">
        <v>0</v>
      </c>
      <c r="K194" t="n">
        <v>0</v>
      </c>
      <c r="L194" t="n">
        <v>0</v>
      </c>
      <c r="M194" t="n">
        <v>0</v>
      </c>
      <c r="N194" t="n">
        <v>0</v>
      </c>
      <c r="O194" t="n">
        <v>0</v>
      </c>
      <c r="P194" t="n">
        <v>0</v>
      </c>
      <c r="Q194" t="n">
        <v>0</v>
      </c>
      <c r="R194" s="2" t="inlineStr"/>
    </row>
    <row r="195" ht="15" customHeight="1">
      <c r="A195" t="inlineStr">
        <is>
          <t>A 1196-2023</t>
        </is>
      </c>
      <c r="B195" s="1" t="n">
        <v>44935.82290509259</v>
      </c>
      <c r="C195" s="1" t="n">
        <v>45936</v>
      </c>
      <c r="D195" t="inlineStr">
        <is>
          <t>VÄSTMANLANDS LÄN</t>
        </is>
      </c>
      <c r="E195" t="inlineStr">
        <is>
          <t>SALA</t>
        </is>
      </c>
      <c r="G195" t="n">
        <v>4.1</v>
      </c>
      <c r="H195" t="n">
        <v>0</v>
      </c>
      <c r="I195" t="n">
        <v>0</v>
      </c>
      <c r="J195" t="n">
        <v>0</v>
      </c>
      <c r="K195" t="n">
        <v>0</v>
      </c>
      <c r="L195" t="n">
        <v>0</v>
      </c>
      <c r="M195" t="n">
        <v>0</v>
      </c>
      <c r="N195" t="n">
        <v>0</v>
      </c>
      <c r="O195" t="n">
        <v>0</v>
      </c>
      <c r="P195" t="n">
        <v>0</v>
      </c>
      <c r="Q195" t="n">
        <v>0</v>
      </c>
      <c r="R195" s="2" t="inlineStr"/>
    </row>
    <row r="196" ht="15" customHeight="1">
      <c r="A196" t="inlineStr">
        <is>
          <t>A 13022-2023</t>
        </is>
      </c>
      <c r="B196" s="1" t="n">
        <v>45002.33291666667</v>
      </c>
      <c r="C196" s="1" t="n">
        <v>45936</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13128-2023</t>
        </is>
      </c>
      <c r="B197" s="1" t="n">
        <v>45002</v>
      </c>
      <c r="C197" s="1" t="n">
        <v>45936</v>
      </c>
      <c r="D197" t="inlineStr">
        <is>
          <t>VÄSTMANLANDS LÄN</t>
        </is>
      </c>
      <c r="E197" t="inlineStr">
        <is>
          <t>SALA</t>
        </is>
      </c>
      <c r="G197" t="n">
        <v>7.9</v>
      </c>
      <c r="H197" t="n">
        <v>0</v>
      </c>
      <c r="I197" t="n">
        <v>0</v>
      </c>
      <c r="J197" t="n">
        <v>0</v>
      </c>
      <c r="K197" t="n">
        <v>0</v>
      </c>
      <c r="L197" t="n">
        <v>0</v>
      </c>
      <c r="M197" t="n">
        <v>0</v>
      </c>
      <c r="N197" t="n">
        <v>0</v>
      </c>
      <c r="O197" t="n">
        <v>0</v>
      </c>
      <c r="P197" t="n">
        <v>0</v>
      </c>
      <c r="Q197" t="n">
        <v>0</v>
      </c>
      <c r="R197" s="2" t="inlineStr"/>
    </row>
    <row r="198" ht="15" customHeight="1">
      <c r="A198" t="inlineStr">
        <is>
          <t>A 9075-2022</t>
        </is>
      </c>
      <c r="B198" s="1" t="n">
        <v>44615.47800925926</v>
      </c>
      <c r="C198" s="1" t="n">
        <v>45936</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4853-2023</t>
        </is>
      </c>
      <c r="B199" s="1" t="n">
        <v>44957.73234953704</v>
      </c>
      <c r="C199" s="1" t="n">
        <v>45936</v>
      </c>
      <c r="D199" t="inlineStr">
        <is>
          <t>VÄSTMANLANDS LÄN</t>
        </is>
      </c>
      <c r="E199" t="inlineStr">
        <is>
          <t>SALA</t>
        </is>
      </c>
      <c r="G199" t="n">
        <v>2.7</v>
      </c>
      <c r="H199" t="n">
        <v>0</v>
      </c>
      <c r="I199" t="n">
        <v>0</v>
      </c>
      <c r="J199" t="n">
        <v>0</v>
      </c>
      <c r="K199" t="n">
        <v>0</v>
      </c>
      <c r="L199" t="n">
        <v>0</v>
      </c>
      <c r="M199" t="n">
        <v>0</v>
      </c>
      <c r="N199" t="n">
        <v>0</v>
      </c>
      <c r="O199" t="n">
        <v>0</v>
      </c>
      <c r="P199" t="n">
        <v>0</v>
      </c>
      <c r="Q199" t="n">
        <v>0</v>
      </c>
      <c r="R199" s="2" t="inlineStr"/>
    </row>
    <row r="200" ht="15" customHeight="1">
      <c r="A200" t="inlineStr">
        <is>
          <t>A 29002-2022</t>
        </is>
      </c>
      <c r="B200" s="1" t="n">
        <v>44749</v>
      </c>
      <c r="C200" s="1" t="n">
        <v>45936</v>
      </c>
      <c r="D200" t="inlineStr">
        <is>
          <t>VÄSTMANLANDS LÄN</t>
        </is>
      </c>
      <c r="E200" t="inlineStr">
        <is>
          <t>SALA</t>
        </is>
      </c>
      <c r="G200" t="n">
        <v>5.4</v>
      </c>
      <c r="H200" t="n">
        <v>0</v>
      </c>
      <c r="I200" t="n">
        <v>0</v>
      </c>
      <c r="J200" t="n">
        <v>0</v>
      </c>
      <c r="K200" t="n">
        <v>0</v>
      </c>
      <c r="L200" t="n">
        <v>0</v>
      </c>
      <c r="M200" t="n">
        <v>0</v>
      </c>
      <c r="N200" t="n">
        <v>0</v>
      </c>
      <c r="O200" t="n">
        <v>0</v>
      </c>
      <c r="P200" t="n">
        <v>0</v>
      </c>
      <c r="Q200" t="n">
        <v>0</v>
      </c>
      <c r="R200" s="2" t="inlineStr"/>
    </row>
    <row r="201" ht="15" customHeight="1">
      <c r="A201" t="inlineStr">
        <is>
          <t>A 52503-2024</t>
        </is>
      </c>
      <c r="B201" s="1" t="n">
        <v>45609.58806712963</v>
      </c>
      <c r="C201" s="1" t="n">
        <v>45936</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12246-2023</t>
        </is>
      </c>
      <c r="B202" s="1" t="n">
        <v>44995</v>
      </c>
      <c r="C202" s="1" t="n">
        <v>45936</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24864-2024</t>
        </is>
      </c>
      <c r="B203" s="1" t="n">
        <v>45461.48888888889</v>
      </c>
      <c r="C203" s="1" t="n">
        <v>45936</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42447-2022</t>
        </is>
      </c>
      <c r="B204" s="1" t="n">
        <v>44831</v>
      </c>
      <c r="C204" s="1" t="n">
        <v>45936</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66830-2021</t>
        </is>
      </c>
      <c r="B205" s="1" t="n">
        <v>44522.40886574074</v>
      </c>
      <c r="C205" s="1" t="n">
        <v>45936</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7953-2024</t>
        </is>
      </c>
      <c r="B206" s="1" t="n">
        <v>45350</v>
      </c>
      <c r="C206" s="1" t="n">
        <v>45936</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58912-2020</t>
        </is>
      </c>
      <c r="B207" s="1" t="n">
        <v>44146</v>
      </c>
      <c r="C207" s="1" t="n">
        <v>45936</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30028-2024</t>
        </is>
      </c>
      <c r="B208" s="1" t="n">
        <v>45485</v>
      </c>
      <c r="C208" s="1" t="n">
        <v>45936</v>
      </c>
      <c r="D208" t="inlineStr">
        <is>
          <t>VÄSTMANLANDS LÄN</t>
        </is>
      </c>
      <c r="E208" t="inlineStr">
        <is>
          <t>SALA</t>
        </is>
      </c>
      <c r="G208" t="n">
        <v>2.6</v>
      </c>
      <c r="H208" t="n">
        <v>0</v>
      </c>
      <c r="I208" t="n">
        <v>0</v>
      </c>
      <c r="J208" t="n">
        <v>0</v>
      </c>
      <c r="K208" t="n">
        <v>0</v>
      </c>
      <c r="L208" t="n">
        <v>0</v>
      </c>
      <c r="M208" t="n">
        <v>0</v>
      </c>
      <c r="N208" t="n">
        <v>0</v>
      </c>
      <c r="O208" t="n">
        <v>0</v>
      </c>
      <c r="P208" t="n">
        <v>0</v>
      </c>
      <c r="Q208" t="n">
        <v>0</v>
      </c>
      <c r="R208" s="2" t="inlineStr"/>
    </row>
    <row r="209" ht="15" customHeight="1">
      <c r="A209" t="inlineStr">
        <is>
          <t>A 28402-2022</t>
        </is>
      </c>
      <c r="B209" s="1" t="n">
        <v>44747</v>
      </c>
      <c r="C209" s="1" t="n">
        <v>45936</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33732-2023</t>
        </is>
      </c>
      <c r="B210" s="1" t="n">
        <v>45133.32409722222</v>
      </c>
      <c r="C210" s="1" t="n">
        <v>45936</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7950-2025</t>
        </is>
      </c>
      <c r="B211" s="1" t="n">
        <v>45707.41799768519</v>
      </c>
      <c r="C211" s="1" t="n">
        <v>45936</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31863-2025</t>
        </is>
      </c>
      <c r="B212" s="1" t="n">
        <v>45834.63303240741</v>
      </c>
      <c r="C212" s="1" t="n">
        <v>45936</v>
      </c>
      <c r="D212" t="inlineStr">
        <is>
          <t>VÄSTMANLANDS LÄN</t>
        </is>
      </c>
      <c r="E212" t="inlineStr">
        <is>
          <t>SALA</t>
        </is>
      </c>
      <c r="G212" t="n">
        <v>2.5</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45936</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27657-2023</t>
        </is>
      </c>
      <c r="B214" s="1" t="n">
        <v>45097.76631944445</v>
      </c>
      <c r="C214" s="1" t="n">
        <v>45936</v>
      </c>
      <c r="D214" t="inlineStr">
        <is>
          <t>VÄSTMANLANDS LÄN</t>
        </is>
      </c>
      <c r="E214" t="inlineStr">
        <is>
          <t>SALA</t>
        </is>
      </c>
      <c r="G214" t="n">
        <v>0.1</v>
      </c>
      <c r="H214" t="n">
        <v>0</v>
      </c>
      <c r="I214" t="n">
        <v>0</v>
      </c>
      <c r="J214" t="n">
        <v>0</v>
      </c>
      <c r="K214" t="n">
        <v>0</v>
      </c>
      <c r="L214" t="n">
        <v>0</v>
      </c>
      <c r="M214" t="n">
        <v>0</v>
      </c>
      <c r="N214" t="n">
        <v>0</v>
      </c>
      <c r="O214" t="n">
        <v>0</v>
      </c>
      <c r="P214" t="n">
        <v>0</v>
      </c>
      <c r="Q214" t="n">
        <v>0</v>
      </c>
      <c r="R214" s="2" t="inlineStr"/>
    </row>
    <row r="215" ht="15" customHeight="1">
      <c r="A215" t="inlineStr">
        <is>
          <t>A 41292-2021</t>
        </is>
      </c>
      <c r="B215" s="1" t="n">
        <v>44424</v>
      </c>
      <c r="C215" s="1" t="n">
        <v>45936</v>
      </c>
      <c r="D215" t="inlineStr">
        <is>
          <t>VÄSTMANLANDS LÄN</t>
        </is>
      </c>
      <c r="E215" t="inlineStr">
        <is>
          <t>SALA</t>
        </is>
      </c>
      <c r="G215" t="n">
        <v>0.3</v>
      </c>
      <c r="H215" t="n">
        <v>0</v>
      </c>
      <c r="I215" t="n">
        <v>0</v>
      </c>
      <c r="J215" t="n">
        <v>0</v>
      </c>
      <c r="K215" t="n">
        <v>0</v>
      </c>
      <c r="L215" t="n">
        <v>0</v>
      </c>
      <c r="M215" t="n">
        <v>0</v>
      </c>
      <c r="N215" t="n">
        <v>0</v>
      </c>
      <c r="O215" t="n">
        <v>0</v>
      </c>
      <c r="P215" t="n">
        <v>0</v>
      </c>
      <c r="Q215" t="n">
        <v>0</v>
      </c>
      <c r="R215" s="2" t="inlineStr"/>
    </row>
    <row r="216" ht="15" customHeight="1">
      <c r="A216" t="inlineStr">
        <is>
          <t>A 24755-2021</t>
        </is>
      </c>
      <c r="B216" s="1" t="n">
        <v>44340</v>
      </c>
      <c r="C216" s="1" t="n">
        <v>45936</v>
      </c>
      <c r="D216" t="inlineStr">
        <is>
          <t>VÄSTMANLANDS LÄN</t>
        </is>
      </c>
      <c r="E216" t="inlineStr">
        <is>
          <t>SALA</t>
        </is>
      </c>
      <c r="G216" t="n">
        <v>1.2</v>
      </c>
      <c r="H216" t="n">
        <v>0</v>
      </c>
      <c r="I216" t="n">
        <v>0</v>
      </c>
      <c r="J216" t="n">
        <v>0</v>
      </c>
      <c r="K216" t="n">
        <v>0</v>
      </c>
      <c r="L216" t="n">
        <v>0</v>
      </c>
      <c r="M216" t="n">
        <v>0</v>
      </c>
      <c r="N216" t="n">
        <v>0</v>
      </c>
      <c r="O216" t="n">
        <v>0</v>
      </c>
      <c r="P216" t="n">
        <v>0</v>
      </c>
      <c r="Q216" t="n">
        <v>0</v>
      </c>
      <c r="R216" s="2" t="inlineStr"/>
    </row>
    <row r="217" ht="15" customHeight="1">
      <c r="A217" t="inlineStr">
        <is>
          <t>A 13855-2023</t>
        </is>
      </c>
      <c r="B217" s="1" t="n">
        <v>45007</v>
      </c>
      <c r="C217" s="1" t="n">
        <v>45936</v>
      </c>
      <c r="D217" t="inlineStr">
        <is>
          <t>VÄSTMANLANDS LÄN</t>
        </is>
      </c>
      <c r="E217" t="inlineStr">
        <is>
          <t>SALA</t>
        </is>
      </c>
      <c r="G217" t="n">
        <v>2.9</v>
      </c>
      <c r="H217" t="n">
        <v>0</v>
      </c>
      <c r="I217" t="n">
        <v>0</v>
      </c>
      <c r="J217" t="n">
        <v>0</v>
      </c>
      <c r="K217" t="n">
        <v>0</v>
      </c>
      <c r="L217" t="n">
        <v>0</v>
      </c>
      <c r="M217" t="n">
        <v>0</v>
      </c>
      <c r="N217" t="n">
        <v>0</v>
      </c>
      <c r="O217" t="n">
        <v>0</v>
      </c>
      <c r="P217" t="n">
        <v>0</v>
      </c>
      <c r="Q217" t="n">
        <v>0</v>
      </c>
      <c r="R217" s="2" t="inlineStr"/>
    </row>
    <row r="218" ht="15" customHeight="1">
      <c r="A218" t="inlineStr">
        <is>
          <t>A 33309-2022</t>
        </is>
      </c>
      <c r="B218" s="1" t="n">
        <v>44788.40986111111</v>
      </c>
      <c r="C218" s="1" t="n">
        <v>45936</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3546-2025</t>
        </is>
      </c>
      <c r="B219" s="1" t="n">
        <v>45680</v>
      </c>
      <c r="C219" s="1" t="n">
        <v>45936</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45936</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45936</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31869-2025</t>
        </is>
      </c>
      <c r="B222" s="1" t="n">
        <v>45834.64555555556</v>
      </c>
      <c r="C222" s="1" t="n">
        <v>45936</v>
      </c>
      <c r="D222" t="inlineStr">
        <is>
          <t>VÄSTMANLANDS LÄN</t>
        </is>
      </c>
      <c r="E222" t="inlineStr">
        <is>
          <t>SALA</t>
        </is>
      </c>
      <c r="G222" t="n">
        <v>17.5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45936</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44100-2025</t>
        </is>
      </c>
      <c r="B224" s="1" t="n">
        <v>45915.56707175926</v>
      </c>
      <c r="C224" s="1" t="n">
        <v>45936</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69232-2021</t>
        </is>
      </c>
      <c r="B225" s="1" t="n">
        <v>44531.39696759259</v>
      </c>
      <c r="C225" s="1" t="n">
        <v>45936</v>
      </c>
      <c r="D225" t="inlineStr">
        <is>
          <t>VÄSTMANLANDS LÄN</t>
        </is>
      </c>
      <c r="E225" t="inlineStr">
        <is>
          <t>SALA</t>
        </is>
      </c>
      <c r="G225" t="n">
        <v>2.3</v>
      </c>
      <c r="H225" t="n">
        <v>0</v>
      </c>
      <c r="I225" t="n">
        <v>0</v>
      </c>
      <c r="J225" t="n">
        <v>0</v>
      </c>
      <c r="K225" t="n">
        <v>0</v>
      </c>
      <c r="L225" t="n">
        <v>0</v>
      </c>
      <c r="M225" t="n">
        <v>0</v>
      </c>
      <c r="N225" t="n">
        <v>0</v>
      </c>
      <c r="O225" t="n">
        <v>0</v>
      </c>
      <c r="P225" t="n">
        <v>0</v>
      </c>
      <c r="Q225" t="n">
        <v>0</v>
      </c>
      <c r="R225" s="2" t="inlineStr"/>
    </row>
    <row r="226" ht="15" customHeight="1">
      <c r="A226" t="inlineStr">
        <is>
          <t>A 7664-2023</t>
        </is>
      </c>
      <c r="B226" s="1" t="n">
        <v>44972</v>
      </c>
      <c r="C226" s="1" t="n">
        <v>45936</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61717-2024</t>
        </is>
      </c>
      <c r="B227" s="1" t="n">
        <v>45648</v>
      </c>
      <c r="C227" s="1" t="n">
        <v>45936</v>
      </c>
      <c r="D227" t="inlineStr">
        <is>
          <t>VÄSTMANLANDS LÄN</t>
        </is>
      </c>
      <c r="E227" t="inlineStr">
        <is>
          <t>SALA</t>
        </is>
      </c>
      <c r="G227" t="n">
        <v>3.7</v>
      </c>
      <c r="H227" t="n">
        <v>0</v>
      </c>
      <c r="I227" t="n">
        <v>0</v>
      </c>
      <c r="J227" t="n">
        <v>0</v>
      </c>
      <c r="K227" t="n">
        <v>0</v>
      </c>
      <c r="L227" t="n">
        <v>0</v>
      </c>
      <c r="M227" t="n">
        <v>0</v>
      </c>
      <c r="N227" t="n">
        <v>0</v>
      </c>
      <c r="O227" t="n">
        <v>0</v>
      </c>
      <c r="P227" t="n">
        <v>0</v>
      </c>
      <c r="Q227" t="n">
        <v>0</v>
      </c>
      <c r="R227" s="2" t="inlineStr"/>
    </row>
    <row r="228" ht="15" customHeight="1">
      <c r="A228" t="inlineStr">
        <is>
          <t>A 17985-2025</t>
        </is>
      </c>
      <c r="B228" s="1" t="n">
        <v>45761</v>
      </c>
      <c r="C228" s="1" t="n">
        <v>45936</v>
      </c>
      <c r="D228" t="inlineStr">
        <is>
          <t>VÄSTMANLANDS LÄN</t>
        </is>
      </c>
      <c r="E228" t="inlineStr">
        <is>
          <t>SALA</t>
        </is>
      </c>
      <c r="G228" t="n">
        <v>12.5</v>
      </c>
      <c r="H228" t="n">
        <v>0</v>
      </c>
      <c r="I228" t="n">
        <v>0</v>
      </c>
      <c r="J228" t="n">
        <v>0</v>
      </c>
      <c r="K228" t="n">
        <v>0</v>
      </c>
      <c r="L228" t="n">
        <v>0</v>
      </c>
      <c r="M228" t="n">
        <v>0</v>
      </c>
      <c r="N228" t="n">
        <v>0</v>
      </c>
      <c r="O228" t="n">
        <v>0</v>
      </c>
      <c r="P228" t="n">
        <v>0</v>
      </c>
      <c r="Q228" t="n">
        <v>0</v>
      </c>
      <c r="R228" s="2" t="inlineStr"/>
    </row>
    <row r="229" ht="15" customHeight="1">
      <c r="A229" t="inlineStr">
        <is>
          <t>A 15272-2025</t>
        </is>
      </c>
      <c r="B229" s="1" t="n">
        <v>45744</v>
      </c>
      <c r="C229" s="1" t="n">
        <v>45936</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11183-2023</t>
        </is>
      </c>
      <c r="B230" s="1" t="n">
        <v>44992.57782407408</v>
      </c>
      <c r="C230" s="1" t="n">
        <v>45936</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11190-2023</t>
        </is>
      </c>
      <c r="B231" s="1" t="n">
        <v>44992</v>
      </c>
      <c r="C231" s="1" t="n">
        <v>45936</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17495-2024</t>
        </is>
      </c>
      <c r="B232" s="1" t="n">
        <v>45415</v>
      </c>
      <c r="C232" s="1" t="n">
        <v>45936</v>
      </c>
      <c r="D232" t="inlineStr">
        <is>
          <t>VÄSTMANLANDS LÄN</t>
        </is>
      </c>
      <c r="E232" t="inlineStr">
        <is>
          <t>SALA</t>
        </is>
      </c>
      <c r="G232" t="n">
        <v>3.1</v>
      </c>
      <c r="H232" t="n">
        <v>0</v>
      </c>
      <c r="I232" t="n">
        <v>0</v>
      </c>
      <c r="J232" t="n">
        <v>0</v>
      </c>
      <c r="K232" t="n">
        <v>0</v>
      </c>
      <c r="L232" t="n">
        <v>0</v>
      </c>
      <c r="M232" t="n">
        <v>0</v>
      </c>
      <c r="N232" t="n">
        <v>0</v>
      </c>
      <c r="O232" t="n">
        <v>0</v>
      </c>
      <c r="P232" t="n">
        <v>0</v>
      </c>
      <c r="Q232" t="n">
        <v>0</v>
      </c>
      <c r="R232" s="2" t="inlineStr"/>
    </row>
    <row r="233" ht="15" customHeight="1">
      <c r="A233" t="inlineStr">
        <is>
          <t>A 53838-2022</t>
        </is>
      </c>
      <c r="B233" s="1" t="n">
        <v>44880.59363425926</v>
      </c>
      <c r="C233" s="1" t="n">
        <v>45936</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6088-2021</t>
        </is>
      </c>
      <c r="B234" s="1" t="n">
        <v>44232</v>
      </c>
      <c r="C234" s="1" t="n">
        <v>45936</v>
      </c>
      <c r="D234" t="inlineStr">
        <is>
          <t>VÄSTMANLANDS LÄN</t>
        </is>
      </c>
      <c r="E234" t="inlineStr">
        <is>
          <t>SALA</t>
        </is>
      </c>
      <c r="G234" t="n">
        <v>0.2</v>
      </c>
      <c r="H234" t="n">
        <v>0</v>
      </c>
      <c r="I234" t="n">
        <v>0</v>
      </c>
      <c r="J234" t="n">
        <v>0</v>
      </c>
      <c r="K234" t="n">
        <v>0</v>
      </c>
      <c r="L234" t="n">
        <v>0</v>
      </c>
      <c r="M234" t="n">
        <v>0</v>
      </c>
      <c r="N234" t="n">
        <v>0</v>
      </c>
      <c r="O234" t="n">
        <v>0</v>
      </c>
      <c r="P234" t="n">
        <v>0</v>
      </c>
      <c r="Q234" t="n">
        <v>0</v>
      </c>
      <c r="R234" s="2" t="inlineStr"/>
    </row>
    <row r="235" ht="15" customHeight="1">
      <c r="A235" t="inlineStr">
        <is>
          <t>A 19398-2025</t>
        </is>
      </c>
      <c r="B235" s="1" t="n">
        <v>45769</v>
      </c>
      <c r="C235" s="1" t="n">
        <v>45936</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4797-2023</t>
        </is>
      </c>
      <c r="B236" s="1" t="n">
        <v>44957</v>
      </c>
      <c r="C236" s="1" t="n">
        <v>45936</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53166-2024</t>
        </is>
      </c>
      <c r="B237" s="1" t="n">
        <v>45611</v>
      </c>
      <c r="C237" s="1" t="n">
        <v>45936</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28827-2022</t>
        </is>
      </c>
      <c r="B238" s="1" t="n">
        <v>44749.45561342593</v>
      </c>
      <c r="C238" s="1" t="n">
        <v>45936</v>
      </c>
      <c r="D238" t="inlineStr">
        <is>
          <t>VÄSTMANLANDS LÄN</t>
        </is>
      </c>
      <c r="E238" t="inlineStr">
        <is>
          <t>SALA</t>
        </is>
      </c>
      <c r="F238" t="inlineStr">
        <is>
          <t>Kommuner</t>
        </is>
      </c>
      <c r="G238" t="n">
        <v>11.9</v>
      </c>
      <c r="H238" t="n">
        <v>0</v>
      </c>
      <c r="I238" t="n">
        <v>0</v>
      </c>
      <c r="J238" t="n">
        <v>0</v>
      </c>
      <c r="K238" t="n">
        <v>0</v>
      </c>
      <c r="L238" t="n">
        <v>0</v>
      </c>
      <c r="M238" t="n">
        <v>0</v>
      </c>
      <c r="N238" t="n">
        <v>0</v>
      </c>
      <c r="O238" t="n">
        <v>0</v>
      </c>
      <c r="P238" t="n">
        <v>0</v>
      </c>
      <c r="Q238" t="n">
        <v>0</v>
      </c>
      <c r="R238" s="2" t="inlineStr"/>
    </row>
    <row r="239" ht="15" customHeight="1">
      <c r="A239" t="inlineStr">
        <is>
          <t>A 17866-2025</t>
        </is>
      </c>
      <c r="B239" s="1" t="n">
        <v>45758</v>
      </c>
      <c r="C239" s="1" t="n">
        <v>45936</v>
      </c>
      <c r="D239" t="inlineStr">
        <is>
          <t>VÄSTMANLANDS LÄN</t>
        </is>
      </c>
      <c r="E239" t="inlineStr">
        <is>
          <t>SALA</t>
        </is>
      </c>
      <c r="F239" t="inlineStr">
        <is>
          <t>Bergvik skog öst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61517-2024</t>
        </is>
      </c>
      <c r="B240" s="1" t="n">
        <v>45645</v>
      </c>
      <c r="C240" s="1" t="n">
        <v>45936</v>
      </c>
      <c r="D240" t="inlineStr">
        <is>
          <t>VÄSTMANLANDS LÄN</t>
        </is>
      </c>
      <c r="E240" t="inlineStr">
        <is>
          <t>SALA</t>
        </is>
      </c>
      <c r="G240" t="n">
        <v>0.6</v>
      </c>
      <c r="H240" t="n">
        <v>0</v>
      </c>
      <c r="I240" t="n">
        <v>0</v>
      </c>
      <c r="J240" t="n">
        <v>0</v>
      </c>
      <c r="K240" t="n">
        <v>0</v>
      </c>
      <c r="L240" t="n">
        <v>0</v>
      </c>
      <c r="M240" t="n">
        <v>0</v>
      </c>
      <c r="N240" t="n">
        <v>0</v>
      </c>
      <c r="O240" t="n">
        <v>0</v>
      </c>
      <c r="P240" t="n">
        <v>0</v>
      </c>
      <c r="Q240" t="n">
        <v>0</v>
      </c>
      <c r="R240" s="2" t="inlineStr"/>
    </row>
    <row r="241" ht="15" customHeight="1">
      <c r="A241" t="inlineStr">
        <is>
          <t>A 54836-2024</t>
        </is>
      </c>
      <c r="B241" s="1" t="n">
        <v>45618</v>
      </c>
      <c r="C241" s="1" t="n">
        <v>45936</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28696-2023</t>
        </is>
      </c>
      <c r="B242" s="1" t="n">
        <v>45103.71759259259</v>
      </c>
      <c r="C242" s="1" t="n">
        <v>45936</v>
      </c>
      <c r="D242" t="inlineStr">
        <is>
          <t>VÄSTMANLANDS LÄN</t>
        </is>
      </c>
      <c r="E242" t="inlineStr">
        <is>
          <t>SALA</t>
        </is>
      </c>
      <c r="F242" t="inlineStr">
        <is>
          <t>Kommuner</t>
        </is>
      </c>
      <c r="G242" t="n">
        <v>5.9</v>
      </c>
      <c r="H242" t="n">
        <v>0</v>
      </c>
      <c r="I242" t="n">
        <v>0</v>
      </c>
      <c r="J242" t="n">
        <v>0</v>
      </c>
      <c r="K242" t="n">
        <v>0</v>
      </c>
      <c r="L242" t="n">
        <v>0</v>
      </c>
      <c r="M242" t="n">
        <v>0</v>
      </c>
      <c r="N242" t="n">
        <v>0</v>
      </c>
      <c r="O242" t="n">
        <v>0</v>
      </c>
      <c r="P242" t="n">
        <v>0</v>
      </c>
      <c r="Q242" t="n">
        <v>0</v>
      </c>
      <c r="R242" s="2" t="inlineStr"/>
    </row>
    <row r="243" ht="15" customHeight="1">
      <c r="A243" t="inlineStr">
        <is>
          <t>A 64729-2023</t>
        </is>
      </c>
      <c r="B243" s="1" t="n">
        <v>45281</v>
      </c>
      <c r="C243" s="1" t="n">
        <v>45936</v>
      </c>
      <c r="D243" t="inlineStr">
        <is>
          <t>VÄSTMANLANDS LÄN</t>
        </is>
      </c>
      <c r="E243" t="inlineStr">
        <is>
          <t>SALA</t>
        </is>
      </c>
      <c r="G243" t="n">
        <v>1.8</v>
      </c>
      <c r="H243" t="n">
        <v>0</v>
      </c>
      <c r="I243" t="n">
        <v>0</v>
      </c>
      <c r="J243" t="n">
        <v>0</v>
      </c>
      <c r="K243" t="n">
        <v>0</v>
      </c>
      <c r="L243" t="n">
        <v>0</v>
      </c>
      <c r="M243" t="n">
        <v>0</v>
      </c>
      <c r="N243" t="n">
        <v>0</v>
      </c>
      <c r="O243" t="n">
        <v>0</v>
      </c>
      <c r="P243" t="n">
        <v>0</v>
      </c>
      <c r="Q243" t="n">
        <v>0</v>
      </c>
      <c r="R243" s="2" t="inlineStr"/>
    </row>
    <row r="244" ht="15" customHeight="1">
      <c r="A244" t="inlineStr">
        <is>
          <t>A 10585-2022</t>
        </is>
      </c>
      <c r="B244" s="1" t="n">
        <v>44624</v>
      </c>
      <c r="C244" s="1" t="n">
        <v>45936</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1638-2023</t>
        </is>
      </c>
      <c r="B245" s="1" t="n">
        <v>44937</v>
      </c>
      <c r="C245" s="1" t="n">
        <v>45936</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6691-2025</t>
        </is>
      </c>
      <c r="B246" s="1" t="n">
        <v>45700.50625</v>
      </c>
      <c r="C246" s="1" t="n">
        <v>45936</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1934-2023</t>
        </is>
      </c>
      <c r="B247" s="1" t="n">
        <v>44939.43024305555</v>
      </c>
      <c r="C247" s="1" t="n">
        <v>45936</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44524-2025</t>
        </is>
      </c>
      <c r="B248" s="1" t="n">
        <v>45916.72920138889</v>
      </c>
      <c r="C248" s="1" t="n">
        <v>45936</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35519-2024</t>
        </is>
      </c>
      <c r="B249" s="1" t="n">
        <v>45531</v>
      </c>
      <c r="C249" s="1" t="n">
        <v>45936</v>
      </c>
      <c r="D249" t="inlineStr">
        <is>
          <t>VÄSTMANLANDS LÄN</t>
        </is>
      </c>
      <c r="E249" t="inlineStr">
        <is>
          <t>SALA</t>
        </is>
      </c>
      <c r="G249" t="n">
        <v>1.8</v>
      </c>
      <c r="H249" t="n">
        <v>0</v>
      </c>
      <c r="I249" t="n">
        <v>0</v>
      </c>
      <c r="J249" t="n">
        <v>0</v>
      </c>
      <c r="K249" t="n">
        <v>0</v>
      </c>
      <c r="L249" t="n">
        <v>0</v>
      </c>
      <c r="M249" t="n">
        <v>0</v>
      </c>
      <c r="N249" t="n">
        <v>0</v>
      </c>
      <c r="O249" t="n">
        <v>0</v>
      </c>
      <c r="P249" t="n">
        <v>0</v>
      </c>
      <c r="Q249" t="n">
        <v>0</v>
      </c>
      <c r="R249" s="2" t="inlineStr"/>
    </row>
    <row r="250" ht="15" customHeight="1">
      <c r="A250" t="inlineStr">
        <is>
          <t>A 37103-2025</t>
        </is>
      </c>
      <c r="B250" s="1" t="n">
        <v>45875.47743055555</v>
      </c>
      <c r="C250" s="1" t="n">
        <v>45936</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22523-2023</t>
        </is>
      </c>
      <c r="B251" s="1" t="n">
        <v>45069</v>
      </c>
      <c r="C251" s="1" t="n">
        <v>45936</v>
      </c>
      <c r="D251" t="inlineStr">
        <is>
          <t>VÄSTMANLANDS LÄN</t>
        </is>
      </c>
      <c r="E251" t="inlineStr">
        <is>
          <t>SALA</t>
        </is>
      </c>
      <c r="G251" t="n">
        <v>2.4</v>
      </c>
      <c r="H251" t="n">
        <v>0</v>
      </c>
      <c r="I251" t="n">
        <v>0</v>
      </c>
      <c r="J251" t="n">
        <v>0</v>
      </c>
      <c r="K251" t="n">
        <v>0</v>
      </c>
      <c r="L251" t="n">
        <v>0</v>
      </c>
      <c r="M251" t="n">
        <v>0</v>
      </c>
      <c r="N251" t="n">
        <v>0</v>
      </c>
      <c r="O251" t="n">
        <v>0</v>
      </c>
      <c r="P251" t="n">
        <v>0</v>
      </c>
      <c r="Q251" t="n">
        <v>0</v>
      </c>
      <c r="R251" s="2" t="inlineStr"/>
    </row>
    <row r="252" ht="15" customHeight="1">
      <c r="A252" t="inlineStr">
        <is>
          <t>A 44486-2025</t>
        </is>
      </c>
      <c r="B252" s="1" t="n">
        <v>45916.65517361111</v>
      </c>
      <c r="C252" s="1" t="n">
        <v>45936</v>
      </c>
      <c r="D252" t="inlineStr">
        <is>
          <t>VÄSTMANLANDS LÄN</t>
        </is>
      </c>
      <c r="E252" t="inlineStr">
        <is>
          <t>SALA</t>
        </is>
      </c>
      <c r="G252" t="n">
        <v>1.7</v>
      </c>
      <c r="H252" t="n">
        <v>0</v>
      </c>
      <c r="I252" t="n">
        <v>0</v>
      </c>
      <c r="J252" t="n">
        <v>0</v>
      </c>
      <c r="K252" t="n">
        <v>0</v>
      </c>
      <c r="L252" t="n">
        <v>0</v>
      </c>
      <c r="M252" t="n">
        <v>0</v>
      </c>
      <c r="N252" t="n">
        <v>0</v>
      </c>
      <c r="O252" t="n">
        <v>0</v>
      </c>
      <c r="P252" t="n">
        <v>0</v>
      </c>
      <c r="Q252" t="n">
        <v>0</v>
      </c>
      <c r="R252" s="2" t="inlineStr"/>
    </row>
    <row r="253" ht="15" customHeight="1">
      <c r="A253" t="inlineStr">
        <is>
          <t>A 37017-2025</t>
        </is>
      </c>
      <c r="B253" s="1" t="n">
        <v>45874</v>
      </c>
      <c r="C253" s="1" t="n">
        <v>45936</v>
      </c>
      <c r="D253" t="inlineStr">
        <is>
          <t>VÄSTMANLANDS LÄN</t>
        </is>
      </c>
      <c r="E253" t="inlineStr">
        <is>
          <t>SALA</t>
        </is>
      </c>
      <c r="G253" t="n">
        <v>11.1</v>
      </c>
      <c r="H253" t="n">
        <v>0</v>
      </c>
      <c r="I253" t="n">
        <v>0</v>
      </c>
      <c r="J253" t="n">
        <v>0</v>
      </c>
      <c r="K253" t="n">
        <v>0</v>
      </c>
      <c r="L253" t="n">
        <v>0</v>
      </c>
      <c r="M253" t="n">
        <v>0</v>
      </c>
      <c r="N253" t="n">
        <v>0</v>
      </c>
      <c r="O253" t="n">
        <v>0</v>
      </c>
      <c r="P253" t="n">
        <v>0</v>
      </c>
      <c r="Q253" t="n">
        <v>0</v>
      </c>
      <c r="R253" s="2" t="inlineStr"/>
    </row>
    <row r="254" ht="15" customHeight="1">
      <c r="A254" t="inlineStr">
        <is>
          <t>A 31609-2024</t>
        </is>
      </c>
      <c r="B254" s="1" t="n">
        <v>45506</v>
      </c>
      <c r="C254" s="1" t="n">
        <v>45936</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37246-2025</t>
        </is>
      </c>
      <c r="B255" s="1" t="n">
        <v>45876.39435185185</v>
      </c>
      <c r="C255" s="1" t="n">
        <v>45936</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56057-2023</t>
        </is>
      </c>
      <c r="B256" s="1" t="n">
        <v>45233</v>
      </c>
      <c r="C256" s="1" t="n">
        <v>45936</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37253-2025</t>
        </is>
      </c>
      <c r="B257" s="1" t="n">
        <v>45876.42290509259</v>
      </c>
      <c r="C257" s="1" t="n">
        <v>45936</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37263-2025</t>
        </is>
      </c>
      <c r="B258" s="1" t="n">
        <v>45876.4584837963</v>
      </c>
      <c r="C258" s="1" t="n">
        <v>45936</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15972-2024</t>
        </is>
      </c>
      <c r="B259" s="1" t="n">
        <v>45405.56498842593</v>
      </c>
      <c r="C259" s="1" t="n">
        <v>45936</v>
      </c>
      <c r="D259" t="inlineStr">
        <is>
          <t>VÄSTMANLANDS LÄN</t>
        </is>
      </c>
      <c r="E259" t="inlineStr">
        <is>
          <t>SALA</t>
        </is>
      </c>
      <c r="G259" t="n">
        <v>1.8</v>
      </c>
      <c r="H259" t="n">
        <v>0</v>
      </c>
      <c r="I259" t="n">
        <v>0</v>
      </c>
      <c r="J259" t="n">
        <v>0</v>
      </c>
      <c r="K259" t="n">
        <v>0</v>
      </c>
      <c r="L259" t="n">
        <v>0</v>
      </c>
      <c r="M259" t="n">
        <v>0</v>
      </c>
      <c r="N259" t="n">
        <v>0</v>
      </c>
      <c r="O259" t="n">
        <v>0</v>
      </c>
      <c r="P259" t="n">
        <v>0</v>
      </c>
      <c r="Q259" t="n">
        <v>0</v>
      </c>
      <c r="R259" s="2" t="inlineStr"/>
    </row>
    <row r="260" ht="15" customHeight="1">
      <c r="A260" t="inlineStr">
        <is>
          <t>A 37958-2024</t>
        </is>
      </c>
      <c r="B260" s="1" t="n">
        <v>45544</v>
      </c>
      <c r="C260" s="1" t="n">
        <v>45936</v>
      </c>
      <c r="D260" t="inlineStr">
        <is>
          <t>VÄSTMANLANDS LÄN</t>
        </is>
      </c>
      <c r="E260" t="inlineStr">
        <is>
          <t>SALA</t>
        </is>
      </c>
      <c r="G260" t="n">
        <v>5.6</v>
      </c>
      <c r="H260" t="n">
        <v>0</v>
      </c>
      <c r="I260" t="n">
        <v>0</v>
      </c>
      <c r="J260" t="n">
        <v>0</v>
      </c>
      <c r="K260" t="n">
        <v>0</v>
      </c>
      <c r="L260" t="n">
        <v>0</v>
      </c>
      <c r="M260" t="n">
        <v>0</v>
      </c>
      <c r="N260" t="n">
        <v>0</v>
      </c>
      <c r="O260" t="n">
        <v>0</v>
      </c>
      <c r="P260" t="n">
        <v>0</v>
      </c>
      <c r="Q260" t="n">
        <v>0</v>
      </c>
      <c r="R260" s="2" t="inlineStr"/>
    </row>
    <row r="261" ht="15" customHeight="1">
      <c r="A261" t="inlineStr">
        <is>
          <t>A 50241-2023</t>
        </is>
      </c>
      <c r="B261" s="1" t="n">
        <v>45216</v>
      </c>
      <c r="C261" s="1" t="n">
        <v>45936</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30971-2022</t>
        </is>
      </c>
      <c r="B262" s="1" t="n">
        <v>44768.46725694444</v>
      </c>
      <c r="C262" s="1" t="n">
        <v>45936</v>
      </c>
      <c r="D262" t="inlineStr">
        <is>
          <t>VÄSTMANLANDS LÄN</t>
        </is>
      </c>
      <c r="E262" t="inlineStr">
        <is>
          <t>SALA</t>
        </is>
      </c>
      <c r="G262" t="n">
        <v>2.4</v>
      </c>
      <c r="H262" t="n">
        <v>0</v>
      </c>
      <c r="I262" t="n">
        <v>0</v>
      </c>
      <c r="J262" t="n">
        <v>0</v>
      </c>
      <c r="K262" t="n">
        <v>0</v>
      </c>
      <c r="L262" t="n">
        <v>0</v>
      </c>
      <c r="M262" t="n">
        <v>0</v>
      </c>
      <c r="N262" t="n">
        <v>0</v>
      </c>
      <c r="O262" t="n">
        <v>0</v>
      </c>
      <c r="P262" t="n">
        <v>0</v>
      </c>
      <c r="Q262" t="n">
        <v>0</v>
      </c>
      <c r="R262" s="2" t="inlineStr"/>
    </row>
    <row r="263" ht="15" customHeight="1">
      <c r="A263" t="inlineStr">
        <is>
          <t>A 45177-2025</t>
        </is>
      </c>
      <c r="B263" s="1" t="n">
        <v>45919.52444444445</v>
      </c>
      <c r="C263" s="1" t="n">
        <v>45936</v>
      </c>
      <c r="D263" t="inlineStr">
        <is>
          <t>VÄSTMANLANDS LÄN</t>
        </is>
      </c>
      <c r="E263" t="inlineStr">
        <is>
          <t>SALA</t>
        </is>
      </c>
      <c r="G263" t="n">
        <v>2.4</v>
      </c>
      <c r="H263" t="n">
        <v>0</v>
      </c>
      <c r="I263" t="n">
        <v>0</v>
      </c>
      <c r="J263" t="n">
        <v>0</v>
      </c>
      <c r="K263" t="n">
        <v>0</v>
      </c>
      <c r="L263" t="n">
        <v>0</v>
      </c>
      <c r="M263" t="n">
        <v>0</v>
      </c>
      <c r="N263" t="n">
        <v>0</v>
      </c>
      <c r="O263" t="n">
        <v>0</v>
      </c>
      <c r="P263" t="n">
        <v>0</v>
      </c>
      <c r="Q263" t="n">
        <v>0</v>
      </c>
      <c r="R263" s="2" t="inlineStr"/>
    </row>
    <row r="264" ht="15" customHeight="1">
      <c r="A264" t="inlineStr">
        <is>
          <t>A 35637-2022</t>
        </is>
      </c>
      <c r="B264" s="1" t="n">
        <v>44799.55194444444</v>
      </c>
      <c r="C264" s="1" t="n">
        <v>45936</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19304-2025</t>
        </is>
      </c>
      <c r="B265" s="1" t="n">
        <v>45769</v>
      </c>
      <c r="C265" s="1" t="n">
        <v>45936</v>
      </c>
      <c r="D265" t="inlineStr">
        <is>
          <t>VÄSTMANLANDS LÄN</t>
        </is>
      </c>
      <c r="E265" t="inlineStr">
        <is>
          <t>SALA</t>
        </is>
      </c>
      <c r="F265" t="inlineStr">
        <is>
          <t>Bergvik skog öst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27038-2023</t>
        </is>
      </c>
      <c r="B266" s="1" t="n">
        <v>45095</v>
      </c>
      <c r="C266" s="1" t="n">
        <v>45936</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62635-2022</t>
        </is>
      </c>
      <c r="B267" s="1" t="n">
        <v>44917</v>
      </c>
      <c r="C267" s="1" t="n">
        <v>45936</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4852-2023</t>
        </is>
      </c>
      <c r="B268" s="1" t="n">
        <v>44957.72496527778</v>
      </c>
      <c r="C268" s="1" t="n">
        <v>45936</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39714-2023</t>
        </is>
      </c>
      <c r="B269" s="1" t="n">
        <v>45167.62133101852</v>
      </c>
      <c r="C269" s="1" t="n">
        <v>45936</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45936</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23182-2022</t>
        </is>
      </c>
      <c r="B271" s="1" t="n">
        <v>44719.79707175926</v>
      </c>
      <c r="C271" s="1" t="n">
        <v>45936</v>
      </c>
      <c r="D271" t="inlineStr">
        <is>
          <t>VÄSTMANLANDS LÄN</t>
        </is>
      </c>
      <c r="E271" t="inlineStr">
        <is>
          <t>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37590-2025</t>
        </is>
      </c>
      <c r="B272" s="1" t="n">
        <v>45880.41138888889</v>
      </c>
      <c r="C272" s="1" t="n">
        <v>45936</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37593-2025</t>
        </is>
      </c>
      <c r="B273" s="1" t="n">
        <v>45880.41325231481</v>
      </c>
      <c r="C273" s="1" t="n">
        <v>45936</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42984-2023</t>
        </is>
      </c>
      <c r="B274" s="1" t="n">
        <v>45179</v>
      </c>
      <c r="C274" s="1" t="n">
        <v>45936</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38636-2024</t>
        </is>
      </c>
      <c r="B275" s="1" t="n">
        <v>45546</v>
      </c>
      <c r="C275" s="1" t="n">
        <v>45936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50801-2020</t>
        </is>
      </c>
      <c r="B276" s="1" t="n">
        <v>44111</v>
      </c>
      <c r="C276" s="1" t="n">
        <v>45936</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31859-2023</t>
        </is>
      </c>
      <c r="B277" s="1" t="n">
        <v>45118</v>
      </c>
      <c r="C277" s="1" t="n">
        <v>45936</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c r="U277">
        <f>HYPERLINK("https://klasma.github.io/Logging_1981/knärot/A 31859-2023 karta knärot.png", "A 31859-2023")</f>
        <v/>
      </c>
      <c r="V277">
        <f>HYPERLINK("https://klasma.github.io/Logging_1981/klagomål/A 31859-2023 FSC-klagomål.docx", "A 31859-2023")</f>
        <v/>
      </c>
      <c r="W277">
        <f>HYPERLINK("https://klasma.github.io/Logging_1981/klagomålsmail/A 31859-2023 FSC-klagomål mail.docx", "A 31859-2023")</f>
        <v/>
      </c>
      <c r="X277">
        <f>HYPERLINK("https://klasma.github.io/Logging_1981/tillsyn/A 31859-2023 tillsynsbegäran.docx", "A 31859-2023")</f>
        <v/>
      </c>
      <c r="Y277">
        <f>HYPERLINK("https://klasma.github.io/Logging_1981/tillsynsmail/A 31859-2023 tillsynsbegäran mail.docx", "A 31859-2023")</f>
        <v/>
      </c>
    </row>
    <row r="278" ht="15" customHeight="1">
      <c r="A278" t="inlineStr">
        <is>
          <t>A 7469-2025</t>
        </is>
      </c>
      <c r="B278" s="1" t="n">
        <v>45705</v>
      </c>
      <c r="C278" s="1" t="n">
        <v>45936</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45371-2025</t>
        </is>
      </c>
      <c r="B279" s="1" t="n">
        <v>45922.39001157408</v>
      </c>
      <c r="C279" s="1" t="n">
        <v>45936</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57800-2020</t>
        </is>
      </c>
      <c r="B280" s="1" t="n">
        <v>44141</v>
      </c>
      <c r="C280" s="1" t="n">
        <v>45936</v>
      </c>
      <c r="D280" t="inlineStr">
        <is>
          <t>VÄSTMANLANDS LÄN</t>
        </is>
      </c>
      <c r="E280" t="inlineStr">
        <is>
          <t>SALA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60034-2024</t>
        </is>
      </c>
      <c r="B281" s="1" t="n">
        <v>45642.46261574074</v>
      </c>
      <c r="C281" s="1" t="n">
        <v>45936</v>
      </c>
      <c r="D281" t="inlineStr">
        <is>
          <t>VÄSTMANLANDS LÄN</t>
        </is>
      </c>
      <c r="E281" t="inlineStr">
        <is>
          <t>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56535-2022</t>
        </is>
      </c>
      <c r="B282" s="1" t="n">
        <v>44893.47173611111</v>
      </c>
      <c r="C282" s="1" t="n">
        <v>45936</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15756-2025</t>
        </is>
      </c>
      <c r="B283" s="1" t="n">
        <v>45748.56810185185</v>
      </c>
      <c r="C283" s="1" t="n">
        <v>45936</v>
      </c>
      <c r="D283" t="inlineStr">
        <is>
          <t>VÄSTMANLANDS LÄN</t>
        </is>
      </c>
      <c r="E283" t="inlineStr">
        <is>
          <t>SALA</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31000-2022</t>
        </is>
      </c>
      <c r="B284" s="1" t="n">
        <v>44768</v>
      </c>
      <c r="C284" s="1" t="n">
        <v>45936</v>
      </c>
      <c r="D284" t="inlineStr">
        <is>
          <t>VÄSTMANLANDS LÄN</t>
        </is>
      </c>
      <c r="E284" t="inlineStr">
        <is>
          <t>SALA</t>
        </is>
      </c>
      <c r="G284" t="n">
        <v>5.7</v>
      </c>
      <c r="H284" t="n">
        <v>0</v>
      </c>
      <c r="I284" t="n">
        <v>0</v>
      </c>
      <c r="J284" t="n">
        <v>0</v>
      </c>
      <c r="K284" t="n">
        <v>0</v>
      </c>
      <c r="L284" t="n">
        <v>0</v>
      </c>
      <c r="M284" t="n">
        <v>0</v>
      </c>
      <c r="N284" t="n">
        <v>0</v>
      </c>
      <c r="O284" t="n">
        <v>0</v>
      </c>
      <c r="P284" t="n">
        <v>0</v>
      </c>
      <c r="Q284" t="n">
        <v>0</v>
      </c>
      <c r="R284" s="2" t="inlineStr"/>
    </row>
    <row r="285" ht="15" customHeight="1">
      <c r="A285" t="inlineStr">
        <is>
          <t>A 37183-2024</t>
        </is>
      </c>
      <c r="B285" s="1" t="n">
        <v>45539</v>
      </c>
      <c r="C285" s="1" t="n">
        <v>45936</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34867-2023</t>
        </is>
      </c>
      <c r="B286" s="1" t="n">
        <v>45142.33481481481</v>
      </c>
      <c r="C286" s="1" t="n">
        <v>45936</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60550-2024</t>
        </is>
      </c>
      <c r="B287" s="1" t="n">
        <v>45643</v>
      </c>
      <c r="C287" s="1" t="n">
        <v>45936</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11631-2023</t>
        </is>
      </c>
      <c r="B288" s="1" t="n">
        <v>44994.44001157407</v>
      </c>
      <c r="C288" s="1" t="n">
        <v>45936</v>
      </c>
      <c r="D288" t="inlineStr">
        <is>
          <t>VÄSTMANLANDS LÄN</t>
        </is>
      </c>
      <c r="E288" t="inlineStr">
        <is>
          <t>SALA</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45909-2025</t>
        </is>
      </c>
      <c r="B289" s="1" t="n">
        <v>45923.75078703704</v>
      </c>
      <c r="C289" s="1" t="n">
        <v>45936</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27229-2022</t>
        </is>
      </c>
      <c r="B290" s="1" t="n">
        <v>44741</v>
      </c>
      <c r="C290" s="1" t="n">
        <v>45936</v>
      </c>
      <c r="D290" t="inlineStr">
        <is>
          <t>VÄSTMANLANDS LÄN</t>
        </is>
      </c>
      <c r="E290" t="inlineStr">
        <is>
          <t>SALA</t>
        </is>
      </c>
      <c r="F290" t="inlineStr">
        <is>
          <t>Kommuner</t>
        </is>
      </c>
      <c r="G290" t="n">
        <v>1.4</v>
      </c>
      <c r="H290" t="n">
        <v>0</v>
      </c>
      <c r="I290" t="n">
        <v>0</v>
      </c>
      <c r="J290" t="n">
        <v>0</v>
      </c>
      <c r="K290" t="n">
        <v>0</v>
      </c>
      <c r="L290" t="n">
        <v>0</v>
      </c>
      <c r="M290" t="n">
        <v>0</v>
      </c>
      <c r="N290" t="n">
        <v>0</v>
      </c>
      <c r="O290" t="n">
        <v>0</v>
      </c>
      <c r="P290" t="n">
        <v>0</v>
      </c>
      <c r="Q290" t="n">
        <v>0</v>
      </c>
      <c r="R290" s="2" t="inlineStr"/>
    </row>
    <row r="291" ht="15" customHeight="1">
      <c r="A291" t="inlineStr">
        <is>
          <t>A 17722-2025</t>
        </is>
      </c>
      <c r="B291" s="1" t="n">
        <v>45758</v>
      </c>
      <c r="C291" s="1" t="n">
        <v>45936</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13746-2025</t>
        </is>
      </c>
      <c r="B292" s="1" t="n">
        <v>45737.40944444444</v>
      </c>
      <c r="C292" s="1" t="n">
        <v>45936</v>
      </c>
      <c r="D292" t="inlineStr">
        <is>
          <t>VÄSTMANLANDS LÄN</t>
        </is>
      </c>
      <c r="E292" t="inlineStr">
        <is>
          <t>SALA</t>
        </is>
      </c>
      <c r="G292" t="n">
        <v>2.1</v>
      </c>
      <c r="H292" t="n">
        <v>0</v>
      </c>
      <c r="I292" t="n">
        <v>0</v>
      </c>
      <c r="J292" t="n">
        <v>0</v>
      </c>
      <c r="K292" t="n">
        <v>0</v>
      </c>
      <c r="L292" t="n">
        <v>0</v>
      </c>
      <c r="M292" t="n">
        <v>0</v>
      </c>
      <c r="N292" t="n">
        <v>0</v>
      </c>
      <c r="O292" t="n">
        <v>0</v>
      </c>
      <c r="P292" t="n">
        <v>0</v>
      </c>
      <c r="Q292" t="n">
        <v>0</v>
      </c>
      <c r="R292" s="2" t="inlineStr"/>
    </row>
    <row r="293" ht="15" customHeight="1">
      <c r="A293" t="inlineStr">
        <is>
          <t>A 29230-2022</t>
        </is>
      </c>
      <c r="B293" s="1" t="n">
        <v>44750</v>
      </c>
      <c r="C293" s="1" t="n">
        <v>45936</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59175-2022</t>
        </is>
      </c>
      <c r="B294" s="1" t="n">
        <v>44904.48502314815</v>
      </c>
      <c r="C294" s="1" t="n">
        <v>45936</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45914-2025</t>
        </is>
      </c>
      <c r="B295" s="1" t="n">
        <v>45923.82582175926</v>
      </c>
      <c r="C295" s="1" t="n">
        <v>45936</v>
      </c>
      <c r="D295" t="inlineStr">
        <is>
          <t>VÄSTMANLANDS LÄN</t>
        </is>
      </c>
      <c r="E295" t="inlineStr">
        <is>
          <t>SALA</t>
        </is>
      </c>
      <c r="F295" t="inlineStr">
        <is>
          <t>Kommuner</t>
        </is>
      </c>
      <c r="G295" t="n">
        <v>18.2</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45936</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48710-2024</t>
        </is>
      </c>
      <c r="B297" s="1" t="n">
        <v>45593.53636574074</v>
      </c>
      <c r="C297" s="1" t="n">
        <v>45936</v>
      </c>
      <c r="D297" t="inlineStr">
        <is>
          <t>VÄSTMANLANDS LÄN</t>
        </is>
      </c>
      <c r="E297" t="inlineStr">
        <is>
          <t>SALA</t>
        </is>
      </c>
      <c r="G297" t="n">
        <v>6.5</v>
      </c>
      <c r="H297" t="n">
        <v>0</v>
      </c>
      <c r="I297" t="n">
        <v>0</v>
      </c>
      <c r="J297" t="n">
        <v>0</v>
      </c>
      <c r="K297" t="n">
        <v>0</v>
      </c>
      <c r="L297" t="n">
        <v>0</v>
      </c>
      <c r="M297" t="n">
        <v>0</v>
      </c>
      <c r="N297" t="n">
        <v>0</v>
      </c>
      <c r="O297" t="n">
        <v>0</v>
      </c>
      <c r="P297" t="n">
        <v>0</v>
      </c>
      <c r="Q297" t="n">
        <v>0</v>
      </c>
      <c r="R297" s="2" t="inlineStr"/>
    </row>
    <row r="298" ht="15" customHeight="1">
      <c r="A298" t="inlineStr">
        <is>
          <t>A 19381-2025</t>
        </is>
      </c>
      <c r="B298" s="1" t="n">
        <v>45769</v>
      </c>
      <c r="C298" s="1" t="n">
        <v>45936</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1793-2023</t>
        </is>
      </c>
      <c r="B299" s="1" t="n">
        <v>44937</v>
      </c>
      <c r="C299" s="1" t="n">
        <v>45936</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16404-2022</t>
        </is>
      </c>
      <c r="B300" s="1" t="n">
        <v>44671</v>
      </c>
      <c r="C300" s="1" t="n">
        <v>45936</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42938-2023</t>
        </is>
      </c>
      <c r="B301" s="1" t="n">
        <v>45179</v>
      </c>
      <c r="C301" s="1" t="n">
        <v>45936</v>
      </c>
      <c r="D301" t="inlineStr">
        <is>
          <t>VÄSTMANLANDS LÄN</t>
        </is>
      </c>
      <c r="E301" t="inlineStr">
        <is>
          <t>SALA</t>
        </is>
      </c>
      <c r="G301" t="n">
        <v>10.9</v>
      </c>
      <c r="H301" t="n">
        <v>0</v>
      </c>
      <c r="I301" t="n">
        <v>0</v>
      </c>
      <c r="J301" t="n">
        <v>0</v>
      </c>
      <c r="K301" t="n">
        <v>0</v>
      </c>
      <c r="L301" t="n">
        <v>0</v>
      </c>
      <c r="M301" t="n">
        <v>0</v>
      </c>
      <c r="N301" t="n">
        <v>0</v>
      </c>
      <c r="O301" t="n">
        <v>0</v>
      </c>
      <c r="P301" t="n">
        <v>0</v>
      </c>
      <c r="Q301" t="n">
        <v>0</v>
      </c>
      <c r="R301" s="2" t="inlineStr"/>
    </row>
    <row r="302" ht="15" customHeight="1">
      <c r="A302" t="inlineStr">
        <is>
          <t>A 19222-2025</t>
        </is>
      </c>
      <c r="B302" s="1" t="n">
        <v>45769</v>
      </c>
      <c r="C302" s="1" t="n">
        <v>45936</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19241-2025</t>
        </is>
      </c>
      <c r="B303" s="1" t="n">
        <v>45769</v>
      </c>
      <c r="C303" s="1" t="n">
        <v>45936</v>
      </c>
      <c r="D303" t="inlineStr">
        <is>
          <t>VÄSTMANLANDS LÄN</t>
        </is>
      </c>
      <c r="E303" t="inlineStr">
        <is>
          <t>SALA</t>
        </is>
      </c>
      <c r="G303" t="n">
        <v>3.6</v>
      </c>
      <c r="H303" t="n">
        <v>0</v>
      </c>
      <c r="I303" t="n">
        <v>0</v>
      </c>
      <c r="J303" t="n">
        <v>0</v>
      </c>
      <c r="K303" t="n">
        <v>0</v>
      </c>
      <c r="L303" t="n">
        <v>0</v>
      </c>
      <c r="M303" t="n">
        <v>0</v>
      </c>
      <c r="N303" t="n">
        <v>0</v>
      </c>
      <c r="O303" t="n">
        <v>0</v>
      </c>
      <c r="P303" t="n">
        <v>0</v>
      </c>
      <c r="Q303" t="n">
        <v>0</v>
      </c>
      <c r="R303" s="2" t="inlineStr"/>
    </row>
    <row r="304" ht="15" customHeight="1">
      <c r="A304" t="inlineStr">
        <is>
          <t>A 43129-2025</t>
        </is>
      </c>
      <c r="B304" s="1" t="n">
        <v>45909</v>
      </c>
      <c r="C304" s="1" t="n">
        <v>45936</v>
      </c>
      <c r="D304" t="inlineStr">
        <is>
          <t>VÄSTMANLANDS LÄN</t>
        </is>
      </c>
      <c r="E304" t="inlineStr">
        <is>
          <t>SALA</t>
        </is>
      </c>
      <c r="G304" t="n">
        <v>2.4</v>
      </c>
      <c r="H304" t="n">
        <v>0</v>
      </c>
      <c r="I304" t="n">
        <v>0</v>
      </c>
      <c r="J304" t="n">
        <v>0</v>
      </c>
      <c r="K304" t="n">
        <v>0</v>
      </c>
      <c r="L304" t="n">
        <v>0</v>
      </c>
      <c r="M304" t="n">
        <v>0</v>
      </c>
      <c r="N304" t="n">
        <v>0</v>
      </c>
      <c r="O304" t="n">
        <v>0</v>
      </c>
      <c r="P304" t="n">
        <v>0</v>
      </c>
      <c r="Q304" t="n">
        <v>0</v>
      </c>
      <c r="R304" s="2" t="inlineStr"/>
    </row>
    <row r="305" ht="15" customHeight="1">
      <c r="A305" t="inlineStr">
        <is>
          <t>A 29248-2022</t>
        </is>
      </c>
      <c r="B305" s="1" t="n">
        <v>44750</v>
      </c>
      <c r="C305" s="1" t="n">
        <v>45936</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38294-2025</t>
        </is>
      </c>
      <c r="B306" s="1" t="n">
        <v>45883.44854166666</v>
      </c>
      <c r="C306" s="1" t="n">
        <v>45936</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60823-2024</t>
        </is>
      </c>
      <c r="B307" s="1" t="n">
        <v>45644</v>
      </c>
      <c r="C307" s="1" t="n">
        <v>45936</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22397-2022</t>
        </is>
      </c>
      <c r="B308" s="1" t="n">
        <v>44713</v>
      </c>
      <c r="C308" s="1" t="n">
        <v>45936</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43359-2024</t>
        </is>
      </c>
      <c r="B309" s="1" t="n">
        <v>45568.57724537037</v>
      </c>
      <c r="C309" s="1" t="n">
        <v>45936</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29972-2025</t>
        </is>
      </c>
      <c r="B310" s="1" t="n">
        <v>45826</v>
      </c>
      <c r="C310" s="1" t="n">
        <v>45936</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61681-2024</t>
        </is>
      </c>
      <c r="B311" s="1" t="n">
        <v>45647</v>
      </c>
      <c r="C311" s="1" t="n">
        <v>45936</v>
      </c>
      <c r="D311" t="inlineStr">
        <is>
          <t>VÄSTMANLANDS LÄN</t>
        </is>
      </c>
      <c r="E311" t="inlineStr">
        <is>
          <t>SALA</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50818-2020</t>
        </is>
      </c>
      <c r="B312" s="1" t="n">
        <v>44111</v>
      </c>
      <c r="C312" s="1" t="n">
        <v>45936</v>
      </c>
      <c r="D312" t="inlineStr">
        <is>
          <t>VÄSTMANLANDS LÄN</t>
        </is>
      </c>
      <c r="E312" t="inlineStr">
        <is>
          <t>SALA</t>
        </is>
      </c>
      <c r="G312" t="n">
        <v>0.4</v>
      </c>
      <c r="H312" t="n">
        <v>0</v>
      </c>
      <c r="I312" t="n">
        <v>0</v>
      </c>
      <c r="J312" t="n">
        <v>0</v>
      </c>
      <c r="K312" t="n">
        <v>0</v>
      </c>
      <c r="L312" t="n">
        <v>0</v>
      </c>
      <c r="M312" t="n">
        <v>0</v>
      </c>
      <c r="N312" t="n">
        <v>0</v>
      </c>
      <c r="O312" t="n">
        <v>0</v>
      </c>
      <c r="P312" t="n">
        <v>0</v>
      </c>
      <c r="Q312" t="n">
        <v>0</v>
      </c>
      <c r="R312" s="2" t="inlineStr"/>
    </row>
    <row r="313" ht="15" customHeight="1">
      <c r="A313" t="inlineStr">
        <is>
          <t>A 24248-2023</t>
        </is>
      </c>
      <c r="B313" s="1" t="n">
        <v>45079</v>
      </c>
      <c r="C313" s="1" t="n">
        <v>45936</v>
      </c>
      <c r="D313" t="inlineStr">
        <is>
          <t>VÄSTMANLANDS LÄN</t>
        </is>
      </c>
      <c r="E313" t="inlineStr">
        <is>
          <t>SALA</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28863-2022</t>
        </is>
      </c>
      <c r="B314" s="1" t="n">
        <v>44749.50649305555</v>
      </c>
      <c r="C314" s="1" t="n">
        <v>45936</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43122-2025</t>
        </is>
      </c>
      <c r="B315" s="1" t="n">
        <v>45909</v>
      </c>
      <c r="C315" s="1" t="n">
        <v>45936</v>
      </c>
      <c r="D315" t="inlineStr">
        <is>
          <t>VÄSTMANLANDS LÄN</t>
        </is>
      </c>
      <c r="E315" t="inlineStr">
        <is>
          <t>SALA</t>
        </is>
      </c>
      <c r="G315" t="n">
        <v>3.2</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45936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43128-2025</t>
        </is>
      </c>
      <c r="B317" s="1" t="n">
        <v>45909</v>
      </c>
      <c r="C317" s="1" t="n">
        <v>45936</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43130-2025</t>
        </is>
      </c>
      <c r="B318" s="1" t="n">
        <v>45909</v>
      </c>
      <c r="C318" s="1" t="n">
        <v>45936</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10559-2024</t>
        </is>
      </c>
      <c r="B319" s="1" t="n">
        <v>45366</v>
      </c>
      <c r="C319" s="1" t="n">
        <v>45936</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40214-2023</t>
        </is>
      </c>
      <c r="B320" s="1" t="n">
        <v>45169.45173611111</v>
      </c>
      <c r="C320" s="1" t="n">
        <v>45936</v>
      </c>
      <c r="D320" t="inlineStr">
        <is>
          <t>VÄSTMANLANDS LÄN</t>
        </is>
      </c>
      <c r="E320" t="inlineStr">
        <is>
          <t>SALA</t>
        </is>
      </c>
      <c r="G320" t="n">
        <v>5.5</v>
      </c>
      <c r="H320" t="n">
        <v>0</v>
      </c>
      <c r="I320" t="n">
        <v>0</v>
      </c>
      <c r="J320" t="n">
        <v>0</v>
      </c>
      <c r="K320" t="n">
        <v>0</v>
      </c>
      <c r="L320" t="n">
        <v>0</v>
      </c>
      <c r="M320" t="n">
        <v>0</v>
      </c>
      <c r="N320" t="n">
        <v>0</v>
      </c>
      <c r="O320" t="n">
        <v>0</v>
      </c>
      <c r="P320" t="n">
        <v>0</v>
      </c>
      <c r="Q320" t="n">
        <v>0</v>
      </c>
      <c r="R320" s="2" t="inlineStr"/>
    </row>
    <row r="321" ht="15" customHeight="1">
      <c r="A321" t="inlineStr">
        <is>
          <t>A 9856-2022</t>
        </is>
      </c>
      <c r="B321" s="1" t="n">
        <v>44620</v>
      </c>
      <c r="C321" s="1" t="n">
        <v>45936</v>
      </c>
      <c r="D321" t="inlineStr">
        <is>
          <t>VÄSTMANLANDS LÄN</t>
        </is>
      </c>
      <c r="E321" t="inlineStr">
        <is>
          <t>SALA</t>
        </is>
      </c>
      <c r="G321" t="n">
        <v>2.4</v>
      </c>
      <c r="H321" t="n">
        <v>0</v>
      </c>
      <c r="I321" t="n">
        <v>0</v>
      </c>
      <c r="J321" t="n">
        <v>0</v>
      </c>
      <c r="K321" t="n">
        <v>0</v>
      </c>
      <c r="L321" t="n">
        <v>0</v>
      </c>
      <c r="M321" t="n">
        <v>0</v>
      </c>
      <c r="N321" t="n">
        <v>0</v>
      </c>
      <c r="O321" t="n">
        <v>0</v>
      </c>
      <c r="P321" t="n">
        <v>0</v>
      </c>
      <c r="Q321" t="n">
        <v>0</v>
      </c>
      <c r="R321" s="2" t="inlineStr"/>
    </row>
    <row r="322" ht="15" customHeight="1">
      <c r="A322" t="inlineStr">
        <is>
          <t>A 18100-2023</t>
        </is>
      </c>
      <c r="B322" s="1" t="n">
        <v>45040</v>
      </c>
      <c r="C322" s="1" t="n">
        <v>45936</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49661-2024</t>
        </is>
      </c>
      <c r="B323" s="1" t="n">
        <v>45596</v>
      </c>
      <c r="C323" s="1" t="n">
        <v>45936</v>
      </c>
      <c r="D323" t="inlineStr">
        <is>
          <t>VÄSTMANLANDS LÄN</t>
        </is>
      </c>
      <c r="E323" t="inlineStr">
        <is>
          <t>SALA</t>
        </is>
      </c>
      <c r="G323" t="n">
        <v>6.7</v>
      </c>
      <c r="H323" t="n">
        <v>0</v>
      </c>
      <c r="I323" t="n">
        <v>0</v>
      </c>
      <c r="J323" t="n">
        <v>0</v>
      </c>
      <c r="K323" t="n">
        <v>0</v>
      </c>
      <c r="L323" t="n">
        <v>0</v>
      </c>
      <c r="M323" t="n">
        <v>0</v>
      </c>
      <c r="N323" t="n">
        <v>0</v>
      </c>
      <c r="O323" t="n">
        <v>0</v>
      </c>
      <c r="P323" t="n">
        <v>0</v>
      </c>
      <c r="Q323" t="n">
        <v>0</v>
      </c>
      <c r="R323" s="2" t="inlineStr"/>
    </row>
    <row r="324" ht="15" customHeight="1">
      <c r="A324" t="inlineStr">
        <is>
          <t>A 7681-2021</t>
        </is>
      </c>
      <c r="B324" s="1" t="n">
        <v>44242</v>
      </c>
      <c r="C324" s="1" t="n">
        <v>45936</v>
      </c>
      <c r="D324" t="inlineStr">
        <is>
          <t>VÄSTMANLANDS LÄN</t>
        </is>
      </c>
      <c r="E324" t="inlineStr">
        <is>
          <t>SALA</t>
        </is>
      </c>
      <c r="F324" t="inlineStr">
        <is>
          <t>Sveaskog</t>
        </is>
      </c>
      <c r="G324" t="n">
        <v>16.1</v>
      </c>
      <c r="H324" t="n">
        <v>0</v>
      </c>
      <c r="I324" t="n">
        <v>0</v>
      </c>
      <c r="J324" t="n">
        <v>0</v>
      </c>
      <c r="K324" t="n">
        <v>0</v>
      </c>
      <c r="L324" t="n">
        <v>0</v>
      </c>
      <c r="M324" t="n">
        <v>0</v>
      </c>
      <c r="N324" t="n">
        <v>0</v>
      </c>
      <c r="O324" t="n">
        <v>0</v>
      </c>
      <c r="P324" t="n">
        <v>0</v>
      </c>
      <c r="Q324" t="n">
        <v>0</v>
      </c>
      <c r="R324" s="2" t="inlineStr"/>
    </row>
    <row r="325" ht="15" customHeight="1">
      <c r="A325" t="inlineStr">
        <is>
          <t>A 14919-2025</t>
        </is>
      </c>
      <c r="B325" s="1" t="n">
        <v>45743.54256944444</v>
      </c>
      <c r="C325" s="1" t="n">
        <v>45936</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14920-2025</t>
        </is>
      </c>
      <c r="B326" s="1" t="n">
        <v>45743</v>
      </c>
      <c r="C326" s="1" t="n">
        <v>45936</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45936</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59297-2023</t>
        </is>
      </c>
      <c r="B328" s="1" t="n">
        <v>45253</v>
      </c>
      <c r="C328" s="1" t="n">
        <v>45936</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56098-2020</t>
        </is>
      </c>
      <c r="B329" s="1" t="n">
        <v>44132</v>
      </c>
      <c r="C329" s="1" t="n">
        <v>45936</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45936</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15965-2024</t>
        </is>
      </c>
      <c r="B331" s="1" t="n">
        <v>45405.55740740741</v>
      </c>
      <c r="C331" s="1" t="n">
        <v>45936</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23374-2023</t>
        </is>
      </c>
      <c r="B332" s="1" t="n">
        <v>45076.4399537037</v>
      </c>
      <c r="C332" s="1" t="n">
        <v>45936</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6134-2024</t>
        </is>
      </c>
      <c r="B333" s="1" t="n">
        <v>45337</v>
      </c>
      <c r="C333" s="1" t="n">
        <v>45936</v>
      </c>
      <c r="D333" t="inlineStr">
        <is>
          <t>VÄSTMANLANDS LÄN</t>
        </is>
      </c>
      <c r="E333" t="inlineStr">
        <is>
          <t>SALA</t>
        </is>
      </c>
      <c r="G333" t="n">
        <v>1.8</v>
      </c>
      <c r="H333" t="n">
        <v>0</v>
      </c>
      <c r="I333" t="n">
        <v>0</v>
      </c>
      <c r="J333" t="n">
        <v>0</v>
      </c>
      <c r="K333" t="n">
        <v>0</v>
      </c>
      <c r="L333" t="n">
        <v>0</v>
      </c>
      <c r="M333" t="n">
        <v>0</v>
      </c>
      <c r="N333" t="n">
        <v>0</v>
      </c>
      <c r="O333" t="n">
        <v>0</v>
      </c>
      <c r="P333" t="n">
        <v>0</v>
      </c>
      <c r="Q333" t="n">
        <v>0</v>
      </c>
      <c r="R333" s="2" t="inlineStr"/>
    </row>
    <row r="334" ht="15" customHeight="1">
      <c r="A334" t="inlineStr">
        <is>
          <t>A 2900-2023</t>
        </is>
      </c>
      <c r="B334" s="1" t="n">
        <v>44943</v>
      </c>
      <c r="C334" s="1" t="n">
        <v>45936</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48117-2024</t>
        </is>
      </c>
      <c r="B335" s="1" t="n">
        <v>45589</v>
      </c>
      <c r="C335" s="1" t="n">
        <v>45936</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6030-2024</t>
        </is>
      </c>
      <c r="B336" s="1" t="n">
        <v>45336.62782407407</v>
      </c>
      <c r="C336" s="1" t="n">
        <v>45936</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52630-2022</t>
        </is>
      </c>
      <c r="B337" s="1" t="n">
        <v>44874</v>
      </c>
      <c r="C337" s="1" t="n">
        <v>45936</v>
      </c>
      <c r="D337" t="inlineStr">
        <is>
          <t>VÄSTMANLANDS LÄN</t>
        </is>
      </c>
      <c r="E337" t="inlineStr">
        <is>
          <t>SALA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44442.57797453704</v>
      </c>
      <c r="C338" s="1" t="n">
        <v>45936</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23180-2022</t>
        </is>
      </c>
      <c r="B339" s="1" t="n">
        <v>44719.79344907407</v>
      </c>
      <c r="C339" s="1" t="n">
        <v>45936</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21455-2023</t>
        </is>
      </c>
      <c r="B340" s="1" t="n">
        <v>45058</v>
      </c>
      <c r="C340" s="1" t="n">
        <v>45936</v>
      </c>
      <c r="D340" t="inlineStr">
        <is>
          <t>VÄSTMANLANDS LÄN</t>
        </is>
      </c>
      <c r="E340" t="inlineStr">
        <is>
          <t>SALA</t>
        </is>
      </c>
      <c r="G340" t="n">
        <v>6.4</v>
      </c>
      <c r="H340" t="n">
        <v>0</v>
      </c>
      <c r="I340" t="n">
        <v>0</v>
      </c>
      <c r="J340" t="n">
        <v>0</v>
      </c>
      <c r="K340" t="n">
        <v>0</v>
      </c>
      <c r="L340" t="n">
        <v>0</v>
      </c>
      <c r="M340" t="n">
        <v>0</v>
      </c>
      <c r="N340" t="n">
        <v>0</v>
      </c>
      <c r="O340" t="n">
        <v>0</v>
      </c>
      <c r="P340" t="n">
        <v>0</v>
      </c>
      <c r="Q340" t="n">
        <v>0</v>
      </c>
      <c r="R340" s="2" t="inlineStr"/>
    </row>
    <row r="341" ht="15" customHeight="1">
      <c r="A341" t="inlineStr">
        <is>
          <t>A 14690-2025</t>
        </is>
      </c>
      <c r="B341" s="1" t="n">
        <v>45742.58212962963</v>
      </c>
      <c r="C341" s="1" t="n">
        <v>45936</v>
      </c>
      <c r="D341" t="inlineStr">
        <is>
          <t>VÄSTMANLANDS LÄN</t>
        </is>
      </c>
      <c r="E341" t="inlineStr">
        <is>
          <t>SALA</t>
        </is>
      </c>
      <c r="G341" t="n">
        <v>3.4</v>
      </c>
      <c r="H341" t="n">
        <v>0</v>
      </c>
      <c r="I341" t="n">
        <v>0</v>
      </c>
      <c r="J341" t="n">
        <v>0</v>
      </c>
      <c r="K341" t="n">
        <v>0</v>
      </c>
      <c r="L341" t="n">
        <v>0</v>
      </c>
      <c r="M341" t="n">
        <v>0</v>
      </c>
      <c r="N341" t="n">
        <v>0</v>
      </c>
      <c r="O341" t="n">
        <v>0</v>
      </c>
      <c r="P341" t="n">
        <v>0</v>
      </c>
      <c r="Q341" t="n">
        <v>0</v>
      </c>
      <c r="R341" s="2" t="inlineStr"/>
    </row>
    <row r="342" ht="15" customHeight="1">
      <c r="A342" t="inlineStr">
        <is>
          <t>A 2521-2025</t>
        </is>
      </c>
      <c r="B342" s="1" t="n">
        <v>45674</v>
      </c>
      <c r="C342" s="1" t="n">
        <v>45936</v>
      </c>
      <c r="D342" t="inlineStr">
        <is>
          <t>VÄSTMANLANDS LÄN</t>
        </is>
      </c>
      <c r="E342" t="inlineStr">
        <is>
          <t>SALA</t>
        </is>
      </c>
      <c r="G342" t="n">
        <v>3.5</v>
      </c>
      <c r="H342" t="n">
        <v>0</v>
      </c>
      <c r="I342" t="n">
        <v>0</v>
      </c>
      <c r="J342" t="n">
        <v>0</v>
      </c>
      <c r="K342" t="n">
        <v>0</v>
      </c>
      <c r="L342" t="n">
        <v>0</v>
      </c>
      <c r="M342" t="n">
        <v>0</v>
      </c>
      <c r="N342" t="n">
        <v>0</v>
      </c>
      <c r="O342" t="n">
        <v>0</v>
      </c>
      <c r="P342" t="n">
        <v>0</v>
      </c>
      <c r="Q342" t="n">
        <v>0</v>
      </c>
      <c r="R342" s="2" t="inlineStr"/>
    </row>
    <row r="343" ht="15" customHeight="1">
      <c r="A343" t="inlineStr">
        <is>
          <t>A 4736-2021</t>
        </is>
      </c>
      <c r="B343" s="1" t="n">
        <v>44225</v>
      </c>
      <c r="C343" s="1" t="n">
        <v>45936</v>
      </c>
      <c r="D343" t="inlineStr">
        <is>
          <t>VÄSTMANLANDS LÄN</t>
        </is>
      </c>
      <c r="E343" t="inlineStr">
        <is>
          <t>SALA</t>
        </is>
      </c>
      <c r="G343" t="n">
        <v>4.2</v>
      </c>
      <c r="H343" t="n">
        <v>0</v>
      </c>
      <c r="I343" t="n">
        <v>0</v>
      </c>
      <c r="J343" t="n">
        <v>0</v>
      </c>
      <c r="K343" t="n">
        <v>0</v>
      </c>
      <c r="L343" t="n">
        <v>0</v>
      </c>
      <c r="M343" t="n">
        <v>0</v>
      </c>
      <c r="N343" t="n">
        <v>0</v>
      </c>
      <c r="O343" t="n">
        <v>0</v>
      </c>
      <c r="P343" t="n">
        <v>0</v>
      </c>
      <c r="Q343" t="n">
        <v>0</v>
      </c>
      <c r="R343" s="2" t="inlineStr"/>
    </row>
    <row r="344" ht="15" customHeight="1">
      <c r="A344" t="inlineStr">
        <is>
          <t>A 21053-2022</t>
        </is>
      </c>
      <c r="B344" s="1" t="n">
        <v>44704</v>
      </c>
      <c r="C344" s="1" t="n">
        <v>45936</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60548-2024</t>
        </is>
      </c>
      <c r="B345" s="1" t="n">
        <v>45643.80978009259</v>
      </c>
      <c r="C345" s="1" t="n">
        <v>45936</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11927-2025</t>
        </is>
      </c>
      <c r="B346" s="1" t="n">
        <v>45728.5137962963</v>
      </c>
      <c r="C346" s="1" t="n">
        <v>45936</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31082-2021</t>
        </is>
      </c>
      <c r="B347" s="1" t="n">
        <v>44368</v>
      </c>
      <c r="C347" s="1" t="n">
        <v>45936</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26761-2023</t>
        </is>
      </c>
      <c r="B348" s="1" t="n">
        <v>45093</v>
      </c>
      <c r="C348" s="1" t="n">
        <v>45936</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55035-2023</t>
        </is>
      </c>
      <c r="B349" s="1" t="n">
        <v>45229</v>
      </c>
      <c r="C349" s="1" t="n">
        <v>45936</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50876-2023</t>
        </is>
      </c>
      <c r="B350" s="1" t="n">
        <v>45211</v>
      </c>
      <c r="C350" s="1" t="n">
        <v>45936</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10255-2024</t>
        </is>
      </c>
      <c r="B351" s="1" t="n">
        <v>45365</v>
      </c>
      <c r="C351" s="1" t="n">
        <v>45936</v>
      </c>
      <c r="D351" t="inlineStr">
        <is>
          <t>VÄSTMANLANDS LÄN</t>
        </is>
      </c>
      <c r="E351" t="inlineStr">
        <is>
          <t>SALA</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62648-2022</t>
        </is>
      </c>
      <c r="B352" s="1" t="n">
        <v>44917</v>
      </c>
      <c r="C352" s="1" t="n">
        <v>45936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31470-2021</t>
        </is>
      </c>
      <c r="B353" s="1" t="n">
        <v>44369</v>
      </c>
      <c r="C353" s="1" t="n">
        <v>45936</v>
      </c>
      <c r="D353" t="inlineStr">
        <is>
          <t>VÄSTMANLANDS LÄN</t>
        </is>
      </c>
      <c r="E353" t="inlineStr">
        <is>
          <t>SALA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60249-2023</t>
        </is>
      </c>
      <c r="B354" s="1" t="n">
        <v>45258</v>
      </c>
      <c r="C354" s="1" t="n">
        <v>45936</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73673-2021</t>
        </is>
      </c>
      <c r="B355" s="1" t="n">
        <v>44552.46501157407</v>
      </c>
      <c r="C355" s="1" t="n">
        <v>45936</v>
      </c>
      <c r="D355" t="inlineStr">
        <is>
          <t>VÄSTMANLANDS LÄN</t>
        </is>
      </c>
      <c r="E355" t="inlineStr">
        <is>
          <t>SALA</t>
        </is>
      </c>
      <c r="G355" t="n">
        <v>11.4</v>
      </c>
      <c r="H355" t="n">
        <v>0</v>
      </c>
      <c r="I355" t="n">
        <v>0</v>
      </c>
      <c r="J355" t="n">
        <v>0</v>
      </c>
      <c r="K355" t="n">
        <v>0</v>
      </c>
      <c r="L355" t="n">
        <v>0</v>
      </c>
      <c r="M355" t="n">
        <v>0</v>
      </c>
      <c r="N355" t="n">
        <v>0</v>
      </c>
      <c r="O355" t="n">
        <v>0</v>
      </c>
      <c r="P355" t="n">
        <v>0</v>
      </c>
      <c r="Q355" t="n">
        <v>0</v>
      </c>
      <c r="R355" s="2" t="inlineStr"/>
    </row>
    <row r="356" ht="15" customHeight="1">
      <c r="A356" t="inlineStr">
        <is>
          <t>A 24175-2024</t>
        </is>
      </c>
      <c r="B356" s="1" t="n">
        <v>45456</v>
      </c>
      <c r="C356" s="1" t="n">
        <v>45936</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56548-2024</t>
        </is>
      </c>
      <c r="B357" s="1" t="n">
        <v>45625</v>
      </c>
      <c r="C357" s="1" t="n">
        <v>45936</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28328-2023</t>
        </is>
      </c>
      <c r="B358" s="1" t="n">
        <v>45099.71063657408</v>
      </c>
      <c r="C358" s="1" t="n">
        <v>45936</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5477-2024</t>
        </is>
      </c>
      <c r="B359" s="1" t="n">
        <v>45333.67833333334</v>
      </c>
      <c r="C359" s="1" t="n">
        <v>45936</v>
      </c>
      <c r="D359" t="inlineStr">
        <is>
          <t>VÄSTMANLANDS LÄN</t>
        </is>
      </c>
      <c r="E359" t="inlineStr">
        <is>
          <t>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39451-2022</t>
        </is>
      </c>
      <c r="B360" s="1" t="n">
        <v>44818.36606481481</v>
      </c>
      <c r="C360" s="1" t="n">
        <v>45936</v>
      </c>
      <c r="D360" t="inlineStr">
        <is>
          <t>VÄSTMANLANDS LÄN</t>
        </is>
      </c>
      <c r="E360" t="inlineStr">
        <is>
          <t>SALA</t>
        </is>
      </c>
      <c r="G360" t="n">
        <v>9.4</v>
      </c>
      <c r="H360" t="n">
        <v>0</v>
      </c>
      <c r="I360" t="n">
        <v>0</v>
      </c>
      <c r="J360" t="n">
        <v>0</v>
      </c>
      <c r="K360" t="n">
        <v>0</v>
      </c>
      <c r="L360" t="n">
        <v>0</v>
      </c>
      <c r="M360" t="n">
        <v>0</v>
      </c>
      <c r="N360" t="n">
        <v>0</v>
      </c>
      <c r="O360" t="n">
        <v>0</v>
      </c>
      <c r="P360" t="n">
        <v>0</v>
      </c>
      <c r="Q360" t="n">
        <v>0</v>
      </c>
      <c r="R360" s="2" t="inlineStr"/>
    </row>
    <row r="361" ht="15" customHeight="1">
      <c r="A361" t="inlineStr">
        <is>
          <t>A 61715-2024</t>
        </is>
      </c>
      <c r="B361" s="1" t="n">
        <v>45648.89519675926</v>
      </c>
      <c r="C361" s="1" t="n">
        <v>45936</v>
      </c>
      <c r="D361" t="inlineStr">
        <is>
          <t>VÄSTMANLANDS LÄN</t>
        </is>
      </c>
      <c r="E361" t="inlineStr">
        <is>
          <t>SALA</t>
        </is>
      </c>
      <c r="G361" t="n">
        <v>2.5</v>
      </c>
      <c r="H361" t="n">
        <v>0</v>
      </c>
      <c r="I361" t="n">
        <v>0</v>
      </c>
      <c r="J361" t="n">
        <v>0</v>
      </c>
      <c r="K361" t="n">
        <v>0</v>
      </c>
      <c r="L361" t="n">
        <v>0</v>
      </c>
      <c r="M361" t="n">
        <v>0</v>
      </c>
      <c r="N361" t="n">
        <v>0</v>
      </c>
      <c r="O361" t="n">
        <v>0</v>
      </c>
      <c r="P361" t="n">
        <v>0</v>
      </c>
      <c r="Q361" t="n">
        <v>0</v>
      </c>
      <c r="R361" s="2" t="inlineStr"/>
    </row>
    <row r="362" ht="15" customHeight="1">
      <c r="A362" t="inlineStr">
        <is>
          <t>A 31597-2024</t>
        </is>
      </c>
      <c r="B362" s="1" t="n">
        <v>45506</v>
      </c>
      <c r="C362" s="1" t="n">
        <v>45936</v>
      </c>
      <c r="D362" t="inlineStr">
        <is>
          <t>VÄSTMANLANDS LÄN</t>
        </is>
      </c>
      <c r="E362" t="inlineStr">
        <is>
          <t>SALA</t>
        </is>
      </c>
      <c r="G362" t="n">
        <v>2.4</v>
      </c>
      <c r="H362" t="n">
        <v>0</v>
      </c>
      <c r="I362" t="n">
        <v>0</v>
      </c>
      <c r="J362" t="n">
        <v>0</v>
      </c>
      <c r="K362" t="n">
        <v>0</v>
      </c>
      <c r="L362" t="n">
        <v>0</v>
      </c>
      <c r="M362" t="n">
        <v>0</v>
      </c>
      <c r="N362" t="n">
        <v>0</v>
      </c>
      <c r="O362" t="n">
        <v>0</v>
      </c>
      <c r="P362" t="n">
        <v>0</v>
      </c>
      <c r="Q362" t="n">
        <v>0</v>
      </c>
      <c r="R362" s="2" t="inlineStr"/>
    </row>
    <row r="363" ht="15" customHeight="1">
      <c r="A363" t="inlineStr">
        <is>
          <t>A 31599-2024</t>
        </is>
      </c>
      <c r="B363" s="1" t="n">
        <v>45506</v>
      </c>
      <c r="C363" s="1" t="n">
        <v>45936</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31601-2024</t>
        </is>
      </c>
      <c r="B364" s="1" t="n">
        <v>45506</v>
      </c>
      <c r="C364" s="1" t="n">
        <v>45936</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31608-2024</t>
        </is>
      </c>
      <c r="B365" s="1" t="n">
        <v>45506</v>
      </c>
      <c r="C365" s="1" t="n">
        <v>45936</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31612-2024</t>
        </is>
      </c>
      <c r="B366" s="1" t="n">
        <v>45506</v>
      </c>
      <c r="C366" s="1" t="n">
        <v>45936</v>
      </c>
      <c r="D366" t="inlineStr">
        <is>
          <t>VÄSTMANLANDS LÄN</t>
        </is>
      </c>
      <c r="E366" t="inlineStr">
        <is>
          <t>SALA</t>
        </is>
      </c>
      <c r="G366" t="n">
        <v>3.2</v>
      </c>
      <c r="H366" t="n">
        <v>0</v>
      </c>
      <c r="I366" t="n">
        <v>0</v>
      </c>
      <c r="J366" t="n">
        <v>0</v>
      </c>
      <c r="K366" t="n">
        <v>0</v>
      </c>
      <c r="L366" t="n">
        <v>0</v>
      </c>
      <c r="M366" t="n">
        <v>0</v>
      </c>
      <c r="N366" t="n">
        <v>0</v>
      </c>
      <c r="O366" t="n">
        <v>0</v>
      </c>
      <c r="P366" t="n">
        <v>0</v>
      </c>
      <c r="Q366" t="n">
        <v>0</v>
      </c>
      <c r="R366" s="2" t="inlineStr"/>
    </row>
    <row r="367" ht="15" customHeight="1">
      <c r="A367" t="inlineStr">
        <is>
          <t>A 38195-2021</t>
        </is>
      </c>
      <c r="B367" s="1" t="n">
        <v>44405</v>
      </c>
      <c r="C367" s="1" t="n">
        <v>45936</v>
      </c>
      <c r="D367" t="inlineStr">
        <is>
          <t>VÄSTMANLANDS LÄN</t>
        </is>
      </c>
      <c r="E367" t="inlineStr">
        <is>
          <t>SALA</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45936</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7772-2023</t>
        </is>
      </c>
      <c r="B369" s="1" t="n">
        <v>44973.40076388889</v>
      </c>
      <c r="C369" s="1" t="n">
        <v>45936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6132-2025</t>
        </is>
      </c>
      <c r="B370" s="1" t="n">
        <v>45698</v>
      </c>
      <c r="C370" s="1" t="n">
        <v>45936</v>
      </c>
      <c r="D370" t="inlineStr">
        <is>
          <t>VÄSTMANLANDS LÄN</t>
        </is>
      </c>
      <c r="E370" t="inlineStr">
        <is>
          <t>SALA</t>
        </is>
      </c>
      <c r="F370" t="inlineStr">
        <is>
          <t>Bergvik skog öst AB</t>
        </is>
      </c>
      <c r="G370" t="n">
        <v>1.5</v>
      </c>
      <c r="H370" t="n">
        <v>0</v>
      </c>
      <c r="I370" t="n">
        <v>0</v>
      </c>
      <c r="J370" t="n">
        <v>0</v>
      </c>
      <c r="K370" t="n">
        <v>0</v>
      </c>
      <c r="L370" t="n">
        <v>0</v>
      </c>
      <c r="M370" t="n">
        <v>0</v>
      </c>
      <c r="N370" t="n">
        <v>0</v>
      </c>
      <c r="O370" t="n">
        <v>0</v>
      </c>
      <c r="P370" t="n">
        <v>0</v>
      </c>
      <c r="Q370" t="n">
        <v>0</v>
      </c>
      <c r="R370" s="2" t="inlineStr"/>
    </row>
    <row r="371" ht="15" customHeight="1">
      <c r="A371" t="inlineStr">
        <is>
          <t>A 21777-2022</t>
        </is>
      </c>
      <c r="B371" s="1" t="n">
        <v>44708.48194444444</v>
      </c>
      <c r="C371" s="1" t="n">
        <v>45936</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56949-2023</t>
        </is>
      </c>
      <c r="B372" s="1" t="n">
        <v>45244.61589120371</v>
      </c>
      <c r="C372" s="1" t="n">
        <v>45936</v>
      </c>
      <c r="D372" t="inlineStr">
        <is>
          <t>VÄSTMANLANDS LÄN</t>
        </is>
      </c>
      <c r="E372" t="inlineStr">
        <is>
          <t>SALA</t>
        </is>
      </c>
      <c r="G372" t="n">
        <v>4.7</v>
      </c>
      <c r="H372" t="n">
        <v>0</v>
      </c>
      <c r="I372" t="n">
        <v>0</v>
      </c>
      <c r="J372" t="n">
        <v>0</v>
      </c>
      <c r="K372" t="n">
        <v>0</v>
      </c>
      <c r="L372" t="n">
        <v>0</v>
      </c>
      <c r="M372" t="n">
        <v>0</v>
      </c>
      <c r="N372" t="n">
        <v>0</v>
      </c>
      <c r="O372" t="n">
        <v>0</v>
      </c>
      <c r="P372" t="n">
        <v>0</v>
      </c>
      <c r="Q372" t="n">
        <v>0</v>
      </c>
      <c r="R372" s="2" t="inlineStr"/>
    </row>
    <row r="373" ht="15" customHeight="1">
      <c r="A373" t="inlineStr">
        <is>
          <t>A 11389-2024</t>
        </is>
      </c>
      <c r="B373" s="1" t="n">
        <v>45372.45016203704</v>
      </c>
      <c r="C373" s="1" t="n">
        <v>45936</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19751-2022</t>
        </is>
      </c>
      <c r="B374" s="1" t="n">
        <v>44694</v>
      </c>
      <c r="C374" s="1" t="n">
        <v>45936</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45936</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53164-2024</t>
        </is>
      </c>
      <c r="B376" s="1" t="n">
        <v>45611.64887731482</v>
      </c>
      <c r="C376" s="1" t="n">
        <v>45936</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44713-2023</t>
        </is>
      </c>
      <c r="B377" s="1" t="n">
        <v>45184</v>
      </c>
      <c r="C377" s="1" t="n">
        <v>45936</v>
      </c>
      <c r="D377" t="inlineStr">
        <is>
          <t>VÄSTMANLANDS LÄN</t>
        </is>
      </c>
      <c r="E377" t="inlineStr">
        <is>
          <t>SALA</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54923-2020</t>
        </is>
      </c>
      <c r="B378" s="1" t="n">
        <v>44127</v>
      </c>
      <c r="C378" s="1" t="n">
        <v>45936</v>
      </c>
      <c r="D378" t="inlineStr">
        <is>
          <t>VÄSTMANLANDS LÄN</t>
        </is>
      </c>
      <c r="E378" t="inlineStr">
        <is>
          <t>SALA</t>
        </is>
      </c>
      <c r="G378" t="n">
        <v>4.9</v>
      </c>
      <c r="H378" t="n">
        <v>0</v>
      </c>
      <c r="I378" t="n">
        <v>0</v>
      </c>
      <c r="J378" t="n">
        <v>0</v>
      </c>
      <c r="K378" t="n">
        <v>0</v>
      </c>
      <c r="L378" t="n">
        <v>0</v>
      </c>
      <c r="M378" t="n">
        <v>0</v>
      </c>
      <c r="N378" t="n">
        <v>0</v>
      </c>
      <c r="O378" t="n">
        <v>0</v>
      </c>
      <c r="P378" t="n">
        <v>0</v>
      </c>
      <c r="Q378" t="n">
        <v>0</v>
      </c>
      <c r="R378" s="2" t="inlineStr"/>
    </row>
    <row r="379" ht="15" customHeight="1">
      <c r="A379" t="inlineStr">
        <is>
          <t>A 18713-2025</t>
        </is>
      </c>
      <c r="B379" s="1" t="n">
        <v>45763</v>
      </c>
      <c r="C379" s="1" t="n">
        <v>45936</v>
      </c>
      <c r="D379" t="inlineStr">
        <is>
          <t>VÄSTMANLANDS LÄN</t>
        </is>
      </c>
      <c r="E379" t="inlineStr">
        <is>
          <t>SALA</t>
        </is>
      </c>
      <c r="F379" t="inlineStr">
        <is>
          <t>Bergvik skog öst AB</t>
        </is>
      </c>
      <c r="G379" t="n">
        <v>11.6</v>
      </c>
      <c r="H379" t="n">
        <v>0</v>
      </c>
      <c r="I379" t="n">
        <v>0</v>
      </c>
      <c r="J379" t="n">
        <v>0</v>
      </c>
      <c r="K379" t="n">
        <v>0</v>
      </c>
      <c r="L379" t="n">
        <v>0</v>
      </c>
      <c r="M379" t="n">
        <v>0</v>
      </c>
      <c r="N379" t="n">
        <v>0</v>
      </c>
      <c r="O379" t="n">
        <v>0</v>
      </c>
      <c r="P379" t="n">
        <v>0</v>
      </c>
      <c r="Q379" t="n">
        <v>0</v>
      </c>
      <c r="R379" s="2" t="inlineStr"/>
    </row>
    <row r="380" ht="15" customHeight="1">
      <c r="A380" t="inlineStr">
        <is>
          <t>A 47479-2024</t>
        </is>
      </c>
      <c r="B380" s="1" t="n">
        <v>45587</v>
      </c>
      <c r="C380" s="1" t="n">
        <v>45936</v>
      </c>
      <c r="D380" t="inlineStr">
        <is>
          <t>VÄSTMANLANDS LÄN</t>
        </is>
      </c>
      <c r="E380" t="inlineStr">
        <is>
          <t>SALA</t>
        </is>
      </c>
      <c r="F380" t="inlineStr">
        <is>
          <t>Kommuner</t>
        </is>
      </c>
      <c r="G380" t="n">
        <v>0.8</v>
      </c>
      <c r="H380" t="n">
        <v>0</v>
      </c>
      <c r="I380" t="n">
        <v>0</v>
      </c>
      <c r="J380" t="n">
        <v>0</v>
      </c>
      <c r="K380" t="n">
        <v>0</v>
      </c>
      <c r="L380" t="n">
        <v>0</v>
      </c>
      <c r="M380" t="n">
        <v>0</v>
      </c>
      <c r="N380" t="n">
        <v>0</v>
      </c>
      <c r="O380" t="n">
        <v>0</v>
      </c>
      <c r="P380" t="n">
        <v>0</v>
      </c>
      <c r="Q380" t="n">
        <v>0</v>
      </c>
      <c r="R380" s="2" t="inlineStr"/>
    </row>
    <row r="381" ht="15" customHeight="1">
      <c r="A381" t="inlineStr">
        <is>
          <t>A 96-2024</t>
        </is>
      </c>
      <c r="B381" s="1" t="n">
        <v>45293.85872685185</v>
      </c>
      <c r="C381" s="1" t="n">
        <v>45936</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46597-2025</t>
        </is>
      </c>
      <c r="B382" s="1" t="n">
        <v>45926.40113425926</v>
      </c>
      <c r="C382" s="1" t="n">
        <v>45936</v>
      </c>
      <c r="D382" t="inlineStr">
        <is>
          <t>VÄSTMANLANDS LÄN</t>
        </is>
      </c>
      <c r="E382" t="inlineStr">
        <is>
          <t>SALA</t>
        </is>
      </c>
      <c r="G382" t="n">
        <v>3.4</v>
      </c>
      <c r="H382" t="n">
        <v>0</v>
      </c>
      <c r="I382" t="n">
        <v>0</v>
      </c>
      <c r="J382" t="n">
        <v>0</v>
      </c>
      <c r="K382" t="n">
        <v>0</v>
      </c>
      <c r="L382" t="n">
        <v>0</v>
      </c>
      <c r="M382" t="n">
        <v>0</v>
      </c>
      <c r="N382" t="n">
        <v>0</v>
      </c>
      <c r="O382" t="n">
        <v>0</v>
      </c>
      <c r="P382" t="n">
        <v>0</v>
      </c>
      <c r="Q382" t="n">
        <v>0</v>
      </c>
      <c r="R382" s="2" t="inlineStr"/>
    </row>
    <row r="383" ht="15" customHeight="1">
      <c r="A383" t="inlineStr">
        <is>
          <t>A 69236-2021</t>
        </is>
      </c>
      <c r="B383" s="1" t="n">
        <v>44531.4047337963</v>
      </c>
      <c r="C383" s="1" t="n">
        <v>45936</v>
      </c>
      <c r="D383" t="inlineStr">
        <is>
          <t>VÄSTMANLANDS LÄN</t>
        </is>
      </c>
      <c r="E383" t="inlineStr">
        <is>
          <t>SALA</t>
        </is>
      </c>
      <c r="G383" t="n">
        <v>2.8</v>
      </c>
      <c r="H383" t="n">
        <v>0</v>
      </c>
      <c r="I383" t="n">
        <v>0</v>
      </c>
      <c r="J383" t="n">
        <v>0</v>
      </c>
      <c r="K383" t="n">
        <v>0</v>
      </c>
      <c r="L383" t="n">
        <v>0</v>
      </c>
      <c r="M383" t="n">
        <v>0</v>
      </c>
      <c r="N383" t="n">
        <v>0</v>
      </c>
      <c r="O383" t="n">
        <v>0</v>
      </c>
      <c r="P383" t="n">
        <v>0</v>
      </c>
      <c r="Q383" t="n">
        <v>0</v>
      </c>
      <c r="R383" s="2" t="inlineStr"/>
    </row>
    <row r="384" ht="15" customHeight="1">
      <c r="A384" t="inlineStr">
        <is>
          <t>A 2925-2024</t>
        </is>
      </c>
      <c r="B384" s="1" t="n">
        <v>45315.58909722222</v>
      </c>
      <c r="C384" s="1" t="n">
        <v>45936</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54118-2023</t>
        </is>
      </c>
      <c r="B385" s="1" t="n">
        <v>45232</v>
      </c>
      <c r="C385" s="1" t="n">
        <v>45936</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25541-2024</t>
        </is>
      </c>
      <c r="B386" s="1" t="n">
        <v>45463.56337962963</v>
      </c>
      <c r="C386" s="1" t="n">
        <v>45936</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39439-2021</t>
        </is>
      </c>
      <c r="B387" s="1" t="n">
        <v>44414</v>
      </c>
      <c r="C387" s="1" t="n">
        <v>45936</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34814-2021</t>
        </is>
      </c>
      <c r="B388" s="1" t="n">
        <v>44383</v>
      </c>
      <c r="C388" s="1" t="n">
        <v>45936</v>
      </c>
      <c r="D388" t="inlineStr">
        <is>
          <t>VÄSTMANLANDS LÄN</t>
        </is>
      </c>
      <c r="E388" t="inlineStr">
        <is>
          <t>SALA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25748-2022</t>
        </is>
      </c>
      <c r="B389" s="1" t="n">
        <v>44732</v>
      </c>
      <c r="C389" s="1" t="n">
        <v>45936</v>
      </c>
      <c r="D389" t="inlineStr">
        <is>
          <t>VÄSTMANLANDS LÄN</t>
        </is>
      </c>
      <c r="E389" t="inlineStr">
        <is>
          <t>SALA</t>
        </is>
      </c>
      <c r="G389" t="n">
        <v>7.7</v>
      </c>
      <c r="H389" t="n">
        <v>0</v>
      </c>
      <c r="I389" t="n">
        <v>0</v>
      </c>
      <c r="J389" t="n">
        <v>0</v>
      </c>
      <c r="K389" t="n">
        <v>0</v>
      </c>
      <c r="L389" t="n">
        <v>0</v>
      </c>
      <c r="M389" t="n">
        <v>0</v>
      </c>
      <c r="N389" t="n">
        <v>0</v>
      </c>
      <c r="O389" t="n">
        <v>0</v>
      </c>
      <c r="P389" t="n">
        <v>0</v>
      </c>
      <c r="Q389" t="n">
        <v>0</v>
      </c>
      <c r="R389" s="2" t="inlineStr"/>
    </row>
    <row r="390" ht="15" customHeight="1">
      <c r="A390" t="inlineStr">
        <is>
          <t>A 21968-2024</t>
        </is>
      </c>
      <c r="B390" s="1" t="n">
        <v>45443</v>
      </c>
      <c r="C390" s="1" t="n">
        <v>45936</v>
      </c>
      <c r="D390" t="inlineStr">
        <is>
          <t>VÄSTMANLANDS LÄN</t>
        </is>
      </c>
      <c r="E390" t="inlineStr">
        <is>
          <t>SALA</t>
        </is>
      </c>
      <c r="G390" t="n">
        <v>1.9</v>
      </c>
      <c r="H390" t="n">
        <v>0</v>
      </c>
      <c r="I390" t="n">
        <v>0</v>
      </c>
      <c r="J390" t="n">
        <v>0</v>
      </c>
      <c r="K390" t="n">
        <v>0</v>
      </c>
      <c r="L390" t="n">
        <v>0</v>
      </c>
      <c r="M390" t="n">
        <v>0</v>
      </c>
      <c r="N390" t="n">
        <v>0</v>
      </c>
      <c r="O390" t="n">
        <v>0</v>
      </c>
      <c r="P390" t="n">
        <v>0</v>
      </c>
      <c r="Q390" t="n">
        <v>0</v>
      </c>
      <c r="R390" s="2" t="inlineStr"/>
    </row>
    <row r="391" ht="15" customHeight="1">
      <c r="A391" t="inlineStr">
        <is>
          <t>A 5728-2022</t>
        </is>
      </c>
      <c r="B391" s="1" t="n">
        <v>44596.42082175926</v>
      </c>
      <c r="C391" s="1" t="n">
        <v>45936</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3733-2023</t>
        </is>
      </c>
      <c r="B392" s="1" t="n">
        <v>44951.42501157407</v>
      </c>
      <c r="C392" s="1" t="n">
        <v>45936</v>
      </c>
      <c r="D392" t="inlineStr">
        <is>
          <t>VÄSTMANLANDS LÄN</t>
        </is>
      </c>
      <c r="E392" t="inlineStr">
        <is>
          <t>SALA</t>
        </is>
      </c>
      <c r="G392" t="n">
        <v>3.1</v>
      </c>
      <c r="H392" t="n">
        <v>0</v>
      </c>
      <c r="I392" t="n">
        <v>0</v>
      </c>
      <c r="J392" t="n">
        <v>0</v>
      </c>
      <c r="K392" t="n">
        <v>0</v>
      </c>
      <c r="L392" t="n">
        <v>0</v>
      </c>
      <c r="M392" t="n">
        <v>0</v>
      </c>
      <c r="N392" t="n">
        <v>0</v>
      </c>
      <c r="O392" t="n">
        <v>0</v>
      </c>
      <c r="P392" t="n">
        <v>0</v>
      </c>
      <c r="Q392" t="n">
        <v>0</v>
      </c>
      <c r="R392" s="2" t="inlineStr"/>
    </row>
    <row r="393" ht="15" customHeight="1">
      <c r="A393" t="inlineStr">
        <is>
          <t>A 6136-2025</t>
        </is>
      </c>
      <c r="B393" s="1" t="n">
        <v>45698.37601851852</v>
      </c>
      <c r="C393" s="1" t="n">
        <v>45936</v>
      </c>
      <c r="D393" t="inlineStr">
        <is>
          <t>VÄSTMANLANDS LÄN</t>
        </is>
      </c>
      <c r="E393" t="inlineStr">
        <is>
          <t>SALA</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6190-2025</t>
        </is>
      </c>
      <c r="B394" s="1" t="n">
        <v>45698</v>
      </c>
      <c r="C394" s="1" t="n">
        <v>45936</v>
      </c>
      <c r="D394" t="inlineStr">
        <is>
          <t>VÄSTMANLANDS LÄN</t>
        </is>
      </c>
      <c r="E394" t="inlineStr">
        <is>
          <t>SALA</t>
        </is>
      </c>
      <c r="F394" t="inlineStr">
        <is>
          <t>Bergvik skog öst AB</t>
        </is>
      </c>
      <c r="G394" t="n">
        <v>4.6</v>
      </c>
      <c r="H394" t="n">
        <v>0</v>
      </c>
      <c r="I394" t="n">
        <v>0</v>
      </c>
      <c r="J394" t="n">
        <v>0</v>
      </c>
      <c r="K394" t="n">
        <v>0</v>
      </c>
      <c r="L394" t="n">
        <v>0</v>
      </c>
      <c r="M394" t="n">
        <v>0</v>
      </c>
      <c r="N394" t="n">
        <v>0</v>
      </c>
      <c r="O394" t="n">
        <v>0</v>
      </c>
      <c r="P394" t="n">
        <v>0</v>
      </c>
      <c r="Q394" t="n">
        <v>0</v>
      </c>
      <c r="R394" s="2" t="inlineStr"/>
    </row>
    <row r="395" ht="15" customHeight="1">
      <c r="A395" t="inlineStr">
        <is>
          <t>A 3332-2024</t>
        </is>
      </c>
      <c r="B395" s="1" t="n">
        <v>45317</v>
      </c>
      <c r="C395" s="1" t="n">
        <v>45936</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38574-2025</t>
        </is>
      </c>
      <c r="B396" s="1" t="n">
        <v>45884.46390046296</v>
      </c>
      <c r="C396" s="1" t="n">
        <v>45936</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10250-2025</t>
        </is>
      </c>
      <c r="B397" s="1" t="n">
        <v>45720.36165509259</v>
      </c>
      <c r="C397" s="1" t="n">
        <v>45936</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16760-2024</t>
        </is>
      </c>
      <c r="B398" s="1" t="n">
        <v>45411</v>
      </c>
      <c r="C398" s="1" t="n">
        <v>45936</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49512-2024</t>
        </is>
      </c>
      <c r="B399" s="1" t="n">
        <v>45591</v>
      </c>
      <c r="C399" s="1" t="n">
        <v>45936</v>
      </c>
      <c r="D399" t="inlineStr">
        <is>
          <t>VÄSTMANLANDS LÄN</t>
        </is>
      </c>
      <c r="E399" t="inlineStr">
        <is>
          <t>SALA</t>
        </is>
      </c>
      <c r="G399" t="n">
        <v>8.1</v>
      </c>
      <c r="H399" t="n">
        <v>0</v>
      </c>
      <c r="I399" t="n">
        <v>0</v>
      </c>
      <c r="J399" t="n">
        <v>0</v>
      </c>
      <c r="K399" t="n">
        <v>0</v>
      </c>
      <c r="L399" t="n">
        <v>0</v>
      </c>
      <c r="M399" t="n">
        <v>0</v>
      </c>
      <c r="N399" t="n">
        <v>0</v>
      </c>
      <c r="O399" t="n">
        <v>0</v>
      </c>
      <c r="P399" t="n">
        <v>0</v>
      </c>
      <c r="Q399" t="n">
        <v>0</v>
      </c>
      <c r="R399" s="2" t="inlineStr"/>
    </row>
    <row r="400" ht="15" customHeight="1">
      <c r="A400" t="inlineStr">
        <is>
          <t>A 2529-2022</t>
        </is>
      </c>
      <c r="B400" s="1" t="n">
        <v>44579.86452546297</v>
      </c>
      <c r="C400" s="1" t="n">
        <v>45936</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42416-2022</t>
        </is>
      </c>
      <c r="B401" s="1" t="n">
        <v>44831</v>
      </c>
      <c r="C401" s="1" t="n">
        <v>45936</v>
      </c>
      <c r="D401" t="inlineStr">
        <is>
          <t>VÄSTMANLANDS LÄN</t>
        </is>
      </c>
      <c r="E401" t="inlineStr">
        <is>
          <t>SALA</t>
        </is>
      </c>
      <c r="G401" t="n">
        <v>2.2</v>
      </c>
      <c r="H401" t="n">
        <v>0</v>
      </c>
      <c r="I401" t="n">
        <v>0</v>
      </c>
      <c r="J401" t="n">
        <v>0</v>
      </c>
      <c r="K401" t="n">
        <v>0</v>
      </c>
      <c r="L401" t="n">
        <v>0</v>
      </c>
      <c r="M401" t="n">
        <v>0</v>
      </c>
      <c r="N401" t="n">
        <v>0</v>
      </c>
      <c r="O401" t="n">
        <v>0</v>
      </c>
      <c r="P401" t="n">
        <v>0</v>
      </c>
      <c r="Q401" t="n">
        <v>0</v>
      </c>
      <c r="R401" s="2" t="inlineStr"/>
    </row>
    <row r="402" ht="15" customHeight="1">
      <c r="A402" t="inlineStr">
        <is>
          <t>A 13471-2025</t>
        </is>
      </c>
      <c r="B402" s="1" t="n">
        <v>45736.40579861111</v>
      </c>
      <c r="C402" s="1" t="n">
        <v>45936</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6135-2023</t>
        </is>
      </c>
      <c r="B403" s="1" t="n">
        <v>44964.62628472222</v>
      </c>
      <c r="C403" s="1" t="n">
        <v>45936</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15681-2025</t>
        </is>
      </c>
      <c r="B404" s="1" t="n">
        <v>45748.45454861111</v>
      </c>
      <c r="C404" s="1" t="n">
        <v>45936</v>
      </c>
      <c r="D404" t="inlineStr">
        <is>
          <t>VÄSTMANLANDS LÄN</t>
        </is>
      </c>
      <c r="E404" t="inlineStr">
        <is>
          <t>SALA</t>
        </is>
      </c>
      <c r="F404" t="inlineStr">
        <is>
          <t>Bergvik skog öst AB</t>
        </is>
      </c>
      <c r="G404" t="n">
        <v>4.3</v>
      </c>
      <c r="H404" t="n">
        <v>0</v>
      </c>
      <c r="I404" t="n">
        <v>0</v>
      </c>
      <c r="J404" t="n">
        <v>0</v>
      </c>
      <c r="K404" t="n">
        <v>0</v>
      </c>
      <c r="L404" t="n">
        <v>0</v>
      </c>
      <c r="M404" t="n">
        <v>0</v>
      </c>
      <c r="N404" t="n">
        <v>0</v>
      </c>
      <c r="O404" t="n">
        <v>0</v>
      </c>
      <c r="P404" t="n">
        <v>0</v>
      </c>
      <c r="Q404" t="n">
        <v>0</v>
      </c>
      <c r="R404" s="2" t="inlineStr"/>
    </row>
    <row r="405" ht="15" customHeight="1">
      <c r="A405" t="inlineStr">
        <is>
          <t>A 16693-2023</t>
        </is>
      </c>
      <c r="B405" s="1" t="n">
        <v>45028</v>
      </c>
      <c r="C405" s="1" t="n">
        <v>45936</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18431-2023</t>
        </is>
      </c>
      <c r="B406" s="1" t="n">
        <v>45042</v>
      </c>
      <c r="C406" s="1" t="n">
        <v>45936</v>
      </c>
      <c r="D406" t="inlineStr">
        <is>
          <t>VÄSTMANLANDS LÄN</t>
        </is>
      </c>
      <c r="E406" t="inlineStr">
        <is>
          <t>SALA</t>
        </is>
      </c>
      <c r="G406" t="n">
        <v>1.9</v>
      </c>
      <c r="H406" t="n">
        <v>0</v>
      </c>
      <c r="I406" t="n">
        <v>0</v>
      </c>
      <c r="J406" t="n">
        <v>0</v>
      </c>
      <c r="K406" t="n">
        <v>0</v>
      </c>
      <c r="L406" t="n">
        <v>0</v>
      </c>
      <c r="M406" t="n">
        <v>0</v>
      </c>
      <c r="N406" t="n">
        <v>0</v>
      </c>
      <c r="O406" t="n">
        <v>0</v>
      </c>
      <c r="P406" t="n">
        <v>0</v>
      </c>
      <c r="Q406" t="n">
        <v>0</v>
      </c>
      <c r="R406" s="2" t="inlineStr"/>
    </row>
    <row r="407" ht="15" customHeight="1">
      <c r="A407" t="inlineStr">
        <is>
          <t>A 8285-2025</t>
        </is>
      </c>
      <c r="B407" s="1" t="n">
        <v>45708</v>
      </c>
      <c r="C407" s="1" t="n">
        <v>45936</v>
      </c>
      <c r="D407" t="inlineStr">
        <is>
          <t>VÄSTMANLANDS LÄN</t>
        </is>
      </c>
      <c r="E407" t="inlineStr">
        <is>
          <t>SALA</t>
        </is>
      </c>
      <c r="G407" t="n">
        <v>5.7</v>
      </c>
      <c r="H407" t="n">
        <v>0</v>
      </c>
      <c r="I407" t="n">
        <v>0</v>
      </c>
      <c r="J407" t="n">
        <v>0</v>
      </c>
      <c r="K407" t="n">
        <v>0</v>
      </c>
      <c r="L407" t="n">
        <v>0</v>
      </c>
      <c r="M407" t="n">
        <v>0</v>
      </c>
      <c r="N407" t="n">
        <v>0</v>
      </c>
      <c r="O407" t="n">
        <v>0</v>
      </c>
      <c r="P407" t="n">
        <v>0</v>
      </c>
      <c r="Q407" t="n">
        <v>0</v>
      </c>
      <c r="R407" s="2" t="inlineStr"/>
    </row>
    <row r="408" ht="15" customHeight="1">
      <c r="A408" t="inlineStr">
        <is>
          <t>A 27424-2023</t>
        </is>
      </c>
      <c r="B408" s="1" t="n">
        <v>45097.37690972222</v>
      </c>
      <c r="C408" s="1" t="n">
        <v>45936</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58701-2021</t>
        </is>
      </c>
      <c r="B409" s="1" t="n">
        <v>44489.46454861111</v>
      </c>
      <c r="C409" s="1" t="n">
        <v>45936</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6127-2025</t>
        </is>
      </c>
      <c r="B410" s="1" t="n">
        <v>45698</v>
      </c>
      <c r="C410" s="1" t="n">
        <v>45936</v>
      </c>
      <c r="D410" t="inlineStr">
        <is>
          <t>VÄSTMANLANDS LÄN</t>
        </is>
      </c>
      <c r="E410" t="inlineStr">
        <is>
          <t>SALA</t>
        </is>
      </c>
      <c r="F410" t="inlineStr">
        <is>
          <t>Bergvik skog öst AB</t>
        </is>
      </c>
      <c r="G410" t="n">
        <v>4.3</v>
      </c>
      <c r="H410" t="n">
        <v>0</v>
      </c>
      <c r="I410" t="n">
        <v>0</v>
      </c>
      <c r="J410" t="n">
        <v>0</v>
      </c>
      <c r="K410" t="n">
        <v>0</v>
      </c>
      <c r="L410" t="n">
        <v>0</v>
      </c>
      <c r="M410" t="n">
        <v>0</v>
      </c>
      <c r="N410" t="n">
        <v>0</v>
      </c>
      <c r="O410" t="n">
        <v>0</v>
      </c>
      <c r="P410" t="n">
        <v>0</v>
      </c>
      <c r="Q410" t="n">
        <v>0</v>
      </c>
      <c r="R410" s="2" t="inlineStr"/>
    </row>
    <row r="411" ht="15" customHeight="1">
      <c r="A411" t="inlineStr">
        <is>
          <t>A 11244-2024</t>
        </is>
      </c>
      <c r="B411" s="1" t="n">
        <v>45371</v>
      </c>
      <c r="C411" s="1" t="n">
        <v>45936</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15584-2021</t>
        </is>
      </c>
      <c r="B412" s="1" t="n">
        <v>44285</v>
      </c>
      <c r="C412" s="1" t="n">
        <v>45936</v>
      </c>
      <c r="D412" t="inlineStr">
        <is>
          <t>VÄSTMANLANDS LÄN</t>
        </is>
      </c>
      <c r="E412" t="inlineStr">
        <is>
          <t>SALA</t>
        </is>
      </c>
      <c r="G412" t="n">
        <v>3.4</v>
      </c>
      <c r="H412" t="n">
        <v>0</v>
      </c>
      <c r="I412" t="n">
        <v>0</v>
      </c>
      <c r="J412" t="n">
        <v>0</v>
      </c>
      <c r="K412" t="n">
        <v>0</v>
      </c>
      <c r="L412" t="n">
        <v>0</v>
      </c>
      <c r="M412" t="n">
        <v>0</v>
      </c>
      <c r="N412" t="n">
        <v>0</v>
      </c>
      <c r="O412" t="n">
        <v>0</v>
      </c>
      <c r="P412" t="n">
        <v>0</v>
      </c>
      <c r="Q412" t="n">
        <v>0</v>
      </c>
      <c r="R412" s="2" t="inlineStr"/>
    </row>
    <row r="413" ht="15" customHeight="1">
      <c r="A413" t="inlineStr">
        <is>
          <t>A 31864-2025</t>
        </is>
      </c>
      <c r="B413" s="1" t="n">
        <v>45834.63819444444</v>
      </c>
      <c r="C413" s="1" t="n">
        <v>45936</v>
      </c>
      <c r="D413" t="inlineStr">
        <is>
          <t>VÄSTMANLANDS LÄN</t>
        </is>
      </c>
      <c r="E413" t="inlineStr">
        <is>
          <t>SALA</t>
        </is>
      </c>
      <c r="G413" t="n">
        <v>6.3</v>
      </c>
      <c r="H413" t="n">
        <v>0</v>
      </c>
      <c r="I413" t="n">
        <v>0</v>
      </c>
      <c r="J413" t="n">
        <v>0</v>
      </c>
      <c r="K413" t="n">
        <v>0</v>
      </c>
      <c r="L413" t="n">
        <v>0</v>
      </c>
      <c r="M413" t="n">
        <v>0</v>
      </c>
      <c r="N413" t="n">
        <v>0</v>
      </c>
      <c r="O413" t="n">
        <v>0</v>
      </c>
      <c r="P413" t="n">
        <v>0</v>
      </c>
      <c r="Q413" t="n">
        <v>0</v>
      </c>
      <c r="R413" s="2" t="inlineStr"/>
    </row>
    <row r="414" ht="15" customHeight="1">
      <c r="A414" t="inlineStr">
        <is>
          <t>A 12225-2023</t>
        </is>
      </c>
      <c r="B414" s="1" t="n">
        <v>44995</v>
      </c>
      <c r="C414" s="1" t="n">
        <v>45936</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988-2025</t>
        </is>
      </c>
      <c r="B415" s="1" t="n">
        <v>45666.44038194444</v>
      </c>
      <c r="C415" s="1" t="n">
        <v>45936</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60328-2024</t>
        </is>
      </c>
      <c r="B416" s="1" t="n">
        <v>45643.38416666666</v>
      </c>
      <c r="C416" s="1" t="n">
        <v>45936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61874-2021</t>
        </is>
      </c>
      <c r="B417" s="1" t="n">
        <v>44502</v>
      </c>
      <c r="C417" s="1" t="n">
        <v>45936</v>
      </c>
      <c r="D417" t="inlineStr">
        <is>
          <t>VÄSTMANLANDS LÄN</t>
        </is>
      </c>
      <c r="E417" t="inlineStr">
        <is>
          <t>SALA</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16651-2021</t>
        </is>
      </c>
      <c r="B418" s="1" t="n">
        <v>44294.50096064815</v>
      </c>
      <c r="C418" s="1" t="n">
        <v>45936</v>
      </c>
      <c r="D418" t="inlineStr">
        <is>
          <t>VÄSTMANLANDS LÄN</t>
        </is>
      </c>
      <c r="E418" t="inlineStr">
        <is>
          <t>SALA</t>
        </is>
      </c>
      <c r="G418" t="n">
        <v>7.7</v>
      </c>
      <c r="H418" t="n">
        <v>0</v>
      </c>
      <c r="I418" t="n">
        <v>0</v>
      </c>
      <c r="J418" t="n">
        <v>0</v>
      </c>
      <c r="K418" t="n">
        <v>0</v>
      </c>
      <c r="L418" t="n">
        <v>0</v>
      </c>
      <c r="M418" t="n">
        <v>0</v>
      </c>
      <c r="N418" t="n">
        <v>0</v>
      </c>
      <c r="O418" t="n">
        <v>0</v>
      </c>
      <c r="P418" t="n">
        <v>0</v>
      </c>
      <c r="Q418" t="n">
        <v>0</v>
      </c>
      <c r="R418" s="2" t="inlineStr"/>
    </row>
    <row r="419" ht="15" customHeight="1">
      <c r="A419" t="inlineStr">
        <is>
          <t>A 62651-2022</t>
        </is>
      </c>
      <c r="B419" s="1" t="n">
        <v>44917</v>
      </c>
      <c r="C419" s="1" t="n">
        <v>45936</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35016-2024</t>
        </is>
      </c>
      <c r="B420" s="1" t="n">
        <v>45527.59115740741</v>
      </c>
      <c r="C420" s="1" t="n">
        <v>45936</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15650-2025</t>
        </is>
      </c>
      <c r="B421" s="1" t="n">
        <v>45748.40172453703</v>
      </c>
      <c r="C421" s="1" t="n">
        <v>45936</v>
      </c>
      <c r="D421" t="inlineStr">
        <is>
          <t>VÄSTMANLANDS LÄN</t>
        </is>
      </c>
      <c r="E421" t="inlineStr">
        <is>
          <t>SALA</t>
        </is>
      </c>
      <c r="F421" t="inlineStr">
        <is>
          <t>Bergvik skog öst AB</t>
        </is>
      </c>
      <c r="G421" t="n">
        <v>3</v>
      </c>
      <c r="H421" t="n">
        <v>0</v>
      </c>
      <c r="I421" t="n">
        <v>0</v>
      </c>
      <c r="J421" t="n">
        <v>0</v>
      </c>
      <c r="K421" t="n">
        <v>0</v>
      </c>
      <c r="L421" t="n">
        <v>0</v>
      </c>
      <c r="M421" t="n">
        <v>0</v>
      </c>
      <c r="N421" t="n">
        <v>0</v>
      </c>
      <c r="O421" t="n">
        <v>0</v>
      </c>
      <c r="P421" t="n">
        <v>0</v>
      </c>
      <c r="Q421" t="n">
        <v>0</v>
      </c>
      <c r="R421" s="2" t="inlineStr"/>
    </row>
    <row r="422" ht="15" customHeight="1">
      <c r="A422" t="inlineStr">
        <is>
          <t>A 25897-2024</t>
        </is>
      </c>
      <c r="B422" s="1" t="n">
        <v>45467.54435185185</v>
      </c>
      <c r="C422" s="1" t="n">
        <v>45936</v>
      </c>
      <c r="D422" t="inlineStr">
        <is>
          <t>VÄSTMANLANDS LÄN</t>
        </is>
      </c>
      <c r="E422" t="inlineStr">
        <is>
          <t>SALA</t>
        </is>
      </c>
      <c r="G422" t="n">
        <v>9.9</v>
      </c>
      <c r="H422" t="n">
        <v>0</v>
      </c>
      <c r="I422" t="n">
        <v>0</v>
      </c>
      <c r="J422" t="n">
        <v>0</v>
      </c>
      <c r="K422" t="n">
        <v>0</v>
      </c>
      <c r="L422" t="n">
        <v>0</v>
      </c>
      <c r="M422" t="n">
        <v>0</v>
      </c>
      <c r="N422" t="n">
        <v>0</v>
      </c>
      <c r="O422" t="n">
        <v>0</v>
      </c>
      <c r="P422" t="n">
        <v>0</v>
      </c>
      <c r="Q422" t="n">
        <v>0</v>
      </c>
      <c r="R422" s="2" t="inlineStr"/>
    </row>
    <row r="423" ht="15" customHeight="1">
      <c r="A423" t="inlineStr">
        <is>
          <t>A 31072-2021</t>
        </is>
      </c>
      <c r="B423" s="1" t="n">
        <v>44368</v>
      </c>
      <c r="C423" s="1" t="n">
        <v>45936</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15968-2024</t>
        </is>
      </c>
      <c r="B424" s="1" t="n">
        <v>45405.56021990741</v>
      </c>
      <c r="C424" s="1" t="n">
        <v>45936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60730-2023</t>
        </is>
      </c>
      <c r="B425" s="1" t="n">
        <v>45260</v>
      </c>
      <c r="C425" s="1" t="n">
        <v>45936</v>
      </c>
      <c r="D425" t="inlineStr">
        <is>
          <t>VÄSTMANLANDS LÄN</t>
        </is>
      </c>
      <c r="E425" t="inlineStr">
        <is>
          <t>SALA</t>
        </is>
      </c>
      <c r="G425" t="n">
        <v>1.3</v>
      </c>
      <c r="H425" t="n">
        <v>0</v>
      </c>
      <c r="I425" t="n">
        <v>0</v>
      </c>
      <c r="J425" t="n">
        <v>0</v>
      </c>
      <c r="K425" t="n">
        <v>0</v>
      </c>
      <c r="L425" t="n">
        <v>0</v>
      </c>
      <c r="M425" t="n">
        <v>0</v>
      </c>
      <c r="N425" t="n">
        <v>0</v>
      </c>
      <c r="O425" t="n">
        <v>0</v>
      </c>
      <c r="P425" t="n">
        <v>0</v>
      </c>
      <c r="Q425" t="n">
        <v>0</v>
      </c>
      <c r="R425" s="2" t="inlineStr"/>
    </row>
    <row r="426" ht="15" customHeight="1">
      <c r="A426" t="inlineStr">
        <is>
          <t>A 60731-2023</t>
        </is>
      </c>
      <c r="B426" s="1" t="n">
        <v>45260</v>
      </c>
      <c r="C426" s="1" t="n">
        <v>45936</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57371-2022</t>
        </is>
      </c>
      <c r="B427" s="1" t="n">
        <v>44896.43832175926</v>
      </c>
      <c r="C427" s="1" t="n">
        <v>45936</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22019-2021</t>
        </is>
      </c>
      <c r="B428" s="1" t="n">
        <v>44323</v>
      </c>
      <c r="C428" s="1" t="n">
        <v>45936</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18340-2025</t>
        </is>
      </c>
      <c r="B429" s="1" t="n">
        <v>45762</v>
      </c>
      <c r="C429" s="1" t="n">
        <v>45936</v>
      </c>
      <c r="D429" t="inlineStr">
        <is>
          <t>VÄSTMANLANDS LÄN</t>
        </is>
      </c>
      <c r="E429" t="inlineStr">
        <is>
          <t>SALA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55784-2024</t>
        </is>
      </c>
      <c r="B430" s="1" t="n">
        <v>45623</v>
      </c>
      <c r="C430" s="1" t="n">
        <v>45936</v>
      </c>
      <c r="D430" t="inlineStr">
        <is>
          <t>VÄSTMANLANDS LÄN</t>
        </is>
      </c>
      <c r="E430" t="inlineStr">
        <is>
          <t>SALA</t>
        </is>
      </c>
      <c r="F430" t="inlineStr">
        <is>
          <t>Bergvik skog öst AB</t>
        </is>
      </c>
      <c r="G430" t="n">
        <v>28.4</v>
      </c>
      <c r="H430" t="n">
        <v>0</v>
      </c>
      <c r="I430" t="n">
        <v>0</v>
      </c>
      <c r="J430" t="n">
        <v>0</v>
      </c>
      <c r="K430" t="n">
        <v>0</v>
      </c>
      <c r="L430" t="n">
        <v>0</v>
      </c>
      <c r="M430" t="n">
        <v>0</v>
      </c>
      <c r="N430" t="n">
        <v>0</v>
      </c>
      <c r="O430" t="n">
        <v>0</v>
      </c>
      <c r="P430" t="n">
        <v>0</v>
      </c>
      <c r="Q430" t="n">
        <v>0</v>
      </c>
      <c r="R430" s="2" t="inlineStr"/>
    </row>
    <row r="431" ht="15" customHeight="1">
      <c r="A431" t="inlineStr">
        <is>
          <t>A 16651-2021</t>
        </is>
      </c>
      <c r="B431" s="1" t="n">
        <v>44294.50096064815</v>
      </c>
      <c r="C431" s="1" t="n">
        <v>45936</v>
      </c>
      <c r="D431" t="inlineStr">
        <is>
          <t>VÄSTMANLANDS LÄN</t>
        </is>
      </c>
      <c r="E431" t="inlineStr">
        <is>
          <t>SALA</t>
        </is>
      </c>
      <c r="G431" t="n">
        <v>7.7</v>
      </c>
      <c r="H431" t="n">
        <v>0</v>
      </c>
      <c r="I431" t="n">
        <v>0</v>
      </c>
      <c r="J431" t="n">
        <v>0</v>
      </c>
      <c r="K431" t="n">
        <v>0</v>
      </c>
      <c r="L431" t="n">
        <v>0</v>
      </c>
      <c r="M431" t="n">
        <v>0</v>
      </c>
      <c r="N431" t="n">
        <v>0</v>
      </c>
      <c r="O431" t="n">
        <v>0</v>
      </c>
      <c r="P431" t="n">
        <v>0</v>
      </c>
      <c r="Q431" t="n">
        <v>0</v>
      </c>
      <c r="R431" s="2" t="inlineStr"/>
    </row>
    <row r="432" ht="15" customHeight="1">
      <c r="A432" t="inlineStr">
        <is>
          <t>A 18461-2024</t>
        </is>
      </c>
      <c r="B432" s="1" t="n">
        <v>45425.47435185185</v>
      </c>
      <c r="C432" s="1" t="n">
        <v>45936</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44592.45429398148</v>
      </c>
      <c r="C433" s="1" t="n">
        <v>45936</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56706-2022</t>
        </is>
      </c>
      <c r="B434" s="1" t="n">
        <v>44893.78893518518</v>
      </c>
      <c r="C434" s="1" t="n">
        <v>45936</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56707-2022</t>
        </is>
      </c>
      <c r="B435" s="1" t="n">
        <v>44893.79412037037</v>
      </c>
      <c r="C435" s="1" t="n">
        <v>45936</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19803-2024</t>
        </is>
      </c>
      <c r="B436" s="1" t="n">
        <v>45432</v>
      </c>
      <c r="C436" s="1" t="n">
        <v>45936</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6032-2025</t>
        </is>
      </c>
      <c r="B437" s="1" t="n">
        <v>45695.6371875</v>
      </c>
      <c r="C437" s="1" t="n">
        <v>45936</v>
      </c>
      <c r="D437" t="inlineStr">
        <is>
          <t>VÄSTMANLANDS LÄN</t>
        </is>
      </c>
      <c r="E437" t="inlineStr">
        <is>
          <t>SALA</t>
        </is>
      </c>
      <c r="F437" t="inlineStr">
        <is>
          <t>Bergvik skog öst AB</t>
        </is>
      </c>
      <c r="G437" t="n">
        <v>8.1</v>
      </c>
      <c r="H437" t="n">
        <v>0</v>
      </c>
      <c r="I437" t="n">
        <v>0</v>
      </c>
      <c r="J437" t="n">
        <v>0</v>
      </c>
      <c r="K437" t="n">
        <v>0</v>
      </c>
      <c r="L437" t="n">
        <v>0</v>
      </c>
      <c r="M437" t="n">
        <v>0</v>
      </c>
      <c r="N437" t="n">
        <v>0</v>
      </c>
      <c r="O437" t="n">
        <v>0</v>
      </c>
      <c r="P437" t="n">
        <v>0</v>
      </c>
      <c r="Q437" t="n">
        <v>0</v>
      </c>
      <c r="R437" s="2" t="inlineStr"/>
    </row>
    <row r="438" ht="15" customHeight="1">
      <c r="A438" t="inlineStr">
        <is>
          <t>A 7196-2025</t>
        </is>
      </c>
      <c r="B438" s="1" t="n">
        <v>45702</v>
      </c>
      <c r="C438" s="1" t="n">
        <v>45936</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40597-2022</t>
        </is>
      </c>
      <c r="B439" s="1" t="n">
        <v>44823.84862268518</v>
      </c>
      <c r="C439" s="1" t="n">
        <v>45936</v>
      </c>
      <c r="D439" t="inlineStr">
        <is>
          <t>VÄSTMANLANDS LÄN</t>
        </is>
      </c>
      <c r="E439" t="inlineStr">
        <is>
          <t>SALA</t>
        </is>
      </c>
      <c r="G439" t="n">
        <v>3.5</v>
      </c>
      <c r="H439" t="n">
        <v>0</v>
      </c>
      <c r="I439" t="n">
        <v>0</v>
      </c>
      <c r="J439" t="n">
        <v>0</v>
      </c>
      <c r="K439" t="n">
        <v>0</v>
      </c>
      <c r="L439" t="n">
        <v>0</v>
      </c>
      <c r="M439" t="n">
        <v>0</v>
      </c>
      <c r="N439" t="n">
        <v>0</v>
      </c>
      <c r="O439" t="n">
        <v>0</v>
      </c>
      <c r="P439" t="n">
        <v>0</v>
      </c>
      <c r="Q439" t="n">
        <v>0</v>
      </c>
      <c r="R439" s="2" t="inlineStr"/>
    </row>
    <row r="440" ht="15" customHeight="1">
      <c r="A440" t="inlineStr">
        <is>
          <t>A 2766-2024</t>
        </is>
      </c>
      <c r="B440" s="1" t="n">
        <v>45314.60950231482</v>
      </c>
      <c r="C440" s="1" t="n">
        <v>45936</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39167-2025</t>
        </is>
      </c>
      <c r="B441" s="1" t="n">
        <v>45888</v>
      </c>
      <c r="C441" s="1" t="n">
        <v>45936</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39182-2025</t>
        </is>
      </c>
      <c r="B442" s="1" t="n">
        <v>45888.66204861111</v>
      </c>
      <c r="C442" s="1" t="n">
        <v>45936</v>
      </c>
      <c r="D442" t="inlineStr">
        <is>
          <t>VÄSTMANLANDS LÄN</t>
        </is>
      </c>
      <c r="E442" t="inlineStr">
        <is>
          <t>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6351-2023</t>
        </is>
      </c>
      <c r="B443" s="1" t="n">
        <v>44965</v>
      </c>
      <c r="C443" s="1" t="n">
        <v>45936</v>
      </c>
      <c r="D443" t="inlineStr">
        <is>
          <t>VÄSTMANLANDS LÄN</t>
        </is>
      </c>
      <c r="E443" t="inlineStr">
        <is>
          <t>SALA</t>
        </is>
      </c>
      <c r="F443" t="inlineStr">
        <is>
          <t>Kommuner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46661-2025</t>
        </is>
      </c>
      <c r="B444" s="1" t="n">
        <v>45926</v>
      </c>
      <c r="C444" s="1" t="n">
        <v>45936</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48571-2024</t>
        </is>
      </c>
      <c r="B445" s="1" t="n">
        <v>45591</v>
      </c>
      <c r="C445" s="1" t="n">
        <v>45936</v>
      </c>
      <c r="D445" t="inlineStr">
        <is>
          <t>VÄSTMANLANDS LÄN</t>
        </is>
      </c>
      <c r="E445" t="inlineStr">
        <is>
          <t>SALA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45187-2024</t>
        </is>
      </c>
      <c r="B446" s="1" t="n">
        <v>45575</v>
      </c>
      <c r="C446" s="1" t="n">
        <v>45936</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13188-2025</t>
        </is>
      </c>
      <c r="B447" s="1" t="n">
        <v>45735.39246527778</v>
      </c>
      <c r="C447" s="1" t="n">
        <v>45936</v>
      </c>
      <c r="D447" t="inlineStr">
        <is>
          <t>VÄSTMANLANDS LÄN</t>
        </is>
      </c>
      <c r="E447" t="inlineStr">
        <is>
          <t>SALA</t>
        </is>
      </c>
      <c r="F447" t="inlineStr">
        <is>
          <t>Naturvårdsverket</t>
        </is>
      </c>
      <c r="G447" t="n">
        <v>18.4</v>
      </c>
      <c r="H447" t="n">
        <v>0</v>
      </c>
      <c r="I447" t="n">
        <v>0</v>
      </c>
      <c r="J447" t="n">
        <v>0</v>
      </c>
      <c r="K447" t="n">
        <v>0</v>
      </c>
      <c r="L447" t="n">
        <v>0</v>
      </c>
      <c r="M447" t="n">
        <v>0</v>
      </c>
      <c r="N447" t="n">
        <v>0</v>
      </c>
      <c r="O447" t="n">
        <v>0</v>
      </c>
      <c r="P447" t="n">
        <v>0</v>
      </c>
      <c r="Q447" t="n">
        <v>0</v>
      </c>
      <c r="R447" s="2" t="inlineStr"/>
    </row>
    <row r="448" ht="15" customHeight="1">
      <c r="A448" t="inlineStr">
        <is>
          <t>A 64925-2023</t>
        </is>
      </c>
      <c r="B448" s="1" t="n">
        <v>45282</v>
      </c>
      <c r="C448" s="1" t="n">
        <v>45936</v>
      </c>
      <c r="D448" t="inlineStr">
        <is>
          <t>VÄSTMANLANDS LÄN</t>
        </is>
      </c>
      <c r="E448" t="inlineStr">
        <is>
          <t>SALA</t>
        </is>
      </c>
      <c r="G448" t="n">
        <v>2.5</v>
      </c>
      <c r="H448" t="n">
        <v>0</v>
      </c>
      <c r="I448" t="n">
        <v>0</v>
      </c>
      <c r="J448" t="n">
        <v>0</v>
      </c>
      <c r="K448" t="n">
        <v>0</v>
      </c>
      <c r="L448" t="n">
        <v>0</v>
      </c>
      <c r="M448" t="n">
        <v>0</v>
      </c>
      <c r="N448" t="n">
        <v>0</v>
      </c>
      <c r="O448" t="n">
        <v>0</v>
      </c>
      <c r="P448" t="n">
        <v>0</v>
      </c>
      <c r="Q448" t="n">
        <v>0</v>
      </c>
      <c r="R448" s="2" t="inlineStr"/>
    </row>
    <row r="449" ht="15" customHeight="1">
      <c r="A449" t="inlineStr">
        <is>
          <t>A 23406-2024</t>
        </is>
      </c>
      <c r="B449" s="1" t="n">
        <v>45453.58296296297</v>
      </c>
      <c r="C449" s="1" t="n">
        <v>45936</v>
      </c>
      <c r="D449" t="inlineStr">
        <is>
          <t>VÄSTMANLANDS LÄN</t>
        </is>
      </c>
      <c r="E449" t="inlineStr">
        <is>
          <t>SALA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47577-2025</t>
        </is>
      </c>
      <c r="B450" s="1" t="n">
        <v>45931.4047337963</v>
      </c>
      <c r="C450" s="1" t="n">
        <v>45936</v>
      </c>
      <c r="D450" t="inlineStr">
        <is>
          <t>VÄSTMANLANDS LÄN</t>
        </is>
      </c>
      <c r="E450" t="inlineStr">
        <is>
          <t>SALA</t>
        </is>
      </c>
      <c r="G450" t="n">
        <v>3.7</v>
      </c>
      <c r="H450" t="n">
        <v>0</v>
      </c>
      <c r="I450" t="n">
        <v>0</v>
      </c>
      <c r="J450" t="n">
        <v>0</v>
      </c>
      <c r="K450" t="n">
        <v>0</v>
      </c>
      <c r="L450" t="n">
        <v>0</v>
      </c>
      <c r="M450" t="n">
        <v>0</v>
      </c>
      <c r="N450" t="n">
        <v>0</v>
      </c>
      <c r="O450" t="n">
        <v>0</v>
      </c>
      <c r="P450" t="n">
        <v>0</v>
      </c>
      <c r="Q450" t="n">
        <v>0</v>
      </c>
      <c r="R450" s="2" t="inlineStr"/>
    </row>
    <row r="451" ht="15" customHeight="1">
      <c r="A451" t="inlineStr">
        <is>
          <t>A 33527-2023</t>
        </is>
      </c>
      <c r="B451" s="1" t="n">
        <v>45131</v>
      </c>
      <c r="C451" s="1" t="n">
        <v>45936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7377-2023</t>
        </is>
      </c>
      <c r="B452" s="1" t="n">
        <v>44971</v>
      </c>
      <c r="C452" s="1" t="n">
        <v>45936</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16133-2025</t>
        </is>
      </c>
      <c r="B453" s="1" t="n">
        <v>45750</v>
      </c>
      <c r="C453" s="1" t="n">
        <v>45936</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6308-2021</t>
        </is>
      </c>
      <c r="B454" s="1" t="n">
        <v>44235</v>
      </c>
      <c r="C454" s="1" t="n">
        <v>45936</v>
      </c>
      <c r="D454" t="inlineStr">
        <is>
          <t>VÄSTMANLANDS LÄN</t>
        </is>
      </c>
      <c r="E454" t="inlineStr">
        <is>
          <t>SALA</t>
        </is>
      </c>
      <c r="G454" t="n">
        <v>1.4</v>
      </c>
      <c r="H454" t="n">
        <v>0</v>
      </c>
      <c r="I454" t="n">
        <v>0</v>
      </c>
      <c r="J454" t="n">
        <v>0</v>
      </c>
      <c r="K454" t="n">
        <v>0</v>
      </c>
      <c r="L454" t="n">
        <v>0</v>
      </c>
      <c r="M454" t="n">
        <v>0</v>
      </c>
      <c r="N454" t="n">
        <v>0</v>
      </c>
      <c r="O454" t="n">
        <v>0</v>
      </c>
      <c r="P454" t="n">
        <v>0</v>
      </c>
      <c r="Q454" t="n">
        <v>0</v>
      </c>
      <c r="R454" s="2" t="inlineStr"/>
    </row>
    <row r="455" ht="15" customHeight="1">
      <c r="A455" t="inlineStr">
        <is>
          <t>A 15099-2025</t>
        </is>
      </c>
      <c r="B455" s="1" t="n">
        <v>45744.3434837963</v>
      </c>
      <c r="C455" s="1" t="n">
        <v>45936</v>
      </c>
      <c r="D455" t="inlineStr">
        <is>
          <t>VÄSTMANLANDS LÄN</t>
        </is>
      </c>
      <c r="E455" t="inlineStr">
        <is>
          <t>SALA</t>
        </is>
      </c>
      <c r="F455" t="inlineStr">
        <is>
          <t>Sveaskog</t>
        </is>
      </c>
      <c r="G455" t="n">
        <v>14.4</v>
      </c>
      <c r="H455" t="n">
        <v>0</v>
      </c>
      <c r="I455" t="n">
        <v>0</v>
      </c>
      <c r="J455" t="n">
        <v>0</v>
      </c>
      <c r="K455" t="n">
        <v>0</v>
      </c>
      <c r="L455" t="n">
        <v>0</v>
      </c>
      <c r="M455" t="n">
        <v>0</v>
      </c>
      <c r="N455" t="n">
        <v>0</v>
      </c>
      <c r="O455" t="n">
        <v>0</v>
      </c>
      <c r="P455" t="n">
        <v>0</v>
      </c>
      <c r="Q455" t="n">
        <v>0</v>
      </c>
      <c r="R455" s="2" t="inlineStr"/>
    </row>
    <row r="456" ht="15" customHeight="1">
      <c r="A456" t="inlineStr">
        <is>
          <t>A 21159-2022</t>
        </is>
      </c>
      <c r="B456" s="1" t="n">
        <v>44704</v>
      </c>
      <c r="C456" s="1" t="n">
        <v>45936</v>
      </c>
      <c r="D456" t="inlineStr">
        <is>
          <t>VÄSTMANLANDS LÄN</t>
        </is>
      </c>
      <c r="E456" t="inlineStr">
        <is>
          <t>SALA</t>
        </is>
      </c>
      <c r="G456" t="n">
        <v>1.4</v>
      </c>
      <c r="H456" t="n">
        <v>0</v>
      </c>
      <c r="I456" t="n">
        <v>0</v>
      </c>
      <c r="J456" t="n">
        <v>0</v>
      </c>
      <c r="K456" t="n">
        <v>0</v>
      </c>
      <c r="L456" t="n">
        <v>0</v>
      </c>
      <c r="M456" t="n">
        <v>0</v>
      </c>
      <c r="N456" t="n">
        <v>0</v>
      </c>
      <c r="O456" t="n">
        <v>0</v>
      </c>
      <c r="P456" t="n">
        <v>0</v>
      </c>
      <c r="Q456" t="n">
        <v>0</v>
      </c>
      <c r="R456" s="2" t="inlineStr"/>
    </row>
    <row r="457" ht="15" customHeight="1">
      <c r="A457" t="inlineStr">
        <is>
          <t>A 60036-2024</t>
        </is>
      </c>
      <c r="B457" s="1" t="n">
        <v>45642.46434027778</v>
      </c>
      <c r="C457" s="1" t="n">
        <v>45936</v>
      </c>
      <c r="D457" t="inlineStr">
        <is>
          <t>VÄSTMANLANDS LÄN</t>
        </is>
      </c>
      <c r="E457" t="inlineStr">
        <is>
          <t>SALA</t>
        </is>
      </c>
      <c r="G457" t="n">
        <v>2.5</v>
      </c>
      <c r="H457" t="n">
        <v>0</v>
      </c>
      <c r="I457" t="n">
        <v>0</v>
      </c>
      <c r="J457" t="n">
        <v>0</v>
      </c>
      <c r="K457" t="n">
        <v>0</v>
      </c>
      <c r="L457" t="n">
        <v>0</v>
      </c>
      <c r="M457" t="n">
        <v>0</v>
      </c>
      <c r="N457" t="n">
        <v>0</v>
      </c>
      <c r="O457" t="n">
        <v>0</v>
      </c>
      <c r="P457" t="n">
        <v>0</v>
      </c>
      <c r="Q457" t="n">
        <v>0</v>
      </c>
      <c r="R457" s="2" t="inlineStr"/>
    </row>
    <row r="458" ht="15" customHeight="1">
      <c r="A458" t="inlineStr">
        <is>
          <t>A 52827-2024</t>
        </is>
      </c>
      <c r="B458" s="1" t="n">
        <v>45610</v>
      </c>
      <c r="C458" s="1" t="n">
        <v>45936</v>
      </c>
      <c r="D458" t="inlineStr">
        <is>
          <t>VÄSTMANLANDS LÄN</t>
        </is>
      </c>
      <c r="E458" t="inlineStr">
        <is>
          <t>SALA</t>
        </is>
      </c>
      <c r="G458" t="n">
        <v>0.2</v>
      </c>
      <c r="H458" t="n">
        <v>0</v>
      </c>
      <c r="I458" t="n">
        <v>0</v>
      </c>
      <c r="J458" t="n">
        <v>0</v>
      </c>
      <c r="K458" t="n">
        <v>0</v>
      </c>
      <c r="L458" t="n">
        <v>0</v>
      </c>
      <c r="M458" t="n">
        <v>0</v>
      </c>
      <c r="N458" t="n">
        <v>0</v>
      </c>
      <c r="O458" t="n">
        <v>0</v>
      </c>
      <c r="P458" t="n">
        <v>0</v>
      </c>
      <c r="Q458" t="n">
        <v>0</v>
      </c>
      <c r="R458" s="2" t="inlineStr"/>
    </row>
    <row r="459" ht="15" customHeight="1">
      <c r="A459" t="inlineStr">
        <is>
          <t>A 23431-2024</t>
        </is>
      </c>
      <c r="B459" s="1" t="n">
        <v>45453</v>
      </c>
      <c r="C459" s="1" t="n">
        <v>45936</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21168-2025</t>
        </is>
      </c>
      <c r="B460" s="1" t="n">
        <v>45777</v>
      </c>
      <c r="C460" s="1" t="n">
        <v>45936</v>
      </c>
      <c r="D460" t="inlineStr">
        <is>
          <t>VÄSTMANLANDS LÄN</t>
        </is>
      </c>
      <c r="E460" t="inlineStr">
        <is>
          <t>SALA</t>
        </is>
      </c>
      <c r="G460" t="n">
        <v>4.5</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45936</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16328-2025</t>
        </is>
      </c>
      <c r="B462" s="1" t="n">
        <v>45751</v>
      </c>
      <c r="C462" s="1" t="n">
        <v>45936</v>
      </c>
      <c r="D462" t="inlineStr">
        <is>
          <t>VÄSTMANLANDS LÄN</t>
        </is>
      </c>
      <c r="E462" t="inlineStr">
        <is>
          <t>SALA</t>
        </is>
      </c>
      <c r="G462" t="n">
        <v>2.9</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45936</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21721-2025</t>
        </is>
      </c>
      <c r="B464" s="1" t="n">
        <v>45783</v>
      </c>
      <c r="C464" s="1" t="n">
        <v>45936</v>
      </c>
      <c r="D464" t="inlineStr">
        <is>
          <t>VÄSTMANLANDS LÄN</t>
        </is>
      </c>
      <c r="E464" t="inlineStr">
        <is>
          <t>SALA</t>
        </is>
      </c>
      <c r="G464" t="n">
        <v>6.1</v>
      </c>
      <c r="H464" t="n">
        <v>0</v>
      </c>
      <c r="I464" t="n">
        <v>0</v>
      </c>
      <c r="J464" t="n">
        <v>0</v>
      </c>
      <c r="K464" t="n">
        <v>0</v>
      </c>
      <c r="L464" t="n">
        <v>0</v>
      </c>
      <c r="M464" t="n">
        <v>0</v>
      </c>
      <c r="N464" t="n">
        <v>0</v>
      </c>
      <c r="O464" t="n">
        <v>0</v>
      </c>
      <c r="P464" t="n">
        <v>0</v>
      </c>
      <c r="Q464" t="n">
        <v>0</v>
      </c>
      <c r="R464" s="2" t="inlineStr"/>
    </row>
    <row r="465" ht="15" customHeight="1">
      <c r="A465" t="inlineStr">
        <is>
          <t>A 66307-2021</t>
        </is>
      </c>
      <c r="B465" s="1" t="n">
        <v>44518.48670138889</v>
      </c>
      <c r="C465" s="1" t="n">
        <v>45936</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66908-2021</t>
        </is>
      </c>
      <c r="B466" s="1" t="n">
        <v>44522</v>
      </c>
      <c r="C466" s="1" t="n">
        <v>45936</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21754-2025</t>
        </is>
      </c>
      <c r="B467" s="1" t="n">
        <v>45783.61837962963</v>
      </c>
      <c r="C467" s="1" t="n">
        <v>45936</v>
      </c>
      <c r="D467" t="inlineStr">
        <is>
          <t>VÄSTMANLANDS LÄN</t>
        </is>
      </c>
      <c r="E467" t="inlineStr">
        <is>
          <t>SALA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21751-2025</t>
        </is>
      </c>
      <c r="B468" s="1" t="n">
        <v>45783.61372685185</v>
      </c>
      <c r="C468" s="1" t="n">
        <v>45936</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73835-2021</t>
        </is>
      </c>
      <c r="B469" s="1" t="n">
        <v>44552.92112268518</v>
      </c>
      <c r="C469" s="1" t="n">
        <v>45936</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3810-2023</t>
        </is>
      </c>
      <c r="B470" s="1" t="n">
        <v>44951.60454861111</v>
      </c>
      <c r="C470" s="1" t="n">
        <v>45936</v>
      </c>
      <c r="D470" t="inlineStr">
        <is>
          <t>VÄSTMANLANDS LÄN</t>
        </is>
      </c>
      <c r="E470" t="inlineStr">
        <is>
          <t>SALA</t>
        </is>
      </c>
      <c r="G470" t="n">
        <v>4.2</v>
      </c>
      <c r="H470" t="n">
        <v>0</v>
      </c>
      <c r="I470" t="n">
        <v>0</v>
      </c>
      <c r="J470" t="n">
        <v>0</v>
      </c>
      <c r="K470" t="n">
        <v>0</v>
      </c>
      <c r="L470" t="n">
        <v>0</v>
      </c>
      <c r="M470" t="n">
        <v>0</v>
      </c>
      <c r="N470" t="n">
        <v>0</v>
      </c>
      <c r="O470" t="n">
        <v>0</v>
      </c>
      <c r="P470" t="n">
        <v>0</v>
      </c>
      <c r="Q470" t="n">
        <v>0</v>
      </c>
      <c r="R470" s="2" t="inlineStr"/>
    </row>
    <row r="471" ht="15" customHeight="1">
      <c r="A471" t="inlineStr">
        <is>
          <t>A 48057-2025</t>
        </is>
      </c>
      <c r="B471" s="1" t="n">
        <v>45932.67947916667</v>
      </c>
      <c r="C471" s="1" t="n">
        <v>45936</v>
      </c>
      <c r="D471" t="inlineStr">
        <is>
          <t>VÄSTMANLANDS LÄN</t>
        </is>
      </c>
      <c r="E471" t="inlineStr">
        <is>
          <t>SALA</t>
        </is>
      </c>
      <c r="G471" t="n">
        <v>4.3</v>
      </c>
      <c r="H471" t="n">
        <v>0</v>
      </c>
      <c r="I471" t="n">
        <v>0</v>
      </c>
      <c r="J471" t="n">
        <v>0</v>
      </c>
      <c r="K471" t="n">
        <v>0</v>
      </c>
      <c r="L471" t="n">
        <v>0</v>
      </c>
      <c r="M471" t="n">
        <v>0</v>
      </c>
      <c r="N471" t="n">
        <v>0</v>
      </c>
      <c r="O471" t="n">
        <v>0</v>
      </c>
      <c r="P471" t="n">
        <v>0</v>
      </c>
      <c r="Q471" t="n">
        <v>0</v>
      </c>
      <c r="R471" s="2" t="inlineStr"/>
    </row>
    <row r="472" ht="15" customHeight="1">
      <c r="A472" t="inlineStr">
        <is>
          <t>A 37587-2024</t>
        </is>
      </c>
      <c r="B472" s="1" t="n">
        <v>45541</v>
      </c>
      <c r="C472" s="1" t="n">
        <v>45936</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27262-2024</t>
        </is>
      </c>
      <c r="B473" s="1" t="n">
        <v>45471</v>
      </c>
      <c r="C473" s="1" t="n">
        <v>45936</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10913-2025</t>
        </is>
      </c>
      <c r="B474" s="1" t="n">
        <v>45722.73423611111</v>
      </c>
      <c r="C474" s="1" t="n">
        <v>45936</v>
      </c>
      <c r="D474" t="inlineStr">
        <is>
          <t>VÄSTMANLANDS LÄN</t>
        </is>
      </c>
      <c r="E474" t="inlineStr">
        <is>
          <t>SALA</t>
        </is>
      </c>
      <c r="G474" t="n">
        <v>7.6</v>
      </c>
      <c r="H474" t="n">
        <v>0</v>
      </c>
      <c r="I474" t="n">
        <v>0</v>
      </c>
      <c r="J474" t="n">
        <v>0</v>
      </c>
      <c r="K474" t="n">
        <v>0</v>
      </c>
      <c r="L474" t="n">
        <v>0</v>
      </c>
      <c r="M474" t="n">
        <v>0</v>
      </c>
      <c r="N474" t="n">
        <v>0</v>
      </c>
      <c r="O474" t="n">
        <v>0</v>
      </c>
      <c r="P474" t="n">
        <v>0</v>
      </c>
      <c r="Q474" t="n">
        <v>0</v>
      </c>
      <c r="R474" s="2" t="inlineStr"/>
    </row>
    <row r="475" ht="15" customHeight="1">
      <c r="A475" t="inlineStr">
        <is>
          <t>A 52498-2022</t>
        </is>
      </c>
      <c r="B475" s="1" t="n">
        <v>44874.50152777778</v>
      </c>
      <c r="C475" s="1" t="n">
        <v>45936</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35410-2022</t>
        </is>
      </c>
      <c r="B476" s="1" t="n">
        <v>44798.62576388889</v>
      </c>
      <c r="C476" s="1" t="n">
        <v>45936</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12252-2023</t>
        </is>
      </c>
      <c r="B477" s="1" t="n">
        <v>44995</v>
      </c>
      <c r="C477" s="1" t="n">
        <v>45936</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64724-2023</t>
        </is>
      </c>
      <c r="B478" s="1" t="n">
        <v>45281.7602662037</v>
      </c>
      <c r="C478" s="1" t="n">
        <v>45936</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1118-2024</t>
        </is>
      </c>
      <c r="B479" s="1" t="n">
        <v>45302</v>
      </c>
      <c r="C479" s="1" t="n">
        <v>45936</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7176-2023</t>
        </is>
      </c>
      <c r="B480" s="1" t="n">
        <v>44970</v>
      </c>
      <c r="C480" s="1" t="n">
        <v>45936</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19033-2025</t>
        </is>
      </c>
      <c r="B481" s="1" t="n">
        <v>45764.65796296296</v>
      </c>
      <c r="C481" s="1" t="n">
        <v>45936</v>
      </c>
      <c r="D481" t="inlineStr">
        <is>
          <t>VÄSTMANLANDS LÄN</t>
        </is>
      </c>
      <c r="E481" t="inlineStr">
        <is>
          <t>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53864-2022</t>
        </is>
      </c>
      <c r="B482" s="1" t="n">
        <v>44880.64016203704</v>
      </c>
      <c r="C482" s="1" t="n">
        <v>45936</v>
      </c>
      <c r="D482" t="inlineStr">
        <is>
          <t>VÄSTMANLANDS LÄN</t>
        </is>
      </c>
      <c r="E482" t="inlineStr">
        <is>
          <t>SALA</t>
        </is>
      </c>
      <c r="G482" t="n">
        <v>5.9</v>
      </c>
      <c r="H482" t="n">
        <v>0</v>
      </c>
      <c r="I482" t="n">
        <v>0</v>
      </c>
      <c r="J482" t="n">
        <v>0</v>
      </c>
      <c r="K482" t="n">
        <v>0</v>
      </c>
      <c r="L482" t="n">
        <v>0</v>
      </c>
      <c r="M482" t="n">
        <v>0</v>
      </c>
      <c r="N482" t="n">
        <v>0</v>
      </c>
      <c r="O482" t="n">
        <v>0</v>
      </c>
      <c r="P482" t="n">
        <v>0</v>
      </c>
      <c r="Q482" t="n">
        <v>0</v>
      </c>
      <c r="R482" s="2" t="inlineStr"/>
    </row>
    <row r="483" ht="15" customHeight="1">
      <c r="A483" t="inlineStr">
        <is>
          <t>A 43600-2024</t>
        </is>
      </c>
      <c r="B483" s="1" t="n">
        <v>45569</v>
      </c>
      <c r="C483" s="1" t="n">
        <v>45936</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31405-2024</t>
        </is>
      </c>
      <c r="B484" s="1" t="n">
        <v>45505.5490625</v>
      </c>
      <c r="C484" s="1" t="n">
        <v>45936</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22616-2025</t>
        </is>
      </c>
      <c r="B485" s="1" t="n">
        <v>45789.42752314815</v>
      </c>
      <c r="C485" s="1" t="n">
        <v>45936</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45936</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3551-2024</t>
        </is>
      </c>
      <c r="B487" s="1" t="n">
        <v>45320.61099537037</v>
      </c>
      <c r="C487" s="1" t="n">
        <v>45936</v>
      </c>
      <c r="D487" t="inlineStr">
        <is>
          <t>VÄSTMANLANDS LÄN</t>
        </is>
      </c>
      <c r="E487" t="inlineStr">
        <is>
          <t>SALA</t>
        </is>
      </c>
      <c r="F487" t="inlineStr">
        <is>
          <t>Kommuner</t>
        </is>
      </c>
      <c r="G487" t="n">
        <v>6</v>
      </c>
      <c r="H487" t="n">
        <v>0</v>
      </c>
      <c r="I487" t="n">
        <v>0</v>
      </c>
      <c r="J487" t="n">
        <v>0</v>
      </c>
      <c r="K487" t="n">
        <v>0</v>
      </c>
      <c r="L487" t="n">
        <v>0</v>
      </c>
      <c r="M487" t="n">
        <v>0</v>
      </c>
      <c r="N487" t="n">
        <v>0</v>
      </c>
      <c r="O487" t="n">
        <v>0</v>
      </c>
      <c r="P487" t="n">
        <v>0</v>
      </c>
      <c r="Q487" t="n">
        <v>0</v>
      </c>
      <c r="R487" s="2" t="inlineStr"/>
    </row>
    <row r="488" ht="15" customHeight="1">
      <c r="A488" t="inlineStr">
        <is>
          <t>A 22353-2025</t>
        </is>
      </c>
      <c r="B488" s="1" t="n">
        <v>45786</v>
      </c>
      <c r="C488" s="1" t="n">
        <v>45936</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22383-2025</t>
        </is>
      </c>
      <c r="B489" s="1" t="n">
        <v>45786</v>
      </c>
      <c r="C489" s="1" t="n">
        <v>45936</v>
      </c>
      <c r="D489" t="inlineStr">
        <is>
          <t>VÄSTMANLANDS LÄN</t>
        </is>
      </c>
      <c r="E489" t="inlineStr">
        <is>
          <t>SALA</t>
        </is>
      </c>
      <c r="G489" t="n">
        <v>2.2</v>
      </c>
      <c r="H489" t="n">
        <v>0</v>
      </c>
      <c r="I489" t="n">
        <v>0</v>
      </c>
      <c r="J489" t="n">
        <v>0</v>
      </c>
      <c r="K489" t="n">
        <v>0</v>
      </c>
      <c r="L489" t="n">
        <v>0</v>
      </c>
      <c r="M489" t="n">
        <v>0</v>
      </c>
      <c r="N489" t="n">
        <v>0</v>
      </c>
      <c r="O489" t="n">
        <v>0</v>
      </c>
      <c r="P489" t="n">
        <v>0</v>
      </c>
      <c r="Q489" t="n">
        <v>0</v>
      </c>
      <c r="R489" s="2" t="inlineStr"/>
    </row>
    <row r="490" ht="15" customHeight="1">
      <c r="A490" t="inlineStr">
        <is>
          <t>A 22624-2025</t>
        </is>
      </c>
      <c r="B490" s="1" t="n">
        <v>45789.43327546296</v>
      </c>
      <c r="C490" s="1" t="n">
        <v>45936</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22370-2025</t>
        </is>
      </c>
      <c r="B491" s="1" t="n">
        <v>45786</v>
      </c>
      <c r="C491" s="1" t="n">
        <v>45936</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22961-2023</t>
        </is>
      </c>
      <c r="B492" s="1" t="n">
        <v>45072</v>
      </c>
      <c r="C492" s="1" t="n">
        <v>45936</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22963-2023</t>
        </is>
      </c>
      <c r="B493" s="1" t="n">
        <v>45072</v>
      </c>
      <c r="C493" s="1" t="n">
        <v>45936</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13130-2025</t>
        </is>
      </c>
      <c r="B494" s="1" t="n">
        <v>45734</v>
      </c>
      <c r="C494" s="1" t="n">
        <v>45936</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54960-2024</t>
        </is>
      </c>
      <c r="B495" s="1" t="n">
        <v>45619.85208333333</v>
      </c>
      <c r="C495" s="1" t="n">
        <v>45936</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45936</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26507-2023</t>
        </is>
      </c>
      <c r="B497" s="1" t="n">
        <v>45092</v>
      </c>
      <c r="C497" s="1" t="n">
        <v>45936</v>
      </c>
      <c r="D497" t="inlineStr">
        <is>
          <t>VÄSTMANLANDS LÄN</t>
        </is>
      </c>
      <c r="E497" t="inlineStr">
        <is>
          <t>SALA</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6183-2025</t>
        </is>
      </c>
      <c r="B498" s="1" t="n">
        <v>45698</v>
      </c>
      <c r="C498" s="1" t="n">
        <v>45936</v>
      </c>
      <c r="D498" t="inlineStr">
        <is>
          <t>VÄSTMANLANDS LÄN</t>
        </is>
      </c>
      <c r="E498" t="inlineStr">
        <is>
          <t>SALA</t>
        </is>
      </c>
      <c r="F498" t="inlineStr">
        <is>
          <t>Bergvik skog öst AB</t>
        </is>
      </c>
      <c r="G498" t="n">
        <v>2.3</v>
      </c>
      <c r="H498" t="n">
        <v>0</v>
      </c>
      <c r="I498" t="n">
        <v>0</v>
      </c>
      <c r="J498" t="n">
        <v>0</v>
      </c>
      <c r="K498" t="n">
        <v>0</v>
      </c>
      <c r="L498" t="n">
        <v>0</v>
      </c>
      <c r="M498" t="n">
        <v>0</v>
      </c>
      <c r="N498" t="n">
        <v>0</v>
      </c>
      <c r="O498" t="n">
        <v>0</v>
      </c>
      <c r="P498" t="n">
        <v>0</v>
      </c>
      <c r="Q498" t="n">
        <v>0</v>
      </c>
      <c r="R498" s="2" t="inlineStr"/>
    </row>
    <row r="499" ht="15" customHeight="1">
      <c r="A499" t="inlineStr">
        <is>
          <t>A 16543-2023</t>
        </is>
      </c>
      <c r="B499" s="1" t="n">
        <v>45029</v>
      </c>
      <c r="C499" s="1" t="n">
        <v>45936</v>
      </c>
      <c r="D499" t="inlineStr">
        <is>
          <t>VÄSTMANLANDS LÄN</t>
        </is>
      </c>
      <c r="E499" t="inlineStr">
        <is>
          <t>SALA</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23804-2025</t>
        </is>
      </c>
      <c r="B500" s="1" t="n">
        <v>45793.55995370371</v>
      </c>
      <c r="C500" s="1" t="n">
        <v>45936</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22126-2025</t>
        </is>
      </c>
      <c r="B501" s="1" t="n">
        <v>45785</v>
      </c>
      <c r="C501" s="1" t="n">
        <v>45936</v>
      </c>
      <c r="D501" t="inlineStr">
        <is>
          <t>VÄSTMANLANDS LÄN</t>
        </is>
      </c>
      <c r="E501" t="inlineStr">
        <is>
          <t>SALA</t>
        </is>
      </c>
      <c r="G501" t="n">
        <v>10.6</v>
      </c>
      <c r="H501" t="n">
        <v>0</v>
      </c>
      <c r="I501" t="n">
        <v>0</v>
      </c>
      <c r="J501" t="n">
        <v>0</v>
      </c>
      <c r="K501" t="n">
        <v>0</v>
      </c>
      <c r="L501" t="n">
        <v>0</v>
      </c>
      <c r="M501" t="n">
        <v>0</v>
      </c>
      <c r="N501" t="n">
        <v>0</v>
      </c>
      <c r="O501" t="n">
        <v>0</v>
      </c>
      <c r="P501" t="n">
        <v>0</v>
      </c>
      <c r="Q501" t="n">
        <v>0</v>
      </c>
      <c r="R501" s="2" t="inlineStr"/>
    </row>
    <row r="502" ht="15" customHeight="1">
      <c r="A502" t="inlineStr">
        <is>
          <t>A 19297-2025</t>
        </is>
      </c>
      <c r="B502" s="1" t="n">
        <v>45769.56261574074</v>
      </c>
      <c r="C502" s="1" t="n">
        <v>45936</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23810-2025</t>
        </is>
      </c>
      <c r="B503" s="1" t="n">
        <v>45793.56989583333</v>
      </c>
      <c r="C503" s="1" t="n">
        <v>45936</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43176-2023</t>
        </is>
      </c>
      <c r="B504" s="1" t="n">
        <v>45183</v>
      </c>
      <c r="C504" s="1" t="n">
        <v>45936</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37624-2024</t>
        </is>
      </c>
      <c r="B505" s="1" t="n">
        <v>45541</v>
      </c>
      <c r="C505" s="1" t="n">
        <v>45936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57895-2024</t>
        </is>
      </c>
      <c r="B506" s="1" t="n">
        <v>45631</v>
      </c>
      <c r="C506" s="1" t="n">
        <v>45936</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47086-2022</t>
        </is>
      </c>
      <c r="B507" s="1" t="n">
        <v>44852</v>
      </c>
      <c r="C507" s="1" t="n">
        <v>45936</v>
      </c>
      <c r="D507" t="inlineStr">
        <is>
          <t>VÄSTMANLANDS LÄN</t>
        </is>
      </c>
      <c r="E507" t="inlineStr">
        <is>
          <t>SALA</t>
        </is>
      </c>
      <c r="G507" t="n">
        <v>12.5</v>
      </c>
      <c r="H507" t="n">
        <v>0</v>
      </c>
      <c r="I507" t="n">
        <v>0</v>
      </c>
      <c r="J507" t="n">
        <v>0</v>
      </c>
      <c r="K507" t="n">
        <v>0</v>
      </c>
      <c r="L507" t="n">
        <v>0</v>
      </c>
      <c r="M507" t="n">
        <v>0</v>
      </c>
      <c r="N507" t="n">
        <v>0</v>
      </c>
      <c r="O507" t="n">
        <v>0</v>
      </c>
      <c r="P507" t="n">
        <v>0</v>
      </c>
      <c r="Q507" t="n">
        <v>0</v>
      </c>
      <c r="R507" s="2" t="inlineStr"/>
    </row>
    <row r="508" ht="15" customHeight="1">
      <c r="A508" t="inlineStr">
        <is>
          <t>A 24169-2025</t>
        </is>
      </c>
      <c r="B508" s="1" t="n">
        <v>45796</v>
      </c>
      <c r="C508" s="1" t="n">
        <v>45936</v>
      </c>
      <c r="D508" t="inlineStr">
        <is>
          <t>VÄSTMANLANDS LÄN</t>
        </is>
      </c>
      <c r="E508" t="inlineStr">
        <is>
          <t>SALA</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14010-2021</t>
        </is>
      </c>
      <c r="B509" s="1" t="n">
        <v>44277.63396990741</v>
      </c>
      <c r="C509" s="1" t="n">
        <v>45936</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54768-2024</t>
        </is>
      </c>
      <c r="B510" s="1" t="n">
        <v>45618</v>
      </c>
      <c r="C510" s="1" t="n">
        <v>45936</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11210-2025</t>
        </is>
      </c>
      <c r="B511" s="1" t="n">
        <v>45726</v>
      </c>
      <c r="C511" s="1" t="n">
        <v>45936</v>
      </c>
      <c r="D511" t="inlineStr">
        <is>
          <t>VÄSTMANLANDS LÄN</t>
        </is>
      </c>
      <c r="E511" t="inlineStr">
        <is>
          <t>SALA</t>
        </is>
      </c>
      <c r="G511" t="n">
        <v>4.1</v>
      </c>
      <c r="H511" t="n">
        <v>0</v>
      </c>
      <c r="I511" t="n">
        <v>0</v>
      </c>
      <c r="J511" t="n">
        <v>0</v>
      </c>
      <c r="K511" t="n">
        <v>0</v>
      </c>
      <c r="L511" t="n">
        <v>0</v>
      </c>
      <c r="M511" t="n">
        <v>0</v>
      </c>
      <c r="N511" t="n">
        <v>0</v>
      </c>
      <c r="O511" t="n">
        <v>0</v>
      </c>
      <c r="P511" t="n">
        <v>0</v>
      </c>
      <c r="Q511" t="n">
        <v>0</v>
      </c>
      <c r="R511" s="2" t="inlineStr"/>
    </row>
    <row r="512" ht="15" customHeight="1">
      <c r="A512" t="inlineStr">
        <is>
          <t>A 24944-2023</t>
        </is>
      </c>
      <c r="B512" s="1" t="n">
        <v>45085</v>
      </c>
      <c r="C512" s="1" t="n">
        <v>45936</v>
      </c>
      <c r="D512" t="inlineStr">
        <is>
          <t>VÄSTMANLANDS LÄN</t>
        </is>
      </c>
      <c r="E512" t="inlineStr">
        <is>
          <t>SALA</t>
        </is>
      </c>
      <c r="G512" t="n">
        <v>3.8</v>
      </c>
      <c r="H512" t="n">
        <v>0</v>
      </c>
      <c r="I512" t="n">
        <v>0</v>
      </c>
      <c r="J512" t="n">
        <v>0</v>
      </c>
      <c r="K512" t="n">
        <v>0</v>
      </c>
      <c r="L512" t="n">
        <v>0</v>
      </c>
      <c r="M512" t="n">
        <v>0</v>
      </c>
      <c r="N512" t="n">
        <v>0</v>
      </c>
      <c r="O512" t="n">
        <v>0</v>
      </c>
      <c r="P512" t="n">
        <v>0</v>
      </c>
      <c r="Q512" t="n">
        <v>0</v>
      </c>
      <c r="R512" s="2" t="inlineStr"/>
    </row>
    <row r="513" ht="15" customHeight="1">
      <c r="A513" t="inlineStr">
        <is>
          <t>A 56687-2024</t>
        </is>
      </c>
      <c r="B513" s="1" t="n">
        <v>45627.63271990741</v>
      </c>
      <c r="C513" s="1" t="n">
        <v>45936</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54347-2024</t>
        </is>
      </c>
      <c r="B514" s="1" t="n">
        <v>45617.39325231482</v>
      </c>
      <c r="C514" s="1" t="n">
        <v>45936</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64693-2023</t>
        </is>
      </c>
      <c r="B515" s="1" t="n">
        <v>45281.63850694444</v>
      </c>
      <c r="C515" s="1" t="n">
        <v>45936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64695-2023</t>
        </is>
      </c>
      <c r="B516" s="1" t="n">
        <v>45281.64099537037</v>
      </c>
      <c r="C516" s="1" t="n">
        <v>45936</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27486-2022</t>
        </is>
      </c>
      <c r="B517" s="1" t="n">
        <v>44742.60846064815</v>
      </c>
      <c r="C517" s="1" t="n">
        <v>45936</v>
      </c>
      <c r="D517" t="inlineStr">
        <is>
          <t>VÄSTMANLANDS LÄN</t>
        </is>
      </c>
      <c r="E517" t="inlineStr">
        <is>
          <t>SALA</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35003-2024</t>
        </is>
      </c>
      <c r="B518" s="1" t="n">
        <v>45527.56790509259</v>
      </c>
      <c r="C518" s="1" t="n">
        <v>45936</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24460-2025</t>
        </is>
      </c>
      <c r="B519" s="1" t="n">
        <v>45798</v>
      </c>
      <c r="C519" s="1" t="n">
        <v>45936</v>
      </c>
      <c r="D519" t="inlineStr">
        <is>
          <t>VÄSTMANLANDS LÄN</t>
        </is>
      </c>
      <c r="E519" t="inlineStr">
        <is>
          <t>SALA</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24463-2025</t>
        </is>
      </c>
      <c r="B520" s="1" t="n">
        <v>45798</v>
      </c>
      <c r="C520" s="1" t="n">
        <v>45936</v>
      </c>
      <c r="D520" t="inlineStr">
        <is>
          <t>VÄSTMANLANDS LÄN</t>
        </is>
      </c>
      <c r="E520" t="inlineStr">
        <is>
          <t>SALA</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48688-2024</t>
        </is>
      </c>
      <c r="B521" s="1" t="n">
        <v>45593.50541666667</v>
      </c>
      <c r="C521" s="1" t="n">
        <v>45936</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15354-2021</t>
        </is>
      </c>
      <c r="B522" s="1" t="n">
        <v>44284</v>
      </c>
      <c r="C522" s="1" t="n">
        <v>45936</v>
      </c>
      <c r="D522" t="inlineStr">
        <is>
          <t>VÄSTMANLANDS LÄN</t>
        </is>
      </c>
      <c r="E522" t="inlineStr">
        <is>
          <t>SALA</t>
        </is>
      </c>
      <c r="F522" t="inlineStr">
        <is>
          <t>Kyrkan</t>
        </is>
      </c>
      <c r="G522" t="n">
        <v>8.5</v>
      </c>
      <c r="H522" t="n">
        <v>0</v>
      </c>
      <c r="I522" t="n">
        <v>0</v>
      </c>
      <c r="J522" t="n">
        <v>0</v>
      </c>
      <c r="K522" t="n">
        <v>0</v>
      </c>
      <c r="L522" t="n">
        <v>0</v>
      </c>
      <c r="M522" t="n">
        <v>0</v>
      </c>
      <c r="N522" t="n">
        <v>0</v>
      </c>
      <c r="O522" t="n">
        <v>0</v>
      </c>
      <c r="P522" t="n">
        <v>0</v>
      </c>
      <c r="Q522" t="n">
        <v>0</v>
      </c>
      <c r="R522" s="2" t="inlineStr"/>
    </row>
    <row r="523" ht="15" customHeight="1">
      <c r="A523" t="inlineStr">
        <is>
          <t>A 63933-2023</t>
        </is>
      </c>
      <c r="B523" s="1" t="n">
        <v>45278</v>
      </c>
      <c r="C523" s="1" t="n">
        <v>45936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44746-2024</t>
        </is>
      </c>
      <c r="B524" s="1" t="n">
        <v>45574.59813657407</v>
      </c>
      <c r="C524" s="1" t="n">
        <v>45936</v>
      </c>
      <c r="D524" t="inlineStr">
        <is>
          <t>VÄSTMANLANDS LÄN</t>
        </is>
      </c>
      <c r="E524" t="inlineStr">
        <is>
          <t>SALA</t>
        </is>
      </c>
      <c r="G524" t="n">
        <v>6.7</v>
      </c>
      <c r="H524" t="n">
        <v>0</v>
      </c>
      <c r="I524" t="n">
        <v>0</v>
      </c>
      <c r="J524" t="n">
        <v>0</v>
      </c>
      <c r="K524" t="n">
        <v>0</v>
      </c>
      <c r="L524" t="n">
        <v>0</v>
      </c>
      <c r="M524" t="n">
        <v>0</v>
      </c>
      <c r="N524" t="n">
        <v>0</v>
      </c>
      <c r="O524" t="n">
        <v>0</v>
      </c>
      <c r="P524" t="n">
        <v>0</v>
      </c>
      <c r="Q524" t="n">
        <v>0</v>
      </c>
      <c r="R524" s="2" t="inlineStr"/>
    </row>
    <row r="525" ht="15" customHeight="1">
      <c r="A525" t="inlineStr">
        <is>
          <t>A 33273-2023</t>
        </is>
      </c>
      <c r="B525" s="1" t="n">
        <v>45127</v>
      </c>
      <c r="C525" s="1" t="n">
        <v>45936</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11696-2025</t>
        </is>
      </c>
      <c r="B526" s="1" t="n">
        <v>45727</v>
      </c>
      <c r="C526" s="1" t="n">
        <v>45936</v>
      </c>
      <c r="D526" t="inlineStr">
        <is>
          <t>VÄSTMANLANDS LÄN</t>
        </is>
      </c>
      <c r="E526" t="inlineStr">
        <is>
          <t>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55065-2024</t>
        </is>
      </c>
      <c r="B527" s="1" t="n">
        <v>45618</v>
      </c>
      <c r="C527" s="1" t="n">
        <v>45936</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24907-2025</t>
        </is>
      </c>
      <c r="B528" s="1" t="n">
        <v>45799</v>
      </c>
      <c r="C528" s="1" t="n">
        <v>45936</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24910-2025</t>
        </is>
      </c>
      <c r="B529" s="1" t="n">
        <v>45799.53775462963</v>
      </c>
      <c r="C529" s="1" t="n">
        <v>45936</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60545-2024</t>
        </is>
      </c>
      <c r="B530" s="1" t="n">
        <v>45643</v>
      </c>
      <c r="C530" s="1" t="n">
        <v>45936</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60547-2024</t>
        </is>
      </c>
      <c r="B531" s="1" t="n">
        <v>45643</v>
      </c>
      <c r="C531" s="1" t="n">
        <v>45936</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1985-2022</t>
        </is>
      </c>
      <c r="B532" s="1" t="n">
        <v>44575</v>
      </c>
      <c r="C532" s="1" t="n">
        <v>45936</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27261-2024</t>
        </is>
      </c>
      <c r="B533" s="1" t="n">
        <v>45471</v>
      </c>
      <c r="C533" s="1" t="n">
        <v>45936</v>
      </c>
      <c r="D533" t="inlineStr">
        <is>
          <t>VÄSTMANLANDS LÄN</t>
        </is>
      </c>
      <c r="E533" t="inlineStr">
        <is>
          <t>SALA</t>
        </is>
      </c>
      <c r="G533" t="n">
        <v>6.1</v>
      </c>
      <c r="H533" t="n">
        <v>0</v>
      </c>
      <c r="I533" t="n">
        <v>0</v>
      </c>
      <c r="J533" t="n">
        <v>0</v>
      </c>
      <c r="K533" t="n">
        <v>0</v>
      </c>
      <c r="L533" t="n">
        <v>0</v>
      </c>
      <c r="M533" t="n">
        <v>0</v>
      </c>
      <c r="N533" t="n">
        <v>0</v>
      </c>
      <c r="O533" t="n">
        <v>0</v>
      </c>
      <c r="P533" t="n">
        <v>0</v>
      </c>
      <c r="Q533" t="n">
        <v>0</v>
      </c>
      <c r="R533" s="2" t="inlineStr"/>
    </row>
    <row r="534" ht="15" customHeight="1">
      <c r="A534" t="inlineStr">
        <is>
          <t>A 35976-2024</t>
        </is>
      </c>
      <c r="B534" s="1" t="n">
        <v>45533.49555555556</v>
      </c>
      <c r="C534" s="1" t="n">
        <v>45936</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55556-2023</t>
        </is>
      </c>
      <c r="B535" s="1" t="n">
        <v>45232</v>
      </c>
      <c r="C535" s="1" t="n">
        <v>45936</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57650-2024</t>
        </is>
      </c>
      <c r="B536" s="1" t="n">
        <v>45630</v>
      </c>
      <c r="C536" s="1" t="n">
        <v>45936</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50479-2022</t>
        </is>
      </c>
      <c r="B537" s="1" t="n">
        <v>44861</v>
      </c>
      <c r="C537" s="1" t="n">
        <v>45936</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45790-2023</t>
        </is>
      </c>
      <c r="B538" s="1" t="n">
        <v>45195.45958333334</v>
      </c>
      <c r="C538" s="1" t="n">
        <v>45936</v>
      </c>
      <c r="D538" t="inlineStr">
        <is>
          <t>VÄSTMANLANDS LÄN</t>
        </is>
      </c>
      <c r="E538" t="inlineStr">
        <is>
          <t>SALA</t>
        </is>
      </c>
      <c r="G538" t="n">
        <v>5.7</v>
      </c>
      <c r="H538" t="n">
        <v>0</v>
      </c>
      <c r="I538" t="n">
        <v>0</v>
      </c>
      <c r="J538" t="n">
        <v>0</v>
      </c>
      <c r="K538" t="n">
        <v>0</v>
      </c>
      <c r="L538" t="n">
        <v>0</v>
      </c>
      <c r="M538" t="n">
        <v>0</v>
      </c>
      <c r="N538" t="n">
        <v>0</v>
      </c>
      <c r="O538" t="n">
        <v>0</v>
      </c>
      <c r="P538" t="n">
        <v>0</v>
      </c>
      <c r="Q538" t="n">
        <v>0</v>
      </c>
      <c r="R538" s="2" t="inlineStr"/>
    </row>
    <row r="539" ht="15" customHeight="1">
      <c r="A539" t="inlineStr">
        <is>
          <t>A 2928-2024</t>
        </is>
      </c>
      <c r="B539" s="1" t="n">
        <v>45315.59041666667</v>
      </c>
      <c r="C539" s="1" t="n">
        <v>45936</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73673-2021</t>
        </is>
      </c>
      <c r="B540" s="1" t="n">
        <v>44552.46501157407</v>
      </c>
      <c r="C540" s="1" t="n">
        <v>45936</v>
      </c>
      <c r="D540" t="inlineStr">
        <is>
          <t>VÄSTMANLANDS LÄN</t>
        </is>
      </c>
      <c r="E540" t="inlineStr">
        <is>
          <t>SALA</t>
        </is>
      </c>
      <c r="G540" t="n">
        <v>11.4</v>
      </c>
      <c r="H540" t="n">
        <v>0</v>
      </c>
      <c r="I540" t="n">
        <v>0</v>
      </c>
      <c r="J540" t="n">
        <v>0</v>
      </c>
      <c r="K540" t="n">
        <v>0</v>
      </c>
      <c r="L540" t="n">
        <v>0</v>
      </c>
      <c r="M540" t="n">
        <v>0</v>
      </c>
      <c r="N540" t="n">
        <v>0</v>
      </c>
      <c r="O540" t="n">
        <v>0</v>
      </c>
      <c r="P540" t="n">
        <v>0</v>
      </c>
      <c r="Q540" t="n">
        <v>0</v>
      </c>
      <c r="R540" s="2" t="inlineStr"/>
    </row>
    <row r="541" ht="15" customHeight="1">
      <c r="A541" t="inlineStr">
        <is>
          <t>A 10909-2024</t>
        </is>
      </c>
      <c r="B541" s="1" t="n">
        <v>45370</v>
      </c>
      <c r="C541" s="1" t="n">
        <v>45936</v>
      </c>
      <c r="D541" t="inlineStr">
        <is>
          <t>VÄSTMANLANDS LÄN</t>
        </is>
      </c>
      <c r="E541" t="inlineStr">
        <is>
          <t>SALA</t>
        </is>
      </c>
      <c r="G541" t="n">
        <v>3.3</v>
      </c>
      <c r="H541" t="n">
        <v>0</v>
      </c>
      <c r="I541" t="n">
        <v>0</v>
      </c>
      <c r="J541" t="n">
        <v>0</v>
      </c>
      <c r="K541" t="n">
        <v>0</v>
      </c>
      <c r="L541" t="n">
        <v>0</v>
      </c>
      <c r="M541" t="n">
        <v>0</v>
      </c>
      <c r="N541" t="n">
        <v>0</v>
      </c>
      <c r="O541" t="n">
        <v>0</v>
      </c>
      <c r="P541" t="n">
        <v>0</v>
      </c>
      <c r="Q541" t="n">
        <v>0</v>
      </c>
      <c r="R541" s="2" t="inlineStr"/>
    </row>
    <row r="542" ht="15" customHeight="1">
      <c r="A542" t="inlineStr">
        <is>
          <t>A 40871-2021</t>
        </is>
      </c>
      <c r="B542" s="1" t="n">
        <v>44421</v>
      </c>
      <c r="C542" s="1" t="n">
        <v>45936</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14271-2025</t>
        </is>
      </c>
      <c r="B543" s="1" t="n">
        <v>45740.64129629629</v>
      </c>
      <c r="C543" s="1" t="n">
        <v>45936</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54199-2024</t>
        </is>
      </c>
      <c r="B544" s="1" t="n">
        <v>45616.64703703704</v>
      </c>
      <c r="C544" s="1" t="n">
        <v>45936</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6312-2025</t>
        </is>
      </c>
      <c r="B545" s="1" t="n">
        <v>45698</v>
      </c>
      <c r="C545" s="1" t="n">
        <v>45936</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26661-2025</t>
        </is>
      </c>
      <c r="B546" s="1" t="n">
        <v>45810</v>
      </c>
      <c r="C546" s="1" t="n">
        <v>45936</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45936</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62654-2022</t>
        </is>
      </c>
      <c r="B548" s="1" t="n">
        <v>44917</v>
      </c>
      <c r="C548" s="1" t="n">
        <v>45936</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43188-2023</t>
        </is>
      </c>
      <c r="B549" s="1" t="n">
        <v>45183</v>
      </c>
      <c r="C549" s="1" t="n">
        <v>45936</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43205-2023</t>
        </is>
      </c>
      <c r="B550" s="1" t="n">
        <v>45183</v>
      </c>
      <c r="C550" s="1" t="n">
        <v>45936</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61892-2021</t>
        </is>
      </c>
      <c r="B551" s="1" t="n">
        <v>44502</v>
      </c>
      <c r="C551" s="1" t="n">
        <v>45936</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29213-2022</t>
        </is>
      </c>
      <c r="B552" s="1" t="n">
        <v>44750.57474537037</v>
      </c>
      <c r="C552" s="1" t="n">
        <v>45936</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59483-2022</t>
        </is>
      </c>
      <c r="B553" s="1" t="n">
        <v>44907.45679398148</v>
      </c>
      <c r="C553" s="1" t="n">
        <v>45936</v>
      </c>
      <c r="D553" t="inlineStr">
        <is>
          <t>VÄSTMANLANDS LÄN</t>
        </is>
      </c>
      <c r="E553" t="inlineStr">
        <is>
          <t>SALA</t>
        </is>
      </c>
      <c r="G553" t="n">
        <v>5.2</v>
      </c>
      <c r="H553" t="n">
        <v>0</v>
      </c>
      <c r="I553" t="n">
        <v>0</v>
      </c>
      <c r="J553" t="n">
        <v>0</v>
      </c>
      <c r="K553" t="n">
        <v>0</v>
      </c>
      <c r="L553" t="n">
        <v>0</v>
      </c>
      <c r="M553" t="n">
        <v>0</v>
      </c>
      <c r="N553" t="n">
        <v>0</v>
      </c>
      <c r="O553" t="n">
        <v>0</v>
      </c>
      <c r="P553" t="n">
        <v>0</v>
      </c>
      <c r="Q553" t="n">
        <v>0</v>
      </c>
      <c r="R553" s="2" t="inlineStr"/>
    </row>
    <row r="554" ht="15" customHeight="1">
      <c r="A554" t="inlineStr">
        <is>
          <t>A 27989-2025</t>
        </is>
      </c>
      <c r="B554" s="1" t="n">
        <v>45817.58716435185</v>
      </c>
      <c r="C554" s="1" t="n">
        <v>45936</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16160-2024</t>
        </is>
      </c>
      <c r="B555" s="1" t="n">
        <v>45406</v>
      </c>
      <c r="C555" s="1" t="n">
        <v>45936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27981-2025</t>
        </is>
      </c>
      <c r="B556" s="1" t="n">
        <v>45817.57471064815</v>
      </c>
      <c r="C556" s="1" t="n">
        <v>45936</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28193-2025</t>
        </is>
      </c>
      <c r="B557" s="1" t="n">
        <v>45818.425625</v>
      </c>
      <c r="C557" s="1" t="n">
        <v>45936</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28284-2025</t>
        </is>
      </c>
      <c r="B558" s="1" t="n">
        <v>45818.58893518519</v>
      </c>
      <c r="C558" s="1" t="n">
        <v>45936</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28278-2025</t>
        </is>
      </c>
      <c r="B559" s="1" t="n">
        <v>45818.58454861111</v>
      </c>
      <c r="C559" s="1" t="n">
        <v>45936</v>
      </c>
      <c r="D559" t="inlineStr">
        <is>
          <t>VÄSTMANLANDS LÄN</t>
        </is>
      </c>
      <c r="E559" t="inlineStr">
        <is>
          <t>SALA</t>
        </is>
      </c>
      <c r="G559" t="n">
        <v>7.6</v>
      </c>
      <c r="H559" t="n">
        <v>0</v>
      </c>
      <c r="I559" t="n">
        <v>0</v>
      </c>
      <c r="J559" t="n">
        <v>0</v>
      </c>
      <c r="K559" t="n">
        <v>0</v>
      </c>
      <c r="L559" t="n">
        <v>0</v>
      </c>
      <c r="M559" t="n">
        <v>0</v>
      </c>
      <c r="N559" t="n">
        <v>0</v>
      </c>
      <c r="O559" t="n">
        <v>0</v>
      </c>
      <c r="P559" t="n">
        <v>0</v>
      </c>
      <c r="Q559" t="n">
        <v>0</v>
      </c>
      <c r="R559" s="2" t="inlineStr"/>
    </row>
    <row r="560" ht="15" customHeight="1">
      <c r="A560" t="inlineStr">
        <is>
          <t>A 28628-2025</t>
        </is>
      </c>
      <c r="B560" s="1" t="n">
        <v>45819.62158564815</v>
      </c>
      <c r="C560" s="1" t="n">
        <v>45936</v>
      </c>
      <c r="D560" t="inlineStr">
        <is>
          <t>VÄSTMANLANDS LÄN</t>
        </is>
      </c>
      <c r="E560" t="inlineStr">
        <is>
          <t>SALA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28632-2025</t>
        </is>
      </c>
      <c r="B561" s="1" t="n">
        <v>45819.62344907408</v>
      </c>
      <c r="C561" s="1" t="n">
        <v>45936</v>
      </c>
      <c r="D561" t="inlineStr">
        <is>
          <t>VÄSTMANLANDS LÄN</t>
        </is>
      </c>
      <c r="E561" t="inlineStr">
        <is>
          <t>SALA</t>
        </is>
      </c>
      <c r="F561" t="inlineStr">
        <is>
          <t>Sveaskog</t>
        </is>
      </c>
      <c r="G561" t="n">
        <v>2.4</v>
      </c>
      <c r="H561" t="n">
        <v>0</v>
      </c>
      <c r="I561" t="n">
        <v>0</v>
      </c>
      <c r="J561" t="n">
        <v>0</v>
      </c>
      <c r="K561" t="n">
        <v>0</v>
      </c>
      <c r="L561" t="n">
        <v>0</v>
      </c>
      <c r="M561" t="n">
        <v>0</v>
      </c>
      <c r="N561" t="n">
        <v>0</v>
      </c>
      <c r="O561" t="n">
        <v>0</v>
      </c>
      <c r="P561" t="n">
        <v>0</v>
      </c>
      <c r="Q561" t="n">
        <v>0</v>
      </c>
      <c r="R561" s="2" t="inlineStr"/>
    </row>
    <row r="562" ht="15" customHeight="1">
      <c r="A562" t="inlineStr">
        <is>
          <t>A 28630-2025</t>
        </is>
      </c>
      <c r="B562" s="1" t="n">
        <v>45819.62274305556</v>
      </c>
      <c r="C562" s="1" t="n">
        <v>45936</v>
      </c>
      <c r="D562" t="inlineStr">
        <is>
          <t>VÄSTMANLANDS LÄN</t>
        </is>
      </c>
      <c r="E562" t="inlineStr">
        <is>
          <t>SALA</t>
        </is>
      </c>
      <c r="F562" t="inlineStr">
        <is>
          <t>Sveaskog</t>
        </is>
      </c>
      <c r="G562" t="n">
        <v>9</v>
      </c>
      <c r="H562" t="n">
        <v>0</v>
      </c>
      <c r="I562" t="n">
        <v>0</v>
      </c>
      <c r="J562" t="n">
        <v>0</v>
      </c>
      <c r="K562" t="n">
        <v>0</v>
      </c>
      <c r="L562" t="n">
        <v>0</v>
      </c>
      <c r="M562" t="n">
        <v>0</v>
      </c>
      <c r="N562" t="n">
        <v>0</v>
      </c>
      <c r="O562" t="n">
        <v>0</v>
      </c>
      <c r="P562" t="n">
        <v>0</v>
      </c>
      <c r="Q562" t="n">
        <v>0</v>
      </c>
      <c r="R562" s="2" t="inlineStr"/>
    </row>
    <row r="563" ht="15" customHeight="1">
      <c r="A563" t="inlineStr">
        <is>
          <t>A 39597-2022</t>
        </is>
      </c>
      <c r="B563" s="1" t="n">
        <v>44818</v>
      </c>
      <c r="C563" s="1" t="n">
        <v>45936</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28837-2025</t>
        </is>
      </c>
      <c r="B564" s="1" t="n">
        <v>45820.56243055555</v>
      </c>
      <c r="C564" s="1" t="n">
        <v>45936</v>
      </c>
      <c r="D564" t="inlineStr">
        <is>
          <t>VÄSTMANLANDS LÄN</t>
        </is>
      </c>
      <c r="E564" t="inlineStr">
        <is>
          <t>SALA</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28849-2025</t>
        </is>
      </c>
      <c r="B565" s="1" t="n">
        <v>45820</v>
      </c>
      <c r="C565" s="1" t="n">
        <v>45936</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22921-2023</t>
        </is>
      </c>
      <c r="B566" s="1" t="n">
        <v>45070</v>
      </c>
      <c r="C566" s="1" t="n">
        <v>45936</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29085-2025</t>
        </is>
      </c>
      <c r="B567" s="1" t="n">
        <v>45821</v>
      </c>
      <c r="C567" s="1" t="n">
        <v>45936</v>
      </c>
      <c r="D567" t="inlineStr">
        <is>
          <t>VÄSTMANLANDS LÄN</t>
        </is>
      </c>
      <c r="E567" t="inlineStr">
        <is>
          <t>SALA</t>
        </is>
      </c>
      <c r="G567" t="n">
        <v>3.5</v>
      </c>
      <c r="H567" t="n">
        <v>0</v>
      </c>
      <c r="I567" t="n">
        <v>0</v>
      </c>
      <c r="J567" t="n">
        <v>0</v>
      </c>
      <c r="K567" t="n">
        <v>0</v>
      </c>
      <c r="L567" t="n">
        <v>0</v>
      </c>
      <c r="M567" t="n">
        <v>0</v>
      </c>
      <c r="N567" t="n">
        <v>0</v>
      </c>
      <c r="O567" t="n">
        <v>0</v>
      </c>
      <c r="P567" t="n">
        <v>0</v>
      </c>
      <c r="Q567" t="n">
        <v>0</v>
      </c>
      <c r="R567" s="2" t="inlineStr"/>
    </row>
    <row r="568" ht="15" customHeight="1">
      <c r="A568" t="inlineStr">
        <is>
          <t>A 36858-2023</t>
        </is>
      </c>
      <c r="B568" s="1" t="n">
        <v>45154.55184027777</v>
      </c>
      <c r="C568" s="1" t="n">
        <v>45936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55024-2023</t>
        </is>
      </c>
      <c r="B569" s="1" t="n">
        <v>45229</v>
      </c>
      <c r="C569" s="1" t="n">
        <v>45936</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55032-2023</t>
        </is>
      </c>
      <c r="B570" s="1" t="n">
        <v>45229</v>
      </c>
      <c r="C570" s="1" t="n">
        <v>45936</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29691-2025</t>
        </is>
      </c>
      <c r="B571" s="1" t="n">
        <v>45825.53645833334</v>
      </c>
      <c r="C571" s="1" t="n">
        <v>45936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60541-2024</t>
        </is>
      </c>
      <c r="B572" s="1" t="n">
        <v>45643</v>
      </c>
      <c r="C572" s="1" t="n">
        <v>45936</v>
      </c>
      <c r="D572" t="inlineStr">
        <is>
          <t>VÄSTMANLANDS LÄN</t>
        </is>
      </c>
      <c r="E572" t="inlineStr">
        <is>
          <t>SALA</t>
        </is>
      </c>
      <c r="G572" t="n">
        <v>10.6</v>
      </c>
      <c r="H572" t="n">
        <v>0</v>
      </c>
      <c r="I572" t="n">
        <v>0</v>
      </c>
      <c r="J572" t="n">
        <v>0</v>
      </c>
      <c r="K572" t="n">
        <v>0</v>
      </c>
      <c r="L572" t="n">
        <v>0</v>
      </c>
      <c r="M572" t="n">
        <v>0</v>
      </c>
      <c r="N572" t="n">
        <v>0</v>
      </c>
      <c r="O572" t="n">
        <v>0</v>
      </c>
      <c r="P572" t="n">
        <v>0</v>
      </c>
      <c r="Q572" t="n">
        <v>0</v>
      </c>
      <c r="R572" s="2" t="inlineStr"/>
    </row>
    <row r="573" ht="15" customHeight="1">
      <c r="A573" t="inlineStr">
        <is>
          <t>A 20352-2022</t>
        </is>
      </c>
      <c r="B573" s="1" t="n">
        <v>44699.37318287037</v>
      </c>
      <c r="C573" s="1" t="n">
        <v>45936</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5032-2025</t>
        </is>
      </c>
      <c r="B574" s="1" t="n">
        <v>45691</v>
      </c>
      <c r="C574" s="1" t="n">
        <v>45936</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17117-2023</t>
        </is>
      </c>
      <c r="B575" s="1" t="n">
        <v>45034</v>
      </c>
      <c r="C575" s="1" t="n">
        <v>45936</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19243-2025</t>
        </is>
      </c>
      <c r="B576" s="1" t="n">
        <v>45769</v>
      </c>
      <c r="C576" s="1" t="n">
        <v>45936</v>
      </c>
      <c r="D576" t="inlineStr">
        <is>
          <t>VÄSTMANLANDS LÄN</t>
        </is>
      </c>
      <c r="E576" t="inlineStr">
        <is>
          <t>SALA</t>
        </is>
      </c>
      <c r="F576" t="inlineStr">
        <is>
          <t>Bergvik skog öst AB</t>
        </is>
      </c>
      <c r="G576" t="n">
        <v>1.5</v>
      </c>
      <c r="H576" t="n">
        <v>0</v>
      </c>
      <c r="I576" t="n">
        <v>0</v>
      </c>
      <c r="J576" t="n">
        <v>0</v>
      </c>
      <c r="K576" t="n">
        <v>0</v>
      </c>
      <c r="L576" t="n">
        <v>0</v>
      </c>
      <c r="M576" t="n">
        <v>0</v>
      </c>
      <c r="N576" t="n">
        <v>0</v>
      </c>
      <c r="O576" t="n">
        <v>0</v>
      </c>
      <c r="P576" t="n">
        <v>0</v>
      </c>
      <c r="Q576" t="n">
        <v>0</v>
      </c>
      <c r="R576" s="2" t="inlineStr"/>
    </row>
    <row r="577" ht="15" customHeight="1">
      <c r="A577" t="inlineStr">
        <is>
          <t>A 29826-2025</t>
        </is>
      </c>
      <c r="B577" s="1" t="n">
        <v>45825.85761574074</v>
      </c>
      <c r="C577" s="1" t="n">
        <v>45936</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7166-2025</t>
        </is>
      </c>
      <c r="B578" s="1" t="n">
        <v>45702</v>
      </c>
      <c r="C578" s="1" t="n">
        <v>45936</v>
      </c>
      <c r="D578" t="inlineStr">
        <is>
          <t>VÄSTMANLANDS LÄN</t>
        </is>
      </c>
      <c r="E578" t="inlineStr">
        <is>
          <t>SALA</t>
        </is>
      </c>
      <c r="G578" t="n">
        <v>6.1</v>
      </c>
      <c r="H578" t="n">
        <v>0</v>
      </c>
      <c r="I578" t="n">
        <v>0</v>
      </c>
      <c r="J578" t="n">
        <v>0</v>
      </c>
      <c r="K578" t="n">
        <v>0</v>
      </c>
      <c r="L578" t="n">
        <v>0</v>
      </c>
      <c r="M578" t="n">
        <v>0</v>
      </c>
      <c r="N578" t="n">
        <v>0</v>
      </c>
      <c r="O578" t="n">
        <v>0</v>
      </c>
      <c r="P578" t="n">
        <v>0</v>
      </c>
      <c r="Q578" t="n">
        <v>0</v>
      </c>
      <c r="R578" s="2" t="inlineStr"/>
    </row>
    <row r="579" ht="15" customHeight="1">
      <c r="A579" t="inlineStr">
        <is>
          <t>A 36393-2023</t>
        </is>
      </c>
      <c r="B579" s="1" t="n">
        <v>45152</v>
      </c>
      <c r="C579" s="1" t="n">
        <v>45936</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31608-2025</t>
        </is>
      </c>
      <c r="B580" s="1" t="n">
        <v>45833</v>
      </c>
      <c r="C580" s="1" t="n">
        <v>45936</v>
      </c>
      <c r="D580" t="inlineStr">
        <is>
          <t>VÄSTMANLANDS LÄN</t>
        </is>
      </c>
      <c r="E580" t="inlineStr">
        <is>
          <t>SALA</t>
        </is>
      </c>
      <c r="G580" t="n">
        <v>6.1</v>
      </c>
      <c r="H580" t="n">
        <v>0</v>
      </c>
      <c r="I580" t="n">
        <v>0</v>
      </c>
      <c r="J580" t="n">
        <v>0</v>
      </c>
      <c r="K580" t="n">
        <v>0</v>
      </c>
      <c r="L580" t="n">
        <v>0</v>
      </c>
      <c r="M580" t="n">
        <v>0</v>
      </c>
      <c r="N580" t="n">
        <v>0</v>
      </c>
      <c r="O580" t="n">
        <v>0</v>
      </c>
      <c r="P580" t="n">
        <v>0</v>
      </c>
      <c r="Q580" t="n">
        <v>0</v>
      </c>
      <c r="R580" s="2" t="inlineStr"/>
    </row>
    <row r="581" ht="15" customHeight="1">
      <c r="A581" t="inlineStr">
        <is>
          <t>A 26416-2023</t>
        </is>
      </c>
      <c r="B581" s="1" t="n">
        <v>45092.38087962963</v>
      </c>
      <c r="C581" s="1" t="n">
        <v>45936</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30866-2025</t>
        </is>
      </c>
      <c r="B582" s="1" t="n">
        <v>45832.3246875</v>
      </c>
      <c r="C582" s="1" t="n">
        <v>45936</v>
      </c>
      <c r="D582" t="inlineStr">
        <is>
          <t>VÄSTMANLANDS LÄN</t>
        </is>
      </c>
      <c r="E582" t="inlineStr">
        <is>
          <t>SALA</t>
        </is>
      </c>
      <c r="G582" t="n">
        <v>14.3</v>
      </c>
      <c r="H582" t="n">
        <v>0</v>
      </c>
      <c r="I582" t="n">
        <v>0</v>
      </c>
      <c r="J582" t="n">
        <v>0</v>
      </c>
      <c r="K582" t="n">
        <v>0</v>
      </c>
      <c r="L582" t="n">
        <v>0</v>
      </c>
      <c r="M582" t="n">
        <v>0</v>
      </c>
      <c r="N582" t="n">
        <v>0</v>
      </c>
      <c r="O582" t="n">
        <v>0</v>
      </c>
      <c r="P582" t="n">
        <v>0</v>
      </c>
      <c r="Q582" t="n">
        <v>0</v>
      </c>
      <c r="R582" s="2" t="inlineStr"/>
    </row>
    <row r="583" ht="15" customHeight="1">
      <c r="A583" t="inlineStr">
        <is>
          <t>A 30874-2025</t>
        </is>
      </c>
      <c r="B583" s="1" t="n">
        <v>45832.34430555555</v>
      </c>
      <c r="C583" s="1" t="n">
        <v>45936</v>
      </c>
      <c r="D583" t="inlineStr">
        <is>
          <t>VÄSTMANLANDS LÄN</t>
        </is>
      </c>
      <c r="E583" t="inlineStr">
        <is>
          <t>SALA</t>
        </is>
      </c>
      <c r="G583" t="n">
        <v>8.4</v>
      </c>
      <c r="H583" t="n">
        <v>0</v>
      </c>
      <c r="I583" t="n">
        <v>0</v>
      </c>
      <c r="J583" t="n">
        <v>0</v>
      </c>
      <c r="K583" t="n">
        <v>0</v>
      </c>
      <c r="L583" t="n">
        <v>0</v>
      </c>
      <c r="M583" t="n">
        <v>0</v>
      </c>
      <c r="N583" t="n">
        <v>0</v>
      </c>
      <c r="O583" t="n">
        <v>0</v>
      </c>
      <c r="P583" t="n">
        <v>0</v>
      </c>
      <c r="Q583" t="n">
        <v>0</v>
      </c>
      <c r="R583" s="2" t="inlineStr"/>
    </row>
    <row r="584" ht="15" customHeight="1">
      <c r="A584" t="inlineStr">
        <is>
          <t>A 31573-2025</t>
        </is>
      </c>
      <c r="B584" s="1" t="n">
        <v>45833</v>
      </c>
      <c r="C584" s="1" t="n">
        <v>45936</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31288-2025</t>
        </is>
      </c>
      <c r="B585" s="1" t="n">
        <v>45833</v>
      </c>
      <c r="C585" s="1" t="n">
        <v>45936</v>
      </c>
      <c r="D585" t="inlineStr">
        <is>
          <t>VÄSTMANLANDS LÄN</t>
        </is>
      </c>
      <c r="E585" t="inlineStr">
        <is>
          <t>SALA</t>
        </is>
      </c>
      <c r="G585" t="n">
        <v>3.1</v>
      </c>
      <c r="H585" t="n">
        <v>0</v>
      </c>
      <c r="I585" t="n">
        <v>0</v>
      </c>
      <c r="J585" t="n">
        <v>0</v>
      </c>
      <c r="K585" t="n">
        <v>0</v>
      </c>
      <c r="L585" t="n">
        <v>0</v>
      </c>
      <c r="M585" t="n">
        <v>0</v>
      </c>
      <c r="N585" t="n">
        <v>0</v>
      </c>
      <c r="O585" t="n">
        <v>0</v>
      </c>
      <c r="P585" t="n">
        <v>0</v>
      </c>
      <c r="Q585" t="n">
        <v>0</v>
      </c>
      <c r="R585" s="2" t="inlineStr"/>
    </row>
    <row r="586" ht="15" customHeight="1">
      <c r="A586" t="inlineStr">
        <is>
          <t>A 31554-2025</t>
        </is>
      </c>
      <c r="B586" s="1" t="n">
        <v>45833</v>
      </c>
      <c r="C586" s="1" t="n">
        <v>45936</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30899-2025</t>
        </is>
      </c>
      <c r="B587" s="1" t="n">
        <v>45832.35767361111</v>
      </c>
      <c r="C587" s="1" t="n">
        <v>45936</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31065-2025</t>
        </is>
      </c>
      <c r="B588" s="1" t="n">
        <v>45832.57571759259</v>
      </c>
      <c r="C588" s="1" t="n">
        <v>45936</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66821-2020</t>
        </is>
      </c>
      <c r="B589" s="1" t="n">
        <v>44179.88008101852</v>
      </c>
      <c r="C589" s="1" t="n">
        <v>45936</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28661-2024</t>
        </is>
      </c>
      <c r="B590" s="1" t="n">
        <v>45478</v>
      </c>
      <c r="C590" s="1" t="n">
        <v>45936</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31296-2025</t>
        </is>
      </c>
      <c r="B591" s="1" t="n">
        <v>45833.36765046296</v>
      </c>
      <c r="C591" s="1" t="n">
        <v>45936</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31748-2025</t>
        </is>
      </c>
      <c r="B592" s="1" t="n">
        <v>45834</v>
      </c>
      <c r="C592" s="1" t="n">
        <v>45936</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32210-2025</t>
        </is>
      </c>
      <c r="B593" s="1" t="n">
        <v>45835</v>
      </c>
      <c r="C593" s="1" t="n">
        <v>45936</v>
      </c>
      <c r="D593" t="inlineStr">
        <is>
          <t>VÄSTMANLANDS LÄN</t>
        </is>
      </c>
      <c r="E593" t="inlineStr">
        <is>
          <t>SALA</t>
        </is>
      </c>
      <c r="F593" t="inlineStr">
        <is>
          <t>Bergvik skog öst AB</t>
        </is>
      </c>
      <c r="G593" t="n">
        <v>1.5</v>
      </c>
      <c r="H593" t="n">
        <v>0</v>
      </c>
      <c r="I593" t="n">
        <v>0</v>
      </c>
      <c r="J593" t="n">
        <v>0</v>
      </c>
      <c r="K593" t="n">
        <v>0</v>
      </c>
      <c r="L593" t="n">
        <v>0</v>
      </c>
      <c r="M593" t="n">
        <v>0</v>
      </c>
      <c r="N593" t="n">
        <v>0</v>
      </c>
      <c r="O593" t="n">
        <v>0</v>
      </c>
      <c r="P593" t="n">
        <v>0</v>
      </c>
      <c r="Q593" t="n">
        <v>0</v>
      </c>
      <c r="R593" s="2" t="inlineStr"/>
    </row>
    <row r="594" ht="15" customHeight="1">
      <c r="A594" t="inlineStr">
        <is>
          <t>A 27255-2023</t>
        </is>
      </c>
      <c r="B594" s="1" t="n">
        <v>45096</v>
      </c>
      <c r="C594" s="1" t="n">
        <v>45936</v>
      </c>
      <c r="D594" t="inlineStr">
        <is>
          <t>VÄSTMANLANDS LÄN</t>
        </is>
      </c>
      <c r="E594" t="inlineStr">
        <is>
          <t>SALA</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31610-2025</t>
        </is>
      </c>
      <c r="B595" s="1" t="n">
        <v>45833.78650462963</v>
      </c>
      <c r="C595" s="1" t="n">
        <v>45936</v>
      </c>
      <c r="D595" t="inlineStr">
        <is>
          <t>VÄSTMANLANDS LÄN</t>
        </is>
      </c>
      <c r="E595" t="inlineStr">
        <is>
          <t>SALA</t>
        </is>
      </c>
      <c r="G595" t="n">
        <v>8</v>
      </c>
      <c r="H595" t="n">
        <v>0</v>
      </c>
      <c r="I595" t="n">
        <v>0</v>
      </c>
      <c r="J595" t="n">
        <v>0</v>
      </c>
      <c r="K595" t="n">
        <v>0</v>
      </c>
      <c r="L595" t="n">
        <v>0</v>
      </c>
      <c r="M595" t="n">
        <v>0</v>
      </c>
      <c r="N595" t="n">
        <v>0</v>
      </c>
      <c r="O595" t="n">
        <v>0</v>
      </c>
      <c r="P595" t="n">
        <v>0</v>
      </c>
      <c r="Q595" t="n">
        <v>0</v>
      </c>
      <c r="R595" s="2" t="inlineStr"/>
    </row>
    <row r="596" ht="15" customHeight="1">
      <c r="A596" t="inlineStr">
        <is>
          <t>A 32201-2025</t>
        </is>
      </c>
      <c r="B596" s="1" t="n">
        <v>45835</v>
      </c>
      <c r="C596" s="1" t="n">
        <v>45936</v>
      </c>
      <c r="D596" t="inlineStr">
        <is>
          <t>VÄSTMANLANDS LÄN</t>
        </is>
      </c>
      <c r="E596" t="inlineStr">
        <is>
          <t>SALA</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45936</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31860-2025</t>
        </is>
      </c>
      <c r="B598" s="1" t="n">
        <v>45834</v>
      </c>
      <c r="C598" s="1" t="n">
        <v>45936</v>
      </c>
      <c r="D598" t="inlineStr">
        <is>
          <t>VÄSTMANLANDS LÄN</t>
        </is>
      </c>
      <c r="E598" t="inlineStr">
        <is>
          <t>SALA</t>
        </is>
      </c>
      <c r="G598" t="n">
        <v>7.4</v>
      </c>
      <c r="H598" t="n">
        <v>0</v>
      </c>
      <c r="I598" t="n">
        <v>0</v>
      </c>
      <c r="J598" t="n">
        <v>0</v>
      </c>
      <c r="K598" t="n">
        <v>0</v>
      </c>
      <c r="L598" t="n">
        <v>0</v>
      </c>
      <c r="M598" t="n">
        <v>0</v>
      </c>
      <c r="N598" t="n">
        <v>0</v>
      </c>
      <c r="O598" t="n">
        <v>0</v>
      </c>
      <c r="P598" t="n">
        <v>0</v>
      </c>
      <c r="Q598" t="n">
        <v>0</v>
      </c>
      <c r="R598" s="2" t="inlineStr"/>
    </row>
    <row r="599" ht="15" customHeight="1">
      <c r="A599" t="inlineStr">
        <is>
          <t>A 32207-2025</t>
        </is>
      </c>
      <c r="B599" s="1" t="n">
        <v>45835</v>
      </c>
      <c r="C599" s="1" t="n">
        <v>45936</v>
      </c>
      <c r="D599" t="inlineStr">
        <is>
          <t>VÄSTMANLANDS LÄN</t>
        </is>
      </c>
      <c r="E599" t="inlineStr">
        <is>
          <t>SALA</t>
        </is>
      </c>
      <c r="F599" t="inlineStr">
        <is>
          <t>Bergvik skog öst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31762-2025</t>
        </is>
      </c>
      <c r="B600" s="1" t="n">
        <v>45834.49288194445</v>
      </c>
      <c r="C600" s="1" t="n">
        <v>45936</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31771-2025</t>
        </is>
      </c>
      <c r="B601" s="1" t="n">
        <v>45834.50910879629</v>
      </c>
      <c r="C601" s="1" t="n">
        <v>45936</v>
      </c>
      <c r="D601" t="inlineStr">
        <is>
          <t>VÄSTMANLANDS LÄN</t>
        </is>
      </c>
      <c r="E601" t="inlineStr">
        <is>
          <t>SALA</t>
        </is>
      </c>
      <c r="G601" t="n">
        <v>5.1</v>
      </c>
      <c r="H601" t="n">
        <v>0</v>
      </c>
      <c r="I601" t="n">
        <v>0</v>
      </c>
      <c r="J601" t="n">
        <v>0</v>
      </c>
      <c r="K601" t="n">
        <v>0</v>
      </c>
      <c r="L601" t="n">
        <v>0</v>
      </c>
      <c r="M601" t="n">
        <v>0</v>
      </c>
      <c r="N601" t="n">
        <v>0</v>
      </c>
      <c r="O601" t="n">
        <v>0</v>
      </c>
      <c r="P601" t="n">
        <v>0</v>
      </c>
      <c r="Q601" t="n">
        <v>0</v>
      </c>
      <c r="R601" s="2" t="inlineStr"/>
    </row>
    <row r="602" ht="15" customHeight="1">
      <c r="A602" t="inlineStr">
        <is>
          <t>A 32205-2025</t>
        </is>
      </c>
      <c r="B602" s="1" t="n">
        <v>45835</v>
      </c>
      <c r="C602" s="1" t="n">
        <v>45936</v>
      </c>
      <c r="D602" t="inlineStr">
        <is>
          <t>VÄSTMANLANDS LÄN</t>
        </is>
      </c>
      <c r="E602" t="inlineStr">
        <is>
          <t>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32286-2025</t>
        </is>
      </c>
      <c r="B603" s="1" t="n">
        <v>45835</v>
      </c>
      <c r="C603" s="1" t="n">
        <v>45936</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7197-2025</t>
        </is>
      </c>
      <c r="B604" s="1" t="n">
        <v>45702</v>
      </c>
      <c r="C604" s="1" t="n">
        <v>45936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45936</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13752-2025</t>
        </is>
      </c>
      <c r="B606" s="1" t="n">
        <v>45737.41416666667</v>
      </c>
      <c r="C606" s="1" t="n">
        <v>45936</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2927-2024</t>
        </is>
      </c>
      <c r="B607" s="1" t="n">
        <v>45315.58989583333</v>
      </c>
      <c r="C607" s="1" t="n">
        <v>45936</v>
      </c>
      <c r="D607" t="inlineStr">
        <is>
          <t>VÄSTMANLANDS LÄN</t>
        </is>
      </c>
      <c r="E607" t="inlineStr">
        <is>
          <t>SALA</t>
        </is>
      </c>
      <c r="G607" t="n">
        <v>2.5</v>
      </c>
      <c r="H607" t="n">
        <v>0</v>
      </c>
      <c r="I607" t="n">
        <v>0</v>
      </c>
      <c r="J607" t="n">
        <v>0</v>
      </c>
      <c r="K607" t="n">
        <v>0</v>
      </c>
      <c r="L607" t="n">
        <v>0</v>
      </c>
      <c r="M607" t="n">
        <v>0</v>
      </c>
      <c r="N607" t="n">
        <v>0</v>
      </c>
      <c r="O607" t="n">
        <v>0</v>
      </c>
      <c r="P607" t="n">
        <v>0</v>
      </c>
      <c r="Q607" t="n">
        <v>0</v>
      </c>
      <c r="R607" s="2" t="inlineStr"/>
    </row>
    <row r="608" ht="15" customHeight="1">
      <c r="A608" t="inlineStr">
        <is>
          <t>A 26854-2024</t>
        </is>
      </c>
      <c r="B608" s="1" t="n">
        <v>45470</v>
      </c>
      <c r="C608" s="1" t="n">
        <v>45936</v>
      </c>
      <c r="D608" t="inlineStr">
        <is>
          <t>VÄSTMANLANDS LÄN</t>
        </is>
      </c>
      <c r="E608" t="inlineStr">
        <is>
          <t>SALA</t>
        </is>
      </c>
      <c r="G608" t="n">
        <v>1.4</v>
      </c>
      <c r="H608" t="n">
        <v>0</v>
      </c>
      <c r="I608" t="n">
        <v>0</v>
      </c>
      <c r="J608" t="n">
        <v>0</v>
      </c>
      <c r="K608" t="n">
        <v>0</v>
      </c>
      <c r="L608" t="n">
        <v>0</v>
      </c>
      <c r="M608" t="n">
        <v>0</v>
      </c>
      <c r="N608" t="n">
        <v>0</v>
      </c>
      <c r="O608" t="n">
        <v>0</v>
      </c>
      <c r="P608" t="n">
        <v>0</v>
      </c>
      <c r="Q608" t="n">
        <v>0</v>
      </c>
      <c r="R608" s="2" t="inlineStr"/>
    </row>
    <row r="609" ht="15" customHeight="1">
      <c r="A609" t="inlineStr">
        <is>
          <t>A 6154-2025</t>
        </is>
      </c>
      <c r="B609" s="1" t="n">
        <v>45698.40719907408</v>
      </c>
      <c r="C609" s="1" t="n">
        <v>45936</v>
      </c>
      <c r="D609" t="inlineStr">
        <is>
          <t>VÄSTMANLANDS LÄN</t>
        </is>
      </c>
      <c r="E609" t="inlineStr">
        <is>
          <t>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48570-2024</t>
        </is>
      </c>
      <c r="B610" s="1" t="n">
        <v>45591</v>
      </c>
      <c r="C610" s="1" t="n">
        <v>45936</v>
      </c>
      <c r="D610" t="inlineStr">
        <is>
          <t>VÄSTMANLANDS LÄN</t>
        </is>
      </c>
      <c r="E610" t="inlineStr">
        <is>
          <t>SALA</t>
        </is>
      </c>
      <c r="G610" t="n">
        <v>3</v>
      </c>
      <c r="H610" t="n">
        <v>0</v>
      </c>
      <c r="I610" t="n">
        <v>0</v>
      </c>
      <c r="J610" t="n">
        <v>0</v>
      </c>
      <c r="K610" t="n">
        <v>0</v>
      </c>
      <c r="L610" t="n">
        <v>0</v>
      </c>
      <c r="M610" t="n">
        <v>0</v>
      </c>
      <c r="N610" t="n">
        <v>0</v>
      </c>
      <c r="O610" t="n">
        <v>0</v>
      </c>
      <c r="P610" t="n">
        <v>0</v>
      </c>
      <c r="Q610" t="n">
        <v>0</v>
      </c>
      <c r="R610" s="2" t="inlineStr"/>
    </row>
    <row r="611" ht="15" customHeight="1">
      <c r="A611" t="inlineStr">
        <is>
          <t>A 10812-2021</t>
        </is>
      </c>
      <c r="B611" s="1" t="n">
        <v>44259</v>
      </c>
      <c r="C611" s="1" t="n">
        <v>45936</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57883-2024</t>
        </is>
      </c>
      <c r="B612" s="1" t="n">
        <v>45630</v>
      </c>
      <c r="C612" s="1" t="n">
        <v>45936</v>
      </c>
      <c r="D612" t="inlineStr">
        <is>
          <t>VÄSTMANLANDS LÄN</t>
        </is>
      </c>
      <c r="E612" t="inlineStr">
        <is>
          <t>SALA</t>
        </is>
      </c>
      <c r="G612" t="n">
        <v>5.4</v>
      </c>
      <c r="H612" t="n">
        <v>0</v>
      </c>
      <c r="I612" t="n">
        <v>0</v>
      </c>
      <c r="J612" t="n">
        <v>0</v>
      </c>
      <c r="K612" t="n">
        <v>0</v>
      </c>
      <c r="L612" t="n">
        <v>0</v>
      </c>
      <c r="M612" t="n">
        <v>0</v>
      </c>
      <c r="N612" t="n">
        <v>0</v>
      </c>
      <c r="O612" t="n">
        <v>0</v>
      </c>
      <c r="P612" t="n">
        <v>0</v>
      </c>
      <c r="Q612" t="n">
        <v>0</v>
      </c>
      <c r="R612" s="2" t="inlineStr"/>
    </row>
    <row r="613" ht="15" customHeight="1">
      <c r="A613" t="inlineStr">
        <is>
          <t>A 16769-2024</t>
        </is>
      </c>
      <c r="B613" s="1" t="n">
        <v>45411.38738425926</v>
      </c>
      <c r="C613" s="1" t="n">
        <v>45936</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18877-2023</t>
        </is>
      </c>
      <c r="B614" s="1" t="n">
        <v>45044</v>
      </c>
      <c r="C614" s="1" t="n">
        <v>45936</v>
      </c>
      <c r="D614" t="inlineStr">
        <is>
          <t>VÄSTMANLANDS LÄN</t>
        </is>
      </c>
      <c r="E614" t="inlineStr">
        <is>
          <t>SALA</t>
        </is>
      </c>
      <c r="F614" t="inlineStr">
        <is>
          <t>Kommuner</t>
        </is>
      </c>
      <c r="G614" t="n">
        <v>4.4</v>
      </c>
      <c r="H614" t="n">
        <v>0</v>
      </c>
      <c r="I614" t="n">
        <v>0</v>
      </c>
      <c r="J614" t="n">
        <v>0</v>
      </c>
      <c r="K614" t="n">
        <v>0</v>
      </c>
      <c r="L614" t="n">
        <v>0</v>
      </c>
      <c r="M614" t="n">
        <v>0</v>
      </c>
      <c r="N614" t="n">
        <v>0</v>
      </c>
      <c r="O614" t="n">
        <v>0</v>
      </c>
      <c r="P614" t="n">
        <v>0</v>
      </c>
      <c r="Q614" t="n">
        <v>0</v>
      </c>
      <c r="R614" s="2" t="inlineStr"/>
    </row>
    <row r="615" ht="15" customHeight="1">
      <c r="A615" t="inlineStr">
        <is>
          <t>A 44544-2024</t>
        </is>
      </c>
      <c r="B615" s="1" t="n">
        <v>45574.46119212963</v>
      </c>
      <c r="C615" s="1" t="n">
        <v>45936</v>
      </c>
      <c r="D615" t="inlineStr">
        <is>
          <t>VÄSTMANLANDS LÄN</t>
        </is>
      </c>
      <c r="E615" t="inlineStr">
        <is>
          <t>SALA</t>
        </is>
      </c>
      <c r="G615" t="n">
        <v>3.3</v>
      </c>
      <c r="H615" t="n">
        <v>0</v>
      </c>
      <c r="I615" t="n">
        <v>0</v>
      </c>
      <c r="J615" t="n">
        <v>0</v>
      </c>
      <c r="K615" t="n">
        <v>0</v>
      </c>
      <c r="L615" t="n">
        <v>0</v>
      </c>
      <c r="M615" t="n">
        <v>0</v>
      </c>
      <c r="N615" t="n">
        <v>0</v>
      </c>
      <c r="O615" t="n">
        <v>0</v>
      </c>
      <c r="P615" t="n">
        <v>0</v>
      </c>
      <c r="Q615" t="n">
        <v>0</v>
      </c>
      <c r="R615" s="2" t="inlineStr"/>
    </row>
    <row r="616" ht="15" customHeight="1">
      <c r="A616" t="inlineStr">
        <is>
          <t>A 60379-2022</t>
        </is>
      </c>
      <c r="B616" s="1" t="n">
        <v>44910</v>
      </c>
      <c r="C616" s="1" t="n">
        <v>45936</v>
      </c>
      <c r="D616" t="inlineStr">
        <is>
          <t>VÄSTMANLANDS LÄN</t>
        </is>
      </c>
      <c r="E616" t="inlineStr">
        <is>
          <t>SALA</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56547-2022</t>
        </is>
      </c>
      <c r="B617" s="1" t="n">
        <v>44893.48284722222</v>
      </c>
      <c r="C617" s="1" t="n">
        <v>45936</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29542-2023</t>
        </is>
      </c>
      <c r="B618" s="1" t="n">
        <v>45098</v>
      </c>
      <c r="C618" s="1" t="n">
        <v>45936</v>
      </c>
      <c r="D618" t="inlineStr">
        <is>
          <t>VÄSTMANLANDS LÄN</t>
        </is>
      </c>
      <c r="E618" t="inlineStr">
        <is>
          <t>SALA</t>
        </is>
      </c>
      <c r="G618" t="n">
        <v>4.8</v>
      </c>
      <c r="H618" t="n">
        <v>0</v>
      </c>
      <c r="I618" t="n">
        <v>0</v>
      </c>
      <c r="J618" t="n">
        <v>0</v>
      </c>
      <c r="K618" t="n">
        <v>0</v>
      </c>
      <c r="L618" t="n">
        <v>0</v>
      </c>
      <c r="M618" t="n">
        <v>0</v>
      </c>
      <c r="N618" t="n">
        <v>0</v>
      </c>
      <c r="O618" t="n">
        <v>0</v>
      </c>
      <c r="P618" t="n">
        <v>0</v>
      </c>
      <c r="Q618" t="n">
        <v>0</v>
      </c>
      <c r="R618" s="2" t="inlineStr"/>
    </row>
    <row r="619" ht="15" customHeight="1">
      <c r="A619" t="inlineStr">
        <is>
          <t>A 16638-2023</t>
        </is>
      </c>
      <c r="B619" s="1" t="n">
        <v>45027</v>
      </c>
      <c r="C619" s="1" t="n">
        <v>45936</v>
      </c>
      <c r="D619" t="inlineStr">
        <is>
          <t>VÄSTMANLANDS LÄN</t>
        </is>
      </c>
      <c r="E619" t="inlineStr">
        <is>
          <t>SALA</t>
        </is>
      </c>
      <c r="G619" t="n">
        <v>14.8</v>
      </c>
      <c r="H619" t="n">
        <v>0</v>
      </c>
      <c r="I619" t="n">
        <v>0</v>
      </c>
      <c r="J619" t="n">
        <v>0</v>
      </c>
      <c r="K619" t="n">
        <v>0</v>
      </c>
      <c r="L619" t="n">
        <v>0</v>
      </c>
      <c r="M619" t="n">
        <v>0</v>
      </c>
      <c r="N619" t="n">
        <v>0</v>
      </c>
      <c r="O619" t="n">
        <v>0</v>
      </c>
      <c r="P619" t="n">
        <v>0</v>
      </c>
      <c r="Q619" t="n">
        <v>0</v>
      </c>
      <c r="R619" s="2" t="inlineStr"/>
    </row>
    <row r="620" ht="15" customHeight="1">
      <c r="A620" t="inlineStr">
        <is>
          <t>A 37190-2024</t>
        </is>
      </c>
      <c r="B620" s="1" t="n">
        <v>45539</v>
      </c>
      <c r="C620" s="1" t="n">
        <v>45936</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34069-2025</t>
        </is>
      </c>
      <c r="B621" s="1" t="n">
        <v>45845.43560185185</v>
      </c>
      <c r="C621" s="1" t="n">
        <v>45936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c r="U621">
        <f>HYPERLINK("https://klasma.github.io/Logging_1981/knärot/A 34069-2025 karta knärot.png", "A 34069-2025")</f>
        <v/>
      </c>
      <c r="V621">
        <f>HYPERLINK("https://klasma.github.io/Logging_1981/klagomål/A 34069-2025 FSC-klagomål.docx", "A 34069-2025")</f>
        <v/>
      </c>
      <c r="W621">
        <f>HYPERLINK("https://klasma.github.io/Logging_1981/klagomålsmail/A 34069-2025 FSC-klagomål mail.docx", "A 34069-2025")</f>
        <v/>
      </c>
      <c r="X621">
        <f>HYPERLINK("https://klasma.github.io/Logging_1981/tillsyn/A 34069-2025 tillsynsbegäran.docx", "A 34069-2025")</f>
        <v/>
      </c>
      <c r="Y621">
        <f>HYPERLINK("https://klasma.github.io/Logging_1981/tillsynsmail/A 34069-2025 tillsynsbegäran mail.docx", "A 34069-2025")</f>
        <v/>
      </c>
    </row>
    <row r="622" ht="15" customHeight="1">
      <c r="A622" t="inlineStr">
        <is>
          <t>A 15744-2025</t>
        </is>
      </c>
      <c r="B622" s="1" t="n">
        <v>45748</v>
      </c>
      <c r="C622" s="1" t="n">
        <v>45936</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23222-2023</t>
        </is>
      </c>
      <c r="B623" s="1" t="n">
        <v>45075</v>
      </c>
      <c r="C623" s="1" t="n">
        <v>45936</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23224-2023</t>
        </is>
      </c>
      <c r="B624" s="1" t="n">
        <v>45075.65040509259</v>
      </c>
      <c r="C624" s="1" t="n">
        <v>45936</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22026-2021</t>
        </is>
      </c>
      <c r="B625" s="1" t="n">
        <v>44323</v>
      </c>
      <c r="C625" s="1" t="n">
        <v>45936</v>
      </c>
      <c r="D625" t="inlineStr">
        <is>
          <t>VÄSTMANLANDS LÄN</t>
        </is>
      </c>
      <c r="E625" t="inlineStr">
        <is>
          <t>SALA</t>
        </is>
      </c>
      <c r="G625" t="n">
        <v>2.9</v>
      </c>
      <c r="H625" t="n">
        <v>0</v>
      </c>
      <c r="I625" t="n">
        <v>0</v>
      </c>
      <c r="J625" t="n">
        <v>0</v>
      </c>
      <c r="K625" t="n">
        <v>0</v>
      </c>
      <c r="L625" t="n">
        <v>0</v>
      </c>
      <c r="M625" t="n">
        <v>0</v>
      </c>
      <c r="N625" t="n">
        <v>0</v>
      </c>
      <c r="O625" t="n">
        <v>0</v>
      </c>
      <c r="P625" t="n">
        <v>0</v>
      </c>
      <c r="Q625" t="n">
        <v>0</v>
      </c>
      <c r="R625" s="2" t="inlineStr"/>
    </row>
    <row r="626" ht="15" customHeight="1">
      <c r="A626" t="inlineStr">
        <is>
          <t>A 68864-2021</t>
        </is>
      </c>
      <c r="B626" s="1" t="n">
        <v>44530</v>
      </c>
      <c r="C626" s="1" t="n">
        <v>45936</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19065-2022</t>
        </is>
      </c>
      <c r="B627" s="1" t="n">
        <v>44691.44309027777</v>
      </c>
      <c r="C627" s="1" t="n">
        <v>45936</v>
      </c>
      <c r="D627" t="inlineStr">
        <is>
          <t>VÄSTMANLANDS LÄN</t>
        </is>
      </c>
      <c r="E627" t="inlineStr">
        <is>
          <t>SALA</t>
        </is>
      </c>
      <c r="G627" t="n">
        <v>3.4</v>
      </c>
      <c r="H627" t="n">
        <v>0</v>
      </c>
      <c r="I627" t="n">
        <v>0</v>
      </c>
      <c r="J627" t="n">
        <v>0</v>
      </c>
      <c r="K627" t="n">
        <v>0</v>
      </c>
      <c r="L627" t="n">
        <v>0</v>
      </c>
      <c r="M627" t="n">
        <v>0</v>
      </c>
      <c r="N627" t="n">
        <v>0</v>
      </c>
      <c r="O627" t="n">
        <v>0</v>
      </c>
      <c r="P627" t="n">
        <v>0</v>
      </c>
      <c r="Q627" t="n">
        <v>0</v>
      </c>
      <c r="R627" s="2" t="inlineStr"/>
    </row>
    <row r="628" ht="15" customHeight="1">
      <c r="A628" t="inlineStr">
        <is>
          <t>A 37612-2024</t>
        </is>
      </c>
      <c r="B628" s="1" t="n">
        <v>45541</v>
      </c>
      <c r="C628" s="1" t="n">
        <v>45936</v>
      </c>
      <c r="D628" t="inlineStr">
        <is>
          <t>VÄSTMANLANDS LÄN</t>
        </is>
      </c>
      <c r="E628" t="inlineStr">
        <is>
          <t>SALA</t>
        </is>
      </c>
      <c r="G628" t="n">
        <v>2.2</v>
      </c>
      <c r="H628" t="n">
        <v>0</v>
      </c>
      <c r="I628" t="n">
        <v>0</v>
      </c>
      <c r="J628" t="n">
        <v>0</v>
      </c>
      <c r="K628" t="n">
        <v>0</v>
      </c>
      <c r="L628" t="n">
        <v>0</v>
      </c>
      <c r="M628" t="n">
        <v>0</v>
      </c>
      <c r="N628" t="n">
        <v>0</v>
      </c>
      <c r="O628" t="n">
        <v>0</v>
      </c>
      <c r="P628" t="n">
        <v>0</v>
      </c>
      <c r="Q628" t="n">
        <v>0</v>
      </c>
      <c r="R628" s="2" t="inlineStr"/>
    </row>
    <row r="629" ht="15" customHeight="1">
      <c r="A629" t="inlineStr">
        <is>
          <t>A 37615-2024</t>
        </is>
      </c>
      <c r="B629" s="1" t="n">
        <v>45541.50673611111</v>
      </c>
      <c r="C629" s="1" t="n">
        <v>45936</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18158-2025</t>
        </is>
      </c>
      <c r="B630" s="1" t="n">
        <v>45761</v>
      </c>
      <c r="C630" s="1" t="n">
        <v>45936</v>
      </c>
      <c r="D630" t="inlineStr">
        <is>
          <t>VÄSTMANLANDS LÄN</t>
        </is>
      </c>
      <c r="E630" t="inlineStr">
        <is>
          <t>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40554-2025</t>
        </is>
      </c>
      <c r="B631" s="1" t="n">
        <v>45896.44506944445</v>
      </c>
      <c r="C631" s="1" t="n">
        <v>45936</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40620-2025</t>
        </is>
      </c>
      <c r="B632" s="1" t="n">
        <v>45896.58609953704</v>
      </c>
      <c r="C632" s="1" t="n">
        <v>45936</v>
      </c>
      <c r="D632" t="inlineStr">
        <is>
          <t>VÄSTMANLANDS LÄN</t>
        </is>
      </c>
      <c r="E632" t="inlineStr">
        <is>
          <t>SALA</t>
        </is>
      </c>
      <c r="G632" t="n">
        <v>6.7</v>
      </c>
      <c r="H632" t="n">
        <v>0</v>
      </c>
      <c r="I632" t="n">
        <v>0</v>
      </c>
      <c r="J632" t="n">
        <v>0</v>
      </c>
      <c r="K632" t="n">
        <v>0</v>
      </c>
      <c r="L632" t="n">
        <v>0</v>
      </c>
      <c r="M632" t="n">
        <v>0</v>
      </c>
      <c r="N632" t="n">
        <v>0</v>
      </c>
      <c r="O632" t="n">
        <v>0</v>
      </c>
      <c r="P632" t="n">
        <v>0</v>
      </c>
      <c r="Q632" t="n">
        <v>0</v>
      </c>
      <c r="R632" s="2" t="inlineStr"/>
    </row>
    <row r="633" ht="15" customHeight="1">
      <c r="A633" t="inlineStr">
        <is>
          <t>A 9962-2025</t>
        </is>
      </c>
      <c r="B633" s="1" t="n">
        <v>45719.37072916667</v>
      </c>
      <c r="C633" s="1" t="n">
        <v>45936</v>
      </c>
      <c r="D633" t="inlineStr">
        <is>
          <t>VÄSTMANLANDS LÄN</t>
        </is>
      </c>
      <c r="E633" t="inlineStr">
        <is>
          <t>SALA</t>
        </is>
      </c>
      <c r="G633" t="n">
        <v>4.5</v>
      </c>
      <c r="H633" t="n">
        <v>0</v>
      </c>
      <c r="I633" t="n">
        <v>0</v>
      </c>
      <c r="J633" t="n">
        <v>0</v>
      </c>
      <c r="K633" t="n">
        <v>0</v>
      </c>
      <c r="L633" t="n">
        <v>0</v>
      </c>
      <c r="M633" t="n">
        <v>0</v>
      </c>
      <c r="N633" t="n">
        <v>0</v>
      </c>
      <c r="O633" t="n">
        <v>0</v>
      </c>
      <c r="P633" t="n">
        <v>0</v>
      </c>
      <c r="Q633" t="n">
        <v>0</v>
      </c>
      <c r="R633" s="2" t="inlineStr"/>
    </row>
    <row r="634" ht="15" customHeight="1">
      <c r="A634" t="inlineStr">
        <is>
          <t>A 37602-2024</t>
        </is>
      </c>
      <c r="B634" s="1" t="n">
        <v>45541</v>
      </c>
      <c r="C634" s="1" t="n">
        <v>45936</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18762-2024</t>
        </is>
      </c>
      <c r="B635" s="1" t="n">
        <v>45426.55240740741</v>
      </c>
      <c r="C635" s="1" t="n">
        <v>45936</v>
      </c>
      <c r="D635" t="inlineStr">
        <is>
          <t>VÄSTMANLANDS LÄN</t>
        </is>
      </c>
      <c r="E635" t="inlineStr">
        <is>
          <t>SALA</t>
        </is>
      </c>
      <c r="G635" t="n">
        <v>6.2</v>
      </c>
      <c r="H635" t="n">
        <v>0</v>
      </c>
      <c r="I635" t="n">
        <v>0</v>
      </c>
      <c r="J635" t="n">
        <v>0</v>
      </c>
      <c r="K635" t="n">
        <v>0</v>
      </c>
      <c r="L635" t="n">
        <v>0</v>
      </c>
      <c r="M635" t="n">
        <v>0</v>
      </c>
      <c r="N635" t="n">
        <v>0</v>
      </c>
      <c r="O635" t="n">
        <v>0</v>
      </c>
      <c r="P635" t="n">
        <v>0</v>
      </c>
      <c r="Q635" t="n">
        <v>0</v>
      </c>
      <c r="R635" s="2" t="inlineStr"/>
    </row>
    <row r="636" ht="15" customHeight="1">
      <c r="A636" t="inlineStr">
        <is>
          <t>A 39011-2023</t>
        </is>
      </c>
      <c r="B636" s="1" t="n">
        <v>45162</v>
      </c>
      <c r="C636" s="1" t="n">
        <v>45936</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40559-2025</t>
        </is>
      </c>
      <c r="B637" s="1" t="n">
        <v>45896.45037037037</v>
      </c>
      <c r="C637" s="1" t="n">
        <v>45936</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46352-2023</t>
        </is>
      </c>
      <c r="B638" s="1" t="n">
        <v>45192</v>
      </c>
      <c r="C638" s="1" t="n">
        <v>45936</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40556-2025</t>
        </is>
      </c>
      <c r="B639" s="1" t="n">
        <v>45896.44944444444</v>
      </c>
      <c r="C639" s="1" t="n">
        <v>45936</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43751-2021</t>
        </is>
      </c>
      <c r="B640" s="1" t="n">
        <v>44433</v>
      </c>
      <c r="C640" s="1" t="n">
        <v>45936</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1128-2025</t>
        </is>
      </c>
      <c r="B641" s="1" t="n">
        <v>45666.68469907407</v>
      </c>
      <c r="C641" s="1" t="n">
        <v>45936</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41414-2025</t>
        </is>
      </c>
      <c r="B642" s="1" t="n">
        <v>45901.360625</v>
      </c>
      <c r="C642" s="1" t="n">
        <v>45936</v>
      </c>
      <c r="D642" t="inlineStr">
        <is>
          <t>VÄSTMANLANDS LÄN</t>
        </is>
      </c>
      <c r="E642" t="inlineStr">
        <is>
          <t>SALA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41431-2025</t>
        </is>
      </c>
      <c r="B643" s="1" t="n">
        <v>45901.39347222223</v>
      </c>
      <c r="C643" s="1" t="n">
        <v>45936</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31950-2023</t>
        </is>
      </c>
      <c r="B644" s="1" t="n">
        <v>45107</v>
      </c>
      <c r="C644" s="1" t="n">
        <v>45936</v>
      </c>
      <c r="D644" t="inlineStr">
        <is>
          <t>VÄSTMANLANDS LÄN</t>
        </is>
      </c>
      <c r="E644" t="inlineStr">
        <is>
          <t>SALA</t>
        </is>
      </c>
      <c r="G644" t="n">
        <v>0.1</v>
      </c>
      <c r="H644" t="n">
        <v>0</v>
      </c>
      <c r="I644" t="n">
        <v>0</v>
      </c>
      <c r="J644" t="n">
        <v>0</v>
      </c>
      <c r="K644" t="n">
        <v>0</v>
      </c>
      <c r="L644" t="n">
        <v>0</v>
      </c>
      <c r="M644" t="n">
        <v>0</v>
      </c>
      <c r="N644" t="n">
        <v>0</v>
      </c>
      <c r="O644" t="n">
        <v>0</v>
      </c>
      <c r="P644" t="n">
        <v>0</v>
      </c>
      <c r="Q644" t="n">
        <v>0</v>
      </c>
      <c r="R644" s="2" t="inlineStr"/>
    </row>
    <row r="645" ht="15" customHeight="1">
      <c r="A645" t="inlineStr">
        <is>
          <t>A 56540-2024</t>
        </is>
      </c>
      <c r="B645" s="1" t="n">
        <v>45625</v>
      </c>
      <c r="C645" s="1" t="n">
        <v>45936</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6116-2023</t>
        </is>
      </c>
      <c r="B646" s="1" t="n">
        <v>44964</v>
      </c>
      <c r="C646" s="1" t="n">
        <v>45936</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41230-2025</t>
        </is>
      </c>
      <c r="B647" s="1" t="n">
        <v>45898</v>
      </c>
      <c r="C647" s="1" t="n">
        <v>45936</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35775-2025</t>
        </is>
      </c>
      <c r="B648" s="1" t="n">
        <v>45860</v>
      </c>
      <c r="C648" s="1" t="n">
        <v>45936</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35779-2025</t>
        </is>
      </c>
      <c r="B649" s="1" t="n">
        <v>45860.69495370371</v>
      </c>
      <c r="C649" s="1" t="n">
        <v>45936</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35776-2025</t>
        </is>
      </c>
      <c r="B650" s="1" t="n">
        <v>45860.69211805556</v>
      </c>
      <c r="C650" s="1" t="n">
        <v>45936</v>
      </c>
      <c r="D650" t="inlineStr">
        <is>
          <t>VÄSTMANLANDS LÄN</t>
        </is>
      </c>
      <c r="E650" t="inlineStr">
        <is>
          <t>SALA</t>
        </is>
      </c>
      <c r="G650" t="n">
        <v>14.2</v>
      </c>
      <c r="H650" t="n">
        <v>0</v>
      </c>
      <c r="I650" t="n">
        <v>0</v>
      </c>
      <c r="J650" t="n">
        <v>0</v>
      </c>
      <c r="K650" t="n">
        <v>0</v>
      </c>
      <c r="L650" t="n">
        <v>0</v>
      </c>
      <c r="M650" t="n">
        <v>0</v>
      </c>
      <c r="N650" t="n">
        <v>0</v>
      </c>
      <c r="O650" t="n">
        <v>0</v>
      </c>
      <c r="P650" t="n">
        <v>0</v>
      </c>
      <c r="Q650" t="n">
        <v>0</v>
      </c>
      <c r="R650" s="2" t="inlineStr"/>
    </row>
    <row r="651" ht="15" customHeight="1">
      <c r="A651" t="inlineStr">
        <is>
          <t>A 35715-2025</t>
        </is>
      </c>
      <c r="B651" s="1" t="n">
        <v>45860.42148148148</v>
      </c>
      <c r="C651" s="1" t="n">
        <v>45936</v>
      </c>
      <c r="D651" t="inlineStr">
        <is>
          <t>VÄSTMANLANDS LÄN</t>
        </is>
      </c>
      <c r="E651" t="inlineStr">
        <is>
          <t>SALA</t>
        </is>
      </c>
      <c r="G651" t="n">
        <v>3.8</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45936</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10154-2021</t>
        </is>
      </c>
      <c r="B653" s="1" t="n">
        <v>44256</v>
      </c>
      <c r="C653" s="1" t="n">
        <v>45936</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56916-2022</t>
        </is>
      </c>
      <c r="B654" s="1" t="n">
        <v>44888</v>
      </c>
      <c r="C654" s="1" t="n">
        <v>45936</v>
      </c>
      <c r="D654" t="inlineStr">
        <is>
          <t>VÄSTMANLANDS LÄN</t>
        </is>
      </c>
      <c r="E654" t="inlineStr">
        <is>
          <t>SALA</t>
        </is>
      </c>
      <c r="G654" t="n">
        <v>1.7</v>
      </c>
      <c r="H654" t="n">
        <v>0</v>
      </c>
      <c r="I654" t="n">
        <v>0</v>
      </c>
      <c r="J654" t="n">
        <v>0</v>
      </c>
      <c r="K654" t="n">
        <v>0</v>
      </c>
      <c r="L654" t="n">
        <v>0</v>
      </c>
      <c r="M654" t="n">
        <v>0</v>
      </c>
      <c r="N654" t="n">
        <v>0</v>
      </c>
      <c r="O654" t="n">
        <v>0</v>
      </c>
      <c r="P654" t="n">
        <v>0</v>
      </c>
      <c r="Q654" t="n">
        <v>0</v>
      </c>
      <c r="R654" s="2" t="inlineStr"/>
    </row>
    <row r="655" ht="15" customHeight="1">
      <c r="A655" t="inlineStr">
        <is>
          <t>A 35651-2025</t>
        </is>
      </c>
      <c r="B655" s="1" t="n">
        <v>45859.52435185185</v>
      </c>
      <c r="C655" s="1" t="n">
        <v>45936</v>
      </c>
      <c r="D655" t="inlineStr">
        <is>
          <t>VÄSTMANLANDS LÄN</t>
        </is>
      </c>
      <c r="E655" t="inlineStr">
        <is>
          <t>SALA</t>
        </is>
      </c>
      <c r="G655" t="n">
        <v>6.3</v>
      </c>
      <c r="H655" t="n">
        <v>0</v>
      </c>
      <c r="I655" t="n">
        <v>0</v>
      </c>
      <c r="J655" t="n">
        <v>0</v>
      </c>
      <c r="K655" t="n">
        <v>0</v>
      </c>
      <c r="L655" t="n">
        <v>0</v>
      </c>
      <c r="M655" t="n">
        <v>0</v>
      </c>
      <c r="N655" t="n">
        <v>0</v>
      </c>
      <c r="O655" t="n">
        <v>0</v>
      </c>
      <c r="P655" t="n">
        <v>0</v>
      </c>
      <c r="Q655" t="n">
        <v>0</v>
      </c>
      <c r="R655" s="2" t="inlineStr"/>
    </row>
    <row r="656" ht="15" customHeight="1">
      <c r="A656" t="inlineStr">
        <is>
          <t>A 35774-2025</t>
        </is>
      </c>
      <c r="B656" s="1" t="n">
        <v>45860.68780092592</v>
      </c>
      <c r="C656" s="1" t="n">
        <v>45936</v>
      </c>
      <c r="D656" t="inlineStr">
        <is>
          <t>VÄSTMANLANDS LÄN</t>
        </is>
      </c>
      <c r="E656" t="inlineStr">
        <is>
          <t>SALA</t>
        </is>
      </c>
      <c r="G656" t="n">
        <v>6.5</v>
      </c>
      <c r="H656" t="n">
        <v>0</v>
      </c>
      <c r="I656" t="n">
        <v>0</v>
      </c>
      <c r="J656" t="n">
        <v>0</v>
      </c>
      <c r="K656" t="n">
        <v>0</v>
      </c>
      <c r="L656" t="n">
        <v>0</v>
      </c>
      <c r="M656" t="n">
        <v>0</v>
      </c>
      <c r="N656" t="n">
        <v>0</v>
      </c>
      <c r="O656" t="n">
        <v>0</v>
      </c>
      <c r="P656" t="n">
        <v>0</v>
      </c>
      <c r="Q656" t="n">
        <v>0</v>
      </c>
      <c r="R656" s="2" t="inlineStr"/>
    </row>
    <row r="657" ht="15" customHeight="1">
      <c r="A657" t="inlineStr">
        <is>
          <t>A 42421-2025</t>
        </is>
      </c>
      <c r="B657" s="1" t="n">
        <v>45905.40067129629</v>
      </c>
      <c r="C657" s="1" t="n">
        <v>45936</v>
      </c>
      <c r="D657" t="inlineStr">
        <is>
          <t>VÄSTMANLANDS LÄN</t>
        </is>
      </c>
      <c r="E657" t="inlineStr">
        <is>
          <t>SALA</t>
        </is>
      </c>
      <c r="G657" t="n">
        <v>1.3</v>
      </c>
      <c r="H657" t="n">
        <v>0</v>
      </c>
      <c r="I657" t="n">
        <v>0</v>
      </c>
      <c r="J657" t="n">
        <v>0</v>
      </c>
      <c r="K657" t="n">
        <v>0</v>
      </c>
      <c r="L657" t="n">
        <v>0</v>
      </c>
      <c r="M657" t="n">
        <v>0</v>
      </c>
      <c r="N657" t="n">
        <v>0</v>
      </c>
      <c r="O657" t="n">
        <v>0</v>
      </c>
      <c r="P657" t="n">
        <v>0</v>
      </c>
      <c r="Q657" t="n">
        <v>0</v>
      </c>
      <c r="R657" s="2" t="inlineStr"/>
    </row>
    <row r="658" ht="15" customHeight="1">
      <c r="A658" t="inlineStr">
        <is>
          <t>A 71471-2021</t>
        </is>
      </c>
      <c r="B658" s="1" t="n">
        <v>44540.53421296296</v>
      </c>
      <c r="C658" s="1" t="n">
        <v>45936</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45936</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45936</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36060-2025</t>
        </is>
      </c>
      <c r="B661" s="1" t="n">
        <v>45866.39469907407</v>
      </c>
      <c r="C661" s="1" t="n">
        <v>45936</v>
      </c>
      <c r="D661" t="inlineStr">
        <is>
          <t>VÄSTMANLANDS LÄN</t>
        </is>
      </c>
      <c r="E661" t="inlineStr">
        <is>
          <t>SALA</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43031-2025</t>
        </is>
      </c>
      <c r="B662" s="1" t="n">
        <v>45909.53856481481</v>
      </c>
      <c r="C662" s="1" t="n">
        <v>45936</v>
      </c>
      <c r="D662" t="inlineStr">
        <is>
          <t>VÄSTMANLANDS LÄN</t>
        </is>
      </c>
      <c r="E662" t="inlineStr">
        <is>
          <t>SALA</t>
        </is>
      </c>
      <c r="G662" t="n">
        <v>0.2</v>
      </c>
      <c r="H662" t="n">
        <v>0</v>
      </c>
      <c r="I662" t="n">
        <v>0</v>
      </c>
      <c r="J662" t="n">
        <v>0</v>
      </c>
      <c r="K662" t="n">
        <v>0</v>
      </c>
      <c r="L662" t="n">
        <v>0</v>
      </c>
      <c r="M662" t="n">
        <v>0</v>
      </c>
      <c r="N662" t="n">
        <v>0</v>
      </c>
      <c r="O662" t="n">
        <v>0</v>
      </c>
      <c r="P662" t="n">
        <v>0</v>
      </c>
      <c r="Q662" t="n">
        <v>0</v>
      </c>
      <c r="R662" s="2" t="inlineStr"/>
    </row>
    <row r="663" ht="15" customHeight="1">
      <c r="A663" t="inlineStr">
        <is>
          <t>A 36031-2025</t>
        </is>
      </c>
      <c r="B663" s="1" t="n">
        <v>45865.46111111111</v>
      </c>
      <c r="C663" s="1" t="n">
        <v>45936</v>
      </c>
      <c r="D663" t="inlineStr">
        <is>
          <t>VÄSTMANLANDS LÄN</t>
        </is>
      </c>
      <c r="E663" t="inlineStr">
        <is>
          <t>SALA</t>
        </is>
      </c>
      <c r="G663" t="n">
        <v>7.2</v>
      </c>
      <c r="H663" t="n">
        <v>0</v>
      </c>
      <c r="I663" t="n">
        <v>0</v>
      </c>
      <c r="J663" t="n">
        <v>0</v>
      </c>
      <c r="K663" t="n">
        <v>0</v>
      </c>
      <c r="L663" t="n">
        <v>0</v>
      </c>
      <c r="M663" t="n">
        <v>0</v>
      </c>
      <c r="N663" t="n">
        <v>0</v>
      </c>
      <c r="O663" t="n">
        <v>0</v>
      </c>
      <c r="P663" t="n">
        <v>0</v>
      </c>
      <c r="Q663" t="n">
        <v>0</v>
      </c>
      <c r="R663" s="2" t="inlineStr"/>
    </row>
    <row r="664" ht="15" customHeight="1">
      <c r="A664" t="inlineStr">
        <is>
          <t>A 36043-2025</t>
        </is>
      </c>
      <c r="B664" s="1" t="n">
        <v>45866.35333333333</v>
      </c>
      <c r="C664" s="1" t="n">
        <v>45936</v>
      </c>
      <c r="D664" t="inlineStr">
        <is>
          <t>VÄSTMANLANDS LÄN</t>
        </is>
      </c>
      <c r="E664" t="inlineStr">
        <is>
          <t>SALA</t>
        </is>
      </c>
      <c r="F664" t="inlineStr">
        <is>
          <t>Kommuner</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36032-2025</t>
        </is>
      </c>
      <c r="B665" s="1" t="n">
        <v>45865.48740740741</v>
      </c>
      <c r="C665" s="1" t="n">
        <v>45936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36049-2025</t>
        </is>
      </c>
      <c r="B666" s="1" t="n">
        <v>45866.37065972222</v>
      </c>
      <c r="C666" s="1" t="n">
        <v>45936</v>
      </c>
      <c r="D666" t="inlineStr">
        <is>
          <t>VÄSTMANLANDS LÄN</t>
        </is>
      </c>
      <c r="E666" t="inlineStr">
        <is>
          <t>SALA</t>
        </is>
      </c>
      <c r="F666" t="inlineStr">
        <is>
          <t>Kommuner</t>
        </is>
      </c>
      <c r="G666" t="n">
        <v>1.9</v>
      </c>
      <c r="H666" t="n">
        <v>0</v>
      </c>
      <c r="I666" t="n">
        <v>0</v>
      </c>
      <c r="J666" t="n">
        <v>0</v>
      </c>
      <c r="K666" t="n">
        <v>0</v>
      </c>
      <c r="L666" t="n">
        <v>0</v>
      </c>
      <c r="M666" t="n">
        <v>0</v>
      </c>
      <c r="N666" t="n">
        <v>0</v>
      </c>
      <c r="O666" t="n">
        <v>0</v>
      </c>
      <c r="P666" t="n">
        <v>0</v>
      </c>
      <c r="Q666" t="n">
        <v>0</v>
      </c>
      <c r="R666" s="2" t="inlineStr"/>
    </row>
    <row r="667" ht="15" customHeight="1">
      <c r="A667" t="inlineStr">
        <is>
          <t>A 1993-2022</t>
        </is>
      </c>
      <c r="B667" s="1" t="n">
        <v>44575</v>
      </c>
      <c r="C667" s="1" t="n">
        <v>45936</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17051-2025</t>
        </is>
      </c>
      <c r="B668" s="1" t="n">
        <v>45755</v>
      </c>
      <c r="C668" s="1" t="n">
        <v>45936</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43509-2021</t>
        </is>
      </c>
      <c r="B669" s="1" t="n">
        <v>44433</v>
      </c>
      <c r="C669" s="1" t="n">
        <v>45936</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54959-2024</t>
        </is>
      </c>
      <c r="B670" s="1" t="n">
        <v>45619</v>
      </c>
      <c r="C670" s="1" t="n">
        <v>45936</v>
      </c>
      <c r="D670" t="inlineStr">
        <is>
          <t>VÄSTMANLANDS LÄN</t>
        </is>
      </c>
      <c r="E670" t="inlineStr">
        <is>
          <t>SALA</t>
        </is>
      </c>
      <c r="G670" t="n">
        <v>1.3</v>
      </c>
      <c r="H670" t="n">
        <v>0</v>
      </c>
      <c r="I670" t="n">
        <v>0</v>
      </c>
      <c r="J670" t="n">
        <v>0</v>
      </c>
      <c r="K670" t="n">
        <v>0</v>
      </c>
      <c r="L670" t="n">
        <v>0</v>
      </c>
      <c r="M670" t="n">
        <v>0</v>
      </c>
      <c r="N670" t="n">
        <v>0</v>
      </c>
      <c r="O670" t="n">
        <v>0</v>
      </c>
      <c r="P670" t="n">
        <v>0</v>
      </c>
      <c r="Q670" t="n">
        <v>0</v>
      </c>
      <c r="R670" s="2" t="inlineStr"/>
    </row>
    <row r="671" ht="15" customHeight="1">
      <c r="A671" t="inlineStr">
        <is>
          <t>A 56964-2023</t>
        </is>
      </c>
      <c r="B671" s="1" t="n">
        <v>45244.63140046296</v>
      </c>
      <c r="C671" s="1" t="n">
        <v>45936</v>
      </c>
      <c r="D671" t="inlineStr">
        <is>
          <t>VÄSTMANLANDS LÄN</t>
        </is>
      </c>
      <c r="E671" t="inlineStr">
        <is>
          <t>SALA</t>
        </is>
      </c>
      <c r="G671" t="n">
        <v>4.6</v>
      </c>
      <c r="H671" t="n">
        <v>0</v>
      </c>
      <c r="I671" t="n">
        <v>0</v>
      </c>
      <c r="J671" t="n">
        <v>0</v>
      </c>
      <c r="K671" t="n">
        <v>0</v>
      </c>
      <c r="L671" t="n">
        <v>0</v>
      </c>
      <c r="M671" t="n">
        <v>0</v>
      </c>
      <c r="N671" t="n">
        <v>0</v>
      </c>
      <c r="O671" t="n">
        <v>0</v>
      </c>
      <c r="P671" t="n">
        <v>0</v>
      </c>
      <c r="Q671" t="n">
        <v>0</v>
      </c>
      <c r="R671" s="2" t="inlineStr"/>
    </row>
    <row r="672" ht="15" customHeight="1">
      <c r="A672" t="inlineStr">
        <is>
          <t>A 37337-2024</t>
        </is>
      </c>
      <c r="B672" s="1" t="n">
        <v>45540</v>
      </c>
      <c r="C672" s="1" t="n">
        <v>45936</v>
      </c>
      <c r="D672" t="inlineStr">
        <is>
          <t>VÄSTMANLANDS LÄN</t>
        </is>
      </c>
      <c r="E672" t="inlineStr">
        <is>
          <t>SALA</t>
        </is>
      </c>
      <c r="G672" t="n">
        <v>6.5</v>
      </c>
      <c r="H672" t="n">
        <v>0</v>
      </c>
      <c r="I672" t="n">
        <v>0</v>
      </c>
      <c r="J672" t="n">
        <v>0</v>
      </c>
      <c r="K672" t="n">
        <v>0</v>
      </c>
      <c r="L672" t="n">
        <v>0</v>
      </c>
      <c r="M672" t="n">
        <v>0</v>
      </c>
      <c r="N672" t="n">
        <v>0</v>
      </c>
      <c r="O672" t="n">
        <v>0</v>
      </c>
      <c r="P672" t="n">
        <v>0</v>
      </c>
      <c r="Q672" t="n">
        <v>0</v>
      </c>
      <c r="R672" s="2" t="inlineStr"/>
    </row>
    <row r="673" ht="15" customHeight="1">
      <c r="A673" t="inlineStr">
        <is>
          <t>A 43028-2025</t>
        </is>
      </c>
      <c r="B673" s="1" t="n">
        <v>45909.53472222222</v>
      </c>
      <c r="C673" s="1" t="n">
        <v>45936</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45936</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36045-2025</t>
        </is>
      </c>
      <c r="B675" s="1" t="n">
        <v>45866.36200231482</v>
      </c>
      <c r="C675" s="1" t="n">
        <v>45936</v>
      </c>
      <c r="D675" t="inlineStr">
        <is>
          <t>VÄSTMANLANDS LÄN</t>
        </is>
      </c>
      <c r="E675" t="inlineStr">
        <is>
          <t>SALA</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34494-2023</t>
        </is>
      </c>
      <c r="B676" s="1" t="n">
        <v>45133</v>
      </c>
      <c r="C676" s="1" t="n">
        <v>45936</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43328-2025</t>
        </is>
      </c>
      <c r="B677" s="1" t="n">
        <v>45910</v>
      </c>
      <c r="C677" s="1" t="n">
        <v>45936</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10579-2022</t>
        </is>
      </c>
      <c r="B678" s="1" t="n">
        <v>44624</v>
      </c>
      <c r="C678" s="1" t="n">
        <v>45936</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9335-2022</t>
        </is>
      </c>
      <c r="B679" s="1" t="n">
        <v>44616.56579861111</v>
      </c>
      <c r="C679" s="1" t="n">
        <v>45936</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45313-2024</t>
        </is>
      </c>
      <c r="B680" s="1" t="n">
        <v>45576</v>
      </c>
      <c r="C680" s="1" t="n">
        <v>45936</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45936</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c r="A682" t="inlineStr">
        <is>
          <t>A 23119-2022</t>
        </is>
      </c>
      <c r="B682" s="1" t="n">
        <v>44719.56697916667</v>
      </c>
      <c r="C682" s="1" t="n">
        <v>45936</v>
      </c>
      <c r="D682" t="inlineStr">
        <is>
          <t>VÄSTMANLANDS LÄN</t>
        </is>
      </c>
      <c r="E682" t="inlineStr">
        <is>
          <t>SALA</t>
        </is>
      </c>
      <c r="G682" t="n">
        <v>7</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2025-10-06T12:34:16Z</dcterms:created>
  <dcterms:modified xmlns:dcterms="http://purl.org/dc/terms/" xmlns:xsi="http://www.w3.org/2001/XMLSchema-instance" xsi:type="dcterms:W3CDTF">2025-10-06T12:34:16Z</dcterms:modified>
</cp:coreProperties>
</file>