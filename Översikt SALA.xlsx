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46203</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46203</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46203</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46203</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46203</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46203</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9092-2025</t>
        </is>
      </c>
      <c r="B8" s="1" t="n">
        <v>45713</v>
      </c>
      <c r="C8" s="1" t="n">
        <v>46203</v>
      </c>
      <c r="D8" t="inlineStr">
        <is>
          <t>VÄSTMANLANDS LÄN</t>
        </is>
      </c>
      <c r="E8" t="inlineStr">
        <is>
          <t>SALA</t>
        </is>
      </c>
      <c r="G8" t="n">
        <v>11</v>
      </c>
      <c r="H8" t="n">
        <v>0</v>
      </c>
      <c r="I8" t="n">
        <v>1</v>
      </c>
      <c r="J8" t="n">
        <v>3</v>
      </c>
      <c r="K8" t="n">
        <v>2</v>
      </c>
      <c r="L8" t="n">
        <v>1</v>
      </c>
      <c r="M8" t="n">
        <v>0</v>
      </c>
      <c r="N8" t="n">
        <v>0</v>
      </c>
      <c r="O8" t="n">
        <v>6</v>
      </c>
      <c r="P8" t="n">
        <v>3</v>
      </c>
      <c r="Q8" t="n">
        <v>7</v>
      </c>
      <c r="R8" s="2" t="inlineStr">
        <is>
          <t>Ask
Grangråticka
Gyllenspindling
Dofttaggsvamp
Fjällig taggsvamp s.str.
Orange taggsvamp
Anisspindling</t>
        </is>
      </c>
      <c r="S8">
        <f>HYPERLINK("https://klasma.github.io/Logging_1981/artfynd/A 9092-2025 artfynd.xlsx", "A 9092-2025")</f>
        <v/>
      </c>
      <c r="T8">
        <f>HYPERLINK("https://klasma.github.io/Logging_1981/kartor/A 9092-2025 karta.png", "A 9092-2025")</f>
        <v/>
      </c>
      <c r="V8">
        <f>HYPERLINK("https://klasma.github.io/Logging_1981/klagomål/A 9092-2025 FSC-klagomål.docx", "A 9092-2025")</f>
        <v/>
      </c>
      <c r="W8">
        <f>HYPERLINK("https://klasma.github.io/Logging_1981/klagomålsmail/A 9092-2025 FSC-klagomål mail.docx", "A 9092-2025")</f>
        <v/>
      </c>
      <c r="X8">
        <f>HYPERLINK("https://klasma.github.io/Logging_1981/tillsyn/A 9092-2025 tillsynsbegäran.docx", "A 9092-2025")</f>
        <v/>
      </c>
      <c r="Y8">
        <f>HYPERLINK("https://klasma.github.io/Logging_1981/tillsynsmail/A 9092-2025 tillsynsbegäran mail.docx", "A 9092-2025")</f>
        <v/>
      </c>
    </row>
    <row r="9" ht="15" customHeight="1">
      <c r="A9" t="inlineStr">
        <is>
          <t>A 53627-2025</t>
        </is>
      </c>
      <c r="B9" s="1" t="n">
        <v>45960</v>
      </c>
      <c r="C9" s="1" t="n">
        <v>46203</v>
      </c>
      <c r="D9" t="inlineStr">
        <is>
          <t>VÄSTMANLANDS LÄN</t>
        </is>
      </c>
      <c r="E9" t="inlineStr">
        <is>
          <t>SALA</t>
        </is>
      </c>
      <c r="G9" t="n">
        <v>10.5</v>
      </c>
      <c r="H9" t="n">
        <v>3</v>
      </c>
      <c r="I9" t="n">
        <v>2</v>
      </c>
      <c r="J9" t="n">
        <v>2</v>
      </c>
      <c r="K9" t="n">
        <v>1</v>
      </c>
      <c r="L9" t="n">
        <v>0</v>
      </c>
      <c r="M9" t="n">
        <v>0</v>
      </c>
      <c r="N9" t="n">
        <v>0</v>
      </c>
      <c r="O9" t="n">
        <v>3</v>
      </c>
      <c r="P9" t="n">
        <v>1</v>
      </c>
      <c r="Q9" t="n">
        <v>7</v>
      </c>
      <c r="R9" s="2" t="inlineStr">
        <is>
          <t>Knärot
Brunklöver
Ullticka
Grönpyrola
Vedticka
Mattlummer
Revlummer</t>
        </is>
      </c>
      <c r="S9">
        <f>HYPERLINK("https://klasma.github.io/Logging_1981/artfynd/A 53627-2025 artfynd.xlsx", "A 53627-2025")</f>
        <v/>
      </c>
      <c r="T9">
        <f>HYPERLINK("https://klasma.github.io/Logging_1981/kartor/A 53627-2025 karta.png", "A 53627-2025")</f>
        <v/>
      </c>
      <c r="U9">
        <f>HYPERLINK("https://klasma.github.io/Logging_1981/knärot/A 53627-2025 karta knärot.png", "A 53627-2025")</f>
        <v/>
      </c>
      <c r="V9">
        <f>HYPERLINK("https://klasma.github.io/Logging_1981/klagomål/A 53627-2025 FSC-klagomål.docx", "A 53627-2025")</f>
        <v/>
      </c>
      <c r="W9">
        <f>HYPERLINK("https://klasma.github.io/Logging_1981/klagomålsmail/A 53627-2025 FSC-klagomål mail.docx", "A 53627-2025")</f>
        <v/>
      </c>
      <c r="X9">
        <f>HYPERLINK("https://klasma.github.io/Logging_1981/tillsyn/A 53627-2025 tillsynsbegäran.docx", "A 53627-2025")</f>
        <v/>
      </c>
      <c r="Y9">
        <f>HYPERLINK("https://klasma.github.io/Logging_1981/tillsynsmail/A 53627-2025 tillsynsbegäran mail.docx", "A 53627-2025")</f>
        <v/>
      </c>
    </row>
    <row r="10" ht="15" customHeight="1">
      <c r="A10" t="inlineStr">
        <is>
          <t>A 47475-2024</t>
        </is>
      </c>
      <c r="B10" s="1" t="n">
        <v>45587</v>
      </c>
      <c r="C10" s="1" t="n">
        <v>46203</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40495-2024</t>
        </is>
      </c>
      <c r="B11" s="1" t="n">
        <v>45555</v>
      </c>
      <c r="C11" s="1" t="n">
        <v>46203</v>
      </c>
      <c r="D11" t="inlineStr">
        <is>
          <t>VÄSTMANLANDS LÄN</t>
        </is>
      </c>
      <c r="E11" t="inlineStr">
        <is>
          <t>SALA</t>
        </is>
      </c>
      <c r="G11" t="n">
        <v>3.1</v>
      </c>
      <c r="H11" t="n">
        <v>1</v>
      </c>
      <c r="I11" t="n">
        <v>2</v>
      </c>
      <c r="J11" t="n">
        <v>4</v>
      </c>
      <c r="K11" t="n">
        <v>1</v>
      </c>
      <c r="L11" t="n">
        <v>0</v>
      </c>
      <c r="M11" t="n">
        <v>0</v>
      </c>
      <c r="N11" t="n">
        <v>0</v>
      </c>
      <c r="O11" t="n">
        <v>5</v>
      </c>
      <c r="P11" t="n">
        <v>1</v>
      </c>
      <c r="Q11" t="n">
        <v>7</v>
      </c>
      <c r="R11" s="2" t="inlineStr">
        <is>
          <t>Knärot
Dropptaggsvamp
Skorpgelélav
Veckticka
Vedskivlav
Blåmossa
Bronshjon</t>
        </is>
      </c>
      <c r="S11">
        <f>HYPERLINK("https://klasma.github.io/Logging_1981/artfynd/A 40495-2024 artfynd.xlsx", "A 40495-2024")</f>
        <v/>
      </c>
      <c r="T11">
        <f>HYPERLINK("https://klasma.github.io/Logging_1981/kartor/A 40495-2024 karta.png", "A 40495-2024")</f>
        <v/>
      </c>
      <c r="U11">
        <f>HYPERLINK("https://klasma.github.io/Logging_1981/knärot/A 40495-2024 karta knärot.png",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40493-2024</t>
        </is>
      </c>
      <c r="B12" s="1" t="n">
        <v>45555</v>
      </c>
      <c r="C12" s="1" t="n">
        <v>46203</v>
      </c>
      <c r="D12" t="inlineStr">
        <is>
          <t>VÄSTMANLANDS LÄN</t>
        </is>
      </c>
      <c r="E12" t="inlineStr">
        <is>
          <t>SALA</t>
        </is>
      </c>
      <c r="G12" t="n">
        <v>3.8</v>
      </c>
      <c r="H12" t="n">
        <v>1</v>
      </c>
      <c r="I12" t="n">
        <v>1</v>
      </c>
      <c r="J12" t="n">
        <v>5</v>
      </c>
      <c r="K12" t="n">
        <v>1</v>
      </c>
      <c r="L12" t="n">
        <v>0</v>
      </c>
      <c r="M12" t="n">
        <v>0</v>
      </c>
      <c r="N12" t="n">
        <v>0</v>
      </c>
      <c r="O12" t="n">
        <v>6</v>
      </c>
      <c r="P12" t="n">
        <v>1</v>
      </c>
      <c r="Q12" t="n">
        <v>7</v>
      </c>
      <c r="R12" s="2" t="inlineStr">
        <is>
          <t>Knärot
Dropptaggsvamp
Gransotdyna
Ullticka
Vedskivlav
Äggvaxskivling
Rostfläck</t>
        </is>
      </c>
      <c r="S12">
        <f>HYPERLINK("https://klasma.github.io/Logging_1981/artfynd/A 40493-2024 artfynd.xlsx", "A 40493-2024")</f>
        <v/>
      </c>
      <c r="T12">
        <f>HYPERLINK("https://klasma.github.io/Logging_1981/kartor/A 40493-2024 karta.png", "A 40493-2024")</f>
        <v/>
      </c>
      <c r="U12">
        <f>HYPERLINK("https://klasma.github.io/Logging_1981/knärot/A 40493-2024 karta knärot.png", "A 40493-2024")</f>
        <v/>
      </c>
      <c r="V12">
        <f>HYPERLINK("https://klasma.github.io/Logging_1981/klagomål/A 40493-2024 FSC-klagomål.docx", "A 40493-2024")</f>
        <v/>
      </c>
      <c r="W12">
        <f>HYPERLINK("https://klasma.github.io/Logging_1981/klagomålsmail/A 40493-2024 FSC-klagomål mail.docx", "A 40493-2024")</f>
        <v/>
      </c>
      <c r="X12">
        <f>HYPERLINK("https://klasma.github.io/Logging_1981/tillsyn/A 40493-2024 tillsynsbegäran.docx", "A 40493-2024")</f>
        <v/>
      </c>
      <c r="Y12">
        <f>HYPERLINK("https://klasma.github.io/Logging_1981/tillsynsmail/A 40493-2024 tillsynsbegäran mail.docx", "A 40493-2024")</f>
        <v/>
      </c>
    </row>
    <row r="13" ht="15" customHeight="1">
      <c r="A13" t="inlineStr">
        <is>
          <t>A 45441-2024</t>
        </is>
      </c>
      <c r="B13" s="1" t="n">
        <v>45576</v>
      </c>
      <c r="C13" s="1" t="n">
        <v>46203</v>
      </c>
      <c r="D13" t="inlineStr">
        <is>
          <t>VÄSTMANLANDS LÄN</t>
        </is>
      </c>
      <c r="E13" t="inlineStr">
        <is>
          <t>SALA</t>
        </is>
      </c>
      <c r="G13" t="n">
        <v>3.4</v>
      </c>
      <c r="H13" t="n">
        <v>0</v>
      </c>
      <c r="I13" t="n">
        <v>2</v>
      </c>
      <c r="J13" t="n">
        <v>3</v>
      </c>
      <c r="K13" t="n">
        <v>1</v>
      </c>
      <c r="L13" t="n">
        <v>0</v>
      </c>
      <c r="M13" t="n">
        <v>0</v>
      </c>
      <c r="N13" t="n">
        <v>0</v>
      </c>
      <c r="O13" t="n">
        <v>4</v>
      </c>
      <c r="P13" t="n">
        <v>1</v>
      </c>
      <c r="Q13" t="n">
        <v>6</v>
      </c>
      <c r="R13" s="2" t="inlineStr">
        <is>
          <t>Garnlav
Kötticka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27488-2023</t>
        </is>
      </c>
      <c r="B14" s="1" t="n">
        <v>45097</v>
      </c>
      <c r="C14" s="1" t="n">
        <v>46203</v>
      </c>
      <c r="D14" t="inlineStr">
        <is>
          <t>VÄSTMANLANDS LÄN</t>
        </is>
      </c>
      <c r="E14" t="inlineStr">
        <is>
          <t>SALA</t>
        </is>
      </c>
      <c r="G14" t="n">
        <v>9.300000000000001</v>
      </c>
      <c r="H14" t="n">
        <v>2</v>
      </c>
      <c r="I14" t="n">
        <v>2</v>
      </c>
      <c r="J14" t="n">
        <v>3</v>
      </c>
      <c r="K14" t="n">
        <v>0</v>
      </c>
      <c r="L14" t="n">
        <v>0</v>
      </c>
      <c r="M14" t="n">
        <v>0</v>
      </c>
      <c r="N14" t="n">
        <v>0</v>
      </c>
      <c r="O14" t="n">
        <v>3</v>
      </c>
      <c r="P14" t="n">
        <v>0</v>
      </c>
      <c r="Q14" t="n">
        <v>6</v>
      </c>
      <c r="R14" s="2" t="inlineStr">
        <is>
          <t>Dropptaggsvamp
Motaggsvamp
Tallfingersvamp
Blomkålssvamp
Plattlummer
Revlummer</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73598-2021</t>
        </is>
      </c>
      <c r="B15" s="1" t="n">
        <v>44552</v>
      </c>
      <c r="C15" s="1" t="n">
        <v>46203</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34752-2023</t>
        </is>
      </c>
      <c r="B16" s="1" t="n">
        <v>45141</v>
      </c>
      <c r="C16" s="1" t="n">
        <v>46203</v>
      </c>
      <c r="D16" t="inlineStr">
        <is>
          <t>VÄSTMANLANDS LÄN</t>
        </is>
      </c>
      <c r="E16" t="inlineStr">
        <is>
          <t>SALA</t>
        </is>
      </c>
      <c r="G16" t="n">
        <v>4.9</v>
      </c>
      <c r="H16" t="n">
        <v>2</v>
      </c>
      <c r="I16" t="n">
        <v>1</v>
      </c>
      <c r="J16" t="n">
        <v>1</v>
      </c>
      <c r="K16" t="n">
        <v>2</v>
      </c>
      <c r="L16" t="n">
        <v>0</v>
      </c>
      <c r="M16" t="n">
        <v>0</v>
      </c>
      <c r="N16" t="n">
        <v>0</v>
      </c>
      <c r="O16" t="n">
        <v>3</v>
      </c>
      <c r="P16" t="n">
        <v>2</v>
      </c>
      <c r="Q16" t="n">
        <v>5</v>
      </c>
      <c r="R16" s="2" t="inlineStr">
        <is>
          <t>Knärot
Sprickporing
Svinrot
Grönpyrola
Spillkråka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10344-2025</t>
        </is>
      </c>
      <c r="B17" s="1" t="n">
        <v>45720</v>
      </c>
      <c r="C17" s="1" t="n">
        <v>46203</v>
      </c>
      <c r="D17" t="inlineStr">
        <is>
          <t>VÄSTMANLANDS LÄN</t>
        </is>
      </c>
      <c r="E17" t="inlineStr">
        <is>
          <t>SALA</t>
        </is>
      </c>
      <c r="G17" t="n">
        <v>4.2</v>
      </c>
      <c r="H17" t="n">
        <v>2</v>
      </c>
      <c r="I17" t="n">
        <v>1</v>
      </c>
      <c r="J17" t="n">
        <v>1</v>
      </c>
      <c r="K17" t="n">
        <v>2</v>
      </c>
      <c r="L17" t="n">
        <v>0</v>
      </c>
      <c r="M17" t="n">
        <v>0</v>
      </c>
      <c r="N17" t="n">
        <v>0</v>
      </c>
      <c r="O17" t="n">
        <v>3</v>
      </c>
      <c r="P17" t="n">
        <v>2</v>
      </c>
      <c r="Q17" t="n">
        <v>5</v>
      </c>
      <c r="R17" s="2" t="inlineStr">
        <is>
          <t>Knärot
Sprickporing
Svinrot
Grönpyrola
Spillkråka</t>
        </is>
      </c>
      <c r="S17">
        <f>HYPERLINK("https://klasma.github.io/Logging_1981/artfynd/A 10344-2025 artfynd.xlsx", "A 10344-2025")</f>
        <v/>
      </c>
      <c r="T17">
        <f>HYPERLINK("https://klasma.github.io/Logging_1981/kartor/A 10344-2025 karta.png", "A 10344-2025")</f>
        <v/>
      </c>
      <c r="U17">
        <f>HYPERLINK("https://klasma.github.io/Logging_1981/knärot/A 10344-2025 karta knärot.png", "A 10344-2025")</f>
        <v/>
      </c>
      <c r="V17">
        <f>HYPERLINK("https://klasma.github.io/Logging_1981/klagomål/A 10344-2025 FSC-klagomål.docx", "A 10344-2025")</f>
        <v/>
      </c>
      <c r="W17">
        <f>HYPERLINK("https://klasma.github.io/Logging_1981/klagomålsmail/A 10344-2025 FSC-klagomål mail.docx", "A 10344-2025")</f>
        <v/>
      </c>
      <c r="X17">
        <f>HYPERLINK("https://klasma.github.io/Logging_1981/tillsyn/A 10344-2025 tillsynsbegäran.docx", "A 10344-2025")</f>
        <v/>
      </c>
      <c r="Y17">
        <f>HYPERLINK("https://klasma.github.io/Logging_1981/tillsynsmail/A 10344-2025 tillsynsbegäran mail.docx", "A 10344-2025")</f>
        <v/>
      </c>
      <c r="Z17">
        <f>HYPERLINK("https://klasma.github.io/Logging_1981/fåglar/A 10344-2025 prioriterade fågelarter.docx", "A 10344-2025")</f>
        <v/>
      </c>
    </row>
    <row r="18" ht="15" customHeight="1">
      <c r="A18" t="inlineStr">
        <is>
          <t>A 3566-2024</t>
        </is>
      </c>
      <c r="B18" s="1" t="n">
        <v>45320</v>
      </c>
      <c r="C18" s="1" t="n">
        <v>46203</v>
      </c>
      <c r="D18" t="inlineStr">
        <is>
          <t>VÄSTMANLANDS LÄN</t>
        </is>
      </c>
      <c r="E18" t="inlineStr">
        <is>
          <t>SALA</t>
        </is>
      </c>
      <c r="F18" t="inlineStr">
        <is>
          <t>Kommuner</t>
        </is>
      </c>
      <c r="G18" t="n">
        <v>4.3</v>
      </c>
      <c r="H18" t="n">
        <v>3</v>
      </c>
      <c r="I18" t="n">
        <v>1</v>
      </c>
      <c r="J18" t="n">
        <v>1</v>
      </c>
      <c r="K18" t="n">
        <v>1</v>
      </c>
      <c r="L18" t="n">
        <v>0</v>
      </c>
      <c r="M18" t="n">
        <v>0</v>
      </c>
      <c r="N18" t="n">
        <v>0</v>
      </c>
      <c r="O18" t="n">
        <v>2</v>
      </c>
      <c r="P18" t="n">
        <v>1</v>
      </c>
      <c r="Q18" t="n">
        <v>5</v>
      </c>
      <c r="R18" s="2" t="inlineStr">
        <is>
          <t>Knärot
Vågticka
Vedticka
Mattlummer
Fläcknycklar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34065-2025</t>
        </is>
      </c>
      <c r="B19" s="1" t="n">
        <v>45845</v>
      </c>
      <c r="C19" s="1" t="n">
        <v>46203</v>
      </c>
      <c r="D19" t="inlineStr">
        <is>
          <t>VÄSTMANLANDS LÄN</t>
        </is>
      </c>
      <c r="E19" t="inlineStr">
        <is>
          <t>SALA</t>
        </is>
      </c>
      <c r="G19" t="n">
        <v>3</v>
      </c>
      <c r="H19" t="n">
        <v>0</v>
      </c>
      <c r="I19" t="n">
        <v>3</v>
      </c>
      <c r="J19" t="n">
        <v>2</v>
      </c>
      <c r="K19" t="n">
        <v>0</v>
      </c>
      <c r="L19" t="n">
        <v>0</v>
      </c>
      <c r="M19" t="n">
        <v>0</v>
      </c>
      <c r="N19" t="n">
        <v>0</v>
      </c>
      <c r="O19" t="n">
        <v>2</v>
      </c>
      <c r="P19" t="n">
        <v>0</v>
      </c>
      <c r="Q19" t="n">
        <v>5</v>
      </c>
      <c r="R19" s="2" t="inlineStr">
        <is>
          <t>Kötticka
Skorpgelélav
Grönpyrola
Skinnlav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7643-2026</t>
        </is>
      </c>
      <c r="B20" s="1" t="n">
        <v>46062</v>
      </c>
      <c r="C20" s="1" t="n">
        <v>46203</v>
      </c>
      <c r="D20" t="inlineStr">
        <is>
          <t>VÄSTMANLANDS LÄN</t>
        </is>
      </c>
      <c r="E20" t="inlineStr">
        <is>
          <t>SALA</t>
        </is>
      </c>
      <c r="G20" t="n">
        <v>7.7</v>
      </c>
      <c r="H20" t="n">
        <v>0</v>
      </c>
      <c r="I20" t="n">
        <v>3</v>
      </c>
      <c r="J20" t="n">
        <v>2</v>
      </c>
      <c r="K20" t="n">
        <v>0</v>
      </c>
      <c r="L20" t="n">
        <v>0</v>
      </c>
      <c r="M20" t="n">
        <v>0</v>
      </c>
      <c r="N20" t="n">
        <v>0</v>
      </c>
      <c r="O20" t="n">
        <v>2</v>
      </c>
      <c r="P20" t="n">
        <v>0</v>
      </c>
      <c r="Q20" t="n">
        <v>5</v>
      </c>
      <c r="R20" s="2" t="inlineStr">
        <is>
          <t>Kandelabersvamp
Veckticka
Barkticka
Rävticka
Skinnlav</t>
        </is>
      </c>
      <c r="S20">
        <f>HYPERLINK("https://klasma.github.io/Logging_1981/artfynd/A 7643-2026 artfynd.xlsx", "A 7643-2026")</f>
        <v/>
      </c>
      <c r="T20">
        <f>HYPERLINK("https://klasma.github.io/Logging_1981/kartor/A 7643-2026 karta.png", "A 7643-2026")</f>
        <v/>
      </c>
      <c r="V20">
        <f>HYPERLINK("https://klasma.github.io/Logging_1981/klagomål/A 7643-2026 FSC-klagomål.docx", "A 7643-2026")</f>
        <v/>
      </c>
      <c r="W20">
        <f>HYPERLINK("https://klasma.github.io/Logging_1981/klagomålsmail/A 7643-2026 FSC-klagomål mail.docx", "A 7643-2026")</f>
        <v/>
      </c>
      <c r="X20">
        <f>HYPERLINK("https://klasma.github.io/Logging_1981/tillsyn/A 7643-2026 tillsynsbegäran.docx", "A 7643-2026")</f>
        <v/>
      </c>
      <c r="Y20">
        <f>HYPERLINK("https://klasma.github.io/Logging_1981/tillsynsmail/A 7643-2026 tillsynsbegäran mail.docx", "A 7643-2026")</f>
        <v/>
      </c>
    </row>
    <row r="21" ht="15" customHeight="1">
      <c r="A21" t="inlineStr">
        <is>
          <t>A 1182-2022</t>
        </is>
      </c>
      <c r="B21" s="1" t="n">
        <v>44572</v>
      </c>
      <c r="C21" s="1" t="n">
        <v>46203</v>
      </c>
      <c r="D21" t="inlineStr">
        <is>
          <t>VÄSTMANLANDS LÄN</t>
        </is>
      </c>
      <c r="E21" t="inlineStr">
        <is>
          <t>SALA</t>
        </is>
      </c>
      <c r="G21" t="n">
        <v>3.8</v>
      </c>
      <c r="H21" t="n">
        <v>2</v>
      </c>
      <c r="I21" t="n">
        <v>2</v>
      </c>
      <c r="J21" t="n">
        <v>2</v>
      </c>
      <c r="K21" t="n">
        <v>1</v>
      </c>
      <c r="L21" t="n">
        <v>0</v>
      </c>
      <c r="M21" t="n">
        <v>0</v>
      </c>
      <c r="N21" t="n">
        <v>0</v>
      </c>
      <c r="O21" t="n">
        <v>3</v>
      </c>
      <c r="P21" t="n">
        <v>1</v>
      </c>
      <c r="Q21" t="n">
        <v>5</v>
      </c>
      <c r="R21" s="2" t="inlineStr">
        <is>
          <t>Knärot
Ullticka
Vedtrappmossa
Dvärghäxört
Grön sköldmossa</t>
        </is>
      </c>
      <c r="S21">
        <f>HYPERLINK("https://klasma.github.io/Logging_1981/artfynd/A 1182-2022 artfynd.xlsx", "A 1182-2022")</f>
        <v/>
      </c>
      <c r="T21">
        <f>HYPERLINK("https://klasma.github.io/Logging_1981/kartor/A 1182-2022 karta.png", "A 1182-2022")</f>
        <v/>
      </c>
      <c r="U21">
        <f>HYPERLINK("https://klasma.github.io/Logging_1981/knärot/A 1182-2022 karta knärot.png", "A 1182-2022")</f>
        <v/>
      </c>
      <c r="V21">
        <f>HYPERLINK("https://klasma.github.io/Logging_1981/klagomål/A 1182-2022 FSC-klagomål.docx", "A 1182-2022")</f>
        <v/>
      </c>
      <c r="W21">
        <f>HYPERLINK("https://klasma.github.io/Logging_1981/klagomålsmail/A 1182-2022 FSC-klagomål mail.docx", "A 1182-2022")</f>
        <v/>
      </c>
      <c r="X21">
        <f>HYPERLINK("https://klasma.github.io/Logging_1981/tillsyn/A 1182-2022 tillsynsbegäran.docx", "A 1182-2022")</f>
        <v/>
      </c>
      <c r="Y21">
        <f>HYPERLINK("https://klasma.github.io/Logging_1981/tillsynsmail/A 1182-2022 tillsynsbegäran mail.docx", "A 1182-2022")</f>
        <v/>
      </c>
    </row>
    <row r="22" ht="15" customHeight="1">
      <c r="A22" t="inlineStr">
        <is>
          <t>A 15099-2025</t>
        </is>
      </c>
      <c r="B22" s="1" t="n">
        <v>45744</v>
      </c>
      <c r="C22" s="1" t="n">
        <v>46203</v>
      </c>
      <c r="D22" t="inlineStr">
        <is>
          <t>VÄSTMANLANDS LÄN</t>
        </is>
      </c>
      <c r="E22" t="inlineStr">
        <is>
          <t>SALA</t>
        </is>
      </c>
      <c r="F22" t="inlineStr">
        <is>
          <t>Sveaskog</t>
        </is>
      </c>
      <c r="G22" t="n">
        <v>14.4</v>
      </c>
      <c r="H22" t="n">
        <v>3</v>
      </c>
      <c r="I22" t="n">
        <v>2</v>
      </c>
      <c r="J22" t="n">
        <v>0</v>
      </c>
      <c r="K22" t="n">
        <v>0</v>
      </c>
      <c r="L22" t="n">
        <v>0</v>
      </c>
      <c r="M22" t="n">
        <v>0</v>
      </c>
      <c r="N22" t="n">
        <v>0</v>
      </c>
      <c r="O22" t="n">
        <v>0</v>
      </c>
      <c r="P22" t="n">
        <v>0</v>
      </c>
      <c r="Q22" t="n">
        <v>5</v>
      </c>
      <c r="R22" s="2" t="inlineStr">
        <is>
          <t>Bronshjon
Vågbandad barkbock
Grönsiska
Orre
Revlummer</t>
        </is>
      </c>
      <c r="S22">
        <f>HYPERLINK("https://klasma.github.io/Logging_1981/artfynd/A 15099-2025 artfynd.xlsx", "A 15099-2025")</f>
        <v/>
      </c>
      <c r="T22">
        <f>HYPERLINK("https://klasma.github.io/Logging_1981/kartor/A 15099-2025 karta.png", "A 15099-2025")</f>
        <v/>
      </c>
      <c r="V22">
        <f>HYPERLINK("https://klasma.github.io/Logging_1981/klagomål/A 15099-2025 FSC-klagomål.docx", "A 15099-2025")</f>
        <v/>
      </c>
      <c r="W22">
        <f>HYPERLINK("https://klasma.github.io/Logging_1981/klagomålsmail/A 15099-2025 FSC-klagomål mail.docx", "A 15099-2025")</f>
        <v/>
      </c>
      <c r="X22">
        <f>HYPERLINK("https://klasma.github.io/Logging_1981/tillsyn/A 15099-2025 tillsynsbegäran.docx", "A 15099-2025")</f>
        <v/>
      </c>
      <c r="Y22">
        <f>HYPERLINK("https://klasma.github.io/Logging_1981/tillsynsmail/A 15099-2025 tillsynsbegäran mail.docx", "A 15099-2025")</f>
        <v/>
      </c>
      <c r="Z22">
        <f>HYPERLINK("https://klasma.github.io/Logging_1981/fåglar/A 15099-2025 prioriterade fågelarter.docx", "A 15099-2025")</f>
        <v/>
      </c>
    </row>
    <row r="23" ht="15" customHeight="1">
      <c r="A23" t="inlineStr">
        <is>
          <t>A 50128-2025</t>
        </is>
      </c>
      <c r="B23" s="1" t="n">
        <v>45943</v>
      </c>
      <c r="C23" s="1" t="n">
        <v>46203</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14485-2026</t>
        </is>
      </c>
      <c r="B24" s="1" t="n">
        <v>46100</v>
      </c>
      <c r="C24" s="1" t="n">
        <v>46203</v>
      </c>
      <c r="D24" t="inlineStr">
        <is>
          <t>VÄSTMANLANDS LÄN</t>
        </is>
      </c>
      <c r="E24" t="inlineStr">
        <is>
          <t>SALA</t>
        </is>
      </c>
      <c r="F24" t="inlineStr">
        <is>
          <t>Sveaskog</t>
        </is>
      </c>
      <c r="G24" t="n">
        <v>13.6</v>
      </c>
      <c r="H24" t="n">
        <v>2</v>
      </c>
      <c r="I24" t="n">
        <v>0</v>
      </c>
      <c r="J24" t="n">
        <v>3</v>
      </c>
      <c r="K24" t="n">
        <v>0</v>
      </c>
      <c r="L24" t="n">
        <v>0</v>
      </c>
      <c r="M24" t="n">
        <v>0</v>
      </c>
      <c r="N24" t="n">
        <v>0</v>
      </c>
      <c r="O24" t="n">
        <v>3</v>
      </c>
      <c r="P24" t="n">
        <v>0</v>
      </c>
      <c r="Q24" t="n">
        <v>4</v>
      </c>
      <c r="R24" s="2" t="inlineStr">
        <is>
          <t>Dvärgbägarlav
Motaggsvamp
Talltita
Tjäder</t>
        </is>
      </c>
      <c r="S24">
        <f>HYPERLINK("https://klasma.github.io/Logging_1981/artfynd/A 14485-2026 artfynd.xlsx", "A 14485-2026")</f>
        <v/>
      </c>
      <c r="T24">
        <f>HYPERLINK("https://klasma.github.io/Logging_1981/kartor/A 14485-2026 karta.png", "A 14485-2026")</f>
        <v/>
      </c>
      <c r="V24">
        <f>HYPERLINK("https://klasma.github.io/Logging_1981/klagomål/A 14485-2026 FSC-klagomål.docx", "A 14485-2026")</f>
        <v/>
      </c>
      <c r="W24">
        <f>HYPERLINK("https://klasma.github.io/Logging_1981/klagomålsmail/A 14485-2026 FSC-klagomål mail.docx", "A 14485-2026")</f>
        <v/>
      </c>
      <c r="X24">
        <f>HYPERLINK("https://klasma.github.io/Logging_1981/tillsyn/A 14485-2026 tillsynsbegäran.docx", "A 14485-2026")</f>
        <v/>
      </c>
      <c r="Y24">
        <f>HYPERLINK("https://klasma.github.io/Logging_1981/tillsynsmail/A 14485-2026 tillsynsbegäran mail.docx", "A 14485-2026")</f>
        <v/>
      </c>
      <c r="Z24">
        <f>HYPERLINK("https://klasma.github.io/Logging_1981/fåglar/A 14485-2026 prioriterade fågelarter.docx", "A 14485-2026")</f>
        <v/>
      </c>
    </row>
    <row r="25" ht="15" customHeight="1">
      <c r="A25" t="inlineStr">
        <is>
          <t>A 21044-2026</t>
        </is>
      </c>
      <c r="B25" s="1" t="n">
        <v>46146</v>
      </c>
      <c r="C25" s="1" t="n">
        <v>46203</v>
      </c>
      <c r="D25" t="inlineStr">
        <is>
          <t>VÄSTMANLANDS LÄN</t>
        </is>
      </c>
      <c r="E25" t="inlineStr">
        <is>
          <t>SALA</t>
        </is>
      </c>
      <c r="G25" t="n">
        <v>41.2</v>
      </c>
      <c r="H25" t="n">
        <v>1</v>
      </c>
      <c r="I25" t="n">
        <v>0</v>
      </c>
      <c r="J25" t="n">
        <v>2</v>
      </c>
      <c r="K25" t="n">
        <v>2</v>
      </c>
      <c r="L25" t="n">
        <v>0</v>
      </c>
      <c r="M25" t="n">
        <v>0</v>
      </c>
      <c r="N25" t="n">
        <v>0</v>
      </c>
      <c r="O25" t="n">
        <v>4</v>
      </c>
      <c r="P25" t="n">
        <v>2</v>
      </c>
      <c r="Q25" t="n">
        <v>4</v>
      </c>
      <c r="R25" s="2" t="inlineStr">
        <is>
          <t>Garnlav
Knärot
Motaggsvamp
Tallticka</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37166-2024</t>
        </is>
      </c>
      <c r="B26" s="1" t="n">
        <v>45539</v>
      </c>
      <c r="C26" s="1" t="n">
        <v>46203</v>
      </c>
      <c r="D26" t="inlineStr">
        <is>
          <t>VÄSTMANLANDS LÄN</t>
        </is>
      </c>
      <c r="E26" t="inlineStr">
        <is>
          <t>SALA</t>
        </is>
      </c>
      <c r="G26" t="n">
        <v>1.3</v>
      </c>
      <c r="H26" t="n">
        <v>1</v>
      </c>
      <c r="I26" t="n">
        <v>3</v>
      </c>
      <c r="J26" t="n">
        <v>0</v>
      </c>
      <c r="K26" t="n">
        <v>1</v>
      </c>
      <c r="L26" t="n">
        <v>0</v>
      </c>
      <c r="M26" t="n">
        <v>0</v>
      </c>
      <c r="N26" t="n">
        <v>0</v>
      </c>
      <c r="O26" t="n">
        <v>1</v>
      </c>
      <c r="P26" t="n">
        <v>1</v>
      </c>
      <c r="Q26" t="n">
        <v>4</v>
      </c>
      <c r="R26" s="2" t="inlineStr">
        <is>
          <t>Knärot
Bronshjon
Vedticka
Vågbandad barkbock</t>
        </is>
      </c>
      <c r="S26">
        <f>HYPERLINK("https://klasma.github.io/Logging_1981/artfynd/A 37166-2024 artfynd.xlsx", "A 37166-2024")</f>
        <v/>
      </c>
      <c r="T26">
        <f>HYPERLINK("https://klasma.github.io/Logging_1981/kartor/A 37166-2024 karta.png", "A 37166-2024")</f>
        <v/>
      </c>
      <c r="U26">
        <f>HYPERLINK("https://klasma.github.io/Logging_1981/knärot/A 37166-2024 karta knärot.png", "A 37166-2024")</f>
        <v/>
      </c>
      <c r="V26">
        <f>HYPERLINK("https://klasma.github.io/Logging_1981/klagomål/A 37166-2024 FSC-klagomål.docx", "A 37166-2024")</f>
        <v/>
      </c>
      <c r="W26">
        <f>HYPERLINK("https://klasma.github.io/Logging_1981/klagomålsmail/A 37166-2024 FSC-klagomål mail.docx", "A 37166-2024")</f>
        <v/>
      </c>
      <c r="X26">
        <f>HYPERLINK("https://klasma.github.io/Logging_1981/tillsyn/A 37166-2024 tillsynsbegäran.docx", "A 37166-2024")</f>
        <v/>
      </c>
      <c r="Y26">
        <f>HYPERLINK("https://klasma.github.io/Logging_1981/tillsynsmail/A 37166-2024 tillsynsbegäran mail.docx", "A 37166-2024")</f>
        <v/>
      </c>
    </row>
    <row r="27" ht="15" customHeight="1">
      <c r="A27" t="inlineStr">
        <is>
          <t>A 3567-2024</t>
        </is>
      </c>
      <c r="B27" s="1" t="n">
        <v>45320</v>
      </c>
      <c r="C27" s="1" t="n">
        <v>46203</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22350-2024</t>
        </is>
      </c>
      <c r="B28" s="1" t="n">
        <v>45446</v>
      </c>
      <c r="C28" s="1" t="n">
        <v>46203</v>
      </c>
      <c r="D28" t="inlineStr">
        <is>
          <t>VÄSTMANLANDS LÄN</t>
        </is>
      </c>
      <c r="E28" t="inlineStr">
        <is>
          <t>SALA</t>
        </is>
      </c>
      <c r="G28" t="n">
        <v>1.2</v>
      </c>
      <c r="H28" t="n">
        <v>1</v>
      </c>
      <c r="I28" t="n">
        <v>1</v>
      </c>
      <c r="J28" t="n">
        <v>0</v>
      </c>
      <c r="K28" t="n">
        <v>1</v>
      </c>
      <c r="L28" t="n">
        <v>0</v>
      </c>
      <c r="M28" t="n">
        <v>0</v>
      </c>
      <c r="N28" t="n">
        <v>0</v>
      </c>
      <c r="O28" t="n">
        <v>1</v>
      </c>
      <c r="P28" t="n">
        <v>1</v>
      </c>
      <c r="Q28" t="n">
        <v>3</v>
      </c>
      <c r="R28" s="2" t="inlineStr">
        <is>
          <t>Laxporing
Rödgul trumpetsvamp
Blåsippa</t>
        </is>
      </c>
      <c r="S28">
        <f>HYPERLINK("https://klasma.github.io/Logging_1981/artfynd/A 22350-2024 artfynd.xlsx", "A 22350-2024")</f>
        <v/>
      </c>
      <c r="T28">
        <f>HYPERLINK("https://klasma.github.io/Logging_1981/kartor/A 22350-2024 karta.png", "A 22350-2024")</f>
        <v/>
      </c>
      <c r="V28">
        <f>HYPERLINK("https://klasma.github.io/Logging_1981/klagomål/A 22350-2024 FSC-klagomål.docx", "A 22350-2024")</f>
        <v/>
      </c>
      <c r="W28">
        <f>HYPERLINK("https://klasma.github.io/Logging_1981/klagomålsmail/A 22350-2024 FSC-klagomål mail.docx", "A 22350-2024")</f>
        <v/>
      </c>
      <c r="X28">
        <f>HYPERLINK("https://klasma.github.io/Logging_1981/tillsyn/A 22350-2024 tillsynsbegäran.docx", "A 22350-2024")</f>
        <v/>
      </c>
      <c r="Y28">
        <f>HYPERLINK("https://klasma.github.io/Logging_1981/tillsynsmail/A 22350-2024 tillsynsbegäran mail.docx", "A 22350-2024")</f>
        <v/>
      </c>
    </row>
    <row r="29" ht="15" customHeight="1">
      <c r="A29" t="inlineStr">
        <is>
          <t>A 63584-2025</t>
        </is>
      </c>
      <c r="B29" s="1" t="n">
        <v>46013</v>
      </c>
      <c r="C29" s="1" t="n">
        <v>46203</v>
      </c>
      <c r="D29" t="inlineStr">
        <is>
          <t>VÄSTMANLANDS LÄN</t>
        </is>
      </c>
      <c r="E29" t="inlineStr">
        <is>
          <t>SALA</t>
        </is>
      </c>
      <c r="G29" t="n">
        <v>7.3</v>
      </c>
      <c r="H29" t="n">
        <v>1</v>
      </c>
      <c r="I29" t="n">
        <v>0</v>
      </c>
      <c r="J29" t="n">
        <v>2</v>
      </c>
      <c r="K29" t="n">
        <v>1</v>
      </c>
      <c r="L29" t="n">
        <v>0</v>
      </c>
      <c r="M29" t="n">
        <v>0</v>
      </c>
      <c r="N29" t="n">
        <v>0</v>
      </c>
      <c r="O29" t="n">
        <v>3</v>
      </c>
      <c r="P29" t="n">
        <v>1</v>
      </c>
      <c r="Q29" t="n">
        <v>3</v>
      </c>
      <c r="R29" s="2" t="inlineStr">
        <is>
          <t>Knärot
Ullticka
Vedtrappmossa</t>
        </is>
      </c>
      <c r="S29">
        <f>HYPERLINK("https://klasma.github.io/Logging_1981/artfynd/A 63584-2025 artfynd.xlsx", "A 63584-2025")</f>
        <v/>
      </c>
      <c r="T29">
        <f>HYPERLINK("https://klasma.github.io/Logging_1981/kartor/A 63584-2025 karta.png", "A 63584-2025")</f>
        <v/>
      </c>
      <c r="U29">
        <f>HYPERLINK("https://klasma.github.io/Logging_1981/knärot/A 63584-2025 karta knärot.png", "A 63584-2025")</f>
        <v/>
      </c>
      <c r="V29">
        <f>HYPERLINK("https://klasma.github.io/Logging_1981/klagomål/A 63584-2025 FSC-klagomål.docx", "A 63584-2025")</f>
        <v/>
      </c>
      <c r="W29">
        <f>HYPERLINK("https://klasma.github.io/Logging_1981/klagomålsmail/A 63584-2025 FSC-klagomål mail.docx", "A 63584-2025")</f>
        <v/>
      </c>
      <c r="X29">
        <f>HYPERLINK("https://klasma.github.io/Logging_1981/tillsyn/A 63584-2025 tillsynsbegäran.docx", "A 63584-2025")</f>
        <v/>
      </c>
      <c r="Y29">
        <f>HYPERLINK("https://klasma.github.io/Logging_1981/tillsynsmail/A 63584-2025 tillsynsbegäran mail.docx", "A 63584-2025")</f>
        <v/>
      </c>
    </row>
    <row r="30" ht="15" customHeight="1">
      <c r="A30" t="inlineStr">
        <is>
          <t>A 12444-2024</t>
        </is>
      </c>
      <c r="B30" s="1" t="n">
        <v>45379</v>
      </c>
      <c r="C30" s="1" t="n">
        <v>46203</v>
      </c>
      <c r="D30" t="inlineStr">
        <is>
          <t>VÄSTMANLANDS LÄN</t>
        </is>
      </c>
      <c r="E30" t="inlineStr">
        <is>
          <t>SALA</t>
        </is>
      </c>
      <c r="G30" t="n">
        <v>5.5</v>
      </c>
      <c r="H30" t="n">
        <v>1</v>
      </c>
      <c r="I30" t="n">
        <v>1</v>
      </c>
      <c r="J30" t="n">
        <v>1</v>
      </c>
      <c r="K30" t="n">
        <v>1</v>
      </c>
      <c r="L30" t="n">
        <v>0</v>
      </c>
      <c r="M30" t="n">
        <v>0</v>
      </c>
      <c r="N30" t="n">
        <v>0</v>
      </c>
      <c r="O30" t="n">
        <v>2</v>
      </c>
      <c r="P30" t="n">
        <v>1</v>
      </c>
      <c r="Q30" t="n">
        <v>3</v>
      </c>
      <c r="R30" s="2" t="inlineStr">
        <is>
          <t>Knärot
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15630-2026</t>
        </is>
      </c>
      <c r="B31" s="1" t="n">
        <v>46106</v>
      </c>
      <c r="C31" s="1" t="n">
        <v>46203</v>
      </c>
      <c r="D31" t="inlineStr">
        <is>
          <t>VÄSTMANLANDS LÄN</t>
        </is>
      </c>
      <c r="E31" t="inlineStr">
        <is>
          <t>SALA</t>
        </is>
      </c>
      <c r="G31" t="n">
        <v>1.1</v>
      </c>
      <c r="H31" t="n">
        <v>0</v>
      </c>
      <c r="I31" t="n">
        <v>1</v>
      </c>
      <c r="J31" t="n">
        <v>1</v>
      </c>
      <c r="K31" t="n">
        <v>0</v>
      </c>
      <c r="L31" t="n">
        <v>0</v>
      </c>
      <c r="M31" t="n">
        <v>0</v>
      </c>
      <c r="N31" t="n">
        <v>0</v>
      </c>
      <c r="O31" t="n">
        <v>1</v>
      </c>
      <c r="P31" t="n">
        <v>0</v>
      </c>
      <c r="Q31" t="n">
        <v>3</v>
      </c>
      <c r="R31" s="2" t="inlineStr">
        <is>
          <t>Kortskaftad ärgspik
Thomsons trägnagare
Krushättemossa</t>
        </is>
      </c>
      <c r="S31">
        <f>HYPERLINK("https://klasma.github.io/Logging_1981/artfynd/A 15630-2026 artfynd.xlsx", "A 15630-2026")</f>
        <v/>
      </c>
      <c r="T31">
        <f>HYPERLINK("https://klasma.github.io/Logging_1981/kartor/A 15630-2026 karta.png", "A 15630-2026")</f>
        <v/>
      </c>
      <c r="V31">
        <f>HYPERLINK("https://klasma.github.io/Logging_1981/klagomål/A 15630-2026 FSC-klagomål.docx", "A 15630-2026")</f>
        <v/>
      </c>
      <c r="W31">
        <f>HYPERLINK("https://klasma.github.io/Logging_1981/klagomålsmail/A 15630-2026 FSC-klagomål mail.docx", "A 15630-2026")</f>
        <v/>
      </c>
      <c r="X31">
        <f>HYPERLINK("https://klasma.github.io/Logging_1981/tillsyn/A 15630-2026 tillsynsbegäran.docx", "A 15630-2026")</f>
        <v/>
      </c>
      <c r="Y31">
        <f>HYPERLINK("https://klasma.github.io/Logging_1981/tillsynsmail/A 15630-2026 tillsynsbegäran mail.docx", "A 15630-2026")</f>
        <v/>
      </c>
    </row>
    <row r="32" ht="15" customHeight="1">
      <c r="A32" t="inlineStr">
        <is>
          <t>A 18896-2026</t>
        </is>
      </c>
      <c r="B32" s="1" t="n">
        <v>46129</v>
      </c>
      <c r="C32" s="1" t="n">
        <v>46203</v>
      </c>
      <c r="D32" t="inlineStr">
        <is>
          <t>VÄSTMANLANDS LÄN</t>
        </is>
      </c>
      <c r="E32" t="inlineStr">
        <is>
          <t>SALA</t>
        </is>
      </c>
      <c r="F32" t="inlineStr">
        <is>
          <t>Kommuner</t>
        </is>
      </c>
      <c r="G32" t="n">
        <v>1.1</v>
      </c>
      <c r="H32" t="n">
        <v>0</v>
      </c>
      <c r="I32" t="n">
        <v>2</v>
      </c>
      <c r="J32" t="n">
        <v>1</v>
      </c>
      <c r="K32" t="n">
        <v>0</v>
      </c>
      <c r="L32" t="n">
        <v>0</v>
      </c>
      <c r="M32" t="n">
        <v>0</v>
      </c>
      <c r="N32" t="n">
        <v>0</v>
      </c>
      <c r="O32" t="n">
        <v>1</v>
      </c>
      <c r="P32" t="n">
        <v>0</v>
      </c>
      <c r="Q32" t="n">
        <v>3</v>
      </c>
      <c r="R32" s="2" t="inlineStr">
        <is>
          <t>Ullticka
Bronshjon
Dvärgtufs</t>
        </is>
      </c>
      <c r="S32">
        <f>HYPERLINK("https://klasma.github.io/Logging_1981/artfynd/A 18896-2026 artfynd.xlsx", "A 18896-2026")</f>
        <v/>
      </c>
      <c r="T32">
        <f>HYPERLINK("https://klasma.github.io/Logging_1981/kartor/A 18896-2026 karta.png", "A 18896-2026")</f>
        <v/>
      </c>
      <c r="V32">
        <f>HYPERLINK("https://klasma.github.io/Logging_1981/klagomål/A 18896-2026 FSC-klagomål.docx", "A 18896-2026")</f>
        <v/>
      </c>
      <c r="W32">
        <f>HYPERLINK("https://klasma.github.io/Logging_1981/klagomålsmail/A 18896-2026 FSC-klagomål mail.docx", "A 18896-2026")</f>
        <v/>
      </c>
      <c r="X32">
        <f>HYPERLINK("https://klasma.github.io/Logging_1981/tillsyn/A 18896-2026 tillsynsbegäran.docx", "A 18896-2026")</f>
        <v/>
      </c>
      <c r="Y32">
        <f>HYPERLINK("https://klasma.github.io/Logging_1981/tillsynsmail/A 18896-2026 tillsynsbegäran mail.docx", "A 18896-2026")</f>
        <v/>
      </c>
    </row>
    <row r="33" ht="15" customHeight="1">
      <c r="A33" t="inlineStr">
        <is>
          <t>A 3930-2026</t>
        </is>
      </c>
      <c r="B33" s="1" t="n">
        <v>46043</v>
      </c>
      <c r="C33" s="1" t="n">
        <v>46203</v>
      </c>
      <c r="D33" t="inlineStr">
        <is>
          <t>VÄSTMANLANDS LÄN</t>
        </is>
      </c>
      <c r="E33" t="inlineStr">
        <is>
          <t>SALA</t>
        </is>
      </c>
      <c r="G33" t="n">
        <v>17.4</v>
      </c>
      <c r="H33" t="n">
        <v>1</v>
      </c>
      <c r="I33" t="n">
        <v>0</v>
      </c>
      <c r="J33" t="n">
        <v>1</v>
      </c>
      <c r="K33" t="n">
        <v>2</v>
      </c>
      <c r="L33" t="n">
        <v>0</v>
      </c>
      <c r="M33" t="n">
        <v>0</v>
      </c>
      <c r="N33" t="n">
        <v>0</v>
      </c>
      <c r="O33" t="n">
        <v>3</v>
      </c>
      <c r="P33" t="n">
        <v>2</v>
      </c>
      <c r="Q33" t="n">
        <v>3</v>
      </c>
      <c r="R33" s="2" t="inlineStr">
        <is>
          <t>Gränsticka
Knärot
Ullticka</t>
        </is>
      </c>
      <c r="S33">
        <f>HYPERLINK("https://klasma.github.io/Logging_1981/artfynd/A 3930-2026 artfynd.xlsx", "A 3930-2026")</f>
        <v/>
      </c>
      <c r="T33">
        <f>HYPERLINK("https://klasma.github.io/Logging_1981/kartor/A 3930-2026 karta.png", "A 3930-2026")</f>
        <v/>
      </c>
      <c r="U33">
        <f>HYPERLINK("https://klasma.github.io/Logging_1981/knärot/A 3930-2026 karta knärot.png", "A 3930-2026")</f>
        <v/>
      </c>
      <c r="V33">
        <f>HYPERLINK("https://klasma.github.io/Logging_1981/klagomål/A 3930-2026 FSC-klagomål.docx", "A 3930-2026")</f>
        <v/>
      </c>
      <c r="W33">
        <f>HYPERLINK("https://klasma.github.io/Logging_1981/klagomålsmail/A 3930-2026 FSC-klagomål mail.docx", "A 3930-2026")</f>
        <v/>
      </c>
      <c r="X33">
        <f>HYPERLINK("https://klasma.github.io/Logging_1981/tillsyn/A 3930-2026 tillsynsbegäran.docx", "A 3930-2026")</f>
        <v/>
      </c>
      <c r="Y33">
        <f>HYPERLINK("https://klasma.github.io/Logging_1981/tillsynsmail/A 3930-2026 tillsynsbegäran mail.docx", "A 3930-2026")</f>
        <v/>
      </c>
    </row>
    <row r="34" ht="15" customHeight="1">
      <c r="A34" t="inlineStr">
        <is>
          <t>A 62768-2021</t>
        </is>
      </c>
      <c r="B34" s="1" t="n">
        <v>44504</v>
      </c>
      <c r="C34" s="1" t="n">
        <v>46203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4264-2024</t>
        </is>
      </c>
      <c r="B35" s="1" t="n">
        <v>45324</v>
      </c>
      <c r="C35" s="1" t="n">
        <v>46203</v>
      </c>
      <c r="D35" t="inlineStr">
        <is>
          <t>VÄSTMANLANDS LÄN</t>
        </is>
      </c>
      <c r="E35" t="inlineStr">
        <is>
          <t>SALA</t>
        </is>
      </c>
      <c r="G35" t="n">
        <v>2.5</v>
      </c>
      <c r="H35" t="n">
        <v>0</v>
      </c>
      <c r="I35" t="n">
        <v>1</v>
      </c>
      <c r="J35" t="n">
        <v>2</v>
      </c>
      <c r="K35" t="n">
        <v>0</v>
      </c>
      <c r="L35" t="n">
        <v>0</v>
      </c>
      <c r="M35" t="n">
        <v>0</v>
      </c>
      <c r="N35" t="n">
        <v>0</v>
      </c>
      <c r="O35" t="n">
        <v>2</v>
      </c>
      <c r="P35" t="n">
        <v>0</v>
      </c>
      <c r="Q35" t="n">
        <v>3</v>
      </c>
      <c r="R35" s="2" t="inlineStr">
        <is>
          <t>Brunpudrad nållav
Vedtrappmossa
Dvärghäxört</t>
        </is>
      </c>
      <c r="S35">
        <f>HYPERLINK("https://klasma.github.io/Logging_1981/artfynd/A 4264-2024 artfynd.xlsx", "A 4264-2024")</f>
        <v/>
      </c>
      <c r="T35">
        <f>HYPERLINK("https://klasma.github.io/Logging_1981/kartor/A 4264-2024 karta.png", "A 4264-2024")</f>
        <v/>
      </c>
      <c r="V35">
        <f>HYPERLINK("https://klasma.github.io/Logging_1981/klagomål/A 4264-2024 FSC-klagomål.docx", "A 4264-2024")</f>
        <v/>
      </c>
      <c r="W35">
        <f>HYPERLINK("https://klasma.github.io/Logging_1981/klagomålsmail/A 4264-2024 FSC-klagomål mail.docx", "A 4264-2024")</f>
        <v/>
      </c>
      <c r="X35">
        <f>HYPERLINK("https://klasma.github.io/Logging_1981/tillsyn/A 4264-2024 tillsynsbegäran.docx", "A 4264-2024")</f>
        <v/>
      </c>
      <c r="Y35">
        <f>HYPERLINK("https://klasma.github.io/Logging_1981/tillsynsmail/A 4264-2024 tillsynsbegäran mail.docx", "A 4264-2024")</f>
        <v/>
      </c>
    </row>
    <row r="36" ht="15" customHeight="1">
      <c r="A36" t="inlineStr">
        <is>
          <t>A 29727-2023</t>
        </is>
      </c>
      <c r="B36" s="1" t="n">
        <v>45107</v>
      </c>
      <c r="C36" s="1" t="n">
        <v>46203</v>
      </c>
      <c r="D36" t="inlineStr">
        <is>
          <t>VÄSTMANLANDS LÄN</t>
        </is>
      </c>
      <c r="E36" t="inlineStr">
        <is>
          <t>SALA</t>
        </is>
      </c>
      <c r="G36" t="n">
        <v>1.9</v>
      </c>
      <c r="H36" t="n">
        <v>0</v>
      </c>
      <c r="I36" t="n">
        <v>2</v>
      </c>
      <c r="J36" t="n">
        <v>1</v>
      </c>
      <c r="K36" t="n">
        <v>0</v>
      </c>
      <c r="L36" t="n">
        <v>0</v>
      </c>
      <c r="M36" t="n">
        <v>0</v>
      </c>
      <c r="N36" t="n">
        <v>0</v>
      </c>
      <c r="O36" t="n">
        <v>1</v>
      </c>
      <c r="P36" t="n">
        <v>0</v>
      </c>
      <c r="Q36" t="n">
        <v>3</v>
      </c>
      <c r="R36" s="2" t="inlineStr">
        <is>
          <t>Vedtrappmossa
Stubbspretmossa
Vedticka</t>
        </is>
      </c>
      <c r="S36">
        <f>HYPERLINK("https://klasma.github.io/Logging_1981/artfynd/A 29727-2023 artfynd.xlsx", "A 29727-2023")</f>
        <v/>
      </c>
      <c r="T36">
        <f>HYPERLINK("https://klasma.github.io/Logging_1981/kartor/A 29727-2023 karta.png", "A 29727-2023")</f>
        <v/>
      </c>
      <c r="V36">
        <f>HYPERLINK("https://klasma.github.io/Logging_1981/klagomål/A 29727-2023 FSC-klagomål.docx", "A 29727-2023")</f>
        <v/>
      </c>
      <c r="W36">
        <f>HYPERLINK("https://klasma.github.io/Logging_1981/klagomålsmail/A 29727-2023 FSC-klagomål mail.docx", "A 29727-2023")</f>
        <v/>
      </c>
      <c r="X36">
        <f>HYPERLINK("https://klasma.github.io/Logging_1981/tillsyn/A 29727-2023 tillsynsbegäran.docx", "A 29727-2023")</f>
        <v/>
      </c>
      <c r="Y36">
        <f>HYPERLINK("https://klasma.github.io/Logging_1981/tillsynsmail/A 29727-2023 tillsynsbegäran mail.docx", "A 29727-2023")</f>
        <v/>
      </c>
    </row>
    <row r="37" ht="15" customHeight="1">
      <c r="A37" t="inlineStr">
        <is>
          <t>A 52909-2022</t>
        </is>
      </c>
      <c r="B37" s="1" t="n">
        <v>44875</v>
      </c>
      <c r="C37" s="1" t="n">
        <v>46203</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46203</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11846-2024</t>
        </is>
      </c>
      <c r="B39" s="1" t="n">
        <v>45376</v>
      </c>
      <c r="C39" s="1" t="n">
        <v>46203</v>
      </c>
      <c r="D39" t="inlineStr">
        <is>
          <t>VÄSTMANLANDS LÄN</t>
        </is>
      </c>
      <c r="E39" t="inlineStr">
        <is>
          <t>SALA</t>
        </is>
      </c>
      <c r="G39" t="n">
        <v>8</v>
      </c>
      <c r="H39" t="n">
        <v>0</v>
      </c>
      <c r="I39" t="n">
        <v>2</v>
      </c>
      <c r="J39" t="n">
        <v>0</v>
      </c>
      <c r="K39" t="n">
        <v>0</v>
      </c>
      <c r="L39" t="n">
        <v>0</v>
      </c>
      <c r="M39" t="n">
        <v>0</v>
      </c>
      <c r="N39" t="n">
        <v>0</v>
      </c>
      <c r="O39" t="n">
        <v>0</v>
      </c>
      <c r="P39" t="n">
        <v>0</v>
      </c>
      <c r="Q39" t="n">
        <v>2</v>
      </c>
      <c r="R39" s="2" t="inlineStr">
        <is>
          <t>Bronshjon
Vågbandad barkbock</t>
        </is>
      </c>
      <c r="S39">
        <f>HYPERLINK("https://klasma.github.io/Logging_1981/artfynd/A 11846-2024 artfynd.xlsx", "A 11846-2024")</f>
        <v/>
      </c>
      <c r="T39">
        <f>HYPERLINK("https://klasma.github.io/Logging_1981/kartor/A 11846-2024 karta.png", "A 11846-2024")</f>
        <v/>
      </c>
      <c r="V39">
        <f>HYPERLINK("https://klasma.github.io/Logging_1981/klagomål/A 11846-2024 FSC-klagomål.docx", "A 11846-2024")</f>
        <v/>
      </c>
      <c r="W39">
        <f>HYPERLINK("https://klasma.github.io/Logging_1981/klagomålsmail/A 11846-2024 FSC-klagomål mail.docx", "A 11846-2024")</f>
        <v/>
      </c>
      <c r="X39">
        <f>HYPERLINK("https://klasma.github.io/Logging_1981/tillsyn/A 11846-2024 tillsynsbegäran.docx", "A 11846-2024")</f>
        <v/>
      </c>
      <c r="Y39">
        <f>HYPERLINK("https://klasma.github.io/Logging_1981/tillsynsmail/A 11846-2024 tillsynsbegäran mail.docx", "A 11846-2024")</f>
        <v/>
      </c>
    </row>
    <row r="40" ht="15" customHeight="1">
      <c r="A40" t="inlineStr">
        <is>
          <t>A 48705-2025</t>
        </is>
      </c>
      <c r="B40" s="1" t="n">
        <v>45936</v>
      </c>
      <c r="C40" s="1" t="n">
        <v>46203</v>
      </c>
      <c r="D40" t="inlineStr">
        <is>
          <t>VÄSTMANLANDS LÄN</t>
        </is>
      </c>
      <c r="E40" t="inlineStr">
        <is>
          <t>SALA</t>
        </is>
      </c>
      <c r="G40" t="n">
        <v>4.4</v>
      </c>
      <c r="H40" t="n">
        <v>2</v>
      </c>
      <c r="I40" t="n">
        <v>1</v>
      </c>
      <c r="J40" t="n">
        <v>0</v>
      </c>
      <c r="K40" t="n">
        <v>0</v>
      </c>
      <c r="L40" t="n">
        <v>0</v>
      </c>
      <c r="M40" t="n">
        <v>0</v>
      </c>
      <c r="N40" t="n">
        <v>0</v>
      </c>
      <c r="O40" t="n">
        <v>0</v>
      </c>
      <c r="P40" t="n">
        <v>0</v>
      </c>
      <c r="Q40" t="n">
        <v>2</v>
      </c>
      <c r="R40" s="2" t="inlineStr">
        <is>
          <t>Plattlummer
Revlummer</t>
        </is>
      </c>
      <c r="S40">
        <f>HYPERLINK("https://klasma.github.io/Logging_1981/artfynd/A 48705-2025 artfynd.xlsx", "A 48705-2025")</f>
        <v/>
      </c>
      <c r="T40">
        <f>HYPERLINK("https://klasma.github.io/Logging_1981/kartor/A 48705-2025 karta.png", "A 48705-2025")</f>
        <v/>
      </c>
      <c r="V40">
        <f>HYPERLINK("https://klasma.github.io/Logging_1981/klagomål/A 48705-2025 FSC-klagomål.docx", "A 48705-2025")</f>
        <v/>
      </c>
      <c r="W40">
        <f>HYPERLINK("https://klasma.github.io/Logging_1981/klagomålsmail/A 48705-2025 FSC-klagomål mail.docx", "A 48705-2025")</f>
        <v/>
      </c>
      <c r="X40">
        <f>HYPERLINK("https://klasma.github.io/Logging_1981/tillsyn/A 48705-2025 tillsynsbegäran.docx", "A 48705-2025")</f>
        <v/>
      </c>
      <c r="Y40">
        <f>HYPERLINK("https://klasma.github.io/Logging_1981/tillsynsmail/A 48705-2025 tillsynsbegäran mail.docx", "A 48705-2025")</f>
        <v/>
      </c>
    </row>
    <row r="41" ht="15" customHeight="1">
      <c r="A41" t="inlineStr">
        <is>
          <t>A 38574-2025</t>
        </is>
      </c>
      <c r="B41" s="1" t="n">
        <v>45884</v>
      </c>
      <c r="C41" s="1" t="n">
        <v>46203</v>
      </c>
      <c r="D41" t="inlineStr">
        <is>
          <t>VÄSTMANLANDS LÄN</t>
        </is>
      </c>
      <c r="E41" t="inlineStr">
        <is>
          <t>SALA</t>
        </is>
      </c>
      <c r="G41" t="n">
        <v>2.1</v>
      </c>
      <c r="H41" t="n">
        <v>0</v>
      </c>
      <c r="I41" t="n">
        <v>0</v>
      </c>
      <c r="J41" t="n">
        <v>1</v>
      </c>
      <c r="K41" t="n">
        <v>1</v>
      </c>
      <c r="L41" t="n">
        <v>0</v>
      </c>
      <c r="M41" t="n">
        <v>0</v>
      </c>
      <c r="N41" t="n">
        <v>0</v>
      </c>
      <c r="O41" t="n">
        <v>2</v>
      </c>
      <c r="P41" t="n">
        <v>1</v>
      </c>
      <c r="Q41" t="n">
        <v>2</v>
      </c>
      <c r="R41" s="2" t="inlineStr">
        <is>
          <t>Aspgelélav
Vedskivlav</t>
        </is>
      </c>
      <c r="S41">
        <f>HYPERLINK("https://klasma.github.io/Logging_1981/artfynd/A 38574-2025 artfynd.xlsx", "A 38574-2025")</f>
        <v/>
      </c>
      <c r="T41">
        <f>HYPERLINK("https://klasma.github.io/Logging_1981/kartor/A 38574-2025 karta.png", "A 38574-2025")</f>
        <v/>
      </c>
      <c r="V41">
        <f>HYPERLINK("https://klasma.github.io/Logging_1981/klagomål/A 38574-2025 FSC-klagomål.docx", "A 38574-2025")</f>
        <v/>
      </c>
      <c r="W41">
        <f>HYPERLINK("https://klasma.github.io/Logging_1981/klagomålsmail/A 38574-2025 FSC-klagomål mail.docx", "A 38574-2025")</f>
        <v/>
      </c>
      <c r="X41">
        <f>HYPERLINK("https://klasma.github.io/Logging_1981/tillsyn/A 38574-2025 tillsynsbegäran.docx", "A 38574-2025")</f>
        <v/>
      </c>
      <c r="Y41">
        <f>HYPERLINK("https://klasma.github.io/Logging_1981/tillsynsmail/A 38574-2025 tillsynsbegäran mail.docx", "A 38574-2025")</f>
        <v/>
      </c>
    </row>
    <row r="42" ht="15" customHeight="1">
      <c r="A42" t="inlineStr">
        <is>
          <t>A 53048-2025</t>
        </is>
      </c>
      <c r="B42" s="1" t="n">
        <v>45958</v>
      </c>
      <c r="C42" s="1" t="n">
        <v>46203</v>
      </c>
      <c r="D42" t="inlineStr">
        <is>
          <t>VÄSTMANLANDS LÄN</t>
        </is>
      </c>
      <c r="E42" t="inlineStr">
        <is>
          <t>SALA</t>
        </is>
      </c>
      <c r="F42" t="inlineStr">
        <is>
          <t>Sveaskog</t>
        </is>
      </c>
      <c r="G42" t="n">
        <v>7.5</v>
      </c>
      <c r="H42" t="n">
        <v>1</v>
      </c>
      <c r="I42" t="n">
        <v>1</v>
      </c>
      <c r="J42" t="n">
        <v>1</v>
      </c>
      <c r="K42" t="n">
        <v>0</v>
      </c>
      <c r="L42" t="n">
        <v>0</v>
      </c>
      <c r="M42" t="n">
        <v>0</v>
      </c>
      <c r="N42" t="n">
        <v>0</v>
      </c>
      <c r="O42" t="n">
        <v>1</v>
      </c>
      <c r="P42" t="n">
        <v>0</v>
      </c>
      <c r="Q42" t="n">
        <v>2</v>
      </c>
      <c r="R42" s="2" t="inlineStr">
        <is>
          <t>Motaggsvamp
Plattlummer</t>
        </is>
      </c>
      <c r="S42">
        <f>HYPERLINK("https://klasma.github.io/Logging_1981/artfynd/A 53048-2025 artfynd.xlsx", "A 53048-2025")</f>
        <v/>
      </c>
      <c r="T42">
        <f>HYPERLINK("https://klasma.github.io/Logging_1981/kartor/A 53048-2025 karta.png", "A 53048-2025")</f>
        <v/>
      </c>
      <c r="V42">
        <f>HYPERLINK("https://klasma.github.io/Logging_1981/klagomål/A 53048-2025 FSC-klagomål.docx", "A 53048-2025")</f>
        <v/>
      </c>
      <c r="W42">
        <f>HYPERLINK("https://klasma.github.io/Logging_1981/klagomålsmail/A 53048-2025 FSC-klagomål mail.docx", "A 53048-2025")</f>
        <v/>
      </c>
      <c r="X42">
        <f>HYPERLINK("https://klasma.github.io/Logging_1981/tillsyn/A 53048-2025 tillsynsbegäran.docx", "A 53048-2025")</f>
        <v/>
      </c>
      <c r="Y42">
        <f>HYPERLINK("https://klasma.github.io/Logging_1981/tillsynsmail/A 53048-2025 tillsynsbegäran mail.docx", "A 53048-2025")</f>
        <v/>
      </c>
    </row>
    <row r="43" ht="15" customHeight="1">
      <c r="A43" t="inlineStr">
        <is>
          <t>A 56704-2022</t>
        </is>
      </c>
      <c r="B43" s="1" t="n">
        <v>44893</v>
      </c>
      <c r="C43" s="1" t="n">
        <v>46203</v>
      </c>
      <c r="D43" t="inlineStr">
        <is>
          <t>VÄSTMANLANDS LÄN</t>
        </is>
      </c>
      <c r="E43" t="inlineStr">
        <is>
          <t>SALA</t>
        </is>
      </c>
      <c r="G43" t="n">
        <v>3.2</v>
      </c>
      <c r="H43" t="n">
        <v>2</v>
      </c>
      <c r="I43" t="n">
        <v>0</v>
      </c>
      <c r="J43" t="n">
        <v>0</v>
      </c>
      <c r="K43" t="n">
        <v>1</v>
      </c>
      <c r="L43" t="n">
        <v>0</v>
      </c>
      <c r="M43" t="n">
        <v>0</v>
      </c>
      <c r="N43" t="n">
        <v>0</v>
      </c>
      <c r="O43" t="n">
        <v>1</v>
      </c>
      <c r="P43" t="n">
        <v>1</v>
      </c>
      <c r="Q43" t="n">
        <v>2</v>
      </c>
      <c r="R43" s="2" t="inlineStr">
        <is>
          <t>Knärot
Fläcknycklar</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24872-2025</t>
        </is>
      </c>
      <c r="B44" s="1" t="n">
        <v>45799</v>
      </c>
      <c r="C44" s="1" t="n">
        <v>46203</v>
      </c>
      <c r="D44" t="inlineStr">
        <is>
          <t>VÄSTMANLANDS LÄN</t>
        </is>
      </c>
      <c r="E44" t="inlineStr">
        <is>
          <t>SALA</t>
        </is>
      </c>
      <c r="G44" t="n">
        <v>13.9</v>
      </c>
      <c r="H44" t="n">
        <v>1</v>
      </c>
      <c r="I44" t="n">
        <v>0</v>
      </c>
      <c r="J44" t="n">
        <v>1</v>
      </c>
      <c r="K44" t="n">
        <v>1</v>
      </c>
      <c r="L44" t="n">
        <v>0</v>
      </c>
      <c r="M44" t="n">
        <v>0</v>
      </c>
      <c r="N44" t="n">
        <v>0</v>
      </c>
      <c r="O44" t="n">
        <v>2</v>
      </c>
      <c r="P44" t="n">
        <v>1</v>
      </c>
      <c r="Q44" t="n">
        <v>2</v>
      </c>
      <c r="R44" s="2" t="inlineStr">
        <is>
          <t>Knärot
Motaggsvamp</t>
        </is>
      </c>
      <c r="S44">
        <f>HYPERLINK("https://klasma.github.io/Logging_1981/artfynd/A 24872-2025 artfynd.xlsx", "A 24872-2025")</f>
        <v/>
      </c>
      <c r="T44">
        <f>HYPERLINK("https://klasma.github.io/Logging_1981/kartor/A 24872-2025 karta.png", "A 24872-2025")</f>
        <v/>
      </c>
      <c r="U44">
        <f>HYPERLINK("https://klasma.github.io/Logging_1981/knärot/A 24872-2025 karta knärot.png", "A 24872-2025")</f>
        <v/>
      </c>
      <c r="V44">
        <f>HYPERLINK("https://klasma.github.io/Logging_1981/klagomål/A 24872-2025 FSC-klagomål.docx", "A 24872-2025")</f>
        <v/>
      </c>
      <c r="W44">
        <f>HYPERLINK("https://klasma.github.io/Logging_1981/klagomålsmail/A 24872-2025 FSC-klagomål mail.docx", "A 24872-2025")</f>
        <v/>
      </c>
      <c r="X44">
        <f>HYPERLINK("https://klasma.github.io/Logging_1981/tillsyn/A 24872-2025 tillsynsbegäran.docx", "A 24872-2025")</f>
        <v/>
      </c>
      <c r="Y44">
        <f>HYPERLINK("https://klasma.github.io/Logging_1981/tillsynsmail/A 24872-2025 tillsynsbegäran mail.docx", "A 24872-2025")</f>
        <v/>
      </c>
    </row>
    <row r="45" ht="15" customHeight="1">
      <c r="A45" t="inlineStr">
        <is>
          <t>A 59826-2025</t>
        </is>
      </c>
      <c r="B45" s="1" t="n">
        <v>45992</v>
      </c>
      <c r="C45" s="1" t="n">
        <v>46203</v>
      </c>
      <c r="D45" t="inlineStr">
        <is>
          <t>VÄSTMANLANDS LÄN</t>
        </is>
      </c>
      <c r="E45" t="inlineStr">
        <is>
          <t>SALA</t>
        </is>
      </c>
      <c r="G45" t="n">
        <v>2.7</v>
      </c>
      <c r="H45" t="n">
        <v>0</v>
      </c>
      <c r="I45" t="n">
        <v>1</v>
      </c>
      <c r="J45" t="n">
        <v>1</v>
      </c>
      <c r="K45" t="n">
        <v>0</v>
      </c>
      <c r="L45" t="n">
        <v>0</v>
      </c>
      <c r="M45" t="n">
        <v>0</v>
      </c>
      <c r="N45" t="n">
        <v>0</v>
      </c>
      <c r="O45" t="n">
        <v>1</v>
      </c>
      <c r="P45" t="n">
        <v>0</v>
      </c>
      <c r="Q45" t="n">
        <v>2</v>
      </c>
      <c r="R45" s="2" t="inlineStr">
        <is>
          <t>Motaggsvamp
Gullgröppa</t>
        </is>
      </c>
      <c r="S45">
        <f>HYPERLINK("https://klasma.github.io/Logging_1981/artfynd/A 59826-2025 artfynd.xlsx", "A 59826-2025")</f>
        <v/>
      </c>
      <c r="T45">
        <f>HYPERLINK("https://klasma.github.io/Logging_1981/kartor/A 59826-2025 karta.png", "A 59826-2025")</f>
        <v/>
      </c>
      <c r="V45">
        <f>HYPERLINK("https://klasma.github.io/Logging_1981/klagomål/A 59826-2025 FSC-klagomål.docx", "A 59826-2025")</f>
        <v/>
      </c>
      <c r="W45">
        <f>HYPERLINK("https://klasma.github.io/Logging_1981/klagomålsmail/A 59826-2025 FSC-klagomål mail.docx", "A 59826-2025")</f>
        <v/>
      </c>
      <c r="X45">
        <f>HYPERLINK("https://klasma.github.io/Logging_1981/tillsyn/A 59826-2025 tillsynsbegäran.docx", "A 59826-2025")</f>
        <v/>
      </c>
      <c r="Y45">
        <f>HYPERLINK("https://klasma.github.io/Logging_1981/tillsynsmail/A 59826-2025 tillsynsbegäran mail.docx", "A 59826-2025")</f>
        <v/>
      </c>
    </row>
    <row r="46" ht="15" customHeight="1">
      <c r="A46" t="inlineStr">
        <is>
          <t>A 43068-2024</t>
        </is>
      </c>
      <c r="B46" s="1" t="n">
        <v>45567</v>
      </c>
      <c r="C46" s="1" t="n">
        <v>46203</v>
      </c>
      <c r="D46" t="inlineStr">
        <is>
          <t>VÄSTMANLANDS LÄN</t>
        </is>
      </c>
      <c r="E46" t="inlineStr">
        <is>
          <t>SALA</t>
        </is>
      </c>
      <c r="G46" t="n">
        <v>1.1</v>
      </c>
      <c r="H46" t="n">
        <v>0</v>
      </c>
      <c r="I46" t="n">
        <v>1</v>
      </c>
      <c r="J46" t="n">
        <v>1</v>
      </c>
      <c r="K46" t="n">
        <v>0</v>
      </c>
      <c r="L46" t="n">
        <v>0</v>
      </c>
      <c r="M46" t="n">
        <v>0</v>
      </c>
      <c r="N46" t="n">
        <v>0</v>
      </c>
      <c r="O46" t="n">
        <v>1</v>
      </c>
      <c r="P46" t="n">
        <v>0</v>
      </c>
      <c r="Q46" t="n">
        <v>2</v>
      </c>
      <c r="R46" s="2" t="inlineStr">
        <is>
          <t>Skorpgelélav
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13029-2023</t>
        </is>
      </c>
      <c r="B47" s="1" t="n">
        <v>45001</v>
      </c>
      <c r="C47" s="1" t="n">
        <v>46203</v>
      </c>
      <c r="D47" t="inlineStr">
        <is>
          <t>VÄSTMANLANDS LÄN</t>
        </is>
      </c>
      <c r="E47" t="inlineStr">
        <is>
          <t>SALA</t>
        </is>
      </c>
      <c r="G47" t="n">
        <v>2</v>
      </c>
      <c r="H47" t="n">
        <v>0</v>
      </c>
      <c r="I47" t="n">
        <v>0</v>
      </c>
      <c r="J47" t="n">
        <v>2</v>
      </c>
      <c r="K47" t="n">
        <v>0</v>
      </c>
      <c r="L47" t="n">
        <v>0</v>
      </c>
      <c r="M47" t="n">
        <v>0</v>
      </c>
      <c r="N47" t="n">
        <v>0</v>
      </c>
      <c r="O47" t="n">
        <v>2</v>
      </c>
      <c r="P47" t="n">
        <v>0</v>
      </c>
      <c r="Q47" t="n">
        <v>2</v>
      </c>
      <c r="R47" s="2" t="inlineStr">
        <is>
          <t>Krusfrö
Linmåra/småsnärjmåra</t>
        </is>
      </c>
      <c r="S47">
        <f>HYPERLINK("https://klasma.github.io/Logging_1981/artfynd/A 13029-2023 artfynd.xlsx", "A 13029-2023")</f>
        <v/>
      </c>
      <c r="T47">
        <f>HYPERLINK("https://klasma.github.io/Logging_1981/kartor/A 13029-2023 karta.png", "A 13029-2023")</f>
        <v/>
      </c>
      <c r="V47">
        <f>HYPERLINK("https://klasma.github.io/Logging_1981/klagomål/A 13029-2023 FSC-klagomål.docx", "A 13029-2023")</f>
        <v/>
      </c>
      <c r="W47">
        <f>HYPERLINK("https://klasma.github.io/Logging_1981/klagomålsmail/A 13029-2023 FSC-klagomål mail.docx", "A 13029-2023")</f>
        <v/>
      </c>
      <c r="X47">
        <f>HYPERLINK("https://klasma.github.io/Logging_1981/tillsyn/A 13029-2023 tillsynsbegäran.docx", "A 13029-2023")</f>
        <v/>
      </c>
      <c r="Y47">
        <f>HYPERLINK("https://klasma.github.io/Logging_1981/tillsynsmail/A 13029-2023 tillsynsbegäran mail.docx", "A 13029-2023")</f>
        <v/>
      </c>
    </row>
    <row r="48" ht="15" customHeight="1">
      <c r="A48" t="inlineStr">
        <is>
          <t>A 34494-2023</t>
        </is>
      </c>
      <c r="B48" s="1" t="n">
        <v>45133</v>
      </c>
      <c r="C48" s="1" t="n">
        <v>46203</v>
      </c>
      <c r="D48" t="inlineStr">
        <is>
          <t>VÄSTMANLANDS LÄN</t>
        </is>
      </c>
      <c r="E48" t="inlineStr">
        <is>
          <t>SALA</t>
        </is>
      </c>
      <c r="G48" t="n">
        <v>0.8</v>
      </c>
      <c r="H48" t="n">
        <v>0</v>
      </c>
      <c r="I48" t="n">
        <v>2</v>
      </c>
      <c r="J48" t="n">
        <v>0</v>
      </c>
      <c r="K48" t="n">
        <v>0</v>
      </c>
      <c r="L48" t="n">
        <v>0</v>
      </c>
      <c r="M48" t="n">
        <v>0</v>
      </c>
      <c r="N48" t="n">
        <v>0</v>
      </c>
      <c r="O48" t="n">
        <v>0</v>
      </c>
      <c r="P48" t="n">
        <v>0</v>
      </c>
      <c r="Q48" t="n">
        <v>2</v>
      </c>
      <c r="R48" s="2" t="inlineStr">
        <is>
          <t>Bronshjon
Thomsons trägnagare</t>
        </is>
      </c>
      <c r="S48">
        <f>HYPERLINK("https://klasma.github.io/Logging_1981/artfynd/A 34494-2023 artfynd.xlsx", "A 34494-2023")</f>
        <v/>
      </c>
      <c r="T48">
        <f>HYPERLINK("https://klasma.github.io/Logging_1981/kartor/A 34494-2023 karta.png", "A 34494-2023")</f>
        <v/>
      </c>
      <c r="V48">
        <f>HYPERLINK("https://klasma.github.io/Logging_1981/klagomål/A 34494-2023 FSC-klagomål.docx", "A 34494-2023")</f>
        <v/>
      </c>
      <c r="W48">
        <f>HYPERLINK("https://klasma.github.io/Logging_1981/klagomålsmail/A 34494-2023 FSC-klagomål mail.docx", "A 34494-2023")</f>
        <v/>
      </c>
      <c r="X48">
        <f>HYPERLINK("https://klasma.github.io/Logging_1981/tillsyn/A 34494-2023 tillsynsbegäran.docx", "A 34494-2023")</f>
        <v/>
      </c>
      <c r="Y48">
        <f>HYPERLINK("https://klasma.github.io/Logging_1981/tillsynsmail/A 34494-2023 tillsynsbegäran mail.docx", "A 34494-2023")</f>
        <v/>
      </c>
    </row>
    <row r="49" ht="15" customHeight="1">
      <c r="A49" t="inlineStr">
        <is>
          <t>A 41570-2021</t>
        </is>
      </c>
      <c r="B49" s="1" t="n">
        <v>44425</v>
      </c>
      <c r="C49" s="1" t="n">
        <v>46203</v>
      </c>
      <c r="D49" t="inlineStr">
        <is>
          <t>VÄSTMANLANDS LÄN</t>
        </is>
      </c>
      <c r="E49" t="inlineStr">
        <is>
          <t>SALA</t>
        </is>
      </c>
      <c r="G49" t="n">
        <v>1.4</v>
      </c>
      <c r="H49" t="n">
        <v>0</v>
      </c>
      <c r="I49" t="n">
        <v>1</v>
      </c>
      <c r="J49" t="n">
        <v>1</v>
      </c>
      <c r="K49" t="n">
        <v>0</v>
      </c>
      <c r="L49" t="n">
        <v>0</v>
      </c>
      <c r="M49" t="n">
        <v>0</v>
      </c>
      <c r="N49" t="n">
        <v>0</v>
      </c>
      <c r="O49" t="n">
        <v>1</v>
      </c>
      <c r="P49" t="n">
        <v>0</v>
      </c>
      <c r="Q49" t="n">
        <v>2</v>
      </c>
      <c r="R49" s="2" t="inlineStr">
        <is>
          <t>Vedtrappmossa
Dvärghäxört</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29017-2026</t>
        </is>
      </c>
      <c r="B50" s="1" t="n">
        <v>46199</v>
      </c>
      <c r="C50" s="1" t="n">
        <v>46203</v>
      </c>
      <c r="D50" t="inlineStr">
        <is>
          <t>VÄSTMANLANDS LÄN</t>
        </is>
      </c>
      <c r="E50" t="inlineStr">
        <is>
          <t>SALA</t>
        </is>
      </c>
      <c r="G50" t="n">
        <v>3.2</v>
      </c>
      <c r="H50" t="n">
        <v>2</v>
      </c>
      <c r="I50" t="n">
        <v>0</v>
      </c>
      <c r="J50" t="n">
        <v>0</v>
      </c>
      <c r="K50" t="n">
        <v>0</v>
      </c>
      <c r="L50" t="n">
        <v>0</v>
      </c>
      <c r="M50" t="n">
        <v>0</v>
      </c>
      <c r="N50" t="n">
        <v>0</v>
      </c>
      <c r="O50" t="n">
        <v>0</v>
      </c>
      <c r="P50" t="n">
        <v>0</v>
      </c>
      <c r="Q50" t="n">
        <v>2</v>
      </c>
      <c r="R50" s="2" t="inlineStr">
        <is>
          <t>Gröngöling
Svartvit flugsnappare</t>
        </is>
      </c>
      <c r="S50">
        <f>HYPERLINK("https://klasma.github.io/Logging_1981/artfynd/A 29017-2026 artfynd.xlsx", "A 29017-2026")</f>
        <v/>
      </c>
      <c r="T50">
        <f>HYPERLINK("https://klasma.github.io/Logging_1981/kartor/A 29017-2026 karta.png", "A 29017-2026")</f>
        <v/>
      </c>
      <c r="V50">
        <f>HYPERLINK("https://klasma.github.io/Logging_1981/klagomål/A 29017-2026 FSC-klagomål.docx", "A 29017-2026")</f>
        <v/>
      </c>
      <c r="W50">
        <f>HYPERLINK("https://klasma.github.io/Logging_1981/klagomålsmail/A 29017-2026 FSC-klagomål mail.docx", "A 29017-2026")</f>
        <v/>
      </c>
      <c r="X50">
        <f>HYPERLINK("https://klasma.github.io/Logging_1981/tillsyn/A 29017-2026 tillsynsbegäran.docx", "A 29017-2026")</f>
        <v/>
      </c>
      <c r="Y50">
        <f>HYPERLINK("https://klasma.github.io/Logging_1981/tillsynsmail/A 29017-2026 tillsynsbegäran mail.docx", "A 29017-2026")</f>
        <v/>
      </c>
    </row>
    <row r="51" ht="15" customHeight="1">
      <c r="A51" t="inlineStr">
        <is>
          <t>A 1500-2022</t>
        </is>
      </c>
      <c r="B51" s="1" t="n">
        <v>44573</v>
      </c>
      <c r="C51" s="1" t="n">
        <v>46203</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15102-2025</t>
        </is>
      </c>
      <c r="B52" s="1" t="n">
        <v>45744</v>
      </c>
      <c r="C52" s="1" t="n">
        <v>46203</v>
      </c>
      <c r="D52" t="inlineStr">
        <is>
          <t>VÄSTMANLANDS LÄN</t>
        </is>
      </c>
      <c r="E52" t="inlineStr">
        <is>
          <t>SALA</t>
        </is>
      </c>
      <c r="F52" t="inlineStr">
        <is>
          <t>Sveaskog</t>
        </is>
      </c>
      <c r="G52" t="n">
        <v>4.2</v>
      </c>
      <c r="H52" t="n">
        <v>2</v>
      </c>
      <c r="I52" t="n">
        <v>0</v>
      </c>
      <c r="J52" t="n">
        <v>0</v>
      </c>
      <c r="K52" t="n">
        <v>0</v>
      </c>
      <c r="L52" t="n">
        <v>0</v>
      </c>
      <c r="M52" t="n">
        <v>0</v>
      </c>
      <c r="N52" t="n">
        <v>0</v>
      </c>
      <c r="O52" t="n">
        <v>0</v>
      </c>
      <c r="P52" t="n">
        <v>0</v>
      </c>
      <c r="Q52" t="n">
        <v>2</v>
      </c>
      <c r="R52" s="2" t="inlineStr">
        <is>
          <t>Spillkråka
Grönsiska</t>
        </is>
      </c>
      <c r="S52">
        <f>HYPERLINK("https://klasma.github.io/Logging_1981/artfynd/A 15102-2025 artfynd.xlsx", "A 15102-2025")</f>
        <v/>
      </c>
      <c r="T52">
        <f>HYPERLINK("https://klasma.github.io/Logging_1981/kartor/A 15102-2025 karta.png", "A 15102-2025")</f>
        <v/>
      </c>
      <c r="V52">
        <f>HYPERLINK("https://klasma.github.io/Logging_1981/klagomål/A 15102-2025 FSC-klagomål.docx", "A 15102-2025")</f>
        <v/>
      </c>
      <c r="W52">
        <f>HYPERLINK("https://klasma.github.io/Logging_1981/klagomålsmail/A 15102-2025 FSC-klagomål mail.docx", "A 15102-2025")</f>
        <v/>
      </c>
      <c r="X52">
        <f>HYPERLINK("https://klasma.github.io/Logging_1981/tillsyn/A 15102-2025 tillsynsbegäran.docx", "A 15102-2025")</f>
        <v/>
      </c>
      <c r="Y52">
        <f>HYPERLINK("https://klasma.github.io/Logging_1981/tillsynsmail/A 15102-2025 tillsynsbegäran mail.docx", "A 15102-2025")</f>
        <v/>
      </c>
      <c r="Z52">
        <f>HYPERLINK("https://klasma.github.io/Logging_1981/fåglar/A 15102-2025 prioriterade fågelarter.docx", "A 15102-2025")</f>
        <v/>
      </c>
    </row>
    <row r="53" ht="15" customHeight="1">
      <c r="A53" t="inlineStr">
        <is>
          <t>A 37624-2024</t>
        </is>
      </c>
      <c r="B53" s="1" t="n">
        <v>45541</v>
      </c>
      <c r="C53" s="1" t="n">
        <v>46203</v>
      </c>
      <c r="D53" t="inlineStr">
        <is>
          <t>VÄSTMANLANDS LÄN</t>
        </is>
      </c>
      <c r="E53" t="inlineStr">
        <is>
          <t>SALA</t>
        </is>
      </c>
      <c r="G53" t="n">
        <v>0.7</v>
      </c>
      <c r="H53" t="n">
        <v>0</v>
      </c>
      <c r="I53" t="n">
        <v>2</v>
      </c>
      <c r="J53" t="n">
        <v>0</v>
      </c>
      <c r="K53" t="n">
        <v>0</v>
      </c>
      <c r="L53" t="n">
        <v>0</v>
      </c>
      <c r="M53" t="n">
        <v>0</v>
      </c>
      <c r="N53" t="n">
        <v>0</v>
      </c>
      <c r="O53" t="n">
        <v>0</v>
      </c>
      <c r="P53" t="n">
        <v>0</v>
      </c>
      <c r="Q53" t="n">
        <v>2</v>
      </c>
      <c r="R53" s="2" t="inlineStr">
        <is>
          <t>Barkticka
Vedticka</t>
        </is>
      </c>
      <c r="S53">
        <f>HYPERLINK("https://klasma.github.io/Logging_1981/artfynd/A 37624-2024 artfynd.xlsx", "A 37624-2024")</f>
        <v/>
      </c>
      <c r="T53">
        <f>HYPERLINK("https://klasma.github.io/Logging_1981/kartor/A 37624-2024 karta.png", "A 37624-2024")</f>
        <v/>
      </c>
      <c r="V53">
        <f>HYPERLINK("https://klasma.github.io/Logging_1981/klagomål/A 37624-2024 FSC-klagomål.docx", "A 37624-2024")</f>
        <v/>
      </c>
      <c r="W53">
        <f>HYPERLINK("https://klasma.github.io/Logging_1981/klagomålsmail/A 37624-2024 FSC-klagomål mail.docx", "A 37624-2024")</f>
        <v/>
      </c>
      <c r="X53">
        <f>HYPERLINK("https://klasma.github.io/Logging_1981/tillsyn/A 37624-2024 tillsynsbegäran.docx", "A 37624-2024")</f>
        <v/>
      </c>
      <c r="Y53">
        <f>HYPERLINK("https://klasma.github.io/Logging_1981/tillsynsmail/A 37624-2024 tillsynsbegäran mail.docx", "A 37624-2024")</f>
        <v/>
      </c>
    </row>
    <row r="54" ht="15" customHeight="1">
      <c r="A54" t="inlineStr">
        <is>
          <t>A 6351-2023</t>
        </is>
      </c>
      <c r="B54" s="1" t="n">
        <v>44965</v>
      </c>
      <c r="C54" s="1" t="n">
        <v>46203</v>
      </c>
      <c r="D54" t="inlineStr">
        <is>
          <t>VÄSTMANLANDS LÄN</t>
        </is>
      </c>
      <c r="E54" t="inlineStr">
        <is>
          <t>SALA</t>
        </is>
      </c>
      <c r="F54" t="inlineStr">
        <is>
          <t>Kommuner</t>
        </is>
      </c>
      <c r="G54" t="n">
        <v>8.800000000000001</v>
      </c>
      <c r="H54" t="n">
        <v>2</v>
      </c>
      <c r="I54" t="n">
        <v>0</v>
      </c>
      <c r="J54" t="n">
        <v>0</v>
      </c>
      <c r="K54" t="n">
        <v>0</v>
      </c>
      <c r="L54" t="n">
        <v>0</v>
      </c>
      <c r="M54" t="n">
        <v>0</v>
      </c>
      <c r="N54" t="n">
        <v>0</v>
      </c>
      <c r="O54" t="n">
        <v>0</v>
      </c>
      <c r="P54" t="n">
        <v>0</v>
      </c>
      <c r="Q54" t="n">
        <v>2</v>
      </c>
      <c r="R54" s="2" t="inlineStr">
        <is>
          <t>Havsörn
Skogsödla</t>
        </is>
      </c>
      <c r="S54">
        <f>HYPERLINK("https://klasma.github.io/Logging_1981/artfynd/A 6351-2023 artfynd.xlsx", "A 6351-2023")</f>
        <v/>
      </c>
      <c r="T54">
        <f>HYPERLINK("https://klasma.github.io/Logging_1981/kartor/A 6351-2023 karta.png", "A 6351-2023")</f>
        <v/>
      </c>
      <c r="V54">
        <f>HYPERLINK("https://klasma.github.io/Logging_1981/klagomål/A 6351-2023 FSC-klagomål.docx", "A 6351-2023")</f>
        <v/>
      </c>
      <c r="W54">
        <f>HYPERLINK("https://klasma.github.io/Logging_1981/klagomålsmail/A 6351-2023 FSC-klagomål mail.docx", "A 6351-2023")</f>
        <v/>
      </c>
      <c r="X54">
        <f>HYPERLINK("https://klasma.github.io/Logging_1981/tillsyn/A 6351-2023 tillsynsbegäran.docx", "A 6351-2023")</f>
        <v/>
      </c>
      <c r="Y54">
        <f>HYPERLINK("https://klasma.github.io/Logging_1981/tillsynsmail/A 6351-2023 tillsynsbegäran mail.docx", "A 6351-2023")</f>
        <v/>
      </c>
      <c r="Z54">
        <f>HYPERLINK("https://klasma.github.io/Logging_1981/fåglar/A 6351-2023 prioriterade fågelarter.docx", "A 6351-2023")</f>
        <v/>
      </c>
    </row>
    <row r="55" ht="15" customHeight="1">
      <c r="A55" t="inlineStr">
        <is>
          <t>A 18431-2023</t>
        </is>
      </c>
      <c r="B55" s="1" t="n">
        <v>45042</v>
      </c>
      <c r="C55" s="1" t="n">
        <v>46203</v>
      </c>
      <c r="D55" t="inlineStr">
        <is>
          <t>VÄSTMANLANDS LÄN</t>
        </is>
      </c>
      <c r="E55" t="inlineStr">
        <is>
          <t>SALA</t>
        </is>
      </c>
      <c r="G55" t="n">
        <v>1.9</v>
      </c>
      <c r="H55" t="n">
        <v>0</v>
      </c>
      <c r="I55" t="n">
        <v>1</v>
      </c>
      <c r="J55" t="n">
        <v>1</v>
      </c>
      <c r="K55" t="n">
        <v>0</v>
      </c>
      <c r="L55" t="n">
        <v>0</v>
      </c>
      <c r="M55" t="n">
        <v>0</v>
      </c>
      <c r="N55" t="n">
        <v>0</v>
      </c>
      <c r="O55" t="n">
        <v>1</v>
      </c>
      <c r="P55" t="n">
        <v>0</v>
      </c>
      <c r="Q55" t="n">
        <v>2</v>
      </c>
      <c r="R55" s="2" t="inlineStr">
        <is>
          <t>Scharlakansvaxing
Blodvaxing</t>
        </is>
      </c>
      <c r="S55">
        <f>HYPERLINK("https://klasma.github.io/Logging_1981/artfynd/A 18431-2023 artfynd.xlsx", "A 18431-2023")</f>
        <v/>
      </c>
      <c r="T55">
        <f>HYPERLINK("https://klasma.github.io/Logging_1981/kartor/A 18431-2023 karta.png", "A 18431-2023")</f>
        <v/>
      </c>
      <c r="V55">
        <f>HYPERLINK("https://klasma.github.io/Logging_1981/klagomål/A 18431-2023 FSC-klagomål.docx", "A 18431-2023")</f>
        <v/>
      </c>
      <c r="W55">
        <f>HYPERLINK("https://klasma.github.io/Logging_1981/klagomålsmail/A 18431-2023 FSC-klagomål mail.docx", "A 18431-2023")</f>
        <v/>
      </c>
      <c r="X55">
        <f>HYPERLINK("https://klasma.github.io/Logging_1981/tillsyn/A 18431-2023 tillsynsbegäran.docx", "A 18431-2023")</f>
        <v/>
      </c>
      <c r="Y55">
        <f>HYPERLINK("https://klasma.github.io/Logging_1981/tillsynsmail/A 18431-2023 tillsynsbegäran mail.docx", "A 18431-2023")</f>
        <v/>
      </c>
    </row>
    <row r="56" ht="15" customHeight="1">
      <c r="A56" t="inlineStr">
        <is>
          <t>A 53432-2022</t>
        </is>
      </c>
      <c r="B56" s="1" t="n">
        <v>44879</v>
      </c>
      <c r="C56" s="1" t="n">
        <v>46203</v>
      </c>
      <c r="D56" t="inlineStr">
        <is>
          <t>VÄSTMANLANDS LÄN</t>
        </is>
      </c>
      <c r="E56" t="inlineStr">
        <is>
          <t>SALA</t>
        </is>
      </c>
      <c r="G56" t="n">
        <v>1</v>
      </c>
      <c r="H56" t="n">
        <v>0</v>
      </c>
      <c r="I56" t="n">
        <v>1</v>
      </c>
      <c r="J56" t="n">
        <v>0</v>
      </c>
      <c r="K56" t="n">
        <v>0</v>
      </c>
      <c r="L56" t="n">
        <v>0</v>
      </c>
      <c r="M56" t="n">
        <v>0</v>
      </c>
      <c r="N56" t="n">
        <v>0</v>
      </c>
      <c r="O56" t="n">
        <v>0</v>
      </c>
      <c r="P56" t="n">
        <v>0</v>
      </c>
      <c r="Q56" t="n">
        <v>1</v>
      </c>
      <c r="R56" s="2" t="inlineStr">
        <is>
          <t>Hässleklocka</t>
        </is>
      </c>
      <c r="S56">
        <f>HYPERLINK("https://klasma.github.io/Logging_1981/artfynd/A 53432-2022 artfynd.xlsx", "A 53432-2022")</f>
        <v/>
      </c>
      <c r="T56">
        <f>HYPERLINK("https://klasma.github.io/Logging_1981/kartor/A 53432-2022 karta.png", "A 53432-2022")</f>
        <v/>
      </c>
      <c r="V56">
        <f>HYPERLINK("https://klasma.github.io/Logging_1981/klagomål/A 53432-2022 FSC-klagomål.docx", "A 53432-2022")</f>
        <v/>
      </c>
      <c r="W56">
        <f>HYPERLINK("https://klasma.github.io/Logging_1981/klagomålsmail/A 53432-2022 FSC-klagomål mail.docx", "A 53432-2022")</f>
        <v/>
      </c>
      <c r="X56">
        <f>HYPERLINK("https://klasma.github.io/Logging_1981/tillsyn/A 53432-2022 tillsynsbegäran.docx", "A 53432-2022")</f>
        <v/>
      </c>
      <c r="Y56">
        <f>HYPERLINK("https://klasma.github.io/Logging_1981/tillsynsmail/A 53432-2022 tillsynsbegäran mail.docx", "A 53432-2022")</f>
        <v/>
      </c>
    </row>
    <row r="57" ht="15" customHeight="1">
      <c r="A57" t="inlineStr">
        <is>
          <t>A 44970-2021</t>
        </is>
      </c>
      <c r="B57" s="1" t="n">
        <v>44438</v>
      </c>
      <c r="C57" s="1" t="n">
        <v>46203</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Revlummer</t>
        </is>
      </c>
      <c r="S57">
        <f>HYPERLINK("https://klasma.github.io/Logging_1981/artfynd/A 44970-2021 artfynd.xlsx", "A 44970-2021")</f>
        <v/>
      </c>
      <c r="T57">
        <f>HYPERLINK("https://klasma.github.io/Logging_1981/kartor/A 44970-2021 karta.png", "A 44970-2021")</f>
        <v/>
      </c>
      <c r="V57">
        <f>HYPERLINK("https://klasma.github.io/Logging_1981/klagomål/A 44970-2021 FSC-klagomål.docx", "A 44970-2021")</f>
        <v/>
      </c>
      <c r="W57">
        <f>HYPERLINK("https://klasma.github.io/Logging_1981/klagomålsmail/A 44970-2021 FSC-klagomål mail.docx", "A 44970-2021")</f>
        <v/>
      </c>
      <c r="X57">
        <f>HYPERLINK("https://klasma.github.io/Logging_1981/tillsyn/A 44970-2021 tillsynsbegäran.docx", "A 44970-2021")</f>
        <v/>
      </c>
      <c r="Y57">
        <f>HYPERLINK("https://klasma.github.io/Logging_1981/tillsynsmail/A 44970-2021 tillsynsbegäran mail.docx", "A 44970-2021")</f>
        <v/>
      </c>
    </row>
    <row r="58" ht="15" customHeight="1">
      <c r="A58" t="inlineStr">
        <is>
          <t>A 47701-2021</t>
        </is>
      </c>
      <c r="B58" s="1" t="n">
        <v>44448</v>
      </c>
      <c r="C58" s="1" t="n">
        <v>46203</v>
      </c>
      <c r="D58" t="inlineStr">
        <is>
          <t>VÄSTMANLANDS LÄN</t>
        </is>
      </c>
      <c r="E58" t="inlineStr">
        <is>
          <t>SALA</t>
        </is>
      </c>
      <c r="G58" t="n">
        <v>2.3</v>
      </c>
      <c r="H58" t="n">
        <v>1</v>
      </c>
      <c r="I58" t="n">
        <v>0</v>
      </c>
      <c r="J58" t="n">
        <v>0</v>
      </c>
      <c r="K58" t="n">
        <v>0</v>
      </c>
      <c r="L58" t="n">
        <v>0</v>
      </c>
      <c r="M58" t="n">
        <v>0</v>
      </c>
      <c r="N58" t="n">
        <v>0</v>
      </c>
      <c r="O58" t="n">
        <v>0</v>
      </c>
      <c r="P58" t="n">
        <v>0</v>
      </c>
      <c r="Q58" t="n">
        <v>1</v>
      </c>
      <c r="R58" s="2" t="inlineStr">
        <is>
          <t>Spillkråka</t>
        </is>
      </c>
      <c r="S58">
        <f>HYPERLINK("https://klasma.github.io/Logging_1981/artfynd/A 47701-2021 artfynd.xlsx", "A 47701-2021")</f>
        <v/>
      </c>
      <c r="T58">
        <f>HYPERLINK("https://klasma.github.io/Logging_1981/kartor/A 47701-2021 karta.png", "A 47701-2021")</f>
        <v/>
      </c>
      <c r="V58">
        <f>HYPERLINK("https://klasma.github.io/Logging_1981/klagomål/A 47701-2021 FSC-klagomål.docx", "A 47701-2021")</f>
        <v/>
      </c>
      <c r="W58">
        <f>HYPERLINK("https://klasma.github.io/Logging_1981/klagomålsmail/A 47701-2021 FSC-klagomål mail.docx", "A 47701-2021")</f>
        <v/>
      </c>
      <c r="X58">
        <f>HYPERLINK("https://klasma.github.io/Logging_1981/tillsyn/A 47701-2021 tillsynsbegäran.docx", "A 47701-2021")</f>
        <v/>
      </c>
      <c r="Y58">
        <f>HYPERLINK("https://klasma.github.io/Logging_1981/tillsynsmail/A 47701-2021 tillsynsbegäran mail.docx", "A 47701-2021")</f>
        <v/>
      </c>
      <c r="Z58">
        <f>HYPERLINK("https://klasma.github.io/Logging_1981/fåglar/A 47701-2021 prioriterade fågelarter.docx", "A 47701-2021")</f>
        <v/>
      </c>
    </row>
    <row r="59" ht="15" customHeight="1">
      <c r="A59" t="inlineStr">
        <is>
          <t>A 8130-2022</t>
        </is>
      </c>
      <c r="B59" s="1" t="n">
        <v>44609</v>
      </c>
      <c r="C59" s="1" t="n">
        <v>46203</v>
      </c>
      <c r="D59" t="inlineStr">
        <is>
          <t>VÄSTMANLANDS LÄN</t>
        </is>
      </c>
      <c r="E59" t="inlineStr">
        <is>
          <t>SALA</t>
        </is>
      </c>
      <c r="G59" t="n">
        <v>3.5</v>
      </c>
      <c r="H59" t="n">
        <v>0</v>
      </c>
      <c r="I59" t="n">
        <v>0</v>
      </c>
      <c r="J59" t="n">
        <v>1</v>
      </c>
      <c r="K59" t="n">
        <v>0</v>
      </c>
      <c r="L59" t="n">
        <v>0</v>
      </c>
      <c r="M59" t="n">
        <v>0</v>
      </c>
      <c r="N59" t="n">
        <v>0</v>
      </c>
      <c r="O59" t="n">
        <v>1</v>
      </c>
      <c r="P59" t="n">
        <v>0</v>
      </c>
      <c r="Q59" t="n">
        <v>1</v>
      </c>
      <c r="R59" s="2" t="inlineStr">
        <is>
          <t>Ullticka</t>
        </is>
      </c>
      <c r="S59">
        <f>HYPERLINK("https://klasma.github.io/Logging_1981/artfynd/A 8130-2022 artfynd.xlsx", "A 8130-2022")</f>
        <v/>
      </c>
      <c r="T59">
        <f>HYPERLINK("https://klasma.github.io/Logging_1981/kartor/A 8130-2022 karta.png", "A 8130-2022")</f>
        <v/>
      </c>
      <c r="V59">
        <f>HYPERLINK("https://klasma.github.io/Logging_1981/klagomål/A 8130-2022 FSC-klagomål.docx", "A 8130-2022")</f>
        <v/>
      </c>
      <c r="W59">
        <f>HYPERLINK("https://klasma.github.io/Logging_1981/klagomålsmail/A 8130-2022 FSC-klagomål mail.docx", "A 8130-2022")</f>
        <v/>
      </c>
      <c r="X59">
        <f>HYPERLINK("https://klasma.github.io/Logging_1981/tillsyn/A 8130-2022 tillsynsbegäran.docx", "A 8130-2022")</f>
        <v/>
      </c>
      <c r="Y59">
        <f>HYPERLINK("https://klasma.github.io/Logging_1981/tillsynsmail/A 8130-2022 tillsynsbegäran mail.docx", "A 8130-2022")</f>
        <v/>
      </c>
    </row>
    <row r="60" ht="15" customHeight="1">
      <c r="A60" t="inlineStr">
        <is>
          <t>A 43705-2022</t>
        </is>
      </c>
      <c r="B60" s="1" t="n">
        <v>44837</v>
      </c>
      <c r="C60" s="1" t="n">
        <v>46203</v>
      </c>
      <c r="D60" t="inlineStr">
        <is>
          <t>VÄSTMANLANDS LÄN</t>
        </is>
      </c>
      <c r="E60" t="inlineStr">
        <is>
          <t>SALA</t>
        </is>
      </c>
      <c r="G60" t="n">
        <v>2.9</v>
      </c>
      <c r="H60" t="n">
        <v>1</v>
      </c>
      <c r="I60" t="n">
        <v>0</v>
      </c>
      <c r="J60" t="n">
        <v>0</v>
      </c>
      <c r="K60" t="n">
        <v>1</v>
      </c>
      <c r="L60" t="n">
        <v>0</v>
      </c>
      <c r="M60" t="n">
        <v>0</v>
      </c>
      <c r="N60" t="n">
        <v>0</v>
      </c>
      <c r="O60" t="n">
        <v>1</v>
      </c>
      <c r="P60" t="n">
        <v>1</v>
      </c>
      <c r="Q60" t="n">
        <v>1</v>
      </c>
      <c r="R60" s="2" t="inlineStr">
        <is>
          <t>Knärot</t>
        </is>
      </c>
      <c r="S60">
        <f>HYPERLINK("https://klasma.github.io/Logging_1981/artfynd/A 43705-2022 artfynd.xlsx", "A 43705-2022")</f>
        <v/>
      </c>
      <c r="T60">
        <f>HYPERLINK("https://klasma.github.io/Logging_1981/kartor/A 43705-2022 karta.png", "A 43705-2022")</f>
        <v/>
      </c>
      <c r="U60">
        <f>HYPERLINK("https://klasma.github.io/Logging_1981/knärot/A 43705-2022 karta knärot.png", "A 43705-2022")</f>
        <v/>
      </c>
      <c r="V60">
        <f>HYPERLINK("https://klasma.github.io/Logging_1981/klagomål/A 43705-2022 FSC-klagomål.docx", "A 43705-2022")</f>
        <v/>
      </c>
      <c r="W60">
        <f>HYPERLINK("https://klasma.github.io/Logging_1981/klagomålsmail/A 43705-2022 FSC-klagomål mail.docx", "A 43705-2022")</f>
        <v/>
      </c>
      <c r="X60">
        <f>HYPERLINK("https://klasma.github.io/Logging_1981/tillsyn/A 43705-2022 tillsynsbegäran.docx", "A 43705-2022")</f>
        <v/>
      </c>
      <c r="Y60">
        <f>HYPERLINK("https://klasma.github.io/Logging_1981/tillsynsmail/A 43705-2022 tillsynsbegäran mail.docx", "A 43705-2022")</f>
        <v/>
      </c>
    </row>
    <row r="61" ht="15" customHeight="1">
      <c r="A61" t="inlineStr">
        <is>
          <t>A 11370-2022</t>
        </is>
      </c>
      <c r="B61" s="1" t="n">
        <v>44630</v>
      </c>
      <c r="C61" s="1" t="n">
        <v>46203</v>
      </c>
      <c r="D61" t="inlineStr">
        <is>
          <t>VÄSTMANLANDS LÄN</t>
        </is>
      </c>
      <c r="E61" t="inlineStr">
        <is>
          <t>SALA</t>
        </is>
      </c>
      <c r="G61" t="n">
        <v>4.3</v>
      </c>
      <c r="H61" t="n">
        <v>0</v>
      </c>
      <c r="I61" t="n">
        <v>0</v>
      </c>
      <c r="J61" t="n">
        <v>0</v>
      </c>
      <c r="K61" t="n">
        <v>0</v>
      </c>
      <c r="L61" t="n">
        <v>1</v>
      </c>
      <c r="M61" t="n">
        <v>0</v>
      </c>
      <c r="N61" t="n">
        <v>0</v>
      </c>
      <c r="O61" t="n">
        <v>1</v>
      </c>
      <c r="P61" t="n">
        <v>1</v>
      </c>
      <c r="Q61" t="n">
        <v>1</v>
      </c>
      <c r="R61" s="2" t="inlineStr">
        <is>
          <t>Skogsalm</t>
        </is>
      </c>
      <c r="S61">
        <f>HYPERLINK("https://klasma.github.io/Logging_1981/artfynd/A 11370-2022 artfynd.xlsx", "A 11370-2022")</f>
        <v/>
      </c>
      <c r="T61">
        <f>HYPERLINK("https://klasma.github.io/Logging_1981/kartor/A 11370-2022 karta.png", "A 11370-2022")</f>
        <v/>
      </c>
      <c r="V61">
        <f>HYPERLINK("https://klasma.github.io/Logging_1981/klagomål/A 11370-2022 FSC-klagomål.docx", "A 11370-2022")</f>
        <v/>
      </c>
      <c r="W61">
        <f>HYPERLINK("https://klasma.github.io/Logging_1981/klagomålsmail/A 11370-2022 FSC-klagomål mail.docx", "A 11370-2022")</f>
        <v/>
      </c>
      <c r="X61">
        <f>HYPERLINK("https://klasma.github.io/Logging_1981/tillsyn/A 11370-2022 tillsynsbegäran.docx", "A 11370-2022")</f>
        <v/>
      </c>
      <c r="Y61">
        <f>HYPERLINK("https://klasma.github.io/Logging_1981/tillsynsmail/A 11370-2022 tillsynsbegäran mail.docx", "A 11370-2022")</f>
        <v/>
      </c>
    </row>
    <row r="62" ht="15" customHeight="1">
      <c r="A62" t="inlineStr">
        <is>
          <t>A 40113-2022</t>
        </is>
      </c>
      <c r="B62" s="1" t="n">
        <v>44819</v>
      </c>
      <c r="C62" s="1" t="n">
        <v>46203</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55550-2023</t>
        </is>
      </c>
      <c r="B63" s="1" t="n">
        <v>45232</v>
      </c>
      <c r="C63" s="1" t="n">
        <v>46203</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38255-2025</t>
        </is>
      </c>
      <c r="B64" s="1" t="n">
        <v>45883</v>
      </c>
      <c r="C64" s="1" t="n">
        <v>46203</v>
      </c>
      <c r="D64" t="inlineStr">
        <is>
          <t>VÄSTMANLANDS LÄN</t>
        </is>
      </c>
      <c r="E64" t="inlineStr">
        <is>
          <t>SALA</t>
        </is>
      </c>
      <c r="G64" t="n">
        <v>0.9</v>
      </c>
      <c r="H64" t="n">
        <v>1</v>
      </c>
      <c r="I64" t="n">
        <v>0</v>
      </c>
      <c r="J64" t="n">
        <v>0</v>
      </c>
      <c r="K64" t="n">
        <v>1</v>
      </c>
      <c r="L64" t="n">
        <v>0</v>
      </c>
      <c r="M64" t="n">
        <v>0</v>
      </c>
      <c r="N64" t="n">
        <v>0</v>
      </c>
      <c r="O64" t="n">
        <v>1</v>
      </c>
      <c r="P64" t="n">
        <v>1</v>
      </c>
      <c r="Q64" t="n">
        <v>1</v>
      </c>
      <c r="R64" s="2" t="inlineStr">
        <is>
          <t>Knärot</t>
        </is>
      </c>
      <c r="S64">
        <f>HYPERLINK("https://klasma.github.io/Logging_1981/artfynd/A 38255-2025 artfynd.xlsx", "A 38255-2025")</f>
        <v/>
      </c>
      <c r="T64">
        <f>HYPERLINK("https://klasma.github.io/Logging_1981/kartor/A 38255-2025 karta.png", "A 38255-2025")</f>
        <v/>
      </c>
      <c r="U64">
        <f>HYPERLINK("https://klasma.github.io/Logging_1981/knärot/A 38255-2025 karta knärot.png", "A 38255-2025")</f>
        <v/>
      </c>
      <c r="V64">
        <f>HYPERLINK("https://klasma.github.io/Logging_1981/klagomål/A 38255-2025 FSC-klagomål.docx", "A 38255-2025")</f>
        <v/>
      </c>
      <c r="W64">
        <f>HYPERLINK("https://klasma.github.io/Logging_1981/klagomålsmail/A 38255-2025 FSC-klagomål mail.docx", "A 38255-2025")</f>
        <v/>
      </c>
      <c r="X64">
        <f>HYPERLINK("https://klasma.github.io/Logging_1981/tillsyn/A 38255-2025 tillsynsbegäran.docx", "A 38255-2025")</f>
        <v/>
      </c>
      <c r="Y64">
        <f>HYPERLINK("https://klasma.github.io/Logging_1981/tillsynsmail/A 38255-2025 tillsynsbegäran mail.docx", "A 38255-2025")</f>
        <v/>
      </c>
    </row>
    <row r="65" ht="15" customHeight="1">
      <c r="A65" t="inlineStr">
        <is>
          <t>A 50268-2025</t>
        </is>
      </c>
      <c r="B65" s="1" t="n">
        <v>45944</v>
      </c>
      <c r="C65" s="1" t="n">
        <v>46203</v>
      </c>
      <c r="D65" t="inlineStr">
        <is>
          <t>VÄSTMANLANDS LÄN</t>
        </is>
      </c>
      <c r="E65" t="inlineStr">
        <is>
          <t>SALA</t>
        </is>
      </c>
      <c r="G65" t="n">
        <v>0.7</v>
      </c>
      <c r="H65" t="n">
        <v>1</v>
      </c>
      <c r="I65" t="n">
        <v>0</v>
      </c>
      <c r="J65" t="n">
        <v>0</v>
      </c>
      <c r="K65" t="n">
        <v>0</v>
      </c>
      <c r="L65" t="n">
        <v>0</v>
      </c>
      <c r="M65" t="n">
        <v>0</v>
      </c>
      <c r="N65" t="n">
        <v>0</v>
      </c>
      <c r="O65" t="n">
        <v>0</v>
      </c>
      <c r="P65" t="n">
        <v>0</v>
      </c>
      <c r="Q65" t="n">
        <v>1</v>
      </c>
      <c r="R65" s="2" t="inlineStr">
        <is>
          <t>Fläcknycklar</t>
        </is>
      </c>
      <c r="S65">
        <f>HYPERLINK("https://klasma.github.io/Logging_1981/artfynd/A 50268-2025 artfynd.xlsx", "A 50268-2025")</f>
        <v/>
      </c>
      <c r="T65">
        <f>HYPERLINK("https://klasma.github.io/Logging_1981/kartor/A 50268-2025 karta.png", "A 50268-2025")</f>
        <v/>
      </c>
      <c r="V65">
        <f>HYPERLINK("https://klasma.github.io/Logging_1981/klagomål/A 50268-2025 FSC-klagomål.docx", "A 50268-2025")</f>
        <v/>
      </c>
      <c r="W65">
        <f>HYPERLINK("https://klasma.github.io/Logging_1981/klagomålsmail/A 50268-2025 FSC-klagomål mail.docx", "A 50268-2025")</f>
        <v/>
      </c>
      <c r="X65">
        <f>HYPERLINK("https://klasma.github.io/Logging_1981/tillsyn/A 50268-2025 tillsynsbegäran.docx", "A 50268-2025")</f>
        <v/>
      </c>
      <c r="Y65">
        <f>HYPERLINK("https://klasma.github.io/Logging_1981/tillsynsmail/A 50268-2025 tillsynsbegäran mail.docx", "A 50268-2025")</f>
        <v/>
      </c>
    </row>
    <row r="66" ht="15" customHeight="1">
      <c r="A66" t="inlineStr">
        <is>
          <t>A 50249-2025</t>
        </is>
      </c>
      <c r="B66" s="1" t="n">
        <v>45944</v>
      </c>
      <c r="C66" s="1" t="n">
        <v>46203</v>
      </c>
      <c r="D66" t="inlineStr">
        <is>
          <t>VÄSTMANLANDS LÄN</t>
        </is>
      </c>
      <c r="E66" t="inlineStr">
        <is>
          <t>SALA</t>
        </is>
      </c>
      <c r="G66" t="n">
        <v>2.3</v>
      </c>
      <c r="H66" t="n">
        <v>1</v>
      </c>
      <c r="I66" t="n">
        <v>0</v>
      </c>
      <c r="J66" t="n">
        <v>0</v>
      </c>
      <c r="K66" t="n">
        <v>0</v>
      </c>
      <c r="L66" t="n">
        <v>0</v>
      </c>
      <c r="M66" t="n">
        <v>0</v>
      </c>
      <c r="N66" t="n">
        <v>0</v>
      </c>
      <c r="O66" t="n">
        <v>0</v>
      </c>
      <c r="P66" t="n">
        <v>0</v>
      </c>
      <c r="Q66" t="n">
        <v>1</v>
      </c>
      <c r="R66" s="2" t="inlineStr">
        <is>
          <t>Revlummer</t>
        </is>
      </c>
      <c r="S66">
        <f>HYPERLINK("https://klasma.github.io/Logging_1981/artfynd/A 50249-2025 artfynd.xlsx", "A 50249-2025")</f>
        <v/>
      </c>
      <c r="T66">
        <f>HYPERLINK("https://klasma.github.io/Logging_1981/kartor/A 50249-2025 karta.png", "A 50249-2025")</f>
        <v/>
      </c>
      <c r="V66">
        <f>HYPERLINK("https://klasma.github.io/Logging_1981/klagomål/A 50249-2025 FSC-klagomål.docx", "A 50249-2025")</f>
        <v/>
      </c>
      <c r="W66">
        <f>HYPERLINK("https://klasma.github.io/Logging_1981/klagomålsmail/A 50249-2025 FSC-klagomål mail.docx", "A 50249-2025")</f>
        <v/>
      </c>
      <c r="X66">
        <f>HYPERLINK("https://klasma.github.io/Logging_1981/tillsyn/A 50249-2025 tillsynsbegäran.docx", "A 50249-2025")</f>
        <v/>
      </c>
      <c r="Y66">
        <f>HYPERLINK("https://klasma.github.io/Logging_1981/tillsynsmail/A 50249-2025 tillsynsbegäran mail.docx", "A 50249-2025")</f>
        <v/>
      </c>
    </row>
    <row r="67" ht="15" customHeight="1">
      <c r="A67" t="inlineStr">
        <is>
          <t>A 53052-2025</t>
        </is>
      </c>
      <c r="B67" s="1" t="n">
        <v>45958</v>
      </c>
      <c r="C67" s="1" t="n">
        <v>46203</v>
      </c>
      <c r="D67" t="inlineStr">
        <is>
          <t>VÄSTMANLANDS LÄN</t>
        </is>
      </c>
      <c r="E67" t="inlineStr">
        <is>
          <t>SALA</t>
        </is>
      </c>
      <c r="F67" t="inlineStr">
        <is>
          <t>Sveaskog</t>
        </is>
      </c>
      <c r="G67" t="n">
        <v>1.1</v>
      </c>
      <c r="H67" t="n">
        <v>0</v>
      </c>
      <c r="I67" t="n">
        <v>0</v>
      </c>
      <c r="J67" t="n">
        <v>1</v>
      </c>
      <c r="K67" t="n">
        <v>0</v>
      </c>
      <c r="L67" t="n">
        <v>0</v>
      </c>
      <c r="M67" t="n">
        <v>0</v>
      </c>
      <c r="N67" t="n">
        <v>0</v>
      </c>
      <c r="O67" t="n">
        <v>1</v>
      </c>
      <c r="P67" t="n">
        <v>0</v>
      </c>
      <c r="Q67" t="n">
        <v>1</v>
      </c>
      <c r="R67" s="2" t="inlineStr">
        <is>
          <t>Motaggsvamp</t>
        </is>
      </c>
      <c r="S67">
        <f>HYPERLINK("https://klasma.github.io/Logging_1981/artfynd/A 53052-2025 artfynd.xlsx", "A 53052-2025")</f>
        <v/>
      </c>
      <c r="T67">
        <f>HYPERLINK("https://klasma.github.io/Logging_1981/kartor/A 53052-2025 karta.png", "A 53052-2025")</f>
        <v/>
      </c>
      <c r="V67">
        <f>HYPERLINK("https://klasma.github.io/Logging_1981/klagomål/A 53052-2025 FSC-klagomål.docx", "A 53052-2025")</f>
        <v/>
      </c>
      <c r="W67">
        <f>HYPERLINK("https://klasma.github.io/Logging_1981/klagomålsmail/A 53052-2025 FSC-klagomål mail.docx", "A 53052-2025")</f>
        <v/>
      </c>
      <c r="X67">
        <f>HYPERLINK("https://klasma.github.io/Logging_1981/tillsyn/A 53052-2025 tillsynsbegäran.docx", "A 53052-2025")</f>
        <v/>
      </c>
      <c r="Y67">
        <f>HYPERLINK("https://klasma.github.io/Logging_1981/tillsynsmail/A 53052-2025 tillsynsbegäran mail.docx", "A 53052-2025")</f>
        <v/>
      </c>
    </row>
    <row r="68" ht="15" customHeight="1">
      <c r="A68" t="inlineStr">
        <is>
          <t>A 24910-2025</t>
        </is>
      </c>
      <c r="B68" s="1" t="n">
        <v>45799</v>
      </c>
      <c r="C68" s="1" t="n">
        <v>46203</v>
      </c>
      <c r="D68" t="inlineStr">
        <is>
          <t>VÄSTMANLANDS LÄN</t>
        </is>
      </c>
      <c r="E68" t="inlineStr">
        <is>
          <t>SALA</t>
        </is>
      </c>
      <c r="G68" t="n">
        <v>3.5</v>
      </c>
      <c r="H68" t="n">
        <v>0</v>
      </c>
      <c r="I68" t="n">
        <v>0</v>
      </c>
      <c r="J68" t="n">
        <v>1</v>
      </c>
      <c r="K68" t="n">
        <v>0</v>
      </c>
      <c r="L68" t="n">
        <v>0</v>
      </c>
      <c r="M68" t="n">
        <v>0</v>
      </c>
      <c r="N68" t="n">
        <v>0</v>
      </c>
      <c r="O68" t="n">
        <v>1</v>
      </c>
      <c r="P68" t="n">
        <v>0</v>
      </c>
      <c r="Q68" t="n">
        <v>1</v>
      </c>
      <c r="R68" s="2" t="inlineStr">
        <is>
          <t>Motaggsvamp</t>
        </is>
      </c>
      <c r="S68">
        <f>HYPERLINK("https://klasma.github.io/Logging_1981/artfynd/A 24910-2025 artfynd.xlsx", "A 24910-2025")</f>
        <v/>
      </c>
      <c r="T68">
        <f>HYPERLINK("https://klasma.github.io/Logging_1981/kartor/A 24910-2025 karta.png", "A 24910-2025")</f>
        <v/>
      </c>
      <c r="V68">
        <f>HYPERLINK("https://klasma.github.io/Logging_1981/klagomål/A 24910-2025 FSC-klagomål.docx", "A 24910-2025")</f>
        <v/>
      </c>
      <c r="W68">
        <f>HYPERLINK("https://klasma.github.io/Logging_1981/klagomålsmail/A 24910-2025 FSC-klagomål mail.docx", "A 24910-2025")</f>
        <v/>
      </c>
      <c r="X68">
        <f>HYPERLINK("https://klasma.github.io/Logging_1981/tillsyn/A 24910-2025 tillsynsbegäran.docx", "A 24910-2025")</f>
        <v/>
      </c>
      <c r="Y68">
        <f>HYPERLINK("https://klasma.github.io/Logging_1981/tillsynsmail/A 24910-2025 tillsynsbegäran mail.docx", "A 24910-2025")</f>
        <v/>
      </c>
    </row>
    <row r="69" ht="15" customHeight="1">
      <c r="A69" t="inlineStr">
        <is>
          <t>A 10909-2024</t>
        </is>
      </c>
      <c r="B69" s="1" t="n">
        <v>45370</v>
      </c>
      <c r="C69" s="1" t="n">
        <v>46203</v>
      </c>
      <c r="D69" t="inlineStr">
        <is>
          <t>VÄSTMANLANDS LÄN</t>
        </is>
      </c>
      <c r="E69" t="inlineStr">
        <is>
          <t>SALA</t>
        </is>
      </c>
      <c r="G69" t="n">
        <v>3.3</v>
      </c>
      <c r="H69" t="n">
        <v>1</v>
      </c>
      <c r="I69" t="n">
        <v>0</v>
      </c>
      <c r="J69" t="n">
        <v>0</v>
      </c>
      <c r="K69" t="n">
        <v>0</v>
      </c>
      <c r="L69" t="n">
        <v>1</v>
      </c>
      <c r="M69" t="n">
        <v>0</v>
      </c>
      <c r="N69" t="n">
        <v>0</v>
      </c>
      <c r="O69" t="n">
        <v>1</v>
      </c>
      <c r="P69" t="n">
        <v>1</v>
      </c>
      <c r="Q69" t="n">
        <v>1</v>
      </c>
      <c r="R69" s="2" t="inlineStr">
        <is>
          <t>Mosippa</t>
        </is>
      </c>
      <c r="S69">
        <f>HYPERLINK("https://klasma.github.io/Logging_1981/artfynd/A 10909-2024 artfynd.xlsx", "A 10909-2024")</f>
        <v/>
      </c>
      <c r="T69">
        <f>HYPERLINK("https://klasma.github.io/Logging_1981/kartor/A 10909-2024 karta.png", "A 10909-2024")</f>
        <v/>
      </c>
      <c r="V69">
        <f>HYPERLINK("https://klasma.github.io/Logging_1981/klagomål/A 10909-2024 FSC-klagomål.docx", "A 10909-2024")</f>
        <v/>
      </c>
      <c r="W69">
        <f>HYPERLINK("https://klasma.github.io/Logging_1981/klagomålsmail/A 10909-2024 FSC-klagomål mail.docx", "A 10909-2024")</f>
        <v/>
      </c>
      <c r="X69">
        <f>HYPERLINK("https://klasma.github.io/Logging_1981/tillsyn/A 10909-2024 tillsynsbegäran.docx", "A 10909-2024")</f>
        <v/>
      </c>
      <c r="Y69">
        <f>HYPERLINK("https://klasma.github.io/Logging_1981/tillsynsmail/A 10909-2024 tillsynsbegäran mail.docx", "A 10909-2024")</f>
        <v/>
      </c>
    </row>
    <row r="70" ht="15" customHeight="1">
      <c r="A70" t="inlineStr">
        <is>
          <t>A 43175-2023</t>
        </is>
      </c>
      <c r="B70" s="1" t="n">
        <v>45183</v>
      </c>
      <c r="C70" s="1" t="n">
        <v>46203</v>
      </c>
      <c r="D70" t="inlineStr">
        <is>
          <t>VÄSTMANLANDS LÄN</t>
        </is>
      </c>
      <c r="E70" t="inlineStr">
        <is>
          <t>SALA</t>
        </is>
      </c>
      <c r="G70" t="n">
        <v>5.6</v>
      </c>
      <c r="H70" t="n">
        <v>0</v>
      </c>
      <c r="I70" t="n">
        <v>1</v>
      </c>
      <c r="J70" t="n">
        <v>0</v>
      </c>
      <c r="K70" t="n">
        <v>0</v>
      </c>
      <c r="L70" t="n">
        <v>0</v>
      </c>
      <c r="M70" t="n">
        <v>0</v>
      </c>
      <c r="N70" t="n">
        <v>0</v>
      </c>
      <c r="O70" t="n">
        <v>0</v>
      </c>
      <c r="P70" t="n">
        <v>0</v>
      </c>
      <c r="Q70" t="n">
        <v>1</v>
      </c>
      <c r="R70" s="2" t="inlineStr">
        <is>
          <t>Grönpyrola</t>
        </is>
      </c>
      <c r="S70">
        <f>HYPERLINK("https://klasma.github.io/Logging_1981/artfynd/A 43175-2023 artfynd.xlsx", "A 43175-2023")</f>
        <v/>
      </c>
      <c r="T70">
        <f>HYPERLINK("https://klasma.github.io/Logging_1981/kartor/A 43175-2023 karta.png", "A 43175-2023")</f>
        <v/>
      </c>
      <c r="V70">
        <f>HYPERLINK("https://klasma.github.io/Logging_1981/klagomål/A 43175-2023 FSC-klagomål.docx", "A 43175-2023")</f>
        <v/>
      </c>
      <c r="W70">
        <f>HYPERLINK("https://klasma.github.io/Logging_1981/klagomålsmail/A 43175-2023 FSC-klagomål mail.docx", "A 43175-2023")</f>
        <v/>
      </c>
      <c r="X70">
        <f>HYPERLINK("https://klasma.github.io/Logging_1981/tillsyn/A 43175-2023 tillsynsbegäran.docx", "A 43175-2023")</f>
        <v/>
      </c>
      <c r="Y70">
        <f>HYPERLINK("https://klasma.github.io/Logging_1981/tillsynsmail/A 43175-2023 tillsynsbegäran mail.docx", "A 43175-2023")</f>
        <v/>
      </c>
    </row>
    <row r="71" ht="15" customHeight="1">
      <c r="A71" t="inlineStr">
        <is>
          <t>A 37593-2025</t>
        </is>
      </c>
      <c r="B71" s="1" t="n">
        <v>45880</v>
      </c>
      <c r="C71" s="1" t="n">
        <v>46203</v>
      </c>
      <c r="D71" t="inlineStr">
        <is>
          <t>VÄSTMANLANDS LÄN</t>
        </is>
      </c>
      <c r="E71" t="inlineStr">
        <is>
          <t>SALA</t>
        </is>
      </c>
      <c r="G71" t="n">
        <v>1.4</v>
      </c>
      <c r="H71" t="n">
        <v>1</v>
      </c>
      <c r="I71" t="n">
        <v>0</v>
      </c>
      <c r="J71" t="n">
        <v>0</v>
      </c>
      <c r="K71" t="n">
        <v>0</v>
      </c>
      <c r="L71" t="n">
        <v>0</v>
      </c>
      <c r="M71" t="n">
        <v>0</v>
      </c>
      <c r="N71" t="n">
        <v>0</v>
      </c>
      <c r="O71" t="n">
        <v>0</v>
      </c>
      <c r="P71" t="n">
        <v>0</v>
      </c>
      <c r="Q71" t="n">
        <v>1</v>
      </c>
      <c r="R71" s="2" t="inlineStr">
        <is>
          <t>Fläcknycklar</t>
        </is>
      </c>
      <c r="S71">
        <f>HYPERLINK("https://klasma.github.io/Logging_1981/artfynd/A 37593-2025 artfynd.xlsx", "A 37593-2025")</f>
        <v/>
      </c>
      <c r="T71">
        <f>HYPERLINK("https://klasma.github.io/Logging_1981/kartor/A 37593-2025 karta.png", "A 37593-2025")</f>
        <v/>
      </c>
      <c r="V71">
        <f>HYPERLINK("https://klasma.github.io/Logging_1981/klagomål/A 37593-2025 FSC-klagomål.docx", "A 37593-2025")</f>
        <v/>
      </c>
      <c r="W71">
        <f>HYPERLINK("https://klasma.github.io/Logging_1981/klagomålsmail/A 37593-2025 FSC-klagomål mail.docx", "A 37593-2025")</f>
        <v/>
      </c>
      <c r="X71">
        <f>HYPERLINK("https://klasma.github.io/Logging_1981/tillsyn/A 37593-2025 tillsynsbegäran.docx", "A 37593-2025")</f>
        <v/>
      </c>
      <c r="Y71">
        <f>HYPERLINK("https://klasma.github.io/Logging_1981/tillsynsmail/A 37593-2025 tillsynsbegäran mail.docx", "A 37593-2025")</f>
        <v/>
      </c>
    </row>
    <row r="72" ht="15" customHeight="1">
      <c r="A72" t="inlineStr">
        <is>
          <t>A 1196-2023</t>
        </is>
      </c>
      <c r="B72" s="1" t="n">
        <v>44935</v>
      </c>
      <c r="C72" s="1" t="n">
        <v>46203</v>
      </c>
      <c r="D72" t="inlineStr">
        <is>
          <t>VÄSTMANLANDS LÄN</t>
        </is>
      </c>
      <c r="E72" t="inlineStr">
        <is>
          <t>SALA</t>
        </is>
      </c>
      <c r="G72" t="n">
        <v>4.1</v>
      </c>
      <c r="H72" t="n">
        <v>0</v>
      </c>
      <c r="I72" t="n">
        <v>1</v>
      </c>
      <c r="J72" t="n">
        <v>0</v>
      </c>
      <c r="K72" t="n">
        <v>0</v>
      </c>
      <c r="L72" t="n">
        <v>0</v>
      </c>
      <c r="M72" t="n">
        <v>0</v>
      </c>
      <c r="N72" t="n">
        <v>0</v>
      </c>
      <c r="O72" t="n">
        <v>0</v>
      </c>
      <c r="P72" t="n">
        <v>0</v>
      </c>
      <c r="Q72" t="n">
        <v>1</v>
      </c>
      <c r="R72" s="2" t="inlineStr">
        <is>
          <t>Guldlockmossa</t>
        </is>
      </c>
      <c r="S72">
        <f>HYPERLINK("https://klasma.github.io/Logging_1981/artfynd/A 1196-2023 artfynd.xlsx", "A 1196-2023")</f>
        <v/>
      </c>
      <c r="T72">
        <f>HYPERLINK("https://klasma.github.io/Logging_1981/kartor/A 1196-2023 karta.png", "A 1196-2023")</f>
        <v/>
      </c>
      <c r="V72">
        <f>HYPERLINK("https://klasma.github.io/Logging_1981/klagomål/A 1196-2023 FSC-klagomål.docx", "A 1196-2023")</f>
        <v/>
      </c>
      <c r="W72">
        <f>HYPERLINK("https://klasma.github.io/Logging_1981/klagomålsmail/A 1196-2023 FSC-klagomål mail.docx", "A 1196-2023")</f>
        <v/>
      </c>
      <c r="X72">
        <f>HYPERLINK("https://klasma.github.io/Logging_1981/tillsyn/A 1196-2023 tillsynsbegäran.docx", "A 1196-2023")</f>
        <v/>
      </c>
      <c r="Y72">
        <f>HYPERLINK("https://klasma.github.io/Logging_1981/tillsynsmail/A 1196-2023 tillsynsbegäran mail.docx", "A 1196-2023")</f>
        <v/>
      </c>
    </row>
    <row r="73" ht="15" customHeight="1">
      <c r="A73" t="inlineStr">
        <is>
          <t>A 43176-2023</t>
        </is>
      </c>
      <c r="B73" s="1" t="n">
        <v>45183</v>
      </c>
      <c r="C73" s="1" t="n">
        <v>46203</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Mattlummer</t>
        </is>
      </c>
      <c r="S73">
        <f>HYPERLINK("https://klasma.github.io/Logging_1981/artfynd/A 43176-2023 artfynd.xlsx", "A 43176-2023")</f>
        <v/>
      </c>
      <c r="T73">
        <f>HYPERLINK("https://klasma.github.io/Logging_1981/kartor/A 43176-2023 karta.png", "A 43176-2023")</f>
        <v/>
      </c>
      <c r="V73">
        <f>HYPERLINK("https://klasma.github.io/Logging_1981/klagomål/A 43176-2023 FSC-klagomål.docx", "A 43176-2023")</f>
        <v/>
      </c>
      <c r="W73">
        <f>HYPERLINK("https://klasma.github.io/Logging_1981/klagomålsmail/A 43176-2023 FSC-klagomål mail.docx", "A 43176-2023")</f>
        <v/>
      </c>
      <c r="X73">
        <f>HYPERLINK("https://klasma.github.io/Logging_1981/tillsyn/A 43176-2023 tillsynsbegäran.docx", "A 43176-2023")</f>
        <v/>
      </c>
      <c r="Y73">
        <f>HYPERLINK("https://klasma.github.io/Logging_1981/tillsynsmail/A 43176-2023 tillsynsbegäran mail.docx", "A 43176-2023")</f>
        <v/>
      </c>
    </row>
    <row r="74" ht="15" customHeight="1">
      <c r="A74" t="inlineStr">
        <is>
          <t>A 7672-2026</t>
        </is>
      </c>
      <c r="B74" s="1" t="n">
        <v>46062</v>
      </c>
      <c r="C74" s="1" t="n">
        <v>46203</v>
      </c>
      <c r="D74" t="inlineStr">
        <is>
          <t>VÄSTMANLANDS LÄN</t>
        </is>
      </c>
      <c r="E74" t="inlineStr">
        <is>
          <t>SALA</t>
        </is>
      </c>
      <c r="G74" t="n">
        <v>2.9</v>
      </c>
      <c r="H74" t="n">
        <v>1</v>
      </c>
      <c r="I74" t="n">
        <v>0</v>
      </c>
      <c r="J74" t="n">
        <v>0</v>
      </c>
      <c r="K74" t="n">
        <v>0</v>
      </c>
      <c r="L74" t="n">
        <v>0</v>
      </c>
      <c r="M74" t="n">
        <v>0</v>
      </c>
      <c r="N74" t="n">
        <v>0</v>
      </c>
      <c r="O74" t="n">
        <v>0</v>
      </c>
      <c r="P74" t="n">
        <v>0</v>
      </c>
      <c r="Q74" t="n">
        <v>1</v>
      </c>
      <c r="R74" s="2" t="inlineStr">
        <is>
          <t>Nattviol</t>
        </is>
      </c>
      <c r="S74">
        <f>HYPERLINK("https://klasma.github.io/Logging_1981/artfynd/A 7672-2026 artfynd.xlsx", "A 7672-2026")</f>
        <v/>
      </c>
      <c r="T74">
        <f>HYPERLINK("https://klasma.github.io/Logging_1981/kartor/A 7672-2026 karta.png", "A 7672-2026")</f>
        <v/>
      </c>
      <c r="V74">
        <f>HYPERLINK("https://klasma.github.io/Logging_1981/klagomål/A 7672-2026 FSC-klagomål.docx", "A 7672-2026")</f>
        <v/>
      </c>
      <c r="W74">
        <f>HYPERLINK("https://klasma.github.io/Logging_1981/klagomålsmail/A 7672-2026 FSC-klagomål mail.docx", "A 7672-2026")</f>
        <v/>
      </c>
      <c r="X74">
        <f>HYPERLINK("https://klasma.github.io/Logging_1981/tillsyn/A 7672-2026 tillsynsbegäran.docx", "A 7672-2026")</f>
        <v/>
      </c>
      <c r="Y74">
        <f>HYPERLINK("https://klasma.github.io/Logging_1981/tillsynsmail/A 7672-2026 tillsynsbegäran mail.docx", "A 7672-2026")</f>
        <v/>
      </c>
    </row>
    <row r="75" ht="15" customHeight="1">
      <c r="A75" t="inlineStr">
        <is>
          <t>A 7661-2026</t>
        </is>
      </c>
      <c r="B75" s="1" t="n">
        <v>46062</v>
      </c>
      <c r="C75" s="1" t="n">
        <v>46203</v>
      </c>
      <c r="D75" t="inlineStr">
        <is>
          <t>VÄSTMANLANDS LÄN</t>
        </is>
      </c>
      <c r="E75" t="inlineStr">
        <is>
          <t>SALA</t>
        </is>
      </c>
      <c r="G75" t="n">
        <v>1.3</v>
      </c>
      <c r="H75" t="n">
        <v>0</v>
      </c>
      <c r="I75" t="n">
        <v>0</v>
      </c>
      <c r="J75" t="n">
        <v>1</v>
      </c>
      <c r="K75" t="n">
        <v>0</v>
      </c>
      <c r="L75" t="n">
        <v>0</v>
      </c>
      <c r="M75" t="n">
        <v>0</v>
      </c>
      <c r="N75" t="n">
        <v>0</v>
      </c>
      <c r="O75" t="n">
        <v>1</v>
      </c>
      <c r="P75" t="n">
        <v>0</v>
      </c>
      <c r="Q75" t="n">
        <v>1</v>
      </c>
      <c r="R75" s="2" t="inlineStr">
        <is>
          <t>Vedtrappmossa</t>
        </is>
      </c>
      <c r="S75">
        <f>HYPERLINK("https://klasma.github.io/Logging_1981/artfynd/A 7661-2026 artfynd.xlsx", "A 7661-2026")</f>
        <v/>
      </c>
      <c r="T75">
        <f>HYPERLINK("https://klasma.github.io/Logging_1981/kartor/A 7661-2026 karta.png", "A 7661-2026")</f>
        <v/>
      </c>
      <c r="V75">
        <f>HYPERLINK("https://klasma.github.io/Logging_1981/klagomål/A 7661-2026 FSC-klagomål.docx", "A 7661-2026")</f>
        <v/>
      </c>
      <c r="W75">
        <f>HYPERLINK("https://klasma.github.io/Logging_1981/klagomålsmail/A 7661-2026 FSC-klagomål mail.docx", "A 7661-2026")</f>
        <v/>
      </c>
      <c r="X75">
        <f>HYPERLINK("https://klasma.github.io/Logging_1981/tillsyn/A 7661-2026 tillsynsbegäran.docx", "A 7661-2026")</f>
        <v/>
      </c>
      <c r="Y75">
        <f>HYPERLINK("https://klasma.github.io/Logging_1981/tillsynsmail/A 7661-2026 tillsynsbegäran mail.docx", "A 7661-2026")</f>
        <v/>
      </c>
    </row>
    <row r="76" ht="15" customHeight="1">
      <c r="A76" t="inlineStr">
        <is>
          <t>A 14481-2026</t>
        </is>
      </c>
      <c r="B76" s="1" t="n">
        <v>46100</v>
      </c>
      <c r="C76" s="1" t="n">
        <v>46203</v>
      </c>
      <c r="D76" t="inlineStr">
        <is>
          <t>VÄSTMANLANDS LÄN</t>
        </is>
      </c>
      <c r="E76" t="inlineStr">
        <is>
          <t>SALA</t>
        </is>
      </c>
      <c r="F76" t="inlineStr">
        <is>
          <t>Sveaskog</t>
        </is>
      </c>
      <c r="G76" t="n">
        <v>0.9</v>
      </c>
      <c r="H76" t="n">
        <v>1</v>
      </c>
      <c r="I76" t="n">
        <v>0</v>
      </c>
      <c r="J76" t="n">
        <v>0</v>
      </c>
      <c r="K76" t="n">
        <v>0</v>
      </c>
      <c r="L76" t="n">
        <v>0</v>
      </c>
      <c r="M76" t="n">
        <v>0</v>
      </c>
      <c r="N76" t="n">
        <v>0</v>
      </c>
      <c r="O76" t="n">
        <v>0</v>
      </c>
      <c r="P76" t="n">
        <v>0</v>
      </c>
      <c r="Q76" t="n">
        <v>1</v>
      </c>
      <c r="R76" s="2" t="inlineStr">
        <is>
          <t>Tjäder</t>
        </is>
      </c>
      <c r="S76">
        <f>HYPERLINK("https://klasma.github.io/Logging_1981/artfynd/A 14481-2026 artfynd.xlsx", "A 14481-2026")</f>
        <v/>
      </c>
      <c r="T76">
        <f>HYPERLINK("https://klasma.github.io/Logging_1981/kartor/A 14481-2026 karta.png", "A 14481-2026")</f>
        <v/>
      </c>
      <c r="V76">
        <f>HYPERLINK("https://klasma.github.io/Logging_1981/klagomål/A 14481-2026 FSC-klagomål.docx", "A 14481-2026")</f>
        <v/>
      </c>
      <c r="W76">
        <f>HYPERLINK("https://klasma.github.io/Logging_1981/klagomålsmail/A 14481-2026 FSC-klagomål mail.docx", "A 14481-2026")</f>
        <v/>
      </c>
      <c r="X76">
        <f>HYPERLINK("https://klasma.github.io/Logging_1981/tillsyn/A 14481-2026 tillsynsbegäran.docx", "A 14481-2026")</f>
        <v/>
      </c>
      <c r="Y76">
        <f>HYPERLINK("https://klasma.github.io/Logging_1981/tillsynsmail/A 14481-2026 tillsynsbegäran mail.docx", "A 14481-2026")</f>
        <v/>
      </c>
      <c r="Z76">
        <f>HYPERLINK("https://klasma.github.io/Logging_1981/fåglar/A 14481-2026 prioriterade fågelarter.docx", "A 14481-2026")</f>
        <v/>
      </c>
    </row>
    <row r="77" ht="15" customHeight="1">
      <c r="A77" t="inlineStr">
        <is>
          <t>A 14488-2026</t>
        </is>
      </c>
      <c r="B77" s="1" t="n">
        <v>46100</v>
      </c>
      <c r="C77" s="1" t="n">
        <v>46203</v>
      </c>
      <c r="D77" t="inlineStr">
        <is>
          <t>VÄSTMANLANDS LÄN</t>
        </is>
      </c>
      <c r="E77" t="inlineStr">
        <is>
          <t>SALA</t>
        </is>
      </c>
      <c r="F77" t="inlineStr">
        <is>
          <t>Sveaskog</t>
        </is>
      </c>
      <c r="G77" t="n">
        <v>1.5</v>
      </c>
      <c r="H77" t="n">
        <v>1</v>
      </c>
      <c r="I77" t="n">
        <v>0</v>
      </c>
      <c r="J77" t="n">
        <v>0</v>
      </c>
      <c r="K77" t="n">
        <v>0</v>
      </c>
      <c r="L77" t="n">
        <v>0</v>
      </c>
      <c r="M77" t="n">
        <v>0</v>
      </c>
      <c r="N77" t="n">
        <v>0</v>
      </c>
      <c r="O77" t="n">
        <v>0</v>
      </c>
      <c r="P77" t="n">
        <v>0</v>
      </c>
      <c r="Q77" t="n">
        <v>1</v>
      </c>
      <c r="R77" s="2" t="inlineStr">
        <is>
          <t>Mattlummer</t>
        </is>
      </c>
      <c r="S77">
        <f>HYPERLINK("https://klasma.github.io/Logging_1981/artfynd/A 14488-2026 artfynd.xlsx", "A 14488-2026")</f>
        <v/>
      </c>
      <c r="T77">
        <f>HYPERLINK("https://klasma.github.io/Logging_1981/kartor/A 14488-2026 karta.png", "A 14488-2026")</f>
        <v/>
      </c>
      <c r="V77">
        <f>HYPERLINK("https://klasma.github.io/Logging_1981/klagomål/A 14488-2026 FSC-klagomål.docx", "A 14488-2026")</f>
        <v/>
      </c>
      <c r="W77">
        <f>HYPERLINK("https://klasma.github.io/Logging_1981/klagomålsmail/A 14488-2026 FSC-klagomål mail.docx", "A 14488-2026")</f>
        <v/>
      </c>
      <c r="X77">
        <f>HYPERLINK("https://klasma.github.io/Logging_1981/tillsyn/A 14488-2026 tillsynsbegäran.docx", "A 14488-2026")</f>
        <v/>
      </c>
      <c r="Y77">
        <f>HYPERLINK("https://klasma.github.io/Logging_1981/tillsynsmail/A 14488-2026 tillsynsbegäran mail.docx", "A 14488-2026")</f>
        <v/>
      </c>
    </row>
    <row r="78" ht="15" customHeight="1">
      <c r="A78" t="inlineStr">
        <is>
          <t>A 14487-2026</t>
        </is>
      </c>
      <c r="B78" s="1" t="n">
        <v>46100</v>
      </c>
      <c r="C78" s="1" t="n">
        <v>46203</v>
      </c>
      <c r="D78" t="inlineStr">
        <is>
          <t>VÄSTMANLANDS LÄN</t>
        </is>
      </c>
      <c r="E78" t="inlineStr">
        <is>
          <t>SALA</t>
        </is>
      </c>
      <c r="F78" t="inlineStr">
        <is>
          <t>Sveaskog</t>
        </is>
      </c>
      <c r="G78" t="n">
        <v>6.7</v>
      </c>
      <c r="H78" t="n">
        <v>0</v>
      </c>
      <c r="I78" t="n">
        <v>0</v>
      </c>
      <c r="J78" t="n">
        <v>1</v>
      </c>
      <c r="K78" t="n">
        <v>0</v>
      </c>
      <c r="L78" t="n">
        <v>0</v>
      </c>
      <c r="M78" t="n">
        <v>0</v>
      </c>
      <c r="N78" t="n">
        <v>0</v>
      </c>
      <c r="O78" t="n">
        <v>1</v>
      </c>
      <c r="P78" t="n">
        <v>0</v>
      </c>
      <c r="Q78" t="n">
        <v>1</v>
      </c>
      <c r="R78" s="2" t="inlineStr">
        <is>
          <t>Motaggsvamp</t>
        </is>
      </c>
      <c r="S78">
        <f>HYPERLINK("https://klasma.github.io/Logging_1981/artfynd/A 14487-2026 artfynd.xlsx", "A 14487-2026")</f>
        <v/>
      </c>
      <c r="T78">
        <f>HYPERLINK("https://klasma.github.io/Logging_1981/kartor/A 14487-2026 karta.png", "A 14487-2026")</f>
        <v/>
      </c>
      <c r="V78">
        <f>HYPERLINK("https://klasma.github.io/Logging_1981/klagomål/A 14487-2026 FSC-klagomål.docx", "A 14487-2026")</f>
        <v/>
      </c>
      <c r="W78">
        <f>HYPERLINK("https://klasma.github.io/Logging_1981/klagomålsmail/A 14487-2026 FSC-klagomål mail.docx", "A 14487-2026")</f>
        <v/>
      </c>
      <c r="X78">
        <f>HYPERLINK("https://klasma.github.io/Logging_1981/tillsyn/A 14487-2026 tillsynsbegäran.docx", "A 14487-2026")</f>
        <v/>
      </c>
      <c r="Y78">
        <f>HYPERLINK("https://klasma.github.io/Logging_1981/tillsynsmail/A 14487-2026 tillsynsbegäran mail.docx", "A 14487-2026")</f>
        <v/>
      </c>
    </row>
    <row r="79" ht="15" customHeight="1">
      <c r="A79" t="inlineStr">
        <is>
          <t>A 3810-2023</t>
        </is>
      </c>
      <c r="B79" s="1" t="n">
        <v>44951</v>
      </c>
      <c r="C79" s="1" t="n">
        <v>46203</v>
      </c>
      <c r="D79" t="inlineStr">
        <is>
          <t>VÄSTMANLANDS LÄN</t>
        </is>
      </c>
      <c r="E79" t="inlineStr">
        <is>
          <t>SALA</t>
        </is>
      </c>
      <c r="G79" t="n">
        <v>4.2</v>
      </c>
      <c r="H79" t="n">
        <v>0</v>
      </c>
      <c r="I79" t="n">
        <v>0</v>
      </c>
      <c r="J79" t="n">
        <v>0</v>
      </c>
      <c r="K79" t="n">
        <v>0</v>
      </c>
      <c r="L79" t="n">
        <v>0</v>
      </c>
      <c r="M79" t="n">
        <v>0</v>
      </c>
      <c r="N79" t="n">
        <v>0</v>
      </c>
      <c r="O79" t="n">
        <v>0</v>
      </c>
      <c r="P79" t="n">
        <v>0</v>
      </c>
      <c r="Q79" t="n">
        <v>1</v>
      </c>
      <c r="R79" s="2" t="inlineStr">
        <is>
          <t>Kärrviol</t>
        </is>
      </c>
      <c r="S79">
        <f>HYPERLINK("https://klasma.github.io/Logging_1981/artfynd/A 3810-2023 artfynd.xlsx", "A 3810-2023")</f>
        <v/>
      </c>
      <c r="T79">
        <f>HYPERLINK("https://klasma.github.io/Logging_1981/kartor/A 3810-2023 karta.png", "A 3810-2023")</f>
        <v/>
      </c>
      <c r="V79">
        <f>HYPERLINK("https://klasma.github.io/Logging_1981/klagomål/A 3810-2023 FSC-klagomål.docx", "A 3810-2023")</f>
        <v/>
      </c>
      <c r="W79">
        <f>HYPERLINK("https://klasma.github.io/Logging_1981/klagomålsmail/A 3810-2023 FSC-klagomål mail.docx", "A 3810-2023")</f>
        <v/>
      </c>
      <c r="X79">
        <f>HYPERLINK("https://klasma.github.io/Logging_1981/tillsyn/A 3810-2023 tillsynsbegäran.docx", "A 3810-2023")</f>
        <v/>
      </c>
      <c r="Y79">
        <f>HYPERLINK("https://klasma.github.io/Logging_1981/tillsynsmail/A 3810-2023 tillsynsbegäran mail.docx", "A 3810-2023")</f>
        <v/>
      </c>
    </row>
    <row r="80" ht="15" customHeight="1">
      <c r="A80" t="inlineStr">
        <is>
          <t>A 16693-2023</t>
        </is>
      </c>
      <c r="B80" s="1" t="n">
        <v>45028</v>
      </c>
      <c r="C80" s="1" t="n">
        <v>46203</v>
      </c>
      <c r="D80" t="inlineStr">
        <is>
          <t>VÄSTMANLANDS LÄN</t>
        </is>
      </c>
      <c r="E80" t="inlineStr">
        <is>
          <t>SALA</t>
        </is>
      </c>
      <c r="G80" t="n">
        <v>1.5</v>
      </c>
      <c r="H80" t="n">
        <v>0</v>
      </c>
      <c r="I80" t="n">
        <v>1</v>
      </c>
      <c r="J80" t="n">
        <v>0</v>
      </c>
      <c r="K80" t="n">
        <v>0</v>
      </c>
      <c r="L80" t="n">
        <v>0</v>
      </c>
      <c r="M80" t="n">
        <v>0</v>
      </c>
      <c r="N80" t="n">
        <v>0</v>
      </c>
      <c r="O80" t="n">
        <v>0</v>
      </c>
      <c r="P80" t="n">
        <v>0</v>
      </c>
      <c r="Q80" t="n">
        <v>1</v>
      </c>
      <c r="R80" s="2" t="inlineStr">
        <is>
          <t>Skinnlav</t>
        </is>
      </c>
      <c r="S80">
        <f>HYPERLINK("https://klasma.github.io/Logging_1981/artfynd/A 16693-2023 artfynd.xlsx", "A 16693-2023")</f>
        <v/>
      </c>
      <c r="T80">
        <f>HYPERLINK("https://klasma.github.io/Logging_1981/kartor/A 16693-2023 karta.png", "A 16693-2023")</f>
        <v/>
      </c>
      <c r="V80">
        <f>HYPERLINK("https://klasma.github.io/Logging_1981/klagomål/A 16693-2023 FSC-klagomål.docx", "A 16693-2023")</f>
        <v/>
      </c>
      <c r="W80">
        <f>HYPERLINK("https://klasma.github.io/Logging_1981/klagomålsmail/A 16693-2023 FSC-klagomål mail.docx", "A 16693-2023")</f>
        <v/>
      </c>
      <c r="X80">
        <f>HYPERLINK("https://klasma.github.io/Logging_1981/tillsyn/A 16693-2023 tillsynsbegäran.docx", "A 16693-2023")</f>
        <v/>
      </c>
      <c r="Y80">
        <f>HYPERLINK("https://klasma.github.io/Logging_1981/tillsynsmail/A 16693-2023 tillsynsbegäran mail.docx", "A 16693-2023")</f>
        <v/>
      </c>
    </row>
    <row r="81" ht="15" customHeight="1">
      <c r="A81" t="inlineStr">
        <is>
          <t>A 23224-2023</t>
        </is>
      </c>
      <c r="B81" s="1" t="n">
        <v>45075</v>
      </c>
      <c r="C81" s="1" t="n">
        <v>46203</v>
      </c>
      <c r="D81" t="inlineStr">
        <is>
          <t>VÄSTMANLANDS LÄN</t>
        </is>
      </c>
      <c r="E81" t="inlineStr">
        <is>
          <t>SALA</t>
        </is>
      </c>
      <c r="G81" t="n">
        <v>0.8</v>
      </c>
      <c r="H81" t="n">
        <v>1</v>
      </c>
      <c r="I81" t="n">
        <v>0</v>
      </c>
      <c r="J81" t="n">
        <v>0</v>
      </c>
      <c r="K81" t="n">
        <v>0</v>
      </c>
      <c r="L81" t="n">
        <v>0</v>
      </c>
      <c r="M81" t="n">
        <v>0</v>
      </c>
      <c r="N81" t="n">
        <v>0</v>
      </c>
      <c r="O81" t="n">
        <v>0</v>
      </c>
      <c r="P81" t="n">
        <v>0</v>
      </c>
      <c r="Q81" t="n">
        <v>1</v>
      </c>
      <c r="R81" s="2" t="inlineStr">
        <is>
          <t>Mindre vattensalamander</t>
        </is>
      </c>
      <c r="S81">
        <f>HYPERLINK("https://klasma.github.io/Logging_1981/artfynd/A 23224-2023 artfynd.xlsx", "A 23224-2023")</f>
        <v/>
      </c>
      <c r="T81">
        <f>HYPERLINK("https://klasma.github.io/Logging_1981/kartor/A 23224-2023 karta.png", "A 23224-2023")</f>
        <v/>
      </c>
      <c r="V81">
        <f>HYPERLINK("https://klasma.github.io/Logging_1981/klagomål/A 23224-2023 FSC-klagomål.docx", "A 23224-2023")</f>
        <v/>
      </c>
      <c r="W81">
        <f>HYPERLINK("https://klasma.github.io/Logging_1981/klagomålsmail/A 23224-2023 FSC-klagomål mail.docx", "A 23224-2023")</f>
        <v/>
      </c>
      <c r="X81">
        <f>HYPERLINK("https://klasma.github.io/Logging_1981/tillsyn/A 23224-2023 tillsynsbegäran.docx", "A 23224-2023")</f>
        <v/>
      </c>
      <c r="Y81">
        <f>HYPERLINK("https://klasma.github.io/Logging_1981/tillsynsmail/A 23224-2023 tillsynsbegäran mail.docx", "A 23224-2023")</f>
        <v/>
      </c>
    </row>
    <row r="82" ht="15" customHeight="1">
      <c r="A82" t="inlineStr">
        <is>
          <t>A 28328-2026</t>
        </is>
      </c>
      <c r="B82" s="1" t="n">
        <v>46196</v>
      </c>
      <c r="C82" s="1" t="n">
        <v>46203</v>
      </c>
      <c r="D82" t="inlineStr">
        <is>
          <t>VÄSTMANLANDS LÄN</t>
        </is>
      </c>
      <c r="E82" t="inlineStr">
        <is>
          <t>SALA</t>
        </is>
      </c>
      <c r="F82" t="inlineStr">
        <is>
          <t>Kommuner</t>
        </is>
      </c>
      <c r="G82" t="n">
        <v>5.2</v>
      </c>
      <c r="H82" t="n">
        <v>0</v>
      </c>
      <c r="I82" t="n">
        <v>1</v>
      </c>
      <c r="J82" t="n">
        <v>0</v>
      </c>
      <c r="K82" t="n">
        <v>0</v>
      </c>
      <c r="L82" t="n">
        <v>0</v>
      </c>
      <c r="M82" t="n">
        <v>0</v>
      </c>
      <c r="N82" t="n">
        <v>0</v>
      </c>
      <c r="O82" t="n">
        <v>0</v>
      </c>
      <c r="P82" t="n">
        <v>0</v>
      </c>
      <c r="Q82" t="n">
        <v>1</v>
      </c>
      <c r="R82" s="2" t="inlineStr">
        <is>
          <t>Guldlockmossa</t>
        </is>
      </c>
      <c r="S82">
        <f>HYPERLINK("https://klasma.github.io/Logging_1981/artfynd/A 28328-2026 artfynd.xlsx", "A 28328-2026")</f>
        <v/>
      </c>
      <c r="T82">
        <f>HYPERLINK("https://klasma.github.io/Logging_1981/kartor/A 28328-2026 karta.png", "A 28328-2026")</f>
        <v/>
      </c>
      <c r="V82">
        <f>HYPERLINK("https://klasma.github.io/Logging_1981/klagomål/A 28328-2026 FSC-klagomål.docx", "A 28328-2026")</f>
        <v/>
      </c>
      <c r="W82">
        <f>HYPERLINK("https://klasma.github.io/Logging_1981/klagomålsmail/A 28328-2026 FSC-klagomål mail.docx", "A 28328-2026")</f>
        <v/>
      </c>
      <c r="X82">
        <f>HYPERLINK("https://klasma.github.io/Logging_1981/tillsyn/A 28328-2026 tillsynsbegäran.docx", "A 28328-2026")</f>
        <v/>
      </c>
      <c r="Y82">
        <f>HYPERLINK("https://klasma.github.io/Logging_1981/tillsynsmail/A 28328-2026 tillsynsbegäran mail.docx", "A 28328-2026")</f>
        <v/>
      </c>
    </row>
    <row r="83" ht="15" customHeight="1">
      <c r="A83" t="inlineStr">
        <is>
          <t>A 14775-2023</t>
        </is>
      </c>
      <c r="B83" s="1" t="n">
        <v>45014</v>
      </c>
      <c r="C83" s="1" t="n">
        <v>46203</v>
      </c>
      <c r="D83" t="inlineStr">
        <is>
          <t>VÄSTMANLANDS LÄN</t>
        </is>
      </c>
      <c r="E83" t="inlineStr">
        <is>
          <t>SALA</t>
        </is>
      </c>
      <c r="G83" t="n">
        <v>1.3</v>
      </c>
      <c r="H83" t="n">
        <v>1</v>
      </c>
      <c r="I83" t="n">
        <v>0</v>
      </c>
      <c r="J83" t="n">
        <v>0</v>
      </c>
      <c r="K83" t="n">
        <v>1</v>
      </c>
      <c r="L83" t="n">
        <v>0</v>
      </c>
      <c r="M83" t="n">
        <v>0</v>
      </c>
      <c r="N83" t="n">
        <v>0</v>
      </c>
      <c r="O83" t="n">
        <v>1</v>
      </c>
      <c r="P83" t="n">
        <v>1</v>
      </c>
      <c r="Q83" t="n">
        <v>1</v>
      </c>
      <c r="R83" s="2" t="inlineStr">
        <is>
          <t>Knärot</t>
        </is>
      </c>
      <c r="S83">
        <f>HYPERLINK("https://klasma.github.io/Logging_1981/artfynd/A 14775-2023 artfynd.xlsx", "A 14775-2023")</f>
        <v/>
      </c>
      <c r="T83">
        <f>HYPERLINK("https://klasma.github.io/Logging_1981/kartor/A 14775-2023 karta.png", "A 14775-2023")</f>
        <v/>
      </c>
      <c r="U83">
        <f>HYPERLINK("https://klasma.github.io/Logging_1981/knärot/A 14775-2023 karta knärot.png", "A 14775-2023")</f>
        <v/>
      </c>
      <c r="V83">
        <f>HYPERLINK("https://klasma.github.io/Logging_1981/klagomål/A 14775-2023 FSC-klagomål.docx", "A 14775-2023")</f>
        <v/>
      </c>
      <c r="W83">
        <f>HYPERLINK("https://klasma.github.io/Logging_1981/klagomålsmail/A 14775-2023 FSC-klagomål mail.docx", "A 14775-2023")</f>
        <v/>
      </c>
      <c r="X83">
        <f>HYPERLINK("https://klasma.github.io/Logging_1981/tillsyn/A 14775-2023 tillsynsbegäran.docx", "A 14775-2023")</f>
        <v/>
      </c>
      <c r="Y83">
        <f>HYPERLINK("https://klasma.github.io/Logging_1981/tillsynsmail/A 14775-2023 tillsynsbegäran mail.docx", "A 14775-2023")</f>
        <v/>
      </c>
    </row>
    <row r="84" ht="15" customHeight="1">
      <c r="A84" t="inlineStr">
        <is>
          <t>A 26369-2026</t>
        </is>
      </c>
      <c r="B84" s="1" t="n">
        <v>46182</v>
      </c>
      <c r="C84" s="1" t="n">
        <v>46203</v>
      </c>
      <c r="D84" t="inlineStr">
        <is>
          <t>VÄSTMANLANDS LÄN</t>
        </is>
      </c>
      <c r="E84" t="inlineStr">
        <is>
          <t>SALA</t>
        </is>
      </c>
      <c r="G84" t="n">
        <v>5.7</v>
      </c>
      <c r="H84" t="n">
        <v>1</v>
      </c>
      <c r="I84" t="n">
        <v>0</v>
      </c>
      <c r="J84" t="n">
        <v>0</v>
      </c>
      <c r="K84" t="n">
        <v>0</v>
      </c>
      <c r="L84" t="n">
        <v>0</v>
      </c>
      <c r="M84" t="n">
        <v>0</v>
      </c>
      <c r="N84" t="n">
        <v>0</v>
      </c>
      <c r="O84" t="n">
        <v>0</v>
      </c>
      <c r="P84" t="n">
        <v>0</v>
      </c>
      <c r="Q84" t="n">
        <v>1</v>
      </c>
      <c r="R84" s="2" t="inlineStr">
        <is>
          <t>Fläcknycklar</t>
        </is>
      </c>
      <c r="S84">
        <f>HYPERLINK("https://klasma.github.io/Logging_1981/artfynd/A 26369-2026 artfynd.xlsx", "A 26369-2026")</f>
        <v/>
      </c>
      <c r="T84">
        <f>HYPERLINK("https://klasma.github.io/Logging_1981/kartor/A 26369-2026 karta.png", "A 26369-2026")</f>
        <v/>
      </c>
      <c r="V84">
        <f>HYPERLINK("https://klasma.github.io/Logging_1981/klagomål/A 26369-2026 FSC-klagomål.docx", "A 26369-2026")</f>
        <v/>
      </c>
      <c r="W84">
        <f>HYPERLINK("https://klasma.github.io/Logging_1981/klagomålsmail/A 26369-2026 FSC-klagomål mail.docx", "A 26369-2026")</f>
        <v/>
      </c>
      <c r="X84">
        <f>HYPERLINK("https://klasma.github.io/Logging_1981/tillsyn/A 26369-2026 tillsynsbegäran.docx", "A 26369-2026")</f>
        <v/>
      </c>
      <c r="Y84">
        <f>HYPERLINK("https://klasma.github.io/Logging_1981/tillsynsmail/A 26369-2026 tillsynsbegäran mail.docx", "A 26369-2026")</f>
        <v/>
      </c>
    </row>
    <row r="85" ht="15" customHeight="1">
      <c r="A85" t="inlineStr">
        <is>
          <t>A 41270-2024</t>
        </is>
      </c>
      <c r="B85" s="1" t="n">
        <v>45559</v>
      </c>
      <c r="C85" s="1" t="n">
        <v>46203</v>
      </c>
      <c r="D85" t="inlineStr">
        <is>
          <t>VÄSTMANLANDS LÄN</t>
        </is>
      </c>
      <c r="E85" t="inlineStr">
        <is>
          <t>SALA</t>
        </is>
      </c>
      <c r="G85" t="n">
        <v>15.2</v>
      </c>
      <c r="H85" t="n">
        <v>1</v>
      </c>
      <c r="I85" t="n">
        <v>0</v>
      </c>
      <c r="J85" t="n">
        <v>0</v>
      </c>
      <c r="K85" t="n">
        <v>0</v>
      </c>
      <c r="L85" t="n">
        <v>0</v>
      </c>
      <c r="M85" t="n">
        <v>0</v>
      </c>
      <c r="N85" t="n">
        <v>0</v>
      </c>
      <c r="O85" t="n">
        <v>0</v>
      </c>
      <c r="P85" t="n">
        <v>0</v>
      </c>
      <c r="Q85" t="n">
        <v>1</v>
      </c>
      <c r="R85" s="2" t="inlineStr">
        <is>
          <t>Havsörn</t>
        </is>
      </c>
      <c r="S85">
        <f>HYPERLINK("https://klasma.github.io/Logging_1981/artfynd/A 41270-2024 artfynd.xlsx", "A 41270-2024")</f>
        <v/>
      </c>
      <c r="T85">
        <f>HYPERLINK("https://klasma.github.io/Logging_1981/kartor/A 41270-2024 karta.png", "A 41270-2024")</f>
        <v/>
      </c>
      <c r="V85">
        <f>HYPERLINK("https://klasma.github.io/Logging_1981/klagomål/A 41270-2024 FSC-klagomål.docx", "A 41270-2024")</f>
        <v/>
      </c>
      <c r="W85">
        <f>HYPERLINK("https://klasma.github.io/Logging_1981/klagomålsmail/A 41270-2024 FSC-klagomål mail.docx", "A 41270-2024")</f>
        <v/>
      </c>
      <c r="X85">
        <f>HYPERLINK("https://klasma.github.io/Logging_1981/tillsyn/A 41270-2024 tillsynsbegäran.docx", "A 41270-2024")</f>
        <v/>
      </c>
      <c r="Y85">
        <f>HYPERLINK("https://klasma.github.io/Logging_1981/tillsynsmail/A 41270-2024 tillsynsbegäran mail.docx", "A 41270-2024")</f>
        <v/>
      </c>
      <c r="Z85">
        <f>HYPERLINK("https://klasma.github.io/Logging_1981/fåglar/A 41270-2024 prioriterade fågelarter.docx", "A 41270-2024")</f>
        <v/>
      </c>
    </row>
    <row r="86" ht="15" customHeight="1">
      <c r="A86" t="inlineStr">
        <is>
          <t>A 17120-2023</t>
        </is>
      </c>
      <c r="B86" s="1" t="n">
        <v>45034</v>
      </c>
      <c r="C86" s="1" t="n">
        <v>46203</v>
      </c>
      <c r="D86" t="inlineStr">
        <is>
          <t>VÄSTMANLANDS LÄN</t>
        </is>
      </c>
      <c r="E86" t="inlineStr">
        <is>
          <t>SALA</t>
        </is>
      </c>
      <c r="G86" t="n">
        <v>0.1</v>
      </c>
      <c r="H86" t="n">
        <v>0</v>
      </c>
      <c r="I86" t="n">
        <v>0</v>
      </c>
      <c r="J86" t="n">
        <v>1</v>
      </c>
      <c r="K86" t="n">
        <v>0</v>
      </c>
      <c r="L86" t="n">
        <v>0</v>
      </c>
      <c r="M86" t="n">
        <v>0</v>
      </c>
      <c r="N86" t="n">
        <v>0</v>
      </c>
      <c r="O86" t="n">
        <v>1</v>
      </c>
      <c r="P86" t="n">
        <v>0</v>
      </c>
      <c r="Q86" t="n">
        <v>1</v>
      </c>
      <c r="R86" s="2" t="inlineStr">
        <is>
          <t>Backtimjan</t>
        </is>
      </c>
      <c r="S86">
        <f>HYPERLINK("https://klasma.github.io/Logging_1981/artfynd/A 17120-2023 artfynd.xlsx", "A 17120-2023")</f>
        <v/>
      </c>
      <c r="T86">
        <f>HYPERLINK("https://klasma.github.io/Logging_1981/kartor/A 17120-2023 karta.png", "A 17120-2023")</f>
        <v/>
      </c>
      <c r="V86">
        <f>HYPERLINK("https://klasma.github.io/Logging_1981/klagomål/A 17120-2023 FSC-klagomål.docx", "A 17120-2023")</f>
        <v/>
      </c>
      <c r="W86">
        <f>HYPERLINK("https://klasma.github.io/Logging_1981/klagomålsmail/A 17120-2023 FSC-klagomål mail.docx", "A 17120-2023")</f>
        <v/>
      </c>
      <c r="X86">
        <f>HYPERLINK("https://klasma.github.io/Logging_1981/tillsyn/A 17120-2023 tillsynsbegäran.docx", "A 17120-2023")</f>
        <v/>
      </c>
      <c r="Y86">
        <f>HYPERLINK("https://klasma.github.io/Logging_1981/tillsynsmail/A 17120-2023 tillsynsbegäran mail.docx", "A 17120-2023")</f>
        <v/>
      </c>
    </row>
    <row r="87" ht="15" customHeight="1">
      <c r="A87" t="inlineStr">
        <is>
          <t>A 28661-2024</t>
        </is>
      </c>
      <c r="B87" s="1" t="n">
        <v>45478</v>
      </c>
      <c r="C87" s="1" t="n">
        <v>46203</v>
      </c>
      <c r="D87" t="inlineStr">
        <is>
          <t>VÄSTMANLANDS LÄN</t>
        </is>
      </c>
      <c r="E87" t="inlineStr">
        <is>
          <t>SALA</t>
        </is>
      </c>
      <c r="G87" t="n">
        <v>0.6</v>
      </c>
      <c r="H87" t="n">
        <v>0</v>
      </c>
      <c r="I87" t="n">
        <v>0</v>
      </c>
      <c r="J87" t="n">
        <v>1</v>
      </c>
      <c r="K87" t="n">
        <v>0</v>
      </c>
      <c r="L87" t="n">
        <v>0</v>
      </c>
      <c r="M87" t="n">
        <v>0</v>
      </c>
      <c r="N87" t="n">
        <v>0</v>
      </c>
      <c r="O87" t="n">
        <v>1</v>
      </c>
      <c r="P87" t="n">
        <v>0</v>
      </c>
      <c r="Q87" t="n">
        <v>1</v>
      </c>
      <c r="R87" s="2" t="inlineStr">
        <is>
          <t>Vedtrappmossa</t>
        </is>
      </c>
      <c r="S87">
        <f>HYPERLINK("https://klasma.github.io/Logging_1981/artfynd/A 28661-2024 artfynd.xlsx", "A 28661-2024")</f>
        <v/>
      </c>
      <c r="T87">
        <f>HYPERLINK("https://klasma.github.io/Logging_1981/kartor/A 28661-2024 karta.png", "A 28661-2024")</f>
        <v/>
      </c>
      <c r="V87">
        <f>HYPERLINK("https://klasma.github.io/Logging_1981/klagomål/A 28661-2024 FSC-klagomål.docx", "A 28661-2024")</f>
        <v/>
      </c>
      <c r="W87">
        <f>HYPERLINK("https://klasma.github.io/Logging_1981/klagomålsmail/A 28661-2024 FSC-klagomål mail.docx", "A 28661-2024")</f>
        <v/>
      </c>
      <c r="X87">
        <f>HYPERLINK("https://klasma.github.io/Logging_1981/tillsyn/A 28661-2024 tillsynsbegäran.docx", "A 28661-2024")</f>
        <v/>
      </c>
      <c r="Y87">
        <f>HYPERLINK("https://klasma.github.io/Logging_1981/tillsynsmail/A 28661-2024 tillsynsbegäran mail.docx", "A 28661-2024")</f>
        <v/>
      </c>
    </row>
    <row r="88" ht="15" customHeight="1">
      <c r="A88" t="inlineStr">
        <is>
          <t>A 29985-2022</t>
        </is>
      </c>
      <c r="B88" s="1" t="n">
        <v>44756</v>
      </c>
      <c r="C88" s="1" t="n">
        <v>46203</v>
      </c>
      <c r="D88" t="inlineStr">
        <is>
          <t>VÄSTMANLANDS LÄN</t>
        </is>
      </c>
      <c r="E88" t="inlineStr">
        <is>
          <t>SALA</t>
        </is>
      </c>
      <c r="F88" t="inlineStr">
        <is>
          <t>Kommuner</t>
        </is>
      </c>
      <c r="G88" t="n">
        <v>1</v>
      </c>
      <c r="H88" t="n">
        <v>1</v>
      </c>
      <c r="I88" t="n">
        <v>1</v>
      </c>
      <c r="J88" t="n">
        <v>0</v>
      </c>
      <c r="K88" t="n">
        <v>0</v>
      </c>
      <c r="L88" t="n">
        <v>0</v>
      </c>
      <c r="M88" t="n">
        <v>0</v>
      </c>
      <c r="N88" t="n">
        <v>0</v>
      </c>
      <c r="O88" t="n">
        <v>0</v>
      </c>
      <c r="P88" t="n">
        <v>0</v>
      </c>
      <c r="Q88" t="n">
        <v>1</v>
      </c>
      <c r="R88" s="2" t="inlineStr">
        <is>
          <t>Skogsknipprot</t>
        </is>
      </c>
      <c r="S88">
        <f>HYPERLINK("https://klasma.github.io/Logging_1981/artfynd/A 29985-2022 artfynd.xlsx", "A 29985-2022")</f>
        <v/>
      </c>
      <c r="T88">
        <f>HYPERLINK("https://klasma.github.io/Logging_1981/kartor/A 29985-2022 karta.png", "A 29985-2022")</f>
        <v/>
      </c>
      <c r="V88">
        <f>HYPERLINK("https://klasma.github.io/Logging_1981/klagomål/A 29985-2022 FSC-klagomål.docx", "A 29985-2022")</f>
        <v/>
      </c>
      <c r="W88">
        <f>HYPERLINK("https://klasma.github.io/Logging_1981/klagomålsmail/A 29985-2022 FSC-klagomål mail.docx", "A 29985-2022")</f>
        <v/>
      </c>
      <c r="X88">
        <f>HYPERLINK("https://klasma.github.io/Logging_1981/tillsyn/A 29985-2022 tillsynsbegäran.docx", "A 29985-2022")</f>
        <v/>
      </c>
      <c r="Y88">
        <f>HYPERLINK("https://klasma.github.io/Logging_1981/tillsynsmail/A 29985-2022 tillsynsbegäran mail.docx", "A 29985-2022")</f>
        <v/>
      </c>
    </row>
    <row r="89" ht="15" customHeight="1">
      <c r="A89" t="inlineStr">
        <is>
          <t>A 3332-2024</t>
        </is>
      </c>
      <c r="B89" s="1" t="n">
        <v>45317</v>
      </c>
      <c r="C89" s="1" t="n">
        <v>46203</v>
      </c>
      <c r="D89" t="inlineStr">
        <is>
          <t>VÄSTMANLANDS LÄN</t>
        </is>
      </c>
      <c r="E89" t="inlineStr">
        <is>
          <t>SALA</t>
        </is>
      </c>
      <c r="G89" t="n">
        <v>2</v>
      </c>
      <c r="H89" t="n">
        <v>0</v>
      </c>
      <c r="I89" t="n">
        <v>0</v>
      </c>
      <c r="J89" t="n">
        <v>1</v>
      </c>
      <c r="K89" t="n">
        <v>0</v>
      </c>
      <c r="L89" t="n">
        <v>0</v>
      </c>
      <c r="M89" t="n">
        <v>0</v>
      </c>
      <c r="N89" t="n">
        <v>0</v>
      </c>
      <c r="O89" t="n">
        <v>1</v>
      </c>
      <c r="P89" t="n">
        <v>0</v>
      </c>
      <c r="Q89" t="n">
        <v>1</v>
      </c>
      <c r="R89" s="2" t="inlineStr">
        <is>
          <t>Rödlånke</t>
        </is>
      </c>
      <c r="S89">
        <f>HYPERLINK("https://klasma.github.io/Logging_1981/artfynd/A 3332-2024 artfynd.xlsx", "A 3332-2024")</f>
        <v/>
      </c>
      <c r="T89">
        <f>HYPERLINK("https://klasma.github.io/Logging_1981/kartor/A 3332-2024 karta.png", "A 3332-2024")</f>
        <v/>
      </c>
      <c r="V89">
        <f>HYPERLINK("https://klasma.github.io/Logging_1981/klagomål/A 3332-2024 FSC-klagomål.docx", "A 3332-2024")</f>
        <v/>
      </c>
      <c r="W89">
        <f>HYPERLINK("https://klasma.github.io/Logging_1981/klagomålsmail/A 3332-2024 FSC-klagomål mail.docx", "A 3332-2024")</f>
        <v/>
      </c>
      <c r="X89">
        <f>HYPERLINK("https://klasma.github.io/Logging_1981/tillsyn/A 3332-2024 tillsynsbegäran.docx", "A 3332-2024")</f>
        <v/>
      </c>
      <c r="Y89">
        <f>HYPERLINK("https://klasma.github.io/Logging_1981/tillsynsmail/A 3332-2024 tillsynsbegäran mail.docx", "A 3332-2024")</f>
        <v/>
      </c>
    </row>
    <row r="90" ht="15" customHeight="1">
      <c r="A90" t="inlineStr">
        <is>
          <t>A 12246-2023</t>
        </is>
      </c>
      <c r="B90" s="1" t="n">
        <v>44995</v>
      </c>
      <c r="C90" s="1" t="n">
        <v>46203</v>
      </c>
      <c r="D90" t="inlineStr">
        <is>
          <t>VÄSTMANLANDS LÄN</t>
        </is>
      </c>
      <c r="E90" t="inlineStr">
        <is>
          <t>SALA</t>
        </is>
      </c>
      <c r="G90" t="n">
        <v>2.4</v>
      </c>
      <c r="H90" t="n">
        <v>1</v>
      </c>
      <c r="I90" t="n">
        <v>0</v>
      </c>
      <c r="J90" t="n">
        <v>0</v>
      </c>
      <c r="K90" t="n">
        <v>0</v>
      </c>
      <c r="L90" t="n">
        <v>0</v>
      </c>
      <c r="M90" t="n">
        <v>0</v>
      </c>
      <c r="N90" t="n">
        <v>0</v>
      </c>
      <c r="O90" t="n">
        <v>0</v>
      </c>
      <c r="P90" t="n">
        <v>0</v>
      </c>
      <c r="Q90" t="n">
        <v>1</v>
      </c>
      <c r="R90" s="2" t="inlineStr">
        <is>
          <t>Trana</t>
        </is>
      </c>
      <c r="S90">
        <f>HYPERLINK("https://klasma.github.io/Logging_1981/artfynd/A 12246-2023 artfynd.xlsx", "A 12246-2023")</f>
        <v/>
      </c>
      <c r="T90">
        <f>HYPERLINK("https://klasma.github.io/Logging_1981/kartor/A 12246-2023 karta.png", "A 12246-2023")</f>
        <v/>
      </c>
      <c r="V90">
        <f>HYPERLINK("https://klasma.github.io/Logging_1981/klagomål/A 12246-2023 FSC-klagomål.docx", "A 12246-2023")</f>
        <v/>
      </c>
      <c r="W90">
        <f>HYPERLINK("https://klasma.github.io/Logging_1981/klagomålsmail/A 12246-2023 FSC-klagomål mail.docx", "A 12246-2023")</f>
        <v/>
      </c>
      <c r="X90">
        <f>HYPERLINK("https://klasma.github.io/Logging_1981/tillsyn/A 12246-2023 tillsynsbegäran.docx", "A 12246-2023")</f>
        <v/>
      </c>
      <c r="Y90">
        <f>HYPERLINK("https://klasma.github.io/Logging_1981/tillsynsmail/A 12246-2023 tillsynsbegäran mail.docx", "A 12246-2023")</f>
        <v/>
      </c>
      <c r="Z90">
        <f>HYPERLINK("https://klasma.github.io/Logging_1981/fåglar/A 12246-2023 prioriterade fågelarter.docx", "A 12246-2023")</f>
        <v/>
      </c>
    </row>
    <row r="91" ht="15" customHeight="1">
      <c r="A91" t="inlineStr">
        <is>
          <t>A 25748-2022</t>
        </is>
      </c>
      <c r="B91" s="1" t="n">
        <v>44732</v>
      </c>
      <c r="C91" s="1" t="n">
        <v>46203</v>
      </c>
      <c r="D91" t="inlineStr">
        <is>
          <t>VÄSTMANLANDS LÄN</t>
        </is>
      </c>
      <c r="E91" t="inlineStr">
        <is>
          <t>SALA</t>
        </is>
      </c>
      <c r="G91" t="n">
        <v>7.7</v>
      </c>
      <c r="H91" t="n">
        <v>1</v>
      </c>
      <c r="I91" t="n">
        <v>0</v>
      </c>
      <c r="J91" t="n">
        <v>0</v>
      </c>
      <c r="K91" t="n">
        <v>0</v>
      </c>
      <c r="L91" t="n">
        <v>0</v>
      </c>
      <c r="M91" t="n">
        <v>0</v>
      </c>
      <c r="N91" t="n">
        <v>0</v>
      </c>
      <c r="O91" t="n">
        <v>0</v>
      </c>
      <c r="P91" t="n">
        <v>0</v>
      </c>
      <c r="Q91" t="n">
        <v>1</v>
      </c>
      <c r="R91" s="2" t="inlineStr">
        <is>
          <t>Kungsfågel</t>
        </is>
      </c>
      <c r="S91">
        <f>HYPERLINK("https://klasma.github.io/Logging_1981/artfynd/A 25748-2022 artfynd.xlsx", "A 25748-2022")</f>
        <v/>
      </c>
      <c r="T91">
        <f>HYPERLINK("https://klasma.github.io/Logging_1981/kartor/A 25748-2022 karta.png", "A 25748-2022")</f>
        <v/>
      </c>
      <c r="V91">
        <f>HYPERLINK("https://klasma.github.io/Logging_1981/klagomål/A 25748-2022 FSC-klagomål.docx", "A 25748-2022")</f>
        <v/>
      </c>
      <c r="W91">
        <f>HYPERLINK("https://klasma.github.io/Logging_1981/klagomålsmail/A 25748-2022 FSC-klagomål mail.docx", "A 25748-2022")</f>
        <v/>
      </c>
      <c r="X91">
        <f>HYPERLINK("https://klasma.github.io/Logging_1981/tillsyn/A 25748-2022 tillsynsbegäran.docx", "A 25748-2022")</f>
        <v/>
      </c>
      <c r="Y91">
        <f>HYPERLINK("https://klasma.github.io/Logging_1981/tillsynsmail/A 25748-2022 tillsynsbegäran mail.docx", "A 25748-2022")</f>
        <v/>
      </c>
    </row>
    <row r="92" ht="15" customHeight="1">
      <c r="A92" t="inlineStr">
        <is>
          <t>A 31859-2023</t>
        </is>
      </c>
      <c r="B92" s="1" t="n">
        <v>45118</v>
      </c>
      <c r="C92" s="1" t="n">
        <v>46203</v>
      </c>
      <c r="D92" t="inlineStr">
        <is>
          <t>VÄSTMANLANDS LÄN</t>
        </is>
      </c>
      <c r="E92" t="inlineStr">
        <is>
          <t>SALA</t>
        </is>
      </c>
      <c r="G92" t="n">
        <v>0.5</v>
      </c>
      <c r="H92" t="n">
        <v>1</v>
      </c>
      <c r="I92" t="n">
        <v>0</v>
      </c>
      <c r="J92" t="n">
        <v>0</v>
      </c>
      <c r="K92" t="n">
        <v>1</v>
      </c>
      <c r="L92" t="n">
        <v>0</v>
      </c>
      <c r="M92" t="n">
        <v>0</v>
      </c>
      <c r="N92" t="n">
        <v>0</v>
      </c>
      <c r="O92" t="n">
        <v>1</v>
      </c>
      <c r="P92" t="n">
        <v>1</v>
      </c>
      <c r="Q92" t="n">
        <v>1</v>
      </c>
      <c r="R92" s="2" t="inlineStr">
        <is>
          <t>Knärot</t>
        </is>
      </c>
      <c r="S92">
        <f>HYPERLINK("https://klasma.github.io/Logging_1981/artfynd/A 31859-2023 artfynd.xlsx", "A 31859-2023")</f>
        <v/>
      </c>
      <c r="T92">
        <f>HYPERLINK("https://klasma.github.io/Logging_1981/kartor/A 31859-2023 karta.png", "A 31859-2023")</f>
        <v/>
      </c>
      <c r="U92">
        <f>HYPERLINK("https://klasma.github.io/Logging_1981/knärot/A 31859-2023 karta knärot.png", "A 31859-2023")</f>
        <v/>
      </c>
      <c r="V92">
        <f>HYPERLINK("https://klasma.github.io/Logging_1981/klagomål/A 31859-2023 FSC-klagomål.docx", "A 31859-2023")</f>
        <v/>
      </c>
      <c r="W92">
        <f>HYPERLINK("https://klasma.github.io/Logging_1981/klagomålsmail/A 31859-2023 FSC-klagomål mail.docx", "A 31859-2023")</f>
        <v/>
      </c>
      <c r="X92">
        <f>HYPERLINK("https://klasma.github.io/Logging_1981/tillsyn/A 31859-2023 tillsynsbegäran.docx", "A 31859-2023")</f>
        <v/>
      </c>
      <c r="Y92">
        <f>HYPERLINK("https://klasma.github.io/Logging_1981/tillsynsmail/A 31859-2023 tillsynsbegäran mail.docx", "A 31859-2023")</f>
        <v/>
      </c>
    </row>
    <row r="93" ht="15" customHeight="1">
      <c r="A93" t="inlineStr">
        <is>
          <t>A 66561-2021</t>
        </is>
      </c>
      <c r="B93" s="1" t="n">
        <v>44519</v>
      </c>
      <c r="C93" s="1" t="n">
        <v>46203</v>
      </c>
      <c r="D93" t="inlineStr">
        <is>
          <t>VÄSTMANLANDS LÄN</t>
        </is>
      </c>
      <c r="E93" t="inlineStr">
        <is>
          <t>SALA</t>
        </is>
      </c>
      <c r="G93" t="n">
        <v>0.3</v>
      </c>
      <c r="H93" t="n">
        <v>0</v>
      </c>
      <c r="I93" t="n">
        <v>0</v>
      </c>
      <c r="J93" t="n">
        <v>0</v>
      </c>
      <c r="K93" t="n">
        <v>0</v>
      </c>
      <c r="L93" t="n">
        <v>0</v>
      </c>
      <c r="M93" t="n">
        <v>0</v>
      </c>
      <c r="N93" t="n">
        <v>0</v>
      </c>
      <c r="O93" t="n">
        <v>0</v>
      </c>
      <c r="P93" t="n">
        <v>0</v>
      </c>
      <c r="Q93" t="n">
        <v>0</v>
      </c>
      <c r="R93" s="2" t="inlineStr"/>
    </row>
    <row r="94" ht="15" customHeight="1">
      <c r="A94" t="inlineStr">
        <is>
          <t>A 73124-2021</t>
        </is>
      </c>
      <c r="B94" s="1" t="n">
        <v>44550</v>
      </c>
      <c r="C94" s="1" t="n">
        <v>46203</v>
      </c>
      <c r="D94" t="inlineStr">
        <is>
          <t>VÄSTMANLANDS LÄN</t>
        </is>
      </c>
      <c r="E94" t="inlineStr">
        <is>
          <t>SALA</t>
        </is>
      </c>
      <c r="G94" t="n">
        <v>2.8</v>
      </c>
      <c r="H94" t="n">
        <v>0</v>
      </c>
      <c r="I94" t="n">
        <v>0</v>
      </c>
      <c r="J94" t="n">
        <v>0</v>
      </c>
      <c r="K94" t="n">
        <v>0</v>
      </c>
      <c r="L94" t="n">
        <v>0</v>
      </c>
      <c r="M94" t="n">
        <v>0</v>
      </c>
      <c r="N94" t="n">
        <v>0</v>
      </c>
      <c r="O94" t="n">
        <v>0</v>
      </c>
      <c r="P94" t="n">
        <v>0</v>
      </c>
      <c r="Q94" t="n">
        <v>0</v>
      </c>
      <c r="R94" s="2" t="inlineStr"/>
    </row>
    <row r="95" ht="15" customHeight="1">
      <c r="A95" t="inlineStr">
        <is>
          <t>A 73788-2021</t>
        </is>
      </c>
      <c r="B95" s="1" t="n">
        <v>44552</v>
      </c>
      <c r="C95" s="1" t="n">
        <v>46203</v>
      </c>
      <c r="D95" t="inlineStr">
        <is>
          <t>VÄSTMANLANDS LÄN</t>
        </is>
      </c>
      <c r="E95" t="inlineStr">
        <is>
          <t>SALA</t>
        </is>
      </c>
      <c r="G95" t="n">
        <v>0.8</v>
      </c>
      <c r="H95" t="n">
        <v>0</v>
      </c>
      <c r="I95" t="n">
        <v>0</v>
      </c>
      <c r="J95" t="n">
        <v>0</v>
      </c>
      <c r="K95" t="n">
        <v>0</v>
      </c>
      <c r="L95" t="n">
        <v>0</v>
      </c>
      <c r="M95" t="n">
        <v>0</v>
      </c>
      <c r="N95" t="n">
        <v>0</v>
      </c>
      <c r="O95" t="n">
        <v>0</v>
      </c>
      <c r="P95" t="n">
        <v>0</v>
      </c>
      <c r="Q95" t="n">
        <v>0</v>
      </c>
      <c r="R95" s="2" t="inlineStr"/>
    </row>
    <row r="96" ht="15" customHeight="1">
      <c r="A96" t="inlineStr">
        <is>
          <t>A 34110-2022</t>
        </is>
      </c>
      <c r="B96" s="1" t="n">
        <v>44791</v>
      </c>
      <c r="C96" s="1" t="n">
        <v>46203</v>
      </c>
      <c r="D96" t="inlineStr">
        <is>
          <t>VÄSTMANLANDS LÄN</t>
        </is>
      </c>
      <c r="E96" t="inlineStr">
        <is>
          <t>SALA</t>
        </is>
      </c>
      <c r="G96" t="n">
        <v>0.2</v>
      </c>
      <c r="H96" t="n">
        <v>0</v>
      </c>
      <c r="I96" t="n">
        <v>0</v>
      </c>
      <c r="J96" t="n">
        <v>0</v>
      </c>
      <c r="K96" t="n">
        <v>0</v>
      </c>
      <c r="L96" t="n">
        <v>0</v>
      </c>
      <c r="M96" t="n">
        <v>0</v>
      </c>
      <c r="N96" t="n">
        <v>0</v>
      </c>
      <c r="O96" t="n">
        <v>0</v>
      </c>
      <c r="P96" t="n">
        <v>0</v>
      </c>
      <c r="Q96" t="n">
        <v>0</v>
      </c>
      <c r="R96" s="2" t="inlineStr"/>
    </row>
    <row r="97" ht="15" customHeight="1">
      <c r="A97" t="inlineStr">
        <is>
          <t>A 28999-2022</t>
        </is>
      </c>
      <c r="B97" s="1" t="n">
        <v>44749</v>
      </c>
      <c r="C97" s="1" t="n">
        <v>46203</v>
      </c>
      <c r="D97" t="inlineStr">
        <is>
          <t>VÄSTMANLANDS LÄN</t>
        </is>
      </c>
      <c r="E97" t="inlineStr">
        <is>
          <t>SALA</t>
        </is>
      </c>
      <c r="G97" t="n">
        <v>5.7</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46203</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33762-2021</t>
        </is>
      </c>
      <c r="B99" s="1" t="n">
        <v>44378</v>
      </c>
      <c r="C99" s="1" t="n">
        <v>46203</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46203</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73683-2021</t>
        </is>
      </c>
      <c r="B101" s="1" t="n">
        <v>44552</v>
      </c>
      <c r="C101" s="1" t="n">
        <v>46203</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3050-2022</t>
        </is>
      </c>
      <c r="B102" s="1" t="n">
        <v>44582</v>
      </c>
      <c r="C102" s="1" t="n">
        <v>46203</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74277-2021</t>
        </is>
      </c>
      <c r="B103" s="1" t="n">
        <v>44558</v>
      </c>
      <c r="C103" s="1" t="n">
        <v>46203</v>
      </c>
      <c r="D103" t="inlineStr">
        <is>
          <t>VÄSTMANLANDS LÄN</t>
        </is>
      </c>
      <c r="E103" t="inlineStr">
        <is>
          <t>SALA</t>
        </is>
      </c>
      <c r="F103" t="inlineStr">
        <is>
          <t>Kommuner</t>
        </is>
      </c>
      <c r="G103" t="n">
        <v>24.4</v>
      </c>
      <c r="H103" t="n">
        <v>0</v>
      </c>
      <c r="I103" t="n">
        <v>0</v>
      </c>
      <c r="J103" t="n">
        <v>0</v>
      </c>
      <c r="K103" t="n">
        <v>0</v>
      </c>
      <c r="L103" t="n">
        <v>0</v>
      </c>
      <c r="M103" t="n">
        <v>0</v>
      </c>
      <c r="N103" t="n">
        <v>0</v>
      </c>
      <c r="O103" t="n">
        <v>0</v>
      </c>
      <c r="P103" t="n">
        <v>0</v>
      </c>
      <c r="Q103" t="n">
        <v>0</v>
      </c>
      <c r="R103" s="2" t="inlineStr"/>
    </row>
    <row r="104" ht="15" customHeight="1">
      <c r="A104" t="inlineStr">
        <is>
          <t>A 31387-2022</t>
        </is>
      </c>
      <c r="B104" s="1" t="n">
        <v>44774</v>
      </c>
      <c r="C104" s="1" t="n">
        <v>46203</v>
      </c>
      <c r="D104" t="inlineStr">
        <is>
          <t>VÄSTMANLANDS LÄN</t>
        </is>
      </c>
      <c r="E104" t="inlineStr">
        <is>
          <t>SALA</t>
        </is>
      </c>
      <c r="G104" t="n">
        <v>5.8</v>
      </c>
      <c r="H104" t="n">
        <v>0</v>
      </c>
      <c r="I104" t="n">
        <v>0</v>
      </c>
      <c r="J104" t="n">
        <v>0</v>
      </c>
      <c r="K104" t="n">
        <v>0</v>
      </c>
      <c r="L104" t="n">
        <v>0</v>
      </c>
      <c r="M104" t="n">
        <v>0</v>
      </c>
      <c r="N104" t="n">
        <v>0</v>
      </c>
      <c r="O104" t="n">
        <v>0</v>
      </c>
      <c r="P104" t="n">
        <v>0</v>
      </c>
      <c r="Q104" t="n">
        <v>0</v>
      </c>
      <c r="R104" s="2" t="inlineStr"/>
    </row>
    <row r="105" ht="15" customHeight="1">
      <c r="A105" t="inlineStr">
        <is>
          <t>A 62850-2021</t>
        </is>
      </c>
      <c r="B105" s="1" t="n">
        <v>44504</v>
      </c>
      <c r="C105" s="1" t="n">
        <v>46203</v>
      </c>
      <c r="D105" t="inlineStr">
        <is>
          <t>VÄSTMANLANDS LÄN</t>
        </is>
      </c>
      <c r="E105" t="inlineStr">
        <is>
          <t>SALA</t>
        </is>
      </c>
      <c r="G105" t="n">
        <v>5.2</v>
      </c>
      <c r="H105" t="n">
        <v>0</v>
      </c>
      <c r="I105" t="n">
        <v>0</v>
      </c>
      <c r="J105" t="n">
        <v>0</v>
      </c>
      <c r="K105" t="n">
        <v>0</v>
      </c>
      <c r="L105" t="n">
        <v>0</v>
      </c>
      <c r="M105" t="n">
        <v>0</v>
      </c>
      <c r="N105" t="n">
        <v>0</v>
      </c>
      <c r="O105" t="n">
        <v>0</v>
      </c>
      <c r="P105" t="n">
        <v>0</v>
      </c>
      <c r="Q105" t="n">
        <v>0</v>
      </c>
      <c r="R105" s="2" t="inlineStr"/>
    </row>
    <row r="106" ht="15" customHeight="1">
      <c r="A106" t="inlineStr">
        <is>
          <t>A 73668-2021</t>
        </is>
      </c>
      <c r="B106" s="1" t="n">
        <v>44552</v>
      </c>
      <c r="C106" s="1" t="n">
        <v>46203</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49086-2022</t>
        </is>
      </c>
      <c r="B107" s="1" t="n">
        <v>44860</v>
      </c>
      <c r="C107" s="1" t="n">
        <v>46203</v>
      </c>
      <c r="D107" t="inlineStr">
        <is>
          <t>VÄSTMANLANDS LÄN</t>
        </is>
      </c>
      <c r="E107" t="inlineStr">
        <is>
          <t>SALA</t>
        </is>
      </c>
      <c r="G107" t="n">
        <v>0.9</v>
      </c>
      <c r="H107" t="n">
        <v>0</v>
      </c>
      <c r="I107" t="n">
        <v>0</v>
      </c>
      <c r="J107" t="n">
        <v>0</v>
      </c>
      <c r="K107" t="n">
        <v>0</v>
      </c>
      <c r="L107" t="n">
        <v>0</v>
      </c>
      <c r="M107" t="n">
        <v>0</v>
      </c>
      <c r="N107" t="n">
        <v>0</v>
      </c>
      <c r="O107" t="n">
        <v>0</v>
      </c>
      <c r="P107" t="n">
        <v>0</v>
      </c>
      <c r="Q107" t="n">
        <v>0</v>
      </c>
      <c r="R107" s="2" t="inlineStr"/>
    </row>
    <row r="108" ht="15" customHeight="1">
      <c r="A108" t="inlineStr">
        <is>
          <t>A 17897-2022</t>
        </is>
      </c>
      <c r="B108" s="1" t="n">
        <v>44683</v>
      </c>
      <c r="C108" s="1" t="n">
        <v>46203</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43103-2022</t>
        </is>
      </c>
      <c r="B109" s="1" t="n">
        <v>44833</v>
      </c>
      <c r="C109" s="1" t="n">
        <v>46203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4281-2022</t>
        </is>
      </c>
      <c r="B110" s="1" t="n">
        <v>44588</v>
      </c>
      <c r="C110" s="1" t="n">
        <v>46203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73687-2021</t>
        </is>
      </c>
      <c r="B111" s="1" t="n">
        <v>44552</v>
      </c>
      <c r="C111" s="1" t="n">
        <v>46203</v>
      </c>
      <c r="D111" t="inlineStr">
        <is>
          <t>VÄSTMANLANDS LÄN</t>
        </is>
      </c>
      <c r="E111" t="inlineStr">
        <is>
          <t>SALA</t>
        </is>
      </c>
      <c r="G111" t="n">
        <v>5.6</v>
      </c>
      <c r="H111" t="n">
        <v>0</v>
      </c>
      <c r="I111" t="n">
        <v>0</v>
      </c>
      <c r="J111" t="n">
        <v>0</v>
      </c>
      <c r="K111" t="n">
        <v>0</v>
      </c>
      <c r="L111" t="n">
        <v>0</v>
      </c>
      <c r="M111" t="n">
        <v>0</v>
      </c>
      <c r="N111" t="n">
        <v>0</v>
      </c>
      <c r="O111" t="n">
        <v>0</v>
      </c>
      <c r="P111" t="n">
        <v>0</v>
      </c>
      <c r="Q111" t="n">
        <v>0</v>
      </c>
      <c r="R111" s="2" t="inlineStr"/>
    </row>
    <row r="112" ht="15" customHeight="1">
      <c r="A112" t="inlineStr">
        <is>
          <t>A 55733-2022</t>
        </is>
      </c>
      <c r="B112" s="1" t="n">
        <v>44888</v>
      </c>
      <c r="C112" s="1" t="n">
        <v>46203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19058-2022</t>
        </is>
      </c>
      <c r="B113" s="1" t="n">
        <v>44691</v>
      </c>
      <c r="C113" s="1" t="n">
        <v>46203</v>
      </c>
      <c r="D113" t="inlineStr">
        <is>
          <t>VÄSTMANLANDS LÄN</t>
        </is>
      </c>
      <c r="E113" t="inlineStr">
        <is>
          <t>SALA</t>
        </is>
      </c>
      <c r="G113" t="n">
        <v>1.2</v>
      </c>
      <c r="H113" t="n">
        <v>0</v>
      </c>
      <c r="I113" t="n">
        <v>0</v>
      </c>
      <c r="J113" t="n">
        <v>0</v>
      </c>
      <c r="K113" t="n">
        <v>0</v>
      </c>
      <c r="L113" t="n">
        <v>0</v>
      </c>
      <c r="M113" t="n">
        <v>0</v>
      </c>
      <c r="N113" t="n">
        <v>0</v>
      </c>
      <c r="O113" t="n">
        <v>0</v>
      </c>
      <c r="P113" t="n">
        <v>0</v>
      </c>
      <c r="Q113" t="n">
        <v>0</v>
      </c>
      <c r="R113" s="2" t="inlineStr"/>
    </row>
    <row r="114" ht="15" customHeight="1">
      <c r="A114" t="inlineStr">
        <is>
          <t>A 73663-2021</t>
        </is>
      </c>
      <c r="B114" s="1" t="n">
        <v>44552</v>
      </c>
      <c r="C114" s="1" t="n">
        <v>46203</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939-2022</t>
        </is>
      </c>
      <c r="B115" s="1" t="n">
        <v>44571</v>
      </c>
      <c r="C115" s="1" t="n">
        <v>46203</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29228-2022</t>
        </is>
      </c>
      <c r="B116" s="1" t="n">
        <v>44750</v>
      </c>
      <c r="C116" s="1" t="n">
        <v>46203</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6667-2022</t>
        </is>
      </c>
      <c r="B117" s="1" t="n">
        <v>44602</v>
      </c>
      <c r="C117" s="1" t="n">
        <v>46203</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19760-2022</t>
        </is>
      </c>
      <c r="B118" s="1" t="n">
        <v>44694</v>
      </c>
      <c r="C118" s="1" t="n">
        <v>46203</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42976-2021</t>
        </is>
      </c>
      <c r="B119" s="1" t="n">
        <v>44431</v>
      </c>
      <c r="C119" s="1" t="n">
        <v>46203</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4237-2022</t>
        </is>
      </c>
      <c r="B120" s="1" t="n">
        <v>44588</v>
      </c>
      <c r="C120" s="1" t="n">
        <v>46203</v>
      </c>
      <c r="D120" t="inlineStr">
        <is>
          <t>VÄSTMANLANDS LÄN</t>
        </is>
      </c>
      <c r="E120" t="inlineStr">
        <is>
          <t>SALA</t>
        </is>
      </c>
      <c r="G120" t="n">
        <v>1.2</v>
      </c>
      <c r="H120" t="n">
        <v>0</v>
      </c>
      <c r="I120" t="n">
        <v>0</v>
      </c>
      <c r="J120" t="n">
        <v>0</v>
      </c>
      <c r="K120" t="n">
        <v>0</v>
      </c>
      <c r="L120" t="n">
        <v>0</v>
      </c>
      <c r="M120" t="n">
        <v>0</v>
      </c>
      <c r="N120" t="n">
        <v>0</v>
      </c>
      <c r="O120" t="n">
        <v>0</v>
      </c>
      <c r="P120" t="n">
        <v>0</v>
      </c>
      <c r="Q120" t="n">
        <v>0</v>
      </c>
      <c r="R120" s="2" t="inlineStr"/>
    </row>
    <row r="121" ht="15" customHeight="1">
      <c r="A121" t="inlineStr">
        <is>
          <t>A 51377-2022</t>
        </is>
      </c>
      <c r="B121" s="1" t="n">
        <v>44866</v>
      </c>
      <c r="C121" s="1" t="n">
        <v>46203</v>
      </c>
      <c r="D121" t="inlineStr">
        <is>
          <t>VÄSTMANLANDS LÄN</t>
        </is>
      </c>
      <c r="E121" t="inlineStr">
        <is>
          <t>SALA</t>
        </is>
      </c>
      <c r="G121" t="n">
        <v>6.3</v>
      </c>
      <c r="H121" t="n">
        <v>0</v>
      </c>
      <c r="I121" t="n">
        <v>0</v>
      </c>
      <c r="J121" t="n">
        <v>0</v>
      </c>
      <c r="K121" t="n">
        <v>0</v>
      </c>
      <c r="L121" t="n">
        <v>0</v>
      </c>
      <c r="M121" t="n">
        <v>0</v>
      </c>
      <c r="N121" t="n">
        <v>0</v>
      </c>
      <c r="O121" t="n">
        <v>0</v>
      </c>
      <c r="P121" t="n">
        <v>0</v>
      </c>
      <c r="Q121" t="n">
        <v>0</v>
      </c>
      <c r="R121" s="2" t="inlineStr"/>
    </row>
    <row r="122" ht="15" customHeight="1">
      <c r="A122" t="inlineStr">
        <is>
          <t>A 68355-2021</t>
        </is>
      </c>
      <c r="B122" s="1" t="n">
        <v>44528</v>
      </c>
      <c r="C122" s="1" t="n">
        <v>46203</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44318-2022</t>
        </is>
      </c>
      <c r="B123" s="1" t="n">
        <v>44839</v>
      </c>
      <c r="C123" s="1" t="n">
        <v>46203</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1043-2022</t>
        </is>
      </c>
      <c r="B124" s="1" t="n">
        <v>44571</v>
      </c>
      <c r="C124" s="1" t="n">
        <v>46203</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15850-2022</t>
        </is>
      </c>
      <c r="B125" s="1" t="n">
        <v>44664</v>
      </c>
      <c r="C125" s="1" t="n">
        <v>46203</v>
      </c>
      <c r="D125" t="inlineStr">
        <is>
          <t>VÄSTMANLANDS LÄN</t>
        </is>
      </c>
      <c r="E125" t="inlineStr">
        <is>
          <t>SALA</t>
        </is>
      </c>
      <c r="G125" t="n">
        <v>1</v>
      </c>
      <c r="H125" t="n">
        <v>0</v>
      </c>
      <c r="I125" t="n">
        <v>0</v>
      </c>
      <c r="J125" t="n">
        <v>0</v>
      </c>
      <c r="K125" t="n">
        <v>0</v>
      </c>
      <c r="L125" t="n">
        <v>0</v>
      </c>
      <c r="M125" t="n">
        <v>0</v>
      </c>
      <c r="N125" t="n">
        <v>0</v>
      </c>
      <c r="O125" t="n">
        <v>0</v>
      </c>
      <c r="P125" t="n">
        <v>0</v>
      </c>
      <c r="Q125" t="n">
        <v>0</v>
      </c>
      <c r="R125" s="2" t="inlineStr"/>
    </row>
    <row r="126" ht="15" customHeight="1">
      <c r="A126" t="inlineStr">
        <is>
          <t>A 35921-2021</t>
        </is>
      </c>
      <c r="B126" s="1" t="n">
        <v>44388</v>
      </c>
      <c r="C126" s="1" t="n">
        <v>46203</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37856-2021</t>
        </is>
      </c>
      <c r="B127" s="1" t="n">
        <v>44403</v>
      </c>
      <c r="C127" s="1" t="n">
        <v>46203</v>
      </c>
      <c r="D127" t="inlineStr">
        <is>
          <t>VÄSTMANLANDS LÄN</t>
        </is>
      </c>
      <c r="E127" t="inlineStr">
        <is>
          <t>SALA</t>
        </is>
      </c>
      <c r="G127" t="n">
        <v>3.1</v>
      </c>
      <c r="H127" t="n">
        <v>0</v>
      </c>
      <c r="I127" t="n">
        <v>0</v>
      </c>
      <c r="J127" t="n">
        <v>0</v>
      </c>
      <c r="K127" t="n">
        <v>0</v>
      </c>
      <c r="L127" t="n">
        <v>0</v>
      </c>
      <c r="M127" t="n">
        <v>0</v>
      </c>
      <c r="N127" t="n">
        <v>0</v>
      </c>
      <c r="O127" t="n">
        <v>0</v>
      </c>
      <c r="P127" t="n">
        <v>0</v>
      </c>
      <c r="Q127" t="n">
        <v>0</v>
      </c>
      <c r="R127" s="2" t="inlineStr"/>
    </row>
    <row r="128" ht="15" customHeight="1">
      <c r="A128" t="inlineStr">
        <is>
          <t>A 37872-2021</t>
        </is>
      </c>
      <c r="B128" s="1" t="n">
        <v>44403</v>
      </c>
      <c r="C128" s="1" t="n">
        <v>46203</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65835-2021</t>
        </is>
      </c>
      <c r="B129" s="1" t="n">
        <v>44517</v>
      </c>
      <c r="C129" s="1" t="n">
        <v>46203</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61897-2021</t>
        </is>
      </c>
      <c r="B130" s="1" t="n">
        <v>44502</v>
      </c>
      <c r="C130" s="1" t="n">
        <v>46203</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44217-2022</t>
        </is>
      </c>
      <c r="B131" s="1" t="n">
        <v>44839</v>
      </c>
      <c r="C131" s="1" t="n">
        <v>46203</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46203</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23757-2022</t>
        </is>
      </c>
      <c r="B133" s="1" t="n">
        <v>44722</v>
      </c>
      <c r="C133" s="1" t="n">
        <v>46203</v>
      </c>
      <c r="D133" t="inlineStr">
        <is>
          <t>VÄSTMANLANDS LÄN</t>
        </is>
      </c>
      <c r="E133" t="inlineStr">
        <is>
          <t>SALA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46203</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46203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46203</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46203</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v>
      </c>
      <c r="C138" s="1" t="n">
        <v>46203</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v>
      </c>
      <c r="C139" s="1" t="n">
        <v>46203</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65818-2021</t>
        </is>
      </c>
      <c r="B140" s="1" t="n">
        <v>44517</v>
      </c>
      <c r="C140" s="1" t="n">
        <v>46203</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46203</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49254-2022</t>
        </is>
      </c>
      <c r="B142" s="1" t="n">
        <v>44861</v>
      </c>
      <c r="C142" s="1" t="n">
        <v>46203</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67962-2021</t>
        </is>
      </c>
      <c r="B143" s="1" t="n">
        <v>44525</v>
      </c>
      <c r="C143" s="1" t="n">
        <v>46203</v>
      </c>
      <c r="D143" t="inlineStr">
        <is>
          <t>VÄSTMANLANDS LÄN</t>
        </is>
      </c>
      <c r="E143" t="inlineStr">
        <is>
          <t>SALA</t>
        </is>
      </c>
      <c r="G143" t="n">
        <v>1.4</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v>
      </c>
      <c r="C144" s="1" t="n">
        <v>46203</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v>
      </c>
      <c r="C145" s="1" t="n">
        <v>46203</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46203</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v>
      </c>
      <c r="C147" s="1" t="n">
        <v>46203</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29002-2022</t>
        </is>
      </c>
      <c r="B148" s="1" t="n">
        <v>44749</v>
      </c>
      <c r="C148" s="1" t="n">
        <v>46203</v>
      </c>
      <c r="D148" t="inlineStr">
        <is>
          <t>VÄSTMANLANDS LÄN</t>
        </is>
      </c>
      <c r="E148" t="inlineStr">
        <is>
          <t>SALA</t>
        </is>
      </c>
      <c r="G148" t="n">
        <v>5.4</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v>
      </c>
      <c r="C149" s="1" t="n">
        <v>46203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46203</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46203</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v>
      </c>
      <c r="C152" s="1" t="n">
        <v>46203</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46203</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v>
      </c>
      <c r="C154" s="1" t="n">
        <v>46203</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46203</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v>
      </c>
      <c r="C156" s="1" t="n">
        <v>46203</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23847-2022</t>
        </is>
      </c>
      <c r="B157" s="1" t="n">
        <v>44722</v>
      </c>
      <c r="C157" s="1" t="n">
        <v>46203</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22562-2022</t>
        </is>
      </c>
      <c r="B158" s="1" t="n">
        <v>44713</v>
      </c>
      <c r="C158" s="1" t="n">
        <v>46203</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46203</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46203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46203</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v>
      </c>
      <c r="C162" s="1" t="n">
        <v>46203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46203</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46203</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46203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46203</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46203</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46203</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v>
      </c>
      <c r="C169" s="1" t="n">
        <v>46203</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46203</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v>
      </c>
      <c r="C171" s="1" t="n">
        <v>46203</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67965-2021</t>
        </is>
      </c>
      <c r="B172" s="1" t="n">
        <v>44525</v>
      </c>
      <c r="C172" s="1" t="n">
        <v>46203</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v>
      </c>
      <c r="C173" s="1" t="n">
        <v>46203</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v>
      </c>
      <c r="C174" s="1" t="n">
        <v>46203</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46203</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27486-2022</t>
        </is>
      </c>
      <c r="B176" s="1" t="n">
        <v>44742</v>
      </c>
      <c r="C176" s="1" t="n">
        <v>46203</v>
      </c>
      <c r="D176" t="inlineStr">
        <is>
          <t>VÄSTMANLANDS LÄN</t>
        </is>
      </c>
      <c r="E176" t="inlineStr">
        <is>
          <t>SALA</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27261-2024</t>
        </is>
      </c>
      <c r="B177" s="1" t="n">
        <v>45471</v>
      </c>
      <c r="C177" s="1" t="n">
        <v>46203</v>
      </c>
      <c r="D177" t="inlineStr">
        <is>
          <t>VÄSTMANLANDS LÄN</t>
        </is>
      </c>
      <c r="E177" t="inlineStr">
        <is>
          <t>SALA</t>
        </is>
      </c>
      <c r="G177" t="n">
        <v>6.1</v>
      </c>
      <c r="H177" t="n">
        <v>0</v>
      </c>
      <c r="I177" t="n">
        <v>0</v>
      </c>
      <c r="J177" t="n">
        <v>0</v>
      </c>
      <c r="K177" t="n">
        <v>0</v>
      </c>
      <c r="L177" t="n">
        <v>0</v>
      </c>
      <c r="M177" t="n">
        <v>0</v>
      </c>
      <c r="N177" t="n">
        <v>0</v>
      </c>
      <c r="O177" t="n">
        <v>0</v>
      </c>
      <c r="P177" t="n">
        <v>0</v>
      </c>
      <c r="Q177" t="n">
        <v>0</v>
      </c>
      <c r="R177" s="2" t="inlineStr"/>
    </row>
    <row r="178" ht="15" customHeight="1">
      <c r="A178" t="inlineStr">
        <is>
          <t>A 54959-2024</t>
        </is>
      </c>
      <c r="B178" s="1" t="n">
        <v>45619</v>
      </c>
      <c r="C178" s="1" t="n">
        <v>46203</v>
      </c>
      <c r="D178" t="inlineStr">
        <is>
          <t>VÄSTMANLANDS LÄN</t>
        </is>
      </c>
      <c r="E178" t="inlineStr">
        <is>
          <t>SALA</t>
        </is>
      </c>
      <c r="G178" t="n">
        <v>1.3</v>
      </c>
      <c r="H178" t="n">
        <v>0</v>
      </c>
      <c r="I178" t="n">
        <v>0</v>
      </c>
      <c r="J178" t="n">
        <v>0</v>
      </c>
      <c r="K178" t="n">
        <v>0</v>
      </c>
      <c r="L178" t="n">
        <v>0</v>
      </c>
      <c r="M178" t="n">
        <v>0</v>
      </c>
      <c r="N178" t="n">
        <v>0</v>
      </c>
      <c r="O178" t="n">
        <v>0</v>
      </c>
      <c r="P178" t="n">
        <v>0</v>
      </c>
      <c r="Q178" t="n">
        <v>0</v>
      </c>
      <c r="R178" s="2" t="inlineStr"/>
    </row>
    <row r="179" ht="15" customHeight="1">
      <c r="A179" t="inlineStr">
        <is>
          <t>A 6134-2024</t>
        </is>
      </c>
      <c r="B179" s="1" t="n">
        <v>45337</v>
      </c>
      <c r="C179" s="1" t="n">
        <v>46203</v>
      </c>
      <c r="D179" t="inlineStr">
        <is>
          <t>VÄSTMANLANDS LÄN</t>
        </is>
      </c>
      <c r="E179" t="inlineStr">
        <is>
          <t>SALA</t>
        </is>
      </c>
      <c r="G179" t="n">
        <v>1.8</v>
      </c>
      <c r="H179" t="n">
        <v>0</v>
      </c>
      <c r="I179" t="n">
        <v>0</v>
      </c>
      <c r="J179" t="n">
        <v>0</v>
      </c>
      <c r="K179" t="n">
        <v>0</v>
      </c>
      <c r="L179" t="n">
        <v>0</v>
      </c>
      <c r="M179" t="n">
        <v>0</v>
      </c>
      <c r="N179" t="n">
        <v>0</v>
      </c>
      <c r="O179" t="n">
        <v>0</v>
      </c>
      <c r="P179" t="n">
        <v>0</v>
      </c>
      <c r="Q179" t="n">
        <v>0</v>
      </c>
      <c r="R179" s="2" t="inlineStr"/>
    </row>
    <row r="180" ht="15" customHeight="1">
      <c r="A180" t="inlineStr">
        <is>
          <t>A 25860-2024</t>
        </is>
      </c>
      <c r="B180" s="1" t="n">
        <v>45467</v>
      </c>
      <c r="C180" s="1" t="n">
        <v>46203</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2925-2024</t>
        </is>
      </c>
      <c r="B181" s="1" t="n">
        <v>45315</v>
      </c>
      <c r="C181" s="1" t="n">
        <v>46203</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47577-2025</t>
        </is>
      </c>
      <c r="B182" s="1" t="n">
        <v>45931</v>
      </c>
      <c r="C182" s="1" t="n">
        <v>46203</v>
      </c>
      <c r="D182" t="inlineStr">
        <is>
          <t>VÄSTMANLANDS LÄN</t>
        </is>
      </c>
      <c r="E182" t="inlineStr">
        <is>
          <t>SALA</t>
        </is>
      </c>
      <c r="G182" t="n">
        <v>3.7</v>
      </c>
      <c r="H182" t="n">
        <v>0</v>
      </c>
      <c r="I182" t="n">
        <v>0</v>
      </c>
      <c r="J182" t="n">
        <v>0</v>
      </c>
      <c r="K182" t="n">
        <v>0</v>
      </c>
      <c r="L182" t="n">
        <v>0</v>
      </c>
      <c r="M182" t="n">
        <v>0</v>
      </c>
      <c r="N182" t="n">
        <v>0</v>
      </c>
      <c r="O182" t="n">
        <v>0</v>
      </c>
      <c r="P182" t="n">
        <v>0</v>
      </c>
      <c r="Q182" t="n">
        <v>0</v>
      </c>
      <c r="R182" s="2" t="inlineStr"/>
    </row>
    <row r="183" ht="15" customHeight="1">
      <c r="A183" t="inlineStr">
        <is>
          <t>A 16160-2024</t>
        </is>
      </c>
      <c r="B183" s="1" t="n">
        <v>45406</v>
      </c>
      <c r="C183" s="1" t="n">
        <v>46203</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44746-2024</t>
        </is>
      </c>
      <c r="B184" s="1" t="n">
        <v>45574</v>
      </c>
      <c r="C184" s="1" t="n">
        <v>46203</v>
      </c>
      <c r="D184" t="inlineStr">
        <is>
          <t>VÄSTMANLANDS LÄN</t>
        </is>
      </c>
      <c r="E184" t="inlineStr">
        <is>
          <t>SALA</t>
        </is>
      </c>
      <c r="G184" t="n">
        <v>6.7</v>
      </c>
      <c r="H184" t="n">
        <v>0</v>
      </c>
      <c r="I184" t="n">
        <v>0</v>
      </c>
      <c r="J184" t="n">
        <v>0</v>
      </c>
      <c r="K184" t="n">
        <v>0</v>
      </c>
      <c r="L184" t="n">
        <v>0</v>
      </c>
      <c r="M184" t="n">
        <v>0</v>
      </c>
      <c r="N184" t="n">
        <v>0</v>
      </c>
      <c r="O184" t="n">
        <v>0</v>
      </c>
      <c r="P184" t="n">
        <v>0</v>
      </c>
      <c r="Q184" t="n">
        <v>0</v>
      </c>
      <c r="R184" s="2" t="inlineStr"/>
    </row>
    <row r="185" ht="15" customHeight="1">
      <c r="A185" t="inlineStr">
        <is>
          <t>A 44713-2023</t>
        </is>
      </c>
      <c r="B185" s="1" t="n">
        <v>45184</v>
      </c>
      <c r="C185" s="1" t="n">
        <v>46203</v>
      </c>
      <c r="D185" t="inlineStr">
        <is>
          <t>VÄSTMANLANDS LÄN</t>
        </is>
      </c>
      <c r="E185" t="inlineStr">
        <is>
          <t>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73673-2021</t>
        </is>
      </c>
      <c r="B186" s="1" t="n">
        <v>44552</v>
      </c>
      <c r="C186" s="1" t="n">
        <v>46203</v>
      </c>
      <c r="D186" t="inlineStr">
        <is>
          <t>VÄSTMANLANDS LÄN</t>
        </is>
      </c>
      <c r="E186" t="inlineStr">
        <is>
          <t>SALA</t>
        </is>
      </c>
      <c r="G186" t="n">
        <v>11.4</v>
      </c>
      <c r="H186" t="n">
        <v>0</v>
      </c>
      <c r="I186" t="n">
        <v>0</v>
      </c>
      <c r="J186" t="n">
        <v>0</v>
      </c>
      <c r="K186" t="n">
        <v>0</v>
      </c>
      <c r="L186" t="n">
        <v>0</v>
      </c>
      <c r="M186" t="n">
        <v>0</v>
      </c>
      <c r="N186" t="n">
        <v>0</v>
      </c>
      <c r="O186" t="n">
        <v>0</v>
      </c>
      <c r="P186" t="n">
        <v>0</v>
      </c>
      <c r="Q186" t="n">
        <v>0</v>
      </c>
      <c r="R186" s="2" t="inlineStr"/>
    </row>
    <row r="187" ht="15" customHeight="1">
      <c r="A187" t="inlineStr">
        <is>
          <t>A 48710-2025</t>
        </is>
      </c>
      <c r="B187" s="1" t="n">
        <v>45936</v>
      </c>
      <c r="C187" s="1" t="n">
        <v>46203</v>
      </c>
      <c r="D187" t="inlineStr">
        <is>
          <t>VÄSTMANLANDS LÄN</t>
        </is>
      </c>
      <c r="E187" t="inlineStr">
        <is>
          <t>SALA</t>
        </is>
      </c>
      <c r="G187" t="n">
        <v>2.7</v>
      </c>
      <c r="H187" t="n">
        <v>0</v>
      </c>
      <c r="I187" t="n">
        <v>0</v>
      </c>
      <c r="J187" t="n">
        <v>0</v>
      </c>
      <c r="K187" t="n">
        <v>0</v>
      </c>
      <c r="L187" t="n">
        <v>0</v>
      </c>
      <c r="M187" t="n">
        <v>0</v>
      </c>
      <c r="N187" t="n">
        <v>0</v>
      </c>
      <c r="O187" t="n">
        <v>0</v>
      </c>
      <c r="P187" t="n">
        <v>0</v>
      </c>
      <c r="Q187" t="n">
        <v>0</v>
      </c>
      <c r="R187" s="2" t="inlineStr"/>
    </row>
    <row r="188" ht="15" customHeight="1">
      <c r="A188" t="inlineStr">
        <is>
          <t>A 40597-2022</t>
        </is>
      </c>
      <c r="B188" s="1" t="n">
        <v>44823</v>
      </c>
      <c r="C188" s="1" t="n">
        <v>46203</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23431-2024</t>
        </is>
      </c>
      <c r="B189" s="1" t="n">
        <v>45453</v>
      </c>
      <c r="C189" s="1" t="n">
        <v>46203</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21751-2025</t>
        </is>
      </c>
      <c r="B190" s="1" t="n">
        <v>45783</v>
      </c>
      <c r="C190" s="1" t="n">
        <v>46203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49640-2025</t>
        </is>
      </c>
      <c r="B191" s="1" t="n">
        <v>45939</v>
      </c>
      <c r="C191" s="1" t="n">
        <v>46203</v>
      </c>
      <c r="D191" t="inlineStr">
        <is>
          <t>VÄSTMANLANDS LÄN</t>
        </is>
      </c>
      <c r="E191" t="inlineStr">
        <is>
          <t>SALA</t>
        </is>
      </c>
      <c r="F191" t="inlineStr">
        <is>
          <t>Kommuner</t>
        </is>
      </c>
      <c r="G191" t="n">
        <v>18.8</v>
      </c>
      <c r="H191" t="n">
        <v>0</v>
      </c>
      <c r="I191" t="n">
        <v>0</v>
      </c>
      <c r="J191" t="n">
        <v>0</v>
      </c>
      <c r="K191" t="n">
        <v>0</v>
      </c>
      <c r="L191" t="n">
        <v>0</v>
      </c>
      <c r="M191" t="n">
        <v>0</v>
      </c>
      <c r="N191" t="n">
        <v>0</v>
      </c>
      <c r="O191" t="n">
        <v>0</v>
      </c>
      <c r="P191" t="n">
        <v>0</v>
      </c>
      <c r="Q191" t="n">
        <v>0</v>
      </c>
      <c r="R191" s="2" t="inlineStr"/>
    </row>
    <row r="192" ht="15" customHeight="1">
      <c r="A192" t="inlineStr">
        <is>
          <t>A 21754-2025</t>
        </is>
      </c>
      <c r="B192" s="1" t="n">
        <v>45783</v>
      </c>
      <c r="C192" s="1" t="n">
        <v>46203</v>
      </c>
      <c r="D192" t="inlineStr">
        <is>
          <t>VÄSTMANLANDS LÄN</t>
        </is>
      </c>
      <c r="E192" t="inlineStr">
        <is>
          <t>SALA</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37587-2024</t>
        </is>
      </c>
      <c r="B193" s="1" t="n">
        <v>45541</v>
      </c>
      <c r="C193" s="1" t="n">
        <v>46203</v>
      </c>
      <c r="D193" t="inlineStr">
        <is>
          <t>VÄSTMANLANDS LÄN</t>
        </is>
      </c>
      <c r="E193" t="inlineStr">
        <is>
          <t>SALA</t>
        </is>
      </c>
      <c r="G193" t="n">
        <v>1.2</v>
      </c>
      <c r="H193" t="n">
        <v>0</v>
      </c>
      <c r="I193" t="n">
        <v>0</v>
      </c>
      <c r="J193" t="n">
        <v>0</v>
      </c>
      <c r="K193" t="n">
        <v>0</v>
      </c>
      <c r="L193" t="n">
        <v>0</v>
      </c>
      <c r="M193" t="n">
        <v>0</v>
      </c>
      <c r="N193" t="n">
        <v>0</v>
      </c>
      <c r="O193" t="n">
        <v>0</v>
      </c>
      <c r="P193" t="n">
        <v>0</v>
      </c>
      <c r="Q193" t="n">
        <v>0</v>
      </c>
      <c r="R193" s="2" t="inlineStr"/>
    </row>
    <row r="194" ht="15" customHeight="1">
      <c r="A194" t="inlineStr">
        <is>
          <t>A 22353-2025</t>
        </is>
      </c>
      <c r="B194" s="1" t="n">
        <v>45786</v>
      </c>
      <c r="C194" s="1" t="n">
        <v>46203</v>
      </c>
      <c r="D194" t="inlineStr">
        <is>
          <t>VÄSTMANLANDS LÄN</t>
        </is>
      </c>
      <c r="E194" t="inlineStr">
        <is>
          <t>SALA</t>
        </is>
      </c>
      <c r="G194" t="n">
        <v>2.5</v>
      </c>
      <c r="H194" t="n">
        <v>0</v>
      </c>
      <c r="I194" t="n">
        <v>0</v>
      </c>
      <c r="J194" t="n">
        <v>0</v>
      </c>
      <c r="K194" t="n">
        <v>0</v>
      </c>
      <c r="L194" t="n">
        <v>0</v>
      </c>
      <c r="M194" t="n">
        <v>0</v>
      </c>
      <c r="N194" t="n">
        <v>0</v>
      </c>
      <c r="O194" t="n">
        <v>0</v>
      </c>
      <c r="P194" t="n">
        <v>0</v>
      </c>
      <c r="Q194" t="n">
        <v>0</v>
      </c>
      <c r="R194" s="2" t="inlineStr"/>
    </row>
    <row r="195" ht="15" customHeight="1">
      <c r="A195" t="inlineStr">
        <is>
          <t>A 64724-2023</t>
        </is>
      </c>
      <c r="B195" s="1" t="n">
        <v>45281</v>
      </c>
      <c r="C195" s="1" t="n">
        <v>46203</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22370-2025</t>
        </is>
      </c>
      <c r="B196" s="1" t="n">
        <v>45786</v>
      </c>
      <c r="C196" s="1" t="n">
        <v>46203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22383-2025</t>
        </is>
      </c>
      <c r="B197" s="1" t="n">
        <v>45786</v>
      </c>
      <c r="C197" s="1" t="n">
        <v>46203</v>
      </c>
      <c r="D197" t="inlineStr">
        <is>
          <t>VÄSTMANLANDS LÄN</t>
        </is>
      </c>
      <c r="E197" t="inlineStr">
        <is>
          <t>SALA</t>
        </is>
      </c>
      <c r="G197" t="n">
        <v>2.2</v>
      </c>
      <c r="H197" t="n">
        <v>0</v>
      </c>
      <c r="I197" t="n">
        <v>0</v>
      </c>
      <c r="J197" t="n">
        <v>0</v>
      </c>
      <c r="K197" t="n">
        <v>0</v>
      </c>
      <c r="L197" t="n">
        <v>0</v>
      </c>
      <c r="M197" t="n">
        <v>0</v>
      </c>
      <c r="N197" t="n">
        <v>0</v>
      </c>
      <c r="O197" t="n">
        <v>0</v>
      </c>
      <c r="P197" t="n">
        <v>0</v>
      </c>
      <c r="Q197" t="n">
        <v>0</v>
      </c>
      <c r="R197" s="2" t="inlineStr"/>
    </row>
    <row r="198" ht="15" customHeight="1">
      <c r="A198" t="inlineStr">
        <is>
          <t>A 50119-2025</t>
        </is>
      </c>
      <c r="B198" s="1" t="n">
        <v>45943</v>
      </c>
      <c r="C198" s="1" t="n">
        <v>46203</v>
      </c>
      <c r="D198" t="inlineStr">
        <is>
          <t>VÄSTMANLANDS LÄN</t>
        </is>
      </c>
      <c r="E198" t="inlineStr">
        <is>
          <t>SALA</t>
        </is>
      </c>
      <c r="G198" t="n">
        <v>3.3</v>
      </c>
      <c r="H198" t="n">
        <v>0</v>
      </c>
      <c r="I198" t="n">
        <v>0</v>
      </c>
      <c r="J198" t="n">
        <v>0</v>
      </c>
      <c r="K198" t="n">
        <v>0</v>
      </c>
      <c r="L198" t="n">
        <v>0</v>
      </c>
      <c r="M198" t="n">
        <v>0</v>
      </c>
      <c r="N198" t="n">
        <v>0</v>
      </c>
      <c r="O198" t="n">
        <v>0</v>
      </c>
      <c r="P198" t="n">
        <v>0</v>
      </c>
      <c r="Q198" t="n">
        <v>0</v>
      </c>
      <c r="R198" s="2" t="inlineStr"/>
    </row>
    <row r="199" ht="15" customHeight="1">
      <c r="A199" t="inlineStr">
        <is>
          <t>A 50059-2025</t>
        </is>
      </c>
      <c r="B199" s="1" t="n">
        <v>45943</v>
      </c>
      <c r="C199" s="1" t="n">
        <v>46203</v>
      </c>
      <c r="D199" t="inlineStr">
        <is>
          <t>VÄSTMANLANDS LÄN</t>
        </is>
      </c>
      <c r="E199" t="inlineStr">
        <is>
          <t>SALA</t>
        </is>
      </c>
      <c r="G199" t="n">
        <v>4.4</v>
      </c>
      <c r="H199" t="n">
        <v>0</v>
      </c>
      <c r="I199" t="n">
        <v>0</v>
      </c>
      <c r="J199" t="n">
        <v>0</v>
      </c>
      <c r="K199" t="n">
        <v>0</v>
      </c>
      <c r="L199" t="n">
        <v>0</v>
      </c>
      <c r="M199" t="n">
        <v>0</v>
      </c>
      <c r="N199" t="n">
        <v>0</v>
      </c>
      <c r="O199" t="n">
        <v>0</v>
      </c>
      <c r="P199" t="n">
        <v>0</v>
      </c>
      <c r="Q199" t="n">
        <v>0</v>
      </c>
      <c r="R199" s="2" t="inlineStr"/>
    </row>
    <row r="200" ht="15" customHeight="1">
      <c r="A200" t="inlineStr">
        <is>
          <t>A 7176-2023</t>
        </is>
      </c>
      <c r="B200" s="1" t="n">
        <v>44970</v>
      </c>
      <c r="C200" s="1" t="n">
        <v>46203</v>
      </c>
      <c r="D200" t="inlineStr">
        <is>
          <t>VÄSTMANLANDS LÄN</t>
        </is>
      </c>
      <c r="E200" t="inlineStr">
        <is>
          <t>SALA</t>
        </is>
      </c>
      <c r="G200" t="n">
        <v>1.5</v>
      </c>
      <c r="H200" t="n">
        <v>0</v>
      </c>
      <c r="I200" t="n">
        <v>0</v>
      </c>
      <c r="J200" t="n">
        <v>0</v>
      </c>
      <c r="K200" t="n">
        <v>0</v>
      </c>
      <c r="L200" t="n">
        <v>0</v>
      </c>
      <c r="M200" t="n">
        <v>0</v>
      </c>
      <c r="N200" t="n">
        <v>0</v>
      </c>
      <c r="O200" t="n">
        <v>0</v>
      </c>
      <c r="P200" t="n">
        <v>0</v>
      </c>
      <c r="Q200" t="n">
        <v>0</v>
      </c>
      <c r="R200" s="2" t="inlineStr"/>
    </row>
    <row r="201" ht="15" customHeight="1">
      <c r="A201" t="inlineStr">
        <is>
          <t>A 31864-2025</t>
        </is>
      </c>
      <c r="B201" s="1" t="n">
        <v>45834</v>
      </c>
      <c r="C201" s="1" t="n">
        <v>46203</v>
      </c>
      <c r="D201" t="inlineStr">
        <is>
          <t>VÄSTMANLANDS LÄN</t>
        </is>
      </c>
      <c r="E201" t="inlineStr">
        <is>
          <t>SALA</t>
        </is>
      </c>
      <c r="G201" t="n">
        <v>6.3</v>
      </c>
      <c r="H201" t="n">
        <v>0</v>
      </c>
      <c r="I201" t="n">
        <v>0</v>
      </c>
      <c r="J201" t="n">
        <v>0</v>
      </c>
      <c r="K201" t="n">
        <v>0</v>
      </c>
      <c r="L201" t="n">
        <v>0</v>
      </c>
      <c r="M201" t="n">
        <v>0</v>
      </c>
      <c r="N201" t="n">
        <v>0</v>
      </c>
      <c r="O201" t="n">
        <v>0</v>
      </c>
      <c r="P201" t="n">
        <v>0</v>
      </c>
      <c r="Q201" t="n">
        <v>0</v>
      </c>
      <c r="R201" s="2" t="inlineStr"/>
    </row>
    <row r="202" ht="15" customHeight="1">
      <c r="A202" t="inlineStr">
        <is>
          <t>A 40871-2021</t>
        </is>
      </c>
      <c r="B202" s="1" t="n">
        <v>44421</v>
      </c>
      <c r="C202" s="1" t="n">
        <v>46203</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31405-2024</t>
        </is>
      </c>
      <c r="B203" s="1" t="n">
        <v>45505</v>
      </c>
      <c r="C203" s="1" t="n">
        <v>46203</v>
      </c>
      <c r="D203" t="inlineStr">
        <is>
          <t>VÄSTMANLANDS LÄN</t>
        </is>
      </c>
      <c r="E203" t="inlineStr">
        <is>
          <t>SALA</t>
        </is>
      </c>
      <c r="G203" t="n">
        <v>5.2</v>
      </c>
      <c r="H203" t="n">
        <v>0</v>
      </c>
      <c r="I203" t="n">
        <v>0</v>
      </c>
      <c r="J203" t="n">
        <v>0</v>
      </c>
      <c r="K203" t="n">
        <v>0</v>
      </c>
      <c r="L203" t="n">
        <v>0</v>
      </c>
      <c r="M203" t="n">
        <v>0</v>
      </c>
      <c r="N203" t="n">
        <v>0</v>
      </c>
      <c r="O203" t="n">
        <v>0</v>
      </c>
      <c r="P203" t="n">
        <v>0</v>
      </c>
      <c r="Q203" t="n">
        <v>0</v>
      </c>
      <c r="R203" s="2" t="inlineStr"/>
    </row>
    <row r="204" ht="15" customHeight="1">
      <c r="A204" t="inlineStr">
        <is>
          <t>A 19803-2024</t>
        </is>
      </c>
      <c r="B204" s="1" t="n">
        <v>45432</v>
      </c>
      <c r="C204" s="1" t="n">
        <v>46203</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52498-2022</t>
        </is>
      </c>
      <c r="B205" s="1" t="n">
        <v>44874</v>
      </c>
      <c r="C205" s="1" t="n">
        <v>46203</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43600-2024</t>
        </is>
      </c>
      <c r="B206" s="1" t="n">
        <v>45569</v>
      </c>
      <c r="C206" s="1" t="n">
        <v>46203</v>
      </c>
      <c r="D206" t="inlineStr">
        <is>
          <t>VÄSTMANLANDS LÄN</t>
        </is>
      </c>
      <c r="E206" t="inlineStr">
        <is>
          <t>SALA</t>
        </is>
      </c>
      <c r="G206" t="n">
        <v>0.9</v>
      </c>
      <c r="H206" t="n">
        <v>0</v>
      </c>
      <c r="I206" t="n">
        <v>0</v>
      </c>
      <c r="J206" t="n">
        <v>0</v>
      </c>
      <c r="K206" t="n">
        <v>0</v>
      </c>
      <c r="L206" t="n">
        <v>0</v>
      </c>
      <c r="M206" t="n">
        <v>0</v>
      </c>
      <c r="N206" t="n">
        <v>0</v>
      </c>
      <c r="O206" t="n">
        <v>0</v>
      </c>
      <c r="P206" t="n">
        <v>0</v>
      </c>
      <c r="Q206" t="n">
        <v>0</v>
      </c>
      <c r="R206" s="2" t="inlineStr"/>
    </row>
    <row r="207" ht="15" customHeight="1">
      <c r="A207" t="inlineStr">
        <is>
          <t>A 13130-2025</t>
        </is>
      </c>
      <c r="B207" s="1" t="n">
        <v>45734</v>
      </c>
      <c r="C207" s="1" t="n">
        <v>46203</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51626-2025</t>
        </is>
      </c>
      <c r="B208" s="1" t="n">
        <v>45951</v>
      </c>
      <c r="C208" s="1" t="n">
        <v>46203</v>
      </c>
      <c r="D208" t="inlineStr">
        <is>
          <t>VÄSTMANLANDS LÄN</t>
        </is>
      </c>
      <c r="E208" t="inlineStr">
        <is>
          <t>SALA</t>
        </is>
      </c>
      <c r="G208" t="n">
        <v>2.6</v>
      </c>
      <c r="H208" t="n">
        <v>0</v>
      </c>
      <c r="I208" t="n">
        <v>0</v>
      </c>
      <c r="J208" t="n">
        <v>0</v>
      </c>
      <c r="K208" t="n">
        <v>0</v>
      </c>
      <c r="L208" t="n">
        <v>0</v>
      </c>
      <c r="M208" t="n">
        <v>0</v>
      </c>
      <c r="N208" t="n">
        <v>0</v>
      </c>
      <c r="O208" t="n">
        <v>0</v>
      </c>
      <c r="P208" t="n">
        <v>0</v>
      </c>
      <c r="Q208" t="n">
        <v>0</v>
      </c>
      <c r="R208" s="2" t="inlineStr"/>
    </row>
    <row r="209" ht="15" customHeight="1">
      <c r="A209" t="inlineStr">
        <is>
          <t>A 51764-2025</t>
        </is>
      </c>
      <c r="B209" s="1" t="n">
        <v>45951</v>
      </c>
      <c r="C209" s="1" t="n">
        <v>46203</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40556-2025</t>
        </is>
      </c>
      <c r="B210" s="1" t="n">
        <v>45896</v>
      </c>
      <c r="C210" s="1" t="n">
        <v>46203</v>
      </c>
      <c r="D210" t="inlineStr">
        <is>
          <t>VÄSTMANLANDS LÄN</t>
        </is>
      </c>
      <c r="E210" t="inlineStr">
        <is>
          <t>SALA</t>
        </is>
      </c>
      <c r="G210" t="n">
        <v>1.9</v>
      </c>
      <c r="H210" t="n">
        <v>0</v>
      </c>
      <c r="I210" t="n">
        <v>0</v>
      </c>
      <c r="J210" t="n">
        <v>0</v>
      </c>
      <c r="K210" t="n">
        <v>0</v>
      </c>
      <c r="L210" t="n">
        <v>0</v>
      </c>
      <c r="M210" t="n">
        <v>0</v>
      </c>
      <c r="N210" t="n">
        <v>0</v>
      </c>
      <c r="O210" t="n">
        <v>0</v>
      </c>
      <c r="P210" t="n">
        <v>0</v>
      </c>
      <c r="Q210" t="n">
        <v>0</v>
      </c>
      <c r="R210" s="2" t="inlineStr"/>
    </row>
    <row r="211" ht="15" customHeight="1">
      <c r="A211" t="inlineStr">
        <is>
          <t>A 40559-2025</t>
        </is>
      </c>
      <c r="B211" s="1" t="n">
        <v>45896</v>
      </c>
      <c r="C211" s="1" t="n">
        <v>46203</v>
      </c>
      <c r="D211" t="inlineStr">
        <is>
          <t>VÄSTMANLANDS LÄN</t>
        </is>
      </c>
      <c r="E211" t="inlineStr">
        <is>
          <t>SALA</t>
        </is>
      </c>
      <c r="G211" t="n">
        <v>0.9</v>
      </c>
      <c r="H211" t="n">
        <v>0</v>
      </c>
      <c r="I211" t="n">
        <v>0</v>
      </c>
      <c r="J211" t="n">
        <v>0</v>
      </c>
      <c r="K211" t="n">
        <v>0</v>
      </c>
      <c r="L211" t="n">
        <v>0</v>
      </c>
      <c r="M211" t="n">
        <v>0</v>
      </c>
      <c r="N211" t="n">
        <v>0</v>
      </c>
      <c r="O211" t="n">
        <v>0</v>
      </c>
      <c r="P211" t="n">
        <v>0</v>
      </c>
      <c r="Q211" t="n">
        <v>0</v>
      </c>
      <c r="R211" s="2" t="inlineStr"/>
    </row>
    <row r="212" ht="15" customHeight="1">
      <c r="A212" t="inlineStr">
        <is>
          <t>A 24864-2024</t>
        </is>
      </c>
      <c r="B212" s="1" t="n">
        <v>45461</v>
      </c>
      <c r="C212" s="1" t="n">
        <v>46203</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1118-2024</t>
        </is>
      </c>
      <c r="B213" s="1" t="n">
        <v>45302</v>
      </c>
      <c r="C213" s="1" t="n">
        <v>46203</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22126-2025</t>
        </is>
      </c>
      <c r="B214" s="1" t="n">
        <v>45785</v>
      </c>
      <c r="C214" s="1" t="n">
        <v>46203</v>
      </c>
      <c r="D214" t="inlineStr">
        <is>
          <t>VÄSTMANLANDS LÄN</t>
        </is>
      </c>
      <c r="E214" t="inlineStr">
        <is>
          <t>SALA</t>
        </is>
      </c>
      <c r="G214" t="n">
        <v>10.6</v>
      </c>
      <c r="H214" t="n">
        <v>0</v>
      </c>
      <c r="I214" t="n">
        <v>0</v>
      </c>
      <c r="J214" t="n">
        <v>0</v>
      </c>
      <c r="K214" t="n">
        <v>0</v>
      </c>
      <c r="L214" t="n">
        <v>0</v>
      </c>
      <c r="M214" t="n">
        <v>0</v>
      </c>
      <c r="N214" t="n">
        <v>0</v>
      </c>
      <c r="O214" t="n">
        <v>0</v>
      </c>
      <c r="P214" t="n">
        <v>0</v>
      </c>
      <c r="Q214" t="n">
        <v>0</v>
      </c>
      <c r="R214" s="2" t="inlineStr"/>
    </row>
    <row r="215" ht="15" customHeight="1">
      <c r="A215" t="inlineStr">
        <is>
          <t>A 23810-2025</t>
        </is>
      </c>
      <c r="B215" s="1" t="n">
        <v>45793</v>
      </c>
      <c r="C215" s="1" t="n">
        <v>46203</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63933-2023</t>
        </is>
      </c>
      <c r="B216" s="1" t="n">
        <v>45278</v>
      </c>
      <c r="C216" s="1" t="n">
        <v>46203</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24944-2023</t>
        </is>
      </c>
      <c r="B217" s="1" t="n">
        <v>45085</v>
      </c>
      <c r="C217" s="1" t="n">
        <v>46203</v>
      </c>
      <c r="D217" t="inlineStr">
        <is>
          <t>VÄSTMANLANDS LÄN</t>
        </is>
      </c>
      <c r="E217" t="inlineStr">
        <is>
          <t>SALA</t>
        </is>
      </c>
      <c r="G217" t="n">
        <v>3.8</v>
      </c>
      <c r="H217" t="n">
        <v>0</v>
      </c>
      <c r="I217" t="n">
        <v>0</v>
      </c>
      <c r="J217" t="n">
        <v>0</v>
      </c>
      <c r="K217" t="n">
        <v>0</v>
      </c>
      <c r="L217" t="n">
        <v>0</v>
      </c>
      <c r="M217" t="n">
        <v>0</v>
      </c>
      <c r="N217" t="n">
        <v>0</v>
      </c>
      <c r="O217" t="n">
        <v>0</v>
      </c>
      <c r="P217" t="n">
        <v>0</v>
      </c>
      <c r="Q217" t="n">
        <v>0</v>
      </c>
      <c r="R217" s="2" t="inlineStr"/>
    </row>
    <row r="218" ht="15" customHeight="1">
      <c r="A218" t="inlineStr">
        <is>
          <t>A 53744-2025</t>
        </is>
      </c>
      <c r="B218" s="1" t="n">
        <v>45960</v>
      </c>
      <c r="C218" s="1" t="n">
        <v>46203</v>
      </c>
      <c r="D218" t="inlineStr">
        <is>
          <t>VÄSTMANLANDS LÄN</t>
        </is>
      </c>
      <c r="E218" t="inlineStr">
        <is>
          <t>SALA</t>
        </is>
      </c>
      <c r="G218" t="n">
        <v>2</v>
      </c>
      <c r="H218" t="n">
        <v>0</v>
      </c>
      <c r="I218" t="n">
        <v>0</v>
      </c>
      <c r="J218" t="n">
        <v>0</v>
      </c>
      <c r="K218" t="n">
        <v>0</v>
      </c>
      <c r="L218" t="n">
        <v>0</v>
      </c>
      <c r="M218" t="n">
        <v>0</v>
      </c>
      <c r="N218" t="n">
        <v>0</v>
      </c>
      <c r="O218" t="n">
        <v>0</v>
      </c>
      <c r="P218" t="n">
        <v>0</v>
      </c>
      <c r="Q218" t="n">
        <v>0</v>
      </c>
      <c r="R218" s="2" t="inlineStr"/>
    </row>
    <row r="219" ht="15" customHeight="1">
      <c r="A219" t="inlineStr">
        <is>
          <t>A 53725-2025</t>
        </is>
      </c>
      <c r="B219" s="1" t="n">
        <v>45960</v>
      </c>
      <c r="C219" s="1" t="n">
        <v>46203</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37190-2024</t>
        </is>
      </c>
      <c r="B220" s="1" t="n">
        <v>45539</v>
      </c>
      <c r="C220" s="1" t="n">
        <v>46203</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23804-2025</t>
        </is>
      </c>
      <c r="B221" s="1" t="n">
        <v>45793</v>
      </c>
      <c r="C221" s="1" t="n">
        <v>46203</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11210-2025</t>
        </is>
      </c>
      <c r="B222" s="1" t="n">
        <v>45726</v>
      </c>
      <c r="C222" s="1" t="n">
        <v>46203</v>
      </c>
      <c r="D222" t="inlineStr">
        <is>
          <t>VÄSTMANLANDS LÄN</t>
        </is>
      </c>
      <c r="E222" t="inlineStr">
        <is>
          <t>SALA</t>
        </is>
      </c>
      <c r="G222" t="n">
        <v>4.1</v>
      </c>
      <c r="H222" t="n">
        <v>0</v>
      </c>
      <c r="I222" t="n">
        <v>0</v>
      </c>
      <c r="J222" t="n">
        <v>0</v>
      </c>
      <c r="K222" t="n">
        <v>0</v>
      </c>
      <c r="L222" t="n">
        <v>0</v>
      </c>
      <c r="M222" t="n">
        <v>0</v>
      </c>
      <c r="N222" t="n">
        <v>0</v>
      </c>
      <c r="O222" t="n">
        <v>0</v>
      </c>
      <c r="P222" t="n">
        <v>0</v>
      </c>
      <c r="Q222" t="n">
        <v>0</v>
      </c>
      <c r="R222" s="2" t="inlineStr"/>
    </row>
    <row r="223" ht="15" customHeight="1">
      <c r="A223" t="inlineStr">
        <is>
          <t>A 39439-2021</t>
        </is>
      </c>
      <c r="B223" s="1" t="n">
        <v>44414</v>
      </c>
      <c r="C223" s="1" t="n">
        <v>46203</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53724-2025</t>
        </is>
      </c>
      <c r="B224" s="1" t="n">
        <v>45960</v>
      </c>
      <c r="C224" s="1" t="n">
        <v>46203</v>
      </c>
      <c r="D224" t="inlineStr">
        <is>
          <t>VÄSTMANLANDS LÄN</t>
        </is>
      </c>
      <c r="E224" t="inlineStr">
        <is>
          <t>SALA</t>
        </is>
      </c>
      <c r="G224" t="n">
        <v>2.8</v>
      </c>
      <c r="H224" t="n">
        <v>0</v>
      </c>
      <c r="I224" t="n">
        <v>0</v>
      </c>
      <c r="J224" t="n">
        <v>0</v>
      </c>
      <c r="K224" t="n">
        <v>0</v>
      </c>
      <c r="L224" t="n">
        <v>0</v>
      </c>
      <c r="M224" t="n">
        <v>0</v>
      </c>
      <c r="N224" t="n">
        <v>0</v>
      </c>
      <c r="O224" t="n">
        <v>0</v>
      </c>
      <c r="P224" t="n">
        <v>0</v>
      </c>
      <c r="Q224" t="n">
        <v>0</v>
      </c>
      <c r="R224" s="2" t="inlineStr"/>
    </row>
    <row r="225" ht="15" customHeight="1">
      <c r="A225" t="inlineStr">
        <is>
          <t>A 19297-2025</t>
        </is>
      </c>
      <c r="B225" s="1" t="n">
        <v>45769</v>
      </c>
      <c r="C225" s="1" t="n">
        <v>46203</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21968-2024</t>
        </is>
      </c>
      <c r="B226" s="1" t="n">
        <v>45443</v>
      </c>
      <c r="C226" s="1" t="n">
        <v>46203</v>
      </c>
      <c r="D226" t="inlineStr">
        <is>
          <t>VÄSTMANLANDS LÄN</t>
        </is>
      </c>
      <c r="E226" t="inlineStr">
        <is>
          <t>SALA</t>
        </is>
      </c>
      <c r="G226" t="n">
        <v>1.9</v>
      </c>
      <c r="H226" t="n">
        <v>0</v>
      </c>
      <c r="I226" t="n">
        <v>0</v>
      </c>
      <c r="J226" t="n">
        <v>0</v>
      </c>
      <c r="K226" t="n">
        <v>0</v>
      </c>
      <c r="L226" t="n">
        <v>0</v>
      </c>
      <c r="M226" t="n">
        <v>0</v>
      </c>
      <c r="N226" t="n">
        <v>0</v>
      </c>
      <c r="O226" t="n">
        <v>0</v>
      </c>
      <c r="P226" t="n">
        <v>0</v>
      </c>
      <c r="Q226" t="n">
        <v>0</v>
      </c>
      <c r="R226" s="2" t="inlineStr"/>
    </row>
    <row r="227" ht="15" customHeight="1">
      <c r="A227" t="inlineStr">
        <is>
          <t>A 11389-2024</t>
        </is>
      </c>
      <c r="B227" s="1" t="n">
        <v>45372</v>
      </c>
      <c r="C227" s="1" t="n">
        <v>46203</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56706-2022</t>
        </is>
      </c>
      <c r="B228" s="1" t="n">
        <v>44893</v>
      </c>
      <c r="C228" s="1" t="n">
        <v>46203</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56707-2022</t>
        </is>
      </c>
      <c r="B229" s="1" t="n">
        <v>44893</v>
      </c>
      <c r="C229" s="1" t="n">
        <v>46203</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30971-2022</t>
        </is>
      </c>
      <c r="B230" s="1" t="n">
        <v>44768</v>
      </c>
      <c r="C230" s="1" t="n">
        <v>46203</v>
      </c>
      <c r="D230" t="inlineStr">
        <is>
          <t>VÄSTMANLANDS LÄN</t>
        </is>
      </c>
      <c r="E230" t="inlineStr">
        <is>
          <t>SALA</t>
        </is>
      </c>
      <c r="G230" t="n">
        <v>2.4</v>
      </c>
      <c r="H230" t="n">
        <v>0</v>
      </c>
      <c r="I230" t="n">
        <v>0</v>
      </c>
      <c r="J230" t="n">
        <v>0</v>
      </c>
      <c r="K230" t="n">
        <v>0</v>
      </c>
      <c r="L230" t="n">
        <v>0</v>
      </c>
      <c r="M230" t="n">
        <v>0</v>
      </c>
      <c r="N230" t="n">
        <v>0</v>
      </c>
      <c r="O230" t="n">
        <v>0</v>
      </c>
      <c r="P230" t="n">
        <v>0</v>
      </c>
      <c r="Q230" t="n">
        <v>0</v>
      </c>
      <c r="R230" s="2" t="inlineStr"/>
    </row>
    <row r="231" ht="15" customHeight="1">
      <c r="A231" t="inlineStr">
        <is>
          <t>A 42421-2025</t>
        </is>
      </c>
      <c r="B231" s="1" t="n">
        <v>45905</v>
      </c>
      <c r="C231" s="1" t="n">
        <v>46203</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55065-2024</t>
        </is>
      </c>
      <c r="B232" s="1" t="n">
        <v>45618</v>
      </c>
      <c r="C232" s="1" t="n">
        <v>46203</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43028-2025</t>
        </is>
      </c>
      <c r="B233" s="1" t="n">
        <v>45909</v>
      </c>
      <c r="C233" s="1" t="n">
        <v>46203</v>
      </c>
      <c r="D233" t="inlineStr">
        <is>
          <t>VÄSTMANLANDS LÄN</t>
        </is>
      </c>
      <c r="E233" t="inlineStr">
        <is>
          <t>SALA</t>
        </is>
      </c>
      <c r="G233" t="n">
        <v>3.8</v>
      </c>
      <c r="H233" t="n">
        <v>0</v>
      </c>
      <c r="I233" t="n">
        <v>0</v>
      </c>
      <c r="J233" t="n">
        <v>0</v>
      </c>
      <c r="K233" t="n">
        <v>0</v>
      </c>
      <c r="L233" t="n">
        <v>0</v>
      </c>
      <c r="M233" t="n">
        <v>0</v>
      </c>
      <c r="N233" t="n">
        <v>0</v>
      </c>
      <c r="O233" t="n">
        <v>0</v>
      </c>
      <c r="P233" t="n">
        <v>0</v>
      </c>
      <c r="Q233" t="n">
        <v>0</v>
      </c>
      <c r="R233" s="2" t="inlineStr"/>
    </row>
    <row r="234" ht="15" customHeight="1">
      <c r="A234" t="inlineStr">
        <is>
          <t>A 43031-2025</t>
        </is>
      </c>
      <c r="B234" s="1" t="n">
        <v>45909</v>
      </c>
      <c r="C234" s="1" t="n">
        <v>46203</v>
      </c>
      <c r="D234" t="inlineStr">
        <is>
          <t>VÄSTMANLANDS LÄN</t>
        </is>
      </c>
      <c r="E234" t="inlineStr">
        <is>
          <t>SALA</t>
        </is>
      </c>
      <c r="G234" t="n">
        <v>0.2</v>
      </c>
      <c r="H234" t="n">
        <v>0</v>
      </c>
      <c r="I234" t="n">
        <v>0</v>
      </c>
      <c r="J234" t="n">
        <v>0</v>
      </c>
      <c r="K234" t="n">
        <v>0</v>
      </c>
      <c r="L234" t="n">
        <v>0</v>
      </c>
      <c r="M234" t="n">
        <v>0</v>
      </c>
      <c r="N234" t="n">
        <v>0</v>
      </c>
      <c r="O234" t="n">
        <v>0</v>
      </c>
      <c r="P234" t="n">
        <v>0</v>
      </c>
      <c r="Q234" t="n">
        <v>0</v>
      </c>
      <c r="R234" s="2" t="inlineStr"/>
    </row>
    <row r="235" ht="15" customHeight="1">
      <c r="A235" t="inlineStr">
        <is>
          <t>A 37263-2025</t>
        </is>
      </c>
      <c r="B235" s="1" t="n">
        <v>45876</v>
      </c>
      <c r="C235" s="1" t="n">
        <v>46203</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40554-2025</t>
        </is>
      </c>
      <c r="B236" s="1" t="n">
        <v>45896</v>
      </c>
      <c r="C236" s="1" t="n">
        <v>46203</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43130-2025</t>
        </is>
      </c>
      <c r="B237" s="1" t="n">
        <v>45909</v>
      </c>
      <c r="C237" s="1" t="n">
        <v>46203</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43128-2025</t>
        </is>
      </c>
      <c r="B238" s="1" t="n">
        <v>45909</v>
      </c>
      <c r="C238" s="1" t="n">
        <v>46203</v>
      </c>
      <c r="D238" t="inlineStr">
        <is>
          <t>VÄSTMANLANDS LÄN</t>
        </is>
      </c>
      <c r="E238" t="inlineStr">
        <is>
          <t>SALA</t>
        </is>
      </c>
      <c r="G238" t="n">
        <v>0.7</v>
      </c>
      <c r="H238" t="n">
        <v>0</v>
      </c>
      <c r="I238" t="n">
        <v>0</v>
      </c>
      <c r="J238" t="n">
        <v>0</v>
      </c>
      <c r="K238" t="n">
        <v>0</v>
      </c>
      <c r="L238" t="n">
        <v>0</v>
      </c>
      <c r="M238" t="n">
        <v>0</v>
      </c>
      <c r="N238" t="n">
        <v>0</v>
      </c>
      <c r="O238" t="n">
        <v>0</v>
      </c>
      <c r="P238" t="n">
        <v>0</v>
      </c>
      <c r="Q238" t="n">
        <v>0</v>
      </c>
      <c r="R238" s="2" t="inlineStr"/>
    </row>
    <row r="239" ht="15" customHeight="1">
      <c r="A239" t="inlineStr">
        <is>
          <t>A 24907-2025</t>
        </is>
      </c>
      <c r="B239" s="1" t="n">
        <v>45799</v>
      </c>
      <c r="C239" s="1" t="n">
        <v>46203</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19033-2025</t>
        </is>
      </c>
      <c r="B240" s="1" t="n">
        <v>45764</v>
      </c>
      <c r="C240" s="1" t="n">
        <v>46203</v>
      </c>
      <c r="D240" t="inlineStr">
        <is>
          <t>VÄSTMANLANDS LÄN</t>
        </is>
      </c>
      <c r="E240" t="inlineStr">
        <is>
          <t>SALA</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44486-2025</t>
        </is>
      </c>
      <c r="B241" s="1" t="n">
        <v>45916</v>
      </c>
      <c r="C241" s="1" t="n">
        <v>46203</v>
      </c>
      <c r="D241" t="inlineStr">
        <is>
          <t>VÄSTMANLANDS LÄN</t>
        </is>
      </c>
      <c r="E241" t="inlineStr">
        <is>
          <t>SALA</t>
        </is>
      </c>
      <c r="G241" t="n">
        <v>1.7</v>
      </c>
      <c r="H241" t="n">
        <v>0</v>
      </c>
      <c r="I241" t="n">
        <v>0</v>
      </c>
      <c r="J241" t="n">
        <v>0</v>
      </c>
      <c r="K241" t="n">
        <v>0</v>
      </c>
      <c r="L241" t="n">
        <v>0</v>
      </c>
      <c r="M241" t="n">
        <v>0</v>
      </c>
      <c r="N241" t="n">
        <v>0</v>
      </c>
      <c r="O241" t="n">
        <v>0</v>
      </c>
      <c r="P241" t="n">
        <v>0</v>
      </c>
      <c r="Q241" t="n">
        <v>0</v>
      </c>
      <c r="R241" s="2" t="inlineStr"/>
    </row>
    <row r="242" ht="15" customHeight="1">
      <c r="A242" t="inlineStr">
        <is>
          <t>A 44524-2025</t>
        </is>
      </c>
      <c r="B242" s="1" t="n">
        <v>45916</v>
      </c>
      <c r="C242" s="1" t="n">
        <v>46203</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56614-2025</t>
        </is>
      </c>
      <c r="B243" s="1" t="n">
        <v>45975</v>
      </c>
      <c r="C243" s="1" t="n">
        <v>46203</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56611-2025</t>
        </is>
      </c>
      <c r="B244" s="1" t="n">
        <v>45975</v>
      </c>
      <c r="C244" s="1" t="n">
        <v>46203</v>
      </c>
      <c r="D244" t="inlineStr">
        <is>
          <t>VÄSTMANLANDS LÄN</t>
        </is>
      </c>
      <c r="E244" t="inlineStr">
        <is>
          <t>SALA</t>
        </is>
      </c>
      <c r="G244" t="n">
        <v>2.8</v>
      </c>
      <c r="H244" t="n">
        <v>0</v>
      </c>
      <c r="I244" t="n">
        <v>0</v>
      </c>
      <c r="J244" t="n">
        <v>0</v>
      </c>
      <c r="K244" t="n">
        <v>0</v>
      </c>
      <c r="L244" t="n">
        <v>0</v>
      </c>
      <c r="M244" t="n">
        <v>0</v>
      </c>
      <c r="N244" t="n">
        <v>0</v>
      </c>
      <c r="O244" t="n">
        <v>0</v>
      </c>
      <c r="P244" t="n">
        <v>0</v>
      </c>
      <c r="Q244" t="n">
        <v>0</v>
      </c>
      <c r="R244" s="2" t="inlineStr"/>
    </row>
    <row r="245" ht="15" customHeight="1">
      <c r="A245" t="inlineStr">
        <is>
          <t>A 57014-2025</t>
        </is>
      </c>
      <c r="B245" s="1" t="n">
        <v>45978</v>
      </c>
      <c r="C245" s="1" t="n">
        <v>46203</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56593-2025</t>
        </is>
      </c>
      <c r="B246" s="1" t="n">
        <v>45975</v>
      </c>
      <c r="C246" s="1" t="n">
        <v>46203</v>
      </c>
      <c r="D246" t="inlineStr">
        <is>
          <t>VÄSTMANLANDS LÄN</t>
        </is>
      </c>
      <c r="E246" t="inlineStr">
        <is>
          <t>SALA</t>
        </is>
      </c>
      <c r="F246" t="inlineStr">
        <is>
          <t>Kyrkan</t>
        </is>
      </c>
      <c r="G246" t="n">
        <v>0.1</v>
      </c>
      <c r="H246" t="n">
        <v>0</v>
      </c>
      <c r="I246" t="n">
        <v>0</v>
      </c>
      <c r="J246" t="n">
        <v>0</v>
      </c>
      <c r="K246" t="n">
        <v>0</v>
      </c>
      <c r="L246" t="n">
        <v>0</v>
      </c>
      <c r="M246" t="n">
        <v>0</v>
      </c>
      <c r="N246" t="n">
        <v>0</v>
      </c>
      <c r="O246" t="n">
        <v>0</v>
      </c>
      <c r="P246" t="n">
        <v>0</v>
      </c>
      <c r="Q246" t="n">
        <v>0</v>
      </c>
      <c r="R246" s="2" t="inlineStr"/>
    </row>
    <row r="247" ht="15" customHeight="1">
      <c r="A247" t="inlineStr">
        <is>
          <t>A 56645-2025</t>
        </is>
      </c>
      <c r="B247" s="1" t="n">
        <v>45975</v>
      </c>
      <c r="C247" s="1" t="n">
        <v>46203</v>
      </c>
      <c r="D247" t="inlineStr">
        <is>
          <t>VÄSTMANLANDS LÄN</t>
        </is>
      </c>
      <c r="E247" t="inlineStr">
        <is>
          <t>SALA</t>
        </is>
      </c>
      <c r="F247" t="inlineStr">
        <is>
          <t>Bergvik skog öst AB</t>
        </is>
      </c>
      <c r="G247" t="n">
        <v>5.3</v>
      </c>
      <c r="H247" t="n">
        <v>0</v>
      </c>
      <c r="I247" t="n">
        <v>0</v>
      </c>
      <c r="J247" t="n">
        <v>0</v>
      </c>
      <c r="K247" t="n">
        <v>0</v>
      </c>
      <c r="L247" t="n">
        <v>0</v>
      </c>
      <c r="M247" t="n">
        <v>0</v>
      </c>
      <c r="N247" t="n">
        <v>0</v>
      </c>
      <c r="O247" t="n">
        <v>0</v>
      </c>
      <c r="P247" t="n">
        <v>0</v>
      </c>
      <c r="Q247" t="n">
        <v>0</v>
      </c>
      <c r="R247" s="2" t="inlineStr"/>
    </row>
    <row r="248" ht="15" customHeight="1">
      <c r="A248" t="inlineStr">
        <is>
          <t>A 57412-2025</t>
        </is>
      </c>
      <c r="B248" s="1" t="n">
        <v>45980</v>
      </c>
      <c r="C248" s="1" t="n">
        <v>46203</v>
      </c>
      <c r="D248" t="inlineStr">
        <is>
          <t>VÄSTMANLANDS LÄN</t>
        </is>
      </c>
      <c r="E248" t="inlineStr">
        <is>
          <t>SALA</t>
        </is>
      </c>
      <c r="F248" t="inlineStr">
        <is>
          <t>Bergvik skog öst AB</t>
        </is>
      </c>
      <c r="G248" t="n">
        <v>4.5</v>
      </c>
      <c r="H248" t="n">
        <v>0</v>
      </c>
      <c r="I248" t="n">
        <v>0</v>
      </c>
      <c r="J248" t="n">
        <v>0</v>
      </c>
      <c r="K248" t="n">
        <v>0</v>
      </c>
      <c r="L248" t="n">
        <v>0</v>
      </c>
      <c r="M248" t="n">
        <v>0</v>
      </c>
      <c r="N248" t="n">
        <v>0</v>
      </c>
      <c r="O248" t="n">
        <v>0</v>
      </c>
      <c r="P248" t="n">
        <v>0</v>
      </c>
      <c r="Q248" t="n">
        <v>0</v>
      </c>
      <c r="R248" s="2" t="inlineStr"/>
    </row>
    <row r="249" ht="15" customHeight="1">
      <c r="A249" t="inlineStr">
        <is>
          <t>A 57414-2025</t>
        </is>
      </c>
      <c r="B249" s="1" t="n">
        <v>45980</v>
      </c>
      <c r="C249" s="1" t="n">
        <v>46203</v>
      </c>
      <c r="D249" t="inlineStr">
        <is>
          <t>VÄSTMANLANDS LÄN</t>
        </is>
      </c>
      <c r="E249" t="inlineStr">
        <is>
          <t>SALA</t>
        </is>
      </c>
      <c r="F249" t="inlineStr">
        <is>
          <t>Bergvik skog öst AB</t>
        </is>
      </c>
      <c r="G249" t="n">
        <v>2</v>
      </c>
      <c r="H249" t="n">
        <v>0</v>
      </c>
      <c r="I249" t="n">
        <v>0</v>
      </c>
      <c r="J249" t="n">
        <v>0</v>
      </c>
      <c r="K249" t="n">
        <v>0</v>
      </c>
      <c r="L249" t="n">
        <v>0</v>
      </c>
      <c r="M249" t="n">
        <v>0</v>
      </c>
      <c r="N249" t="n">
        <v>0</v>
      </c>
      <c r="O249" t="n">
        <v>0</v>
      </c>
      <c r="P249" t="n">
        <v>0</v>
      </c>
      <c r="Q249" t="n">
        <v>0</v>
      </c>
      <c r="R249" s="2" t="inlineStr"/>
    </row>
    <row r="250" ht="15" customHeight="1">
      <c r="A250" t="inlineStr">
        <is>
          <t>A 57415-2025</t>
        </is>
      </c>
      <c r="B250" s="1" t="n">
        <v>45980</v>
      </c>
      <c r="C250" s="1" t="n">
        <v>46203</v>
      </c>
      <c r="D250" t="inlineStr">
        <is>
          <t>VÄSTMANLANDS LÄN</t>
        </is>
      </c>
      <c r="E250" t="inlineStr">
        <is>
          <t>SALA</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46661-2025</t>
        </is>
      </c>
      <c r="B251" s="1" t="n">
        <v>45926</v>
      </c>
      <c r="C251" s="1" t="n">
        <v>46203</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2900-2023</t>
        </is>
      </c>
      <c r="B252" s="1" t="n">
        <v>44943</v>
      </c>
      <c r="C252" s="1" t="n">
        <v>46203</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28284-2025</t>
        </is>
      </c>
      <c r="B253" s="1" t="n">
        <v>45818</v>
      </c>
      <c r="C253" s="1" t="n">
        <v>46203</v>
      </c>
      <c r="D253" t="inlineStr">
        <is>
          <t>VÄSTMANLANDS LÄN</t>
        </is>
      </c>
      <c r="E253" t="inlineStr">
        <is>
          <t>SALA</t>
        </is>
      </c>
      <c r="G253" t="n">
        <v>2.4</v>
      </c>
      <c r="H253" t="n">
        <v>0</v>
      </c>
      <c r="I253" t="n">
        <v>0</v>
      </c>
      <c r="J253" t="n">
        <v>0</v>
      </c>
      <c r="K253" t="n">
        <v>0</v>
      </c>
      <c r="L253" t="n">
        <v>0</v>
      </c>
      <c r="M253" t="n">
        <v>0</v>
      </c>
      <c r="N253" t="n">
        <v>0</v>
      </c>
      <c r="O253" t="n">
        <v>0</v>
      </c>
      <c r="P253" t="n">
        <v>0</v>
      </c>
      <c r="Q253" t="n">
        <v>0</v>
      </c>
      <c r="R253" s="2" t="inlineStr"/>
    </row>
    <row r="254" ht="15" customHeight="1">
      <c r="A254" t="inlineStr">
        <is>
          <t>A 58357-2025</t>
        </is>
      </c>
      <c r="B254" s="1" t="n">
        <v>45985</v>
      </c>
      <c r="C254" s="1" t="n">
        <v>46203</v>
      </c>
      <c r="D254" t="inlineStr">
        <is>
          <t>VÄSTMANLANDS LÄN</t>
        </is>
      </c>
      <c r="E254" t="inlineStr">
        <is>
          <t>SALA</t>
        </is>
      </c>
      <c r="G254" t="n">
        <v>3</v>
      </c>
      <c r="H254" t="n">
        <v>0</v>
      </c>
      <c r="I254" t="n">
        <v>0</v>
      </c>
      <c r="J254" t="n">
        <v>0</v>
      </c>
      <c r="K254" t="n">
        <v>0</v>
      </c>
      <c r="L254" t="n">
        <v>0</v>
      </c>
      <c r="M254" t="n">
        <v>0</v>
      </c>
      <c r="N254" t="n">
        <v>0</v>
      </c>
      <c r="O254" t="n">
        <v>0</v>
      </c>
      <c r="P254" t="n">
        <v>0</v>
      </c>
      <c r="Q254" t="n">
        <v>0</v>
      </c>
      <c r="R254" s="2" t="inlineStr"/>
    </row>
    <row r="255" ht="15" customHeight="1">
      <c r="A255" t="inlineStr">
        <is>
          <t>A 46915-2025</t>
        </is>
      </c>
      <c r="B255" s="1" t="n">
        <v>45929</v>
      </c>
      <c r="C255" s="1" t="n">
        <v>46203</v>
      </c>
      <c r="D255" t="inlineStr">
        <is>
          <t>VÄSTMANLANDS LÄN</t>
        </is>
      </c>
      <c r="E255" t="inlineStr">
        <is>
          <t>SALA</t>
        </is>
      </c>
      <c r="G255" t="n">
        <v>1.5</v>
      </c>
      <c r="H255" t="n">
        <v>0</v>
      </c>
      <c r="I255" t="n">
        <v>0</v>
      </c>
      <c r="J255" t="n">
        <v>0</v>
      </c>
      <c r="K255" t="n">
        <v>0</v>
      </c>
      <c r="L255" t="n">
        <v>0</v>
      </c>
      <c r="M255" t="n">
        <v>0</v>
      </c>
      <c r="N255" t="n">
        <v>0</v>
      </c>
      <c r="O255" t="n">
        <v>0</v>
      </c>
      <c r="P255" t="n">
        <v>0</v>
      </c>
      <c r="Q255" t="n">
        <v>0</v>
      </c>
      <c r="R255" s="2" t="inlineStr"/>
    </row>
    <row r="256" ht="15" customHeight="1">
      <c r="A256" t="inlineStr">
        <is>
          <t>A 55760-2025</t>
        </is>
      </c>
      <c r="B256" s="1" t="n">
        <v>45972</v>
      </c>
      <c r="C256" s="1" t="n">
        <v>46203</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58365-2025</t>
        </is>
      </c>
      <c r="B257" s="1" t="n">
        <v>45985</v>
      </c>
      <c r="C257" s="1" t="n">
        <v>46203</v>
      </c>
      <c r="D257" t="inlineStr">
        <is>
          <t>VÄSTMANLANDS LÄN</t>
        </is>
      </c>
      <c r="E257" t="inlineStr">
        <is>
          <t>SALA</t>
        </is>
      </c>
      <c r="G257" t="n">
        <v>3.9</v>
      </c>
      <c r="H257" t="n">
        <v>0</v>
      </c>
      <c r="I257" t="n">
        <v>0</v>
      </c>
      <c r="J257" t="n">
        <v>0</v>
      </c>
      <c r="K257" t="n">
        <v>0</v>
      </c>
      <c r="L257" t="n">
        <v>0</v>
      </c>
      <c r="M257" t="n">
        <v>0</v>
      </c>
      <c r="N257" t="n">
        <v>0</v>
      </c>
      <c r="O257" t="n">
        <v>0</v>
      </c>
      <c r="P257" t="n">
        <v>0</v>
      </c>
      <c r="Q257" t="n">
        <v>0</v>
      </c>
      <c r="R257" s="2" t="inlineStr"/>
    </row>
    <row r="258" ht="15" customHeight="1">
      <c r="A258" t="inlineStr">
        <is>
          <t>A 58359-2025</t>
        </is>
      </c>
      <c r="B258" s="1" t="n">
        <v>45985</v>
      </c>
      <c r="C258" s="1" t="n">
        <v>46203</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58364-2025</t>
        </is>
      </c>
      <c r="B259" s="1" t="n">
        <v>45985</v>
      </c>
      <c r="C259" s="1" t="n">
        <v>46203</v>
      </c>
      <c r="D259" t="inlineStr">
        <is>
          <t>VÄSTMANLANDS LÄN</t>
        </is>
      </c>
      <c r="E259" t="inlineStr">
        <is>
          <t>SALA</t>
        </is>
      </c>
      <c r="G259" t="n">
        <v>2.1</v>
      </c>
      <c r="H259" t="n">
        <v>0</v>
      </c>
      <c r="I259" t="n">
        <v>0</v>
      </c>
      <c r="J259" t="n">
        <v>0</v>
      </c>
      <c r="K259" t="n">
        <v>0</v>
      </c>
      <c r="L259" t="n">
        <v>0</v>
      </c>
      <c r="M259" t="n">
        <v>0</v>
      </c>
      <c r="N259" t="n">
        <v>0</v>
      </c>
      <c r="O259" t="n">
        <v>0</v>
      </c>
      <c r="P259" t="n">
        <v>0</v>
      </c>
      <c r="Q259" t="n">
        <v>0</v>
      </c>
      <c r="R259" s="2" t="inlineStr"/>
    </row>
    <row r="260" ht="15" customHeight="1">
      <c r="A260" t="inlineStr">
        <is>
          <t>A 29085-2025</t>
        </is>
      </c>
      <c r="B260" s="1" t="n">
        <v>45821</v>
      </c>
      <c r="C260" s="1" t="n">
        <v>46203</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60541-2024</t>
        </is>
      </c>
      <c r="B261" s="1" t="n">
        <v>45643</v>
      </c>
      <c r="C261" s="1" t="n">
        <v>46203</v>
      </c>
      <c r="D261" t="inlineStr">
        <is>
          <t>VÄSTMANLANDS LÄN</t>
        </is>
      </c>
      <c r="E261" t="inlineStr">
        <is>
          <t>SALA</t>
        </is>
      </c>
      <c r="G261" t="n">
        <v>10.6</v>
      </c>
      <c r="H261" t="n">
        <v>0</v>
      </c>
      <c r="I261" t="n">
        <v>0</v>
      </c>
      <c r="J261" t="n">
        <v>0</v>
      </c>
      <c r="K261" t="n">
        <v>0</v>
      </c>
      <c r="L261" t="n">
        <v>0</v>
      </c>
      <c r="M261" t="n">
        <v>0</v>
      </c>
      <c r="N261" t="n">
        <v>0</v>
      </c>
      <c r="O261" t="n">
        <v>0</v>
      </c>
      <c r="P261" t="n">
        <v>0</v>
      </c>
      <c r="Q261" t="n">
        <v>0</v>
      </c>
      <c r="R261" s="2" t="inlineStr"/>
    </row>
    <row r="262" ht="15" customHeight="1">
      <c r="A262" t="inlineStr">
        <is>
          <t>A 29826-2025</t>
        </is>
      </c>
      <c r="B262" s="1" t="n">
        <v>45825</v>
      </c>
      <c r="C262" s="1" t="n">
        <v>46203</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60730-2023</t>
        </is>
      </c>
      <c r="B263" s="1" t="n">
        <v>45260</v>
      </c>
      <c r="C263" s="1" t="n">
        <v>46203</v>
      </c>
      <c r="D263" t="inlineStr">
        <is>
          <t>VÄSTMANLANDS LÄN</t>
        </is>
      </c>
      <c r="E263" t="inlineStr">
        <is>
          <t>SALA</t>
        </is>
      </c>
      <c r="G263" t="n">
        <v>1.3</v>
      </c>
      <c r="H263" t="n">
        <v>0</v>
      </c>
      <c r="I263" t="n">
        <v>0</v>
      </c>
      <c r="J263" t="n">
        <v>0</v>
      </c>
      <c r="K263" t="n">
        <v>0</v>
      </c>
      <c r="L263" t="n">
        <v>0</v>
      </c>
      <c r="M263" t="n">
        <v>0</v>
      </c>
      <c r="N263" t="n">
        <v>0</v>
      </c>
      <c r="O263" t="n">
        <v>0</v>
      </c>
      <c r="P263" t="n">
        <v>0</v>
      </c>
      <c r="Q263" t="n">
        <v>0</v>
      </c>
      <c r="R263" s="2" t="inlineStr"/>
    </row>
    <row r="264" ht="15" customHeight="1">
      <c r="A264" t="inlineStr">
        <is>
          <t>A 60731-2023</t>
        </is>
      </c>
      <c r="B264" s="1" t="n">
        <v>45260</v>
      </c>
      <c r="C264" s="1" t="n">
        <v>46203</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60017-2025</t>
        </is>
      </c>
      <c r="B265" s="1" t="n">
        <v>45993</v>
      </c>
      <c r="C265" s="1" t="n">
        <v>46203</v>
      </c>
      <c r="D265" t="inlineStr">
        <is>
          <t>VÄSTMANLANDS LÄN</t>
        </is>
      </c>
      <c r="E265" t="inlineStr">
        <is>
          <t>SALA</t>
        </is>
      </c>
      <c r="G265" t="n">
        <v>4.4</v>
      </c>
      <c r="H265" t="n">
        <v>0</v>
      </c>
      <c r="I265" t="n">
        <v>0</v>
      </c>
      <c r="J265" t="n">
        <v>0</v>
      </c>
      <c r="K265" t="n">
        <v>0</v>
      </c>
      <c r="L265" t="n">
        <v>0</v>
      </c>
      <c r="M265" t="n">
        <v>0</v>
      </c>
      <c r="N265" t="n">
        <v>0</v>
      </c>
      <c r="O265" t="n">
        <v>0</v>
      </c>
      <c r="P265" t="n">
        <v>0</v>
      </c>
      <c r="Q265" t="n">
        <v>0</v>
      </c>
      <c r="R265" s="2" t="inlineStr"/>
    </row>
    <row r="266" ht="15" customHeight="1">
      <c r="A266" t="inlineStr">
        <is>
          <t>A 60259-2025</t>
        </is>
      </c>
      <c r="B266" s="1" t="n">
        <v>45994</v>
      </c>
      <c r="C266" s="1" t="n">
        <v>46203</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60246-2025</t>
        </is>
      </c>
      <c r="B267" s="1" t="n">
        <v>45994</v>
      </c>
      <c r="C267" s="1" t="n">
        <v>46203</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60254-2025</t>
        </is>
      </c>
      <c r="B268" s="1" t="n">
        <v>45994</v>
      </c>
      <c r="C268" s="1" t="n">
        <v>46203</v>
      </c>
      <c r="D268" t="inlineStr">
        <is>
          <t>VÄSTMANLANDS LÄN</t>
        </is>
      </c>
      <c r="E268" t="inlineStr">
        <is>
          <t>SALA</t>
        </is>
      </c>
      <c r="G268" t="n">
        <v>1.7</v>
      </c>
      <c r="H268" t="n">
        <v>0</v>
      </c>
      <c r="I268" t="n">
        <v>0</v>
      </c>
      <c r="J268" t="n">
        <v>0</v>
      </c>
      <c r="K268" t="n">
        <v>0</v>
      </c>
      <c r="L268" t="n">
        <v>0</v>
      </c>
      <c r="M268" t="n">
        <v>0</v>
      </c>
      <c r="N268" t="n">
        <v>0</v>
      </c>
      <c r="O268" t="n">
        <v>0</v>
      </c>
      <c r="P268" t="n">
        <v>0</v>
      </c>
      <c r="Q268" t="n">
        <v>0</v>
      </c>
      <c r="R268" s="2" t="inlineStr"/>
    </row>
    <row r="269" ht="15" customHeight="1">
      <c r="A269" t="inlineStr">
        <is>
          <t>A 59926-2025</t>
        </is>
      </c>
      <c r="B269" s="1" t="n">
        <v>45993</v>
      </c>
      <c r="C269" s="1" t="n">
        <v>46203</v>
      </c>
      <c r="D269" t="inlineStr">
        <is>
          <t>VÄSTMANLANDS LÄN</t>
        </is>
      </c>
      <c r="E269" t="inlineStr">
        <is>
          <t>SALA</t>
        </is>
      </c>
      <c r="G269" t="n">
        <v>7.1</v>
      </c>
      <c r="H269" t="n">
        <v>0</v>
      </c>
      <c r="I269" t="n">
        <v>0</v>
      </c>
      <c r="J269" t="n">
        <v>0</v>
      </c>
      <c r="K269" t="n">
        <v>0</v>
      </c>
      <c r="L269" t="n">
        <v>0</v>
      </c>
      <c r="M269" t="n">
        <v>0</v>
      </c>
      <c r="N269" t="n">
        <v>0</v>
      </c>
      <c r="O269" t="n">
        <v>0</v>
      </c>
      <c r="P269" t="n">
        <v>0</v>
      </c>
      <c r="Q269" t="n">
        <v>0</v>
      </c>
      <c r="R269" s="2" t="inlineStr"/>
    </row>
    <row r="270" ht="15" customHeight="1">
      <c r="A270" t="inlineStr">
        <is>
          <t>A 35976-2024</t>
        </is>
      </c>
      <c r="B270" s="1" t="n">
        <v>45533</v>
      </c>
      <c r="C270" s="1" t="n">
        <v>46203</v>
      </c>
      <c r="D270" t="inlineStr">
        <is>
          <t>VÄSTMANLANDS LÄN</t>
        </is>
      </c>
      <c r="E270" t="inlineStr">
        <is>
          <t>SALA</t>
        </is>
      </c>
      <c r="G270" t="n">
        <v>2.3</v>
      </c>
      <c r="H270" t="n">
        <v>0</v>
      </c>
      <c r="I270" t="n">
        <v>0</v>
      </c>
      <c r="J270" t="n">
        <v>0</v>
      </c>
      <c r="K270" t="n">
        <v>0</v>
      </c>
      <c r="L270" t="n">
        <v>0</v>
      </c>
      <c r="M270" t="n">
        <v>0</v>
      </c>
      <c r="N270" t="n">
        <v>0</v>
      </c>
      <c r="O270" t="n">
        <v>0</v>
      </c>
      <c r="P270" t="n">
        <v>0</v>
      </c>
      <c r="Q270" t="n">
        <v>0</v>
      </c>
      <c r="R270" s="2" t="inlineStr"/>
    </row>
    <row r="271" ht="15" customHeight="1">
      <c r="A271" t="inlineStr">
        <is>
          <t>A 32286-2025</t>
        </is>
      </c>
      <c r="B271" s="1" t="n">
        <v>45835</v>
      </c>
      <c r="C271" s="1" t="n">
        <v>46203</v>
      </c>
      <c r="D271" t="inlineStr">
        <is>
          <t>VÄSTMANLANDS LÄN</t>
        </is>
      </c>
      <c r="E271" t="inlineStr">
        <is>
          <t>SALA</t>
        </is>
      </c>
      <c r="G271" t="n">
        <v>6.4</v>
      </c>
      <c r="H271" t="n">
        <v>0</v>
      </c>
      <c r="I271" t="n">
        <v>0</v>
      </c>
      <c r="J271" t="n">
        <v>0</v>
      </c>
      <c r="K271" t="n">
        <v>0</v>
      </c>
      <c r="L271" t="n">
        <v>0</v>
      </c>
      <c r="M271" t="n">
        <v>0</v>
      </c>
      <c r="N271" t="n">
        <v>0</v>
      </c>
      <c r="O271" t="n">
        <v>0</v>
      </c>
      <c r="P271" t="n">
        <v>0</v>
      </c>
      <c r="Q271" t="n">
        <v>0</v>
      </c>
      <c r="R271" s="2" t="inlineStr"/>
    </row>
    <row r="272" ht="15" customHeight="1">
      <c r="A272" t="inlineStr">
        <is>
          <t>A 71471-2021</t>
        </is>
      </c>
      <c r="B272" s="1" t="n">
        <v>44540</v>
      </c>
      <c r="C272" s="1" t="n">
        <v>46203</v>
      </c>
      <c r="D272" t="inlineStr">
        <is>
          <t>VÄSTMANLANDS LÄN</t>
        </is>
      </c>
      <c r="E272" t="inlineStr">
        <is>
          <t>SALA</t>
        </is>
      </c>
      <c r="G272" t="n">
        <v>13</v>
      </c>
      <c r="H272" t="n">
        <v>0</v>
      </c>
      <c r="I272" t="n">
        <v>0</v>
      </c>
      <c r="J272" t="n">
        <v>0</v>
      </c>
      <c r="K272" t="n">
        <v>0</v>
      </c>
      <c r="L272" t="n">
        <v>0</v>
      </c>
      <c r="M272" t="n">
        <v>0</v>
      </c>
      <c r="N272" t="n">
        <v>0</v>
      </c>
      <c r="O272" t="n">
        <v>0</v>
      </c>
      <c r="P272" t="n">
        <v>0</v>
      </c>
      <c r="Q272" t="n">
        <v>0</v>
      </c>
      <c r="R272" s="2" t="inlineStr"/>
    </row>
    <row r="273" ht="15" customHeight="1">
      <c r="A273" t="inlineStr">
        <is>
          <t>A 34069-2025</t>
        </is>
      </c>
      <c r="B273" s="1" t="n">
        <v>45845</v>
      </c>
      <c r="C273" s="1" t="n">
        <v>46203</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c r="U273">
        <f>HYPERLINK("https://klasma.github.io/Logging_1981/knärot/A 34069-2025 karta knärot.png", "A 34069-2025")</f>
        <v/>
      </c>
      <c r="V273">
        <f>HYPERLINK("https://klasma.github.io/Logging_1981/klagomål/A 34069-2025 FSC-klagomål.docx", "A 34069-2025")</f>
        <v/>
      </c>
      <c r="W273">
        <f>HYPERLINK("https://klasma.github.io/Logging_1981/klagomålsmail/A 34069-2025 FSC-klagomål mail.docx", "A 34069-2025")</f>
        <v/>
      </c>
      <c r="X273">
        <f>HYPERLINK("https://klasma.github.io/Logging_1981/tillsyn/A 34069-2025 tillsynsbegäran.docx", "A 34069-2025")</f>
        <v/>
      </c>
      <c r="Y273">
        <f>HYPERLINK("https://klasma.github.io/Logging_1981/tillsynsmail/A 34069-2025 tillsynsbegäran mail.docx", "A 34069-2025")</f>
        <v/>
      </c>
    </row>
    <row r="274" ht="15" customHeight="1">
      <c r="A274" t="inlineStr">
        <is>
          <t>A 8775-2024</t>
        </is>
      </c>
      <c r="B274" s="1" t="n">
        <v>45356</v>
      </c>
      <c r="C274" s="1" t="n">
        <v>46203</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63055-2025</t>
        </is>
      </c>
      <c r="B275" s="1" t="n">
        <v>46009</v>
      </c>
      <c r="C275" s="1" t="n">
        <v>46203</v>
      </c>
      <c r="D275" t="inlineStr">
        <is>
          <t>VÄSTMANLANDS LÄN</t>
        </is>
      </c>
      <c r="E275" t="inlineStr">
        <is>
          <t>SALA</t>
        </is>
      </c>
      <c r="G275" t="n">
        <v>0.4</v>
      </c>
      <c r="H275" t="n">
        <v>0</v>
      </c>
      <c r="I275" t="n">
        <v>0</v>
      </c>
      <c r="J275" t="n">
        <v>0</v>
      </c>
      <c r="K275" t="n">
        <v>0</v>
      </c>
      <c r="L275" t="n">
        <v>0</v>
      </c>
      <c r="M275" t="n">
        <v>0</v>
      </c>
      <c r="N275" t="n">
        <v>0</v>
      </c>
      <c r="O275" t="n">
        <v>0</v>
      </c>
      <c r="P275" t="n">
        <v>0</v>
      </c>
      <c r="Q275" t="n">
        <v>0</v>
      </c>
      <c r="R275" s="2" t="inlineStr"/>
    </row>
    <row r="276" ht="15" customHeight="1">
      <c r="A276" t="inlineStr">
        <is>
          <t>A 63046-2025</t>
        </is>
      </c>
      <c r="B276" s="1" t="n">
        <v>46009</v>
      </c>
      <c r="C276" s="1" t="n">
        <v>46203</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39011-2023</t>
        </is>
      </c>
      <c r="B277" s="1" t="n">
        <v>45162</v>
      </c>
      <c r="C277" s="1" t="n">
        <v>46203</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56547-2022</t>
        </is>
      </c>
      <c r="B278" s="1" t="n">
        <v>44893</v>
      </c>
      <c r="C278" s="1" t="n">
        <v>46203</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56916-2022</t>
        </is>
      </c>
      <c r="B279" s="1" t="n">
        <v>44888</v>
      </c>
      <c r="C279" s="1" t="n">
        <v>46203</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63749-2025</t>
        </is>
      </c>
      <c r="B280" s="1" t="n">
        <v>46017</v>
      </c>
      <c r="C280" s="1" t="n">
        <v>46203</v>
      </c>
      <c r="D280" t="inlineStr">
        <is>
          <t>VÄSTMANLANDS LÄN</t>
        </is>
      </c>
      <c r="E280" t="inlineStr">
        <is>
          <t>SALA</t>
        </is>
      </c>
      <c r="G280" t="n">
        <v>1.5</v>
      </c>
      <c r="H280" t="n">
        <v>0</v>
      </c>
      <c r="I280" t="n">
        <v>0</v>
      </c>
      <c r="J280" t="n">
        <v>0</v>
      </c>
      <c r="K280" t="n">
        <v>0</v>
      </c>
      <c r="L280" t="n">
        <v>0</v>
      </c>
      <c r="M280" t="n">
        <v>0</v>
      </c>
      <c r="N280" t="n">
        <v>0</v>
      </c>
      <c r="O280" t="n">
        <v>0</v>
      </c>
      <c r="P280" t="n">
        <v>0</v>
      </c>
      <c r="Q280" t="n">
        <v>0</v>
      </c>
      <c r="R280" s="2" t="inlineStr"/>
    </row>
    <row r="281" ht="15" customHeight="1">
      <c r="A281" t="inlineStr">
        <is>
          <t>A 63748-2025</t>
        </is>
      </c>
      <c r="B281" s="1" t="n">
        <v>46017</v>
      </c>
      <c r="C281" s="1" t="n">
        <v>46203</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910-2026</t>
        </is>
      </c>
      <c r="B282" s="1" t="n">
        <v>46030</v>
      </c>
      <c r="C282" s="1" t="n">
        <v>46203</v>
      </c>
      <c r="D282" t="inlineStr">
        <is>
          <t>VÄSTMANLANDS LÄN</t>
        </is>
      </c>
      <c r="E282" t="inlineStr">
        <is>
          <t>SALA</t>
        </is>
      </c>
      <c r="G282" t="n">
        <v>1.4</v>
      </c>
      <c r="H282" t="n">
        <v>0</v>
      </c>
      <c r="I282" t="n">
        <v>0</v>
      </c>
      <c r="J282" t="n">
        <v>0</v>
      </c>
      <c r="K282" t="n">
        <v>0</v>
      </c>
      <c r="L282" t="n">
        <v>0</v>
      </c>
      <c r="M282" t="n">
        <v>0</v>
      </c>
      <c r="N282" t="n">
        <v>0</v>
      </c>
      <c r="O282" t="n">
        <v>0</v>
      </c>
      <c r="P282" t="n">
        <v>0</v>
      </c>
      <c r="Q282" t="n">
        <v>0</v>
      </c>
      <c r="R282" s="2" t="inlineStr"/>
    </row>
    <row r="283" ht="15" customHeight="1">
      <c r="A283" t="inlineStr">
        <is>
          <t>A 56535-2022</t>
        </is>
      </c>
      <c r="B283" s="1" t="n">
        <v>44893</v>
      </c>
      <c r="C283" s="1" t="n">
        <v>46203</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47909-2022</t>
        </is>
      </c>
      <c r="B284" s="1" t="n">
        <v>44855</v>
      </c>
      <c r="C284" s="1" t="n">
        <v>46203</v>
      </c>
      <c r="D284" t="inlineStr">
        <is>
          <t>VÄSTMANLANDS LÄN</t>
        </is>
      </c>
      <c r="E284" t="inlineStr">
        <is>
          <t>SALA</t>
        </is>
      </c>
      <c r="F284" t="inlineStr">
        <is>
          <t>Bergvik skog öst AB</t>
        </is>
      </c>
      <c r="G284" t="n">
        <v>2</v>
      </c>
      <c r="H284" t="n">
        <v>0</v>
      </c>
      <c r="I284" t="n">
        <v>0</v>
      </c>
      <c r="J284" t="n">
        <v>0</v>
      </c>
      <c r="K284" t="n">
        <v>0</v>
      </c>
      <c r="L284" t="n">
        <v>0</v>
      </c>
      <c r="M284" t="n">
        <v>0</v>
      </c>
      <c r="N284" t="n">
        <v>0</v>
      </c>
      <c r="O284" t="n">
        <v>0</v>
      </c>
      <c r="P284" t="n">
        <v>0</v>
      </c>
      <c r="Q284" t="n">
        <v>0</v>
      </c>
      <c r="R284" s="2" t="inlineStr"/>
    </row>
    <row r="285" ht="15" customHeight="1">
      <c r="A285" t="inlineStr">
        <is>
          <t>A 36045-2025</t>
        </is>
      </c>
      <c r="B285" s="1" t="n">
        <v>45866</v>
      </c>
      <c r="C285" s="1" t="n">
        <v>46203</v>
      </c>
      <c r="D285" t="inlineStr">
        <is>
          <t>VÄSTMANLANDS LÄN</t>
        </is>
      </c>
      <c r="E285" t="inlineStr">
        <is>
          <t>SALA</t>
        </is>
      </c>
      <c r="F285" t="inlineStr">
        <is>
          <t>Kommuner</t>
        </is>
      </c>
      <c r="G285" t="n">
        <v>1.7</v>
      </c>
      <c r="H285" t="n">
        <v>0</v>
      </c>
      <c r="I285" t="n">
        <v>0</v>
      </c>
      <c r="J285" t="n">
        <v>0</v>
      </c>
      <c r="K285" t="n">
        <v>0</v>
      </c>
      <c r="L285" t="n">
        <v>0</v>
      </c>
      <c r="M285" t="n">
        <v>0</v>
      </c>
      <c r="N285" t="n">
        <v>0</v>
      </c>
      <c r="O285" t="n">
        <v>0</v>
      </c>
      <c r="P285" t="n">
        <v>0</v>
      </c>
      <c r="Q285" t="n">
        <v>0</v>
      </c>
      <c r="R285" s="2" t="inlineStr"/>
    </row>
    <row r="286" ht="15" customHeight="1">
      <c r="A286" t="inlineStr">
        <is>
          <t>A 914-2026</t>
        </is>
      </c>
      <c r="B286" s="1" t="n">
        <v>46030</v>
      </c>
      <c r="C286" s="1" t="n">
        <v>46203</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52630-2022</t>
        </is>
      </c>
      <c r="B287" s="1" t="n">
        <v>44874</v>
      </c>
      <c r="C287" s="1" t="n">
        <v>46203</v>
      </c>
      <c r="D287" t="inlineStr">
        <is>
          <t>VÄSTMANLANDS LÄN</t>
        </is>
      </c>
      <c r="E287" t="inlineStr">
        <is>
          <t>SALA</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948-2026</t>
        </is>
      </c>
      <c r="B288" s="1" t="n">
        <v>46030</v>
      </c>
      <c r="C288" s="1" t="n">
        <v>46203</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31869-2025</t>
        </is>
      </c>
      <c r="B289" s="1" t="n">
        <v>45834</v>
      </c>
      <c r="C289" s="1" t="n">
        <v>46203</v>
      </c>
      <c r="D289" t="inlineStr">
        <is>
          <t>VÄSTMANLANDS LÄN</t>
        </is>
      </c>
      <c r="E289" t="inlineStr">
        <is>
          <t>SALA</t>
        </is>
      </c>
      <c r="G289" t="n">
        <v>17.5</v>
      </c>
      <c r="H289" t="n">
        <v>0</v>
      </c>
      <c r="I289" t="n">
        <v>0</v>
      </c>
      <c r="J289" t="n">
        <v>0</v>
      </c>
      <c r="K289" t="n">
        <v>0</v>
      </c>
      <c r="L289" t="n">
        <v>0</v>
      </c>
      <c r="M289" t="n">
        <v>0</v>
      </c>
      <c r="N289" t="n">
        <v>0</v>
      </c>
      <c r="O289" t="n">
        <v>0</v>
      </c>
      <c r="P289" t="n">
        <v>0</v>
      </c>
      <c r="Q289" t="n">
        <v>0</v>
      </c>
      <c r="R289" s="2" t="inlineStr"/>
    </row>
    <row r="290" ht="15" customHeight="1">
      <c r="A290" t="inlineStr">
        <is>
          <t>A 31863-2025</t>
        </is>
      </c>
      <c r="B290" s="1" t="n">
        <v>45834</v>
      </c>
      <c r="C290" s="1" t="n">
        <v>46203</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7664-2023</t>
        </is>
      </c>
      <c r="B291" s="1" t="n">
        <v>44972</v>
      </c>
      <c r="C291" s="1" t="n">
        <v>46203</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3546-2025</t>
        </is>
      </c>
      <c r="B292" s="1" t="n">
        <v>45680</v>
      </c>
      <c r="C292" s="1" t="n">
        <v>46203</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1705-2026</t>
        </is>
      </c>
      <c r="B293" s="1" t="n">
        <v>46034</v>
      </c>
      <c r="C293" s="1" t="n">
        <v>46203</v>
      </c>
      <c r="D293" t="inlineStr">
        <is>
          <t>VÄSTMANLANDS LÄN</t>
        </is>
      </c>
      <c r="E293" t="inlineStr">
        <is>
          <t>SALA</t>
        </is>
      </c>
      <c r="G293" t="n">
        <v>0.4</v>
      </c>
      <c r="H293" t="n">
        <v>0</v>
      </c>
      <c r="I293" t="n">
        <v>0</v>
      </c>
      <c r="J293" t="n">
        <v>0</v>
      </c>
      <c r="K293" t="n">
        <v>0</v>
      </c>
      <c r="L293" t="n">
        <v>0</v>
      </c>
      <c r="M293" t="n">
        <v>0</v>
      </c>
      <c r="N293" t="n">
        <v>0</v>
      </c>
      <c r="O293" t="n">
        <v>0</v>
      </c>
      <c r="P293" t="n">
        <v>0</v>
      </c>
      <c r="Q293" t="n">
        <v>0</v>
      </c>
      <c r="R293" s="2" t="inlineStr"/>
    </row>
    <row r="294" ht="15" customHeight="1">
      <c r="A294" t="inlineStr">
        <is>
          <t>A 37017-2025</t>
        </is>
      </c>
      <c r="B294" s="1" t="n">
        <v>45874</v>
      </c>
      <c r="C294" s="1" t="n">
        <v>46203</v>
      </c>
      <c r="D294" t="inlineStr">
        <is>
          <t>VÄSTMANLANDS LÄN</t>
        </is>
      </c>
      <c r="E294" t="inlineStr">
        <is>
          <t>SALA</t>
        </is>
      </c>
      <c r="G294" t="n">
        <v>11.1</v>
      </c>
      <c r="H294" t="n">
        <v>0</v>
      </c>
      <c r="I294" t="n">
        <v>0</v>
      </c>
      <c r="J294" t="n">
        <v>0</v>
      </c>
      <c r="K294" t="n">
        <v>0</v>
      </c>
      <c r="L294" t="n">
        <v>0</v>
      </c>
      <c r="M294" t="n">
        <v>0</v>
      </c>
      <c r="N294" t="n">
        <v>0</v>
      </c>
      <c r="O294" t="n">
        <v>0</v>
      </c>
      <c r="P294" t="n">
        <v>0</v>
      </c>
      <c r="Q294" t="n">
        <v>0</v>
      </c>
      <c r="R294" s="2" t="inlineStr"/>
    </row>
    <row r="295" ht="15" customHeight="1">
      <c r="A295" t="inlineStr">
        <is>
          <t>A 37246-2025</t>
        </is>
      </c>
      <c r="B295" s="1" t="n">
        <v>45876</v>
      </c>
      <c r="C295" s="1" t="n">
        <v>46203</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16404-2022</t>
        </is>
      </c>
      <c r="B296" s="1" t="n">
        <v>44671</v>
      </c>
      <c r="C296" s="1" t="n">
        <v>46203</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6097-2022</t>
        </is>
      </c>
      <c r="B297" s="1" t="n">
        <v>44599</v>
      </c>
      <c r="C297" s="1" t="n">
        <v>46203</v>
      </c>
      <c r="D297" t="inlineStr">
        <is>
          <t>VÄSTMANLANDS LÄN</t>
        </is>
      </c>
      <c r="E297" t="inlineStr">
        <is>
          <t>SALA</t>
        </is>
      </c>
      <c r="G297" t="n">
        <v>0.6</v>
      </c>
      <c r="H297" t="n">
        <v>0</v>
      </c>
      <c r="I297" t="n">
        <v>0</v>
      </c>
      <c r="J297" t="n">
        <v>0</v>
      </c>
      <c r="K297" t="n">
        <v>0</v>
      </c>
      <c r="L297" t="n">
        <v>0</v>
      </c>
      <c r="M297" t="n">
        <v>0</v>
      </c>
      <c r="N297" t="n">
        <v>0</v>
      </c>
      <c r="O297" t="n">
        <v>0</v>
      </c>
      <c r="P297" t="n">
        <v>0</v>
      </c>
      <c r="Q297" t="n">
        <v>0</v>
      </c>
      <c r="R297" s="2" t="inlineStr"/>
    </row>
    <row r="298" ht="15" customHeight="1">
      <c r="A298" t="inlineStr">
        <is>
          <t>A 37590-2025</t>
        </is>
      </c>
      <c r="B298" s="1" t="n">
        <v>45880</v>
      </c>
      <c r="C298" s="1" t="n">
        <v>46203</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10559-2024</t>
        </is>
      </c>
      <c r="B299" s="1" t="n">
        <v>45366</v>
      </c>
      <c r="C299" s="1" t="n">
        <v>46203</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43359-2024</t>
        </is>
      </c>
      <c r="B300" s="1" t="n">
        <v>45568</v>
      </c>
      <c r="C300" s="1" t="n">
        <v>46203</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60545-2024</t>
        </is>
      </c>
      <c r="B301" s="1" t="n">
        <v>45643</v>
      </c>
      <c r="C301" s="1" t="n">
        <v>46203</v>
      </c>
      <c r="D301" t="inlineStr">
        <is>
          <t>VÄSTMANLANDS LÄN</t>
        </is>
      </c>
      <c r="E301" t="inlineStr">
        <is>
          <t>SALA</t>
        </is>
      </c>
      <c r="G301" t="n">
        <v>3.3</v>
      </c>
      <c r="H301" t="n">
        <v>0</v>
      </c>
      <c r="I301" t="n">
        <v>0</v>
      </c>
      <c r="J301" t="n">
        <v>0</v>
      </c>
      <c r="K301" t="n">
        <v>0</v>
      </c>
      <c r="L301" t="n">
        <v>0</v>
      </c>
      <c r="M301" t="n">
        <v>0</v>
      </c>
      <c r="N301" t="n">
        <v>0</v>
      </c>
      <c r="O301" t="n">
        <v>0</v>
      </c>
      <c r="P301" t="n">
        <v>0</v>
      </c>
      <c r="Q301" t="n">
        <v>0</v>
      </c>
      <c r="R301" s="2" t="inlineStr"/>
    </row>
    <row r="302" ht="15" customHeight="1">
      <c r="A302" t="inlineStr">
        <is>
          <t>A 60547-2024</t>
        </is>
      </c>
      <c r="B302" s="1" t="n">
        <v>45643</v>
      </c>
      <c r="C302" s="1" t="n">
        <v>46203</v>
      </c>
      <c r="D302" t="inlineStr">
        <is>
          <t>VÄSTMANLANDS LÄN</t>
        </is>
      </c>
      <c r="E302" t="inlineStr">
        <is>
          <t>SALA</t>
        </is>
      </c>
      <c r="G302" t="n">
        <v>0.6</v>
      </c>
      <c r="H302" t="n">
        <v>0</v>
      </c>
      <c r="I302" t="n">
        <v>0</v>
      </c>
      <c r="J302" t="n">
        <v>0</v>
      </c>
      <c r="K302" t="n">
        <v>0</v>
      </c>
      <c r="L302" t="n">
        <v>0</v>
      </c>
      <c r="M302" t="n">
        <v>0</v>
      </c>
      <c r="N302" t="n">
        <v>0</v>
      </c>
      <c r="O302" t="n">
        <v>0</v>
      </c>
      <c r="P302" t="n">
        <v>0</v>
      </c>
      <c r="Q302" t="n">
        <v>0</v>
      </c>
      <c r="R302" s="2" t="inlineStr"/>
    </row>
    <row r="303" ht="15" customHeight="1">
      <c r="A303" t="inlineStr">
        <is>
          <t>A 15965-2024</t>
        </is>
      </c>
      <c r="B303" s="1" t="n">
        <v>45405</v>
      </c>
      <c r="C303" s="1" t="n">
        <v>46203</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4624-2026</t>
        </is>
      </c>
      <c r="B304" s="1" t="n">
        <v>46048</v>
      </c>
      <c r="C304" s="1" t="n">
        <v>46203</v>
      </c>
      <c r="D304" t="inlineStr">
        <is>
          <t>VÄSTMANLANDS LÄN</t>
        </is>
      </c>
      <c r="E304" t="inlineStr">
        <is>
          <t>SALA</t>
        </is>
      </c>
      <c r="G304" t="n">
        <v>12.3</v>
      </c>
      <c r="H304" t="n">
        <v>0</v>
      </c>
      <c r="I304" t="n">
        <v>0</v>
      </c>
      <c r="J304" t="n">
        <v>0</v>
      </c>
      <c r="K304" t="n">
        <v>0</v>
      </c>
      <c r="L304" t="n">
        <v>0</v>
      </c>
      <c r="M304" t="n">
        <v>0</v>
      </c>
      <c r="N304" t="n">
        <v>0</v>
      </c>
      <c r="O304" t="n">
        <v>0</v>
      </c>
      <c r="P304" t="n">
        <v>0</v>
      </c>
      <c r="Q304" t="n">
        <v>0</v>
      </c>
      <c r="R304" s="2" t="inlineStr"/>
    </row>
    <row r="305" ht="15" customHeight="1">
      <c r="A305" t="inlineStr">
        <is>
          <t>A 4214-2026</t>
        </is>
      </c>
      <c r="B305" s="1" t="n">
        <v>46044</v>
      </c>
      <c r="C305" s="1" t="n">
        <v>46203</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4683-2026</t>
        </is>
      </c>
      <c r="B306" s="1" t="n">
        <v>46048</v>
      </c>
      <c r="C306" s="1" t="n">
        <v>46203</v>
      </c>
      <c r="D306" t="inlineStr">
        <is>
          <t>VÄSTMANLANDS LÄN</t>
        </is>
      </c>
      <c r="E306" t="inlineStr">
        <is>
          <t>SALA</t>
        </is>
      </c>
      <c r="G306" t="n">
        <v>0.6</v>
      </c>
      <c r="H306" t="n">
        <v>0</v>
      </c>
      <c r="I306" t="n">
        <v>0</v>
      </c>
      <c r="J306" t="n">
        <v>0</v>
      </c>
      <c r="K306" t="n">
        <v>0</v>
      </c>
      <c r="L306" t="n">
        <v>0</v>
      </c>
      <c r="M306" t="n">
        <v>0</v>
      </c>
      <c r="N306" t="n">
        <v>0</v>
      </c>
      <c r="O306" t="n">
        <v>0</v>
      </c>
      <c r="P306" t="n">
        <v>0</v>
      </c>
      <c r="Q306" t="n">
        <v>0</v>
      </c>
      <c r="R306" s="2" t="inlineStr"/>
    </row>
    <row r="307" ht="15" customHeight="1">
      <c r="A307" t="inlineStr">
        <is>
          <t>A 62651-2022</t>
        </is>
      </c>
      <c r="B307" s="1" t="n">
        <v>44917</v>
      </c>
      <c r="C307" s="1" t="n">
        <v>46203</v>
      </c>
      <c r="D307" t="inlineStr">
        <is>
          <t>VÄSTMANLANDS LÄN</t>
        </is>
      </c>
      <c r="E307" t="inlineStr">
        <is>
          <t>SALA</t>
        </is>
      </c>
      <c r="G307" t="n">
        <v>0.4</v>
      </c>
      <c r="H307" t="n">
        <v>0</v>
      </c>
      <c r="I307" t="n">
        <v>0</v>
      </c>
      <c r="J307" t="n">
        <v>0</v>
      </c>
      <c r="K307" t="n">
        <v>0</v>
      </c>
      <c r="L307" t="n">
        <v>0</v>
      </c>
      <c r="M307" t="n">
        <v>0</v>
      </c>
      <c r="N307" t="n">
        <v>0</v>
      </c>
      <c r="O307" t="n">
        <v>0</v>
      </c>
      <c r="P307" t="n">
        <v>0</v>
      </c>
      <c r="Q307" t="n">
        <v>0</v>
      </c>
      <c r="R307" s="2" t="inlineStr"/>
    </row>
    <row r="308" ht="15" customHeight="1">
      <c r="A308" t="inlineStr">
        <is>
          <t>A 54836-2024</t>
        </is>
      </c>
      <c r="B308" s="1" t="n">
        <v>45618</v>
      </c>
      <c r="C308" s="1" t="n">
        <v>46203</v>
      </c>
      <c r="D308" t="inlineStr">
        <is>
          <t>VÄSTMANLANDS LÄN</t>
        </is>
      </c>
      <c r="E308" t="inlineStr">
        <is>
          <t>SALA</t>
        </is>
      </c>
      <c r="G308" t="n">
        <v>0.6</v>
      </c>
      <c r="H308" t="n">
        <v>0</v>
      </c>
      <c r="I308" t="n">
        <v>0</v>
      </c>
      <c r="J308" t="n">
        <v>0</v>
      </c>
      <c r="K308" t="n">
        <v>0</v>
      </c>
      <c r="L308" t="n">
        <v>0</v>
      </c>
      <c r="M308" t="n">
        <v>0</v>
      </c>
      <c r="N308" t="n">
        <v>0</v>
      </c>
      <c r="O308" t="n">
        <v>0</v>
      </c>
      <c r="P308" t="n">
        <v>0</v>
      </c>
      <c r="Q308" t="n">
        <v>0</v>
      </c>
      <c r="R308" s="2" t="inlineStr"/>
    </row>
    <row r="309" ht="15" customHeight="1">
      <c r="A309" t="inlineStr">
        <is>
          <t>A 13987-2023</t>
        </is>
      </c>
      <c r="B309" s="1" t="n">
        <v>45007</v>
      </c>
      <c r="C309" s="1" t="n">
        <v>46203</v>
      </c>
      <c r="D309" t="inlineStr">
        <is>
          <t>VÄSTMANLANDS LÄN</t>
        </is>
      </c>
      <c r="E309" t="inlineStr">
        <is>
          <t>SALA</t>
        </is>
      </c>
      <c r="G309" t="n">
        <v>3.2</v>
      </c>
      <c r="H309" t="n">
        <v>0</v>
      </c>
      <c r="I309" t="n">
        <v>0</v>
      </c>
      <c r="J309" t="n">
        <v>0</v>
      </c>
      <c r="K309" t="n">
        <v>0</v>
      </c>
      <c r="L309" t="n">
        <v>0</v>
      </c>
      <c r="M309" t="n">
        <v>0</v>
      </c>
      <c r="N309" t="n">
        <v>0</v>
      </c>
      <c r="O309" t="n">
        <v>0</v>
      </c>
      <c r="P309" t="n">
        <v>0</v>
      </c>
      <c r="Q309" t="n">
        <v>0</v>
      </c>
      <c r="R309" s="2" t="inlineStr"/>
    </row>
    <row r="310" ht="15" customHeight="1">
      <c r="A310" t="inlineStr">
        <is>
          <t>A 13990-2023</t>
        </is>
      </c>
      <c r="B310" s="1" t="n">
        <v>45007</v>
      </c>
      <c r="C310" s="1" t="n">
        <v>46203</v>
      </c>
      <c r="D310" t="inlineStr">
        <is>
          <t>VÄSTMANLANDS LÄN</t>
        </is>
      </c>
      <c r="E310" t="inlineStr">
        <is>
          <t>SALA</t>
        </is>
      </c>
      <c r="G310" t="n">
        <v>2.6</v>
      </c>
      <c r="H310" t="n">
        <v>0</v>
      </c>
      <c r="I310" t="n">
        <v>0</v>
      </c>
      <c r="J310" t="n">
        <v>0</v>
      </c>
      <c r="K310" t="n">
        <v>0</v>
      </c>
      <c r="L310" t="n">
        <v>0</v>
      </c>
      <c r="M310" t="n">
        <v>0</v>
      </c>
      <c r="N310" t="n">
        <v>0</v>
      </c>
      <c r="O310" t="n">
        <v>0</v>
      </c>
      <c r="P310" t="n">
        <v>0</v>
      </c>
      <c r="Q310" t="n">
        <v>0</v>
      </c>
      <c r="R310" s="2" t="inlineStr"/>
    </row>
    <row r="311" ht="15" customHeight="1">
      <c r="A311" t="inlineStr">
        <is>
          <t>A 5418-2026</t>
        </is>
      </c>
      <c r="B311" s="1" t="n">
        <v>46050</v>
      </c>
      <c r="C311" s="1" t="n">
        <v>46203</v>
      </c>
      <c r="D311" t="inlineStr">
        <is>
          <t>VÄSTMANLANDS LÄN</t>
        </is>
      </c>
      <c r="E311" t="inlineStr">
        <is>
          <t>SALA</t>
        </is>
      </c>
      <c r="G311" t="n">
        <v>0.9</v>
      </c>
      <c r="H311" t="n">
        <v>0</v>
      </c>
      <c r="I311" t="n">
        <v>0</v>
      </c>
      <c r="J311" t="n">
        <v>0</v>
      </c>
      <c r="K311" t="n">
        <v>0</v>
      </c>
      <c r="L311" t="n">
        <v>0</v>
      </c>
      <c r="M311" t="n">
        <v>0</v>
      </c>
      <c r="N311" t="n">
        <v>0</v>
      </c>
      <c r="O311" t="n">
        <v>0</v>
      </c>
      <c r="P311" t="n">
        <v>0</v>
      </c>
      <c r="Q311" t="n">
        <v>0</v>
      </c>
      <c r="R311" s="2" t="inlineStr"/>
    </row>
    <row r="312" ht="15" customHeight="1">
      <c r="A312" t="inlineStr">
        <is>
          <t>A 51464-2024</t>
        </is>
      </c>
      <c r="B312" s="1" t="n">
        <v>45604</v>
      </c>
      <c r="C312" s="1" t="n">
        <v>46203</v>
      </c>
      <c r="D312" t="inlineStr">
        <is>
          <t>VÄSTMANLANDS LÄN</t>
        </is>
      </c>
      <c r="E312" t="inlineStr">
        <is>
          <t>SALA</t>
        </is>
      </c>
      <c r="G312" t="n">
        <v>3.9</v>
      </c>
      <c r="H312" t="n">
        <v>0</v>
      </c>
      <c r="I312" t="n">
        <v>0</v>
      </c>
      <c r="J312" t="n">
        <v>0</v>
      </c>
      <c r="K312" t="n">
        <v>0</v>
      </c>
      <c r="L312" t="n">
        <v>0</v>
      </c>
      <c r="M312" t="n">
        <v>0</v>
      </c>
      <c r="N312" t="n">
        <v>0</v>
      </c>
      <c r="O312" t="n">
        <v>0</v>
      </c>
      <c r="P312" t="n">
        <v>0</v>
      </c>
      <c r="Q312" t="n">
        <v>0</v>
      </c>
      <c r="R312" s="2" t="inlineStr"/>
    </row>
    <row r="313" ht="15" customHeight="1">
      <c r="A313" t="inlineStr">
        <is>
          <t>A 1128-2025</t>
        </is>
      </c>
      <c r="B313" s="1" t="n">
        <v>45666</v>
      </c>
      <c r="C313" s="1" t="n">
        <v>46203</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5219-2026</t>
        </is>
      </c>
      <c r="B314" s="1" t="n">
        <v>46049</v>
      </c>
      <c r="C314" s="1" t="n">
        <v>46203</v>
      </c>
      <c r="D314" t="inlineStr">
        <is>
          <t>VÄSTMANLANDS LÄN</t>
        </is>
      </c>
      <c r="E314" t="inlineStr">
        <is>
          <t>SALA</t>
        </is>
      </c>
      <c r="G314" t="n">
        <v>1.9</v>
      </c>
      <c r="H314" t="n">
        <v>0</v>
      </c>
      <c r="I314" t="n">
        <v>0</v>
      </c>
      <c r="J314" t="n">
        <v>0</v>
      </c>
      <c r="K314" t="n">
        <v>0</v>
      </c>
      <c r="L314" t="n">
        <v>0</v>
      </c>
      <c r="M314" t="n">
        <v>0</v>
      </c>
      <c r="N314" t="n">
        <v>0</v>
      </c>
      <c r="O314" t="n">
        <v>0</v>
      </c>
      <c r="P314" t="n">
        <v>0</v>
      </c>
      <c r="Q314" t="n">
        <v>0</v>
      </c>
      <c r="R314" s="2" t="inlineStr"/>
    </row>
    <row r="315" ht="15" customHeight="1">
      <c r="A315" t="inlineStr">
        <is>
          <t>A 73835-2021</t>
        </is>
      </c>
      <c r="B315" s="1" t="n">
        <v>44552</v>
      </c>
      <c r="C315" s="1" t="n">
        <v>46203</v>
      </c>
      <c r="D315" t="inlineStr">
        <is>
          <t>VÄSTMANLANDS LÄN</t>
        </is>
      </c>
      <c r="E315" t="inlineStr">
        <is>
          <t>SALA</t>
        </is>
      </c>
      <c r="G315" t="n">
        <v>2</v>
      </c>
      <c r="H315" t="n">
        <v>0</v>
      </c>
      <c r="I315" t="n">
        <v>0</v>
      </c>
      <c r="J315" t="n">
        <v>0</v>
      </c>
      <c r="K315" t="n">
        <v>0</v>
      </c>
      <c r="L315" t="n">
        <v>0</v>
      </c>
      <c r="M315" t="n">
        <v>0</v>
      </c>
      <c r="N315" t="n">
        <v>0</v>
      </c>
      <c r="O315" t="n">
        <v>0</v>
      </c>
      <c r="P315" t="n">
        <v>0</v>
      </c>
      <c r="Q315" t="n">
        <v>0</v>
      </c>
      <c r="R315" s="2" t="inlineStr"/>
    </row>
    <row r="316" ht="15" customHeight="1">
      <c r="A316" t="inlineStr">
        <is>
          <t>A 60379-2022</t>
        </is>
      </c>
      <c r="B316" s="1" t="n">
        <v>44910</v>
      </c>
      <c r="C316" s="1" t="n">
        <v>46203</v>
      </c>
      <c r="D316" t="inlineStr">
        <is>
          <t>VÄSTMANLANDS LÄN</t>
        </is>
      </c>
      <c r="E316" t="inlineStr">
        <is>
          <t>SALA</t>
        </is>
      </c>
      <c r="F316" t="inlineStr">
        <is>
          <t>Kyrkan</t>
        </is>
      </c>
      <c r="G316" t="n">
        <v>2.5</v>
      </c>
      <c r="H316" t="n">
        <v>0</v>
      </c>
      <c r="I316" t="n">
        <v>0</v>
      </c>
      <c r="J316" t="n">
        <v>0</v>
      </c>
      <c r="K316" t="n">
        <v>0</v>
      </c>
      <c r="L316" t="n">
        <v>0</v>
      </c>
      <c r="M316" t="n">
        <v>0</v>
      </c>
      <c r="N316" t="n">
        <v>0</v>
      </c>
      <c r="O316" t="n">
        <v>0</v>
      </c>
      <c r="P316" t="n">
        <v>0</v>
      </c>
      <c r="Q316" t="n">
        <v>0</v>
      </c>
      <c r="R316" s="2" t="inlineStr"/>
    </row>
    <row r="317" ht="15" customHeight="1">
      <c r="A317" t="inlineStr">
        <is>
          <t>A 5894-2026</t>
        </is>
      </c>
      <c r="B317" s="1" t="n">
        <v>46052</v>
      </c>
      <c r="C317" s="1" t="n">
        <v>46203</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1638-2023</t>
        </is>
      </c>
      <c r="B318" s="1" t="n">
        <v>44937</v>
      </c>
      <c r="C318" s="1" t="n">
        <v>46203</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7953-2024</t>
        </is>
      </c>
      <c r="B319" s="1" t="n">
        <v>45350</v>
      </c>
      <c r="C319" s="1" t="n">
        <v>46203</v>
      </c>
      <c r="D319" t="inlineStr">
        <is>
          <t>VÄSTMANLANDS LÄN</t>
        </is>
      </c>
      <c r="E319" t="inlineStr">
        <is>
          <t>SALA</t>
        </is>
      </c>
      <c r="G319" t="n">
        <v>2.6</v>
      </c>
      <c r="H319" t="n">
        <v>0</v>
      </c>
      <c r="I319" t="n">
        <v>0</v>
      </c>
      <c r="J319" t="n">
        <v>0</v>
      </c>
      <c r="K319" t="n">
        <v>0</v>
      </c>
      <c r="L319" t="n">
        <v>0</v>
      </c>
      <c r="M319" t="n">
        <v>0</v>
      </c>
      <c r="N319" t="n">
        <v>0</v>
      </c>
      <c r="O319" t="n">
        <v>0</v>
      </c>
      <c r="P319" t="n">
        <v>0</v>
      </c>
      <c r="Q319" t="n">
        <v>0</v>
      </c>
      <c r="R319" s="2" t="inlineStr"/>
    </row>
    <row r="320" ht="15" customHeight="1">
      <c r="A320" t="inlineStr">
        <is>
          <t>A 5477-2024</t>
        </is>
      </c>
      <c r="B320" s="1" t="n">
        <v>45333</v>
      </c>
      <c r="C320" s="1" t="n">
        <v>46203</v>
      </c>
      <c r="D320" t="inlineStr">
        <is>
          <t>VÄSTMANLANDS LÄN</t>
        </is>
      </c>
      <c r="E320" t="inlineStr">
        <is>
          <t>SALA</t>
        </is>
      </c>
      <c r="G320" t="n">
        <v>2.3</v>
      </c>
      <c r="H320" t="n">
        <v>0</v>
      </c>
      <c r="I320" t="n">
        <v>0</v>
      </c>
      <c r="J320" t="n">
        <v>0</v>
      </c>
      <c r="K320" t="n">
        <v>0</v>
      </c>
      <c r="L320" t="n">
        <v>0</v>
      </c>
      <c r="M320" t="n">
        <v>0</v>
      </c>
      <c r="N320" t="n">
        <v>0</v>
      </c>
      <c r="O320" t="n">
        <v>0</v>
      </c>
      <c r="P320" t="n">
        <v>0</v>
      </c>
      <c r="Q320" t="n">
        <v>0</v>
      </c>
      <c r="R320" s="2" t="inlineStr"/>
    </row>
    <row r="321" ht="15" customHeight="1">
      <c r="A321" t="inlineStr">
        <is>
          <t>A 26507-2023</t>
        </is>
      </c>
      <c r="B321" s="1" t="n">
        <v>45092</v>
      </c>
      <c r="C321" s="1" t="n">
        <v>46203</v>
      </c>
      <c r="D321" t="inlineStr">
        <is>
          <t>VÄSTMANLANDS LÄN</t>
        </is>
      </c>
      <c r="E321" t="inlineStr">
        <is>
          <t>SALA</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7327-2026</t>
        </is>
      </c>
      <c r="B322" s="1" t="n">
        <v>46058</v>
      </c>
      <c r="C322" s="1" t="n">
        <v>46203</v>
      </c>
      <c r="D322" t="inlineStr">
        <is>
          <t>VÄSTMANLANDS LÄN</t>
        </is>
      </c>
      <c r="E322" t="inlineStr">
        <is>
          <t>SALA</t>
        </is>
      </c>
      <c r="G322" t="n">
        <v>5.8</v>
      </c>
      <c r="H322" t="n">
        <v>0</v>
      </c>
      <c r="I322" t="n">
        <v>0</v>
      </c>
      <c r="J322" t="n">
        <v>0</v>
      </c>
      <c r="K322" t="n">
        <v>0</v>
      </c>
      <c r="L322" t="n">
        <v>0</v>
      </c>
      <c r="M322" t="n">
        <v>0</v>
      </c>
      <c r="N322" t="n">
        <v>0</v>
      </c>
      <c r="O322" t="n">
        <v>0</v>
      </c>
      <c r="P322" t="n">
        <v>0</v>
      </c>
      <c r="Q322" t="n">
        <v>0</v>
      </c>
      <c r="R322" s="2" t="inlineStr"/>
    </row>
    <row r="323" ht="15" customHeight="1">
      <c r="A323" t="inlineStr">
        <is>
          <t>A 7332-2026</t>
        </is>
      </c>
      <c r="B323" s="1" t="n">
        <v>46058</v>
      </c>
      <c r="C323" s="1" t="n">
        <v>46203</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46203</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7324-2026</t>
        </is>
      </c>
      <c r="B325" s="1" t="n">
        <v>46058</v>
      </c>
      <c r="C325" s="1" t="n">
        <v>46203</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7329-2026</t>
        </is>
      </c>
      <c r="B326" s="1" t="n">
        <v>46058</v>
      </c>
      <c r="C326" s="1" t="n">
        <v>46203</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7654-2026</t>
        </is>
      </c>
      <c r="B327" s="1" t="n">
        <v>46062</v>
      </c>
      <c r="C327" s="1" t="n">
        <v>46203</v>
      </c>
      <c r="D327" t="inlineStr">
        <is>
          <t>VÄSTMANLANDS LÄN</t>
        </is>
      </c>
      <c r="E327" t="inlineStr">
        <is>
          <t>SALA</t>
        </is>
      </c>
      <c r="G327" t="n">
        <v>4.5</v>
      </c>
      <c r="H327" t="n">
        <v>0</v>
      </c>
      <c r="I327" t="n">
        <v>0</v>
      </c>
      <c r="J327" t="n">
        <v>0</v>
      </c>
      <c r="K327" t="n">
        <v>0</v>
      </c>
      <c r="L327" t="n">
        <v>0</v>
      </c>
      <c r="M327" t="n">
        <v>0</v>
      </c>
      <c r="N327" t="n">
        <v>0</v>
      </c>
      <c r="O327" t="n">
        <v>0</v>
      </c>
      <c r="P327" t="n">
        <v>0</v>
      </c>
      <c r="Q327" t="n">
        <v>0</v>
      </c>
      <c r="R327" s="2" t="inlineStr"/>
    </row>
    <row r="328" ht="15" customHeight="1">
      <c r="A328" t="inlineStr">
        <is>
          <t>A 7597-2026</t>
        </is>
      </c>
      <c r="B328" s="1" t="n">
        <v>46061</v>
      </c>
      <c r="C328" s="1" t="n">
        <v>46203</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7611-2026</t>
        </is>
      </c>
      <c r="B329" s="1" t="n">
        <v>46062</v>
      </c>
      <c r="C329" s="1" t="n">
        <v>46203</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7676-2026</t>
        </is>
      </c>
      <c r="B330" s="1" t="n">
        <v>46062</v>
      </c>
      <c r="C330" s="1" t="n">
        <v>46203</v>
      </c>
      <c r="D330" t="inlineStr">
        <is>
          <t>VÄSTMANLANDS LÄN</t>
        </is>
      </c>
      <c r="E330" t="inlineStr">
        <is>
          <t>SALA</t>
        </is>
      </c>
      <c r="G330" t="n">
        <v>2.1</v>
      </c>
      <c r="H330" t="n">
        <v>0</v>
      </c>
      <c r="I330" t="n">
        <v>0</v>
      </c>
      <c r="J330" t="n">
        <v>0</v>
      </c>
      <c r="K330" t="n">
        <v>0</v>
      </c>
      <c r="L330" t="n">
        <v>0</v>
      </c>
      <c r="M330" t="n">
        <v>0</v>
      </c>
      <c r="N330" t="n">
        <v>0</v>
      </c>
      <c r="O330" t="n">
        <v>0</v>
      </c>
      <c r="P330" t="n">
        <v>0</v>
      </c>
      <c r="Q330" t="n">
        <v>0</v>
      </c>
      <c r="R330" s="2" t="inlineStr"/>
    </row>
    <row r="331" ht="15" customHeight="1">
      <c r="A331" t="inlineStr">
        <is>
          <t>A 7680-2026</t>
        </is>
      </c>
      <c r="B331" s="1" t="n">
        <v>46062</v>
      </c>
      <c r="C331" s="1" t="n">
        <v>46203</v>
      </c>
      <c r="D331" t="inlineStr">
        <is>
          <t>VÄSTMANLANDS LÄN</t>
        </is>
      </c>
      <c r="E331" t="inlineStr">
        <is>
          <t>SALA</t>
        </is>
      </c>
      <c r="G331" t="n">
        <v>2.7</v>
      </c>
      <c r="H331" t="n">
        <v>0</v>
      </c>
      <c r="I331" t="n">
        <v>0</v>
      </c>
      <c r="J331" t="n">
        <v>0</v>
      </c>
      <c r="K331" t="n">
        <v>0</v>
      </c>
      <c r="L331" t="n">
        <v>0</v>
      </c>
      <c r="M331" t="n">
        <v>0</v>
      </c>
      <c r="N331" t="n">
        <v>0</v>
      </c>
      <c r="O331" t="n">
        <v>0</v>
      </c>
      <c r="P331" t="n">
        <v>0</v>
      </c>
      <c r="Q331" t="n">
        <v>0</v>
      </c>
      <c r="R331" s="2" t="inlineStr"/>
    </row>
    <row r="332" ht="15" customHeight="1">
      <c r="A332" t="inlineStr">
        <is>
          <t>A 7584-2026</t>
        </is>
      </c>
      <c r="B332" s="1" t="n">
        <v>46061</v>
      </c>
      <c r="C332" s="1" t="n">
        <v>46203</v>
      </c>
      <c r="D332" t="inlineStr">
        <is>
          <t>VÄSTMANLANDS LÄN</t>
        </is>
      </c>
      <c r="E332" t="inlineStr">
        <is>
          <t>SALA</t>
        </is>
      </c>
      <c r="G332" t="n">
        <v>16.7</v>
      </c>
      <c r="H332" t="n">
        <v>0</v>
      </c>
      <c r="I332" t="n">
        <v>0</v>
      </c>
      <c r="J332" t="n">
        <v>0</v>
      </c>
      <c r="K332" t="n">
        <v>0</v>
      </c>
      <c r="L332" t="n">
        <v>0</v>
      </c>
      <c r="M332" t="n">
        <v>0</v>
      </c>
      <c r="N332" t="n">
        <v>0</v>
      </c>
      <c r="O332" t="n">
        <v>0</v>
      </c>
      <c r="P332" t="n">
        <v>0</v>
      </c>
      <c r="Q332" t="n">
        <v>0</v>
      </c>
      <c r="R332" s="2" t="inlineStr"/>
    </row>
    <row r="333" ht="15" customHeight="1">
      <c r="A333" t="inlineStr">
        <is>
          <t>A 7590-2026</t>
        </is>
      </c>
      <c r="B333" s="1" t="n">
        <v>46061</v>
      </c>
      <c r="C333" s="1" t="n">
        <v>46203</v>
      </c>
      <c r="D333" t="inlineStr">
        <is>
          <t>VÄSTMANLANDS LÄN</t>
        </is>
      </c>
      <c r="E333" t="inlineStr">
        <is>
          <t>SALA</t>
        </is>
      </c>
      <c r="G333" t="n">
        <v>1.9</v>
      </c>
      <c r="H333" t="n">
        <v>0</v>
      </c>
      <c r="I333" t="n">
        <v>0</v>
      </c>
      <c r="J333" t="n">
        <v>0</v>
      </c>
      <c r="K333" t="n">
        <v>0</v>
      </c>
      <c r="L333" t="n">
        <v>0</v>
      </c>
      <c r="M333" t="n">
        <v>0</v>
      </c>
      <c r="N333" t="n">
        <v>0</v>
      </c>
      <c r="O333" t="n">
        <v>0</v>
      </c>
      <c r="P333" t="n">
        <v>0</v>
      </c>
      <c r="Q333" t="n">
        <v>0</v>
      </c>
      <c r="R333" s="2" t="inlineStr"/>
    </row>
    <row r="334" ht="15" customHeight="1">
      <c r="A334" t="inlineStr">
        <is>
          <t>A 7596-2026</t>
        </is>
      </c>
      <c r="B334" s="1" t="n">
        <v>46061</v>
      </c>
      <c r="C334" s="1" t="n">
        <v>46203</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7588-2026</t>
        </is>
      </c>
      <c r="B335" s="1" t="n">
        <v>46061</v>
      </c>
      <c r="C335" s="1" t="n">
        <v>46203</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7595-2026</t>
        </is>
      </c>
      <c r="B336" s="1" t="n">
        <v>46061</v>
      </c>
      <c r="C336" s="1" t="n">
        <v>46203</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7593-2026</t>
        </is>
      </c>
      <c r="B337" s="1" t="n">
        <v>46061</v>
      </c>
      <c r="C337" s="1" t="n">
        <v>46203</v>
      </c>
      <c r="D337" t="inlineStr">
        <is>
          <t>VÄSTMANLANDS LÄN</t>
        </is>
      </c>
      <c r="E337" t="inlineStr">
        <is>
          <t>SALA</t>
        </is>
      </c>
      <c r="G337" t="n">
        <v>7.5</v>
      </c>
      <c r="H337" t="n">
        <v>0</v>
      </c>
      <c r="I337" t="n">
        <v>0</v>
      </c>
      <c r="J337" t="n">
        <v>0</v>
      </c>
      <c r="K337" t="n">
        <v>0</v>
      </c>
      <c r="L337" t="n">
        <v>0</v>
      </c>
      <c r="M337" t="n">
        <v>0</v>
      </c>
      <c r="N337" t="n">
        <v>0</v>
      </c>
      <c r="O337" t="n">
        <v>0</v>
      </c>
      <c r="P337" t="n">
        <v>0</v>
      </c>
      <c r="Q337" t="n">
        <v>0</v>
      </c>
      <c r="R337" s="2" t="inlineStr"/>
    </row>
    <row r="338" ht="15" customHeight="1">
      <c r="A338" t="inlineStr">
        <is>
          <t>A 54118-2023</t>
        </is>
      </c>
      <c r="B338" s="1" t="n">
        <v>45232</v>
      </c>
      <c r="C338" s="1" t="n">
        <v>46203</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36393-2023</t>
        </is>
      </c>
      <c r="B339" s="1" t="n">
        <v>45152</v>
      </c>
      <c r="C339" s="1" t="n">
        <v>46203</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45790-2023</t>
        </is>
      </c>
      <c r="B340" s="1" t="n">
        <v>45195</v>
      </c>
      <c r="C340" s="1" t="n">
        <v>46203</v>
      </c>
      <c r="D340" t="inlineStr">
        <is>
          <t>VÄSTMANLANDS LÄN</t>
        </is>
      </c>
      <c r="E340" t="inlineStr">
        <is>
          <t>SALA</t>
        </is>
      </c>
      <c r="G340" t="n">
        <v>5.7</v>
      </c>
      <c r="H340" t="n">
        <v>0</v>
      </c>
      <c r="I340" t="n">
        <v>0</v>
      </c>
      <c r="J340" t="n">
        <v>0</v>
      </c>
      <c r="K340" t="n">
        <v>0</v>
      </c>
      <c r="L340" t="n">
        <v>0</v>
      </c>
      <c r="M340" t="n">
        <v>0</v>
      </c>
      <c r="N340" t="n">
        <v>0</v>
      </c>
      <c r="O340" t="n">
        <v>0</v>
      </c>
      <c r="P340" t="n">
        <v>0</v>
      </c>
      <c r="Q340" t="n">
        <v>0</v>
      </c>
      <c r="R340" s="2" t="inlineStr"/>
    </row>
    <row r="341" ht="15" customHeight="1">
      <c r="A341" t="inlineStr">
        <is>
          <t>A 40214-2023</t>
        </is>
      </c>
      <c r="B341" s="1" t="n">
        <v>45169</v>
      </c>
      <c r="C341" s="1" t="n">
        <v>46203</v>
      </c>
      <c r="D341" t="inlineStr">
        <is>
          <t>VÄSTMANLANDS LÄN</t>
        </is>
      </c>
      <c r="E341" t="inlineStr">
        <is>
          <t>SALA</t>
        </is>
      </c>
      <c r="G341" t="n">
        <v>5.5</v>
      </c>
      <c r="H341" t="n">
        <v>0</v>
      </c>
      <c r="I341" t="n">
        <v>0</v>
      </c>
      <c r="J341" t="n">
        <v>0</v>
      </c>
      <c r="K341" t="n">
        <v>0</v>
      </c>
      <c r="L341" t="n">
        <v>0</v>
      </c>
      <c r="M341" t="n">
        <v>0</v>
      </c>
      <c r="N341" t="n">
        <v>0</v>
      </c>
      <c r="O341" t="n">
        <v>0</v>
      </c>
      <c r="P341" t="n">
        <v>0</v>
      </c>
      <c r="Q341" t="n">
        <v>0</v>
      </c>
      <c r="R341" s="2" t="inlineStr"/>
    </row>
    <row r="342" ht="15" customHeight="1">
      <c r="A342" t="inlineStr">
        <is>
          <t>A 35016-2024</t>
        </is>
      </c>
      <c r="B342" s="1" t="n">
        <v>45527</v>
      </c>
      <c r="C342" s="1" t="n">
        <v>46203</v>
      </c>
      <c r="D342" t="inlineStr">
        <is>
          <t>VÄSTMANLANDS LÄN</t>
        </is>
      </c>
      <c r="E342" t="inlineStr">
        <is>
          <t>SALA</t>
        </is>
      </c>
      <c r="G342" t="n">
        <v>0.4</v>
      </c>
      <c r="H342" t="n">
        <v>0</v>
      </c>
      <c r="I342" t="n">
        <v>0</v>
      </c>
      <c r="J342" t="n">
        <v>0</v>
      </c>
      <c r="K342" t="n">
        <v>0</v>
      </c>
      <c r="L342" t="n">
        <v>0</v>
      </c>
      <c r="M342" t="n">
        <v>0</v>
      </c>
      <c r="N342" t="n">
        <v>0</v>
      </c>
      <c r="O342" t="n">
        <v>0</v>
      </c>
      <c r="P342" t="n">
        <v>0</v>
      </c>
      <c r="Q342" t="n">
        <v>0</v>
      </c>
      <c r="R342" s="2" t="inlineStr"/>
    </row>
    <row r="343" ht="15" customHeight="1">
      <c r="A343" t="inlineStr">
        <is>
          <t>A 5728-2022</t>
        </is>
      </c>
      <c r="B343" s="1" t="n">
        <v>44596</v>
      </c>
      <c r="C343" s="1" t="n">
        <v>46203</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19751-2022</t>
        </is>
      </c>
      <c r="B344" s="1" t="n">
        <v>44694</v>
      </c>
      <c r="C344" s="1" t="n">
        <v>46203</v>
      </c>
      <c r="D344" t="inlineStr">
        <is>
          <t>VÄSTMANLANDS LÄN</t>
        </is>
      </c>
      <c r="E344" t="inlineStr">
        <is>
          <t>SALA</t>
        </is>
      </c>
      <c r="G344" t="n">
        <v>2.7</v>
      </c>
      <c r="H344" t="n">
        <v>0</v>
      </c>
      <c r="I344" t="n">
        <v>0</v>
      </c>
      <c r="J344" t="n">
        <v>0</v>
      </c>
      <c r="K344" t="n">
        <v>0</v>
      </c>
      <c r="L344" t="n">
        <v>0</v>
      </c>
      <c r="M344" t="n">
        <v>0</v>
      </c>
      <c r="N344" t="n">
        <v>0</v>
      </c>
      <c r="O344" t="n">
        <v>0</v>
      </c>
      <c r="P344" t="n">
        <v>0</v>
      </c>
      <c r="Q344" t="n">
        <v>0</v>
      </c>
      <c r="R344" s="2" t="inlineStr"/>
    </row>
    <row r="345" ht="15" customHeight="1">
      <c r="A345" t="inlineStr">
        <is>
          <t>A 10245-2026</t>
        </is>
      </c>
      <c r="B345" s="1" t="n">
        <v>46076</v>
      </c>
      <c r="C345" s="1" t="n">
        <v>46203</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10252-2026</t>
        </is>
      </c>
      <c r="B346" s="1" t="n">
        <v>46076</v>
      </c>
      <c r="C346" s="1" t="n">
        <v>46203</v>
      </c>
      <c r="D346" t="inlineStr">
        <is>
          <t>VÄSTMANLANDS LÄN</t>
        </is>
      </c>
      <c r="E346" t="inlineStr">
        <is>
          <t>SALA</t>
        </is>
      </c>
      <c r="G346" t="n">
        <v>1.4</v>
      </c>
      <c r="H346" t="n">
        <v>0</v>
      </c>
      <c r="I346" t="n">
        <v>0</v>
      </c>
      <c r="J346" t="n">
        <v>0</v>
      </c>
      <c r="K346" t="n">
        <v>0</v>
      </c>
      <c r="L346" t="n">
        <v>0</v>
      </c>
      <c r="M346" t="n">
        <v>0</v>
      </c>
      <c r="N346" t="n">
        <v>0</v>
      </c>
      <c r="O346" t="n">
        <v>0</v>
      </c>
      <c r="P346" t="n">
        <v>0</v>
      </c>
      <c r="Q346" t="n">
        <v>0</v>
      </c>
      <c r="R346" s="2" t="inlineStr"/>
    </row>
    <row r="347" ht="15" customHeight="1">
      <c r="A347" t="inlineStr">
        <is>
          <t>A 10239-2026</t>
        </is>
      </c>
      <c r="B347" s="1" t="n">
        <v>46076</v>
      </c>
      <c r="C347" s="1" t="n">
        <v>46203</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6312-2025</t>
        </is>
      </c>
      <c r="B348" s="1" t="n">
        <v>45698</v>
      </c>
      <c r="C348" s="1" t="n">
        <v>46203</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55035-2023</t>
        </is>
      </c>
      <c r="B349" s="1" t="n">
        <v>45229</v>
      </c>
      <c r="C349" s="1" t="n">
        <v>46203</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52500-2024</t>
        </is>
      </c>
      <c r="B350" s="1" t="n">
        <v>45609</v>
      </c>
      <c r="C350" s="1" t="n">
        <v>46203</v>
      </c>
      <c r="D350" t="inlineStr">
        <is>
          <t>VÄSTMANLANDS LÄN</t>
        </is>
      </c>
      <c r="E350" t="inlineStr">
        <is>
          <t>SALA</t>
        </is>
      </c>
      <c r="G350" t="n">
        <v>1.3</v>
      </c>
      <c r="H350" t="n">
        <v>0</v>
      </c>
      <c r="I350" t="n">
        <v>0</v>
      </c>
      <c r="J350" t="n">
        <v>0</v>
      </c>
      <c r="K350" t="n">
        <v>0</v>
      </c>
      <c r="L350" t="n">
        <v>0</v>
      </c>
      <c r="M350" t="n">
        <v>0</v>
      </c>
      <c r="N350" t="n">
        <v>0</v>
      </c>
      <c r="O350" t="n">
        <v>0</v>
      </c>
      <c r="P350" t="n">
        <v>0</v>
      </c>
      <c r="Q350" t="n">
        <v>0</v>
      </c>
      <c r="R350" s="2" t="inlineStr"/>
    </row>
    <row r="351" ht="15" customHeight="1">
      <c r="A351" t="inlineStr">
        <is>
          <t>A 12144-2026</t>
        </is>
      </c>
      <c r="B351" s="1" t="n">
        <v>46086</v>
      </c>
      <c r="C351" s="1" t="n">
        <v>46203</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12497-2026</t>
        </is>
      </c>
      <c r="B352" s="1" t="n">
        <v>46090</v>
      </c>
      <c r="C352" s="1" t="n">
        <v>46203</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13032-2026</t>
        </is>
      </c>
      <c r="B353" s="1" t="n">
        <v>46092</v>
      </c>
      <c r="C353" s="1" t="n">
        <v>46203</v>
      </c>
      <c r="D353" t="inlineStr">
        <is>
          <t>VÄSTMANLANDS LÄN</t>
        </is>
      </c>
      <c r="E353" t="inlineStr">
        <is>
          <t>SALA</t>
        </is>
      </c>
      <c r="G353" t="n">
        <v>3.4</v>
      </c>
      <c r="H353" t="n">
        <v>0</v>
      </c>
      <c r="I353" t="n">
        <v>0</v>
      </c>
      <c r="J353" t="n">
        <v>0</v>
      </c>
      <c r="K353" t="n">
        <v>0</v>
      </c>
      <c r="L353" t="n">
        <v>0</v>
      </c>
      <c r="M353" t="n">
        <v>0</v>
      </c>
      <c r="N353" t="n">
        <v>0</v>
      </c>
      <c r="O353" t="n">
        <v>0</v>
      </c>
      <c r="P353" t="n">
        <v>0</v>
      </c>
      <c r="Q353" t="n">
        <v>0</v>
      </c>
      <c r="R353" s="2" t="inlineStr"/>
    </row>
    <row r="354" ht="15" customHeight="1">
      <c r="A354" t="inlineStr">
        <is>
          <t>A 16328-2025</t>
        </is>
      </c>
      <c r="B354" s="1" t="n">
        <v>45751</v>
      </c>
      <c r="C354" s="1" t="n">
        <v>46203</v>
      </c>
      <c r="D354" t="inlineStr">
        <is>
          <t>VÄSTMANLANDS LÄN</t>
        </is>
      </c>
      <c r="E354" t="inlineStr">
        <is>
          <t>SALA</t>
        </is>
      </c>
      <c r="G354" t="n">
        <v>2.9</v>
      </c>
      <c r="H354" t="n">
        <v>0</v>
      </c>
      <c r="I354" t="n">
        <v>0</v>
      </c>
      <c r="J354" t="n">
        <v>0</v>
      </c>
      <c r="K354" t="n">
        <v>0</v>
      </c>
      <c r="L354" t="n">
        <v>0</v>
      </c>
      <c r="M354" t="n">
        <v>0</v>
      </c>
      <c r="N354" t="n">
        <v>0</v>
      </c>
      <c r="O354" t="n">
        <v>0</v>
      </c>
      <c r="P354" t="n">
        <v>0</v>
      </c>
      <c r="Q354" t="n">
        <v>0</v>
      </c>
      <c r="R354" s="2" t="inlineStr"/>
    </row>
    <row r="355" ht="15" customHeight="1">
      <c r="A355" t="inlineStr">
        <is>
          <t>A 13639-2026</t>
        </is>
      </c>
      <c r="B355" s="1" t="n">
        <v>46097</v>
      </c>
      <c r="C355" s="1" t="n">
        <v>46203</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31609-2024</t>
        </is>
      </c>
      <c r="B356" s="1" t="n">
        <v>45506</v>
      </c>
      <c r="C356" s="1" t="n">
        <v>46203</v>
      </c>
      <c r="D356" t="inlineStr">
        <is>
          <t>VÄSTMANLANDS LÄN</t>
        </is>
      </c>
      <c r="E356" t="inlineStr">
        <is>
          <t>SALA</t>
        </is>
      </c>
      <c r="G356" t="n">
        <v>0.8</v>
      </c>
      <c r="H356" t="n">
        <v>0</v>
      </c>
      <c r="I356" t="n">
        <v>0</v>
      </c>
      <c r="J356" t="n">
        <v>0</v>
      </c>
      <c r="K356" t="n">
        <v>0</v>
      </c>
      <c r="L356" t="n">
        <v>0</v>
      </c>
      <c r="M356" t="n">
        <v>0</v>
      </c>
      <c r="N356" t="n">
        <v>0</v>
      </c>
      <c r="O356" t="n">
        <v>0</v>
      </c>
      <c r="P356" t="n">
        <v>0</v>
      </c>
      <c r="Q356" t="n">
        <v>0</v>
      </c>
      <c r="R356" s="2" t="inlineStr"/>
    </row>
    <row r="357" ht="15" customHeight="1">
      <c r="A357" t="inlineStr">
        <is>
          <t>A 13996-2026</t>
        </is>
      </c>
      <c r="B357" s="1" t="n">
        <v>46098</v>
      </c>
      <c r="C357" s="1" t="n">
        <v>46203</v>
      </c>
      <c r="D357" t="inlineStr">
        <is>
          <t>VÄSTMANLANDS LÄN</t>
        </is>
      </c>
      <c r="E357" t="inlineStr">
        <is>
          <t>SALA</t>
        </is>
      </c>
      <c r="G357" t="n">
        <v>2.5</v>
      </c>
      <c r="H357" t="n">
        <v>0</v>
      </c>
      <c r="I357" t="n">
        <v>0</v>
      </c>
      <c r="J357" t="n">
        <v>0</v>
      </c>
      <c r="K357" t="n">
        <v>0</v>
      </c>
      <c r="L357" t="n">
        <v>0</v>
      </c>
      <c r="M357" t="n">
        <v>0</v>
      </c>
      <c r="N357" t="n">
        <v>0</v>
      </c>
      <c r="O357" t="n">
        <v>0</v>
      </c>
      <c r="P357" t="n">
        <v>0</v>
      </c>
      <c r="Q357" t="n">
        <v>0</v>
      </c>
      <c r="R357" s="2" t="inlineStr"/>
    </row>
    <row r="358" ht="15" customHeight="1">
      <c r="A358" t="inlineStr">
        <is>
          <t>A 14000-2026</t>
        </is>
      </c>
      <c r="B358" s="1" t="n">
        <v>46098</v>
      </c>
      <c r="C358" s="1" t="n">
        <v>46203</v>
      </c>
      <c r="D358" t="inlineStr">
        <is>
          <t>VÄSTMANLANDS LÄN</t>
        </is>
      </c>
      <c r="E358" t="inlineStr">
        <is>
          <t>SALA</t>
        </is>
      </c>
      <c r="G358" t="n">
        <v>0.8</v>
      </c>
      <c r="H358" t="n">
        <v>0</v>
      </c>
      <c r="I358" t="n">
        <v>0</v>
      </c>
      <c r="J358" t="n">
        <v>0</v>
      </c>
      <c r="K358" t="n">
        <v>0</v>
      </c>
      <c r="L358" t="n">
        <v>0</v>
      </c>
      <c r="M358" t="n">
        <v>0</v>
      </c>
      <c r="N358" t="n">
        <v>0</v>
      </c>
      <c r="O358" t="n">
        <v>0</v>
      </c>
      <c r="P358" t="n">
        <v>0</v>
      </c>
      <c r="Q358" t="n">
        <v>0</v>
      </c>
      <c r="R358" s="2" t="inlineStr"/>
    </row>
    <row r="359" ht="15" customHeight="1">
      <c r="A359" t="inlineStr">
        <is>
          <t>A 35410-2022</t>
        </is>
      </c>
      <c r="B359" s="1" t="n">
        <v>44798</v>
      </c>
      <c r="C359" s="1" t="n">
        <v>46203</v>
      </c>
      <c r="D359" t="inlineStr">
        <is>
          <t>VÄSTMANLANDS LÄN</t>
        </is>
      </c>
      <c r="E359" t="inlineStr">
        <is>
          <t>SALA</t>
        </is>
      </c>
      <c r="G359" t="n">
        <v>1.6</v>
      </c>
      <c r="H359" t="n">
        <v>0</v>
      </c>
      <c r="I359" t="n">
        <v>0</v>
      </c>
      <c r="J359" t="n">
        <v>0</v>
      </c>
      <c r="K359" t="n">
        <v>0</v>
      </c>
      <c r="L359" t="n">
        <v>0</v>
      </c>
      <c r="M359" t="n">
        <v>0</v>
      </c>
      <c r="N359" t="n">
        <v>0</v>
      </c>
      <c r="O359" t="n">
        <v>0</v>
      </c>
      <c r="P359" t="n">
        <v>0</v>
      </c>
      <c r="Q359" t="n">
        <v>0</v>
      </c>
      <c r="R359" s="2" t="inlineStr"/>
    </row>
    <row r="360" ht="15" customHeight="1">
      <c r="A360" t="inlineStr">
        <is>
          <t>A 14482-2026</t>
        </is>
      </c>
      <c r="B360" s="1" t="n">
        <v>46100</v>
      </c>
      <c r="C360" s="1" t="n">
        <v>46203</v>
      </c>
      <c r="D360" t="inlineStr">
        <is>
          <t>VÄSTMANLANDS LÄN</t>
        </is>
      </c>
      <c r="E360" t="inlineStr">
        <is>
          <t>SALA</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14484-2026</t>
        </is>
      </c>
      <c r="B361" s="1" t="n">
        <v>46100</v>
      </c>
      <c r="C361" s="1" t="n">
        <v>46203</v>
      </c>
      <c r="D361" t="inlineStr">
        <is>
          <t>VÄSTMANLANDS LÄN</t>
        </is>
      </c>
      <c r="E361" t="inlineStr">
        <is>
          <t>SALA</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14490-2026</t>
        </is>
      </c>
      <c r="B362" s="1" t="n">
        <v>46100</v>
      </c>
      <c r="C362" s="1" t="n">
        <v>46203</v>
      </c>
      <c r="D362" t="inlineStr">
        <is>
          <t>VÄSTMANLANDS LÄN</t>
        </is>
      </c>
      <c r="E362" t="inlineStr">
        <is>
          <t>SALA</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16354-2026</t>
        </is>
      </c>
      <c r="B363" s="1" t="n">
        <v>46111</v>
      </c>
      <c r="C363" s="1" t="n">
        <v>46203</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16367-2026</t>
        </is>
      </c>
      <c r="B364" s="1" t="n">
        <v>46111</v>
      </c>
      <c r="C364" s="1" t="n">
        <v>46203</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16369-2026</t>
        </is>
      </c>
      <c r="B365" s="1" t="n">
        <v>46111</v>
      </c>
      <c r="C365" s="1" t="n">
        <v>46203</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16364-2026</t>
        </is>
      </c>
      <c r="B366" s="1" t="n">
        <v>46111</v>
      </c>
      <c r="C366" s="1" t="n">
        <v>46203</v>
      </c>
      <c r="D366" t="inlineStr">
        <is>
          <t>VÄSTMANLANDS LÄN</t>
        </is>
      </c>
      <c r="E366" t="inlineStr">
        <is>
          <t>SALA</t>
        </is>
      </c>
      <c r="G366" t="n">
        <v>4.7</v>
      </c>
      <c r="H366" t="n">
        <v>0</v>
      </c>
      <c r="I366" t="n">
        <v>0</v>
      </c>
      <c r="J366" t="n">
        <v>0</v>
      </c>
      <c r="K366" t="n">
        <v>0</v>
      </c>
      <c r="L366" t="n">
        <v>0</v>
      </c>
      <c r="M366" t="n">
        <v>0</v>
      </c>
      <c r="N366" t="n">
        <v>0</v>
      </c>
      <c r="O366" t="n">
        <v>0</v>
      </c>
      <c r="P366" t="n">
        <v>0</v>
      </c>
      <c r="Q366" t="n">
        <v>0</v>
      </c>
      <c r="R366" s="2" t="inlineStr"/>
    </row>
    <row r="367" ht="15" customHeight="1">
      <c r="A367" t="inlineStr">
        <is>
          <t>A 21159-2022</t>
        </is>
      </c>
      <c r="B367" s="1" t="n">
        <v>44704</v>
      </c>
      <c r="C367" s="1" t="n">
        <v>46203</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41292-2021</t>
        </is>
      </c>
      <c r="B368" s="1" t="n">
        <v>44424</v>
      </c>
      <c r="C368" s="1" t="n">
        <v>46203</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33273-2023</t>
        </is>
      </c>
      <c r="B369" s="1" t="n">
        <v>45127</v>
      </c>
      <c r="C369" s="1" t="n">
        <v>46203</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16598-2026</t>
        </is>
      </c>
      <c r="B370" s="1" t="n">
        <v>46112</v>
      </c>
      <c r="C370" s="1" t="n">
        <v>46203</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52827-2024</t>
        </is>
      </c>
      <c r="B371" s="1" t="n">
        <v>45610</v>
      </c>
      <c r="C371" s="1" t="n">
        <v>46203</v>
      </c>
      <c r="D371" t="inlineStr">
        <is>
          <t>VÄSTMANLANDS LÄN</t>
        </is>
      </c>
      <c r="E371" t="inlineStr">
        <is>
          <t>SALA</t>
        </is>
      </c>
      <c r="G371" t="n">
        <v>0.2</v>
      </c>
      <c r="H371" t="n">
        <v>0</v>
      </c>
      <c r="I371" t="n">
        <v>0</v>
      </c>
      <c r="J371" t="n">
        <v>0</v>
      </c>
      <c r="K371" t="n">
        <v>0</v>
      </c>
      <c r="L371" t="n">
        <v>0</v>
      </c>
      <c r="M371" t="n">
        <v>0</v>
      </c>
      <c r="N371" t="n">
        <v>0</v>
      </c>
      <c r="O371" t="n">
        <v>0</v>
      </c>
      <c r="P371" t="n">
        <v>0</v>
      </c>
      <c r="Q371" t="n">
        <v>0</v>
      </c>
      <c r="R371" s="2" t="inlineStr"/>
    </row>
    <row r="372" ht="15" customHeight="1">
      <c r="A372" t="inlineStr">
        <is>
          <t>A 11244-2024</t>
        </is>
      </c>
      <c r="B372" s="1" t="n">
        <v>45371</v>
      </c>
      <c r="C372" s="1" t="n">
        <v>46203</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62654-2022</t>
        </is>
      </c>
      <c r="B373" s="1" t="n">
        <v>44917</v>
      </c>
      <c r="C373" s="1" t="n">
        <v>46203</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6135-2023</t>
        </is>
      </c>
      <c r="B374" s="1" t="n">
        <v>44964</v>
      </c>
      <c r="C374" s="1" t="n">
        <v>46203</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53864-2022</t>
        </is>
      </c>
      <c r="B375" s="1" t="n">
        <v>44880</v>
      </c>
      <c r="C375" s="1" t="n">
        <v>46203</v>
      </c>
      <c r="D375" t="inlineStr">
        <is>
          <t>VÄSTMANLANDS LÄN</t>
        </is>
      </c>
      <c r="E375" t="inlineStr">
        <is>
          <t>SALA</t>
        </is>
      </c>
      <c r="G375" t="n">
        <v>5.9</v>
      </c>
      <c r="H375" t="n">
        <v>0</v>
      </c>
      <c r="I375" t="n">
        <v>0</v>
      </c>
      <c r="J375" t="n">
        <v>0</v>
      </c>
      <c r="K375" t="n">
        <v>0</v>
      </c>
      <c r="L375" t="n">
        <v>0</v>
      </c>
      <c r="M375" t="n">
        <v>0</v>
      </c>
      <c r="N375" t="n">
        <v>0</v>
      </c>
      <c r="O375" t="n">
        <v>0</v>
      </c>
      <c r="P375" t="n">
        <v>0</v>
      </c>
      <c r="Q375" t="n">
        <v>0</v>
      </c>
      <c r="R375" s="2" t="inlineStr"/>
    </row>
    <row r="376" ht="15" customHeight="1">
      <c r="A376" t="inlineStr">
        <is>
          <t>A 27255-2023</t>
        </is>
      </c>
      <c r="B376" s="1" t="n">
        <v>45096</v>
      </c>
      <c r="C376" s="1" t="n">
        <v>46203</v>
      </c>
      <c r="D376" t="inlineStr">
        <is>
          <t>VÄSTMANLANDS LÄN</t>
        </is>
      </c>
      <c r="E376" t="inlineStr">
        <is>
          <t>SALA</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23578-2026</t>
        </is>
      </c>
      <c r="B377" s="1" t="n">
        <v>46163</v>
      </c>
      <c r="C377" s="1" t="n">
        <v>46203</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52503-2024</t>
        </is>
      </c>
      <c r="B378" s="1" t="n">
        <v>45609</v>
      </c>
      <c r="C378" s="1" t="n">
        <v>46203</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24292-2026</t>
        </is>
      </c>
      <c r="B379" s="1" t="n">
        <v>46169</v>
      </c>
      <c r="C379" s="1" t="n">
        <v>46203</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18592-2026</t>
        </is>
      </c>
      <c r="B380" s="1" t="n">
        <v>46127</v>
      </c>
      <c r="C380" s="1" t="n">
        <v>46203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2521-2025</t>
        </is>
      </c>
      <c r="B381" s="1" t="n">
        <v>45674</v>
      </c>
      <c r="C381" s="1" t="n">
        <v>46203</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18382-2026</t>
        </is>
      </c>
      <c r="B382" s="1" t="n">
        <v>46126</v>
      </c>
      <c r="C382" s="1" t="n">
        <v>46203</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31000-2022</t>
        </is>
      </c>
      <c r="B383" s="1" t="n">
        <v>44768</v>
      </c>
      <c r="C383" s="1" t="n">
        <v>46203</v>
      </c>
      <c r="D383" t="inlineStr">
        <is>
          <t>VÄSTMANLANDS LÄN</t>
        </is>
      </c>
      <c r="E383" t="inlineStr">
        <is>
          <t>SALA</t>
        </is>
      </c>
      <c r="G383" t="n">
        <v>5.7</v>
      </c>
      <c r="H383" t="n">
        <v>0</v>
      </c>
      <c r="I383" t="n">
        <v>0</v>
      </c>
      <c r="J383" t="n">
        <v>0</v>
      </c>
      <c r="K383" t="n">
        <v>0</v>
      </c>
      <c r="L383" t="n">
        <v>0</v>
      </c>
      <c r="M383" t="n">
        <v>0</v>
      </c>
      <c r="N383" t="n">
        <v>0</v>
      </c>
      <c r="O383" t="n">
        <v>0</v>
      </c>
      <c r="P383" t="n">
        <v>0</v>
      </c>
      <c r="Q383" t="n">
        <v>0</v>
      </c>
      <c r="R383" s="2" t="inlineStr"/>
    </row>
    <row r="384" ht="15" customHeight="1">
      <c r="A384" t="inlineStr">
        <is>
          <t>A 24846-2026</t>
        </is>
      </c>
      <c r="B384" s="1" t="n">
        <v>46174</v>
      </c>
      <c r="C384" s="1" t="n">
        <v>46203</v>
      </c>
      <c r="D384" t="inlineStr">
        <is>
          <t>VÄSTMANLANDS LÄN</t>
        </is>
      </c>
      <c r="E384" t="inlineStr">
        <is>
          <t>SALA</t>
        </is>
      </c>
      <c r="G384" t="n">
        <v>1.6</v>
      </c>
      <c r="H384" t="n">
        <v>0</v>
      </c>
      <c r="I384" t="n">
        <v>0</v>
      </c>
      <c r="J384" t="n">
        <v>0</v>
      </c>
      <c r="K384" t="n">
        <v>0</v>
      </c>
      <c r="L384" t="n">
        <v>0</v>
      </c>
      <c r="M384" t="n">
        <v>0</v>
      </c>
      <c r="N384" t="n">
        <v>0</v>
      </c>
      <c r="O384" t="n">
        <v>0</v>
      </c>
      <c r="P384" t="n">
        <v>0</v>
      </c>
      <c r="Q384" t="n">
        <v>0</v>
      </c>
      <c r="R384" s="2" t="inlineStr"/>
    </row>
    <row r="385" ht="15" customHeight="1">
      <c r="A385" t="inlineStr">
        <is>
          <t>A 23182-2022</t>
        </is>
      </c>
      <c r="B385" s="1" t="n">
        <v>44719</v>
      </c>
      <c r="C385" s="1" t="n">
        <v>46203</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19044-2026</t>
        </is>
      </c>
      <c r="B386" s="1" t="n">
        <v>46132</v>
      </c>
      <c r="C386" s="1" t="n">
        <v>46203</v>
      </c>
      <c r="D386" t="inlineStr">
        <is>
          <t>VÄSTMANLANDS LÄN</t>
        </is>
      </c>
      <c r="E386" t="inlineStr">
        <is>
          <t>SALA</t>
        </is>
      </c>
      <c r="G386" t="n">
        <v>1.7</v>
      </c>
      <c r="H386" t="n">
        <v>0</v>
      </c>
      <c r="I386" t="n">
        <v>0</v>
      </c>
      <c r="J386" t="n">
        <v>0</v>
      </c>
      <c r="K386" t="n">
        <v>0</v>
      </c>
      <c r="L386" t="n">
        <v>0</v>
      </c>
      <c r="M386" t="n">
        <v>0</v>
      </c>
      <c r="N386" t="n">
        <v>0</v>
      </c>
      <c r="O386" t="n">
        <v>0</v>
      </c>
      <c r="P386" t="n">
        <v>0</v>
      </c>
      <c r="Q386" t="n">
        <v>0</v>
      </c>
      <c r="R386" s="2" t="inlineStr"/>
    </row>
    <row r="387" ht="15" customHeight="1">
      <c r="A387" t="inlineStr">
        <is>
          <t>A 25228-2026</t>
        </is>
      </c>
      <c r="B387" s="1" t="n">
        <v>46171</v>
      </c>
      <c r="C387" s="1" t="n">
        <v>46203</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25227-2026</t>
        </is>
      </c>
      <c r="B388" s="1" t="n">
        <v>46171</v>
      </c>
      <c r="C388" s="1" t="n">
        <v>46203</v>
      </c>
      <c r="D388" t="inlineStr">
        <is>
          <t>VÄSTMANLANDS LÄN</t>
        </is>
      </c>
      <c r="E388" t="inlineStr">
        <is>
          <t>SALA</t>
        </is>
      </c>
      <c r="G388" t="n">
        <v>2.9</v>
      </c>
      <c r="H388" t="n">
        <v>0</v>
      </c>
      <c r="I388" t="n">
        <v>0</v>
      </c>
      <c r="J388" t="n">
        <v>0</v>
      </c>
      <c r="K388" t="n">
        <v>0</v>
      </c>
      <c r="L388" t="n">
        <v>0</v>
      </c>
      <c r="M388" t="n">
        <v>0</v>
      </c>
      <c r="N388" t="n">
        <v>0</v>
      </c>
      <c r="O388" t="n">
        <v>0</v>
      </c>
      <c r="P388" t="n">
        <v>0</v>
      </c>
      <c r="Q388" t="n">
        <v>0</v>
      </c>
      <c r="R388" s="2" t="inlineStr"/>
    </row>
    <row r="389" ht="15" customHeight="1">
      <c r="A389" t="inlineStr">
        <is>
          <t>A 19376-2026</t>
        </is>
      </c>
      <c r="B389" s="1" t="n">
        <v>46133</v>
      </c>
      <c r="C389" s="1" t="n">
        <v>46203</v>
      </c>
      <c r="D389" t="inlineStr">
        <is>
          <t>VÄSTMANLANDS LÄN</t>
        </is>
      </c>
      <c r="E389" t="inlineStr">
        <is>
          <t>SALA</t>
        </is>
      </c>
      <c r="G389" t="n">
        <v>3.8</v>
      </c>
      <c r="H389" t="n">
        <v>0</v>
      </c>
      <c r="I389" t="n">
        <v>0</v>
      </c>
      <c r="J389" t="n">
        <v>0</v>
      </c>
      <c r="K389" t="n">
        <v>0</v>
      </c>
      <c r="L389" t="n">
        <v>0</v>
      </c>
      <c r="M389" t="n">
        <v>0</v>
      </c>
      <c r="N389" t="n">
        <v>0</v>
      </c>
      <c r="O389" t="n">
        <v>0</v>
      </c>
      <c r="P389" t="n">
        <v>0</v>
      </c>
      <c r="Q389" t="n">
        <v>0</v>
      </c>
      <c r="R389" s="2" t="inlineStr"/>
    </row>
    <row r="390" ht="15" customHeight="1">
      <c r="A390" t="inlineStr">
        <is>
          <t>A 57371-2022</t>
        </is>
      </c>
      <c r="B390" s="1" t="n">
        <v>44896</v>
      </c>
      <c r="C390" s="1" t="n">
        <v>46203</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47086-2022</t>
        </is>
      </c>
      <c r="B391" s="1" t="n">
        <v>44852</v>
      </c>
      <c r="C391" s="1" t="n">
        <v>46203</v>
      </c>
      <c r="D391" t="inlineStr">
        <is>
          <t>VÄSTMANLANDS LÄN</t>
        </is>
      </c>
      <c r="E391" t="inlineStr">
        <is>
          <t>SALA</t>
        </is>
      </c>
      <c r="G391" t="n">
        <v>12.5</v>
      </c>
      <c r="H391" t="n">
        <v>0</v>
      </c>
      <c r="I391" t="n">
        <v>0</v>
      </c>
      <c r="J391" t="n">
        <v>0</v>
      </c>
      <c r="K391" t="n">
        <v>0</v>
      </c>
      <c r="L391" t="n">
        <v>0</v>
      </c>
      <c r="M391" t="n">
        <v>0</v>
      </c>
      <c r="N391" t="n">
        <v>0</v>
      </c>
      <c r="O391" t="n">
        <v>0</v>
      </c>
      <c r="P391" t="n">
        <v>0</v>
      </c>
      <c r="Q391" t="n">
        <v>0</v>
      </c>
      <c r="R391" s="2" t="inlineStr"/>
    </row>
    <row r="392" ht="15" customHeight="1">
      <c r="A392" t="inlineStr">
        <is>
          <t>A 6132-2025</t>
        </is>
      </c>
      <c r="B392" s="1" t="n">
        <v>45698</v>
      </c>
      <c r="C392" s="1" t="n">
        <v>46203</v>
      </c>
      <c r="D392" t="inlineStr">
        <is>
          <t>VÄSTMANLANDS LÄN</t>
        </is>
      </c>
      <c r="E392" t="inlineStr">
        <is>
          <t>SALA</t>
        </is>
      </c>
      <c r="F392" t="inlineStr">
        <is>
          <t>Bergvik skog öst AB</t>
        </is>
      </c>
      <c r="G392" t="n">
        <v>1.5</v>
      </c>
      <c r="H392" t="n">
        <v>0</v>
      </c>
      <c r="I392" t="n">
        <v>0</v>
      </c>
      <c r="J392" t="n">
        <v>0</v>
      </c>
      <c r="K392" t="n">
        <v>0</v>
      </c>
      <c r="L392" t="n">
        <v>0</v>
      </c>
      <c r="M392" t="n">
        <v>0</v>
      </c>
      <c r="N392" t="n">
        <v>0</v>
      </c>
      <c r="O392" t="n">
        <v>0</v>
      </c>
      <c r="P392" t="n">
        <v>0</v>
      </c>
      <c r="Q392" t="n">
        <v>0</v>
      </c>
      <c r="R392" s="2" t="inlineStr"/>
    </row>
    <row r="393" ht="15" customHeight="1">
      <c r="A393" t="inlineStr">
        <is>
          <t>A 39597-2022</t>
        </is>
      </c>
      <c r="B393" s="1" t="n">
        <v>44818</v>
      </c>
      <c r="C393" s="1" t="n">
        <v>46203</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66908-2021</t>
        </is>
      </c>
      <c r="B394" s="1" t="n">
        <v>44522</v>
      </c>
      <c r="C394" s="1" t="n">
        <v>46203</v>
      </c>
      <c r="D394" t="inlineStr">
        <is>
          <t>VÄSTMANLANDS LÄN</t>
        </is>
      </c>
      <c r="E394" t="inlineStr">
        <is>
          <t>SALA</t>
        </is>
      </c>
      <c r="G394" t="n">
        <v>2.6</v>
      </c>
      <c r="H394" t="n">
        <v>0</v>
      </c>
      <c r="I394" t="n">
        <v>0</v>
      </c>
      <c r="J394" t="n">
        <v>0</v>
      </c>
      <c r="K394" t="n">
        <v>0</v>
      </c>
      <c r="L394" t="n">
        <v>0</v>
      </c>
      <c r="M394" t="n">
        <v>0</v>
      </c>
      <c r="N394" t="n">
        <v>0</v>
      </c>
      <c r="O394" t="n">
        <v>0</v>
      </c>
      <c r="P394" t="n">
        <v>0</v>
      </c>
      <c r="Q394" t="n">
        <v>0</v>
      </c>
      <c r="R394" s="2" t="inlineStr"/>
    </row>
    <row r="395" ht="15" customHeight="1">
      <c r="A395" t="inlineStr">
        <is>
          <t>A 40157-2021</t>
        </is>
      </c>
      <c r="B395" s="1" t="n">
        <v>44418</v>
      </c>
      <c r="C395" s="1" t="n">
        <v>46203</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39597-2022</t>
        </is>
      </c>
      <c r="B396" s="1" t="n">
        <v>44818</v>
      </c>
      <c r="C396" s="1" t="n">
        <v>46203</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30866-2025</t>
        </is>
      </c>
      <c r="B397" s="1" t="n">
        <v>45832</v>
      </c>
      <c r="C397" s="1" t="n">
        <v>46203</v>
      </c>
      <c r="D397" t="inlineStr">
        <is>
          <t>VÄSTMANLANDS LÄN</t>
        </is>
      </c>
      <c r="E397" t="inlineStr">
        <is>
          <t>SALA</t>
        </is>
      </c>
      <c r="G397" t="n">
        <v>14.3</v>
      </c>
      <c r="H397" t="n">
        <v>0</v>
      </c>
      <c r="I397" t="n">
        <v>0</v>
      </c>
      <c r="J397" t="n">
        <v>0</v>
      </c>
      <c r="K397" t="n">
        <v>0</v>
      </c>
      <c r="L397" t="n">
        <v>0</v>
      </c>
      <c r="M397" t="n">
        <v>0</v>
      </c>
      <c r="N397" t="n">
        <v>0</v>
      </c>
      <c r="O397" t="n">
        <v>0</v>
      </c>
      <c r="P397" t="n">
        <v>0</v>
      </c>
      <c r="Q397" t="n">
        <v>0</v>
      </c>
      <c r="R397" s="2" t="inlineStr"/>
    </row>
    <row r="398" ht="15" customHeight="1">
      <c r="A398" t="inlineStr">
        <is>
          <t>A 43509-2021</t>
        </is>
      </c>
      <c r="B398" s="1" t="n">
        <v>44433</v>
      </c>
      <c r="C398" s="1" t="n">
        <v>46203</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38636-2024</t>
        </is>
      </c>
      <c r="B399" s="1" t="n">
        <v>45546</v>
      </c>
      <c r="C399" s="1" t="n">
        <v>46203</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19304-2025</t>
        </is>
      </c>
      <c r="B400" s="1" t="n">
        <v>45769</v>
      </c>
      <c r="C400" s="1" t="n">
        <v>46203</v>
      </c>
      <c r="D400" t="inlineStr">
        <is>
          <t>VÄSTMANLANDS LÄN</t>
        </is>
      </c>
      <c r="E400" t="inlineStr">
        <is>
          <t>SALA</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37103-2025</t>
        </is>
      </c>
      <c r="B401" s="1" t="n">
        <v>45875</v>
      </c>
      <c r="C401" s="1" t="n">
        <v>46203</v>
      </c>
      <c r="D401" t="inlineStr">
        <is>
          <t>VÄSTMANLANDS LÄN</t>
        </is>
      </c>
      <c r="E401" t="inlineStr">
        <is>
          <t>SALA</t>
        </is>
      </c>
      <c r="G401" t="n">
        <v>1.9</v>
      </c>
      <c r="H401" t="n">
        <v>0</v>
      </c>
      <c r="I401" t="n">
        <v>0</v>
      </c>
      <c r="J401" t="n">
        <v>0</v>
      </c>
      <c r="K401" t="n">
        <v>0</v>
      </c>
      <c r="L401" t="n">
        <v>0</v>
      </c>
      <c r="M401" t="n">
        <v>0</v>
      </c>
      <c r="N401" t="n">
        <v>0</v>
      </c>
      <c r="O401" t="n">
        <v>0</v>
      </c>
      <c r="P401" t="n">
        <v>0</v>
      </c>
      <c r="Q401" t="n">
        <v>0</v>
      </c>
      <c r="R401" s="2" t="inlineStr"/>
    </row>
    <row r="402" ht="15" customHeight="1">
      <c r="A402" t="inlineStr">
        <is>
          <t>A 43122-2025</t>
        </is>
      </c>
      <c r="B402" s="1" t="n">
        <v>45909</v>
      </c>
      <c r="C402" s="1" t="n">
        <v>46203</v>
      </c>
      <c r="D402" t="inlineStr">
        <is>
          <t>VÄSTMANLANDS LÄN</t>
        </is>
      </c>
      <c r="E402" t="inlineStr">
        <is>
          <t>SALA</t>
        </is>
      </c>
      <c r="G402" t="n">
        <v>3.2</v>
      </c>
      <c r="H402" t="n">
        <v>0</v>
      </c>
      <c r="I402" t="n">
        <v>0</v>
      </c>
      <c r="J402" t="n">
        <v>0</v>
      </c>
      <c r="K402" t="n">
        <v>0</v>
      </c>
      <c r="L402" t="n">
        <v>0</v>
      </c>
      <c r="M402" t="n">
        <v>0</v>
      </c>
      <c r="N402" t="n">
        <v>0</v>
      </c>
      <c r="O402" t="n">
        <v>0</v>
      </c>
      <c r="P402" t="n">
        <v>0</v>
      </c>
      <c r="Q402" t="n">
        <v>0</v>
      </c>
      <c r="R402" s="2" t="inlineStr"/>
    </row>
    <row r="403" ht="15" customHeight="1">
      <c r="A403" t="inlineStr">
        <is>
          <t>A 43129-2025</t>
        </is>
      </c>
      <c r="B403" s="1" t="n">
        <v>45909</v>
      </c>
      <c r="C403" s="1" t="n">
        <v>46203</v>
      </c>
      <c r="D403" t="inlineStr">
        <is>
          <t>VÄSTMANLANDS LÄN</t>
        </is>
      </c>
      <c r="E403" t="inlineStr">
        <is>
          <t>SALA</t>
        </is>
      </c>
      <c r="G403" t="n">
        <v>2.4</v>
      </c>
      <c r="H403" t="n">
        <v>0</v>
      </c>
      <c r="I403" t="n">
        <v>0</v>
      </c>
      <c r="J403" t="n">
        <v>0</v>
      </c>
      <c r="K403" t="n">
        <v>0</v>
      </c>
      <c r="L403" t="n">
        <v>0</v>
      </c>
      <c r="M403" t="n">
        <v>0</v>
      </c>
      <c r="N403" t="n">
        <v>0</v>
      </c>
      <c r="O403" t="n">
        <v>0</v>
      </c>
      <c r="P403" t="n">
        <v>0</v>
      </c>
      <c r="Q403" t="n">
        <v>0</v>
      </c>
      <c r="R403" s="2" t="inlineStr"/>
    </row>
    <row r="404" ht="15" customHeight="1">
      <c r="A404" t="inlineStr">
        <is>
          <t>A 25897-2024</t>
        </is>
      </c>
      <c r="B404" s="1" t="n">
        <v>45467</v>
      </c>
      <c r="C404" s="1" t="n">
        <v>46203</v>
      </c>
      <c r="D404" t="inlineStr">
        <is>
          <t>VÄSTMANLANDS LÄN</t>
        </is>
      </c>
      <c r="E404" t="inlineStr">
        <is>
          <t>SALA</t>
        </is>
      </c>
      <c r="G404" t="n">
        <v>9.9</v>
      </c>
      <c r="H404" t="n">
        <v>0</v>
      </c>
      <c r="I404" t="n">
        <v>0</v>
      </c>
      <c r="J404" t="n">
        <v>0</v>
      </c>
      <c r="K404" t="n">
        <v>0</v>
      </c>
      <c r="L404" t="n">
        <v>0</v>
      </c>
      <c r="M404" t="n">
        <v>0</v>
      </c>
      <c r="N404" t="n">
        <v>0</v>
      </c>
      <c r="O404" t="n">
        <v>0</v>
      </c>
      <c r="P404" t="n">
        <v>0</v>
      </c>
      <c r="Q404" t="n">
        <v>0</v>
      </c>
      <c r="R404" s="2" t="inlineStr"/>
    </row>
    <row r="405" ht="15" customHeight="1">
      <c r="A405" t="inlineStr">
        <is>
          <t>A 23222-2023</t>
        </is>
      </c>
      <c r="B405" s="1" t="n">
        <v>45075</v>
      </c>
      <c r="C405" s="1" t="n">
        <v>46203</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26419-2026</t>
        </is>
      </c>
      <c r="B406" s="1" t="n">
        <v>46183</v>
      </c>
      <c r="C406" s="1" t="n">
        <v>46203</v>
      </c>
      <c r="D406" t="inlineStr">
        <is>
          <t>VÄSTMANLANDS LÄN</t>
        </is>
      </c>
      <c r="E406" t="inlineStr">
        <is>
          <t>SALA</t>
        </is>
      </c>
      <c r="G406" t="n">
        <v>3.4</v>
      </c>
      <c r="H406" t="n">
        <v>0</v>
      </c>
      <c r="I406" t="n">
        <v>0</v>
      </c>
      <c r="J406" t="n">
        <v>0</v>
      </c>
      <c r="K406" t="n">
        <v>0</v>
      </c>
      <c r="L406" t="n">
        <v>0</v>
      </c>
      <c r="M406" t="n">
        <v>0</v>
      </c>
      <c r="N406" t="n">
        <v>0</v>
      </c>
      <c r="O406" t="n">
        <v>0</v>
      </c>
      <c r="P406" t="n">
        <v>0</v>
      </c>
      <c r="Q406" t="n">
        <v>0</v>
      </c>
      <c r="R406" s="2" t="inlineStr"/>
    </row>
    <row r="407" ht="15" customHeight="1">
      <c r="A407" t="inlineStr">
        <is>
          <t>A 50479-2022</t>
        </is>
      </c>
      <c r="B407" s="1" t="n">
        <v>44861</v>
      </c>
      <c r="C407" s="1" t="n">
        <v>46203</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26414-2026</t>
        </is>
      </c>
      <c r="B408" s="1" t="n">
        <v>46183</v>
      </c>
      <c r="C408" s="1" t="n">
        <v>46203</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14920-2025</t>
        </is>
      </c>
      <c r="B409" s="1" t="n">
        <v>45743</v>
      </c>
      <c r="C409" s="1" t="n">
        <v>46203</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row>
    <row r="410" ht="15" customHeight="1">
      <c r="A410" t="inlineStr">
        <is>
          <t>A 28278-2025</t>
        </is>
      </c>
      <c r="B410" s="1" t="n">
        <v>45818</v>
      </c>
      <c r="C410" s="1" t="n">
        <v>46203</v>
      </c>
      <c r="D410" t="inlineStr">
        <is>
          <t>VÄSTMANLANDS LÄN</t>
        </is>
      </c>
      <c r="E410" t="inlineStr">
        <is>
          <t>SALA</t>
        </is>
      </c>
      <c r="G410" t="n">
        <v>7.6</v>
      </c>
      <c r="H410" t="n">
        <v>0</v>
      </c>
      <c r="I410" t="n">
        <v>0</v>
      </c>
      <c r="J410" t="n">
        <v>0</v>
      </c>
      <c r="K410" t="n">
        <v>0</v>
      </c>
      <c r="L410" t="n">
        <v>0</v>
      </c>
      <c r="M410" t="n">
        <v>0</v>
      </c>
      <c r="N410" t="n">
        <v>0</v>
      </c>
      <c r="O410" t="n">
        <v>0</v>
      </c>
      <c r="P410" t="n">
        <v>0</v>
      </c>
      <c r="Q410" t="n">
        <v>0</v>
      </c>
      <c r="R410" s="2" t="inlineStr"/>
    </row>
    <row r="411" ht="15" customHeight="1">
      <c r="A411" t="inlineStr">
        <is>
          <t>A 13855-2023</t>
        </is>
      </c>
      <c r="B411" s="1" t="n">
        <v>45007</v>
      </c>
      <c r="C411" s="1" t="n">
        <v>46203</v>
      </c>
      <c r="D411" t="inlineStr">
        <is>
          <t>VÄSTMANLANDS LÄN</t>
        </is>
      </c>
      <c r="E411" t="inlineStr">
        <is>
          <t>SALA</t>
        </is>
      </c>
      <c r="G411" t="n">
        <v>2.9</v>
      </c>
      <c r="H411" t="n">
        <v>0</v>
      </c>
      <c r="I411" t="n">
        <v>0</v>
      </c>
      <c r="J411" t="n">
        <v>0</v>
      </c>
      <c r="K411" t="n">
        <v>0</v>
      </c>
      <c r="L411" t="n">
        <v>0</v>
      </c>
      <c r="M411" t="n">
        <v>0</v>
      </c>
      <c r="N411" t="n">
        <v>0</v>
      </c>
      <c r="O411" t="n">
        <v>0</v>
      </c>
      <c r="P411" t="n">
        <v>0</v>
      </c>
      <c r="Q411" t="n">
        <v>0</v>
      </c>
      <c r="R411" s="2" t="inlineStr"/>
    </row>
    <row r="412" ht="15" customHeight="1">
      <c r="A412" t="inlineStr">
        <is>
          <t>A 18877-2023</t>
        </is>
      </c>
      <c r="B412" s="1" t="n">
        <v>45044</v>
      </c>
      <c r="C412" s="1" t="n">
        <v>46203</v>
      </c>
      <c r="D412" t="inlineStr">
        <is>
          <t>VÄSTMANLANDS LÄN</t>
        </is>
      </c>
      <c r="E412" t="inlineStr">
        <is>
          <t>SALA</t>
        </is>
      </c>
      <c r="F412" t="inlineStr">
        <is>
          <t>Kommuner</t>
        </is>
      </c>
      <c r="G412" t="n">
        <v>4.4</v>
      </c>
      <c r="H412" t="n">
        <v>0</v>
      </c>
      <c r="I412" t="n">
        <v>0</v>
      </c>
      <c r="J412" t="n">
        <v>0</v>
      </c>
      <c r="K412" t="n">
        <v>0</v>
      </c>
      <c r="L412" t="n">
        <v>0</v>
      </c>
      <c r="M412" t="n">
        <v>0</v>
      </c>
      <c r="N412" t="n">
        <v>0</v>
      </c>
      <c r="O412" t="n">
        <v>0</v>
      </c>
      <c r="P412" t="n">
        <v>0</v>
      </c>
      <c r="Q412" t="n">
        <v>0</v>
      </c>
      <c r="R412" s="2" t="inlineStr"/>
    </row>
    <row r="413" ht="15" customHeight="1">
      <c r="A413" t="inlineStr">
        <is>
          <t>A 55556-2023</t>
        </is>
      </c>
      <c r="B413" s="1" t="n">
        <v>45232</v>
      </c>
      <c r="C413" s="1" t="n">
        <v>46203</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21435-2026</t>
        </is>
      </c>
      <c r="B414" s="1" t="n">
        <v>46148</v>
      </c>
      <c r="C414" s="1" t="n">
        <v>46203</v>
      </c>
      <c r="D414" t="inlineStr">
        <is>
          <t>VÄSTMANLANDS LÄN</t>
        </is>
      </c>
      <c r="E414" t="inlineStr">
        <is>
          <t>SALA</t>
        </is>
      </c>
      <c r="G414" t="n">
        <v>2.3</v>
      </c>
      <c r="H414" t="n">
        <v>0</v>
      </c>
      <c r="I414" t="n">
        <v>0</v>
      </c>
      <c r="J414" t="n">
        <v>0</v>
      </c>
      <c r="K414" t="n">
        <v>0</v>
      </c>
      <c r="L414" t="n">
        <v>0</v>
      </c>
      <c r="M414" t="n">
        <v>0</v>
      </c>
      <c r="N414" t="n">
        <v>0</v>
      </c>
      <c r="O414" t="n">
        <v>0</v>
      </c>
      <c r="P414" t="n">
        <v>0</v>
      </c>
      <c r="Q414" t="n">
        <v>0</v>
      </c>
      <c r="R414" s="2" t="inlineStr"/>
    </row>
    <row r="415" ht="15" customHeight="1">
      <c r="A415" t="inlineStr">
        <is>
          <t>A 27431-2026</t>
        </is>
      </c>
      <c r="B415" s="1" t="n">
        <v>46189</v>
      </c>
      <c r="C415" s="1" t="n">
        <v>46203</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28303-2026</t>
        </is>
      </c>
      <c r="B416" s="1" t="n">
        <v>46196</v>
      </c>
      <c r="C416" s="1" t="n">
        <v>46203</v>
      </c>
      <c r="D416" t="inlineStr">
        <is>
          <t>VÄSTMANLANDS LÄN</t>
        </is>
      </c>
      <c r="E416" t="inlineStr">
        <is>
          <t>SALA</t>
        </is>
      </c>
      <c r="F416" t="inlineStr">
        <is>
          <t>Kommuner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13752-2025</t>
        </is>
      </c>
      <c r="B417" s="1" t="n">
        <v>45737</v>
      </c>
      <c r="C417" s="1" t="n">
        <v>46203</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19398-2025</t>
        </is>
      </c>
      <c r="B418" s="1" t="n">
        <v>45769</v>
      </c>
      <c r="C418" s="1" t="n">
        <v>46203</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22921-2023</t>
        </is>
      </c>
      <c r="B419" s="1" t="n">
        <v>45070</v>
      </c>
      <c r="C419" s="1" t="n">
        <v>46203</v>
      </c>
      <c r="D419" t="inlineStr">
        <is>
          <t>VÄSTMANLANDS LÄN</t>
        </is>
      </c>
      <c r="E419" t="inlineStr">
        <is>
          <t>SALA</t>
        </is>
      </c>
      <c r="G419" t="n">
        <v>1.3</v>
      </c>
      <c r="H419" t="n">
        <v>0</v>
      </c>
      <c r="I419" t="n">
        <v>0</v>
      </c>
      <c r="J419" t="n">
        <v>0</v>
      </c>
      <c r="K419" t="n">
        <v>0</v>
      </c>
      <c r="L419" t="n">
        <v>0</v>
      </c>
      <c r="M419" t="n">
        <v>0</v>
      </c>
      <c r="N419" t="n">
        <v>0</v>
      </c>
      <c r="O419" t="n">
        <v>0</v>
      </c>
      <c r="P419" t="n">
        <v>0</v>
      </c>
      <c r="Q419" t="n">
        <v>0</v>
      </c>
      <c r="R419" s="2" t="inlineStr"/>
    </row>
    <row r="420" ht="15" customHeight="1">
      <c r="A420" t="inlineStr">
        <is>
          <t>A 24248-2023</t>
        </is>
      </c>
      <c r="B420" s="1" t="n">
        <v>45079</v>
      </c>
      <c r="C420" s="1" t="n">
        <v>46203</v>
      </c>
      <c r="D420" t="inlineStr">
        <is>
          <t>VÄSTMANLANDS LÄN</t>
        </is>
      </c>
      <c r="E420" t="inlineStr">
        <is>
          <t>SALA</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38195-2021</t>
        </is>
      </c>
      <c r="B421" s="1" t="n">
        <v>44405</v>
      </c>
      <c r="C421" s="1" t="n">
        <v>46203</v>
      </c>
      <c r="D421" t="inlineStr">
        <is>
          <t>VÄSTMANLANDS LÄN</t>
        </is>
      </c>
      <c r="E421" t="inlineStr">
        <is>
          <t>SALA</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27228-2023</t>
        </is>
      </c>
      <c r="B422" s="1" t="n">
        <v>45096</v>
      </c>
      <c r="C422" s="1" t="n">
        <v>46203</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36049-2025</t>
        </is>
      </c>
      <c r="B423" s="1" t="n">
        <v>45866</v>
      </c>
      <c r="C423" s="1" t="n">
        <v>46203</v>
      </c>
      <c r="D423" t="inlineStr">
        <is>
          <t>VÄSTMANLANDS LÄN</t>
        </is>
      </c>
      <c r="E423" t="inlineStr">
        <is>
          <t>SALA</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20838-2026</t>
        </is>
      </c>
      <c r="B424" s="1" t="n">
        <v>46142</v>
      </c>
      <c r="C424" s="1" t="n">
        <v>46203</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53838-2022</t>
        </is>
      </c>
      <c r="B425" s="1" t="n">
        <v>44880</v>
      </c>
      <c r="C425" s="1" t="n">
        <v>46203</v>
      </c>
      <c r="D425" t="inlineStr">
        <is>
          <t>VÄSTMANLANDS LÄN</t>
        </is>
      </c>
      <c r="E425" t="inlineStr">
        <is>
          <t>SALA</t>
        </is>
      </c>
      <c r="G425" t="n">
        <v>3.9</v>
      </c>
      <c r="H425" t="n">
        <v>0</v>
      </c>
      <c r="I425" t="n">
        <v>0</v>
      </c>
      <c r="J425" t="n">
        <v>0</v>
      </c>
      <c r="K425" t="n">
        <v>0</v>
      </c>
      <c r="L425" t="n">
        <v>0</v>
      </c>
      <c r="M425" t="n">
        <v>0</v>
      </c>
      <c r="N425" t="n">
        <v>0</v>
      </c>
      <c r="O425" t="n">
        <v>0</v>
      </c>
      <c r="P425" t="n">
        <v>0</v>
      </c>
      <c r="Q425" t="n">
        <v>0</v>
      </c>
      <c r="R425" s="2" t="inlineStr"/>
    </row>
    <row r="426" ht="15" customHeight="1">
      <c r="A426" t="inlineStr">
        <is>
          <t>A 29227-2026</t>
        </is>
      </c>
      <c r="B426" s="1" t="n">
        <v>46202</v>
      </c>
      <c r="C426" s="1" t="n">
        <v>46203</v>
      </c>
      <c r="D426" t="inlineStr">
        <is>
          <t>VÄSTMANLANDS LÄN</t>
        </is>
      </c>
      <c r="E426" t="inlineStr">
        <is>
          <t>SALA</t>
        </is>
      </c>
      <c r="F426" t="inlineStr">
        <is>
          <t>Kommuner</t>
        </is>
      </c>
      <c r="G426" t="n">
        <v>7.6</v>
      </c>
      <c r="H426" t="n">
        <v>0</v>
      </c>
      <c r="I426" t="n">
        <v>0</v>
      </c>
      <c r="J426" t="n">
        <v>0</v>
      </c>
      <c r="K426" t="n">
        <v>0</v>
      </c>
      <c r="L426" t="n">
        <v>0</v>
      </c>
      <c r="M426" t="n">
        <v>0</v>
      </c>
      <c r="N426" t="n">
        <v>0</v>
      </c>
      <c r="O426" t="n">
        <v>0</v>
      </c>
      <c r="P426" t="n">
        <v>0</v>
      </c>
      <c r="Q426" t="n">
        <v>0</v>
      </c>
      <c r="R426" s="2" t="inlineStr"/>
    </row>
    <row r="427" ht="15" customHeight="1">
      <c r="A427" t="inlineStr">
        <is>
          <t>A 25260-2023</t>
        </is>
      </c>
      <c r="B427" s="1" t="n">
        <v>45086</v>
      </c>
      <c r="C427" s="1" t="n">
        <v>46203</v>
      </c>
      <c r="D427" t="inlineStr">
        <is>
          <t>VÄSTMANLANDS LÄN</t>
        </is>
      </c>
      <c r="E427" t="inlineStr">
        <is>
          <t>SALA</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29009-2026</t>
        </is>
      </c>
      <c r="B428" s="1" t="n">
        <v>46199</v>
      </c>
      <c r="C428" s="1" t="n">
        <v>46203</v>
      </c>
      <c r="D428" t="inlineStr">
        <is>
          <t>VÄSTMANLANDS LÄN</t>
        </is>
      </c>
      <c r="E428" t="inlineStr">
        <is>
          <t>SALA</t>
        </is>
      </c>
      <c r="G428" t="n">
        <v>2.5</v>
      </c>
      <c r="H428" t="n">
        <v>0</v>
      </c>
      <c r="I428" t="n">
        <v>0</v>
      </c>
      <c r="J428" t="n">
        <v>0</v>
      </c>
      <c r="K428" t="n">
        <v>0</v>
      </c>
      <c r="L428" t="n">
        <v>0</v>
      </c>
      <c r="M428" t="n">
        <v>0</v>
      </c>
      <c r="N428" t="n">
        <v>0</v>
      </c>
      <c r="O428" t="n">
        <v>0</v>
      </c>
      <c r="P428" t="n">
        <v>0</v>
      </c>
      <c r="Q428" t="n">
        <v>0</v>
      </c>
      <c r="R428" s="2" t="inlineStr"/>
    </row>
    <row r="429" ht="15" customHeight="1">
      <c r="A429" t="inlineStr">
        <is>
          <t>A 29256-2026</t>
        </is>
      </c>
      <c r="B429" s="1" t="n">
        <v>46202</v>
      </c>
      <c r="C429" s="1" t="n">
        <v>46203</v>
      </c>
      <c r="D429" t="inlineStr">
        <is>
          <t>VÄSTMANLANDS LÄN</t>
        </is>
      </c>
      <c r="E429" t="inlineStr">
        <is>
          <t>SALA</t>
        </is>
      </c>
      <c r="F429" t="inlineStr">
        <is>
          <t>Kommuner</t>
        </is>
      </c>
      <c r="G429" t="n">
        <v>4</v>
      </c>
      <c r="H429" t="n">
        <v>0</v>
      </c>
      <c r="I429" t="n">
        <v>0</v>
      </c>
      <c r="J429" t="n">
        <v>0</v>
      </c>
      <c r="K429" t="n">
        <v>0</v>
      </c>
      <c r="L429" t="n">
        <v>0</v>
      </c>
      <c r="M429" t="n">
        <v>0</v>
      </c>
      <c r="N429" t="n">
        <v>0</v>
      </c>
      <c r="O429" t="n">
        <v>0</v>
      </c>
      <c r="P429" t="n">
        <v>0</v>
      </c>
      <c r="Q429" t="n">
        <v>0</v>
      </c>
      <c r="R429" s="2" t="inlineStr"/>
    </row>
    <row r="430" ht="15" customHeight="1">
      <c r="A430" t="inlineStr">
        <is>
          <t>A 60249-2023</t>
        </is>
      </c>
      <c r="B430" s="1" t="n">
        <v>45258</v>
      </c>
      <c r="C430" s="1" t="n">
        <v>46203</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14271-2025</t>
        </is>
      </c>
      <c r="B431" s="1" t="n">
        <v>45740</v>
      </c>
      <c r="C431" s="1" t="n">
        <v>46203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69232-2021</t>
        </is>
      </c>
      <c r="B432" s="1" t="n">
        <v>44531</v>
      </c>
      <c r="C432" s="1" t="n">
        <v>46203</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29249-2026</t>
        </is>
      </c>
      <c r="B433" s="1" t="n">
        <v>46202</v>
      </c>
      <c r="C433" s="1" t="n">
        <v>46203</v>
      </c>
      <c r="D433" t="inlineStr">
        <is>
          <t>VÄSTMANLANDS LÄN</t>
        </is>
      </c>
      <c r="E433" t="inlineStr">
        <is>
          <t>SALA</t>
        </is>
      </c>
      <c r="F433" t="inlineStr">
        <is>
          <t>Kommuner</t>
        </is>
      </c>
      <c r="G433" t="n">
        <v>3.4</v>
      </c>
      <c r="H433" t="n">
        <v>0</v>
      </c>
      <c r="I433" t="n">
        <v>0</v>
      </c>
      <c r="J433" t="n">
        <v>0</v>
      </c>
      <c r="K433" t="n">
        <v>0</v>
      </c>
      <c r="L433" t="n">
        <v>0</v>
      </c>
      <c r="M433" t="n">
        <v>0</v>
      </c>
      <c r="N433" t="n">
        <v>0</v>
      </c>
      <c r="O433" t="n">
        <v>0</v>
      </c>
      <c r="P433" t="n">
        <v>0</v>
      </c>
      <c r="Q433" t="n">
        <v>0</v>
      </c>
      <c r="R433" s="2" t="inlineStr"/>
    </row>
    <row r="434" ht="15" customHeight="1">
      <c r="A434" t="inlineStr">
        <is>
          <t>A 28328-2023</t>
        </is>
      </c>
      <c r="B434" s="1" t="n">
        <v>45099</v>
      </c>
      <c r="C434" s="1" t="n">
        <v>46203</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28988-2026</t>
        </is>
      </c>
      <c r="B435" s="1" t="n">
        <v>46199</v>
      </c>
      <c r="C435" s="1" t="n">
        <v>46203</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22869-2026</t>
        </is>
      </c>
      <c r="B436" s="1" t="n">
        <v>46160</v>
      </c>
      <c r="C436" s="1" t="n">
        <v>46203</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49661-2024</t>
        </is>
      </c>
      <c r="B437" s="1" t="n">
        <v>45596</v>
      </c>
      <c r="C437" s="1" t="n">
        <v>46203</v>
      </c>
      <c r="D437" t="inlineStr">
        <is>
          <t>VÄSTMANLANDS LÄN</t>
        </is>
      </c>
      <c r="E437" t="inlineStr">
        <is>
          <t>SALA</t>
        </is>
      </c>
      <c r="G437" t="n">
        <v>6.7</v>
      </c>
      <c r="H437" t="n">
        <v>0</v>
      </c>
      <c r="I437" t="n">
        <v>0</v>
      </c>
      <c r="J437" t="n">
        <v>0</v>
      </c>
      <c r="K437" t="n">
        <v>0</v>
      </c>
      <c r="L437" t="n">
        <v>0</v>
      </c>
      <c r="M437" t="n">
        <v>0</v>
      </c>
      <c r="N437" t="n">
        <v>0</v>
      </c>
      <c r="O437" t="n">
        <v>0</v>
      </c>
      <c r="P437" t="n">
        <v>0</v>
      </c>
      <c r="Q437" t="n">
        <v>0</v>
      </c>
      <c r="R437" s="2" t="inlineStr"/>
    </row>
    <row r="438" ht="15" customHeight="1">
      <c r="A438" t="inlineStr">
        <is>
          <t>A 54347-2024</t>
        </is>
      </c>
      <c r="B438" s="1" t="n">
        <v>45617</v>
      </c>
      <c r="C438" s="1" t="n">
        <v>46203</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13022-2023</t>
        </is>
      </c>
      <c r="B439" s="1" t="n">
        <v>45002</v>
      </c>
      <c r="C439" s="1" t="n">
        <v>46203</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35003-2024</t>
        </is>
      </c>
      <c r="B440" s="1" t="n">
        <v>45527</v>
      </c>
      <c r="C440" s="1" t="n">
        <v>46203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66307-2021</t>
        </is>
      </c>
      <c r="B441" s="1" t="n">
        <v>44518</v>
      </c>
      <c r="C441" s="1" t="n">
        <v>46203</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6030-2024</t>
        </is>
      </c>
      <c r="B442" s="1" t="n">
        <v>45336</v>
      </c>
      <c r="C442" s="1" t="n">
        <v>46203</v>
      </c>
      <c r="D442" t="inlineStr">
        <is>
          <t>VÄSTMANLANDS LÄN</t>
        </is>
      </c>
      <c r="E442" t="inlineStr">
        <is>
          <t>SALA</t>
        </is>
      </c>
      <c r="G442" t="n">
        <v>3.9</v>
      </c>
      <c r="H442" t="n">
        <v>0</v>
      </c>
      <c r="I442" t="n">
        <v>0</v>
      </c>
      <c r="J442" t="n">
        <v>0</v>
      </c>
      <c r="K442" t="n">
        <v>0</v>
      </c>
      <c r="L442" t="n">
        <v>0</v>
      </c>
      <c r="M442" t="n">
        <v>0</v>
      </c>
      <c r="N442" t="n">
        <v>0</v>
      </c>
      <c r="O442" t="n">
        <v>0</v>
      </c>
      <c r="P442" t="n">
        <v>0</v>
      </c>
      <c r="Q442" t="n">
        <v>0</v>
      </c>
      <c r="R442" s="2" t="inlineStr"/>
    </row>
    <row r="443" ht="15" customHeight="1">
      <c r="A443" t="inlineStr">
        <is>
          <t>A 26761-2023</t>
        </is>
      </c>
      <c r="B443" s="1" t="n">
        <v>45093</v>
      </c>
      <c r="C443" s="1" t="n">
        <v>46203</v>
      </c>
      <c r="D443" t="inlineStr">
        <is>
          <t>VÄSTMANLANDS LÄN</t>
        </is>
      </c>
      <c r="E443" t="inlineStr">
        <is>
          <t>SALA</t>
        </is>
      </c>
      <c r="G443" t="n">
        <v>4.3</v>
      </c>
      <c r="H443" t="n">
        <v>0</v>
      </c>
      <c r="I443" t="n">
        <v>0</v>
      </c>
      <c r="J443" t="n">
        <v>0</v>
      </c>
      <c r="K443" t="n">
        <v>0</v>
      </c>
      <c r="L443" t="n">
        <v>0</v>
      </c>
      <c r="M443" t="n">
        <v>0</v>
      </c>
      <c r="N443" t="n">
        <v>0</v>
      </c>
      <c r="O443" t="n">
        <v>0</v>
      </c>
      <c r="P443" t="n">
        <v>0</v>
      </c>
      <c r="Q443" t="n">
        <v>0</v>
      </c>
      <c r="R443" s="2" t="inlineStr"/>
    </row>
    <row r="444" ht="15" customHeight="1">
      <c r="A444" t="inlineStr">
        <is>
          <t>A 61892-2021</t>
        </is>
      </c>
      <c r="B444" s="1" t="n">
        <v>44502</v>
      </c>
      <c r="C444" s="1" t="n">
        <v>46203</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7772-2023</t>
        </is>
      </c>
      <c r="B445" s="1" t="n">
        <v>44973</v>
      </c>
      <c r="C445" s="1" t="n">
        <v>46203</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42416-2022</t>
        </is>
      </c>
      <c r="B446" s="1" t="n">
        <v>44831</v>
      </c>
      <c r="C446" s="1" t="n">
        <v>46203</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19381-2025</t>
        </is>
      </c>
      <c r="B447" s="1" t="n">
        <v>45769</v>
      </c>
      <c r="C447" s="1" t="n">
        <v>46203</v>
      </c>
      <c r="D447" t="inlineStr">
        <is>
          <t>VÄSTMANLANDS LÄN</t>
        </is>
      </c>
      <c r="E447" t="inlineStr">
        <is>
          <t>SALA</t>
        </is>
      </c>
      <c r="G447" t="n">
        <v>0.6</v>
      </c>
      <c r="H447" t="n">
        <v>0</v>
      </c>
      <c r="I447" t="n">
        <v>0</v>
      </c>
      <c r="J447" t="n">
        <v>0</v>
      </c>
      <c r="K447" t="n">
        <v>0</v>
      </c>
      <c r="L447" t="n">
        <v>0</v>
      </c>
      <c r="M447" t="n">
        <v>0</v>
      </c>
      <c r="N447" t="n">
        <v>0</v>
      </c>
      <c r="O447" t="n">
        <v>0</v>
      </c>
      <c r="P447" t="n">
        <v>0</v>
      </c>
      <c r="Q447" t="n">
        <v>0</v>
      </c>
      <c r="R447" s="2" t="inlineStr"/>
    </row>
    <row r="448" ht="15" customHeight="1">
      <c r="A448" t="inlineStr">
        <is>
          <t>A 48688-2024</t>
        </is>
      </c>
      <c r="B448" s="1" t="n">
        <v>45593</v>
      </c>
      <c r="C448" s="1" t="n">
        <v>46203</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45187-2024</t>
        </is>
      </c>
      <c r="B449" s="1" t="n">
        <v>45575</v>
      </c>
      <c r="C449" s="1" t="n">
        <v>46203</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15968-2024</t>
        </is>
      </c>
      <c r="B450" s="1" t="n">
        <v>45405</v>
      </c>
      <c r="C450" s="1" t="n">
        <v>46203</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3733-2023</t>
        </is>
      </c>
      <c r="B451" s="1" t="n">
        <v>44951</v>
      </c>
      <c r="C451" s="1" t="n">
        <v>46203</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44544-2024</t>
        </is>
      </c>
      <c r="B452" s="1" t="n">
        <v>45574</v>
      </c>
      <c r="C452" s="1" t="n">
        <v>46203</v>
      </c>
      <c r="D452" t="inlineStr">
        <is>
          <t>VÄSTMANLANDS LÄN</t>
        </is>
      </c>
      <c r="E452" t="inlineStr">
        <is>
          <t>SALA</t>
        </is>
      </c>
      <c r="G452" t="n">
        <v>3.3</v>
      </c>
      <c r="H452" t="n">
        <v>0</v>
      </c>
      <c r="I452" t="n">
        <v>0</v>
      </c>
      <c r="J452" t="n">
        <v>0</v>
      </c>
      <c r="K452" t="n">
        <v>0</v>
      </c>
      <c r="L452" t="n">
        <v>0</v>
      </c>
      <c r="M452" t="n">
        <v>0</v>
      </c>
      <c r="N452" t="n">
        <v>0</v>
      </c>
      <c r="O452" t="n">
        <v>0</v>
      </c>
      <c r="P452" t="n">
        <v>0</v>
      </c>
      <c r="Q452" t="n">
        <v>0</v>
      </c>
      <c r="R452" s="2" t="inlineStr"/>
    </row>
    <row r="453" ht="15" customHeight="1">
      <c r="A453" t="inlineStr">
        <is>
          <t>A 64729-2023</t>
        </is>
      </c>
      <c r="B453" s="1" t="n">
        <v>45281</v>
      </c>
      <c r="C453" s="1" t="n">
        <v>46203</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68864-2021</t>
        </is>
      </c>
      <c r="B454" s="1" t="n">
        <v>44530</v>
      </c>
      <c r="C454" s="1" t="n">
        <v>46203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64925-2023</t>
        </is>
      </c>
      <c r="B455" s="1" t="n">
        <v>45282</v>
      </c>
      <c r="C455" s="1" t="n">
        <v>46203</v>
      </c>
      <c r="D455" t="inlineStr">
        <is>
          <t>VÄSTMANLANDS LÄN</t>
        </is>
      </c>
      <c r="E455" t="inlineStr">
        <is>
          <t>SALA</t>
        </is>
      </c>
      <c r="G455" t="n">
        <v>2.5</v>
      </c>
      <c r="H455" t="n">
        <v>0</v>
      </c>
      <c r="I455" t="n">
        <v>0</v>
      </c>
      <c r="J455" t="n">
        <v>0</v>
      </c>
      <c r="K455" t="n">
        <v>0</v>
      </c>
      <c r="L455" t="n">
        <v>0</v>
      </c>
      <c r="M455" t="n">
        <v>0</v>
      </c>
      <c r="N455" t="n">
        <v>0</v>
      </c>
      <c r="O455" t="n">
        <v>0</v>
      </c>
      <c r="P455" t="n">
        <v>0</v>
      </c>
      <c r="Q455" t="n">
        <v>0</v>
      </c>
      <c r="R455" s="2" t="inlineStr"/>
    </row>
    <row r="456" ht="15" customHeight="1">
      <c r="A456" t="inlineStr">
        <is>
          <t>A 54603-2024</t>
        </is>
      </c>
      <c r="B456" s="1" t="n">
        <v>45617</v>
      </c>
      <c r="C456" s="1" t="n">
        <v>46203</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18762-2024</t>
        </is>
      </c>
      <c r="B457" s="1" t="n">
        <v>45426</v>
      </c>
      <c r="C457" s="1" t="n">
        <v>46203</v>
      </c>
      <c r="D457" t="inlineStr">
        <is>
          <t>VÄSTMANLANDS LÄN</t>
        </is>
      </c>
      <c r="E457" t="inlineStr">
        <is>
          <t>SALA</t>
        </is>
      </c>
      <c r="G457" t="n">
        <v>6.2</v>
      </c>
      <c r="H457" t="n">
        <v>0</v>
      </c>
      <c r="I457" t="n">
        <v>0</v>
      </c>
      <c r="J457" t="n">
        <v>0</v>
      </c>
      <c r="K457" t="n">
        <v>0</v>
      </c>
      <c r="L457" t="n">
        <v>0</v>
      </c>
      <c r="M457" t="n">
        <v>0</v>
      </c>
      <c r="N457" t="n">
        <v>0</v>
      </c>
      <c r="O457" t="n">
        <v>0</v>
      </c>
      <c r="P457" t="n">
        <v>0</v>
      </c>
      <c r="Q457" t="n">
        <v>0</v>
      </c>
      <c r="R457" s="2" t="inlineStr"/>
    </row>
    <row r="458" ht="15" customHeight="1">
      <c r="A458" t="inlineStr">
        <is>
          <t>A 42938-2023</t>
        </is>
      </c>
      <c r="B458" s="1" t="n">
        <v>45179</v>
      </c>
      <c r="C458" s="1" t="n">
        <v>46203</v>
      </c>
      <c r="D458" t="inlineStr">
        <is>
          <t>VÄSTMANLANDS LÄN</t>
        </is>
      </c>
      <c r="E458" t="inlineStr">
        <is>
          <t>SALA</t>
        </is>
      </c>
      <c r="G458" t="n">
        <v>10.9</v>
      </c>
      <c r="H458" t="n">
        <v>0</v>
      </c>
      <c r="I458" t="n">
        <v>0</v>
      </c>
      <c r="J458" t="n">
        <v>0</v>
      </c>
      <c r="K458" t="n">
        <v>0</v>
      </c>
      <c r="L458" t="n">
        <v>0</v>
      </c>
      <c r="M458" t="n">
        <v>0</v>
      </c>
      <c r="N458" t="n">
        <v>0</v>
      </c>
      <c r="O458" t="n">
        <v>0</v>
      </c>
      <c r="P458" t="n">
        <v>0</v>
      </c>
      <c r="Q458" t="n">
        <v>0</v>
      </c>
      <c r="R458" s="2" t="inlineStr"/>
    </row>
    <row r="459" ht="15" customHeight="1">
      <c r="A459" t="inlineStr">
        <is>
          <t>A 42984-2023</t>
        </is>
      </c>
      <c r="B459" s="1" t="n">
        <v>45179</v>
      </c>
      <c r="C459" s="1" t="n">
        <v>46203</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15972-2024</t>
        </is>
      </c>
      <c r="B460" s="1" t="n">
        <v>45405</v>
      </c>
      <c r="C460" s="1" t="n">
        <v>46203</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39714-2023</t>
        </is>
      </c>
      <c r="B461" s="1" t="n">
        <v>45167</v>
      </c>
      <c r="C461" s="1" t="n">
        <v>46203</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33527-2023</t>
        </is>
      </c>
      <c r="B462" s="1" t="n">
        <v>45131</v>
      </c>
      <c r="C462" s="1" t="n">
        <v>46203</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10913-2025</t>
        </is>
      </c>
      <c r="B463" s="1" t="n">
        <v>45722</v>
      </c>
      <c r="C463" s="1" t="n">
        <v>46203</v>
      </c>
      <c r="D463" t="inlineStr">
        <is>
          <t>VÄSTMANLANDS LÄN</t>
        </is>
      </c>
      <c r="E463" t="inlineStr">
        <is>
          <t>SALA</t>
        </is>
      </c>
      <c r="G463" t="n">
        <v>7.6</v>
      </c>
      <c r="H463" t="n">
        <v>0</v>
      </c>
      <c r="I463" t="n">
        <v>0</v>
      </c>
      <c r="J463" t="n">
        <v>0</v>
      </c>
      <c r="K463" t="n">
        <v>0</v>
      </c>
      <c r="L463" t="n">
        <v>0</v>
      </c>
      <c r="M463" t="n">
        <v>0</v>
      </c>
      <c r="N463" t="n">
        <v>0</v>
      </c>
      <c r="O463" t="n">
        <v>0</v>
      </c>
      <c r="P463" t="n">
        <v>0</v>
      </c>
      <c r="Q463" t="n">
        <v>0</v>
      </c>
      <c r="R463" s="2" t="inlineStr"/>
    </row>
    <row r="464" ht="15" customHeight="1">
      <c r="A464" t="inlineStr">
        <is>
          <t>A 58107-2021</t>
        </is>
      </c>
      <c r="B464" s="1" t="n">
        <v>44487</v>
      </c>
      <c r="C464" s="1" t="n">
        <v>46203</v>
      </c>
      <c r="D464" t="inlineStr">
        <is>
          <t>VÄSTMANLANDS LÄN</t>
        </is>
      </c>
      <c r="E464" t="inlineStr">
        <is>
          <t>SALA</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2927-2024</t>
        </is>
      </c>
      <c r="B465" s="1" t="n">
        <v>45315</v>
      </c>
      <c r="C465" s="1" t="n">
        <v>46203</v>
      </c>
      <c r="D465" t="inlineStr">
        <is>
          <t>VÄSTMANLANDS LÄN</t>
        </is>
      </c>
      <c r="E465" t="inlineStr">
        <is>
          <t>SALA</t>
        </is>
      </c>
      <c r="G465" t="n">
        <v>2.5</v>
      </c>
      <c r="H465" t="n">
        <v>0</v>
      </c>
      <c r="I465" t="n">
        <v>0</v>
      </c>
      <c r="J465" t="n">
        <v>0</v>
      </c>
      <c r="K465" t="n">
        <v>0</v>
      </c>
      <c r="L465" t="n">
        <v>0</v>
      </c>
      <c r="M465" t="n">
        <v>0</v>
      </c>
      <c r="N465" t="n">
        <v>0</v>
      </c>
      <c r="O465" t="n">
        <v>0</v>
      </c>
      <c r="P465" t="n">
        <v>0</v>
      </c>
      <c r="Q465" t="n">
        <v>0</v>
      </c>
      <c r="R465" s="2" t="inlineStr"/>
    </row>
    <row r="466" ht="15" customHeight="1">
      <c r="A466" t="inlineStr">
        <is>
          <t>A 37183-2024</t>
        </is>
      </c>
      <c r="B466" s="1" t="n">
        <v>45539</v>
      </c>
      <c r="C466" s="1" t="n">
        <v>46203</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54199-2024</t>
        </is>
      </c>
      <c r="B467" s="1" t="n">
        <v>45616</v>
      </c>
      <c r="C467" s="1" t="n">
        <v>46203</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60548-2024</t>
        </is>
      </c>
      <c r="B468" s="1" t="n">
        <v>45643</v>
      </c>
      <c r="C468" s="1" t="n">
        <v>46203</v>
      </c>
      <c r="D468" t="inlineStr">
        <is>
          <t>VÄSTMANLANDS LÄN</t>
        </is>
      </c>
      <c r="E468" t="inlineStr">
        <is>
          <t>SALA</t>
        </is>
      </c>
      <c r="G468" t="n">
        <v>1.6</v>
      </c>
      <c r="H468" t="n">
        <v>0</v>
      </c>
      <c r="I468" t="n">
        <v>0</v>
      </c>
      <c r="J468" t="n">
        <v>0</v>
      </c>
      <c r="K468" t="n">
        <v>0</v>
      </c>
      <c r="L468" t="n">
        <v>0</v>
      </c>
      <c r="M468" t="n">
        <v>0</v>
      </c>
      <c r="N468" t="n">
        <v>0</v>
      </c>
      <c r="O468" t="n">
        <v>0</v>
      </c>
      <c r="P468" t="n">
        <v>0</v>
      </c>
      <c r="Q468" t="n">
        <v>0</v>
      </c>
      <c r="R468" s="2" t="inlineStr"/>
    </row>
    <row r="469" ht="15" customHeight="1">
      <c r="A469" t="inlineStr">
        <is>
          <t>A 57895-2024</t>
        </is>
      </c>
      <c r="B469" s="1" t="n">
        <v>45631</v>
      </c>
      <c r="C469" s="1" t="n">
        <v>46203</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31597-2024</t>
        </is>
      </c>
      <c r="B470" s="1" t="n">
        <v>45506</v>
      </c>
      <c r="C470" s="1" t="n">
        <v>46203</v>
      </c>
      <c r="D470" t="inlineStr">
        <is>
          <t>VÄSTMANLANDS LÄN</t>
        </is>
      </c>
      <c r="E470" t="inlineStr">
        <is>
          <t>SALA</t>
        </is>
      </c>
      <c r="G470" t="n">
        <v>2.4</v>
      </c>
      <c r="H470" t="n">
        <v>0</v>
      </c>
      <c r="I470" t="n">
        <v>0</v>
      </c>
      <c r="J470" t="n">
        <v>0</v>
      </c>
      <c r="K470" t="n">
        <v>0</v>
      </c>
      <c r="L470" t="n">
        <v>0</v>
      </c>
      <c r="M470" t="n">
        <v>0</v>
      </c>
      <c r="N470" t="n">
        <v>0</v>
      </c>
      <c r="O470" t="n">
        <v>0</v>
      </c>
      <c r="P470" t="n">
        <v>0</v>
      </c>
      <c r="Q470" t="n">
        <v>0</v>
      </c>
      <c r="R470" s="2" t="inlineStr"/>
    </row>
    <row r="471" ht="15" customHeight="1">
      <c r="A471" t="inlineStr">
        <is>
          <t>A 17458-2024</t>
        </is>
      </c>
      <c r="B471" s="1" t="n">
        <v>45415</v>
      </c>
      <c r="C471" s="1" t="n">
        <v>46203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2529-2022</t>
        </is>
      </c>
      <c r="B472" s="1" t="n">
        <v>44579</v>
      </c>
      <c r="C472" s="1" t="n">
        <v>46203</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56540-2024</t>
        </is>
      </c>
      <c r="B473" s="1" t="n">
        <v>45625</v>
      </c>
      <c r="C473" s="1" t="n">
        <v>46203</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31599-2024</t>
        </is>
      </c>
      <c r="B474" s="1" t="n">
        <v>45506</v>
      </c>
      <c r="C474" s="1" t="n">
        <v>46203</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31601-2024</t>
        </is>
      </c>
      <c r="B475" s="1" t="n">
        <v>45506</v>
      </c>
      <c r="C475" s="1" t="n">
        <v>46203</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31608-2024</t>
        </is>
      </c>
      <c r="B476" s="1" t="n">
        <v>45506</v>
      </c>
      <c r="C476" s="1" t="n">
        <v>46203</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31612-2024</t>
        </is>
      </c>
      <c r="B477" s="1" t="n">
        <v>45506</v>
      </c>
      <c r="C477" s="1" t="n">
        <v>46203</v>
      </c>
      <c r="D477" t="inlineStr">
        <is>
          <t>VÄSTMANLANDS LÄN</t>
        </is>
      </c>
      <c r="E477" t="inlineStr">
        <is>
          <t>SALA</t>
        </is>
      </c>
      <c r="G477" t="n">
        <v>3.2</v>
      </c>
      <c r="H477" t="n">
        <v>0</v>
      </c>
      <c r="I477" t="n">
        <v>0</v>
      </c>
      <c r="J477" t="n">
        <v>0</v>
      </c>
      <c r="K477" t="n">
        <v>0</v>
      </c>
      <c r="L477" t="n">
        <v>0</v>
      </c>
      <c r="M477" t="n">
        <v>0</v>
      </c>
      <c r="N477" t="n">
        <v>0</v>
      </c>
      <c r="O477" t="n">
        <v>0</v>
      </c>
      <c r="P477" t="n">
        <v>0</v>
      </c>
      <c r="Q477" t="n">
        <v>0</v>
      </c>
      <c r="R477" s="2" t="inlineStr"/>
    </row>
    <row r="478" ht="15" customHeight="1">
      <c r="A478" t="inlineStr">
        <is>
          <t>A 10579-2022</t>
        </is>
      </c>
      <c r="B478" s="1" t="n">
        <v>44624</v>
      </c>
      <c r="C478" s="1" t="n">
        <v>46203</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64693-2023</t>
        </is>
      </c>
      <c r="B479" s="1" t="n">
        <v>45281</v>
      </c>
      <c r="C479" s="1" t="n">
        <v>46203</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64695-2023</t>
        </is>
      </c>
      <c r="B480" s="1" t="n">
        <v>45281</v>
      </c>
      <c r="C480" s="1" t="n">
        <v>46203</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29542-2023</t>
        </is>
      </c>
      <c r="B481" s="1" t="n">
        <v>45098</v>
      </c>
      <c r="C481" s="1" t="n">
        <v>46203</v>
      </c>
      <c r="D481" t="inlineStr">
        <is>
          <t>VÄSTMANLANDS LÄN</t>
        </is>
      </c>
      <c r="E481" t="inlineStr">
        <is>
          <t>SALA</t>
        </is>
      </c>
      <c r="G481" t="n">
        <v>4.8</v>
      </c>
      <c r="H481" t="n">
        <v>0</v>
      </c>
      <c r="I481" t="n">
        <v>0</v>
      </c>
      <c r="J481" t="n">
        <v>0</v>
      </c>
      <c r="K481" t="n">
        <v>0</v>
      </c>
      <c r="L481" t="n">
        <v>0</v>
      </c>
      <c r="M481" t="n">
        <v>0</v>
      </c>
      <c r="N481" t="n">
        <v>0</v>
      </c>
      <c r="O481" t="n">
        <v>0</v>
      </c>
      <c r="P481" t="n">
        <v>0</v>
      </c>
      <c r="Q481" t="n">
        <v>0</v>
      </c>
      <c r="R481" s="2" t="inlineStr"/>
    </row>
    <row r="482" ht="15" customHeight="1">
      <c r="A482" t="inlineStr">
        <is>
          <t>A 27038-2023</t>
        </is>
      </c>
      <c r="B482" s="1" t="n">
        <v>45095</v>
      </c>
      <c r="C482" s="1" t="n">
        <v>46203</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57404-2024</t>
        </is>
      </c>
      <c r="B483" s="1" t="n">
        <v>45629</v>
      </c>
      <c r="C483" s="1" t="n">
        <v>46203</v>
      </c>
      <c r="D483" t="inlineStr">
        <is>
          <t>VÄSTMANLANDS LÄN</t>
        </is>
      </c>
      <c r="E483" t="inlineStr">
        <is>
          <t>SALA</t>
        </is>
      </c>
      <c r="G483" t="n">
        <v>0.3</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46203</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33732-2023</t>
        </is>
      </c>
      <c r="B485" s="1" t="n">
        <v>45133</v>
      </c>
      <c r="C485" s="1" t="n">
        <v>46203</v>
      </c>
      <c r="D485" t="inlineStr">
        <is>
          <t>VÄSTMANLANDS LÄN</t>
        </is>
      </c>
      <c r="E485" t="inlineStr">
        <is>
          <t>SALA</t>
        </is>
      </c>
      <c r="G485" t="n">
        <v>2</v>
      </c>
      <c r="H485" t="n">
        <v>0</v>
      </c>
      <c r="I485" t="n">
        <v>0</v>
      </c>
      <c r="J485" t="n">
        <v>0</v>
      </c>
      <c r="K485" t="n">
        <v>0</v>
      </c>
      <c r="L485" t="n">
        <v>0</v>
      </c>
      <c r="M485" t="n">
        <v>0</v>
      </c>
      <c r="N485" t="n">
        <v>0</v>
      </c>
      <c r="O485" t="n">
        <v>0</v>
      </c>
      <c r="P485" t="n">
        <v>0</v>
      </c>
      <c r="Q485" t="n">
        <v>0</v>
      </c>
      <c r="R485" s="2" t="inlineStr"/>
    </row>
    <row r="486" ht="15" customHeight="1">
      <c r="A486" t="inlineStr">
        <is>
          <t>A 44857-2023</t>
        </is>
      </c>
      <c r="B486" s="1" t="n">
        <v>45190</v>
      </c>
      <c r="C486" s="1" t="n">
        <v>46203</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46352-2023</t>
        </is>
      </c>
      <c r="B487" s="1" t="n">
        <v>45192</v>
      </c>
      <c r="C487" s="1" t="n">
        <v>46203</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22397-2022</t>
        </is>
      </c>
      <c r="B488" s="1" t="n">
        <v>44713</v>
      </c>
      <c r="C488" s="1" t="n">
        <v>46203</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27424-2023</t>
        </is>
      </c>
      <c r="B489" s="1" t="n">
        <v>45097</v>
      </c>
      <c r="C489" s="1" t="n">
        <v>46203</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43188-2023</t>
        </is>
      </c>
      <c r="B490" s="1" t="n">
        <v>45183</v>
      </c>
      <c r="C490" s="1" t="n">
        <v>46203</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43205-2023</t>
        </is>
      </c>
      <c r="B491" s="1" t="n">
        <v>45183</v>
      </c>
      <c r="C491" s="1" t="n">
        <v>46203</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28827-2022</t>
        </is>
      </c>
      <c r="B492" s="1" t="n">
        <v>44749</v>
      </c>
      <c r="C492" s="1" t="n">
        <v>46203</v>
      </c>
      <c r="D492" t="inlineStr">
        <is>
          <t>VÄSTMANLANDS LÄN</t>
        </is>
      </c>
      <c r="E492" t="inlineStr">
        <is>
          <t>SALA</t>
        </is>
      </c>
      <c r="F492" t="inlineStr">
        <is>
          <t>Kommuner</t>
        </is>
      </c>
      <c r="G492" t="n">
        <v>11.9</v>
      </c>
      <c r="H492" t="n">
        <v>0</v>
      </c>
      <c r="I492" t="n">
        <v>0</v>
      </c>
      <c r="J492" t="n">
        <v>0</v>
      </c>
      <c r="K492" t="n">
        <v>0</v>
      </c>
      <c r="L492" t="n">
        <v>0</v>
      </c>
      <c r="M492" t="n">
        <v>0</v>
      </c>
      <c r="N492" t="n">
        <v>0</v>
      </c>
      <c r="O492" t="n">
        <v>0</v>
      </c>
      <c r="P492" t="n">
        <v>0</v>
      </c>
      <c r="Q492" t="n">
        <v>0</v>
      </c>
      <c r="R492" s="2" t="inlineStr"/>
    </row>
    <row r="493" ht="15" customHeight="1">
      <c r="A493" t="inlineStr">
        <is>
          <t>A 59297-2023</t>
        </is>
      </c>
      <c r="B493" s="1" t="n">
        <v>45253</v>
      </c>
      <c r="C493" s="1" t="n">
        <v>46203</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28863-2022</t>
        </is>
      </c>
      <c r="B494" s="1" t="n">
        <v>44749</v>
      </c>
      <c r="C494" s="1" t="n">
        <v>46203</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25541-2024</t>
        </is>
      </c>
      <c r="B495" s="1" t="n">
        <v>45463</v>
      </c>
      <c r="C495" s="1" t="n">
        <v>46203</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29213-2022</t>
        </is>
      </c>
      <c r="B496" s="1" t="n">
        <v>44750</v>
      </c>
      <c r="C496" s="1" t="n">
        <v>46203</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1555-2024</t>
        </is>
      </c>
      <c r="B497" s="1" t="n">
        <v>45306</v>
      </c>
      <c r="C497" s="1" t="n">
        <v>46203</v>
      </c>
      <c r="D497" t="inlineStr">
        <is>
          <t>VÄSTMANLANDS LÄN</t>
        </is>
      </c>
      <c r="E497" t="inlineStr">
        <is>
          <t>SALA</t>
        </is>
      </c>
      <c r="G497" t="n">
        <v>1.3</v>
      </c>
      <c r="H497" t="n">
        <v>0</v>
      </c>
      <c r="I497" t="n">
        <v>0</v>
      </c>
      <c r="J497" t="n">
        <v>0</v>
      </c>
      <c r="K497" t="n">
        <v>0</v>
      </c>
      <c r="L497" t="n">
        <v>0</v>
      </c>
      <c r="M497" t="n">
        <v>0</v>
      </c>
      <c r="N497" t="n">
        <v>0</v>
      </c>
      <c r="O497" t="n">
        <v>0</v>
      </c>
      <c r="P497" t="n">
        <v>0</v>
      </c>
      <c r="Q497" t="n">
        <v>0</v>
      </c>
      <c r="R497" s="2" t="inlineStr"/>
    </row>
    <row r="498" ht="15" customHeight="1">
      <c r="A498" t="inlineStr">
        <is>
          <t>A 13188-2025</t>
        </is>
      </c>
      <c r="B498" s="1" t="n">
        <v>45735</v>
      </c>
      <c r="C498" s="1" t="n">
        <v>46203</v>
      </c>
      <c r="D498" t="inlineStr">
        <is>
          <t>VÄSTMANLANDS LÄN</t>
        </is>
      </c>
      <c r="E498" t="inlineStr">
        <is>
          <t>SALA</t>
        </is>
      </c>
      <c r="F498" t="inlineStr">
        <is>
          <t>Naturvårdsverket</t>
        </is>
      </c>
      <c r="G498" t="n">
        <v>18.4</v>
      </c>
      <c r="H498" t="n">
        <v>0</v>
      </c>
      <c r="I498" t="n">
        <v>0</v>
      </c>
      <c r="J498" t="n">
        <v>0</v>
      </c>
      <c r="K498" t="n">
        <v>0</v>
      </c>
      <c r="L498" t="n">
        <v>0</v>
      </c>
      <c r="M498" t="n">
        <v>0</v>
      </c>
      <c r="N498" t="n">
        <v>0</v>
      </c>
      <c r="O498" t="n">
        <v>0</v>
      </c>
      <c r="P498" t="n">
        <v>0</v>
      </c>
      <c r="Q498" t="n">
        <v>0</v>
      </c>
      <c r="R498" s="2" t="inlineStr"/>
    </row>
    <row r="499" ht="15" customHeight="1">
      <c r="A499" t="inlineStr">
        <is>
          <t>A 7197-2025</t>
        </is>
      </c>
      <c r="B499" s="1" t="n">
        <v>45702</v>
      </c>
      <c r="C499" s="1" t="n">
        <v>46203</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2928-2024</t>
        </is>
      </c>
      <c r="B500" s="1" t="n">
        <v>45315</v>
      </c>
      <c r="C500" s="1" t="n">
        <v>46203</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14024-2025</t>
        </is>
      </c>
      <c r="B501" s="1" t="n">
        <v>45740</v>
      </c>
      <c r="C501" s="1" t="n">
        <v>46203</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3551-2024</t>
        </is>
      </c>
      <c r="B502" s="1" t="n">
        <v>45320</v>
      </c>
      <c r="C502" s="1" t="n">
        <v>46203</v>
      </c>
      <c r="D502" t="inlineStr">
        <is>
          <t>VÄSTMANLANDS LÄN</t>
        </is>
      </c>
      <c r="E502" t="inlineStr">
        <is>
          <t>SALA</t>
        </is>
      </c>
      <c r="F502" t="inlineStr">
        <is>
          <t>Kommuner</t>
        </is>
      </c>
      <c r="G502" t="n">
        <v>6</v>
      </c>
      <c r="H502" t="n">
        <v>0</v>
      </c>
      <c r="I502" t="n">
        <v>0</v>
      </c>
      <c r="J502" t="n">
        <v>0</v>
      </c>
      <c r="K502" t="n">
        <v>0</v>
      </c>
      <c r="L502" t="n">
        <v>0</v>
      </c>
      <c r="M502" t="n">
        <v>0</v>
      </c>
      <c r="N502" t="n">
        <v>0</v>
      </c>
      <c r="O502" t="n">
        <v>0</v>
      </c>
      <c r="P502" t="n">
        <v>0</v>
      </c>
      <c r="Q502" t="n">
        <v>0</v>
      </c>
      <c r="R502" s="2" t="inlineStr"/>
    </row>
    <row r="503" ht="15" customHeight="1">
      <c r="A503" t="inlineStr">
        <is>
          <t>A 62635-2022</t>
        </is>
      </c>
      <c r="B503" s="1" t="n">
        <v>44917</v>
      </c>
      <c r="C503" s="1" t="n">
        <v>46203</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56057-2023</t>
        </is>
      </c>
      <c r="B504" s="1" t="n">
        <v>45233</v>
      </c>
      <c r="C504" s="1" t="n">
        <v>46203</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55024-2023</t>
        </is>
      </c>
      <c r="B505" s="1" t="n">
        <v>45229</v>
      </c>
      <c r="C505" s="1" t="n">
        <v>46203</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55032-2023</t>
        </is>
      </c>
      <c r="B506" s="1" t="n">
        <v>45229</v>
      </c>
      <c r="C506" s="1" t="n">
        <v>46203</v>
      </c>
      <c r="D506" t="inlineStr">
        <is>
          <t>VÄSTMANLANDS LÄN</t>
        </is>
      </c>
      <c r="E506" t="inlineStr">
        <is>
          <t>SALA</t>
        </is>
      </c>
      <c r="G506" t="n">
        <v>1.5</v>
      </c>
      <c r="H506" t="n">
        <v>0</v>
      </c>
      <c r="I506" t="n">
        <v>0</v>
      </c>
      <c r="J506" t="n">
        <v>0</v>
      </c>
      <c r="K506" t="n">
        <v>0</v>
      </c>
      <c r="L506" t="n">
        <v>0</v>
      </c>
      <c r="M506" t="n">
        <v>0</v>
      </c>
      <c r="N506" t="n">
        <v>0</v>
      </c>
      <c r="O506" t="n">
        <v>0</v>
      </c>
      <c r="P506" t="n">
        <v>0</v>
      </c>
      <c r="Q506" t="n">
        <v>0</v>
      </c>
      <c r="R506" s="2" t="inlineStr"/>
    </row>
    <row r="507" ht="15" customHeight="1">
      <c r="A507" t="inlineStr">
        <is>
          <t>A 29248-2022</t>
        </is>
      </c>
      <c r="B507" s="1" t="n">
        <v>44750</v>
      </c>
      <c r="C507" s="1" t="n">
        <v>46203</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59175-2022</t>
        </is>
      </c>
      <c r="B508" s="1" t="n">
        <v>44904</v>
      </c>
      <c r="C508" s="1" t="n">
        <v>46203</v>
      </c>
      <c r="D508" t="inlineStr">
        <is>
          <t>VÄSTMANLANDS LÄN</t>
        </is>
      </c>
      <c r="E508" t="inlineStr">
        <is>
          <t>SALA</t>
        </is>
      </c>
      <c r="G508" t="n">
        <v>2.1</v>
      </c>
      <c r="H508" t="n">
        <v>0</v>
      </c>
      <c r="I508" t="n">
        <v>0</v>
      </c>
      <c r="J508" t="n">
        <v>0</v>
      </c>
      <c r="K508" t="n">
        <v>0</v>
      </c>
      <c r="L508" t="n">
        <v>0</v>
      </c>
      <c r="M508" t="n">
        <v>0</v>
      </c>
      <c r="N508" t="n">
        <v>0</v>
      </c>
      <c r="O508" t="n">
        <v>0</v>
      </c>
      <c r="P508" t="n">
        <v>0</v>
      </c>
      <c r="Q508" t="n">
        <v>0</v>
      </c>
      <c r="R508" s="2" t="inlineStr"/>
    </row>
    <row r="509" ht="15" customHeight="1">
      <c r="A509" t="inlineStr">
        <is>
          <t>A 39451-2022</t>
        </is>
      </c>
      <c r="B509" s="1" t="n">
        <v>44818</v>
      </c>
      <c r="C509" s="1" t="n">
        <v>46203</v>
      </c>
      <c r="D509" t="inlineStr">
        <is>
          <t>VÄSTMANLANDS LÄN</t>
        </is>
      </c>
      <c r="E509" t="inlineStr">
        <is>
          <t>SALA</t>
        </is>
      </c>
      <c r="G509" t="n">
        <v>9.4</v>
      </c>
      <c r="H509" t="n">
        <v>0</v>
      </c>
      <c r="I509" t="n">
        <v>0</v>
      </c>
      <c r="J509" t="n">
        <v>0</v>
      </c>
      <c r="K509" t="n">
        <v>0</v>
      </c>
      <c r="L509" t="n">
        <v>0</v>
      </c>
      <c r="M509" t="n">
        <v>0</v>
      </c>
      <c r="N509" t="n">
        <v>0</v>
      </c>
      <c r="O509" t="n">
        <v>0</v>
      </c>
      <c r="P509" t="n">
        <v>0</v>
      </c>
      <c r="Q509" t="n">
        <v>0</v>
      </c>
      <c r="R509" s="2" t="inlineStr"/>
    </row>
    <row r="510" ht="15" customHeight="1">
      <c r="A510" t="inlineStr">
        <is>
          <t>A 11631-2023</t>
        </is>
      </c>
      <c r="B510" s="1" t="n">
        <v>44994</v>
      </c>
      <c r="C510" s="1" t="n">
        <v>46203</v>
      </c>
      <c r="D510" t="inlineStr">
        <is>
          <t>VÄSTMANLANDS LÄN</t>
        </is>
      </c>
      <c r="E510" t="inlineStr">
        <is>
          <t>SALA</t>
        </is>
      </c>
      <c r="F510" t="inlineStr">
        <is>
          <t>Kommuner</t>
        </is>
      </c>
      <c r="G510" t="n">
        <v>1.9</v>
      </c>
      <c r="H510" t="n">
        <v>0</v>
      </c>
      <c r="I510" t="n">
        <v>0</v>
      </c>
      <c r="J510" t="n">
        <v>0</v>
      </c>
      <c r="K510" t="n">
        <v>0</v>
      </c>
      <c r="L510" t="n">
        <v>0</v>
      </c>
      <c r="M510" t="n">
        <v>0</v>
      </c>
      <c r="N510" t="n">
        <v>0</v>
      </c>
      <c r="O510" t="n">
        <v>0</v>
      </c>
      <c r="P510" t="n">
        <v>0</v>
      </c>
      <c r="Q510" t="n">
        <v>0</v>
      </c>
      <c r="R510" s="2" t="inlineStr"/>
    </row>
    <row r="511" ht="15" customHeight="1">
      <c r="A511" t="inlineStr">
        <is>
          <t>A 62648-2022</t>
        </is>
      </c>
      <c r="B511" s="1" t="n">
        <v>44917</v>
      </c>
      <c r="C511" s="1" t="n">
        <v>46203</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1934-2023</t>
        </is>
      </c>
      <c r="B512" s="1" t="n">
        <v>44939</v>
      </c>
      <c r="C512" s="1" t="n">
        <v>46203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11927-2025</t>
        </is>
      </c>
      <c r="B513" s="1" t="n">
        <v>45728</v>
      </c>
      <c r="C513" s="1" t="n">
        <v>46203</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60823-2024</t>
        </is>
      </c>
      <c r="B514" s="1" t="n">
        <v>45644</v>
      </c>
      <c r="C514" s="1" t="n">
        <v>46203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96-2024</t>
        </is>
      </c>
      <c r="B515" s="1" t="n">
        <v>45293</v>
      </c>
      <c r="C515" s="1" t="n">
        <v>46203</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23374-2023</t>
        </is>
      </c>
      <c r="B516" s="1" t="n">
        <v>45076</v>
      </c>
      <c r="C516" s="1" t="n">
        <v>46203</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61874-2021</t>
        </is>
      </c>
      <c r="B517" s="1" t="n">
        <v>44502</v>
      </c>
      <c r="C517" s="1" t="n">
        <v>46203</v>
      </c>
      <c r="D517" t="inlineStr">
        <is>
          <t>VÄSTMANLANDS LÄN</t>
        </is>
      </c>
      <c r="E517" t="inlineStr">
        <is>
          <t>SALA</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9856-2022</t>
        </is>
      </c>
      <c r="B518" s="1" t="n">
        <v>44620</v>
      </c>
      <c r="C518" s="1" t="n">
        <v>46203</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46203</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50241-2023</t>
        </is>
      </c>
      <c r="B520" s="1" t="n">
        <v>45216</v>
      </c>
      <c r="C520" s="1" t="n">
        <v>46203</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35637-2022</t>
        </is>
      </c>
      <c r="B521" s="1" t="n">
        <v>44799</v>
      </c>
      <c r="C521" s="1" t="n">
        <v>46203</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57883-2024</t>
        </is>
      </c>
      <c r="B522" s="1" t="n">
        <v>45630</v>
      </c>
      <c r="C522" s="1" t="n">
        <v>46203</v>
      </c>
      <c r="D522" t="inlineStr">
        <is>
          <t>VÄSTMANLANDS LÄN</t>
        </is>
      </c>
      <c r="E522" t="inlineStr">
        <is>
          <t>SALA</t>
        </is>
      </c>
      <c r="G522" t="n">
        <v>5.4</v>
      </c>
      <c r="H522" t="n">
        <v>0</v>
      </c>
      <c r="I522" t="n">
        <v>0</v>
      </c>
      <c r="J522" t="n">
        <v>0</v>
      </c>
      <c r="K522" t="n">
        <v>0</v>
      </c>
      <c r="L522" t="n">
        <v>0</v>
      </c>
      <c r="M522" t="n">
        <v>0</v>
      </c>
      <c r="N522" t="n">
        <v>0</v>
      </c>
      <c r="O522" t="n">
        <v>0</v>
      </c>
      <c r="P522" t="n">
        <v>0</v>
      </c>
      <c r="Q522" t="n">
        <v>0</v>
      </c>
      <c r="R522" s="2" t="inlineStr"/>
    </row>
    <row r="523" ht="15" customHeight="1">
      <c r="A523" t="inlineStr">
        <is>
          <t>A 50876-2023</t>
        </is>
      </c>
      <c r="B523" s="1" t="n">
        <v>45211</v>
      </c>
      <c r="C523" s="1" t="n">
        <v>46203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40398-2021</t>
        </is>
      </c>
      <c r="B524" s="1" t="n">
        <v>44419</v>
      </c>
      <c r="C524" s="1" t="n">
        <v>46203</v>
      </c>
      <c r="D524" t="inlineStr">
        <is>
          <t>VÄSTMANLANDS LÄN</t>
        </is>
      </c>
      <c r="E524" t="inlineStr">
        <is>
          <t>SALA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27262-2024</t>
        </is>
      </c>
      <c r="B525" s="1" t="n">
        <v>45471</v>
      </c>
      <c r="C525" s="1" t="n">
        <v>46203</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23119-2022</t>
        </is>
      </c>
      <c r="B526" s="1" t="n">
        <v>44719</v>
      </c>
      <c r="C526" s="1" t="n">
        <v>46203</v>
      </c>
      <c r="D526" t="inlineStr">
        <is>
          <t>VÄSTMANLANDS LÄN</t>
        </is>
      </c>
      <c r="E526" t="inlineStr">
        <is>
          <t>SALA</t>
        </is>
      </c>
      <c r="G526" t="n">
        <v>7</v>
      </c>
      <c r="H526" t="n">
        <v>0</v>
      </c>
      <c r="I526" t="n">
        <v>0</v>
      </c>
      <c r="J526" t="n">
        <v>0</v>
      </c>
      <c r="K526" t="n">
        <v>0</v>
      </c>
      <c r="L526" t="n">
        <v>0</v>
      </c>
      <c r="M526" t="n">
        <v>0</v>
      </c>
      <c r="N526" t="n">
        <v>0</v>
      </c>
      <c r="O526" t="n">
        <v>0</v>
      </c>
      <c r="P526" t="n">
        <v>0</v>
      </c>
      <c r="Q526" t="n">
        <v>0</v>
      </c>
      <c r="R526" s="2" t="inlineStr"/>
    </row>
    <row r="527" ht="15" customHeight="1">
      <c r="A527" t="inlineStr">
        <is>
          <t>A 43751-2021</t>
        </is>
      </c>
      <c r="B527" s="1" t="n">
        <v>44433</v>
      </c>
      <c r="C527" s="1" t="n">
        <v>46203</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59483-2022</t>
        </is>
      </c>
      <c r="B528" s="1" t="n">
        <v>44907</v>
      </c>
      <c r="C528" s="1" t="n">
        <v>46203</v>
      </c>
      <c r="D528" t="inlineStr">
        <is>
          <t>VÄSTMANLANDS LÄN</t>
        </is>
      </c>
      <c r="E528" t="inlineStr">
        <is>
          <t>SALA</t>
        </is>
      </c>
      <c r="G528" t="n">
        <v>5.2</v>
      </c>
      <c r="H528" t="n">
        <v>0</v>
      </c>
      <c r="I528" t="n">
        <v>0</v>
      </c>
      <c r="J528" t="n">
        <v>0</v>
      </c>
      <c r="K528" t="n">
        <v>0</v>
      </c>
      <c r="L528" t="n">
        <v>0</v>
      </c>
      <c r="M528" t="n">
        <v>0</v>
      </c>
      <c r="N528" t="n">
        <v>0</v>
      </c>
      <c r="O528" t="n">
        <v>0</v>
      </c>
      <c r="P528" t="n">
        <v>0</v>
      </c>
      <c r="Q528" t="n">
        <v>0</v>
      </c>
      <c r="R528" s="2" t="inlineStr"/>
    </row>
    <row r="529" ht="15" customHeight="1">
      <c r="A529" t="inlineStr">
        <is>
          <t>A 73673-2021</t>
        </is>
      </c>
      <c r="B529" s="1" t="n">
        <v>44552</v>
      </c>
      <c r="C529" s="1" t="n">
        <v>46203</v>
      </c>
      <c r="D529" t="inlineStr">
        <is>
          <t>VÄSTMANLANDS LÄN</t>
        </is>
      </c>
      <c r="E529" t="inlineStr">
        <is>
          <t>SALA</t>
        </is>
      </c>
      <c r="G529" t="n">
        <v>11.4</v>
      </c>
      <c r="H529" t="n">
        <v>0</v>
      </c>
      <c r="I529" t="n">
        <v>0</v>
      </c>
      <c r="J529" t="n">
        <v>0</v>
      </c>
      <c r="K529" t="n">
        <v>0</v>
      </c>
      <c r="L529" t="n">
        <v>0</v>
      </c>
      <c r="M529" t="n">
        <v>0</v>
      </c>
      <c r="N529" t="n">
        <v>0</v>
      </c>
      <c r="O529" t="n">
        <v>0</v>
      </c>
      <c r="P529" t="n">
        <v>0</v>
      </c>
      <c r="Q529" t="n">
        <v>0</v>
      </c>
      <c r="R529" s="2" t="inlineStr"/>
    </row>
    <row r="530" ht="15" customHeight="1">
      <c r="A530" t="inlineStr">
        <is>
          <t>A 4853-2023</t>
        </is>
      </c>
      <c r="B530" s="1" t="n">
        <v>44957</v>
      </c>
      <c r="C530" s="1" t="n">
        <v>46203</v>
      </c>
      <c r="D530" t="inlineStr">
        <is>
          <t>VÄSTMANLANDS LÄN</t>
        </is>
      </c>
      <c r="E530" t="inlineStr">
        <is>
          <t>SALA</t>
        </is>
      </c>
      <c r="G530" t="n">
        <v>2.7</v>
      </c>
      <c r="H530" t="n">
        <v>0</v>
      </c>
      <c r="I530" t="n">
        <v>0</v>
      </c>
      <c r="J530" t="n">
        <v>0</v>
      </c>
      <c r="K530" t="n">
        <v>0</v>
      </c>
      <c r="L530" t="n">
        <v>0</v>
      </c>
      <c r="M530" t="n">
        <v>0</v>
      </c>
      <c r="N530" t="n">
        <v>0</v>
      </c>
      <c r="O530" t="n">
        <v>0</v>
      </c>
      <c r="P530" t="n">
        <v>0</v>
      </c>
      <c r="Q530" t="n">
        <v>0</v>
      </c>
      <c r="R530" s="2" t="inlineStr"/>
    </row>
    <row r="531" ht="15" customHeight="1">
      <c r="A531" t="inlineStr">
        <is>
          <t>A 1993-2022</t>
        </is>
      </c>
      <c r="B531" s="1" t="n">
        <v>44575</v>
      </c>
      <c r="C531" s="1" t="n">
        <v>46203</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42447-2022</t>
        </is>
      </c>
      <c r="B532" s="1" t="n">
        <v>44831</v>
      </c>
      <c r="C532" s="1" t="n">
        <v>46203</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11183-2023</t>
        </is>
      </c>
      <c r="B533" s="1" t="n">
        <v>44992</v>
      </c>
      <c r="C533" s="1" t="n">
        <v>46203</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11190-2023</t>
        </is>
      </c>
      <c r="B534" s="1" t="n">
        <v>44992</v>
      </c>
      <c r="C534" s="1" t="n">
        <v>46203</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48710-2024</t>
        </is>
      </c>
      <c r="B535" s="1" t="n">
        <v>45593</v>
      </c>
      <c r="C535" s="1" t="n">
        <v>46203</v>
      </c>
      <c r="D535" t="inlineStr">
        <is>
          <t>VÄSTMANLANDS LÄN</t>
        </is>
      </c>
      <c r="E535" t="inlineStr">
        <is>
          <t>SALA</t>
        </is>
      </c>
      <c r="G535" t="n">
        <v>6.5</v>
      </c>
      <c r="H535" t="n">
        <v>0</v>
      </c>
      <c r="I535" t="n">
        <v>0</v>
      </c>
      <c r="J535" t="n">
        <v>0</v>
      </c>
      <c r="K535" t="n">
        <v>0</v>
      </c>
      <c r="L535" t="n">
        <v>0</v>
      </c>
      <c r="M535" t="n">
        <v>0</v>
      </c>
      <c r="N535" t="n">
        <v>0</v>
      </c>
      <c r="O535" t="n">
        <v>0</v>
      </c>
      <c r="P535" t="n">
        <v>0</v>
      </c>
      <c r="Q535" t="n">
        <v>0</v>
      </c>
      <c r="R535" s="2" t="inlineStr"/>
    </row>
    <row r="536" ht="15" customHeight="1">
      <c r="A536" t="inlineStr">
        <is>
          <t>A 48571-2024</t>
        </is>
      </c>
      <c r="B536" s="1" t="n">
        <v>45591</v>
      </c>
      <c r="C536" s="1" t="n">
        <v>46203</v>
      </c>
      <c r="D536" t="inlineStr">
        <is>
          <t>VÄSTMANLANDS LÄN</t>
        </is>
      </c>
      <c r="E536" t="inlineStr">
        <is>
          <t>SALA</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43362-2023</t>
        </is>
      </c>
      <c r="B537" s="1" t="n">
        <v>45183</v>
      </c>
      <c r="C537" s="1" t="n">
        <v>46203</v>
      </c>
      <c r="D537" t="inlineStr">
        <is>
          <t>VÄSTMANLANDS LÄN</t>
        </is>
      </c>
      <c r="E537" t="inlineStr">
        <is>
          <t>SALA</t>
        </is>
      </c>
      <c r="G537" t="n">
        <v>2</v>
      </c>
      <c r="H537" t="n">
        <v>0</v>
      </c>
      <c r="I537" t="n">
        <v>0</v>
      </c>
      <c r="J537" t="n">
        <v>0</v>
      </c>
      <c r="K537" t="n">
        <v>0</v>
      </c>
      <c r="L537" t="n">
        <v>0</v>
      </c>
      <c r="M537" t="n">
        <v>0</v>
      </c>
      <c r="N537" t="n">
        <v>0</v>
      </c>
      <c r="O537" t="n">
        <v>0</v>
      </c>
      <c r="P537" t="n">
        <v>0</v>
      </c>
      <c r="Q537" t="n">
        <v>0</v>
      </c>
      <c r="R537" s="2" t="inlineStr"/>
    </row>
    <row r="538" ht="15" customHeight="1">
      <c r="A538" t="inlineStr">
        <is>
          <t>A 18461-2024</t>
        </is>
      </c>
      <c r="B538" s="1" t="n">
        <v>45425</v>
      </c>
      <c r="C538" s="1" t="n">
        <v>46203</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29230-2022</t>
        </is>
      </c>
      <c r="B539" s="1" t="n">
        <v>44750</v>
      </c>
      <c r="C539" s="1" t="n">
        <v>46203</v>
      </c>
      <c r="D539" t="inlineStr">
        <is>
          <t>VÄSTMANLANDS LÄN</t>
        </is>
      </c>
      <c r="E539" t="inlineStr">
        <is>
          <t>SALA</t>
        </is>
      </c>
      <c r="G539" t="n">
        <v>1.1</v>
      </c>
      <c r="H539" t="n">
        <v>0</v>
      </c>
      <c r="I539" t="n">
        <v>0</v>
      </c>
      <c r="J539" t="n">
        <v>0</v>
      </c>
      <c r="K539" t="n">
        <v>0</v>
      </c>
      <c r="L539" t="n">
        <v>0</v>
      </c>
      <c r="M539" t="n">
        <v>0</v>
      </c>
      <c r="N539" t="n">
        <v>0</v>
      </c>
      <c r="O539" t="n">
        <v>0</v>
      </c>
      <c r="P539" t="n">
        <v>0</v>
      </c>
      <c r="Q539" t="n">
        <v>0</v>
      </c>
      <c r="R539" s="2" t="inlineStr"/>
    </row>
    <row r="540" ht="15" customHeight="1">
      <c r="A540" t="inlineStr">
        <is>
          <t>A 9335-2022</t>
        </is>
      </c>
      <c r="B540" s="1" t="n">
        <v>44616</v>
      </c>
      <c r="C540" s="1" t="n">
        <v>46203</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19065-2022</t>
        </is>
      </c>
      <c r="B541" s="1" t="n">
        <v>44691</v>
      </c>
      <c r="C541" s="1" t="n">
        <v>46203</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22961-2023</t>
        </is>
      </c>
      <c r="B542" s="1" t="n">
        <v>45072</v>
      </c>
      <c r="C542" s="1" t="n">
        <v>46203</v>
      </c>
      <c r="D542" t="inlineStr">
        <is>
          <t>VÄSTMANLANDS LÄN</t>
        </is>
      </c>
      <c r="E542" t="inlineStr">
        <is>
          <t>SALA</t>
        </is>
      </c>
      <c r="G542" t="n">
        <v>2.7</v>
      </c>
      <c r="H542" t="n">
        <v>0</v>
      </c>
      <c r="I542" t="n">
        <v>0</v>
      </c>
      <c r="J542" t="n">
        <v>0</v>
      </c>
      <c r="K542" t="n">
        <v>0</v>
      </c>
      <c r="L542" t="n">
        <v>0</v>
      </c>
      <c r="M542" t="n">
        <v>0</v>
      </c>
      <c r="N542" t="n">
        <v>0</v>
      </c>
      <c r="O542" t="n">
        <v>0</v>
      </c>
      <c r="P542" t="n">
        <v>0</v>
      </c>
      <c r="Q542" t="n">
        <v>0</v>
      </c>
      <c r="R542" s="2" t="inlineStr"/>
    </row>
    <row r="543" ht="15" customHeight="1">
      <c r="A543" t="inlineStr">
        <is>
          <t>A 22963-2023</t>
        </is>
      </c>
      <c r="B543" s="1" t="n">
        <v>45072</v>
      </c>
      <c r="C543" s="1" t="n">
        <v>46203</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10585-2022</t>
        </is>
      </c>
      <c r="B544" s="1" t="n">
        <v>44624</v>
      </c>
      <c r="C544" s="1" t="n">
        <v>46203</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69236-2021</t>
        </is>
      </c>
      <c r="B545" s="1" t="n">
        <v>44531</v>
      </c>
      <c r="C545" s="1" t="n">
        <v>46203</v>
      </c>
      <c r="D545" t="inlineStr">
        <is>
          <t>VÄSTMANLANDS LÄN</t>
        </is>
      </c>
      <c r="E545" t="inlineStr">
        <is>
          <t>SALA</t>
        </is>
      </c>
      <c r="G545" t="n">
        <v>2.8</v>
      </c>
      <c r="H545" t="n">
        <v>0</v>
      </c>
      <c r="I545" t="n">
        <v>0</v>
      </c>
      <c r="J545" t="n">
        <v>0</v>
      </c>
      <c r="K545" t="n">
        <v>0</v>
      </c>
      <c r="L545" t="n">
        <v>0</v>
      </c>
      <c r="M545" t="n">
        <v>0</v>
      </c>
      <c r="N545" t="n">
        <v>0</v>
      </c>
      <c r="O545" t="n">
        <v>0</v>
      </c>
      <c r="P545" t="n">
        <v>0</v>
      </c>
      <c r="Q545" t="n">
        <v>0</v>
      </c>
      <c r="R545" s="2" t="inlineStr"/>
    </row>
    <row r="546" ht="15" customHeight="1">
      <c r="A546" t="inlineStr">
        <is>
          <t>A 48117-2024</t>
        </is>
      </c>
      <c r="B546" s="1" t="n">
        <v>45589</v>
      </c>
      <c r="C546" s="1" t="n">
        <v>46203</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12225-2023</t>
        </is>
      </c>
      <c r="B547" s="1" t="n">
        <v>44995</v>
      </c>
      <c r="C547" s="1" t="n">
        <v>46203</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12252-2023</t>
        </is>
      </c>
      <c r="B548" s="1" t="n">
        <v>44995</v>
      </c>
      <c r="C548" s="1" t="n">
        <v>46203</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6116-2023</t>
        </is>
      </c>
      <c r="B549" s="1" t="n">
        <v>44964</v>
      </c>
      <c r="C549" s="1" t="n">
        <v>46203</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18100-2023</t>
        </is>
      </c>
      <c r="B550" s="1" t="n">
        <v>45040</v>
      </c>
      <c r="C550" s="1" t="n">
        <v>46203</v>
      </c>
      <c r="D550" t="inlineStr">
        <is>
          <t>VÄSTMANLANDS LÄN</t>
        </is>
      </c>
      <c r="E550" t="inlineStr">
        <is>
          <t>SALA</t>
        </is>
      </c>
      <c r="G550" t="n">
        <v>1.8</v>
      </c>
      <c r="H550" t="n">
        <v>0</v>
      </c>
      <c r="I550" t="n">
        <v>0</v>
      </c>
      <c r="J550" t="n">
        <v>0</v>
      </c>
      <c r="K550" t="n">
        <v>0</v>
      </c>
      <c r="L550" t="n">
        <v>0</v>
      </c>
      <c r="M550" t="n">
        <v>0</v>
      </c>
      <c r="N550" t="n">
        <v>0</v>
      </c>
      <c r="O550" t="n">
        <v>0</v>
      </c>
      <c r="P550" t="n">
        <v>0</v>
      </c>
      <c r="Q550" t="n">
        <v>0</v>
      </c>
      <c r="R550" s="2" t="inlineStr"/>
    </row>
    <row r="551" ht="15" customHeight="1">
      <c r="A551" t="inlineStr">
        <is>
          <t>A 13471-2025</t>
        </is>
      </c>
      <c r="B551" s="1" t="n">
        <v>45736</v>
      </c>
      <c r="C551" s="1" t="n">
        <v>46203</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26854-2024</t>
        </is>
      </c>
      <c r="B552" s="1" t="n">
        <v>45470</v>
      </c>
      <c r="C552" s="1" t="n">
        <v>46203</v>
      </c>
      <c r="D552" t="inlineStr">
        <is>
          <t>VÄSTMANLANDS LÄN</t>
        </is>
      </c>
      <c r="E552" t="inlineStr">
        <is>
          <t>SALA</t>
        </is>
      </c>
      <c r="G552" t="n">
        <v>1.4</v>
      </c>
      <c r="H552" t="n">
        <v>0</v>
      </c>
      <c r="I552" t="n">
        <v>0</v>
      </c>
      <c r="J552" t="n">
        <v>0</v>
      </c>
      <c r="K552" t="n">
        <v>0</v>
      </c>
      <c r="L552" t="n">
        <v>0</v>
      </c>
      <c r="M552" t="n">
        <v>0</v>
      </c>
      <c r="N552" t="n">
        <v>0</v>
      </c>
      <c r="O552" t="n">
        <v>0</v>
      </c>
      <c r="P552" t="n">
        <v>0</v>
      </c>
      <c r="Q552" t="n">
        <v>0</v>
      </c>
      <c r="R552" s="2" t="inlineStr"/>
    </row>
    <row r="553" ht="15" customHeight="1">
      <c r="A553" t="inlineStr">
        <is>
          <t>A 37602-2024</t>
        </is>
      </c>
      <c r="B553" s="1" t="n">
        <v>45541</v>
      </c>
      <c r="C553" s="1" t="n">
        <v>46203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1985-2022</t>
        </is>
      </c>
      <c r="B554" s="1" t="n">
        <v>44575</v>
      </c>
      <c r="C554" s="1" t="n">
        <v>46203</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21455-2023</t>
        </is>
      </c>
      <c r="B555" s="1" t="n">
        <v>45058</v>
      </c>
      <c r="C555" s="1" t="n">
        <v>46203</v>
      </c>
      <c r="D555" t="inlineStr">
        <is>
          <t>VÄSTMANLANDS LÄN</t>
        </is>
      </c>
      <c r="E555" t="inlineStr">
        <is>
          <t>SALA</t>
        </is>
      </c>
      <c r="G555" t="n">
        <v>6.4</v>
      </c>
      <c r="H555" t="n">
        <v>0</v>
      </c>
      <c r="I555" t="n">
        <v>0</v>
      </c>
      <c r="J555" t="n">
        <v>0</v>
      </c>
      <c r="K555" t="n">
        <v>0</v>
      </c>
      <c r="L555" t="n">
        <v>0</v>
      </c>
      <c r="M555" t="n">
        <v>0</v>
      </c>
      <c r="N555" t="n">
        <v>0</v>
      </c>
      <c r="O555" t="n">
        <v>0</v>
      </c>
      <c r="P555" t="n">
        <v>0</v>
      </c>
      <c r="Q555" t="n">
        <v>0</v>
      </c>
      <c r="R555" s="2" t="inlineStr"/>
    </row>
    <row r="556" ht="15" customHeight="1">
      <c r="A556" t="inlineStr">
        <is>
          <t>A 4797-2023</t>
        </is>
      </c>
      <c r="B556" s="1" t="n">
        <v>44957</v>
      </c>
      <c r="C556" s="1" t="n">
        <v>46203</v>
      </c>
      <c r="D556" t="inlineStr">
        <is>
          <t>VÄSTMANLANDS LÄN</t>
        </is>
      </c>
      <c r="E556" t="inlineStr">
        <is>
          <t>SALA</t>
        </is>
      </c>
      <c r="G556" t="n">
        <v>5.7</v>
      </c>
      <c r="H556" t="n">
        <v>0</v>
      </c>
      <c r="I556" t="n">
        <v>0</v>
      </c>
      <c r="J556" t="n">
        <v>0</v>
      </c>
      <c r="K556" t="n">
        <v>0</v>
      </c>
      <c r="L556" t="n">
        <v>0</v>
      </c>
      <c r="M556" t="n">
        <v>0</v>
      </c>
      <c r="N556" t="n">
        <v>0</v>
      </c>
      <c r="O556" t="n">
        <v>0</v>
      </c>
      <c r="P556" t="n">
        <v>0</v>
      </c>
      <c r="Q556" t="n">
        <v>0</v>
      </c>
      <c r="R556" s="2" t="inlineStr"/>
    </row>
    <row r="557" ht="15" customHeight="1">
      <c r="A557" t="inlineStr">
        <is>
          <t>A 4852-2023</t>
        </is>
      </c>
      <c r="B557" s="1" t="n">
        <v>44957</v>
      </c>
      <c r="C557" s="1" t="n">
        <v>46203</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36858-2023</t>
        </is>
      </c>
      <c r="B558" s="1" t="n">
        <v>45154</v>
      </c>
      <c r="C558" s="1" t="n">
        <v>46203</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58701-2021</t>
        </is>
      </c>
      <c r="B559" s="1" t="n">
        <v>44489</v>
      </c>
      <c r="C559" s="1" t="n">
        <v>46203</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10250-2025</t>
        </is>
      </c>
      <c r="B560" s="1" t="n">
        <v>45720</v>
      </c>
      <c r="C560" s="1" t="n">
        <v>46203</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23180-2022</t>
        </is>
      </c>
      <c r="B561" s="1" t="n">
        <v>44719</v>
      </c>
      <c r="C561" s="1" t="n">
        <v>46203</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21053-2022</t>
        </is>
      </c>
      <c r="B562" s="1" t="n">
        <v>44704</v>
      </c>
      <c r="C562" s="1" t="n">
        <v>46203</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16638-2023</t>
        </is>
      </c>
      <c r="B563" s="1" t="n">
        <v>45027</v>
      </c>
      <c r="C563" s="1" t="n">
        <v>46203</v>
      </c>
      <c r="D563" t="inlineStr">
        <is>
          <t>VÄSTMANLANDS LÄN</t>
        </is>
      </c>
      <c r="E563" t="inlineStr">
        <is>
          <t>SALA</t>
        </is>
      </c>
      <c r="G563" t="n">
        <v>14.8</v>
      </c>
      <c r="H563" t="n">
        <v>0</v>
      </c>
      <c r="I563" t="n">
        <v>0</v>
      </c>
      <c r="J563" t="n">
        <v>0</v>
      </c>
      <c r="K563" t="n">
        <v>0</v>
      </c>
      <c r="L563" t="n">
        <v>0</v>
      </c>
      <c r="M563" t="n">
        <v>0</v>
      </c>
      <c r="N563" t="n">
        <v>0</v>
      </c>
      <c r="O563" t="n">
        <v>0</v>
      </c>
      <c r="P563" t="n">
        <v>0</v>
      </c>
      <c r="Q563" t="n">
        <v>0</v>
      </c>
      <c r="R563" s="2" t="inlineStr"/>
    </row>
    <row r="564" ht="15" customHeight="1">
      <c r="A564" t="inlineStr">
        <is>
          <t>A 17117-2023</t>
        </is>
      </c>
      <c r="B564" s="1" t="n">
        <v>45034</v>
      </c>
      <c r="C564" s="1" t="n">
        <v>46203</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59909-2024</t>
        </is>
      </c>
      <c r="B565" s="1" t="n">
        <v>45641</v>
      </c>
      <c r="C565" s="1" t="n">
        <v>46203</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33309-2022</t>
        </is>
      </c>
      <c r="B566" s="1" t="n">
        <v>44788</v>
      </c>
      <c r="C566" s="1" t="n">
        <v>46203</v>
      </c>
      <c r="D566" t="inlineStr">
        <is>
          <t>VÄSTMANLANDS LÄN</t>
        </is>
      </c>
      <c r="E566" t="inlineStr">
        <is>
          <t>SALA</t>
        </is>
      </c>
      <c r="G566" t="n">
        <v>2.6</v>
      </c>
      <c r="H566" t="n">
        <v>0</v>
      </c>
      <c r="I566" t="n">
        <v>0</v>
      </c>
      <c r="J566" t="n">
        <v>0</v>
      </c>
      <c r="K566" t="n">
        <v>0</v>
      </c>
      <c r="L566" t="n">
        <v>0</v>
      </c>
      <c r="M566" t="n">
        <v>0</v>
      </c>
      <c r="N566" t="n">
        <v>0</v>
      </c>
      <c r="O566" t="n">
        <v>0</v>
      </c>
      <c r="P566" t="n">
        <v>0</v>
      </c>
      <c r="Q566" t="n">
        <v>0</v>
      </c>
      <c r="R566" s="2" t="inlineStr"/>
    </row>
    <row r="567" ht="15" customHeight="1">
      <c r="A567" t="inlineStr">
        <is>
          <t>A 7377-2023</t>
        </is>
      </c>
      <c r="B567" s="1" t="n">
        <v>44971</v>
      </c>
      <c r="C567" s="1" t="n">
        <v>46203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27229-2022</t>
        </is>
      </c>
      <c r="B568" s="1" t="n">
        <v>44741</v>
      </c>
      <c r="C568" s="1" t="n">
        <v>46203</v>
      </c>
      <c r="D568" t="inlineStr">
        <is>
          <t>VÄSTMANLANDS LÄN</t>
        </is>
      </c>
      <c r="E568" t="inlineStr">
        <is>
          <t>SALA</t>
        </is>
      </c>
      <c r="F568" t="inlineStr">
        <is>
          <t>Kommuner</t>
        </is>
      </c>
      <c r="G568" t="n">
        <v>1.4</v>
      </c>
      <c r="H568" t="n">
        <v>0</v>
      </c>
      <c r="I568" t="n">
        <v>0</v>
      </c>
      <c r="J568" t="n">
        <v>0</v>
      </c>
      <c r="K568" t="n">
        <v>0</v>
      </c>
      <c r="L568" t="n">
        <v>0</v>
      </c>
      <c r="M568" t="n">
        <v>0</v>
      </c>
      <c r="N568" t="n">
        <v>0</v>
      </c>
      <c r="O568" t="n">
        <v>0</v>
      </c>
      <c r="P568" t="n">
        <v>0</v>
      </c>
      <c r="Q568" t="n">
        <v>0</v>
      </c>
      <c r="R568" s="2" t="inlineStr"/>
    </row>
    <row r="569" ht="15" customHeight="1">
      <c r="A569" t="inlineStr">
        <is>
          <t>A 34867-2023</t>
        </is>
      </c>
      <c r="B569" s="1" t="n">
        <v>45142</v>
      </c>
      <c r="C569" s="1" t="n">
        <v>46203</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13128-2023</t>
        </is>
      </c>
      <c r="B570" s="1" t="n">
        <v>45002</v>
      </c>
      <c r="C570" s="1" t="n">
        <v>46203</v>
      </c>
      <c r="D570" t="inlineStr">
        <is>
          <t>VÄSTMANLANDS LÄN</t>
        </is>
      </c>
      <c r="E570" t="inlineStr">
        <is>
          <t>SALA</t>
        </is>
      </c>
      <c r="G570" t="n">
        <v>7.9</v>
      </c>
      <c r="H570" t="n">
        <v>0</v>
      </c>
      <c r="I570" t="n">
        <v>0</v>
      </c>
      <c r="J570" t="n">
        <v>0</v>
      </c>
      <c r="K570" t="n">
        <v>0</v>
      </c>
      <c r="L570" t="n">
        <v>0</v>
      </c>
      <c r="M570" t="n">
        <v>0</v>
      </c>
      <c r="N570" t="n">
        <v>0</v>
      </c>
      <c r="O570" t="n">
        <v>0</v>
      </c>
      <c r="P570" t="n">
        <v>0</v>
      </c>
      <c r="Q570" t="n">
        <v>0</v>
      </c>
      <c r="R570" s="2" t="inlineStr"/>
    </row>
    <row r="571" ht="15" customHeight="1">
      <c r="A571" t="inlineStr">
        <is>
          <t>A 37958-2024</t>
        </is>
      </c>
      <c r="B571" s="1" t="n">
        <v>45544</v>
      </c>
      <c r="C571" s="1" t="n">
        <v>46203</v>
      </c>
      <c r="D571" t="inlineStr">
        <is>
          <t>VÄSTMANLANDS LÄN</t>
        </is>
      </c>
      <c r="E571" t="inlineStr">
        <is>
          <t>SALA</t>
        </is>
      </c>
      <c r="G571" t="n">
        <v>5.6</v>
      </c>
      <c r="H571" t="n">
        <v>0</v>
      </c>
      <c r="I571" t="n">
        <v>0</v>
      </c>
      <c r="J571" t="n">
        <v>0</v>
      </c>
      <c r="K571" t="n">
        <v>0</v>
      </c>
      <c r="L571" t="n">
        <v>0</v>
      </c>
      <c r="M571" t="n">
        <v>0</v>
      </c>
      <c r="N571" t="n">
        <v>0</v>
      </c>
      <c r="O571" t="n">
        <v>0</v>
      </c>
      <c r="P571" t="n">
        <v>0</v>
      </c>
      <c r="Q571" t="n">
        <v>0</v>
      </c>
      <c r="R571" s="2" t="inlineStr"/>
    </row>
    <row r="572" ht="15" customHeight="1">
      <c r="A572" t="inlineStr">
        <is>
          <t>A 10255-2024</t>
        </is>
      </c>
      <c r="B572" s="1" t="n">
        <v>45365</v>
      </c>
      <c r="C572" s="1" t="n">
        <v>46203</v>
      </c>
      <c r="D572" t="inlineStr">
        <is>
          <t>VÄSTMANLANDS LÄN</t>
        </is>
      </c>
      <c r="E572" t="inlineStr">
        <is>
          <t>SALA</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28696-2023</t>
        </is>
      </c>
      <c r="B573" s="1" t="n">
        <v>45103</v>
      </c>
      <c r="C573" s="1" t="n">
        <v>46203</v>
      </c>
      <c r="D573" t="inlineStr">
        <is>
          <t>VÄSTMANLANDS LÄN</t>
        </is>
      </c>
      <c r="E573" t="inlineStr">
        <is>
          <t>SALA</t>
        </is>
      </c>
      <c r="F573" t="inlineStr">
        <is>
          <t>Kommuner</t>
        </is>
      </c>
      <c r="G573" t="n">
        <v>5.9</v>
      </c>
      <c r="H573" t="n">
        <v>0</v>
      </c>
      <c r="I573" t="n">
        <v>0</v>
      </c>
      <c r="J573" t="n">
        <v>0</v>
      </c>
      <c r="K573" t="n">
        <v>0</v>
      </c>
      <c r="L573" t="n">
        <v>0</v>
      </c>
      <c r="M573" t="n">
        <v>0</v>
      </c>
      <c r="N573" t="n">
        <v>0</v>
      </c>
      <c r="O573" t="n">
        <v>0</v>
      </c>
      <c r="P573" t="n">
        <v>0</v>
      </c>
      <c r="Q573" t="n">
        <v>0</v>
      </c>
      <c r="R573" s="2" t="inlineStr"/>
    </row>
    <row r="574" ht="15" customHeight="1">
      <c r="A574" t="inlineStr">
        <is>
          <t>A 16543-2023</t>
        </is>
      </c>
      <c r="B574" s="1" t="n">
        <v>45029</v>
      </c>
      <c r="C574" s="1" t="n">
        <v>46203</v>
      </c>
      <c r="D574" t="inlineStr">
        <is>
          <t>VÄSTMANLANDS LÄN</t>
        </is>
      </c>
      <c r="E574" t="inlineStr">
        <is>
          <t>SALA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4663-2022</t>
        </is>
      </c>
      <c r="B575" s="1" t="n">
        <v>44592</v>
      </c>
      <c r="C575" s="1" t="n">
        <v>46203</v>
      </c>
      <c r="D575" t="inlineStr">
        <is>
          <t>VÄSTMANLANDS LÄN</t>
        </is>
      </c>
      <c r="E575" t="inlineStr">
        <is>
          <t>SALA</t>
        </is>
      </c>
      <c r="G575" t="n">
        <v>2.5</v>
      </c>
      <c r="H575" t="n">
        <v>0</v>
      </c>
      <c r="I575" t="n">
        <v>0</v>
      </c>
      <c r="J575" t="n">
        <v>0</v>
      </c>
      <c r="K575" t="n">
        <v>0</v>
      </c>
      <c r="L575" t="n">
        <v>0</v>
      </c>
      <c r="M575" t="n">
        <v>0</v>
      </c>
      <c r="N575" t="n">
        <v>0</v>
      </c>
      <c r="O575" t="n">
        <v>0</v>
      </c>
      <c r="P575" t="n">
        <v>0</v>
      </c>
      <c r="Q575" t="n">
        <v>0</v>
      </c>
      <c r="R575" s="2" t="inlineStr"/>
    </row>
    <row r="576" ht="15" customHeight="1">
      <c r="A576" t="inlineStr">
        <is>
          <t>A 61681-2024</t>
        </is>
      </c>
      <c r="B576" s="1" t="n">
        <v>45647</v>
      </c>
      <c r="C576" s="1" t="n">
        <v>46203</v>
      </c>
      <c r="D576" t="inlineStr">
        <is>
          <t>VÄSTMANLANDS LÄN</t>
        </is>
      </c>
      <c r="E576" t="inlineStr">
        <is>
          <t>SALA</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20352-2022</t>
        </is>
      </c>
      <c r="B577" s="1" t="n">
        <v>44699</v>
      </c>
      <c r="C577" s="1" t="n">
        <v>46203</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27657-2023</t>
        </is>
      </c>
      <c r="B578" s="1" t="n">
        <v>45097</v>
      </c>
      <c r="C578" s="1" t="n">
        <v>46203</v>
      </c>
      <c r="D578" t="inlineStr">
        <is>
          <t>VÄSTMANLANDS LÄN</t>
        </is>
      </c>
      <c r="E578" t="inlineStr">
        <is>
          <t>SALA</t>
        </is>
      </c>
      <c r="G578" t="n">
        <v>0.1</v>
      </c>
      <c r="H578" t="n">
        <v>0</v>
      </c>
      <c r="I578" t="n">
        <v>0</v>
      </c>
      <c r="J578" t="n">
        <v>0</v>
      </c>
      <c r="K578" t="n">
        <v>0</v>
      </c>
      <c r="L578" t="n">
        <v>0</v>
      </c>
      <c r="M578" t="n">
        <v>0</v>
      </c>
      <c r="N578" t="n">
        <v>0</v>
      </c>
      <c r="O578" t="n">
        <v>0</v>
      </c>
      <c r="P578" t="n">
        <v>0</v>
      </c>
      <c r="Q578" t="n">
        <v>0</v>
      </c>
      <c r="R578" s="2" t="inlineStr"/>
    </row>
    <row r="579" ht="15" customHeight="1">
      <c r="A579" t="inlineStr">
        <is>
          <t>A 2766-2024</t>
        </is>
      </c>
      <c r="B579" s="1" t="n">
        <v>45314</v>
      </c>
      <c r="C579" s="1" t="n">
        <v>46203</v>
      </c>
      <c r="D579" t="inlineStr">
        <is>
          <t>VÄSTMANLANDS LÄN</t>
        </is>
      </c>
      <c r="E579" t="inlineStr">
        <is>
          <t>SALA</t>
        </is>
      </c>
      <c r="G579" t="n">
        <v>2.8</v>
      </c>
      <c r="H579" t="n">
        <v>0</v>
      </c>
      <c r="I579" t="n">
        <v>0</v>
      </c>
      <c r="J579" t="n">
        <v>0</v>
      </c>
      <c r="K579" t="n">
        <v>0</v>
      </c>
      <c r="L579" t="n">
        <v>0</v>
      </c>
      <c r="M579" t="n">
        <v>0</v>
      </c>
      <c r="N579" t="n">
        <v>0</v>
      </c>
      <c r="O579" t="n">
        <v>0</v>
      </c>
      <c r="P579" t="n">
        <v>0</v>
      </c>
      <c r="Q579" t="n">
        <v>0</v>
      </c>
      <c r="R579" s="2" t="inlineStr"/>
    </row>
    <row r="580" ht="15" customHeight="1">
      <c r="A580" t="inlineStr">
        <is>
          <t>A 60550-2024</t>
        </is>
      </c>
      <c r="B580" s="1" t="n">
        <v>45643</v>
      </c>
      <c r="C580" s="1" t="n">
        <v>46203</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24175-2024</t>
        </is>
      </c>
      <c r="B581" s="1" t="n">
        <v>45456</v>
      </c>
      <c r="C581" s="1" t="n">
        <v>46203</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62449-2023</t>
        </is>
      </c>
      <c r="B582" s="1" t="n">
        <v>45268</v>
      </c>
      <c r="C582" s="1" t="n">
        <v>46203</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54910-2023</t>
        </is>
      </c>
      <c r="B583" s="1" t="n">
        <v>45229</v>
      </c>
      <c r="C583" s="1" t="n">
        <v>46203</v>
      </c>
      <c r="D583" t="inlineStr">
        <is>
          <t>VÄSTMANLANDS LÄN</t>
        </is>
      </c>
      <c r="E583" t="inlineStr">
        <is>
          <t>SALA</t>
        </is>
      </c>
      <c r="G583" t="n">
        <v>2.4</v>
      </c>
      <c r="H583" t="n">
        <v>0</v>
      </c>
      <c r="I583" t="n">
        <v>0</v>
      </c>
      <c r="J583" t="n">
        <v>0</v>
      </c>
      <c r="K583" t="n">
        <v>0</v>
      </c>
      <c r="L583" t="n">
        <v>0</v>
      </c>
      <c r="M583" t="n">
        <v>0</v>
      </c>
      <c r="N583" t="n">
        <v>0</v>
      </c>
      <c r="O583" t="n">
        <v>0</v>
      </c>
      <c r="P583" t="n">
        <v>0</v>
      </c>
      <c r="Q583" t="n">
        <v>0</v>
      </c>
      <c r="R583" s="2" t="inlineStr"/>
    </row>
    <row r="584" ht="15" customHeight="1">
      <c r="A584" t="inlineStr">
        <is>
          <t>A 19222-2025</t>
        </is>
      </c>
      <c r="B584" s="1" t="n">
        <v>45769</v>
      </c>
      <c r="C584" s="1" t="n">
        <v>46203</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c r="A585" t="inlineStr">
        <is>
          <t>A 26692-2023</t>
        </is>
      </c>
      <c r="B585" s="1" t="n">
        <v>45093</v>
      </c>
      <c r="C585" s="1" t="n">
        <v>46203</v>
      </c>
      <c r="D585" t="inlineStr">
        <is>
          <t>VÄSTMANLANDS LÄN</t>
        </is>
      </c>
      <c r="E585" t="inlineStr">
        <is>
          <t>SALA</t>
        </is>
      </c>
      <c r="G585" t="n">
        <v>1.8</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2026-06-30T00:57:45Z</dcterms:created>
  <dcterms:modified xmlns:dcterms="http://purl.org/dc/terms/" xmlns:xsi="http://www.w3.org/2001/XMLSchema-instance" xsi:type="dcterms:W3CDTF">2026-06-30T00:57:46Z</dcterms:modified>
</cp:coreProperties>
</file>