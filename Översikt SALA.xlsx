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46066</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46066</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46066</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46066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46066</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46066</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46066</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34752-2023</t>
        </is>
      </c>
      <c r="B16" s="1" t="n">
        <v>45141</v>
      </c>
      <c r="C16" s="1" t="n">
        <v>46066</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46066</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46066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46066</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46066</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46066</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46066</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46066</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46066</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4264-2024</t>
        </is>
      </c>
      <c r="B25" s="1" t="n">
        <v>45324</v>
      </c>
      <c r="C25" s="1" t="n">
        <v>46066</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46066</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46066</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46066</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46066</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46066</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46066</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46066</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46066</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46066</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11846-2024</t>
        </is>
      </c>
      <c r="B35" s="1" t="n">
        <v>45376.4047337963</v>
      </c>
      <c r="C35" s="1" t="n">
        <v>46066</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59826-2025</t>
        </is>
      </c>
      <c r="B36" s="1" t="n">
        <v>45992.65416666667</v>
      </c>
      <c r="C36" s="1" t="n">
        <v>46066</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63584-2025</t>
        </is>
      </c>
      <c r="B37" s="1" t="n">
        <v>46013.77002314815</v>
      </c>
      <c r="C37" s="1" t="n">
        <v>46066</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12444-2024</t>
        </is>
      </c>
      <c r="B38" s="1" t="n">
        <v>45379.46285879629</v>
      </c>
      <c r="C38" s="1" t="n">
        <v>46066</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46066</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46066</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46066</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46066</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46066</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7672-2026</t>
        </is>
      </c>
      <c r="B44" s="1" t="n">
        <v>46062.42077546296</v>
      </c>
      <c r="C44" s="1" t="n">
        <v>46066</v>
      </c>
      <c r="D44" t="inlineStr">
        <is>
          <t>VÄSTMANLANDS LÄN</t>
        </is>
      </c>
      <c r="E44" t="inlineStr">
        <is>
          <t>SALA</t>
        </is>
      </c>
      <c r="G44" t="n">
        <v>2.9</v>
      </c>
      <c r="H44" t="n">
        <v>1</v>
      </c>
      <c r="I44" t="n">
        <v>0</v>
      </c>
      <c r="J44" t="n">
        <v>0</v>
      </c>
      <c r="K44" t="n">
        <v>0</v>
      </c>
      <c r="L44" t="n">
        <v>0</v>
      </c>
      <c r="M44" t="n">
        <v>0</v>
      </c>
      <c r="N44" t="n">
        <v>0</v>
      </c>
      <c r="O44" t="n">
        <v>0</v>
      </c>
      <c r="P44" t="n">
        <v>0</v>
      </c>
      <c r="Q44" t="n">
        <v>1</v>
      </c>
      <c r="R44" s="2" t="inlineStr">
        <is>
          <t>Nattviol</t>
        </is>
      </c>
      <c r="S44">
        <f>HYPERLINK("https://klasma.github.io/Logging_1981/artfynd/A 7672-2026 artfynd.xlsx", "A 7672-2026")</f>
        <v/>
      </c>
      <c r="T44">
        <f>HYPERLINK("https://klasma.github.io/Logging_1981/kartor/A 7672-2026 karta.png", "A 7672-2026")</f>
        <v/>
      </c>
      <c r="V44">
        <f>HYPERLINK("https://klasma.github.io/Logging_1981/klagomål/A 7672-2026 FSC-klagomål.docx", "A 7672-2026")</f>
        <v/>
      </c>
      <c r="W44">
        <f>HYPERLINK("https://klasma.github.io/Logging_1981/klagomålsmail/A 7672-2026 FSC-klagomål mail.docx", "A 7672-2026")</f>
        <v/>
      </c>
      <c r="X44">
        <f>HYPERLINK("https://klasma.github.io/Logging_1981/tillsyn/A 7672-2026 tillsynsbegäran.docx", "A 7672-2026")</f>
        <v/>
      </c>
      <c r="Y44">
        <f>HYPERLINK("https://klasma.github.io/Logging_1981/tillsynsmail/A 7672-2026 tillsynsbegäran mail.docx", "A 7672-2026")</f>
        <v/>
      </c>
    </row>
    <row r="45" ht="15" customHeight="1">
      <c r="A45" t="inlineStr">
        <is>
          <t>A 32594-2025</t>
        </is>
      </c>
      <c r="B45" s="1" t="n">
        <v>45838</v>
      </c>
      <c r="C45" s="1" t="n">
        <v>46066</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14775-2023</t>
        </is>
      </c>
      <c r="B46" s="1" t="n">
        <v>45014</v>
      </c>
      <c r="C46" s="1" t="n">
        <v>46066</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22350-2024</t>
        </is>
      </c>
      <c r="B47" s="1" t="n">
        <v>45446</v>
      </c>
      <c r="C47" s="1" t="n">
        <v>46066</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12509-2023</t>
        </is>
      </c>
      <c r="B48" s="1" t="n">
        <v>44999.95988425926</v>
      </c>
      <c r="C48" s="1" t="n">
        <v>46066</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38255-2025</t>
        </is>
      </c>
      <c r="B49" s="1" t="n">
        <v>45883.38020833334</v>
      </c>
      <c r="C49" s="1" t="n">
        <v>46066</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60852-2024</t>
        </is>
      </c>
      <c r="B50" s="1" t="n">
        <v>45644</v>
      </c>
      <c r="C50" s="1" t="n">
        <v>46066</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19361-2025</t>
        </is>
      </c>
      <c r="B51" s="1" t="n">
        <v>45769.63357638889</v>
      </c>
      <c r="C51" s="1" t="n">
        <v>46066</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46066</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43175-2023</t>
        </is>
      </c>
      <c r="B53" s="1" t="n">
        <v>45183</v>
      </c>
      <c r="C53" s="1" t="n">
        <v>46066</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48705-2025</t>
        </is>
      </c>
      <c r="B54" s="1" t="n">
        <v>45936.62290509259</v>
      </c>
      <c r="C54" s="1" t="n">
        <v>46066</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50268-2025</t>
        </is>
      </c>
      <c r="B55" s="1" t="n">
        <v>45944.35162037037</v>
      </c>
      <c r="C55" s="1" t="n">
        <v>46066</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55550-2023</t>
        </is>
      </c>
      <c r="B56" s="1" t="n">
        <v>45232</v>
      </c>
      <c r="C56" s="1" t="n">
        <v>46066</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53052-2025</t>
        </is>
      </c>
      <c r="B57" s="1" t="n">
        <v>45958.36266203703</v>
      </c>
      <c r="C57" s="1" t="n">
        <v>46066</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55995-2025</t>
        </is>
      </c>
      <c r="B58" s="1" t="n">
        <v>45973.56733796297</v>
      </c>
      <c r="C58" s="1" t="n">
        <v>46066</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41270-2024</t>
        </is>
      </c>
      <c r="B59" s="1" t="n">
        <v>45559</v>
      </c>
      <c r="C59" s="1" t="n">
        <v>46066</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43068-2024</t>
        </is>
      </c>
      <c r="B60" s="1" t="n">
        <v>45567</v>
      </c>
      <c r="C60" s="1" t="n">
        <v>46066</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46066</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46066</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46066</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46066</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46066</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46066</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66561-2021</t>
        </is>
      </c>
      <c r="B67" s="1" t="n">
        <v>44519.41648148148</v>
      </c>
      <c r="C67" s="1" t="n">
        <v>46066</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46066</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46066</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46066</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46066</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46066</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46066</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46066</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46066</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46066</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46066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46066</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46066</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46066</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46066</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46066</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46066</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46066</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46066</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46066</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46066</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46066</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46066</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46066</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46066</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46066</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46066</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46066</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46066</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46066</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46066</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46066</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46066</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46066</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46066</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46066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46066</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46066</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46066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46066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46066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46066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7955-2021</t>
        </is>
      </c>
      <c r="B109" s="1" t="n">
        <v>44243</v>
      </c>
      <c r="C109" s="1" t="n">
        <v>46066</v>
      </c>
      <c r="D109" t="inlineStr">
        <is>
          <t>VÄSTMANLANDS LÄN</t>
        </is>
      </c>
      <c r="E109" t="inlineStr">
        <is>
          <t>SALA</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46066</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46066</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46066</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46066</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46066</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46066</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46066</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46066</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46066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46066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46066</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46066</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46066</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37856-2021</t>
        </is>
      </c>
      <c r="B123" s="1" t="n">
        <v>44403</v>
      </c>
      <c r="C123" s="1" t="n">
        <v>46066</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37872-2021</t>
        </is>
      </c>
      <c r="B124" s="1" t="n">
        <v>44403</v>
      </c>
      <c r="C124" s="1" t="n">
        <v>46066</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46066</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46066</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46066</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46066</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46066</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46066</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46066</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46066</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22811-2022</t>
        </is>
      </c>
      <c r="B133" s="1" t="n">
        <v>44715</v>
      </c>
      <c r="C133" s="1" t="n">
        <v>46066</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46066</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46066</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46066</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65818-2021</t>
        </is>
      </c>
      <c r="B137" s="1" t="n">
        <v>44517</v>
      </c>
      <c r="C137" s="1" t="n">
        <v>46066</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9050-2022</t>
        </is>
      </c>
      <c r="B138" s="1" t="n">
        <v>44615.45451388889</v>
      </c>
      <c r="C138" s="1" t="n">
        <v>46066</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49254-2022</t>
        </is>
      </c>
      <c r="B139" s="1" t="n">
        <v>44861</v>
      </c>
      <c r="C139" s="1" t="n">
        <v>46066</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11370-2022</t>
        </is>
      </c>
      <c r="B140" s="1" t="n">
        <v>44630</v>
      </c>
      <c r="C140" s="1" t="n">
        <v>46066</v>
      </c>
      <c r="D140" t="inlineStr">
        <is>
          <t>VÄSTMANLANDS LÄN</t>
        </is>
      </c>
      <c r="E140" t="inlineStr">
        <is>
          <t>SALA</t>
        </is>
      </c>
      <c r="G140" t="n">
        <v>4.3</v>
      </c>
      <c r="H140" t="n">
        <v>0</v>
      </c>
      <c r="I140" t="n">
        <v>0</v>
      </c>
      <c r="J140" t="n">
        <v>0</v>
      </c>
      <c r="K140" t="n">
        <v>0</v>
      </c>
      <c r="L140" t="n">
        <v>0</v>
      </c>
      <c r="M140" t="n">
        <v>0</v>
      </c>
      <c r="N140" t="n">
        <v>0</v>
      </c>
      <c r="O140" t="n">
        <v>0</v>
      </c>
      <c r="P140" t="n">
        <v>0</v>
      </c>
      <c r="Q140" t="n">
        <v>0</v>
      </c>
      <c r="R140" s="2" t="inlineStr"/>
    </row>
    <row r="141" ht="15" customHeight="1">
      <c r="A141" t="inlineStr">
        <is>
          <t>A 67962-2021</t>
        </is>
      </c>
      <c r="B141" s="1" t="n">
        <v>44525</v>
      </c>
      <c r="C141" s="1" t="n">
        <v>46066</v>
      </c>
      <c r="D141" t="inlineStr">
        <is>
          <t>VÄSTMANLANDS LÄN</t>
        </is>
      </c>
      <c r="E141" t="inlineStr">
        <is>
          <t>SALA</t>
        </is>
      </c>
      <c r="G141" t="n">
        <v>1.4</v>
      </c>
      <c r="H141" t="n">
        <v>0</v>
      </c>
      <c r="I141" t="n">
        <v>0</v>
      </c>
      <c r="J141" t="n">
        <v>0</v>
      </c>
      <c r="K141" t="n">
        <v>0</v>
      </c>
      <c r="L141" t="n">
        <v>0</v>
      </c>
      <c r="M141" t="n">
        <v>0</v>
      </c>
      <c r="N141" t="n">
        <v>0</v>
      </c>
      <c r="O141" t="n">
        <v>0</v>
      </c>
      <c r="P141" t="n">
        <v>0</v>
      </c>
      <c r="Q141" t="n">
        <v>0</v>
      </c>
      <c r="R141" s="2" t="inlineStr"/>
    </row>
    <row r="142" ht="15" customHeight="1">
      <c r="A142" t="inlineStr">
        <is>
          <t>A 24882-2022</t>
        </is>
      </c>
      <c r="B142" s="1" t="n">
        <v>44728.56488425926</v>
      </c>
      <c r="C142" s="1" t="n">
        <v>46066</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70218-2021</t>
        </is>
      </c>
      <c r="B143" s="1" t="n">
        <v>44535.6571412037</v>
      </c>
      <c r="C143" s="1" t="n">
        <v>46066</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46066</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46066</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44615.47800925926</v>
      </c>
      <c r="C146" s="1" t="n">
        <v>46066</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46066</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46066</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46066</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46066</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46066</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46066</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46066</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46066</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46066</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46066</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46066</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46066</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46066</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46066</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46066</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46066</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46066</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46066</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46066</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46066</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72405-2021</t>
        </is>
      </c>
      <c r="B167" s="1" t="n">
        <v>44545</v>
      </c>
      <c r="C167" s="1" t="n">
        <v>46066</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46066</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46066</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46066</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46066</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46066</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46066</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46066</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46066</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46066</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46066</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46066</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46066</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44482.46760416667</v>
      </c>
      <c r="C180" s="1" t="n">
        <v>46066</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46066</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54910-2023</t>
        </is>
      </c>
      <c r="B182" s="1" t="n">
        <v>45229</v>
      </c>
      <c r="C182" s="1" t="n">
        <v>46066</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35462-2024</t>
        </is>
      </c>
      <c r="B183" s="1" t="n">
        <v>45531</v>
      </c>
      <c r="C183" s="1" t="n">
        <v>46066</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14024-2025</t>
        </is>
      </c>
      <c r="B184" s="1" t="n">
        <v>45740.34650462963</v>
      </c>
      <c r="C184" s="1" t="n">
        <v>46066</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62449-2023</t>
        </is>
      </c>
      <c r="B185" s="1" t="n">
        <v>45268.49008101852</v>
      </c>
      <c r="C185" s="1" t="n">
        <v>46066</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17458-2024</t>
        </is>
      </c>
      <c r="B186" s="1" t="n">
        <v>45415</v>
      </c>
      <c r="C186" s="1" t="n">
        <v>46066</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26692-2023</t>
        </is>
      </c>
      <c r="B187" s="1" t="n">
        <v>45093.360625</v>
      </c>
      <c r="C187" s="1" t="n">
        <v>46066</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58107-2021</t>
        </is>
      </c>
      <c r="B188" s="1" t="n">
        <v>44487</v>
      </c>
      <c r="C188" s="1" t="n">
        <v>46066</v>
      </c>
      <c r="D188" t="inlineStr">
        <is>
          <t>VÄSTMANLANDS LÄN</t>
        </is>
      </c>
      <c r="E188" t="inlineStr">
        <is>
          <t>SALA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56543-2024</t>
        </is>
      </c>
      <c r="B189" s="1" t="n">
        <v>45625</v>
      </c>
      <c r="C189" s="1" t="n">
        <v>46066</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31950-2023</t>
        </is>
      </c>
      <c r="B190" s="1" t="n">
        <v>45107</v>
      </c>
      <c r="C190" s="1" t="n">
        <v>46066</v>
      </c>
      <c r="D190" t="inlineStr">
        <is>
          <t>VÄSTMANLANDS LÄN</t>
        </is>
      </c>
      <c r="E190" t="inlineStr">
        <is>
          <t>SALA</t>
        </is>
      </c>
      <c r="G190" t="n">
        <v>1.9</v>
      </c>
      <c r="H190" t="n">
        <v>0</v>
      </c>
      <c r="I190" t="n">
        <v>0</v>
      </c>
      <c r="J190" t="n">
        <v>0</v>
      </c>
      <c r="K190" t="n">
        <v>0</v>
      </c>
      <c r="L190" t="n">
        <v>0</v>
      </c>
      <c r="M190" t="n">
        <v>0</v>
      </c>
      <c r="N190" t="n">
        <v>0</v>
      </c>
      <c r="O190" t="n">
        <v>0</v>
      </c>
      <c r="P190" t="n">
        <v>0</v>
      </c>
      <c r="Q190" t="n">
        <v>0</v>
      </c>
      <c r="R190" s="2" t="inlineStr"/>
    </row>
    <row r="191" ht="15" customHeight="1">
      <c r="A191" t="inlineStr">
        <is>
          <t>A 16767-2024</t>
        </is>
      </c>
      <c r="B191" s="1" t="n">
        <v>45411.38171296296</v>
      </c>
      <c r="C191" s="1" t="n">
        <v>46066</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6097-2022</t>
        </is>
      </c>
      <c r="B192" s="1" t="n">
        <v>44599</v>
      </c>
      <c r="C192" s="1" t="n">
        <v>46066</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13022-2023</t>
        </is>
      </c>
      <c r="B193" s="1" t="n">
        <v>45002.33291666667</v>
      </c>
      <c r="C193" s="1" t="n">
        <v>46066</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4853-2023</t>
        </is>
      </c>
      <c r="B194" s="1" t="n">
        <v>44957.73234953704</v>
      </c>
      <c r="C194" s="1" t="n">
        <v>46066</v>
      </c>
      <c r="D194" t="inlineStr">
        <is>
          <t>VÄSTMANLANDS LÄN</t>
        </is>
      </c>
      <c r="E194" t="inlineStr">
        <is>
          <t>SALA</t>
        </is>
      </c>
      <c r="G194" t="n">
        <v>2.7</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46066</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12246-2023</t>
        </is>
      </c>
      <c r="B196" s="1" t="n">
        <v>44995</v>
      </c>
      <c r="C196" s="1" t="n">
        <v>46066</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42447-2022</t>
        </is>
      </c>
      <c r="B197" s="1" t="n">
        <v>44831</v>
      </c>
      <c r="C197" s="1" t="n">
        <v>46066</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59909-2024</t>
        </is>
      </c>
      <c r="B198" s="1" t="n">
        <v>45641</v>
      </c>
      <c r="C198" s="1" t="n">
        <v>46066</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69232-2021</t>
        </is>
      </c>
      <c r="B199" s="1" t="n">
        <v>44531.39696759259</v>
      </c>
      <c r="C199" s="1" t="n">
        <v>46066</v>
      </c>
      <c r="D199" t="inlineStr">
        <is>
          <t>VÄSTMANLANDS LÄN</t>
        </is>
      </c>
      <c r="E199" t="inlineStr">
        <is>
          <t>SALA</t>
        </is>
      </c>
      <c r="G199" t="n">
        <v>2.3</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46066</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46066</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51464-2024</t>
        </is>
      </c>
      <c r="B202" s="1" t="n">
        <v>45604.49768518518</v>
      </c>
      <c r="C202" s="1" t="n">
        <v>46066</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4797-2023</t>
        </is>
      </c>
      <c r="B203" s="1" t="n">
        <v>44957</v>
      </c>
      <c r="C203" s="1" t="n">
        <v>46066</v>
      </c>
      <c r="D203" t="inlineStr">
        <is>
          <t>VÄSTMANLANDS LÄN</t>
        </is>
      </c>
      <c r="E203" t="inlineStr">
        <is>
          <t>SALA</t>
        </is>
      </c>
      <c r="G203" t="n">
        <v>5.7</v>
      </c>
      <c r="H203" t="n">
        <v>0</v>
      </c>
      <c r="I203" t="n">
        <v>0</v>
      </c>
      <c r="J203" t="n">
        <v>0</v>
      </c>
      <c r="K203" t="n">
        <v>0</v>
      </c>
      <c r="L203" t="n">
        <v>0</v>
      </c>
      <c r="M203" t="n">
        <v>0</v>
      </c>
      <c r="N203" t="n">
        <v>0</v>
      </c>
      <c r="O203" t="n">
        <v>0</v>
      </c>
      <c r="P203" t="n">
        <v>0</v>
      </c>
      <c r="Q203" t="n">
        <v>0</v>
      </c>
      <c r="R203" s="2" t="inlineStr"/>
    </row>
    <row r="204" ht="15" customHeight="1">
      <c r="A204" t="inlineStr">
        <is>
          <t>A 54603-2024</t>
        </is>
      </c>
      <c r="B204" s="1" t="n">
        <v>45617.68224537037</v>
      </c>
      <c r="C204" s="1" t="n">
        <v>46066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1638-2023</t>
        </is>
      </c>
      <c r="B205" s="1" t="n">
        <v>44937</v>
      </c>
      <c r="C205" s="1" t="n">
        <v>46066</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15972-2024</t>
        </is>
      </c>
      <c r="B206" s="1" t="n">
        <v>45405.56498842593</v>
      </c>
      <c r="C206" s="1" t="n">
        <v>46066</v>
      </c>
      <c r="D206" t="inlineStr">
        <is>
          <t>VÄSTMANLANDS LÄN</t>
        </is>
      </c>
      <c r="E206" t="inlineStr">
        <is>
          <t>SALA</t>
        </is>
      </c>
      <c r="G206" t="n">
        <v>1.8</v>
      </c>
      <c r="H206" t="n">
        <v>0</v>
      </c>
      <c r="I206" t="n">
        <v>0</v>
      </c>
      <c r="J206" t="n">
        <v>0</v>
      </c>
      <c r="K206" t="n">
        <v>0</v>
      </c>
      <c r="L206" t="n">
        <v>0</v>
      </c>
      <c r="M206" t="n">
        <v>0</v>
      </c>
      <c r="N206" t="n">
        <v>0</v>
      </c>
      <c r="O206" t="n">
        <v>0</v>
      </c>
      <c r="P206" t="n">
        <v>0</v>
      </c>
      <c r="Q206" t="n">
        <v>0</v>
      </c>
      <c r="R206" s="2" t="inlineStr"/>
    </row>
    <row r="207" ht="15" customHeight="1">
      <c r="A207" t="inlineStr">
        <is>
          <t>A 61517-2024</t>
        </is>
      </c>
      <c r="B207" s="1" t="n">
        <v>45645</v>
      </c>
      <c r="C207" s="1" t="n">
        <v>46066</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46066</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1555-2024</t>
        </is>
      </c>
      <c r="B209" s="1" t="n">
        <v>45306</v>
      </c>
      <c r="C209" s="1" t="n">
        <v>46066</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15756-2025</t>
        </is>
      </c>
      <c r="B210" s="1" t="n">
        <v>45748.56810185185</v>
      </c>
      <c r="C210" s="1" t="n">
        <v>46066</v>
      </c>
      <c r="D210" t="inlineStr">
        <is>
          <t>VÄSTMANLANDS LÄN</t>
        </is>
      </c>
      <c r="E210" t="inlineStr">
        <is>
          <t>SALA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31000-2022</t>
        </is>
      </c>
      <c r="B211" s="1" t="n">
        <v>44768</v>
      </c>
      <c r="C211" s="1" t="n">
        <v>46066</v>
      </c>
      <c r="D211" t="inlineStr">
        <is>
          <t>VÄSTMANLANDS LÄN</t>
        </is>
      </c>
      <c r="E211" t="inlineStr">
        <is>
          <t>SALA</t>
        </is>
      </c>
      <c r="G211" t="n">
        <v>5.7</v>
      </c>
      <c r="H211" t="n">
        <v>0</v>
      </c>
      <c r="I211" t="n">
        <v>0</v>
      </c>
      <c r="J211" t="n">
        <v>0</v>
      </c>
      <c r="K211" t="n">
        <v>0</v>
      </c>
      <c r="L211" t="n">
        <v>0</v>
      </c>
      <c r="M211" t="n">
        <v>0</v>
      </c>
      <c r="N211" t="n">
        <v>0</v>
      </c>
      <c r="O211" t="n">
        <v>0</v>
      </c>
      <c r="P211" t="n">
        <v>0</v>
      </c>
      <c r="Q211" t="n">
        <v>0</v>
      </c>
      <c r="R211" s="2" t="inlineStr"/>
    </row>
    <row r="212" ht="15" customHeight="1">
      <c r="A212" t="inlineStr">
        <is>
          <t>A 37183-2024</t>
        </is>
      </c>
      <c r="B212" s="1" t="n">
        <v>45539</v>
      </c>
      <c r="C212" s="1" t="n">
        <v>46066</v>
      </c>
      <c r="D212" t="inlineStr">
        <is>
          <t>VÄSTMANLANDS LÄN</t>
        </is>
      </c>
      <c r="E212" t="inlineStr">
        <is>
          <t>SALA</t>
        </is>
      </c>
      <c r="G212" t="n">
        <v>1.2</v>
      </c>
      <c r="H212" t="n">
        <v>0</v>
      </c>
      <c r="I212" t="n">
        <v>0</v>
      </c>
      <c r="J212" t="n">
        <v>0</v>
      </c>
      <c r="K212" t="n">
        <v>0</v>
      </c>
      <c r="L212" t="n">
        <v>0</v>
      </c>
      <c r="M212" t="n">
        <v>0</v>
      </c>
      <c r="N212" t="n">
        <v>0</v>
      </c>
      <c r="O212" t="n">
        <v>0</v>
      </c>
      <c r="P212" t="n">
        <v>0</v>
      </c>
      <c r="Q212" t="n">
        <v>0</v>
      </c>
      <c r="R212" s="2" t="inlineStr"/>
    </row>
    <row r="213" ht="15" customHeight="1">
      <c r="A213" t="inlineStr">
        <is>
          <t>A 27229-2022</t>
        </is>
      </c>
      <c r="B213" s="1" t="n">
        <v>44741</v>
      </c>
      <c r="C213" s="1" t="n">
        <v>46066</v>
      </c>
      <c r="D213" t="inlineStr">
        <is>
          <t>VÄSTMANLANDS LÄN</t>
        </is>
      </c>
      <c r="E213" t="inlineStr">
        <is>
          <t>SALA</t>
        </is>
      </c>
      <c r="F213" t="inlineStr">
        <is>
          <t>Kommuner</t>
        </is>
      </c>
      <c r="G213" t="n">
        <v>1.4</v>
      </c>
      <c r="H213" t="n">
        <v>0</v>
      </c>
      <c r="I213" t="n">
        <v>0</v>
      </c>
      <c r="J213" t="n">
        <v>0</v>
      </c>
      <c r="K213" t="n">
        <v>0</v>
      </c>
      <c r="L213" t="n">
        <v>0</v>
      </c>
      <c r="M213" t="n">
        <v>0</v>
      </c>
      <c r="N213" t="n">
        <v>0</v>
      </c>
      <c r="O213" t="n">
        <v>0</v>
      </c>
      <c r="P213" t="n">
        <v>0</v>
      </c>
      <c r="Q213" t="n">
        <v>0</v>
      </c>
      <c r="R213" s="2" t="inlineStr"/>
    </row>
    <row r="214" ht="15" customHeight="1">
      <c r="A214" t="inlineStr">
        <is>
          <t>A 22397-2022</t>
        </is>
      </c>
      <c r="B214" s="1" t="n">
        <v>44713</v>
      </c>
      <c r="C214" s="1" t="n">
        <v>46066</v>
      </c>
      <c r="D214" t="inlineStr">
        <is>
          <t>VÄSTMANLANDS LÄN</t>
        </is>
      </c>
      <c r="E214" t="inlineStr">
        <is>
          <t>SALA</t>
        </is>
      </c>
      <c r="G214" t="n">
        <v>2.1</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46066</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1793-2023</t>
        </is>
      </c>
      <c r="B216" s="1" t="n">
        <v>44937</v>
      </c>
      <c r="C216" s="1" t="n">
        <v>46066</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29248-2022</t>
        </is>
      </c>
      <c r="B217" s="1" t="n">
        <v>44750</v>
      </c>
      <c r="C217" s="1" t="n">
        <v>46066</v>
      </c>
      <c r="D217" t="inlineStr">
        <is>
          <t>VÄSTMANLANDS LÄN</t>
        </is>
      </c>
      <c r="E217" t="inlineStr">
        <is>
          <t>SALA</t>
        </is>
      </c>
      <c r="G217" t="n">
        <v>1.6</v>
      </c>
      <c r="H217" t="n">
        <v>0</v>
      </c>
      <c r="I217" t="n">
        <v>0</v>
      </c>
      <c r="J217" t="n">
        <v>0</v>
      </c>
      <c r="K217" t="n">
        <v>0</v>
      </c>
      <c r="L217" t="n">
        <v>0</v>
      </c>
      <c r="M217" t="n">
        <v>0</v>
      </c>
      <c r="N217" t="n">
        <v>0</v>
      </c>
      <c r="O217" t="n">
        <v>0</v>
      </c>
      <c r="P217" t="n">
        <v>0</v>
      </c>
      <c r="Q217" t="n">
        <v>0</v>
      </c>
      <c r="R217" s="2" t="inlineStr"/>
    </row>
    <row r="218" ht="15" customHeight="1">
      <c r="A218" t="inlineStr">
        <is>
          <t>A 24169-2025</t>
        </is>
      </c>
      <c r="B218" s="1" t="n">
        <v>45796</v>
      </c>
      <c r="C218" s="1" t="n">
        <v>46066</v>
      </c>
      <c r="D218" t="inlineStr">
        <is>
          <t>VÄSTMANLANDS LÄN</t>
        </is>
      </c>
      <c r="E218" t="inlineStr">
        <is>
          <t>SALA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11210-2025</t>
        </is>
      </c>
      <c r="B219" s="1" t="n">
        <v>45726</v>
      </c>
      <c r="C219" s="1" t="n">
        <v>46066</v>
      </c>
      <c r="D219" t="inlineStr">
        <is>
          <t>VÄSTMANLANDS LÄN</t>
        </is>
      </c>
      <c r="E219" t="inlineStr">
        <is>
          <t>SALA</t>
        </is>
      </c>
      <c r="G219" t="n">
        <v>4.1</v>
      </c>
      <c r="H219" t="n">
        <v>0</v>
      </c>
      <c r="I219" t="n">
        <v>0</v>
      </c>
      <c r="J219" t="n">
        <v>0</v>
      </c>
      <c r="K219" t="n">
        <v>0</v>
      </c>
      <c r="L219" t="n">
        <v>0</v>
      </c>
      <c r="M219" t="n">
        <v>0</v>
      </c>
      <c r="N219" t="n">
        <v>0</v>
      </c>
      <c r="O219" t="n">
        <v>0</v>
      </c>
      <c r="P219" t="n">
        <v>0</v>
      </c>
      <c r="Q219" t="n">
        <v>0</v>
      </c>
      <c r="R219" s="2" t="inlineStr"/>
    </row>
    <row r="220" ht="15" customHeight="1">
      <c r="A220" t="inlineStr">
        <is>
          <t>A 7498-2026</t>
        </is>
      </c>
      <c r="B220" s="1" t="n">
        <v>46059.55550925926</v>
      </c>
      <c r="C220" s="1" t="n">
        <v>46066</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24944-2023</t>
        </is>
      </c>
      <c r="B221" s="1" t="n">
        <v>45085</v>
      </c>
      <c r="C221" s="1" t="n">
        <v>46066</v>
      </c>
      <c r="D221" t="inlineStr">
        <is>
          <t>VÄSTMANLANDS LÄN</t>
        </is>
      </c>
      <c r="E221" t="inlineStr">
        <is>
          <t>SALA</t>
        </is>
      </c>
      <c r="G221" t="n">
        <v>3.8</v>
      </c>
      <c r="H221" t="n">
        <v>0</v>
      </c>
      <c r="I221" t="n">
        <v>0</v>
      </c>
      <c r="J221" t="n">
        <v>0</v>
      </c>
      <c r="K221" t="n">
        <v>0</v>
      </c>
      <c r="L221" t="n">
        <v>0</v>
      </c>
      <c r="M221" t="n">
        <v>0</v>
      </c>
      <c r="N221" t="n">
        <v>0</v>
      </c>
      <c r="O221" t="n">
        <v>0</v>
      </c>
      <c r="P221" t="n">
        <v>0</v>
      </c>
      <c r="Q221" t="n">
        <v>0</v>
      </c>
      <c r="R221" s="2" t="inlineStr"/>
    </row>
    <row r="222" ht="15" customHeight="1">
      <c r="A222" t="inlineStr">
        <is>
          <t>A 63749-2025</t>
        </is>
      </c>
      <c r="B222" s="1" t="n">
        <v>46017.75243055556</v>
      </c>
      <c r="C222" s="1" t="n">
        <v>46066</v>
      </c>
      <c r="D222" t="inlineStr">
        <is>
          <t>VÄSTMANLANDS LÄN</t>
        </is>
      </c>
      <c r="E222" t="inlineStr">
        <is>
          <t>SALA</t>
        </is>
      </c>
      <c r="G222" t="n">
        <v>1.5</v>
      </c>
      <c r="H222" t="n">
        <v>0</v>
      </c>
      <c r="I222" t="n">
        <v>0</v>
      </c>
      <c r="J222" t="n">
        <v>0</v>
      </c>
      <c r="K222" t="n">
        <v>0</v>
      </c>
      <c r="L222" t="n">
        <v>0</v>
      </c>
      <c r="M222" t="n">
        <v>0</v>
      </c>
      <c r="N222" t="n">
        <v>0</v>
      </c>
      <c r="O222" t="n">
        <v>0</v>
      </c>
      <c r="P222" t="n">
        <v>0</v>
      </c>
      <c r="Q222" t="n">
        <v>0</v>
      </c>
      <c r="R222" s="2" t="inlineStr"/>
    </row>
    <row r="223" ht="15" customHeight="1">
      <c r="A223" t="inlineStr">
        <is>
          <t>A 7329-2026</t>
        </is>
      </c>
      <c r="B223" s="1" t="n">
        <v>46058.68678240741</v>
      </c>
      <c r="C223" s="1" t="n">
        <v>46066</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7681-2021</t>
        </is>
      </c>
      <c r="B224" s="1" t="n">
        <v>44242</v>
      </c>
      <c r="C224" s="1" t="n">
        <v>46066</v>
      </c>
      <c r="D224" t="inlineStr">
        <is>
          <t>VÄSTMANLANDS LÄN</t>
        </is>
      </c>
      <c r="E224" t="inlineStr">
        <is>
          <t>SALA</t>
        </is>
      </c>
      <c r="F224" t="inlineStr">
        <is>
          <t>Sveaskog</t>
        </is>
      </c>
      <c r="G224" t="n">
        <v>16.1</v>
      </c>
      <c r="H224" t="n">
        <v>0</v>
      </c>
      <c r="I224" t="n">
        <v>0</v>
      </c>
      <c r="J224" t="n">
        <v>0</v>
      </c>
      <c r="K224" t="n">
        <v>0</v>
      </c>
      <c r="L224" t="n">
        <v>0</v>
      </c>
      <c r="M224" t="n">
        <v>0</v>
      </c>
      <c r="N224" t="n">
        <v>0</v>
      </c>
      <c r="O224" t="n">
        <v>0</v>
      </c>
      <c r="P224" t="n">
        <v>0</v>
      </c>
      <c r="Q224" t="n">
        <v>0</v>
      </c>
      <c r="R224" s="2" t="inlineStr"/>
    </row>
    <row r="225" ht="15" customHeight="1">
      <c r="A225" t="inlineStr">
        <is>
          <t>A 14919-2025</t>
        </is>
      </c>
      <c r="B225" s="1" t="n">
        <v>45743.54256944444</v>
      </c>
      <c r="C225" s="1" t="n">
        <v>46066</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14920-2025</t>
        </is>
      </c>
      <c r="B226" s="1" t="n">
        <v>45743</v>
      </c>
      <c r="C226" s="1" t="n">
        <v>46066</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40398-2021</t>
        </is>
      </c>
      <c r="B227" s="1" t="n">
        <v>44419</v>
      </c>
      <c r="C227" s="1" t="n">
        <v>46066</v>
      </c>
      <c r="D227" t="inlineStr">
        <is>
          <t>VÄSTMANLANDS LÄN</t>
        </is>
      </c>
      <c r="E227" t="inlineStr">
        <is>
          <t>SALA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7324-2026</t>
        </is>
      </c>
      <c r="B228" s="1" t="n">
        <v>46058.68023148148</v>
      </c>
      <c r="C228" s="1" t="n">
        <v>46066</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43362-2023</t>
        </is>
      </c>
      <c r="B229" s="1" t="n">
        <v>45183</v>
      </c>
      <c r="C229" s="1" t="n">
        <v>46066</v>
      </c>
      <c r="D229" t="inlineStr">
        <is>
          <t>VÄSTMANLANDS LÄN</t>
        </is>
      </c>
      <c r="E229" t="inlineStr">
        <is>
          <t>SALA</t>
        </is>
      </c>
      <c r="G229" t="n">
        <v>2</v>
      </c>
      <c r="H229" t="n">
        <v>0</v>
      </c>
      <c r="I229" t="n">
        <v>0</v>
      </c>
      <c r="J229" t="n">
        <v>0</v>
      </c>
      <c r="K229" t="n">
        <v>0</v>
      </c>
      <c r="L229" t="n">
        <v>0</v>
      </c>
      <c r="M229" t="n">
        <v>0</v>
      </c>
      <c r="N229" t="n">
        <v>0</v>
      </c>
      <c r="O229" t="n">
        <v>0</v>
      </c>
      <c r="P229" t="n">
        <v>0</v>
      </c>
      <c r="Q229" t="n">
        <v>0</v>
      </c>
      <c r="R229" s="2" t="inlineStr"/>
    </row>
    <row r="230" ht="15" customHeight="1">
      <c r="A230" t="inlineStr">
        <is>
          <t>A 2900-2023</t>
        </is>
      </c>
      <c r="B230" s="1" t="n">
        <v>44943</v>
      </c>
      <c r="C230" s="1" t="n">
        <v>46066</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6030-2024</t>
        </is>
      </c>
      <c r="B231" s="1" t="n">
        <v>45336.62782407407</v>
      </c>
      <c r="C231" s="1" t="n">
        <v>46066</v>
      </c>
      <c r="D231" t="inlineStr">
        <is>
          <t>VÄSTMANLANDS LÄN</t>
        </is>
      </c>
      <c r="E231" t="inlineStr">
        <is>
          <t>SALA</t>
        </is>
      </c>
      <c r="G231" t="n">
        <v>3.9</v>
      </c>
      <c r="H231" t="n">
        <v>0</v>
      </c>
      <c r="I231" t="n">
        <v>0</v>
      </c>
      <c r="J231" t="n">
        <v>0</v>
      </c>
      <c r="K231" t="n">
        <v>0</v>
      </c>
      <c r="L231" t="n">
        <v>0</v>
      </c>
      <c r="M231" t="n">
        <v>0</v>
      </c>
      <c r="N231" t="n">
        <v>0</v>
      </c>
      <c r="O231" t="n">
        <v>0</v>
      </c>
      <c r="P231" t="n">
        <v>0</v>
      </c>
      <c r="Q231" t="n">
        <v>0</v>
      </c>
      <c r="R231" s="2" t="inlineStr"/>
    </row>
    <row r="232" ht="15" customHeight="1">
      <c r="A232" t="inlineStr">
        <is>
          <t>A 52630-2022</t>
        </is>
      </c>
      <c r="B232" s="1" t="n">
        <v>44874</v>
      </c>
      <c r="C232" s="1" t="n">
        <v>46066</v>
      </c>
      <c r="D232" t="inlineStr">
        <is>
          <t>VÄSTMANLANDS LÄN</t>
        </is>
      </c>
      <c r="E232" t="inlineStr">
        <is>
          <t>SALA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24460-2025</t>
        </is>
      </c>
      <c r="B233" s="1" t="n">
        <v>45798</v>
      </c>
      <c r="C233" s="1" t="n">
        <v>46066</v>
      </c>
      <c r="D233" t="inlineStr">
        <is>
          <t>VÄSTMANLANDS LÄN</t>
        </is>
      </c>
      <c r="E233" t="inlineStr">
        <is>
          <t>SALA</t>
        </is>
      </c>
      <c r="F233" t="inlineStr">
        <is>
          <t>Bergvik skog öst AB</t>
        </is>
      </c>
      <c r="G233" t="n">
        <v>2.6</v>
      </c>
      <c r="H233" t="n">
        <v>0</v>
      </c>
      <c r="I233" t="n">
        <v>0</v>
      </c>
      <c r="J233" t="n">
        <v>0</v>
      </c>
      <c r="K233" t="n">
        <v>0</v>
      </c>
      <c r="L233" t="n">
        <v>0</v>
      </c>
      <c r="M233" t="n">
        <v>0</v>
      </c>
      <c r="N233" t="n">
        <v>0</v>
      </c>
      <c r="O233" t="n">
        <v>0</v>
      </c>
      <c r="P233" t="n">
        <v>0</v>
      </c>
      <c r="Q233" t="n">
        <v>0</v>
      </c>
      <c r="R233" s="2" t="inlineStr"/>
    </row>
    <row r="234" ht="15" customHeight="1">
      <c r="A234" t="inlineStr">
        <is>
          <t>A 63748-2025</t>
        </is>
      </c>
      <c r="B234" s="1" t="n">
        <v>46017.71640046296</v>
      </c>
      <c r="C234" s="1" t="n">
        <v>46066</v>
      </c>
      <c r="D234" t="inlineStr">
        <is>
          <t>VÄSTMANLANDS LÄN</t>
        </is>
      </c>
      <c r="E234" t="inlineStr">
        <is>
          <t>SALA</t>
        </is>
      </c>
      <c r="G234" t="n">
        <v>1.6</v>
      </c>
      <c r="H234" t="n">
        <v>0</v>
      </c>
      <c r="I234" t="n">
        <v>0</v>
      </c>
      <c r="J234" t="n">
        <v>0</v>
      </c>
      <c r="K234" t="n">
        <v>0</v>
      </c>
      <c r="L234" t="n">
        <v>0</v>
      </c>
      <c r="M234" t="n">
        <v>0</v>
      </c>
      <c r="N234" t="n">
        <v>0</v>
      </c>
      <c r="O234" t="n">
        <v>0</v>
      </c>
      <c r="P234" t="n">
        <v>0</v>
      </c>
      <c r="Q234" t="n">
        <v>0</v>
      </c>
      <c r="R234" s="2" t="inlineStr"/>
    </row>
    <row r="235" ht="15" customHeight="1">
      <c r="A235" t="inlineStr">
        <is>
          <t>A 24463-2025</t>
        </is>
      </c>
      <c r="B235" s="1" t="n">
        <v>45798</v>
      </c>
      <c r="C235" s="1" t="n">
        <v>46066</v>
      </c>
      <c r="D235" t="inlineStr">
        <is>
          <t>VÄSTMANLANDS LÄN</t>
        </is>
      </c>
      <c r="E235" t="inlineStr">
        <is>
          <t>SALA</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14690-2025</t>
        </is>
      </c>
      <c r="B236" s="1" t="n">
        <v>45742.58212962963</v>
      </c>
      <c r="C236" s="1" t="n">
        <v>46066</v>
      </c>
      <c r="D236" t="inlineStr">
        <is>
          <t>VÄSTMANLANDS LÄN</t>
        </is>
      </c>
      <c r="E236" t="inlineStr">
        <is>
          <t>SALA</t>
        </is>
      </c>
      <c r="G236" t="n">
        <v>3.4</v>
      </c>
      <c r="H236" t="n">
        <v>0</v>
      </c>
      <c r="I236" t="n">
        <v>0</v>
      </c>
      <c r="J236" t="n">
        <v>0</v>
      </c>
      <c r="K236" t="n">
        <v>0</v>
      </c>
      <c r="L236" t="n">
        <v>0</v>
      </c>
      <c r="M236" t="n">
        <v>0</v>
      </c>
      <c r="N236" t="n">
        <v>0</v>
      </c>
      <c r="O236" t="n">
        <v>0</v>
      </c>
      <c r="P236" t="n">
        <v>0</v>
      </c>
      <c r="Q236" t="n">
        <v>0</v>
      </c>
      <c r="R236" s="2" t="inlineStr"/>
    </row>
    <row r="237" ht="15" customHeight="1">
      <c r="A237" t="inlineStr">
        <is>
          <t>A 7327-2026</t>
        </is>
      </c>
      <c r="B237" s="1" t="n">
        <v>46058.68371527778</v>
      </c>
      <c r="C237" s="1" t="n">
        <v>46066</v>
      </c>
      <c r="D237" t="inlineStr">
        <is>
          <t>VÄSTMANLANDS LÄN</t>
        </is>
      </c>
      <c r="E237" t="inlineStr">
        <is>
          <t>SALA</t>
        </is>
      </c>
      <c r="G237" t="n">
        <v>5.8</v>
      </c>
      <c r="H237" t="n">
        <v>0</v>
      </c>
      <c r="I237" t="n">
        <v>0</v>
      </c>
      <c r="J237" t="n">
        <v>0</v>
      </c>
      <c r="K237" t="n">
        <v>0</v>
      </c>
      <c r="L237" t="n">
        <v>0</v>
      </c>
      <c r="M237" t="n">
        <v>0</v>
      </c>
      <c r="N237" t="n">
        <v>0</v>
      </c>
      <c r="O237" t="n">
        <v>0</v>
      </c>
      <c r="P237" t="n">
        <v>0</v>
      </c>
      <c r="Q237" t="n">
        <v>0</v>
      </c>
      <c r="R237" s="2" t="inlineStr"/>
    </row>
    <row r="238" ht="15" customHeight="1">
      <c r="A238" t="inlineStr">
        <is>
          <t>A 7332-2026</t>
        </is>
      </c>
      <c r="B238" s="1" t="n">
        <v>46058.68884259259</v>
      </c>
      <c r="C238" s="1" t="n">
        <v>46066</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2521-2025</t>
        </is>
      </c>
      <c r="B239" s="1" t="n">
        <v>45674</v>
      </c>
      <c r="C239" s="1" t="n">
        <v>46066</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7654-2026</t>
        </is>
      </c>
      <c r="B240" s="1" t="n">
        <v>46062.38828703704</v>
      </c>
      <c r="C240" s="1" t="n">
        <v>46066</v>
      </c>
      <c r="D240" t="inlineStr">
        <is>
          <t>VÄSTMANLANDS LÄN</t>
        </is>
      </c>
      <c r="E240" t="inlineStr">
        <is>
          <t>SALA</t>
        </is>
      </c>
      <c r="G240" t="n">
        <v>4.5</v>
      </c>
      <c r="H240" t="n">
        <v>0</v>
      </c>
      <c r="I240" t="n">
        <v>0</v>
      </c>
      <c r="J240" t="n">
        <v>0</v>
      </c>
      <c r="K240" t="n">
        <v>0</v>
      </c>
      <c r="L240" t="n">
        <v>0</v>
      </c>
      <c r="M240" t="n">
        <v>0</v>
      </c>
      <c r="N240" t="n">
        <v>0</v>
      </c>
      <c r="O240" t="n">
        <v>0</v>
      </c>
      <c r="P240" t="n">
        <v>0</v>
      </c>
      <c r="Q240" t="n">
        <v>0</v>
      </c>
      <c r="R240" s="2" t="inlineStr"/>
    </row>
    <row r="241" ht="15" customHeight="1">
      <c r="A241" t="inlineStr">
        <is>
          <t>A 55065-2024</t>
        </is>
      </c>
      <c r="B241" s="1" t="n">
        <v>45618</v>
      </c>
      <c r="C241" s="1" t="n">
        <v>46066</v>
      </c>
      <c r="D241" t="inlineStr">
        <is>
          <t>VÄSTMANLANDS LÄN</t>
        </is>
      </c>
      <c r="E241" t="inlineStr">
        <is>
          <t>SALA</t>
        </is>
      </c>
      <c r="G241" t="n">
        <v>3.5</v>
      </c>
      <c r="H241" t="n">
        <v>0</v>
      </c>
      <c r="I241" t="n">
        <v>0</v>
      </c>
      <c r="J241" t="n">
        <v>0</v>
      </c>
      <c r="K241" t="n">
        <v>0</v>
      </c>
      <c r="L241" t="n">
        <v>0</v>
      </c>
      <c r="M241" t="n">
        <v>0</v>
      </c>
      <c r="N241" t="n">
        <v>0</v>
      </c>
      <c r="O241" t="n">
        <v>0</v>
      </c>
      <c r="P241" t="n">
        <v>0</v>
      </c>
      <c r="Q241" t="n">
        <v>0</v>
      </c>
      <c r="R241" s="2" t="inlineStr"/>
    </row>
    <row r="242" ht="15" customHeight="1">
      <c r="A242" t="inlineStr">
        <is>
          <t>A 38574-2025</t>
        </is>
      </c>
      <c r="B242" s="1" t="n">
        <v>45884.46390046296</v>
      </c>
      <c r="C242" s="1" t="n">
        <v>46066</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24907-2025</t>
        </is>
      </c>
      <c r="B243" s="1" t="n">
        <v>45799</v>
      </c>
      <c r="C243" s="1" t="n">
        <v>46066</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24910-2025</t>
        </is>
      </c>
      <c r="B244" s="1" t="n">
        <v>45799.53775462963</v>
      </c>
      <c r="C244" s="1" t="n">
        <v>46066</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60548-2024</t>
        </is>
      </c>
      <c r="B245" s="1" t="n">
        <v>45643.80978009259</v>
      </c>
      <c r="C245" s="1" t="n">
        <v>46066</v>
      </c>
      <c r="D245" t="inlineStr">
        <is>
          <t>VÄSTMANLANDS LÄN</t>
        </is>
      </c>
      <c r="E245" t="inlineStr">
        <is>
          <t>SALA</t>
        </is>
      </c>
      <c r="G245" t="n">
        <v>1.6</v>
      </c>
      <c r="H245" t="n">
        <v>0</v>
      </c>
      <c r="I245" t="n">
        <v>0</v>
      </c>
      <c r="J245" t="n">
        <v>0</v>
      </c>
      <c r="K245" t="n">
        <v>0</v>
      </c>
      <c r="L245" t="n">
        <v>0</v>
      </c>
      <c r="M245" t="n">
        <v>0</v>
      </c>
      <c r="N245" t="n">
        <v>0</v>
      </c>
      <c r="O245" t="n">
        <v>0</v>
      </c>
      <c r="P245" t="n">
        <v>0</v>
      </c>
      <c r="Q245" t="n">
        <v>0</v>
      </c>
      <c r="R245" s="2" t="inlineStr"/>
    </row>
    <row r="246" ht="15" customHeight="1">
      <c r="A246" t="inlineStr">
        <is>
          <t>A 7680-2026</t>
        </is>
      </c>
      <c r="B246" s="1" t="n">
        <v>46062.43087962963</v>
      </c>
      <c r="C246" s="1" t="n">
        <v>46066</v>
      </c>
      <c r="D246" t="inlineStr">
        <is>
          <t>VÄSTMANLANDS LÄN</t>
        </is>
      </c>
      <c r="E246" t="inlineStr">
        <is>
          <t>SALA</t>
        </is>
      </c>
      <c r="G246" t="n">
        <v>2.7</v>
      </c>
      <c r="H246" t="n">
        <v>0</v>
      </c>
      <c r="I246" t="n">
        <v>0</v>
      </c>
      <c r="J246" t="n">
        <v>0</v>
      </c>
      <c r="K246" t="n">
        <v>0</v>
      </c>
      <c r="L246" t="n">
        <v>0</v>
      </c>
      <c r="M246" t="n">
        <v>0</v>
      </c>
      <c r="N246" t="n">
        <v>0</v>
      </c>
      <c r="O246" t="n">
        <v>0</v>
      </c>
      <c r="P246" t="n">
        <v>0</v>
      </c>
      <c r="Q246" t="n">
        <v>0</v>
      </c>
      <c r="R246" s="2" t="inlineStr"/>
    </row>
    <row r="247" ht="15" customHeight="1">
      <c r="A247" t="inlineStr">
        <is>
          <t>A 26761-2023</t>
        </is>
      </c>
      <c r="B247" s="1" t="n">
        <v>45093</v>
      </c>
      <c r="C247" s="1" t="n">
        <v>46066</v>
      </c>
      <c r="D247" t="inlineStr">
        <is>
          <t>VÄSTMANLANDS LÄN</t>
        </is>
      </c>
      <c r="E247" t="inlineStr">
        <is>
          <t>SALA</t>
        </is>
      </c>
      <c r="G247" t="n">
        <v>4.3</v>
      </c>
      <c r="H247" t="n">
        <v>0</v>
      </c>
      <c r="I247" t="n">
        <v>0</v>
      </c>
      <c r="J247" t="n">
        <v>0</v>
      </c>
      <c r="K247" t="n">
        <v>0</v>
      </c>
      <c r="L247" t="n">
        <v>0</v>
      </c>
      <c r="M247" t="n">
        <v>0</v>
      </c>
      <c r="N247" t="n">
        <v>0</v>
      </c>
      <c r="O247" t="n">
        <v>0</v>
      </c>
      <c r="P247" t="n">
        <v>0</v>
      </c>
      <c r="Q247" t="n">
        <v>0</v>
      </c>
      <c r="R247" s="2" t="inlineStr"/>
    </row>
    <row r="248" ht="15" customHeight="1">
      <c r="A248" t="inlineStr">
        <is>
          <t>A 7595-2026</t>
        </is>
      </c>
      <c r="B248" s="1" t="n">
        <v>46061.90009259259</v>
      </c>
      <c r="C248" s="1" t="n">
        <v>46066</v>
      </c>
      <c r="D248" t="inlineStr">
        <is>
          <t>VÄSTMANLANDS LÄN</t>
        </is>
      </c>
      <c r="E248" t="inlineStr">
        <is>
          <t>SALA</t>
        </is>
      </c>
      <c r="G248" t="n">
        <v>1.2</v>
      </c>
      <c r="H248" t="n">
        <v>0</v>
      </c>
      <c r="I248" t="n">
        <v>0</v>
      </c>
      <c r="J248" t="n">
        <v>0</v>
      </c>
      <c r="K248" t="n">
        <v>0</v>
      </c>
      <c r="L248" t="n">
        <v>0</v>
      </c>
      <c r="M248" t="n">
        <v>0</v>
      </c>
      <c r="N248" t="n">
        <v>0</v>
      </c>
      <c r="O248" t="n">
        <v>0</v>
      </c>
      <c r="P248" t="n">
        <v>0</v>
      </c>
      <c r="Q248" t="n">
        <v>0</v>
      </c>
      <c r="R248" s="2" t="inlineStr"/>
    </row>
    <row r="249" ht="15" customHeight="1">
      <c r="A249" t="inlineStr">
        <is>
          <t>A 4214-2026</t>
        </is>
      </c>
      <c r="B249" s="1" t="n">
        <v>46044.76459490741</v>
      </c>
      <c r="C249" s="1" t="n">
        <v>46066</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7588-2026</t>
        </is>
      </c>
      <c r="B250" s="1" t="n">
        <v>46061.83528935185</v>
      </c>
      <c r="C250" s="1" t="n">
        <v>46066</v>
      </c>
      <c r="D250" t="inlineStr">
        <is>
          <t>VÄSTMANLANDS LÄN</t>
        </is>
      </c>
      <c r="E250" t="inlineStr">
        <is>
          <t>SALA</t>
        </is>
      </c>
      <c r="G250" t="n">
        <v>2.8</v>
      </c>
      <c r="H250" t="n">
        <v>0</v>
      </c>
      <c r="I250" t="n">
        <v>0</v>
      </c>
      <c r="J250" t="n">
        <v>0</v>
      </c>
      <c r="K250" t="n">
        <v>0</v>
      </c>
      <c r="L250" t="n">
        <v>0</v>
      </c>
      <c r="M250" t="n">
        <v>0</v>
      </c>
      <c r="N250" t="n">
        <v>0</v>
      </c>
      <c r="O250" t="n">
        <v>0</v>
      </c>
      <c r="P250" t="n">
        <v>0</v>
      </c>
      <c r="Q250" t="n">
        <v>0</v>
      </c>
      <c r="R250" s="2" t="inlineStr"/>
    </row>
    <row r="251" ht="15" customHeight="1">
      <c r="A251" t="inlineStr">
        <is>
          <t>A 7593-2026</t>
        </is>
      </c>
      <c r="B251" s="1" t="n">
        <v>46061.88057870371</v>
      </c>
      <c r="C251" s="1" t="n">
        <v>46066</v>
      </c>
      <c r="D251" t="inlineStr">
        <is>
          <t>VÄSTMANLANDS LÄN</t>
        </is>
      </c>
      <c r="E251" t="inlineStr">
        <is>
          <t>SALA</t>
        </is>
      </c>
      <c r="G251" t="n">
        <v>7.5</v>
      </c>
      <c r="H251" t="n">
        <v>0</v>
      </c>
      <c r="I251" t="n">
        <v>0</v>
      </c>
      <c r="J251" t="n">
        <v>0</v>
      </c>
      <c r="K251" t="n">
        <v>0</v>
      </c>
      <c r="L251" t="n">
        <v>0</v>
      </c>
      <c r="M251" t="n">
        <v>0</v>
      </c>
      <c r="N251" t="n">
        <v>0</v>
      </c>
      <c r="O251" t="n">
        <v>0</v>
      </c>
      <c r="P251" t="n">
        <v>0</v>
      </c>
      <c r="Q251" t="n">
        <v>0</v>
      </c>
      <c r="R251" s="2" t="inlineStr"/>
    </row>
    <row r="252" ht="15" customHeight="1">
      <c r="A252" t="inlineStr">
        <is>
          <t>A 7597-2026</t>
        </is>
      </c>
      <c r="B252" s="1" t="n">
        <v>46061.91765046296</v>
      </c>
      <c r="C252" s="1" t="n">
        <v>46066</v>
      </c>
      <c r="D252" t="inlineStr">
        <is>
          <t>VÄSTMANLANDS LÄN</t>
        </is>
      </c>
      <c r="E252" t="inlineStr">
        <is>
          <t>SALA</t>
        </is>
      </c>
      <c r="G252" t="n">
        <v>0.6</v>
      </c>
      <c r="H252" t="n">
        <v>0</v>
      </c>
      <c r="I252" t="n">
        <v>0</v>
      </c>
      <c r="J252" t="n">
        <v>0</v>
      </c>
      <c r="K252" t="n">
        <v>0</v>
      </c>
      <c r="L252" t="n">
        <v>0</v>
      </c>
      <c r="M252" t="n">
        <v>0</v>
      </c>
      <c r="N252" t="n">
        <v>0</v>
      </c>
      <c r="O252" t="n">
        <v>0</v>
      </c>
      <c r="P252" t="n">
        <v>0</v>
      </c>
      <c r="Q252" t="n">
        <v>0</v>
      </c>
      <c r="R252" s="2" t="inlineStr"/>
    </row>
    <row r="253" ht="15" customHeight="1">
      <c r="A253" t="inlineStr">
        <is>
          <t>A 55035-2023</t>
        </is>
      </c>
      <c r="B253" s="1" t="n">
        <v>45229</v>
      </c>
      <c r="C253" s="1" t="n">
        <v>46066</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7850-2026</t>
        </is>
      </c>
      <c r="B254" s="1" t="n">
        <v>46062.66236111111</v>
      </c>
      <c r="C254" s="1" t="n">
        <v>46066</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7611-2026</t>
        </is>
      </c>
      <c r="B255" s="1" t="n">
        <v>46062.32387731481</v>
      </c>
      <c r="C255" s="1" t="n">
        <v>46066</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60249-2023</t>
        </is>
      </c>
      <c r="B256" s="1" t="n">
        <v>45258</v>
      </c>
      <c r="C256" s="1" t="n">
        <v>46066</v>
      </c>
      <c r="D256" t="inlineStr">
        <is>
          <t>VÄSTMANLANDS LÄN</t>
        </is>
      </c>
      <c r="E256" t="inlineStr">
        <is>
          <t>SALA</t>
        </is>
      </c>
      <c r="G256" t="n">
        <v>2</v>
      </c>
      <c r="H256" t="n">
        <v>0</v>
      </c>
      <c r="I256" t="n">
        <v>0</v>
      </c>
      <c r="J256" t="n">
        <v>0</v>
      </c>
      <c r="K256" t="n">
        <v>0</v>
      </c>
      <c r="L256" t="n">
        <v>0</v>
      </c>
      <c r="M256" t="n">
        <v>0</v>
      </c>
      <c r="N256" t="n">
        <v>0</v>
      </c>
      <c r="O256" t="n">
        <v>0</v>
      </c>
      <c r="P256" t="n">
        <v>0</v>
      </c>
      <c r="Q256" t="n">
        <v>0</v>
      </c>
      <c r="R256" s="2" t="inlineStr"/>
    </row>
    <row r="257" ht="15" customHeight="1">
      <c r="A257" t="inlineStr">
        <is>
          <t>A 31864-2025</t>
        </is>
      </c>
      <c r="B257" s="1" t="n">
        <v>45834.63819444444</v>
      </c>
      <c r="C257" s="1" t="n">
        <v>46066</v>
      </c>
      <c r="D257" t="inlineStr">
        <is>
          <t>VÄSTMANLANDS LÄN</t>
        </is>
      </c>
      <c r="E257" t="inlineStr">
        <is>
          <t>SALA</t>
        </is>
      </c>
      <c r="G257" t="n">
        <v>6.3</v>
      </c>
      <c r="H257" t="n">
        <v>0</v>
      </c>
      <c r="I257" t="n">
        <v>0</v>
      </c>
      <c r="J257" t="n">
        <v>0</v>
      </c>
      <c r="K257" t="n">
        <v>0</v>
      </c>
      <c r="L257" t="n">
        <v>0</v>
      </c>
      <c r="M257" t="n">
        <v>0</v>
      </c>
      <c r="N257" t="n">
        <v>0</v>
      </c>
      <c r="O257" t="n">
        <v>0</v>
      </c>
      <c r="P257" t="n">
        <v>0</v>
      </c>
      <c r="Q257" t="n">
        <v>0</v>
      </c>
      <c r="R257" s="2" t="inlineStr"/>
    </row>
    <row r="258" ht="15" customHeight="1">
      <c r="A258" t="inlineStr">
        <is>
          <t>A 7676-2026</t>
        </is>
      </c>
      <c r="B258" s="1" t="n">
        <v>46062.42498842593</v>
      </c>
      <c r="C258" s="1" t="n">
        <v>46066</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10909-2024</t>
        </is>
      </c>
      <c r="B259" s="1" t="n">
        <v>45370</v>
      </c>
      <c r="C259" s="1" t="n">
        <v>46066</v>
      </c>
      <c r="D259" t="inlineStr">
        <is>
          <t>VÄSTMANLANDS LÄN</t>
        </is>
      </c>
      <c r="E259" t="inlineStr">
        <is>
          <t>SALA</t>
        </is>
      </c>
      <c r="G259" t="n">
        <v>3.3</v>
      </c>
      <c r="H259" t="n">
        <v>0</v>
      </c>
      <c r="I259" t="n">
        <v>0</v>
      </c>
      <c r="J259" t="n">
        <v>0</v>
      </c>
      <c r="K259" t="n">
        <v>0</v>
      </c>
      <c r="L259" t="n">
        <v>0</v>
      </c>
      <c r="M259" t="n">
        <v>0</v>
      </c>
      <c r="N259" t="n">
        <v>0</v>
      </c>
      <c r="O259" t="n">
        <v>0</v>
      </c>
      <c r="P259" t="n">
        <v>0</v>
      </c>
      <c r="Q259" t="n">
        <v>0</v>
      </c>
      <c r="R259" s="2" t="inlineStr"/>
    </row>
    <row r="260" ht="15" customHeight="1">
      <c r="A260" t="inlineStr">
        <is>
          <t>A 7661-2026</t>
        </is>
      </c>
      <c r="B260" s="1" t="n">
        <v>46062.39614583334</v>
      </c>
      <c r="C260" s="1" t="n">
        <v>46066</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16651-2021</t>
        </is>
      </c>
      <c r="B261" s="1" t="n">
        <v>44294.50096064815</v>
      </c>
      <c r="C261" s="1" t="n">
        <v>46066</v>
      </c>
      <c r="D261" t="inlineStr">
        <is>
          <t>VÄSTMANLANDS LÄN</t>
        </is>
      </c>
      <c r="E261" t="inlineStr">
        <is>
          <t>SALA</t>
        </is>
      </c>
      <c r="G261" t="n">
        <v>7.7</v>
      </c>
      <c r="H261" t="n">
        <v>0</v>
      </c>
      <c r="I261" t="n">
        <v>0</v>
      </c>
      <c r="J261" t="n">
        <v>0</v>
      </c>
      <c r="K261" t="n">
        <v>0</v>
      </c>
      <c r="L261" t="n">
        <v>0</v>
      </c>
      <c r="M261" t="n">
        <v>0</v>
      </c>
      <c r="N261" t="n">
        <v>0</v>
      </c>
      <c r="O261" t="n">
        <v>0</v>
      </c>
      <c r="P261" t="n">
        <v>0</v>
      </c>
      <c r="Q261" t="n">
        <v>0</v>
      </c>
      <c r="R261" s="2" t="inlineStr"/>
    </row>
    <row r="262" ht="15" customHeight="1">
      <c r="A262" t="inlineStr">
        <is>
          <t>A 7584-2026</t>
        </is>
      </c>
      <c r="B262" s="1" t="n">
        <v>46061.81653935185</v>
      </c>
      <c r="C262" s="1" t="n">
        <v>46066</v>
      </c>
      <c r="D262" t="inlineStr">
        <is>
          <t>VÄSTMANLANDS LÄN</t>
        </is>
      </c>
      <c r="E262" t="inlineStr">
        <is>
          <t>SALA</t>
        </is>
      </c>
      <c r="G262" t="n">
        <v>16.7</v>
      </c>
      <c r="H262" t="n">
        <v>0</v>
      </c>
      <c r="I262" t="n">
        <v>0</v>
      </c>
      <c r="J262" t="n">
        <v>0</v>
      </c>
      <c r="K262" t="n">
        <v>0</v>
      </c>
      <c r="L262" t="n">
        <v>0</v>
      </c>
      <c r="M262" t="n">
        <v>0</v>
      </c>
      <c r="N262" t="n">
        <v>0</v>
      </c>
      <c r="O262" t="n">
        <v>0</v>
      </c>
      <c r="P262" t="n">
        <v>0</v>
      </c>
      <c r="Q262" t="n">
        <v>0</v>
      </c>
      <c r="R262" s="2" t="inlineStr"/>
    </row>
    <row r="263" ht="15" customHeight="1">
      <c r="A263" t="inlineStr">
        <is>
          <t>A 7590-2026</t>
        </is>
      </c>
      <c r="B263" s="1" t="n">
        <v>46061.85252314815</v>
      </c>
      <c r="C263" s="1" t="n">
        <v>46066</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7596-2026</t>
        </is>
      </c>
      <c r="B264" s="1" t="n">
        <v>46061.90922453703</v>
      </c>
      <c r="C264" s="1" t="n">
        <v>46066</v>
      </c>
      <c r="D264" t="inlineStr">
        <is>
          <t>VÄSTMANLANDS LÄN</t>
        </is>
      </c>
      <c r="E264" t="inlineStr">
        <is>
          <t>SALA</t>
        </is>
      </c>
      <c r="G264" t="n">
        <v>3.1</v>
      </c>
      <c r="H264" t="n">
        <v>0</v>
      </c>
      <c r="I264" t="n">
        <v>0</v>
      </c>
      <c r="J264" t="n">
        <v>0</v>
      </c>
      <c r="K264" t="n">
        <v>0</v>
      </c>
      <c r="L264" t="n">
        <v>0</v>
      </c>
      <c r="M264" t="n">
        <v>0</v>
      </c>
      <c r="N264" t="n">
        <v>0</v>
      </c>
      <c r="O264" t="n">
        <v>0</v>
      </c>
      <c r="P264" t="n">
        <v>0</v>
      </c>
      <c r="Q264" t="n">
        <v>0</v>
      </c>
      <c r="R264" s="2" t="inlineStr"/>
    </row>
    <row r="265" ht="15" customHeight="1">
      <c r="A265" t="inlineStr">
        <is>
          <t>A 31597-2024</t>
        </is>
      </c>
      <c r="B265" s="1" t="n">
        <v>45506</v>
      </c>
      <c r="C265" s="1" t="n">
        <v>46066</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31599-2024</t>
        </is>
      </c>
      <c r="B266" s="1" t="n">
        <v>45506</v>
      </c>
      <c r="C266" s="1" t="n">
        <v>46066</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31601-2024</t>
        </is>
      </c>
      <c r="B267" s="1" t="n">
        <v>45506</v>
      </c>
      <c r="C267" s="1" t="n">
        <v>46066</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31608-2024</t>
        </is>
      </c>
      <c r="B268" s="1" t="n">
        <v>45506</v>
      </c>
      <c r="C268" s="1" t="n">
        <v>46066</v>
      </c>
      <c r="D268" t="inlineStr">
        <is>
          <t>VÄSTMANLANDS LÄN</t>
        </is>
      </c>
      <c r="E268" t="inlineStr">
        <is>
          <t>SALA</t>
        </is>
      </c>
      <c r="G268" t="n">
        <v>1.7</v>
      </c>
      <c r="H268" t="n">
        <v>0</v>
      </c>
      <c r="I268" t="n">
        <v>0</v>
      </c>
      <c r="J268" t="n">
        <v>0</v>
      </c>
      <c r="K268" t="n">
        <v>0</v>
      </c>
      <c r="L268" t="n">
        <v>0</v>
      </c>
      <c r="M268" t="n">
        <v>0</v>
      </c>
      <c r="N268" t="n">
        <v>0</v>
      </c>
      <c r="O268" t="n">
        <v>0</v>
      </c>
      <c r="P268" t="n">
        <v>0</v>
      </c>
      <c r="Q268" t="n">
        <v>0</v>
      </c>
      <c r="R268" s="2" t="inlineStr"/>
    </row>
    <row r="269" ht="15" customHeight="1">
      <c r="A269" t="inlineStr">
        <is>
          <t>A 31612-2024</t>
        </is>
      </c>
      <c r="B269" s="1" t="n">
        <v>45506</v>
      </c>
      <c r="C269" s="1" t="n">
        <v>46066</v>
      </c>
      <c r="D269" t="inlineStr">
        <is>
          <t>VÄSTMANLANDS LÄN</t>
        </is>
      </c>
      <c r="E269" t="inlineStr">
        <is>
          <t>SALA</t>
        </is>
      </c>
      <c r="G269" t="n">
        <v>3.2</v>
      </c>
      <c r="H269" t="n">
        <v>0</v>
      </c>
      <c r="I269" t="n">
        <v>0</v>
      </c>
      <c r="J269" t="n">
        <v>0</v>
      </c>
      <c r="K269" t="n">
        <v>0</v>
      </c>
      <c r="L269" t="n">
        <v>0</v>
      </c>
      <c r="M269" t="n">
        <v>0</v>
      </c>
      <c r="N269" t="n">
        <v>0</v>
      </c>
      <c r="O269" t="n">
        <v>0</v>
      </c>
      <c r="P269" t="n">
        <v>0</v>
      </c>
      <c r="Q269" t="n">
        <v>0</v>
      </c>
      <c r="R269" s="2" t="inlineStr"/>
    </row>
    <row r="270" ht="15" customHeight="1">
      <c r="A270" t="inlineStr">
        <is>
          <t>A 52500-2024</t>
        </is>
      </c>
      <c r="B270" s="1" t="n">
        <v>45609</v>
      </c>
      <c r="C270" s="1" t="n">
        <v>46066</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56949-2023</t>
        </is>
      </c>
      <c r="B271" s="1" t="n">
        <v>45244.61589120371</v>
      </c>
      <c r="C271" s="1" t="n">
        <v>46066</v>
      </c>
      <c r="D271" t="inlineStr">
        <is>
          <t>VÄSTMANLANDS LÄN</t>
        </is>
      </c>
      <c r="E271" t="inlineStr">
        <is>
          <t>SALA</t>
        </is>
      </c>
      <c r="G271" t="n">
        <v>4.7</v>
      </c>
      <c r="H271" t="n">
        <v>0</v>
      </c>
      <c r="I271" t="n">
        <v>0</v>
      </c>
      <c r="J271" t="n">
        <v>0</v>
      </c>
      <c r="K271" t="n">
        <v>0</v>
      </c>
      <c r="L271" t="n">
        <v>0</v>
      </c>
      <c r="M271" t="n">
        <v>0</v>
      </c>
      <c r="N271" t="n">
        <v>0</v>
      </c>
      <c r="O271" t="n">
        <v>0</v>
      </c>
      <c r="P271" t="n">
        <v>0</v>
      </c>
      <c r="Q271" t="n">
        <v>0</v>
      </c>
      <c r="R271" s="2" t="inlineStr"/>
    </row>
    <row r="272" ht="15" customHeight="1">
      <c r="A272" t="inlineStr">
        <is>
          <t>A 26661-2025</t>
        </is>
      </c>
      <c r="B272" s="1" t="n">
        <v>45810</v>
      </c>
      <c r="C272" s="1" t="n">
        <v>46066</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4683-2026</t>
        </is>
      </c>
      <c r="B273" s="1" t="n">
        <v>46048.43489583334</v>
      </c>
      <c r="C273" s="1" t="n">
        <v>46066</v>
      </c>
      <c r="D273" t="inlineStr">
        <is>
          <t>VÄSTMANLANDS LÄN</t>
        </is>
      </c>
      <c r="E273" t="inlineStr">
        <is>
          <t>SALA</t>
        </is>
      </c>
      <c r="G273" t="n">
        <v>0.6</v>
      </c>
      <c r="H273" t="n">
        <v>0</v>
      </c>
      <c r="I273" t="n">
        <v>0</v>
      </c>
      <c r="J273" t="n">
        <v>0</v>
      </c>
      <c r="K273" t="n">
        <v>0</v>
      </c>
      <c r="L273" t="n">
        <v>0</v>
      </c>
      <c r="M273" t="n">
        <v>0</v>
      </c>
      <c r="N273" t="n">
        <v>0</v>
      </c>
      <c r="O273" t="n">
        <v>0</v>
      </c>
      <c r="P273" t="n">
        <v>0</v>
      </c>
      <c r="Q273" t="n">
        <v>0</v>
      </c>
      <c r="R273" s="2" t="inlineStr"/>
    </row>
    <row r="274" ht="15" customHeight="1">
      <c r="A274" t="inlineStr">
        <is>
          <t>A 96-2024</t>
        </is>
      </c>
      <c r="B274" s="1" t="n">
        <v>45293.85872685185</v>
      </c>
      <c r="C274" s="1" t="n">
        <v>46066</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54118-2023</t>
        </is>
      </c>
      <c r="B275" s="1" t="n">
        <v>45232</v>
      </c>
      <c r="C275" s="1" t="n">
        <v>46066</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34814-2021</t>
        </is>
      </c>
      <c r="B276" s="1" t="n">
        <v>44383</v>
      </c>
      <c r="C276" s="1" t="n">
        <v>46066</v>
      </c>
      <c r="D276" t="inlineStr">
        <is>
          <t>VÄSTMANLANDS LÄN</t>
        </is>
      </c>
      <c r="E276" t="inlineStr">
        <is>
          <t>SALA</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25748-2022</t>
        </is>
      </c>
      <c r="B277" s="1" t="n">
        <v>44732</v>
      </c>
      <c r="C277" s="1" t="n">
        <v>46066</v>
      </c>
      <c r="D277" t="inlineStr">
        <is>
          <t>VÄSTMANLANDS LÄN</t>
        </is>
      </c>
      <c r="E277" t="inlineStr">
        <is>
          <t>SALA</t>
        </is>
      </c>
      <c r="G277" t="n">
        <v>7.7</v>
      </c>
      <c r="H277" t="n">
        <v>0</v>
      </c>
      <c r="I277" t="n">
        <v>0</v>
      </c>
      <c r="J277" t="n">
        <v>0</v>
      </c>
      <c r="K277" t="n">
        <v>0</v>
      </c>
      <c r="L277" t="n">
        <v>0</v>
      </c>
      <c r="M277" t="n">
        <v>0</v>
      </c>
      <c r="N277" t="n">
        <v>0</v>
      </c>
      <c r="O277" t="n">
        <v>0</v>
      </c>
      <c r="P277" t="n">
        <v>0</v>
      </c>
      <c r="Q277" t="n">
        <v>0</v>
      </c>
      <c r="R277" s="2" t="inlineStr"/>
    </row>
    <row r="278" ht="15" customHeight="1">
      <c r="A278" t="inlineStr">
        <is>
          <t>A 39167-2025</t>
        </is>
      </c>
      <c r="B278" s="1" t="n">
        <v>45888</v>
      </c>
      <c r="C278" s="1" t="n">
        <v>46066</v>
      </c>
      <c r="D278" t="inlineStr">
        <is>
          <t>VÄSTMANLANDS LÄN</t>
        </is>
      </c>
      <c r="E278" t="inlineStr">
        <is>
          <t>SALA</t>
        </is>
      </c>
      <c r="G278" t="n">
        <v>5.5</v>
      </c>
      <c r="H278" t="n">
        <v>0</v>
      </c>
      <c r="I278" t="n">
        <v>0</v>
      </c>
      <c r="J278" t="n">
        <v>0</v>
      </c>
      <c r="K278" t="n">
        <v>0</v>
      </c>
      <c r="L278" t="n">
        <v>0</v>
      </c>
      <c r="M278" t="n">
        <v>0</v>
      </c>
      <c r="N278" t="n">
        <v>0</v>
      </c>
      <c r="O278" t="n">
        <v>0</v>
      </c>
      <c r="P278" t="n">
        <v>0</v>
      </c>
      <c r="Q278" t="n">
        <v>0</v>
      </c>
      <c r="R278" s="2" t="inlineStr"/>
    </row>
    <row r="279" ht="15" customHeight="1">
      <c r="A279" t="inlineStr">
        <is>
          <t>A 39182-2025</t>
        </is>
      </c>
      <c r="B279" s="1" t="n">
        <v>45888.66204861111</v>
      </c>
      <c r="C279" s="1" t="n">
        <v>46066</v>
      </c>
      <c r="D279" t="inlineStr">
        <is>
          <t>VÄSTMANLANDS LÄN</t>
        </is>
      </c>
      <c r="E279" t="inlineStr">
        <is>
          <t>SALA</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3733-2023</t>
        </is>
      </c>
      <c r="B280" s="1" t="n">
        <v>44951.42501157407</v>
      </c>
      <c r="C280" s="1" t="n">
        <v>46066</v>
      </c>
      <c r="D280" t="inlineStr">
        <is>
          <t>VÄSTMANLANDS LÄN</t>
        </is>
      </c>
      <c r="E280" t="inlineStr">
        <is>
          <t>SALA</t>
        </is>
      </c>
      <c r="G280" t="n">
        <v>3.1</v>
      </c>
      <c r="H280" t="n">
        <v>0</v>
      </c>
      <c r="I280" t="n">
        <v>0</v>
      </c>
      <c r="J280" t="n">
        <v>0</v>
      </c>
      <c r="K280" t="n">
        <v>0</v>
      </c>
      <c r="L280" t="n">
        <v>0</v>
      </c>
      <c r="M280" t="n">
        <v>0</v>
      </c>
      <c r="N280" t="n">
        <v>0</v>
      </c>
      <c r="O280" t="n">
        <v>0</v>
      </c>
      <c r="P280" t="n">
        <v>0</v>
      </c>
      <c r="Q280" t="n">
        <v>0</v>
      </c>
      <c r="R280" s="2" t="inlineStr"/>
    </row>
    <row r="281" ht="15" customHeight="1">
      <c r="A281" t="inlineStr">
        <is>
          <t>A 6136-2025</t>
        </is>
      </c>
      <c r="B281" s="1" t="n">
        <v>45698.37601851852</v>
      </c>
      <c r="C281" s="1" t="n">
        <v>46066</v>
      </c>
      <c r="D281" t="inlineStr">
        <is>
          <t>VÄSTMANLANDS LÄN</t>
        </is>
      </c>
      <c r="E281" t="inlineStr">
        <is>
          <t>SALA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6190-2025</t>
        </is>
      </c>
      <c r="B282" s="1" t="n">
        <v>45698</v>
      </c>
      <c r="C282" s="1" t="n">
        <v>46066</v>
      </c>
      <c r="D282" t="inlineStr">
        <is>
          <t>VÄSTMANLANDS LÄN</t>
        </is>
      </c>
      <c r="E282" t="inlineStr">
        <is>
          <t>SALA</t>
        </is>
      </c>
      <c r="F282" t="inlineStr">
        <is>
          <t>Bergvik skog öst AB</t>
        </is>
      </c>
      <c r="G282" t="n">
        <v>4.6</v>
      </c>
      <c r="H282" t="n">
        <v>0</v>
      </c>
      <c r="I282" t="n">
        <v>0</v>
      </c>
      <c r="J282" t="n">
        <v>0</v>
      </c>
      <c r="K282" t="n">
        <v>0</v>
      </c>
      <c r="L282" t="n">
        <v>0</v>
      </c>
      <c r="M282" t="n">
        <v>0</v>
      </c>
      <c r="N282" t="n">
        <v>0</v>
      </c>
      <c r="O282" t="n">
        <v>0</v>
      </c>
      <c r="P282" t="n">
        <v>0</v>
      </c>
      <c r="Q282" t="n">
        <v>0</v>
      </c>
      <c r="R282" s="2" t="inlineStr"/>
    </row>
    <row r="283" ht="15" customHeight="1">
      <c r="A283" t="inlineStr">
        <is>
          <t>A 27989-2025</t>
        </is>
      </c>
      <c r="B283" s="1" t="n">
        <v>45817.58716435185</v>
      </c>
      <c r="C283" s="1" t="n">
        <v>46066</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16760-2024</t>
        </is>
      </c>
      <c r="B284" s="1" t="n">
        <v>45411</v>
      </c>
      <c r="C284" s="1" t="n">
        <v>46066</v>
      </c>
      <c r="D284" t="inlineStr">
        <is>
          <t>VÄSTMANLANDS LÄN</t>
        </is>
      </c>
      <c r="E284" t="inlineStr">
        <is>
          <t>SALA</t>
        </is>
      </c>
      <c r="G284" t="n">
        <v>2.6</v>
      </c>
      <c r="H284" t="n">
        <v>0</v>
      </c>
      <c r="I284" t="n">
        <v>0</v>
      </c>
      <c r="J284" t="n">
        <v>0</v>
      </c>
      <c r="K284" t="n">
        <v>0</v>
      </c>
      <c r="L284" t="n">
        <v>0</v>
      </c>
      <c r="M284" t="n">
        <v>0</v>
      </c>
      <c r="N284" t="n">
        <v>0</v>
      </c>
      <c r="O284" t="n">
        <v>0</v>
      </c>
      <c r="P284" t="n">
        <v>0</v>
      </c>
      <c r="Q284" t="n">
        <v>0</v>
      </c>
      <c r="R284" s="2" t="inlineStr"/>
    </row>
    <row r="285" ht="15" customHeight="1">
      <c r="A285" t="inlineStr">
        <is>
          <t>A 27981-2025</t>
        </is>
      </c>
      <c r="B285" s="1" t="n">
        <v>45817.57471064815</v>
      </c>
      <c r="C285" s="1" t="n">
        <v>46066</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28193-2025</t>
        </is>
      </c>
      <c r="B286" s="1" t="n">
        <v>45818.425625</v>
      </c>
      <c r="C286" s="1" t="n">
        <v>46066</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28284-2025</t>
        </is>
      </c>
      <c r="B287" s="1" t="n">
        <v>45818.58893518519</v>
      </c>
      <c r="C287" s="1" t="n">
        <v>46066</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28278-2025</t>
        </is>
      </c>
      <c r="B288" s="1" t="n">
        <v>45818.58454861111</v>
      </c>
      <c r="C288" s="1" t="n">
        <v>46066</v>
      </c>
      <c r="D288" t="inlineStr">
        <is>
          <t>VÄSTMANLANDS LÄN</t>
        </is>
      </c>
      <c r="E288" t="inlineStr">
        <is>
          <t>SALA</t>
        </is>
      </c>
      <c r="G288" t="n">
        <v>7.6</v>
      </c>
      <c r="H288" t="n">
        <v>0</v>
      </c>
      <c r="I288" t="n">
        <v>0</v>
      </c>
      <c r="J288" t="n">
        <v>0</v>
      </c>
      <c r="K288" t="n">
        <v>0</v>
      </c>
      <c r="L288" t="n">
        <v>0</v>
      </c>
      <c r="M288" t="n">
        <v>0</v>
      </c>
      <c r="N288" t="n">
        <v>0</v>
      </c>
      <c r="O288" t="n">
        <v>0</v>
      </c>
      <c r="P288" t="n">
        <v>0</v>
      </c>
      <c r="Q288" t="n">
        <v>0</v>
      </c>
      <c r="R288" s="2" t="inlineStr"/>
    </row>
    <row r="289" ht="15" customHeight="1">
      <c r="A289" t="inlineStr">
        <is>
          <t>A 28628-2025</t>
        </is>
      </c>
      <c r="B289" s="1" t="n">
        <v>45819.62158564815</v>
      </c>
      <c r="C289" s="1" t="n">
        <v>46066</v>
      </c>
      <c r="D289" t="inlineStr">
        <is>
          <t>VÄSTMANLANDS LÄN</t>
        </is>
      </c>
      <c r="E289" t="inlineStr">
        <is>
          <t>SALA</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28632-2025</t>
        </is>
      </c>
      <c r="B290" s="1" t="n">
        <v>45819.62344907408</v>
      </c>
      <c r="C290" s="1" t="n">
        <v>46066</v>
      </c>
      <c r="D290" t="inlineStr">
        <is>
          <t>VÄSTMANLANDS LÄN</t>
        </is>
      </c>
      <c r="E290" t="inlineStr">
        <is>
          <t>SALA</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28630-2025</t>
        </is>
      </c>
      <c r="B291" s="1" t="n">
        <v>45819.62274305556</v>
      </c>
      <c r="C291" s="1" t="n">
        <v>46066</v>
      </c>
      <c r="D291" t="inlineStr">
        <is>
          <t>VÄSTMANLANDS LÄN</t>
        </is>
      </c>
      <c r="E291" t="inlineStr">
        <is>
          <t>SALA</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6127-2025</t>
        </is>
      </c>
      <c r="B292" s="1" t="n">
        <v>45698</v>
      </c>
      <c r="C292" s="1" t="n">
        <v>46066</v>
      </c>
      <c r="D292" t="inlineStr">
        <is>
          <t>VÄSTMANLANDS LÄN</t>
        </is>
      </c>
      <c r="E292" t="inlineStr">
        <is>
          <t>SALA</t>
        </is>
      </c>
      <c r="F292" t="inlineStr">
        <is>
          <t>Bergvik skog öst AB</t>
        </is>
      </c>
      <c r="G292" t="n">
        <v>4.3</v>
      </c>
      <c r="H292" t="n">
        <v>0</v>
      </c>
      <c r="I292" t="n">
        <v>0</v>
      </c>
      <c r="J292" t="n">
        <v>0</v>
      </c>
      <c r="K292" t="n">
        <v>0</v>
      </c>
      <c r="L292" t="n">
        <v>0</v>
      </c>
      <c r="M292" t="n">
        <v>0</v>
      </c>
      <c r="N292" t="n">
        <v>0</v>
      </c>
      <c r="O292" t="n">
        <v>0</v>
      </c>
      <c r="P292" t="n">
        <v>0</v>
      </c>
      <c r="Q292" t="n">
        <v>0</v>
      </c>
      <c r="R292" s="2" t="inlineStr"/>
    </row>
    <row r="293" ht="15" customHeight="1">
      <c r="A293" t="inlineStr">
        <is>
          <t>A 28837-2025</t>
        </is>
      </c>
      <c r="B293" s="1" t="n">
        <v>45820.56243055555</v>
      </c>
      <c r="C293" s="1" t="n">
        <v>46066</v>
      </c>
      <c r="D293" t="inlineStr">
        <is>
          <t>VÄSTMANLANDS LÄN</t>
        </is>
      </c>
      <c r="E293" t="inlineStr">
        <is>
          <t>SALA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28849-2025</t>
        </is>
      </c>
      <c r="B294" s="1" t="n">
        <v>45820</v>
      </c>
      <c r="C294" s="1" t="n">
        <v>46066</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988-2025</t>
        </is>
      </c>
      <c r="B295" s="1" t="n">
        <v>45666.44038194444</v>
      </c>
      <c r="C295" s="1" t="n">
        <v>46066</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60328-2024</t>
        </is>
      </c>
      <c r="B296" s="1" t="n">
        <v>45643.38416666666</v>
      </c>
      <c r="C296" s="1" t="n">
        <v>46066</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29085-2025</t>
        </is>
      </c>
      <c r="B297" s="1" t="n">
        <v>45821</v>
      </c>
      <c r="C297" s="1" t="n">
        <v>46066</v>
      </c>
      <c r="D297" t="inlineStr">
        <is>
          <t>VÄSTMANLANDS LÄN</t>
        </is>
      </c>
      <c r="E297" t="inlineStr">
        <is>
          <t>SALA</t>
        </is>
      </c>
      <c r="G297" t="n">
        <v>3.5</v>
      </c>
      <c r="H297" t="n">
        <v>0</v>
      </c>
      <c r="I297" t="n">
        <v>0</v>
      </c>
      <c r="J297" t="n">
        <v>0</v>
      </c>
      <c r="K297" t="n">
        <v>0</v>
      </c>
      <c r="L297" t="n">
        <v>0</v>
      </c>
      <c r="M297" t="n">
        <v>0</v>
      </c>
      <c r="N297" t="n">
        <v>0</v>
      </c>
      <c r="O297" t="n">
        <v>0</v>
      </c>
      <c r="P297" t="n">
        <v>0</v>
      </c>
      <c r="Q297" t="n">
        <v>0</v>
      </c>
      <c r="R297" s="2" t="inlineStr"/>
    </row>
    <row r="298" ht="15" customHeight="1">
      <c r="A298" t="inlineStr">
        <is>
          <t>A 35016-2024</t>
        </is>
      </c>
      <c r="B298" s="1" t="n">
        <v>45527.59115740741</v>
      </c>
      <c r="C298" s="1" t="n">
        <v>46066</v>
      </c>
      <c r="D298" t="inlineStr">
        <is>
          <t>VÄSTMANLANDS LÄN</t>
        </is>
      </c>
      <c r="E298" t="inlineStr">
        <is>
          <t>SALA</t>
        </is>
      </c>
      <c r="G298" t="n">
        <v>0.4</v>
      </c>
      <c r="H298" t="n">
        <v>0</v>
      </c>
      <c r="I298" t="n">
        <v>0</v>
      </c>
      <c r="J298" t="n">
        <v>0</v>
      </c>
      <c r="K298" t="n">
        <v>0</v>
      </c>
      <c r="L298" t="n">
        <v>0</v>
      </c>
      <c r="M298" t="n">
        <v>0</v>
      </c>
      <c r="N298" t="n">
        <v>0</v>
      </c>
      <c r="O298" t="n">
        <v>0</v>
      </c>
      <c r="P298" t="n">
        <v>0</v>
      </c>
      <c r="Q298" t="n">
        <v>0</v>
      </c>
      <c r="R298" s="2" t="inlineStr"/>
    </row>
    <row r="299" ht="15" customHeight="1">
      <c r="A299" t="inlineStr">
        <is>
          <t>A 25897-2024</t>
        </is>
      </c>
      <c r="B299" s="1" t="n">
        <v>45467.54435185185</v>
      </c>
      <c r="C299" s="1" t="n">
        <v>46066</v>
      </c>
      <c r="D299" t="inlineStr">
        <is>
          <t>VÄSTMANLANDS LÄN</t>
        </is>
      </c>
      <c r="E299" t="inlineStr">
        <is>
          <t>SALA</t>
        </is>
      </c>
      <c r="G299" t="n">
        <v>9.9</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46066</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29691-2025</t>
        </is>
      </c>
      <c r="B301" s="1" t="n">
        <v>45825.53645833334</v>
      </c>
      <c r="C301" s="1" t="n">
        <v>46066</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60541-2024</t>
        </is>
      </c>
      <c r="B302" s="1" t="n">
        <v>45643</v>
      </c>
      <c r="C302" s="1" t="n">
        <v>46066</v>
      </c>
      <c r="D302" t="inlineStr">
        <is>
          <t>VÄSTMANLANDS LÄN</t>
        </is>
      </c>
      <c r="E302" t="inlineStr">
        <is>
          <t>SALA</t>
        </is>
      </c>
      <c r="G302" t="n">
        <v>10.6</v>
      </c>
      <c r="H302" t="n">
        <v>0</v>
      </c>
      <c r="I302" t="n">
        <v>0</v>
      </c>
      <c r="J302" t="n">
        <v>0</v>
      </c>
      <c r="K302" t="n">
        <v>0</v>
      </c>
      <c r="L302" t="n">
        <v>0</v>
      </c>
      <c r="M302" t="n">
        <v>0</v>
      </c>
      <c r="N302" t="n">
        <v>0</v>
      </c>
      <c r="O302" t="n">
        <v>0</v>
      </c>
      <c r="P302" t="n">
        <v>0</v>
      </c>
      <c r="Q302" t="n">
        <v>0</v>
      </c>
      <c r="R302" s="2" t="inlineStr"/>
    </row>
    <row r="303" ht="15" customHeight="1">
      <c r="A303" t="inlineStr">
        <is>
          <t>A 57371-2022</t>
        </is>
      </c>
      <c r="B303" s="1" t="n">
        <v>44896.43832175926</v>
      </c>
      <c r="C303" s="1" t="n">
        <v>46066</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22019-2021</t>
        </is>
      </c>
      <c r="B304" s="1" t="n">
        <v>44323</v>
      </c>
      <c r="C304" s="1" t="n">
        <v>46066</v>
      </c>
      <c r="D304" t="inlineStr">
        <is>
          <t>VÄSTMANLANDS LÄN</t>
        </is>
      </c>
      <c r="E304" t="inlineStr">
        <is>
          <t>SALA</t>
        </is>
      </c>
      <c r="G304" t="n">
        <v>1.9</v>
      </c>
      <c r="H304" t="n">
        <v>0</v>
      </c>
      <c r="I304" t="n">
        <v>0</v>
      </c>
      <c r="J304" t="n">
        <v>0</v>
      </c>
      <c r="K304" t="n">
        <v>0</v>
      </c>
      <c r="L304" t="n">
        <v>0</v>
      </c>
      <c r="M304" t="n">
        <v>0</v>
      </c>
      <c r="N304" t="n">
        <v>0</v>
      </c>
      <c r="O304" t="n">
        <v>0</v>
      </c>
      <c r="P304" t="n">
        <v>0</v>
      </c>
      <c r="Q304" t="n">
        <v>0</v>
      </c>
      <c r="R304" s="2" t="inlineStr"/>
    </row>
    <row r="305" ht="15" customHeight="1">
      <c r="A305" t="inlineStr">
        <is>
          <t>A 55784-2024</t>
        </is>
      </c>
      <c r="B305" s="1" t="n">
        <v>45623</v>
      </c>
      <c r="C305" s="1" t="n">
        <v>46066</v>
      </c>
      <c r="D305" t="inlineStr">
        <is>
          <t>VÄSTMANLANDS LÄN</t>
        </is>
      </c>
      <c r="E305" t="inlineStr">
        <is>
          <t>SALA</t>
        </is>
      </c>
      <c r="F305" t="inlineStr">
        <is>
          <t>Bergvik skog öst AB</t>
        </is>
      </c>
      <c r="G305" t="n">
        <v>28.4</v>
      </c>
      <c r="H305" t="n">
        <v>0</v>
      </c>
      <c r="I305" t="n">
        <v>0</v>
      </c>
      <c r="J305" t="n">
        <v>0</v>
      </c>
      <c r="K305" t="n">
        <v>0</v>
      </c>
      <c r="L305" t="n">
        <v>0</v>
      </c>
      <c r="M305" t="n">
        <v>0</v>
      </c>
      <c r="N305" t="n">
        <v>0</v>
      </c>
      <c r="O305" t="n">
        <v>0</v>
      </c>
      <c r="P305" t="n">
        <v>0</v>
      </c>
      <c r="Q305" t="n">
        <v>0</v>
      </c>
      <c r="R305" s="2" t="inlineStr"/>
    </row>
    <row r="306" ht="15" customHeight="1">
      <c r="A306" t="inlineStr">
        <is>
          <t>A 52498-2022</t>
        </is>
      </c>
      <c r="B306" s="1" t="n">
        <v>44874.50152777778</v>
      </c>
      <c r="C306" s="1" t="n">
        <v>46066</v>
      </c>
      <c r="D306" t="inlineStr">
        <is>
          <t>VÄSTMANLANDS LÄN</t>
        </is>
      </c>
      <c r="E306" t="inlineStr">
        <is>
          <t>SALA</t>
        </is>
      </c>
      <c r="G306" t="n">
        <v>2.1</v>
      </c>
      <c r="H306" t="n">
        <v>0</v>
      </c>
      <c r="I306" t="n">
        <v>0</v>
      </c>
      <c r="J306" t="n">
        <v>0</v>
      </c>
      <c r="K306" t="n">
        <v>0</v>
      </c>
      <c r="L306" t="n">
        <v>0</v>
      </c>
      <c r="M306" t="n">
        <v>0</v>
      </c>
      <c r="N306" t="n">
        <v>0</v>
      </c>
      <c r="O306" t="n">
        <v>0</v>
      </c>
      <c r="P306" t="n">
        <v>0</v>
      </c>
      <c r="Q306" t="n">
        <v>0</v>
      </c>
      <c r="R306" s="2" t="inlineStr"/>
    </row>
    <row r="307" ht="15" customHeight="1">
      <c r="A307" t="inlineStr">
        <is>
          <t>A 16651-2021</t>
        </is>
      </c>
      <c r="B307" s="1" t="n">
        <v>44294.50096064815</v>
      </c>
      <c r="C307" s="1" t="n">
        <v>46066</v>
      </c>
      <c r="D307" t="inlineStr">
        <is>
          <t>VÄSTMANLANDS LÄN</t>
        </is>
      </c>
      <c r="E307" t="inlineStr">
        <is>
          <t>SALA</t>
        </is>
      </c>
      <c r="G307" t="n">
        <v>7.7</v>
      </c>
      <c r="H307" t="n">
        <v>0</v>
      </c>
      <c r="I307" t="n">
        <v>0</v>
      </c>
      <c r="J307" t="n">
        <v>0</v>
      </c>
      <c r="K307" t="n">
        <v>0</v>
      </c>
      <c r="L307" t="n">
        <v>0</v>
      </c>
      <c r="M307" t="n">
        <v>0</v>
      </c>
      <c r="N307" t="n">
        <v>0</v>
      </c>
      <c r="O307" t="n">
        <v>0</v>
      </c>
      <c r="P307" t="n">
        <v>0</v>
      </c>
      <c r="Q307" t="n">
        <v>0</v>
      </c>
      <c r="R307" s="2" t="inlineStr"/>
    </row>
    <row r="308" ht="15" customHeight="1">
      <c r="A308" t="inlineStr">
        <is>
          <t>A 29826-2025</t>
        </is>
      </c>
      <c r="B308" s="1" t="n">
        <v>45825.85761574074</v>
      </c>
      <c r="C308" s="1" t="n">
        <v>46066</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19803-2024</t>
        </is>
      </c>
      <c r="B309" s="1" t="n">
        <v>45432</v>
      </c>
      <c r="C309" s="1" t="n">
        <v>46066</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7196-2025</t>
        </is>
      </c>
      <c r="B310" s="1" t="n">
        <v>45702</v>
      </c>
      <c r="C310" s="1" t="n">
        <v>46066</v>
      </c>
      <c r="D310" t="inlineStr">
        <is>
          <t>VÄSTMANLANDS LÄN</t>
        </is>
      </c>
      <c r="E310" t="inlineStr">
        <is>
          <t>SALA</t>
        </is>
      </c>
      <c r="G310" t="n">
        <v>1.3</v>
      </c>
      <c r="H310" t="n">
        <v>0</v>
      </c>
      <c r="I310" t="n">
        <v>0</v>
      </c>
      <c r="J310" t="n">
        <v>0</v>
      </c>
      <c r="K310" t="n">
        <v>0</v>
      </c>
      <c r="L310" t="n">
        <v>0</v>
      </c>
      <c r="M310" t="n">
        <v>0</v>
      </c>
      <c r="N310" t="n">
        <v>0</v>
      </c>
      <c r="O310" t="n">
        <v>0</v>
      </c>
      <c r="P310" t="n">
        <v>0</v>
      </c>
      <c r="Q310" t="n">
        <v>0</v>
      </c>
      <c r="R310" s="2" t="inlineStr"/>
    </row>
    <row r="311" ht="15" customHeight="1">
      <c r="A311" t="inlineStr">
        <is>
          <t>A 40597-2022</t>
        </is>
      </c>
      <c r="B311" s="1" t="n">
        <v>44823.84862268518</v>
      </c>
      <c r="C311" s="1" t="n">
        <v>46066</v>
      </c>
      <c r="D311" t="inlineStr">
        <is>
          <t>VÄSTMANLANDS LÄN</t>
        </is>
      </c>
      <c r="E311" t="inlineStr">
        <is>
          <t>SALA</t>
        </is>
      </c>
      <c r="G311" t="n">
        <v>3.5</v>
      </c>
      <c r="H311" t="n">
        <v>0</v>
      </c>
      <c r="I311" t="n">
        <v>0</v>
      </c>
      <c r="J311" t="n">
        <v>0</v>
      </c>
      <c r="K311" t="n">
        <v>0</v>
      </c>
      <c r="L311" t="n">
        <v>0</v>
      </c>
      <c r="M311" t="n">
        <v>0</v>
      </c>
      <c r="N311" t="n">
        <v>0</v>
      </c>
      <c r="O311" t="n">
        <v>0</v>
      </c>
      <c r="P311" t="n">
        <v>0</v>
      </c>
      <c r="Q311" t="n">
        <v>0</v>
      </c>
      <c r="R311" s="2" t="inlineStr"/>
    </row>
    <row r="312" ht="15" customHeight="1">
      <c r="A312" t="inlineStr">
        <is>
          <t>A 31608-2025</t>
        </is>
      </c>
      <c r="B312" s="1" t="n">
        <v>45833</v>
      </c>
      <c r="C312" s="1" t="n">
        <v>46066</v>
      </c>
      <c r="D312" t="inlineStr">
        <is>
          <t>VÄSTMANLANDS LÄN</t>
        </is>
      </c>
      <c r="E312" t="inlineStr">
        <is>
          <t>SALA</t>
        </is>
      </c>
      <c r="G312" t="n">
        <v>6.1</v>
      </c>
      <c r="H312" t="n">
        <v>0</v>
      </c>
      <c r="I312" t="n">
        <v>0</v>
      </c>
      <c r="J312" t="n">
        <v>0</v>
      </c>
      <c r="K312" t="n">
        <v>0</v>
      </c>
      <c r="L312" t="n">
        <v>0</v>
      </c>
      <c r="M312" t="n">
        <v>0</v>
      </c>
      <c r="N312" t="n">
        <v>0</v>
      </c>
      <c r="O312" t="n">
        <v>0</v>
      </c>
      <c r="P312" t="n">
        <v>0</v>
      </c>
      <c r="Q312" t="n">
        <v>0</v>
      </c>
      <c r="R312" s="2" t="inlineStr"/>
    </row>
    <row r="313" ht="15" customHeight="1">
      <c r="A313" t="inlineStr">
        <is>
          <t>A 30866-2025</t>
        </is>
      </c>
      <c r="B313" s="1" t="n">
        <v>45832.3246875</v>
      </c>
      <c r="C313" s="1" t="n">
        <v>46066</v>
      </c>
      <c r="D313" t="inlineStr">
        <is>
          <t>VÄSTMANLANDS LÄN</t>
        </is>
      </c>
      <c r="E313" t="inlineStr">
        <is>
          <t>SALA</t>
        </is>
      </c>
      <c r="G313" t="n">
        <v>14.3</v>
      </c>
      <c r="H313" t="n">
        <v>0</v>
      </c>
      <c r="I313" t="n">
        <v>0</v>
      </c>
      <c r="J313" t="n">
        <v>0</v>
      </c>
      <c r="K313" t="n">
        <v>0</v>
      </c>
      <c r="L313" t="n">
        <v>0</v>
      </c>
      <c r="M313" t="n">
        <v>0</v>
      </c>
      <c r="N313" t="n">
        <v>0</v>
      </c>
      <c r="O313" t="n">
        <v>0</v>
      </c>
      <c r="P313" t="n">
        <v>0</v>
      </c>
      <c r="Q313" t="n">
        <v>0</v>
      </c>
      <c r="R313" s="2" t="inlineStr"/>
    </row>
    <row r="314" ht="15" customHeight="1">
      <c r="A314" t="inlineStr">
        <is>
          <t>A 30874-2025</t>
        </is>
      </c>
      <c r="B314" s="1" t="n">
        <v>45832.34430555555</v>
      </c>
      <c r="C314" s="1" t="n">
        <v>46066</v>
      </c>
      <c r="D314" t="inlineStr">
        <is>
          <t>VÄSTMANLANDS LÄN</t>
        </is>
      </c>
      <c r="E314" t="inlineStr">
        <is>
          <t>SALA</t>
        </is>
      </c>
      <c r="G314" t="n">
        <v>8.4</v>
      </c>
      <c r="H314" t="n">
        <v>0</v>
      </c>
      <c r="I314" t="n">
        <v>0</v>
      </c>
      <c r="J314" t="n">
        <v>0</v>
      </c>
      <c r="K314" t="n">
        <v>0</v>
      </c>
      <c r="L314" t="n">
        <v>0</v>
      </c>
      <c r="M314" t="n">
        <v>0</v>
      </c>
      <c r="N314" t="n">
        <v>0</v>
      </c>
      <c r="O314" t="n">
        <v>0</v>
      </c>
      <c r="P314" t="n">
        <v>0</v>
      </c>
      <c r="Q314" t="n">
        <v>0</v>
      </c>
      <c r="R314" s="2" t="inlineStr"/>
    </row>
    <row r="315" ht="15" customHeight="1">
      <c r="A315" t="inlineStr">
        <is>
          <t>A 31573-2025</t>
        </is>
      </c>
      <c r="B315" s="1" t="n">
        <v>45833</v>
      </c>
      <c r="C315" s="1" t="n">
        <v>46066</v>
      </c>
      <c r="D315" t="inlineStr">
        <is>
          <t>VÄSTMANLANDS LÄN</t>
        </is>
      </c>
      <c r="E315" t="inlineStr">
        <is>
          <t>SALA</t>
        </is>
      </c>
      <c r="G315" t="n">
        <v>0.6</v>
      </c>
      <c r="H315" t="n">
        <v>0</v>
      </c>
      <c r="I315" t="n">
        <v>0</v>
      </c>
      <c r="J315" t="n">
        <v>0</v>
      </c>
      <c r="K315" t="n">
        <v>0</v>
      </c>
      <c r="L315" t="n">
        <v>0</v>
      </c>
      <c r="M315" t="n">
        <v>0</v>
      </c>
      <c r="N315" t="n">
        <v>0</v>
      </c>
      <c r="O315" t="n">
        <v>0</v>
      </c>
      <c r="P315" t="n">
        <v>0</v>
      </c>
      <c r="Q315" t="n">
        <v>0</v>
      </c>
      <c r="R315" s="2" t="inlineStr"/>
    </row>
    <row r="316" ht="15" customHeight="1">
      <c r="A316" t="inlineStr">
        <is>
          <t>A 31288-2025</t>
        </is>
      </c>
      <c r="B316" s="1" t="n">
        <v>45833</v>
      </c>
      <c r="C316" s="1" t="n">
        <v>46066</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31554-2025</t>
        </is>
      </c>
      <c r="B317" s="1" t="n">
        <v>45833</v>
      </c>
      <c r="C317" s="1" t="n">
        <v>46066</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30899-2025</t>
        </is>
      </c>
      <c r="B318" s="1" t="n">
        <v>45832.35767361111</v>
      </c>
      <c r="C318" s="1" t="n">
        <v>46066</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64925-2023</t>
        </is>
      </c>
      <c r="B319" s="1" t="n">
        <v>45282</v>
      </c>
      <c r="C319" s="1" t="n">
        <v>46066</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31065-2025</t>
        </is>
      </c>
      <c r="B320" s="1" t="n">
        <v>45832.57571759259</v>
      </c>
      <c r="C320" s="1" t="n">
        <v>46066</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23406-2024</t>
        </is>
      </c>
      <c r="B321" s="1" t="n">
        <v>45453.58296296297</v>
      </c>
      <c r="C321" s="1" t="n">
        <v>46066</v>
      </c>
      <c r="D321" t="inlineStr">
        <is>
          <t>VÄSTMANLANDS LÄN</t>
        </is>
      </c>
      <c r="E321" t="inlineStr">
        <is>
          <t>SALA</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31296-2025</t>
        </is>
      </c>
      <c r="B322" s="1" t="n">
        <v>45833.36765046296</v>
      </c>
      <c r="C322" s="1" t="n">
        <v>46066</v>
      </c>
      <c r="D322" t="inlineStr">
        <is>
          <t>VÄSTMANLANDS LÄN</t>
        </is>
      </c>
      <c r="E322" t="inlineStr">
        <is>
          <t>SALA</t>
        </is>
      </c>
      <c r="G322" t="n">
        <v>3.7</v>
      </c>
      <c r="H322" t="n">
        <v>0</v>
      </c>
      <c r="I322" t="n">
        <v>0</v>
      </c>
      <c r="J322" t="n">
        <v>0</v>
      </c>
      <c r="K322" t="n">
        <v>0</v>
      </c>
      <c r="L322" t="n">
        <v>0</v>
      </c>
      <c r="M322" t="n">
        <v>0</v>
      </c>
      <c r="N322" t="n">
        <v>0</v>
      </c>
      <c r="O322" t="n">
        <v>0</v>
      </c>
      <c r="P322" t="n">
        <v>0</v>
      </c>
      <c r="Q322" t="n">
        <v>0</v>
      </c>
      <c r="R322" s="2" t="inlineStr"/>
    </row>
    <row r="323" ht="15" customHeight="1">
      <c r="A323" t="inlineStr">
        <is>
          <t>A 16133-2025</t>
        </is>
      </c>
      <c r="B323" s="1" t="n">
        <v>45750</v>
      </c>
      <c r="C323" s="1" t="n">
        <v>46066</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31748-2025</t>
        </is>
      </c>
      <c r="B324" s="1" t="n">
        <v>45834</v>
      </c>
      <c r="C324" s="1" t="n">
        <v>46066</v>
      </c>
      <c r="D324" t="inlineStr">
        <is>
          <t>VÄSTMANLANDS LÄN</t>
        </is>
      </c>
      <c r="E324" t="inlineStr">
        <is>
          <t>SALA</t>
        </is>
      </c>
      <c r="G324" t="n">
        <v>2</v>
      </c>
      <c r="H324" t="n">
        <v>0</v>
      </c>
      <c r="I324" t="n">
        <v>0</v>
      </c>
      <c r="J324" t="n">
        <v>0</v>
      </c>
      <c r="K324" t="n">
        <v>0</v>
      </c>
      <c r="L324" t="n">
        <v>0</v>
      </c>
      <c r="M324" t="n">
        <v>0</v>
      </c>
      <c r="N324" t="n">
        <v>0</v>
      </c>
      <c r="O324" t="n">
        <v>0</v>
      </c>
      <c r="P324" t="n">
        <v>0</v>
      </c>
      <c r="Q324" t="n">
        <v>0</v>
      </c>
      <c r="R324" s="2" t="inlineStr"/>
    </row>
    <row r="325" ht="15" customHeight="1">
      <c r="A325" t="inlineStr">
        <is>
          <t>A 32210-2025</t>
        </is>
      </c>
      <c r="B325" s="1" t="n">
        <v>45835</v>
      </c>
      <c r="C325" s="1" t="n">
        <v>46066</v>
      </c>
      <c r="D325" t="inlineStr">
        <is>
          <t>VÄSTMANLANDS LÄN</t>
        </is>
      </c>
      <c r="E325" t="inlineStr">
        <is>
          <t>SALA</t>
        </is>
      </c>
      <c r="F325" t="inlineStr">
        <is>
          <t>Bergvik skog öst AB</t>
        </is>
      </c>
      <c r="G325" t="n">
        <v>1.5</v>
      </c>
      <c r="H325" t="n">
        <v>0</v>
      </c>
      <c r="I325" t="n">
        <v>0</v>
      </c>
      <c r="J325" t="n">
        <v>0</v>
      </c>
      <c r="K325" t="n">
        <v>0</v>
      </c>
      <c r="L325" t="n">
        <v>0</v>
      </c>
      <c r="M325" t="n">
        <v>0</v>
      </c>
      <c r="N325" t="n">
        <v>0</v>
      </c>
      <c r="O325" t="n">
        <v>0</v>
      </c>
      <c r="P325" t="n">
        <v>0</v>
      </c>
      <c r="Q325" t="n">
        <v>0</v>
      </c>
      <c r="R325" s="2" t="inlineStr"/>
    </row>
    <row r="326" ht="15" customHeight="1">
      <c r="A326" t="inlineStr">
        <is>
          <t>A 15099-2025</t>
        </is>
      </c>
      <c r="B326" s="1" t="n">
        <v>45744.3434837963</v>
      </c>
      <c r="C326" s="1" t="n">
        <v>46066</v>
      </c>
      <c r="D326" t="inlineStr">
        <is>
          <t>VÄSTMANLANDS LÄN</t>
        </is>
      </c>
      <c r="E326" t="inlineStr">
        <is>
          <t>SALA</t>
        </is>
      </c>
      <c r="F326" t="inlineStr">
        <is>
          <t>Sveaskog</t>
        </is>
      </c>
      <c r="G326" t="n">
        <v>14.4</v>
      </c>
      <c r="H326" t="n">
        <v>0</v>
      </c>
      <c r="I326" t="n">
        <v>0</v>
      </c>
      <c r="J326" t="n">
        <v>0</v>
      </c>
      <c r="K326" t="n">
        <v>0</v>
      </c>
      <c r="L326" t="n">
        <v>0</v>
      </c>
      <c r="M326" t="n">
        <v>0</v>
      </c>
      <c r="N326" t="n">
        <v>0</v>
      </c>
      <c r="O326" t="n">
        <v>0</v>
      </c>
      <c r="P326" t="n">
        <v>0</v>
      </c>
      <c r="Q326" t="n">
        <v>0</v>
      </c>
      <c r="R326" s="2" t="inlineStr"/>
    </row>
    <row r="327" ht="15" customHeight="1">
      <c r="A327" t="inlineStr">
        <is>
          <t>A 31610-2025</t>
        </is>
      </c>
      <c r="B327" s="1" t="n">
        <v>45833.78650462963</v>
      </c>
      <c r="C327" s="1" t="n">
        <v>46066</v>
      </c>
      <c r="D327" t="inlineStr">
        <is>
          <t>VÄSTMANLANDS LÄN</t>
        </is>
      </c>
      <c r="E327" t="inlineStr">
        <is>
          <t>SALA</t>
        </is>
      </c>
      <c r="G327" t="n">
        <v>8</v>
      </c>
      <c r="H327" t="n">
        <v>0</v>
      </c>
      <c r="I327" t="n">
        <v>0</v>
      </c>
      <c r="J327" t="n">
        <v>0</v>
      </c>
      <c r="K327" t="n">
        <v>0</v>
      </c>
      <c r="L327" t="n">
        <v>0</v>
      </c>
      <c r="M327" t="n">
        <v>0</v>
      </c>
      <c r="N327" t="n">
        <v>0</v>
      </c>
      <c r="O327" t="n">
        <v>0</v>
      </c>
      <c r="P327" t="n">
        <v>0</v>
      </c>
      <c r="Q327" t="n">
        <v>0</v>
      </c>
      <c r="R327" s="2" t="inlineStr"/>
    </row>
    <row r="328" ht="15" customHeight="1">
      <c r="A328" t="inlineStr">
        <is>
          <t>A 32201-2025</t>
        </is>
      </c>
      <c r="B328" s="1" t="n">
        <v>45835</v>
      </c>
      <c r="C328" s="1" t="n">
        <v>46066</v>
      </c>
      <c r="D328" t="inlineStr">
        <is>
          <t>VÄSTMANLANDS LÄN</t>
        </is>
      </c>
      <c r="E328" t="inlineStr">
        <is>
          <t>SALA</t>
        </is>
      </c>
      <c r="F328" t="inlineStr">
        <is>
          <t>Bergvik skog öst AB</t>
        </is>
      </c>
      <c r="G328" t="n">
        <v>1.8</v>
      </c>
      <c r="H328" t="n">
        <v>0</v>
      </c>
      <c r="I328" t="n">
        <v>0</v>
      </c>
      <c r="J328" t="n">
        <v>0</v>
      </c>
      <c r="K328" t="n">
        <v>0</v>
      </c>
      <c r="L328" t="n">
        <v>0</v>
      </c>
      <c r="M328" t="n">
        <v>0</v>
      </c>
      <c r="N328" t="n">
        <v>0</v>
      </c>
      <c r="O328" t="n">
        <v>0</v>
      </c>
      <c r="P328" t="n">
        <v>0</v>
      </c>
      <c r="Q328" t="n">
        <v>0</v>
      </c>
      <c r="R328" s="2" t="inlineStr"/>
    </row>
    <row r="329" ht="15" customHeight="1">
      <c r="A329" t="inlineStr">
        <is>
          <t>A 31612-2025</t>
        </is>
      </c>
      <c r="B329" s="1" t="n">
        <v>45833.80056712963</v>
      </c>
      <c r="C329" s="1" t="n">
        <v>46066</v>
      </c>
      <c r="D329" t="inlineStr">
        <is>
          <t>VÄSTMANLANDS LÄN</t>
        </is>
      </c>
      <c r="E329" t="inlineStr">
        <is>
          <t>SALA</t>
        </is>
      </c>
      <c r="G329" t="n">
        <v>6.3</v>
      </c>
      <c r="H329" t="n">
        <v>0</v>
      </c>
      <c r="I329" t="n">
        <v>0</v>
      </c>
      <c r="J329" t="n">
        <v>0</v>
      </c>
      <c r="K329" t="n">
        <v>0</v>
      </c>
      <c r="L329" t="n">
        <v>0</v>
      </c>
      <c r="M329" t="n">
        <v>0</v>
      </c>
      <c r="N329" t="n">
        <v>0</v>
      </c>
      <c r="O329" t="n">
        <v>0</v>
      </c>
      <c r="P329" t="n">
        <v>0</v>
      </c>
      <c r="Q329" t="n">
        <v>0</v>
      </c>
      <c r="R329" s="2" t="inlineStr"/>
    </row>
    <row r="330" ht="15" customHeight="1">
      <c r="A330" t="inlineStr">
        <is>
          <t>A 40559-2025</t>
        </is>
      </c>
      <c r="B330" s="1" t="n">
        <v>45896.45037037037</v>
      </c>
      <c r="C330" s="1" t="n">
        <v>46066</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32207-2025</t>
        </is>
      </c>
      <c r="B331" s="1" t="n">
        <v>45835</v>
      </c>
      <c r="C331" s="1" t="n">
        <v>46066</v>
      </c>
      <c r="D331" t="inlineStr">
        <is>
          <t>VÄSTMANLANDS LÄN</t>
        </is>
      </c>
      <c r="E331" t="inlineStr">
        <is>
          <t>SALA</t>
        </is>
      </c>
      <c r="F331" t="inlineStr">
        <is>
          <t>Bergvik skog öst AB</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60036-2024</t>
        </is>
      </c>
      <c r="B332" s="1" t="n">
        <v>45642.46434027778</v>
      </c>
      <c r="C332" s="1" t="n">
        <v>46066</v>
      </c>
      <c r="D332" t="inlineStr">
        <is>
          <t>VÄSTMANLANDS LÄN</t>
        </is>
      </c>
      <c r="E332" t="inlineStr">
        <is>
          <t>SALA</t>
        </is>
      </c>
      <c r="G332" t="n">
        <v>2.5</v>
      </c>
      <c r="H332" t="n">
        <v>0</v>
      </c>
      <c r="I332" t="n">
        <v>0</v>
      </c>
      <c r="J332" t="n">
        <v>0</v>
      </c>
      <c r="K332" t="n">
        <v>0</v>
      </c>
      <c r="L332" t="n">
        <v>0</v>
      </c>
      <c r="M332" t="n">
        <v>0</v>
      </c>
      <c r="N332" t="n">
        <v>0</v>
      </c>
      <c r="O332" t="n">
        <v>0</v>
      </c>
      <c r="P332" t="n">
        <v>0</v>
      </c>
      <c r="Q332" t="n">
        <v>0</v>
      </c>
      <c r="R332" s="2" t="inlineStr"/>
    </row>
    <row r="333" ht="15" customHeight="1">
      <c r="A333" t="inlineStr">
        <is>
          <t>A 31762-2025</t>
        </is>
      </c>
      <c r="B333" s="1" t="n">
        <v>45834.49288194445</v>
      </c>
      <c r="C333" s="1" t="n">
        <v>46066</v>
      </c>
      <c r="D333" t="inlineStr">
        <is>
          <t>VÄSTMANLANDS LÄN</t>
        </is>
      </c>
      <c r="E333" t="inlineStr">
        <is>
          <t>SALA</t>
        </is>
      </c>
      <c r="G333" t="n">
        <v>5.9</v>
      </c>
      <c r="H333" t="n">
        <v>0</v>
      </c>
      <c r="I333" t="n">
        <v>0</v>
      </c>
      <c r="J333" t="n">
        <v>0</v>
      </c>
      <c r="K333" t="n">
        <v>0</v>
      </c>
      <c r="L333" t="n">
        <v>0</v>
      </c>
      <c r="M333" t="n">
        <v>0</v>
      </c>
      <c r="N333" t="n">
        <v>0</v>
      </c>
      <c r="O333" t="n">
        <v>0</v>
      </c>
      <c r="P333" t="n">
        <v>0</v>
      </c>
      <c r="Q333" t="n">
        <v>0</v>
      </c>
      <c r="R333" s="2" t="inlineStr"/>
    </row>
    <row r="334" ht="15" customHeight="1">
      <c r="A334" t="inlineStr">
        <is>
          <t>A 31771-2025</t>
        </is>
      </c>
      <c r="B334" s="1" t="n">
        <v>45834.50910879629</v>
      </c>
      <c r="C334" s="1" t="n">
        <v>46066</v>
      </c>
      <c r="D334" t="inlineStr">
        <is>
          <t>VÄSTMANLANDS LÄN</t>
        </is>
      </c>
      <c r="E334" t="inlineStr">
        <is>
          <t>SALA</t>
        </is>
      </c>
      <c r="G334" t="n">
        <v>5.1</v>
      </c>
      <c r="H334" t="n">
        <v>0</v>
      </c>
      <c r="I334" t="n">
        <v>0</v>
      </c>
      <c r="J334" t="n">
        <v>0</v>
      </c>
      <c r="K334" t="n">
        <v>0</v>
      </c>
      <c r="L334" t="n">
        <v>0</v>
      </c>
      <c r="M334" t="n">
        <v>0</v>
      </c>
      <c r="N334" t="n">
        <v>0</v>
      </c>
      <c r="O334" t="n">
        <v>0</v>
      </c>
      <c r="P334" t="n">
        <v>0</v>
      </c>
      <c r="Q334" t="n">
        <v>0</v>
      </c>
      <c r="R334" s="2" t="inlineStr"/>
    </row>
    <row r="335" ht="15" customHeight="1">
      <c r="A335" t="inlineStr">
        <is>
          <t>A 52827-2024</t>
        </is>
      </c>
      <c r="B335" s="1" t="n">
        <v>45610</v>
      </c>
      <c r="C335" s="1" t="n">
        <v>46066</v>
      </c>
      <c r="D335" t="inlineStr">
        <is>
          <t>VÄSTMANLANDS LÄN</t>
        </is>
      </c>
      <c r="E335" t="inlineStr">
        <is>
          <t>SALA</t>
        </is>
      </c>
      <c r="G335" t="n">
        <v>0.2</v>
      </c>
      <c r="H335" t="n">
        <v>0</v>
      </c>
      <c r="I335" t="n">
        <v>0</v>
      </c>
      <c r="J335" t="n">
        <v>0</v>
      </c>
      <c r="K335" t="n">
        <v>0</v>
      </c>
      <c r="L335" t="n">
        <v>0</v>
      </c>
      <c r="M335" t="n">
        <v>0</v>
      </c>
      <c r="N335" t="n">
        <v>0</v>
      </c>
      <c r="O335" t="n">
        <v>0</v>
      </c>
      <c r="P335" t="n">
        <v>0</v>
      </c>
      <c r="Q335" t="n">
        <v>0</v>
      </c>
      <c r="R335" s="2" t="inlineStr"/>
    </row>
    <row r="336" ht="15" customHeight="1">
      <c r="A336" t="inlineStr">
        <is>
          <t>A 32205-2025</t>
        </is>
      </c>
      <c r="B336" s="1" t="n">
        <v>45835</v>
      </c>
      <c r="C336" s="1" t="n">
        <v>46066</v>
      </c>
      <c r="D336" t="inlineStr">
        <is>
          <t>VÄSTMANLANDS LÄN</t>
        </is>
      </c>
      <c r="E336" t="inlineStr">
        <is>
          <t>SALA</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32286-2025</t>
        </is>
      </c>
      <c r="B337" s="1" t="n">
        <v>45835</v>
      </c>
      <c r="C337" s="1" t="n">
        <v>46066</v>
      </c>
      <c r="D337" t="inlineStr">
        <is>
          <t>VÄSTMANLANDS LÄN</t>
        </is>
      </c>
      <c r="E337" t="inlineStr">
        <is>
          <t>SALA</t>
        </is>
      </c>
      <c r="G337" t="n">
        <v>6.4</v>
      </c>
      <c r="H337" t="n">
        <v>0</v>
      </c>
      <c r="I337" t="n">
        <v>0</v>
      </c>
      <c r="J337" t="n">
        <v>0</v>
      </c>
      <c r="K337" t="n">
        <v>0</v>
      </c>
      <c r="L337" t="n">
        <v>0</v>
      </c>
      <c r="M337" t="n">
        <v>0</v>
      </c>
      <c r="N337" t="n">
        <v>0</v>
      </c>
      <c r="O337" t="n">
        <v>0</v>
      </c>
      <c r="P337" t="n">
        <v>0</v>
      </c>
      <c r="Q337" t="n">
        <v>0</v>
      </c>
      <c r="R337" s="2" t="inlineStr"/>
    </row>
    <row r="338" ht="15" customHeight="1">
      <c r="A338" t="inlineStr">
        <is>
          <t>A 40556-2025</t>
        </is>
      </c>
      <c r="B338" s="1" t="n">
        <v>45896.44944444444</v>
      </c>
      <c r="C338" s="1" t="n">
        <v>46066</v>
      </c>
      <c r="D338" t="inlineStr">
        <is>
          <t>VÄSTMANLANDS LÄN</t>
        </is>
      </c>
      <c r="E338" t="inlineStr">
        <is>
          <t>SALA</t>
        </is>
      </c>
      <c r="G338" t="n">
        <v>1.9</v>
      </c>
      <c r="H338" t="n">
        <v>0</v>
      </c>
      <c r="I338" t="n">
        <v>0</v>
      </c>
      <c r="J338" t="n">
        <v>0</v>
      </c>
      <c r="K338" t="n">
        <v>0</v>
      </c>
      <c r="L338" t="n">
        <v>0</v>
      </c>
      <c r="M338" t="n">
        <v>0</v>
      </c>
      <c r="N338" t="n">
        <v>0</v>
      </c>
      <c r="O338" t="n">
        <v>0</v>
      </c>
      <c r="P338" t="n">
        <v>0</v>
      </c>
      <c r="Q338" t="n">
        <v>0</v>
      </c>
      <c r="R338" s="2" t="inlineStr"/>
    </row>
    <row r="339" ht="15" customHeight="1">
      <c r="A339" t="inlineStr">
        <is>
          <t>A 40620-2025</t>
        </is>
      </c>
      <c r="B339" s="1" t="n">
        <v>45896.58609953704</v>
      </c>
      <c r="C339" s="1" t="n">
        <v>46066</v>
      </c>
      <c r="D339" t="inlineStr">
        <is>
          <t>VÄSTMANLANDS LÄN</t>
        </is>
      </c>
      <c r="E339" t="inlineStr">
        <is>
          <t>SALA</t>
        </is>
      </c>
      <c r="G339" t="n">
        <v>6.7</v>
      </c>
      <c r="H339" t="n">
        <v>0</v>
      </c>
      <c r="I339" t="n">
        <v>0</v>
      </c>
      <c r="J339" t="n">
        <v>0</v>
      </c>
      <c r="K339" t="n">
        <v>0</v>
      </c>
      <c r="L339" t="n">
        <v>0</v>
      </c>
      <c r="M339" t="n">
        <v>0</v>
      </c>
      <c r="N339" t="n">
        <v>0</v>
      </c>
      <c r="O339" t="n">
        <v>0</v>
      </c>
      <c r="P339" t="n">
        <v>0</v>
      </c>
      <c r="Q339" t="n">
        <v>0</v>
      </c>
      <c r="R339" s="2" t="inlineStr"/>
    </row>
    <row r="340" ht="15" customHeight="1">
      <c r="A340" t="inlineStr">
        <is>
          <t>A 16328-2025</t>
        </is>
      </c>
      <c r="B340" s="1" t="n">
        <v>45751</v>
      </c>
      <c r="C340" s="1" t="n">
        <v>46066</v>
      </c>
      <c r="D340" t="inlineStr">
        <is>
          <t>VÄSTMANLANDS LÄN</t>
        </is>
      </c>
      <c r="E340" t="inlineStr">
        <is>
          <t>SALA</t>
        </is>
      </c>
      <c r="G340" t="n">
        <v>2.9</v>
      </c>
      <c r="H340" t="n">
        <v>0</v>
      </c>
      <c r="I340" t="n">
        <v>0</v>
      </c>
      <c r="J340" t="n">
        <v>0</v>
      </c>
      <c r="K340" t="n">
        <v>0</v>
      </c>
      <c r="L340" t="n">
        <v>0</v>
      </c>
      <c r="M340" t="n">
        <v>0</v>
      </c>
      <c r="N340" t="n">
        <v>0</v>
      </c>
      <c r="O340" t="n">
        <v>0</v>
      </c>
      <c r="P340" t="n">
        <v>0</v>
      </c>
      <c r="Q340" t="n">
        <v>0</v>
      </c>
      <c r="R340" s="2" t="inlineStr"/>
    </row>
    <row r="341" ht="15" customHeight="1">
      <c r="A341" t="inlineStr">
        <is>
          <t>A 32902-2025</t>
        </is>
      </c>
      <c r="B341" s="1" t="n">
        <v>45839</v>
      </c>
      <c r="C341" s="1" t="n">
        <v>46066</v>
      </c>
      <c r="D341" t="inlineStr">
        <is>
          <t>VÄSTMANLANDS LÄN</t>
        </is>
      </c>
      <c r="E341" t="inlineStr">
        <is>
          <t>SALA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66908-2021</t>
        </is>
      </c>
      <c r="B342" s="1" t="n">
        <v>44522</v>
      </c>
      <c r="C342" s="1" t="n">
        <v>46066</v>
      </c>
      <c r="D342" t="inlineStr">
        <is>
          <t>VÄSTMANLANDS LÄN</t>
        </is>
      </c>
      <c r="E342" t="inlineStr">
        <is>
          <t>SALA</t>
        </is>
      </c>
      <c r="G342" t="n">
        <v>2.6</v>
      </c>
      <c r="H342" t="n">
        <v>0</v>
      </c>
      <c r="I342" t="n">
        <v>0</v>
      </c>
      <c r="J342" t="n">
        <v>0</v>
      </c>
      <c r="K342" t="n">
        <v>0</v>
      </c>
      <c r="L342" t="n">
        <v>0</v>
      </c>
      <c r="M342" t="n">
        <v>0</v>
      </c>
      <c r="N342" t="n">
        <v>0</v>
      </c>
      <c r="O342" t="n">
        <v>0</v>
      </c>
      <c r="P342" t="n">
        <v>0</v>
      </c>
      <c r="Q342" t="n">
        <v>0</v>
      </c>
      <c r="R342" s="2" t="inlineStr"/>
    </row>
    <row r="343" ht="15" customHeight="1">
      <c r="A343" t="inlineStr">
        <is>
          <t>A 73835-2021</t>
        </is>
      </c>
      <c r="B343" s="1" t="n">
        <v>44552.92112268518</v>
      </c>
      <c r="C343" s="1" t="n">
        <v>46066</v>
      </c>
      <c r="D343" t="inlineStr">
        <is>
          <t>VÄSTMANLANDS LÄN</t>
        </is>
      </c>
      <c r="E343" t="inlineStr">
        <is>
          <t>SALA</t>
        </is>
      </c>
      <c r="G343" t="n">
        <v>2</v>
      </c>
      <c r="H343" t="n">
        <v>0</v>
      </c>
      <c r="I343" t="n">
        <v>0</v>
      </c>
      <c r="J343" t="n">
        <v>0</v>
      </c>
      <c r="K343" t="n">
        <v>0</v>
      </c>
      <c r="L343" t="n">
        <v>0</v>
      </c>
      <c r="M343" t="n">
        <v>0</v>
      </c>
      <c r="N343" t="n">
        <v>0</v>
      </c>
      <c r="O343" t="n">
        <v>0</v>
      </c>
      <c r="P343" t="n">
        <v>0</v>
      </c>
      <c r="Q343" t="n">
        <v>0</v>
      </c>
      <c r="R343" s="2" t="inlineStr"/>
    </row>
    <row r="344" ht="15" customHeight="1">
      <c r="A344" t="inlineStr">
        <is>
          <t>A 41230-2025</t>
        </is>
      </c>
      <c r="B344" s="1" t="n">
        <v>45898</v>
      </c>
      <c r="C344" s="1" t="n">
        <v>46066</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3810-2023</t>
        </is>
      </c>
      <c r="B345" s="1" t="n">
        <v>44951.60454861111</v>
      </c>
      <c r="C345" s="1" t="n">
        <v>46066</v>
      </c>
      <c r="D345" t="inlineStr">
        <is>
          <t>VÄSTMANLANDS LÄN</t>
        </is>
      </c>
      <c r="E345" t="inlineStr">
        <is>
          <t>SALA</t>
        </is>
      </c>
      <c r="G345" t="n">
        <v>4.2</v>
      </c>
      <c r="H345" t="n">
        <v>0</v>
      </c>
      <c r="I345" t="n">
        <v>0</v>
      </c>
      <c r="J345" t="n">
        <v>0</v>
      </c>
      <c r="K345" t="n">
        <v>0</v>
      </c>
      <c r="L345" t="n">
        <v>0</v>
      </c>
      <c r="M345" t="n">
        <v>0</v>
      </c>
      <c r="N345" t="n">
        <v>0</v>
      </c>
      <c r="O345" t="n">
        <v>0</v>
      </c>
      <c r="P345" t="n">
        <v>0</v>
      </c>
      <c r="Q345" t="n">
        <v>0</v>
      </c>
      <c r="R345" s="2" t="inlineStr"/>
    </row>
    <row r="346" ht="15" customHeight="1">
      <c r="A346" t="inlineStr">
        <is>
          <t>A 41414-2025</t>
        </is>
      </c>
      <c r="B346" s="1" t="n">
        <v>45901.360625</v>
      </c>
      <c r="C346" s="1" t="n">
        <v>46066</v>
      </c>
      <c r="D346" t="inlineStr">
        <is>
          <t>VÄSTMANLANDS LÄN</t>
        </is>
      </c>
      <c r="E346" t="inlineStr">
        <is>
          <t>SALA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12252-2023</t>
        </is>
      </c>
      <c r="B347" s="1" t="n">
        <v>44995</v>
      </c>
      <c r="C347" s="1" t="n">
        <v>46066</v>
      </c>
      <c r="D347" t="inlineStr">
        <is>
          <t>VÄSTMANLANDS LÄN</t>
        </is>
      </c>
      <c r="E347" t="inlineStr">
        <is>
          <t>SALA</t>
        </is>
      </c>
      <c r="G347" t="n">
        <v>2.6</v>
      </c>
      <c r="H347" t="n">
        <v>0</v>
      </c>
      <c r="I347" t="n">
        <v>0</v>
      </c>
      <c r="J347" t="n">
        <v>0</v>
      </c>
      <c r="K347" t="n">
        <v>0</v>
      </c>
      <c r="L347" t="n">
        <v>0</v>
      </c>
      <c r="M347" t="n">
        <v>0</v>
      </c>
      <c r="N347" t="n">
        <v>0</v>
      </c>
      <c r="O347" t="n">
        <v>0</v>
      </c>
      <c r="P347" t="n">
        <v>0</v>
      </c>
      <c r="Q347" t="n">
        <v>0</v>
      </c>
      <c r="R347" s="2" t="inlineStr"/>
    </row>
    <row r="348" ht="15" customHeight="1">
      <c r="A348" t="inlineStr">
        <is>
          <t>A 61717-2024</t>
        </is>
      </c>
      <c r="B348" s="1" t="n">
        <v>45648</v>
      </c>
      <c r="C348" s="1" t="n">
        <v>46066</v>
      </c>
      <c r="D348" t="inlineStr">
        <is>
          <t>VÄSTMANLANDS LÄN</t>
        </is>
      </c>
      <c r="E348" t="inlineStr">
        <is>
          <t>SALA</t>
        </is>
      </c>
      <c r="G348" t="n">
        <v>3.7</v>
      </c>
      <c r="H348" t="n">
        <v>0</v>
      </c>
      <c r="I348" t="n">
        <v>0</v>
      </c>
      <c r="J348" t="n">
        <v>0</v>
      </c>
      <c r="K348" t="n">
        <v>0</v>
      </c>
      <c r="L348" t="n">
        <v>0</v>
      </c>
      <c r="M348" t="n">
        <v>0</v>
      </c>
      <c r="N348" t="n">
        <v>0</v>
      </c>
      <c r="O348" t="n">
        <v>0</v>
      </c>
      <c r="P348" t="n">
        <v>0</v>
      </c>
      <c r="Q348" t="n">
        <v>0</v>
      </c>
      <c r="R348" s="2" t="inlineStr"/>
    </row>
    <row r="349" ht="15" customHeight="1">
      <c r="A349" t="inlineStr">
        <is>
          <t>A 53164-2024</t>
        </is>
      </c>
      <c r="B349" s="1" t="n">
        <v>45611.64887731482</v>
      </c>
      <c r="C349" s="1" t="n">
        <v>46066</v>
      </c>
      <c r="D349" t="inlineStr">
        <is>
          <t>VÄSTMANLANDS LÄN</t>
        </is>
      </c>
      <c r="E349" t="inlineStr">
        <is>
          <t>SALA</t>
        </is>
      </c>
      <c r="G349" t="n">
        <v>2.6</v>
      </c>
      <c r="H349" t="n">
        <v>0</v>
      </c>
      <c r="I349" t="n">
        <v>0</v>
      </c>
      <c r="J349" t="n">
        <v>0</v>
      </c>
      <c r="K349" t="n">
        <v>0</v>
      </c>
      <c r="L349" t="n">
        <v>0</v>
      </c>
      <c r="M349" t="n">
        <v>0</v>
      </c>
      <c r="N349" t="n">
        <v>0</v>
      </c>
      <c r="O349" t="n">
        <v>0</v>
      </c>
      <c r="P349" t="n">
        <v>0</v>
      </c>
      <c r="Q349" t="n">
        <v>0</v>
      </c>
      <c r="R349" s="2" t="inlineStr"/>
    </row>
    <row r="350" ht="15" customHeight="1">
      <c r="A350" t="inlineStr">
        <is>
          <t>A 41431-2025</t>
        </is>
      </c>
      <c r="B350" s="1" t="n">
        <v>45901.39347222223</v>
      </c>
      <c r="C350" s="1" t="n">
        <v>46066</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34069-2025</t>
        </is>
      </c>
      <c r="B351" s="1" t="n">
        <v>45845.43560185185</v>
      </c>
      <c r="C351" s="1" t="n">
        <v>46066</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c r="U351">
        <f>HYPERLINK("https://klasma.github.io/Logging_1981/knärot/A 34069-2025 karta knärot.png", "A 34069-2025")</f>
        <v/>
      </c>
      <c r="V351">
        <f>HYPERLINK("https://klasma.github.io/Logging_1981/klagomål/A 34069-2025 FSC-klagomål.docx", "A 34069-2025")</f>
        <v/>
      </c>
      <c r="W351">
        <f>HYPERLINK("https://klasma.github.io/Logging_1981/klagomålsmail/A 34069-2025 FSC-klagomål mail.docx", "A 34069-2025")</f>
        <v/>
      </c>
      <c r="X351">
        <f>HYPERLINK("https://klasma.github.io/Logging_1981/tillsyn/A 34069-2025 tillsynsbegäran.docx", "A 34069-2025")</f>
        <v/>
      </c>
      <c r="Y351">
        <f>HYPERLINK("https://klasma.github.io/Logging_1981/tillsynsmail/A 34069-2025 tillsynsbegäran mail.docx", "A 34069-2025")</f>
        <v/>
      </c>
    </row>
    <row r="352" ht="15" customHeight="1">
      <c r="A352" t="inlineStr">
        <is>
          <t>A 25260-2023</t>
        </is>
      </c>
      <c r="B352" s="1" t="n">
        <v>45086</v>
      </c>
      <c r="C352" s="1" t="n">
        <v>46066</v>
      </c>
      <c r="D352" t="inlineStr">
        <is>
          <t>VÄSTMANLANDS LÄN</t>
        </is>
      </c>
      <c r="E352" t="inlineStr">
        <is>
          <t>SALA</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15744-2025</t>
        </is>
      </c>
      <c r="B353" s="1" t="n">
        <v>45748</v>
      </c>
      <c r="C353" s="1" t="n">
        <v>46066</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57404-2024</t>
        </is>
      </c>
      <c r="B354" s="1" t="n">
        <v>45629.71967592592</v>
      </c>
      <c r="C354" s="1" t="n">
        <v>46066</v>
      </c>
      <c r="D354" t="inlineStr">
        <is>
          <t>VÄSTMANLANDS LÄN</t>
        </is>
      </c>
      <c r="E354" t="inlineStr">
        <is>
          <t>SALA</t>
        </is>
      </c>
      <c r="G354" t="n">
        <v>0.3</v>
      </c>
      <c r="H354" t="n">
        <v>0</v>
      </c>
      <c r="I354" t="n">
        <v>0</v>
      </c>
      <c r="J354" t="n">
        <v>0</v>
      </c>
      <c r="K354" t="n">
        <v>0</v>
      </c>
      <c r="L354" t="n">
        <v>0</v>
      </c>
      <c r="M354" t="n">
        <v>0</v>
      </c>
      <c r="N354" t="n">
        <v>0</v>
      </c>
      <c r="O354" t="n">
        <v>0</v>
      </c>
      <c r="P354" t="n">
        <v>0</v>
      </c>
      <c r="Q354" t="n">
        <v>0</v>
      </c>
      <c r="R354" s="2" t="inlineStr"/>
    </row>
    <row r="355" ht="15" customHeight="1">
      <c r="A355" t="inlineStr">
        <is>
          <t>A 13128-2023</t>
        </is>
      </c>
      <c r="B355" s="1" t="n">
        <v>45002</v>
      </c>
      <c r="C355" s="1" t="n">
        <v>46066</v>
      </c>
      <c r="D355" t="inlineStr">
        <is>
          <t>VÄSTMANLANDS LÄN</t>
        </is>
      </c>
      <c r="E355" t="inlineStr">
        <is>
          <t>SALA</t>
        </is>
      </c>
      <c r="G355" t="n">
        <v>7.9</v>
      </c>
      <c r="H355" t="n">
        <v>0</v>
      </c>
      <c r="I355" t="n">
        <v>0</v>
      </c>
      <c r="J355" t="n">
        <v>0</v>
      </c>
      <c r="K355" t="n">
        <v>0</v>
      </c>
      <c r="L355" t="n">
        <v>0</v>
      </c>
      <c r="M355" t="n">
        <v>0</v>
      </c>
      <c r="N355" t="n">
        <v>0</v>
      </c>
      <c r="O355" t="n">
        <v>0</v>
      </c>
      <c r="P355" t="n">
        <v>0</v>
      </c>
      <c r="Q355" t="n">
        <v>0</v>
      </c>
      <c r="R355" s="2" t="inlineStr"/>
    </row>
    <row r="356" ht="15" customHeight="1">
      <c r="A356" t="inlineStr">
        <is>
          <t>A 24864-2024</t>
        </is>
      </c>
      <c r="B356" s="1" t="n">
        <v>45461.48888888889</v>
      </c>
      <c r="C356" s="1" t="n">
        <v>46066</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21968-2024</t>
        </is>
      </c>
      <c r="B357" s="1" t="n">
        <v>45443</v>
      </c>
      <c r="C357" s="1" t="n">
        <v>46066</v>
      </c>
      <c r="D357" t="inlineStr">
        <is>
          <t>VÄSTMANLANDS LÄN</t>
        </is>
      </c>
      <c r="E357" t="inlineStr">
        <is>
          <t>SALA</t>
        </is>
      </c>
      <c r="G357" t="n">
        <v>1.9</v>
      </c>
      <c r="H357" t="n">
        <v>0</v>
      </c>
      <c r="I357" t="n">
        <v>0</v>
      </c>
      <c r="J357" t="n">
        <v>0</v>
      </c>
      <c r="K357" t="n">
        <v>0</v>
      </c>
      <c r="L357" t="n">
        <v>0</v>
      </c>
      <c r="M357" t="n">
        <v>0</v>
      </c>
      <c r="N357" t="n">
        <v>0</v>
      </c>
      <c r="O357" t="n">
        <v>0</v>
      </c>
      <c r="P357" t="n">
        <v>0</v>
      </c>
      <c r="Q357" t="n">
        <v>0</v>
      </c>
      <c r="R357" s="2" t="inlineStr"/>
    </row>
    <row r="358" ht="15" customHeight="1">
      <c r="A358" t="inlineStr">
        <is>
          <t>A 24755-2021</t>
        </is>
      </c>
      <c r="B358" s="1" t="n">
        <v>44340</v>
      </c>
      <c r="C358" s="1" t="n">
        <v>46066</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35775-2025</t>
        </is>
      </c>
      <c r="B359" s="1" t="n">
        <v>45860</v>
      </c>
      <c r="C359" s="1" t="n">
        <v>46066</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35779-2025</t>
        </is>
      </c>
      <c r="B360" s="1" t="n">
        <v>45860.69495370371</v>
      </c>
      <c r="C360" s="1" t="n">
        <v>46066</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35776-2025</t>
        </is>
      </c>
      <c r="B361" s="1" t="n">
        <v>45860.69211805556</v>
      </c>
      <c r="C361" s="1" t="n">
        <v>46066</v>
      </c>
      <c r="D361" t="inlineStr">
        <is>
          <t>VÄSTMANLANDS LÄN</t>
        </is>
      </c>
      <c r="E361" t="inlineStr">
        <is>
          <t>SALA</t>
        </is>
      </c>
      <c r="G361" t="n">
        <v>14.2</v>
      </c>
      <c r="H361" t="n">
        <v>0</v>
      </c>
      <c r="I361" t="n">
        <v>0</v>
      </c>
      <c r="J361" t="n">
        <v>0</v>
      </c>
      <c r="K361" t="n">
        <v>0</v>
      </c>
      <c r="L361" t="n">
        <v>0</v>
      </c>
      <c r="M361" t="n">
        <v>0</v>
      </c>
      <c r="N361" t="n">
        <v>0</v>
      </c>
      <c r="O361" t="n">
        <v>0</v>
      </c>
      <c r="P361" t="n">
        <v>0</v>
      </c>
      <c r="Q361" t="n">
        <v>0</v>
      </c>
      <c r="R361" s="2" t="inlineStr"/>
    </row>
    <row r="362" ht="15" customHeight="1">
      <c r="A362" t="inlineStr">
        <is>
          <t>A 35715-2025</t>
        </is>
      </c>
      <c r="B362" s="1" t="n">
        <v>45860.42148148148</v>
      </c>
      <c r="C362" s="1" t="n">
        <v>46066</v>
      </c>
      <c r="D362" t="inlineStr">
        <is>
          <t>VÄSTMANLANDS LÄN</t>
        </is>
      </c>
      <c r="E362" t="inlineStr">
        <is>
          <t>SALA</t>
        </is>
      </c>
      <c r="G362" t="n">
        <v>3.8</v>
      </c>
      <c r="H362" t="n">
        <v>0</v>
      </c>
      <c r="I362" t="n">
        <v>0</v>
      </c>
      <c r="J362" t="n">
        <v>0</v>
      </c>
      <c r="K362" t="n">
        <v>0</v>
      </c>
      <c r="L362" t="n">
        <v>0</v>
      </c>
      <c r="M362" t="n">
        <v>0</v>
      </c>
      <c r="N362" t="n">
        <v>0</v>
      </c>
      <c r="O362" t="n">
        <v>0</v>
      </c>
      <c r="P362" t="n">
        <v>0</v>
      </c>
      <c r="Q362" t="n">
        <v>0</v>
      </c>
      <c r="R362" s="2" t="inlineStr"/>
    </row>
    <row r="363" ht="15" customHeight="1">
      <c r="A363" t="inlineStr">
        <is>
          <t>A 42421-2025</t>
        </is>
      </c>
      <c r="B363" s="1" t="n">
        <v>45905.40067129629</v>
      </c>
      <c r="C363" s="1" t="n">
        <v>46066</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35651-2025</t>
        </is>
      </c>
      <c r="B364" s="1" t="n">
        <v>45859.52435185185</v>
      </c>
      <c r="C364" s="1" t="n">
        <v>46066</v>
      </c>
      <c r="D364" t="inlineStr">
        <is>
          <t>VÄSTMANLANDS LÄN</t>
        </is>
      </c>
      <c r="E364" t="inlineStr">
        <is>
          <t>SALA</t>
        </is>
      </c>
      <c r="G364" t="n">
        <v>6.3</v>
      </c>
      <c r="H364" t="n">
        <v>0</v>
      </c>
      <c r="I364" t="n">
        <v>0</v>
      </c>
      <c r="J364" t="n">
        <v>0</v>
      </c>
      <c r="K364" t="n">
        <v>0</v>
      </c>
      <c r="L364" t="n">
        <v>0</v>
      </c>
      <c r="M364" t="n">
        <v>0</v>
      </c>
      <c r="N364" t="n">
        <v>0</v>
      </c>
      <c r="O364" t="n">
        <v>0</v>
      </c>
      <c r="P364" t="n">
        <v>0</v>
      </c>
      <c r="Q364" t="n">
        <v>0</v>
      </c>
      <c r="R364" s="2" t="inlineStr"/>
    </row>
    <row r="365" ht="15" customHeight="1">
      <c r="A365" t="inlineStr">
        <is>
          <t>A 35774-2025</t>
        </is>
      </c>
      <c r="B365" s="1" t="n">
        <v>45860.68780092592</v>
      </c>
      <c r="C365" s="1" t="n">
        <v>46066</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36060-2025</t>
        </is>
      </c>
      <c r="B366" s="1" t="n">
        <v>45866.39469907407</v>
      </c>
      <c r="C366" s="1" t="n">
        <v>46066</v>
      </c>
      <c r="D366" t="inlineStr">
        <is>
          <t>VÄSTMANLANDS LÄN</t>
        </is>
      </c>
      <c r="E366" t="inlineStr">
        <is>
          <t>SALA</t>
        </is>
      </c>
      <c r="F366" t="inlineStr">
        <is>
          <t>Kommuner</t>
        </is>
      </c>
      <c r="G366" t="n">
        <v>4.3</v>
      </c>
      <c r="H366" t="n">
        <v>0</v>
      </c>
      <c r="I366" t="n">
        <v>0</v>
      </c>
      <c r="J366" t="n">
        <v>0</v>
      </c>
      <c r="K366" t="n">
        <v>0</v>
      </c>
      <c r="L366" t="n">
        <v>0</v>
      </c>
      <c r="M366" t="n">
        <v>0</v>
      </c>
      <c r="N366" t="n">
        <v>0</v>
      </c>
      <c r="O366" t="n">
        <v>0</v>
      </c>
      <c r="P366" t="n">
        <v>0</v>
      </c>
      <c r="Q366" t="n">
        <v>0</v>
      </c>
      <c r="R366" s="2" t="inlineStr"/>
    </row>
    <row r="367" ht="15" customHeight="1">
      <c r="A367" t="inlineStr">
        <is>
          <t>A 36031-2025</t>
        </is>
      </c>
      <c r="B367" s="1" t="n">
        <v>45865.46111111111</v>
      </c>
      <c r="C367" s="1" t="n">
        <v>46066</v>
      </c>
      <c r="D367" t="inlineStr">
        <is>
          <t>VÄSTMANLANDS LÄN</t>
        </is>
      </c>
      <c r="E367" t="inlineStr">
        <is>
          <t>SALA</t>
        </is>
      </c>
      <c r="G367" t="n">
        <v>7.2</v>
      </c>
      <c r="H367" t="n">
        <v>0</v>
      </c>
      <c r="I367" t="n">
        <v>0</v>
      </c>
      <c r="J367" t="n">
        <v>0</v>
      </c>
      <c r="K367" t="n">
        <v>0</v>
      </c>
      <c r="L367" t="n">
        <v>0</v>
      </c>
      <c r="M367" t="n">
        <v>0</v>
      </c>
      <c r="N367" t="n">
        <v>0</v>
      </c>
      <c r="O367" t="n">
        <v>0</v>
      </c>
      <c r="P367" t="n">
        <v>0</v>
      </c>
      <c r="Q367" t="n">
        <v>0</v>
      </c>
      <c r="R367" s="2" t="inlineStr"/>
    </row>
    <row r="368" ht="15" customHeight="1">
      <c r="A368" t="inlineStr">
        <is>
          <t>A 36043-2025</t>
        </is>
      </c>
      <c r="B368" s="1" t="n">
        <v>45866.35333333333</v>
      </c>
      <c r="C368" s="1" t="n">
        <v>46066</v>
      </c>
      <c r="D368" t="inlineStr">
        <is>
          <t>VÄSTMANLANDS LÄN</t>
        </is>
      </c>
      <c r="E368" t="inlineStr">
        <is>
          <t>SALA</t>
        </is>
      </c>
      <c r="F368" t="inlineStr">
        <is>
          <t>Kommuner</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17495-2024</t>
        </is>
      </c>
      <c r="B369" s="1" t="n">
        <v>45415</v>
      </c>
      <c r="C369" s="1" t="n">
        <v>46066</v>
      </c>
      <c r="D369" t="inlineStr">
        <is>
          <t>VÄSTMANLANDS LÄN</t>
        </is>
      </c>
      <c r="E369" t="inlineStr">
        <is>
          <t>SALA</t>
        </is>
      </c>
      <c r="G369" t="n">
        <v>3.1</v>
      </c>
      <c r="H369" t="n">
        <v>0</v>
      </c>
      <c r="I369" t="n">
        <v>0</v>
      </c>
      <c r="J369" t="n">
        <v>0</v>
      </c>
      <c r="K369" t="n">
        <v>0</v>
      </c>
      <c r="L369" t="n">
        <v>0</v>
      </c>
      <c r="M369" t="n">
        <v>0</v>
      </c>
      <c r="N369" t="n">
        <v>0</v>
      </c>
      <c r="O369" t="n">
        <v>0</v>
      </c>
      <c r="P369" t="n">
        <v>0</v>
      </c>
      <c r="Q369" t="n">
        <v>0</v>
      </c>
      <c r="R369" s="2" t="inlineStr"/>
    </row>
    <row r="370" ht="15" customHeight="1">
      <c r="A370" t="inlineStr">
        <is>
          <t>A 36032-2025</t>
        </is>
      </c>
      <c r="B370" s="1" t="n">
        <v>45865.48740740741</v>
      </c>
      <c r="C370" s="1" t="n">
        <v>46066</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36049-2025</t>
        </is>
      </c>
      <c r="B371" s="1" t="n">
        <v>45866.37065972222</v>
      </c>
      <c r="C371" s="1" t="n">
        <v>46066</v>
      </c>
      <c r="D371" t="inlineStr">
        <is>
          <t>VÄSTMANLANDS LÄN</t>
        </is>
      </c>
      <c r="E371" t="inlineStr">
        <is>
          <t>SALA</t>
        </is>
      </c>
      <c r="F371" t="inlineStr">
        <is>
          <t>Kommuner</t>
        </is>
      </c>
      <c r="G371" t="n">
        <v>1.9</v>
      </c>
      <c r="H371" t="n">
        <v>0</v>
      </c>
      <c r="I371" t="n">
        <v>0</v>
      </c>
      <c r="J371" t="n">
        <v>0</v>
      </c>
      <c r="K371" t="n">
        <v>0</v>
      </c>
      <c r="L371" t="n">
        <v>0</v>
      </c>
      <c r="M371" t="n">
        <v>0</v>
      </c>
      <c r="N371" t="n">
        <v>0</v>
      </c>
      <c r="O371" t="n">
        <v>0</v>
      </c>
      <c r="P371" t="n">
        <v>0</v>
      </c>
      <c r="Q371" t="n">
        <v>0</v>
      </c>
      <c r="R371" s="2" t="inlineStr"/>
    </row>
    <row r="372" ht="15" customHeight="1">
      <c r="A372" t="inlineStr">
        <is>
          <t>A 37263-2025</t>
        </is>
      </c>
      <c r="B372" s="1" t="n">
        <v>45876.4584837963</v>
      </c>
      <c r="C372" s="1" t="n">
        <v>46066</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43127-2025</t>
        </is>
      </c>
      <c r="B373" s="1" t="n">
        <v>45909</v>
      </c>
      <c r="C373" s="1" t="n">
        <v>46066</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36045-2025</t>
        </is>
      </c>
      <c r="B374" s="1" t="n">
        <v>45866.36200231482</v>
      </c>
      <c r="C374" s="1" t="n">
        <v>46066</v>
      </c>
      <c r="D374" t="inlineStr">
        <is>
          <t>VÄSTMANLANDS LÄN</t>
        </is>
      </c>
      <c r="E374" t="inlineStr">
        <is>
          <t>SALA</t>
        </is>
      </c>
      <c r="F374" t="inlineStr">
        <is>
          <t>Kommuner</t>
        </is>
      </c>
      <c r="G374" t="n">
        <v>1.7</v>
      </c>
      <c r="H374" t="n">
        <v>0</v>
      </c>
      <c r="I374" t="n">
        <v>0</v>
      </c>
      <c r="J374" t="n">
        <v>0</v>
      </c>
      <c r="K374" t="n">
        <v>0</v>
      </c>
      <c r="L374" t="n">
        <v>0</v>
      </c>
      <c r="M374" t="n">
        <v>0</v>
      </c>
      <c r="N374" t="n">
        <v>0</v>
      </c>
      <c r="O374" t="n">
        <v>0</v>
      </c>
      <c r="P374" t="n">
        <v>0</v>
      </c>
      <c r="Q374" t="n">
        <v>0</v>
      </c>
      <c r="R374" s="2" t="inlineStr"/>
    </row>
    <row r="375" ht="15" customHeight="1">
      <c r="A375" t="inlineStr">
        <is>
          <t>A 28696-2023</t>
        </is>
      </c>
      <c r="B375" s="1" t="n">
        <v>45103.71759259259</v>
      </c>
      <c r="C375" s="1" t="n">
        <v>46066</v>
      </c>
      <c r="D375" t="inlineStr">
        <is>
          <t>VÄSTMANLANDS LÄN</t>
        </is>
      </c>
      <c r="E375" t="inlineStr">
        <is>
          <t>SALA</t>
        </is>
      </c>
      <c r="F375" t="inlineStr">
        <is>
          <t>Kommuner</t>
        </is>
      </c>
      <c r="G375" t="n">
        <v>5.9</v>
      </c>
      <c r="H375" t="n">
        <v>0</v>
      </c>
      <c r="I375" t="n">
        <v>0</v>
      </c>
      <c r="J375" t="n">
        <v>0</v>
      </c>
      <c r="K375" t="n">
        <v>0</v>
      </c>
      <c r="L375" t="n">
        <v>0</v>
      </c>
      <c r="M375" t="n">
        <v>0</v>
      </c>
      <c r="N375" t="n">
        <v>0</v>
      </c>
      <c r="O375" t="n">
        <v>0</v>
      </c>
      <c r="P375" t="n">
        <v>0</v>
      </c>
      <c r="Q375" t="n">
        <v>0</v>
      </c>
      <c r="R375" s="2" t="inlineStr"/>
    </row>
    <row r="376" ht="15" customHeight="1">
      <c r="A376" t="inlineStr">
        <is>
          <t>A 6691-2025</t>
        </is>
      </c>
      <c r="B376" s="1" t="n">
        <v>45700.50625</v>
      </c>
      <c r="C376" s="1" t="n">
        <v>46066</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1934-2023</t>
        </is>
      </c>
      <c r="B377" s="1" t="n">
        <v>44939.43024305555</v>
      </c>
      <c r="C377" s="1" t="n">
        <v>46066</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43128-2025</t>
        </is>
      </c>
      <c r="B378" s="1" t="n">
        <v>45909</v>
      </c>
      <c r="C378" s="1" t="n">
        <v>46066</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40554-2025</t>
        </is>
      </c>
      <c r="B379" s="1" t="n">
        <v>45896.44506944445</v>
      </c>
      <c r="C379" s="1" t="n">
        <v>46066</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17766-2025</t>
        </is>
      </c>
      <c r="B380" s="1" t="n">
        <v>45758</v>
      </c>
      <c r="C380" s="1" t="n">
        <v>46066</v>
      </c>
      <c r="D380" t="inlineStr">
        <is>
          <t>VÄSTMANLANDS LÄN</t>
        </is>
      </c>
      <c r="E380" t="inlineStr">
        <is>
          <t>SALA</t>
        </is>
      </c>
      <c r="G380" t="n">
        <v>16.5</v>
      </c>
      <c r="H380" t="n">
        <v>0</v>
      </c>
      <c r="I380" t="n">
        <v>0</v>
      </c>
      <c r="J380" t="n">
        <v>0</v>
      </c>
      <c r="K380" t="n">
        <v>0</v>
      </c>
      <c r="L380" t="n">
        <v>0</v>
      </c>
      <c r="M380" t="n">
        <v>0</v>
      </c>
      <c r="N380" t="n">
        <v>0</v>
      </c>
      <c r="O380" t="n">
        <v>0</v>
      </c>
      <c r="P380" t="n">
        <v>0</v>
      </c>
      <c r="Q380" t="n">
        <v>0</v>
      </c>
      <c r="R380" s="2" t="inlineStr"/>
    </row>
    <row r="381" ht="15" customHeight="1">
      <c r="A381" t="inlineStr">
        <is>
          <t>A 35519-2024</t>
        </is>
      </c>
      <c r="B381" s="1" t="n">
        <v>45531</v>
      </c>
      <c r="C381" s="1" t="n">
        <v>46066</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43129-2025</t>
        </is>
      </c>
      <c r="B382" s="1" t="n">
        <v>45909</v>
      </c>
      <c r="C382" s="1" t="n">
        <v>46066</v>
      </c>
      <c r="D382" t="inlineStr">
        <is>
          <t>VÄSTMANLANDS LÄN</t>
        </is>
      </c>
      <c r="E382" t="inlineStr">
        <is>
          <t>SALA</t>
        </is>
      </c>
      <c r="G382" t="n">
        <v>2.4</v>
      </c>
      <c r="H382" t="n">
        <v>0</v>
      </c>
      <c r="I382" t="n">
        <v>0</v>
      </c>
      <c r="J382" t="n">
        <v>0</v>
      </c>
      <c r="K382" t="n">
        <v>0</v>
      </c>
      <c r="L382" t="n">
        <v>0</v>
      </c>
      <c r="M382" t="n">
        <v>0</v>
      </c>
      <c r="N382" t="n">
        <v>0</v>
      </c>
      <c r="O382" t="n">
        <v>0</v>
      </c>
      <c r="P382" t="n">
        <v>0</v>
      </c>
      <c r="Q382" t="n">
        <v>0</v>
      </c>
      <c r="R382" s="2" t="inlineStr"/>
    </row>
    <row r="383" ht="15" customHeight="1">
      <c r="A383" t="inlineStr">
        <is>
          <t>A 43130-2025</t>
        </is>
      </c>
      <c r="B383" s="1" t="n">
        <v>45909</v>
      </c>
      <c r="C383" s="1" t="n">
        <v>46066</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31863-2025</t>
        </is>
      </c>
      <c r="B384" s="1" t="n">
        <v>45834.63303240741</v>
      </c>
      <c r="C384" s="1" t="n">
        <v>46066</v>
      </c>
      <c r="D384" t="inlineStr">
        <is>
          <t>VÄSTMANLANDS LÄN</t>
        </is>
      </c>
      <c r="E384" t="inlineStr">
        <is>
          <t>SALA</t>
        </is>
      </c>
      <c r="G384" t="n">
        <v>2.5</v>
      </c>
      <c r="H384" t="n">
        <v>0</v>
      </c>
      <c r="I384" t="n">
        <v>0</v>
      </c>
      <c r="J384" t="n">
        <v>0</v>
      </c>
      <c r="K384" t="n">
        <v>0</v>
      </c>
      <c r="L384" t="n">
        <v>0</v>
      </c>
      <c r="M384" t="n">
        <v>0</v>
      </c>
      <c r="N384" t="n">
        <v>0</v>
      </c>
      <c r="O384" t="n">
        <v>0</v>
      </c>
      <c r="P384" t="n">
        <v>0</v>
      </c>
      <c r="Q384" t="n">
        <v>0</v>
      </c>
      <c r="R384" s="2" t="inlineStr"/>
    </row>
    <row r="385" ht="15" customHeight="1">
      <c r="A385" t="inlineStr">
        <is>
          <t>A 43028-2025</t>
        </is>
      </c>
      <c r="B385" s="1" t="n">
        <v>45909.53472222222</v>
      </c>
      <c r="C385" s="1" t="n">
        <v>46066</v>
      </c>
      <c r="D385" t="inlineStr">
        <is>
          <t>VÄSTMANLANDS LÄN</t>
        </is>
      </c>
      <c r="E385" t="inlineStr">
        <is>
          <t>SALA</t>
        </is>
      </c>
      <c r="G385" t="n">
        <v>3.8</v>
      </c>
      <c r="H385" t="n">
        <v>0</v>
      </c>
      <c r="I385" t="n">
        <v>0</v>
      </c>
      <c r="J385" t="n">
        <v>0</v>
      </c>
      <c r="K385" t="n">
        <v>0</v>
      </c>
      <c r="L385" t="n">
        <v>0</v>
      </c>
      <c r="M385" t="n">
        <v>0</v>
      </c>
      <c r="N385" t="n">
        <v>0</v>
      </c>
      <c r="O385" t="n">
        <v>0</v>
      </c>
      <c r="P385" t="n">
        <v>0</v>
      </c>
      <c r="Q385" t="n">
        <v>0</v>
      </c>
      <c r="R385" s="2" t="inlineStr"/>
    </row>
    <row r="386" ht="15" customHeight="1">
      <c r="A386" t="inlineStr">
        <is>
          <t>A 3546-2025</t>
        </is>
      </c>
      <c r="B386" s="1" t="n">
        <v>45680</v>
      </c>
      <c r="C386" s="1" t="n">
        <v>46066</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31869-2025</t>
        </is>
      </c>
      <c r="B387" s="1" t="n">
        <v>45834.64555555556</v>
      </c>
      <c r="C387" s="1" t="n">
        <v>46066</v>
      </c>
      <c r="D387" t="inlineStr">
        <is>
          <t>VÄSTMANLANDS LÄN</t>
        </is>
      </c>
      <c r="E387" t="inlineStr">
        <is>
          <t>SALA</t>
        </is>
      </c>
      <c r="G387" t="n">
        <v>17.5</v>
      </c>
      <c r="H387" t="n">
        <v>0</v>
      </c>
      <c r="I387" t="n">
        <v>0</v>
      </c>
      <c r="J387" t="n">
        <v>0</v>
      </c>
      <c r="K387" t="n">
        <v>0</v>
      </c>
      <c r="L387" t="n">
        <v>0</v>
      </c>
      <c r="M387" t="n">
        <v>0</v>
      </c>
      <c r="N387" t="n">
        <v>0</v>
      </c>
      <c r="O387" t="n">
        <v>0</v>
      </c>
      <c r="P387" t="n">
        <v>0</v>
      </c>
      <c r="Q387" t="n">
        <v>0</v>
      </c>
      <c r="R387" s="2" t="inlineStr"/>
    </row>
    <row r="388" ht="15" customHeight="1">
      <c r="A388" t="inlineStr">
        <is>
          <t>A 50241-2023</t>
        </is>
      </c>
      <c r="B388" s="1" t="n">
        <v>45216</v>
      </c>
      <c r="C388" s="1" t="n">
        <v>46066</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43031-2025</t>
        </is>
      </c>
      <c r="B389" s="1" t="n">
        <v>45909.53856481481</v>
      </c>
      <c r="C389" s="1" t="n">
        <v>46066</v>
      </c>
      <c r="D389" t="inlineStr">
        <is>
          <t>VÄSTMANLANDS LÄN</t>
        </is>
      </c>
      <c r="E389" t="inlineStr">
        <is>
          <t>SALA</t>
        </is>
      </c>
      <c r="G389" t="n">
        <v>0.2</v>
      </c>
      <c r="H389" t="n">
        <v>0</v>
      </c>
      <c r="I389" t="n">
        <v>0</v>
      </c>
      <c r="J389" t="n">
        <v>0</v>
      </c>
      <c r="K389" t="n">
        <v>0</v>
      </c>
      <c r="L389" t="n">
        <v>0</v>
      </c>
      <c r="M389" t="n">
        <v>0</v>
      </c>
      <c r="N389" t="n">
        <v>0</v>
      </c>
      <c r="O389" t="n">
        <v>0</v>
      </c>
      <c r="P389" t="n">
        <v>0</v>
      </c>
      <c r="Q389" t="n">
        <v>0</v>
      </c>
      <c r="R389" s="2" t="inlineStr"/>
    </row>
    <row r="390" ht="15" customHeight="1">
      <c r="A390" t="inlineStr">
        <is>
          <t>A 30971-2022</t>
        </is>
      </c>
      <c r="B390" s="1" t="n">
        <v>44768.46725694444</v>
      </c>
      <c r="C390" s="1" t="n">
        <v>46066</v>
      </c>
      <c r="D390" t="inlineStr">
        <is>
          <t>VÄSTMANLANDS LÄN</t>
        </is>
      </c>
      <c r="E390" t="inlineStr">
        <is>
          <t>SALA</t>
        </is>
      </c>
      <c r="G390" t="n">
        <v>2.4</v>
      </c>
      <c r="H390" t="n">
        <v>0</v>
      </c>
      <c r="I390" t="n">
        <v>0</v>
      </c>
      <c r="J390" t="n">
        <v>0</v>
      </c>
      <c r="K390" t="n">
        <v>0</v>
      </c>
      <c r="L390" t="n">
        <v>0</v>
      </c>
      <c r="M390" t="n">
        <v>0</v>
      </c>
      <c r="N390" t="n">
        <v>0</v>
      </c>
      <c r="O390" t="n">
        <v>0</v>
      </c>
      <c r="P390" t="n">
        <v>0</v>
      </c>
      <c r="Q390" t="n">
        <v>0</v>
      </c>
      <c r="R390" s="2" t="inlineStr"/>
    </row>
    <row r="391" ht="15" customHeight="1">
      <c r="A391" t="inlineStr">
        <is>
          <t>A 7664-2023</t>
        </is>
      </c>
      <c r="B391" s="1" t="n">
        <v>44972</v>
      </c>
      <c r="C391" s="1" t="n">
        <v>46066</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35637-2022</t>
        </is>
      </c>
      <c r="B392" s="1" t="n">
        <v>44799.55194444444</v>
      </c>
      <c r="C392" s="1" t="n">
        <v>46066</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19304-2025</t>
        </is>
      </c>
      <c r="B393" s="1" t="n">
        <v>45769</v>
      </c>
      <c r="C393" s="1" t="n">
        <v>46066</v>
      </c>
      <c r="D393" t="inlineStr">
        <is>
          <t>VÄSTMANLANDS LÄN</t>
        </is>
      </c>
      <c r="E393" t="inlineStr">
        <is>
          <t>SALA</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27038-2023</t>
        </is>
      </c>
      <c r="B394" s="1" t="n">
        <v>45095</v>
      </c>
      <c r="C394" s="1" t="n">
        <v>46066</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17985-2025</t>
        </is>
      </c>
      <c r="B395" s="1" t="n">
        <v>45761</v>
      </c>
      <c r="C395" s="1" t="n">
        <v>46066</v>
      </c>
      <c r="D395" t="inlineStr">
        <is>
          <t>VÄSTMANLANDS LÄN</t>
        </is>
      </c>
      <c r="E395" t="inlineStr">
        <is>
          <t>SALA</t>
        </is>
      </c>
      <c r="G395" t="n">
        <v>12.5</v>
      </c>
      <c r="H395" t="n">
        <v>0</v>
      </c>
      <c r="I395" t="n">
        <v>0</v>
      </c>
      <c r="J395" t="n">
        <v>0</v>
      </c>
      <c r="K395" t="n">
        <v>0</v>
      </c>
      <c r="L395" t="n">
        <v>0</v>
      </c>
      <c r="M395" t="n">
        <v>0</v>
      </c>
      <c r="N395" t="n">
        <v>0</v>
      </c>
      <c r="O395" t="n">
        <v>0</v>
      </c>
      <c r="P395" t="n">
        <v>0</v>
      </c>
      <c r="Q395" t="n">
        <v>0</v>
      </c>
      <c r="R395" s="2" t="inlineStr"/>
    </row>
    <row r="396" ht="15" customHeight="1">
      <c r="A396" t="inlineStr">
        <is>
          <t>A 23182-2022</t>
        </is>
      </c>
      <c r="B396" s="1" t="n">
        <v>44719.79707175926</v>
      </c>
      <c r="C396" s="1" t="n">
        <v>46066</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37103-2025</t>
        </is>
      </c>
      <c r="B397" s="1" t="n">
        <v>45875.47743055555</v>
      </c>
      <c r="C397" s="1" t="n">
        <v>46066</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37017-2025</t>
        </is>
      </c>
      <c r="B398" s="1" t="n">
        <v>45874</v>
      </c>
      <c r="C398" s="1" t="n">
        <v>46066</v>
      </c>
      <c r="D398" t="inlineStr">
        <is>
          <t>VÄSTMANLANDS LÄN</t>
        </is>
      </c>
      <c r="E398" t="inlineStr">
        <is>
          <t>SALA</t>
        </is>
      </c>
      <c r="G398" t="n">
        <v>11.1</v>
      </c>
      <c r="H398" t="n">
        <v>0</v>
      </c>
      <c r="I398" t="n">
        <v>0</v>
      </c>
      <c r="J398" t="n">
        <v>0</v>
      </c>
      <c r="K398" t="n">
        <v>0</v>
      </c>
      <c r="L398" t="n">
        <v>0</v>
      </c>
      <c r="M398" t="n">
        <v>0</v>
      </c>
      <c r="N398" t="n">
        <v>0</v>
      </c>
      <c r="O398" t="n">
        <v>0</v>
      </c>
      <c r="P398" t="n">
        <v>0</v>
      </c>
      <c r="Q398" t="n">
        <v>0</v>
      </c>
      <c r="R398" s="2" t="inlineStr"/>
    </row>
    <row r="399" ht="15" customHeight="1">
      <c r="A399" t="inlineStr">
        <is>
          <t>A 43328-2025</t>
        </is>
      </c>
      <c r="B399" s="1" t="n">
        <v>45910</v>
      </c>
      <c r="C399" s="1" t="n">
        <v>46066</v>
      </c>
      <c r="D399" t="inlineStr">
        <is>
          <t>VÄSTMANLANDS LÄN</t>
        </is>
      </c>
      <c r="E399" t="inlineStr">
        <is>
          <t>SALA</t>
        </is>
      </c>
      <c r="G399" t="n">
        <v>0.8</v>
      </c>
      <c r="H399" t="n">
        <v>0</v>
      </c>
      <c r="I399" t="n">
        <v>0</v>
      </c>
      <c r="J399" t="n">
        <v>0</v>
      </c>
      <c r="K399" t="n">
        <v>0</v>
      </c>
      <c r="L399" t="n">
        <v>0</v>
      </c>
      <c r="M399" t="n">
        <v>0</v>
      </c>
      <c r="N399" t="n">
        <v>0</v>
      </c>
      <c r="O399" t="n">
        <v>0</v>
      </c>
      <c r="P399" t="n">
        <v>0</v>
      </c>
      <c r="Q399" t="n">
        <v>0</v>
      </c>
      <c r="R399" s="2" t="inlineStr"/>
    </row>
    <row r="400" ht="15" customHeight="1">
      <c r="A400" t="inlineStr">
        <is>
          <t>A 31859-2023</t>
        </is>
      </c>
      <c r="B400" s="1" t="n">
        <v>45118</v>
      </c>
      <c r="C400" s="1" t="n">
        <v>46066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c r="U400">
        <f>HYPERLINK("https://klasma.github.io/Logging_1981/knärot/A 31859-2023 karta knärot.png", "A 31859-2023")</f>
        <v/>
      </c>
      <c r="V400">
        <f>HYPERLINK("https://klasma.github.io/Logging_1981/klagomål/A 31859-2023 FSC-klagomål.docx", "A 31859-2023")</f>
        <v/>
      </c>
      <c r="W400">
        <f>HYPERLINK("https://klasma.github.io/Logging_1981/klagomålsmail/A 31859-2023 FSC-klagomål mail.docx", "A 31859-2023")</f>
        <v/>
      </c>
      <c r="X400">
        <f>HYPERLINK("https://klasma.github.io/Logging_1981/tillsyn/A 31859-2023 tillsynsbegäran.docx", "A 31859-2023")</f>
        <v/>
      </c>
      <c r="Y400">
        <f>HYPERLINK("https://klasma.github.io/Logging_1981/tillsynsmail/A 31859-2023 tillsynsbegäran mail.docx", "A 31859-2023")</f>
        <v/>
      </c>
    </row>
    <row r="401" ht="15" customHeight="1">
      <c r="A401" t="inlineStr">
        <is>
          <t>A 7469-2025</t>
        </is>
      </c>
      <c r="B401" s="1" t="n">
        <v>45705</v>
      </c>
      <c r="C401" s="1" t="n">
        <v>46066</v>
      </c>
      <c r="D401" t="inlineStr">
        <is>
          <t>VÄSTMANLANDS LÄN</t>
        </is>
      </c>
      <c r="E401" t="inlineStr">
        <is>
          <t>SALA</t>
        </is>
      </c>
      <c r="G401" t="n">
        <v>2.1</v>
      </c>
      <c r="H401" t="n">
        <v>0</v>
      </c>
      <c r="I401" t="n">
        <v>0</v>
      </c>
      <c r="J401" t="n">
        <v>0</v>
      </c>
      <c r="K401" t="n">
        <v>0</v>
      </c>
      <c r="L401" t="n">
        <v>0</v>
      </c>
      <c r="M401" t="n">
        <v>0</v>
      </c>
      <c r="N401" t="n">
        <v>0</v>
      </c>
      <c r="O401" t="n">
        <v>0</v>
      </c>
      <c r="P401" t="n">
        <v>0</v>
      </c>
      <c r="Q401" t="n">
        <v>0</v>
      </c>
      <c r="R401" s="2" t="inlineStr"/>
    </row>
    <row r="402" ht="15" customHeight="1">
      <c r="A402" t="inlineStr">
        <is>
          <t>A 37246-2025</t>
        </is>
      </c>
      <c r="B402" s="1" t="n">
        <v>45876.39435185185</v>
      </c>
      <c r="C402" s="1" t="n">
        <v>46066</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60034-2024</t>
        </is>
      </c>
      <c r="B403" s="1" t="n">
        <v>45642.46261574074</v>
      </c>
      <c r="C403" s="1" t="n">
        <v>46066</v>
      </c>
      <c r="D403" t="inlineStr">
        <is>
          <t>VÄSTMANLANDS LÄN</t>
        </is>
      </c>
      <c r="E403" t="inlineStr">
        <is>
          <t>SALA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37590-2025</t>
        </is>
      </c>
      <c r="B404" s="1" t="n">
        <v>45880.41138888889</v>
      </c>
      <c r="C404" s="1" t="n">
        <v>46066</v>
      </c>
      <c r="D404" t="inlineStr">
        <is>
          <t>VÄSTMANLANDS LÄN</t>
        </is>
      </c>
      <c r="E404" t="inlineStr">
        <is>
          <t>SALA</t>
        </is>
      </c>
      <c r="G404" t="n">
        <v>2.2</v>
      </c>
      <c r="H404" t="n">
        <v>0</v>
      </c>
      <c r="I404" t="n">
        <v>0</v>
      </c>
      <c r="J404" t="n">
        <v>0</v>
      </c>
      <c r="K404" t="n">
        <v>0</v>
      </c>
      <c r="L404" t="n">
        <v>0</v>
      </c>
      <c r="M404" t="n">
        <v>0</v>
      </c>
      <c r="N404" t="n">
        <v>0</v>
      </c>
      <c r="O404" t="n">
        <v>0</v>
      </c>
      <c r="P404" t="n">
        <v>0</v>
      </c>
      <c r="Q404" t="n">
        <v>0</v>
      </c>
      <c r="R404" s="2" t="inlineStr"/>
    </row>
    <row r="405" ht="15" customHeight="1">
      <c r="A405" t="inlineStr">
        <is>
          <t>A 37593-2025</t>
        </is>
      </c>
      <c r="B405" s="1" t="n">
        <v>45880.41325231481</v>
      </c>
      <c r="C405" s="1" t="n">
        <v>46066</v>
      </c>
      <c r="D405" t="inlineStr">
        <is>
          <t>VÄSTMANLANDS LÄN</t>
        </is>
      </c>
      <c r="E405" t="inlineStr">
        <is>
          <t>SALA</t>
        </is>
      </c>
      <c r="G405" t="n">
        <v>1.4</v>
      </c>
      <c r="H405" t="n">
        <v>0</v>
      </c>
      <c r="I405" t="n">
        <v>0</v>
      </c>
      <c r="J405" t="n">
        <v>0</v>
      </c>
      <c r="K405" t="n">
        <v>0</v>
      </c>
      <c r="L405" t="n">
        <v>0</v>
      </c>
      <c r="M405" t="n">
        <v>0</v>
      </c>
      <c r="N405" t="n">
        <v>0</v>
      </c>
      <c r="O405" t="n">
        <v>0</v>
      </c>
      <c r="P405" t="n">
        <v>0</v>
      </c>
      <c r="Q405" t="n">
        <v>0</v>
      </c>
      <c r="R405" s="2" t="inlineStr"/>
    </row>
    <row r="406" ht="15" customHeight="1">
      <c r="A406" t="inlineStr">
        <is>
          <t>A 34867-2023</t>
        </is>
      </c>
      <c r="B406" s="1" t="n">
        <v>45142.33481481481</v>
      </c>
      <c r="C406" s="1" t="n">
        <v>46066</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11631-2023</t>
        </is>
      </c>
      <c r="B407" s="1" t="n">
        <v>44994.44001157407</v>
      </c>
      <c r="C407" s="1" t="n">
        <v>46066</v>
      </c>
      <c r="D407" t="inlineStr">
        <is>
          <t>VÄSTMANLANDS LÄN</t>
        </is>
      </c>
      <c r="E407" t="inlineStr">
        <is>
          <t>SALA</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38294-2025</t>
        </is>
      </c>
      <c r="B408" s="1" t="n">
        <v>45883.44854166666</v>
      </c>
      <c r="C408" s="1" t="n">
        <v>46066</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43359-2024</t>
        </is>
      </c>
      <c r="B409" s="1" t="n">
        <v>45568.57724537037</v>
      </c>
      <c r="C409" s="1" t="n">
        <v>46066</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29972-2025</t>
        </is>
      </c>
      <c r="B410" s="1" t="n">
        <v>45826</v>
      </c>
      <c r="C410" s="1" t="n">
        <v>46066</v>
      </c>
      <c r="D410" t="inlineStr">
        <is>
          <t>VÄSTMANLANDS LÄN</t>
        </is>
      </c>
      <c r="E410" t="inlineStr">
        <is>
          <t>SALA</t>
        </is>
      </c>
      <c r="G410" t="n">
        <v>2.7</v>
      </c>
      <c r="H410" t="n">
        <v>0</v>
      </c>
      <c r="I410" t="n">
        <v>0</v>
      </c>
      <c r="J410" t="n">
        <v>0</v>
      </c>
      <c r="K410" t="n">
        <v>0</v>
      </c>
      <c r="L410" t="n">
        <v>0</v>
      </c>
      <c r="M410" t="n">
        <v>0</v>
      </c>
      <c r="N410" t="n">
        <v>0</v>
      </c>
      <c r="O410" t="n">
        <v>0</v>
      </c>
      <c r="P410" t="n">
        <v>0</v>
      </c>
      <c r="Q410" t="n">
        <v>0</v>
      </c>
      <c r="R410" s="2" t="inlineStr"/>
    </row>
    <row r="411" ht="15" customHeight="1">
      <c r="A411" t="inlineStr">
        <is>
          <t>A 8775-2024</t>
        </is>
      </c>
      <c r="B411" s="1" t="n">
        <v>45356</v>
      </c>
      <c r="C411" s="1" t="n">
        <v>46066</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44100-2025</t>
        </is>
      </c>
      <c r="B412" s="1" t="n">
        <v>45915.56707175926</v>
      </c>
      <c r="C412" s="1" t="n">
        <v>46066</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48710-2024</t>
        </is>
      </c>
      <c r="B413" s="1" t="n">
        <v>45593.53636574074</v>
      </c>
      <c r="C413" s="1" t="n">
        <v>46066</v>
      </c>
      <c r="D413" t="inlineStr">
        <is>
          <t>VÄSTMANLANDS LÄN</t>
        </is>
      </c>
      <c r="E413" t="inlineStr">
        <is>
          <t>SALA</t>
        </is>
      </c>
      <c r="G413" t="n">
        <v>6.5</v>
      </c>
      <c r="H413" t="n">
        <v>0</v>
      </c>
      <c r="I413" t="n">
        <v>0</v>
      </c>
      <c r="J413" t="n">
        <v>0</v>
      </c>
      <c r="K413" t="n">
        <v>0</v>
      </c>
      <c r="L413" t="n">
        <v>0</v>
      </c>
      <c r="M413" t="n">
        <v>0</v>
      </c>
      <c r="N413" t="n">
        <v>0</v>
      </c>
      <c r="O413" t="n">
        <v>0</v>
      </c>
      <c r="P413" t="n">
        <v>0</v>
      </c>
      <c r="Q413" t="n">
        <v>0</v>
      </c>
      <c r="R413" s="2" t="inlineStr"/>
    </row>
    <row r="414" ht="15" customHeight="1">
      <c r="A414" t="inlineStr">
        <is>
          <t>A 16404-2022</t>
        </is>
      </c>
      <c r="B414" s="1" t="n">
        <v>44671</v>
      </c>
      <c r="C414" s="1" t="n">
        <v>46066</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46279-2021</t>
        </is>
      </c>
      <c r="B415" s="1" t="n">
        <v>44442.57797453704</v>
      </c>
      <c r="C415" s="1" t="n">
        <v>46066</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24248-2023</t>
        </is>
      </c>
      <c r="B416" s="1" t="n">
        <v>45079</v>
      </c>
      <c r="C416" s="1" t="n">
        <v>46066</v>
      </c>
      <c r="D416" t="inlineStr">
        <is>
          <t>VÄSTMANLANDS LÄN</t>
        </is>
      </c>
      <c r="E416" t="inlineStr">
        <is>
          <t>SALA</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44524-2025</t>
        </is>
      </c>
      <c r="B417" s="1" t="n">
        <v>45916.72920138889</v>
      </c>
      <c r="C417" s="1" t="n">
        <v>46066</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44486-2025</t>
        </is>
      </c>
      <c r="B418" s="1" t="n">
        <v>45916.65517361111</v>
      </c>
      <c r="C418" s="1" t="n">
        <v>46066</v>
      </c>
      <c r="D418" t="inlineStr">
        <is>
          <t>VÄSTMANLANDS LÄN</t>
        </is>
      </c>
      <c r="E418" t="inlineStr">
        <is>
          <t>SALA</t>
        </is>
      </c>
      <c r="G418" t="n">
        <v>1.7</v>
      </c>
      <c r="H418" t="n">
        <v>0</v>
      </c>
      <c r="I418" t="n">
        <v>0</v>
      </c>
      <c r="J418" t="n">
        <v>0</v>
      </c>
      <c r="K418" t="n">
        <v>0</v>
      </c>
      <c r="L418" t="n">
        <v>0</v>
      </c>
      <c r="M418" t="n">
        <v>0</v>
      </c>
      <c r="N418" t="n">
        <v>0</v>
      </c>
      <c r="O418" t="n">
        <v>0</v>
      </c>
      <c r="P418" t="n">
        <v>0</v>
      </c>
      <c r="Q418" t="n">
        <v>0</v>
      </c>
      <c r="R418" s="2" t="inlineStr"/>
    </row>
    <row r="419" ht="15" customHeight="1">
      <c r="A419" t="inlineStr">
        <is>
          <t>A 10559-2024</t>
        </is>
      </c>
      <c r="B419" s="1" t="n">
        <v>45366</v>
      </c>
      <c r="C419" s="1" t="n">
        <v>46066</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40214-2023</t>
        </is>
      </c>
      <c r="B420" s="1" t="n">
        <v>45169.45173611111</v>
      </c>
      <c r="C420" s="1" t="n">
        <v>46066</v>
      </c>
      <c r="D420" t="inlineStr">
        <is>
          <t>VÄSTMANLANDS LÄN</t>
        </is>
      </c>
      <c r="E420" t="inlineStr">
        <is>
          <t>SALA</t>
        </is>
      </c>
      <c r="G420" t="n">
        <v>5.5</v>
      </c>
      <c r="H420" t="n">
        <v>0</v>
      </c>
      <c r="I420" t="n">
        <v>0</v>
      </c>
      <c r="J420" t="n">
        <v>0</v>
      </c>
      <c r="K420" t="n">
        <v>0</v>
      </c>
      <c r="L420" t="n">
        <v>0</v>
      </c>
      <c r="M420" t="n">
        <v>0</v>
      </c>
      <c r="N420" t="n">
        <v>0</v>
      </c>
      <c r="O420" t="n">
        <v>0</v>
      </c>
      <c r="P420" t="n">
        <v>0</v>
      </c>
      <c r="Q420" t="n">
        <v>0</v>
      </c>
      <c r="R420" s="2" t="inlineStr"/>
    </row>
    <row r="421" ht="15" customHeight="1">
      <c r="A421" t="inlineStr">
        <is>
          <t>A 9856-2022</t>
        </is>
      </c>
      <c r="B421" s="1" t="n">
        <v>44620</v>
      </c>
      <c r="C421" s="1" t="n">
        <v>46066</v>
      </c>
      <c r="D421" t="inlineStr">
        <is>
          <t>VÄSTMANLANDS LÄN</t>
        </is>
      </c>
      <c r="E421" t="inlineStr">
        <is>
          <t>SALA</t>
        </is>
      </c>
      <c r="G421" t="n">
        <v>2.4</v>
      </c>
      <c r="H421" t="n">
        <v>0</v>
      </c>
      <c r="I421" t="n">
        <v>0</v>
      </c>
      <c r="J421" t="n">
        <v>0</v>
      </c>
      <c r="K421" t="n">
        <v>0</v>
      </c>
      <c r="L421" t="n">
        <v>0</v>
      </c>
      <c r="M421" t="n">
        <v>0</v>
      </c>
      <c r="N421" t="n">
        <v>0</v>
      </c>
      <c r="O421" t="n">
        <v>0</v>
      </c>
      <c r="P421" t="n">
        <v>0</v>
      </c>
      <c r="Q421" t="n">
        <v>0</v>
      </c>
      <c r="R421" s="2" t="inlineStr"/>
    </row>
    <row r="422" ht="15" customHeight="1">
      <c r="A422" t="inlineStr">
        <is>
          <t>A 18100-2023</t>
        </is>
      </c>
      <c r="B422" s="1" t="n">
        <v>45040</v>
      </c>
      <c r="C422" s="1" t="n">
        <v>46066</v>
      </c>
      <c r="D422" t="inlineStr">
        <is>
          <t>VÄSTMANLANDS LÄN</t>
        </is>
      </c>
      <c r="E422" t="inlineStr">
        <is>
          <t>SALA</t>
        </is>
      </c>
      <c r="G422" t="n">
        <v>1.8</v>
      </c>
      <c r="H422" t="n">
        <v>0</v>
      </c>
      <c r="I422" t="n">
        <v>0</v>
      </c>
      <c r="J422" t="n">
        <v>0</v>
      </c>
      <c r="K422" t="n">
        <v>0</v>
      </c>
      <c r="L422" t="n">
        <v>0</v>
      </c>
      <c r="M422" t="n">
        <v>0</v>
      </c>
      <c r="N422" t="n">
        <v>0</v>
      </c>
      <c r="O422" t="n">
        <v>0</v>
      </c>
      <c r="P422" t="n">
        <v>0</v>
      </c>
      <c r="Q422" t="n">
        <v>0</v>
      </c>
      <c r="R422" s="2" t="inlineStr"/>
    </row>
    <row r="423" ht="15" customHeight="1">
      <c r="A423" t="inlineStr">
        <is>
          <t>A 45177-2025</t>
        </is>
      </c>
      <c r="B423" s="1" t="n">
        <v>45919.52444444445</v>
      </c>
      <c r="C423" s="1" t="n">
        <v>46066</v>
      </c>
      <c r="D423" t="inlineStr">
        <is>
          <t>VÄSTMANLANDS LÄN</t>
        </is>
      </c>
      <c r="E423" t="inlineStr">
        <is>
          <t>SALA</t>
        </is>
      </c>
      <c r="G423" t="n">
        <v>2.4</v>
      </c>
      <c r="H423" t="n">
        <v>0</v>
      </c>
      <c r="I423" t="n">
        <v>0</v>
      </c>
      <c r="J423" t="n">
        <v>0</v>
      </c>
      <c r="K423" t="n">
        <v>0</v>
      </c>
      <c r="L423" t="n">
        <v>0</v>
      </c>
      <c r="M423" t="n">
        <v>0</v>
      </c>
      <c r="N423" t="n">
        <v>0</v>
      </c>
      <c r="O423" t="n">
        <v>0</v>
      </c>
      <c r="P423" t="n">
        <v>0</v>
      </c>
      <c r="Q423" t="n">
        <v>0</v>
      </c>
      <c r="R423" s="2" t="inlineStr"/>
    </row>
    <row r="424" ht="15" customHeight="1">
      <c r="A424" t="inlineStr">
        <is>
          <t>A 23374-2023</t>
        </is>
      </c>
      <c r="B424" s="1" t="n">
        <v>45076.4399537037</v>
      </c>
      <c r="C424" s="1" t="n">
        <v>46066</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73673-2021</t>
        </is>
      </c>
      <c r="B425" s="1" t="n">
        <v>44552.46501157407</v>
      </c>
      <c r="C425" s="1" t="n">
        <v>46066</v>
      </c>
      <c r="D425" t="inlineStr">
        <is>
          <t>VÄSTMANLANDS LÄN</t>
        </is>
      </c>
      <c r="E425" t="inlineStr">
        <is>
          <t>SALA</t>
        </is>
      </c>
      <c r="G425" t="n">
        <v>11.4</v>
      </c>
      <c r="H425" t="n">
        <v>0</v>
      </c>
      <c r="I425" t="n">
        <v>0</v>
      </c>
      <c r="J425" t="n">
        <v>0</v>
      </c>
      <c r="K425" t="n">
        <v>0</v>
      </c>
      <c r="L425" t="n">
        <v>0</v>
      </c>
      <c r="M425" t="n">
        <v>0</v>
      </c>
      <c r="N425" t="n">
        <v>0</v>
      </c>
      <c r="O425" t="n">
        <v>0</v>
      </c>
      <c r="P425" t="n">
        <v>0</v>
      </c>
      <c r="Q425" t="n">
        <v>0</v>
      </c>
      <c r="R425" s="2" t="inlineStr"/>
    </row>
    <row r="426" ht="15" customHeight="1">
      <c r="A426" t="inlineStr">
        <is>
          <t>A 43122-2025</t>
        </is>
      </c>
      <c r="B426" s="1" t="n">
        <v>45909</v>
      </c>
      <c r="C426" s="1" t="n">
        <v>46066</v>
      </c>
      <c r="D426" t="inlineStr">
        <is>
          <t>VÄSTMANLANDS LÄN</t>
        </is>
      </c>
      <c r="E426" t="inlineStr">
        <is>
          <t>SALA</t>
        </is>
      </c>
      <c r="G426" t="n">
        <v>3.2</v>
      </c>
      <c r="H426" t="n">
        <v>0</v>
      </c>
      <c r="I426" t="n">
        <v>0</v>
      </c>
      <c r="J426" t="n">
        <v>0</v>
      </c>
      <c r="K426" t="n">
        <v>0</v>
      </c>
      <c r="L426" t="n">
        <v>0</v>
      </c>
      <c r="M426" t="n">
        <v>0</v>
      </c>
      <c r="N426" t="n">
        <v>0</v>
      </c>
      <c r="O426" t="n">
        <v>0</v>
      </c>
      <c r="P426" t="n">
        <v>0</v>
      </c>
      <c r="Q426" t="n">
        <v>0</v>
      </c>
      <c r="R426" s="2" t="inlineStr"/>
    </row>
    <row r="427" ht="15" customHeight="1">
      <c r="A427" t="inlineStr">
        <is>
          <t>A 6134-2024</t>
        </is>
      </c>
      <c r="B427" s="1" t="n">
        <v>45337</v>
      </c>
      <c r="C427" s="1" t="n">
        <v>46066</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48117-2024</t>
        </is>
      </c>
      <c r="B428" s="1" t="n">
        <v>45589</v>
      </c>
      <c r="C428" s="1" t="n">
        <v>46066</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31082-2021</t>
        </is>
      </c>
      <c r="B429" s="1" t="n">
        <v>44368</v>
      </c>
      <c r="C429" s="1" t="n">
        <v>46066</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45371-2025</t>
        </is>
      </c>
      <c r="B430" s="1" t="n">
        <v>45922.39001157408</v>
      </c>
      <c r="C430" s="1" t="n">
        <v>46066</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31470-2021</t>
        </is>
      </c>
      <c r="B431" s="1" t="n">
        <v>44369</v>
      </c>
      <c r="C431" s="1" t="n">
        <v>46066</v>
      </c>
      <c r="D431" t="inlineStr">
        <is>
          <t>VÄSTMANLANDS LÄN</t>
        </is>
      </c>
      <c r="E431" t="inlineStr">
        <is>
          <t>SALA</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24175-2024</t>
        </is>
      </c>
      <c r="B432" s="1" t="n">
        <v>45456</v>
      </c>
      <c r="C432" s="1" t="n">
        <v>46066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28328-2023</t>
        </is>
      </c>
      <c r="B433" s="1" t="n">
        <v>45099.71063657408</v>
      </c>
      <c r="C433" s="1" t="n">
        <v>46066</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45914-2025</t>
        </is>
      </c>
      <c r="B434" s="1" t="n">
        <v>45923.82582175926</v>
      </c>
      <c r="C434" s="1" t="n">
        <v>46066</v>
      </c>
      <c r="D434" t="inlineStr">
        <is>
          <t>VÄSTMANLANDS LÄN</t>
        </is>
      </c>
      <c r="E434" t="inlineStr">
        <is>
          <t>SALA</t>
        </is>
      </c>
      <c r="F434" t="inlineStr">
        <is>
          <t>Kommuner</t>
        </is>
      </c>
      <c r="G434" t="n">
        <v>18.2</v>
      </c>
      <c r="H434" t="n">
        <v>0</v>
      </c>
      <c r="I434" t="n">
        <v>0</v>
      </c>
      <c r="J434" t="n">
        <v>0</v>
      </c>
      <c r="K434" t="n">
        <v>0</v>
      </c>
      <c r="L434" t="n">
        <v>0</v>
      </c>
      <c r="M434" t="n">
        <v>0</v>
      </c>
      <c r="N434" t="n">
        <v>0</v>
      </c>
      <c r="O434" t="n">
        <v>0</v>
      </c>
      <c r="P434" t="n">
        <v>0</v>
      </c>
      <c r="Q434" t="n">
        <v>0</v>
      </c>
      <c r="R434" s="2" t="inlineStr"/>
    </row>
    <row r="435" ht="15" customHeight="1">
      <c r="A435" t="inlineStr">
        <is>
          <t>A 45909-2025</t>
        </is>
      </c>
      <c r="B435" s="1" t="n">
        <v>45923.75078703704</v>
      </c>
      <c r="C435" s="1" t="n">
        <v>46066</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61715-2024</t>
        </is>
      </c>
      <c r="B436" s="1" t="n">
        <v>45648.89519675926</v>
      </c>
      <c r="C436" s="1" t="n">
        <v>46066</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46915-2025</t>
        </is>
      </c>
      <c r="B437" s="1" t="n">
        <v>45929.42114583333</v>
      </c>
      <c r="C437" s="1" t="n">
        <v>46066</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38195-2021</t>
        </is>
      </c>
      <c r="B438" s="1" t="n">
        <v>44405</v>
      </c>
      <c r="C438" s="1" t="n">
        <v>46066</v>
      </c>
      <c r="D438" t="inlineStr">
        <is>
          <t>VÄSTMANLANDS LÄN</t>
        </is>
      </c>
      <c r="E438" t="inlineStr">
        <is>
          <t>SALA</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46597-2025</t>
        </is>
      </c>
      <c r="B439" s="1" t="n">
        <v>45926.40113425926</v>
      </c>
      <c r="C439" s="1" t="n">
        <v>46066</v>
      </c>
      <c r="D439" t="inlineStr">
        <is>
          <t>VÄSTMANLANDS LÄN</t>
        </is>
      </c>
      <c r="E439" t="inlineStr">
        <is>
          <t>SALA</t>
        </is>
      </c>
      <c r="G439" t="n">
        <v>3.4</v>
      </c>
      <c r="H439" t="n">
        <v>0</v>
      </c>
      <c r="I439" t="n">
        <v>0</v>
      </c>
      <c r="J439" t="n">
        <v>0</v>
      </c>
      <c r="K439" t="n">
        <v>0</v>
      </c>
      <c r="L439" t="n">
        <v>0</v>
      </c>
      <c r="M439" t="n">
        <v>0</v>
      </c>
      <c r="N439" t="n">
        <v>0</v>
      </c>
      <c r="O439" t="n">
        <v>0</v>
      </c>
      <c r="P439" t="n">
        <v>0</v>
      </c>
      <c r="Q439" t="n">
        <v>0</v>
      </c>
      <c r="R439" s="2" t="inlineStr"/>
    </row>
    <row r="440" ht="15" customHeight="1">
      <c r="A440" t="inlineStr">
        <is>
          <t>A 6132-2025</t>
        </is>
      </c>
      <c r="B440" s="1" t="n">
        <v>45698</v>
      </c>
      <c r="C440" s="1" t="n">
        <v>46066</v>
      </c>
      <c r="D440" t="inlineStr">
        <is>
          <t>VÄSTMANLANDS LÄN</t>
        </is>
      </c>
      <c r="E440" t="inlineStr">
        <is>
          <t>SALA</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21777-2022</t>
        </is>
      </c>
      <c r="B441" s="1" t="n">
        <v>44708.48194444444</v>
      </c>
      <c r="C441" s="1" t="n">
        <v>46066</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11389-2024</t>
        </is>
      </c>
      <c r="B442" s="1" t="n">
        <v>45372.45016203704</v>
      </c>
      <c r="C442" s="1" t="n">
        <v>46066</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47577-2025</t>
        </is>
      </c>
      <c r="B443" s="1" t="n">
        <v>45931.4047337963</v>
      </c>
      <c r="C443" s="1" t="n">
        <v>46066</v>
      </c>
      <c r="D443" t="inlineStr">
        <is>
          <t>VÄSTMANLANDS LÄN</t>
        </is>
      </c>
      <c r="E443" t="inlineStr">
        <is>
          <t>SALA</t>
        </is>
      </c>
      <c r="G443" t="n">
        <v>3.7</v>
      </c>
      <c r="H443" t="n">
        <v>0</v>
      </c>
      <c r="I443" t="n">
        <v>0</v>
      </c>
      <c r="J443" t="n">
        <v>0</v>
      </c>
      <c r="K443" t="n">
        <v>0</v>
      </c>
      <c r="L443" t="n">
        <v>0</v>
      </c>
      <c r="M443" t="n">
        <v>0</v>
      </c>
      <c r="N443" t="n">
        <v>0</v>
      </c>
      <c r="O443" t="n">
        <v>0</v>
      </c>
      <c r="P443" t="n">
        <v>0</v>
      </c>
      <c r="Q443" t="n">
        <v>0</v>
      </c>
      <c r="R443" s="2" t="inlineStr"/>
    </row>
    <row r="444" ht="15" customHeight="1">
      <c r="A444" t="inlineStr">
        <is>
          <t>A 2925-2024</t>
        </is>
      </c>
      <c r="B444" s="1" t="n">
        <v>45315.58909722222</v>
      </c>
      <c r="C444" s="1" t="n">
        <v>46066</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46661-2025</t>
        </is>
      </c>
      <c r="B445" s="1" t="n">
        <v>45926</v>
      </c>
      <c r="C445" s="1" t="n">
        <v>46066</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39439-2021</t>
        </is>
      </c>
      <c r="B446" s="1" t="n">
        <v>44414</v>
      </c>
      <c r="C446" s="1" t="n">
        <v>46066</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48057-2025</t>
        </is>
      </c>
      <c r="B447" s="1" t="n">
        <v>45932.67947916667</v>
      </c>
      <c r="C447" s="1" t="n">
        <v>46066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3332-2024</t>
        </is>
      </c>
      <c r="B448" s="1" t="n">
        <v>45317</v>
      </c>
      <c r="C448" s="1" t="n">
        <v>46066</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2529-2022</t>
        </is>
      </c>
      <c r="B449" s="1" t="n">
        <v>44579.86452546297</v>
      </c>
      <c r="C449" s="1" t="n">
        <v>46066</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13471-2025</t>
        </is>
      </c>
      <c r="B450" s="1" t="n">
        <v>45736.40579861111</v>
      </c>
      <c r="C450" s="1" t="n">
        <v>46066</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15681-2025</t>
        </is>
      </c>
      <c r="B451" s="1" t="n">
        <v>45748.45454861111</v>
      </c>
      <c r="C451" s="1" t="n">
        <v>46066</v>
      </c>
      <c r="D451" t="inlineStr">
        <is>
          <t>VÄSTMANLANDS LÄN</t>
        </is>
      </c>
      <c r="E451" t="inlineStr">
        <is>
          <t>SALA</t>
        </is>
      </c>
      <c r="F451" t="inlineStr">
        <is>
          <t>Bergvik skog öst AB</t>
        </is>
      </c>
      <c r="G451" t="n">
        <v>4.3</v>
      </c>
      <c r="H451" t="n">
        <v>0</v>
      </c>
      <c r="I451" t="n">
        <v>0</v>
      </c>
      <c r="J451" t="n">
        <v>0</v>
      </c>
      <c r="K451" t="n">
        <v>0</v>
      </c>
      <c r="L451" t="n">
        <v>0</v>
      </c>
      <c r="M451" t="n">
        <v>0</v>
      </c>
      <c r="N451" t="n">
        <v>0</v>
      </c>
      <c r="O451" t="n">
        <v>0</v>
      </c>
      <c r="P451" t="n">
        <v>0</v>
      </c>
      <c r="Q451" t="n">
        <v>0</v>
      </c>
      <c r="R451" s="2" t="inlineStr"/>
    </row>
    <row r="452" ht="15" customHeight="1">
      <c r="A452" t="inlineStr">
        <is>
          <t>A 48710-2025</t>
        </is>
      </c>
      <c r="B452" s="1" t="n">
        <v>45936.63184027778</v>
      </c>
      <c r="C452" s="1" t="n">
        <v>46066</v>
      </c>
      <c r="D452" t="inlineStr">
        <is>
          <t>VÄSTMANLANDS LÄN</t>
        </is>
      </c>
      <c r="E452" t="inlineStr">
        <is>
          <t>SALA</t>
        </is>
      </c>
      <c r="G452" t="n">
        <v>2.7</v>
      </c>
      <c r="H452" t="n">
        <v>0</v>
      </c>
      <c r="I452" t="n">
        <v>0</v>
      </c>
      <c r="J452" t="n">
        <v>0</v>
      </c>
      <c r="K452" t="n">
        <v>0</v>
      </c>
      <c r="L452" t="n">
        <v>0</v>
      </c>
      <c r="M452" t="n">
        <v>0</v>
      </c>
      <c r="N452" t="n">
        <v>0</v>
      </c>
      <c r="O452" t="n">
        <v>0</v>
      </c>
      <c r="P452" t="n">
        <v>0</v>
      </c>
      <c r="Q452" t="n">
        <v>0</v>
      </c>
      <c r="R452" s="2" t="inlineStr"/>
    </row>
    <row r="453" ht="15" customHeight="1">
      <c r="A453" t="inlineStr">
        <is>
          <t>A 18431-2023</t>
        </is>
      </c>
      <c r="B453" s="1" t="n">
        <v>45042</v>
      </c>
      <c r="C453" s="1" t="n">
        <v>46066</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27424-2023</t>
        </is>
      </c>
      <c r="B454" s="1" t="n">
        <v>45097.37690972222</v>
      </c>
      <c r="C454" s="1" t="n">
        <v>46066</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58701-2021</t>
        </is>
      </c>
      <c r="B455" s="1" t="n">
        <v>44489.46454861111</v>
      </c>
      <c r="C455" s="1" t="n">
        <v>46066</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11244-2024</t>
        </is>
      </c>
      <c r="B456" s="1" t="n">
        <v>45371</v>
      </c>
      <c r="C456" s="1" t="n">
        <v>46066</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12225-2023</t>
        </is>
      </c>
      <c r="B457" s="1" t="n">
        <v>44995</v>
      </c>
      <c r="C457" s="1" t="n">
        <v>46066</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48910-2025</t>
        </is>
      </c>
      <c r="B458" s="1" t="n">
        <v>45937.48649305556</v>
      </c>
      <c r="C458" s="1" t="n">
        <v>46066</v>
      </c>
      <c r="D458" t="inlineStr">
        <is>
          <t>VÄSTMANLANDS LÄN</t>
        </is>
      </c>
      <c r="E458" t="inlineStr">
        <is>
          <t>SALA</t>
        </is>
      </c>
      <c r="G458" t="n">
        <v>7.8</v>
      </c>
      <c r="H458" t="n">
        <v>0</v>
      </c>
      <c r="I458" t="n">
        <v>0</v>
      </c>
      <c r="J458" t="n">
        <v>0</v>
      </c>
      <c r="K458" t="n">
        <v>0</v>
      </c>
      <c r="L458" t="n">
        <v>0</v>
      </c>
      <c r="M458" t="n">
        <v>0</v>
      </c>
      <c r="N458" t="n">
        <v>0</v>
      </c>
      <c r="O458" t="n">
        <v>0</v>
      </c>
      <c r="P458" t="n">
        <v>0</v>
      </c>
      <c r="Q458" t="n">
        <v>0</v>
      </c>
      <c r="R458" s="2" t="inlineStr"/>
    </row>
    <row r="459" ht="15" customHeight="1">
      <c r="A459" t="inlineStr">
        <is>
          <t>A 49585-2025</t>
        </is>
      </c>
      <c r="B459" s="1" t="n">
        <v>45939.5043287037</v>
      </c>
      <c r="C459" s="1" t="n">
        <v>46066</v>
      </c>
      <c r="D459" t="inlineStr">
        <is>
          <t>VÄSTMANLANDS LÄN</t>
        </is>
      </c>
      <c r="E459" t="inlineStr">
        <is>
          <t>SALA</t>
        </is>
      </c>
      <c r="G459" t="n">
        <v>2.2</v>
      </c>
      <c r="H459" t="n">
        <v>0</v>
      </c>
      <c r="I459" t="n">
        <v>0</v>
      </c>
      <c r="J459" t="n">
        <v>0</v>
      </c>
      <c r="K459" t="n">
        <v>0</v>
      </c>
      <c r="L459" t="n">
        <v>0</v>
      </c>
      <c r="M459" t="n">
        <v>0</v>
      </c>
      <c r="N459" t="n">
        <v>0</v>
      </c>
      <c r="O459" t="n">
        <v>0</v>
      </c>
      <c r="P459" t="n">
        <v>0</v>
      </c>
      <c r="Q459" t="n">
        <v>0</v>
      </c>
      <c r="R459" s="2" t="inlineStr"/>
    </row>
    <row r="460" ht="15" customHeight="1">
      <c r="A460" t="inlineStr">
        <is>
          <t>A 61874-2021</t>
        </is>
      </c>
      <c r="B460" s="1" t="n">
        <v>44502</v>
      </c>
      <c r="C460" s="1" t="n">
        <v>46066</v>
      </c>
      <c r="D460" t="inlineStr">
        <is>
          <t>VÄSTMANLANDS LÄN</t>
        </is>
      </c>
      <c r="E460" t="inlineStr">
        <is>
          <t>SALA</t>
        </is>
      </c>
      <c r="F460" t="inlineStr">
        <is>
          <t>Kyrkan</t>
        </is>
      </c>
      <c r="G460" t="n">
        <v>1.3</v>
      </c>
      <c r="H460" t="n">
        <v>0</v>
      </c>
      <c r="I460" t="n">
        <v>0</v>
      </c>
      <c r="J460" t="n">
        <v>0</v>
      </c>
      <c r="K460" t="n">
        <v>0</v>
      </c>
      <c r="L460" t="n">
        <v>0</v>
      </c>
      <c r="M460" t="n">
        <v>0</v>
      </c>
      <c r="N460" t="n">
        <v>0</v>
      </c>
      <c r="O460" t="n">
        <v>0</v>
      </c>
      <c r="P460" t="n">
        <v>0</v>
      </c>
      <c r="Q460" t="n">
        <v>0</v>
      </c>
      <c r="R460" s="2" t="inlineStr"/>
    </row>
    <row r="461" ht="15" customHeight="1">
      <c r="A461" t="inlineStr">
        <is>
          <t>A 62651-2022</t>
        </is>
      </c>
      <c r="B461" s="1" t="n">
        <v>44917</v>
      </c>
      <c r="C461" s="1" t="n">
        <v>46066</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15968-2024</t>
        </is>
      </c>
      <c r="B462" s="1" t="n">
        <v>45405.56021990741</v>
      </c>
      <c r="C462" s="1" t="n">
        <v>46066</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60730-2023</t>
        </is>
      </c>
      <c r="B463" s="1" t="n">
        <v>45260</v>
      </c>
      <c r="C463" s="1" t="n">
        <v>46066</v>
      </c>
      <c r="D463" t="inlineStr">
        <is>
          <t>VÄSTMANLANDS LÄN</t>
        </is>
      </c>
      <c r="E463" t="inlineStr">
        <is>
          <t>SALA</t>
        </is>
      </c>
      <c r="G463" t="n">
        <v>1.3</v>
      </c>
      <c r="H463" t="n">
        <v>0</v>
      </c>
      <c r="I463" t="n">
        <v>0</v>
      </c>
      <c r="J463" t="n">
        <v>0</v>
      </c>
      <c r="K463" t="n">
        <v>0</v>
      </c>
      <c r="L463" t="n">
        <v>0</v>
      </c>
      <c r="M463" t="n">
        <v>0</v>
      </c>
      <c r="N463" t="n">
        <v>0</v>
      </c>
      <c r="O463" t="n">
        <v>0</v>
      </c>
      <c r="P463" t="n">
        <v>0</v>
      </c>
      <c r="Q463" t="n">
        <v>0</v>
      </c>
      <c r="R463" s="2" t="inlineStr"/>
    </row>
    <row r="464" ht="15" customHeight="1">
      <c r="A464" t="inlineStr">
        <is>
          <t>A 60731-2023</t>
        </is>
      </c>
      <c r="B464" s="1" t="n">
        <v>45260</v>
      </c>
      <c r="C464" s="1" t="n">
        <v>46066</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49640-2025</t>
        </is>
      </c>
      <c r="B465" s="1" t="n">
        <v>45939.61459490741</v>
      </c>
      <c r="C465" s="1" t="n">
        <v>46066</v>
      </c>
      <c r="D465" t="inlineStr">
        <is>
          <t>VÄSTMANLANDS LÄN</t>
        </is>
      </c>
      <c r="E465" t="inlineStr">
        <is>
          <t>SALA</t>
        </is>
      </c>
      <c r="F465" t="inlineStr">
        <is>
          <t>Kommuner</t>
        </is>
      </c>
      <c r="G465" t="n">
        <v>18.8</v>
      </c>
      <c r="H465" t="n">
        <v>0</v>
      </c>
      <c r="I465" t="n">
        <v>0</v>
      </c>
      <c r="J465" t="n">
        <v>0</v>
      </c>
      <c r="K465" t="n">
        <v>0</v>
      </c>
      <c r="L465" t="n">
        <v>0</v>
      </c>
      <c r="M465" t="n">
        <v>0</v>
      </c>
      <c r="N465" t="n">
        <v>0</v>
      </c>
      <c r="O465" t="n">
        <v>0</v>
      </c>
      <c r="P465" t="n">
        <v>0</v>
      </c>
      <c r="Q465" t="n">
        <v>0</v>
      </c>
      <c r="R465" s="2" t="inlineStr"/>
    </row>
    <row r="466" ht="15" customHeight="1">
      <c r="A466" t="inlineStr">
        <is>
          <t>A 18461-2024</t>
        </is>
      </c>
      <c r="B466" s="1" t="n">
        <v>45425.47435185185</v>
      </c>
      <c r="C466" s="1" t="n">
        <v>46066</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4663-2022</t>
        </is>
      </c>
      <c r="B467" s="1" t="n">
        <v>44592.45429398148</v>
      </c>
      <c r="C467" s="1" t="n">
        <v>46066</v>
      </c>
      <c r="D467" t="inlineStr">
        <is>
          <t>VÄSTMANLANDS LÄN</t>
        </is>
      </c>
      <c r="E467" t="inlineStr">
        <is>
          <t>SALA</t>
        </is>
      </c>
      <c r="G467" t="n">
        <v>2.5</v>
      </c>
      <c r="H467" t="n">
        <v>0</v>
      </c>
      <c r="I467" t="n">
        <v>0</v>
      </c>
      <c r="J467" t="n">
        <v>0</v>
      </c>
      <c r="K467" t="n">
        <v>0</v>
      </c>
      <c r="L467" t="n">
        <v>0</v>
      </c>
      <c r="M467" t="n">
        <v>0</v>
      </c>
      <c r="N467" t="n">
        <v>0</v>
      </c>
      <c r="O467" t="n">
        <v>0</v>
      </c>
      <c r="P467" t="n">
        <v>0</v>
      </c>
      <c r="Q467" t="n">
        <v>0</v>
      </c>
      <c r="R467" s="2" t="inlineStr"/>
    </row>
    <row r="468" ht="15" customHeight="1">
      <c r="A468" t="inlineStr">
        <is>
          <t>A 6032-2025</t>
        </is>
      </c>
      <c r="B468" s="1" t="n">
        <v>45695.6371875</v>
      </c>
      <c r="C468" s="1" t="n">
        <v>46066</v>
      </c>
      <c r="D468" t="inlineStr">
        <is>
          <t>VÄSTMANLANDS LÄN</t>
        </is>
      </c>
      <c r="E468" t="inlineStr">
        <is>
          <t>SALA</t>
        </is>
      </c>
      <c r="F468" t="inlineStr">
        <is>
          <t>Bergvik skog öst AB</t>
        </is>
      </c>
      <c r="G468" t="n">
        <v>8.1</v>
      </c>
      <c r="H468" t="n">
        <v>0</v>
      </c>
      <c r="I468" t="n">
        <v>0</v>
      </c>
      <c r="J468" t="n">
        <v>0</v>
      </c>
      <c r="K468" t="n">
        <v>0</v>
      </c>
      <c r="L468" t="n">
        <v>0</v>
      </c>
      <c r="M468" t="n">
        <v>0</v>
      </c>
      <c r="N468" t="n">
        <v>0</v>
      </c>
      <c r="O468" t="n">
        <v>0</v>
      </c>
      <c r="P468" t="n">
        <v>0</v>
      </c>
      <c r="Q468" t="n">
        <v>0</v>
      </c>
      <c r="R468" s="2" t="inlineStr"/>
    </row>
    <row r="469" ht="15" customHeight="1">
      <c r="A469" t="inlineStr">
        <is>
          <t>A 50128-2025</t>
        </is>
      </c>
      <c r="B469" s="1" t="n">
        <v>45943.55318287037</v>
      </c>
      <c r="C469" s="1" t="n">
        <v>46066</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50119-2025</t>
        </is>
      </c>
      <c r="B470" s="1" t="n">
        <v>45943.54883101852</v>
      </c>
      <c r="C470" s="1" t="n">
        <v>46066</v>
      </c>
      <c r="D470" t="inlineStr">
        <is>
          <t>VÄSTMANLANDS LÄN</t>
        </is>
      </c>
      <c r="E470" t="inlineStr">
        <is>
          <t>SALA</t>
        </is>
      </c>
      <c r="G470" t="n">
        <v>3.3</v>
      </c>
      <c r="H470" t="n">
        <v>0</v>
      </c>
      <c r="I470" t="n">
        <v>0</v>
      </c>
      <c r="J470" t="n">
        <v>0</v>
      </c>
      <c r="K470" t="n">
        <v>0</v>
      </c>
      <c r="L470" t="n">
        <v>0</v>
      </c>
      <c r="M470" t="n">
        <v>0</v>
      </c>
      <c r="N470" t="n">
        <v>0</v>
      </c>
      <c r="O470" t="n">
        <v>0</v>
      </c>
      <c r="P470" t="n">
        <v>0</v>
      </c>
      <c r="Q470" t="n">
        <v>0</v>
      </c>
      <c r="R470" s="2" t="inlineStr"/>
    </row>
    <row r="471" ht="15" customHeight="1">
      <c r="A471" t="inlineStr">
        <is>
          <t>A 50059-2025</t>
        </is>
      </c>
      <c r="B471" s="1" t="n">
        <v>45943.44125</v>
      </c>
      <c r="C471" s="1" t="n">
        <v>46066</v>
      </c>
      <c r="D471" t="inlineStr">
        <is>
          <t>VÄSTMANLANDS LÄN</t>
        </is>
      </c>
      <c r="E471" t="inlineStr">
        <is>
          <t>SALA</t>
        </is>
      </c>
      <c r="G471" t="n">
        <v>4.4</v>
      </c>
      <c r="H471" t="n">
        <v>0</v>
      </c>
      <c r="I471" t="n">
        <v>0</v>
      </c>
      <c r="J471" t="n">
        <v>0</v>
      </c>
      <c r="K471" t="n">
        <v>0</v>
      </c>
      <c r="L471" t="n">
        <v>0</v>
      </c>
      <c r="M471" t="n">
        <v>0</v>
      </c>
      <c r="N471" t="n">
        <v>0</v>
      </c>
      <c r="O471" t="n">
        <v>0</v>
      </c>
      <c r="P471" t="n">
        <v>0</v>
      </c>
      <c r="Q471" t="n">
        <v>0</v>
      </c>
      <c r="R471" s="2" t="inlineStr"/>
    </row>
    <row r="472" ht="15" customHeight="1">
      <c r="A472" t="inlineStr">
        <is>
          <t>A 2766-2024</t>
        </is>
      </c>
      <c r="B472" s="1" t="n">
        <v>45314.60950231482</v>
      </c>
      <c r="C472" s="1" t="n">
        <v>46066</v>
      </c>
      <c r="D472" t="inlineStr">
        <is>
          <t>VÄSTMANLANDS LÄN</t>
        </is>
      </c>
      <c r="E472" t="inlineStr">
        <is>
          <t>SALA</t>
        </is>
      </c>
      <c r="G472" t="n">
        <v>2.8</v>
      </c>
      <c r="H472" t="n">
        <v>0</v>
      </c>
      <c r="I472" t="n">
        <v>0</v>
      </c>
      <c r="J472" t="n">
        <v>0</v>
      </c>
      <c r="K472" t="n">
        <v>0</v>
      </c>
      <c r="L472" t="n">
        <v>0</v>
      </c>
      <c r="M472" t="n">
        <v>0</v>
      </c>
      <c r="N472" t="n">
        <v>0</v>
      </c>
      <c r="O472" t="n">
        <v>0</v>
      </c>
      <c r="P472" t="n">
        <v>0</v>
      </c>
      <c r="Q472" t="n">
        <v>0</v>
      </c>
      <c r="R472" s="2" t="inlineStr"/>
    </row>
    <row r="473" ht="15" customHeight="1">
      <c r="A473" t="inlineStr">
        <is>
          <t>A 50249-2025</t>
        </is>
      </c>
      <c r="B473" s="1" t="n">
        <v>45944.31508101852</v>
      </c>
      <c r="C473" s="1" t="n">
        <v>46066</v>
      </c>
      <c r="D473" t="inlineStr">
        <is>
          <t>VÄSTMANLANDS LÄN</t>
        </is>
      </c>
      <c r="E473" t="inlineStr">
        <is>
          <t>SALA</t>
        </is>
      </c>
      <c r="G473" t="n">
        <v>2.3</v>
      </c>
      <c r="H473" t="n">
        <v>0</v>
      </c>
      <c r="I473" t="n">
        <v>0</v>
      </c>
      <c r="J473" t="n">
        <v>0</v>
      </c>
      <c r="K473" t="n">
        <v>0</v>
      </c>
      <c r="L473" t="n">
        <v>0</v>
      </c>
      <c r="M473" t="n">
        <v>0</v>
      </c>
      <c r="N473" t="n">
        <v>0</v>
      </c>
      <c r="O473" t="n">
        <v>0</v>
      </c>
      <c r="P473" t="n">
        <v>0</v>
      </c>
      <c r="Q473" t="n">
        <v>0</v>
      </c>
      <c r="R473" s="2" t="inlineStr"/>
    </row>
    <row r="474" ht="15" customHeight="1">
      <c r="A474" t="inlineStr">
        <is>
          <t>A 6351-2023</t>
        </is>
      </c>
      <c r="B474" s="1" t="n">
        <v>44965</v>
      </c>
      <c r="C474" s="1" t="n">
        <v>46066</v>
      </c>
      <c r="D474" t="inlineStr">
        <is>
          <t>VÄSTMANLANDS LÄN</t>
        </is>
      </c>
      <c r="E474" t="inlineStr">
        <is>
          <t>SALA</t>
        </is>
      </c>
      <c r="F474" t="inlineStr">
        <is>
          <t>Kommuner</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45187-2024</t>
        </is>
      </c>
      <c r="B475" s="1" t="n">
        <v>45575</v>
      </c>
      <c r="C475" s="1" t="n">
        <v>46066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33527-2023</t>
        </is>
      </c>
      <c r="B476" s="1" t="n">
        <v>45131</v>
      </c>
      <c r="C476" s="1" t="n">
        <v>46066</v>
      </c>
      <c r="D476" t="inlineStr">
        <is>
          <t>VÄSTMANLANDS LÄN</t>
        </is>
      </c>
      <c r="E476" t="inlineStr">
        <is>
          <t>SALA</t>
        </is>
      </c>
      <c r="G476" t="n">
        <v>1</v>
      </c>
      <c r="H476" t="n">
        <v>0</v>
      </c>
      <c r="I476" t="n">
        <v>0</v>
      </c>
      <c r="J476" t="n">
        <v>0</v>
      </c>
      <c r="K476" t="n">
        <v>0</v>
      </c>
      <c r="L476" t="n">
        <v>0</v>
      </c>
      <c r="M476" t="n">
        <v>0</v>
      </c>
      <c r="N476" t="n">
        <v>0</v>
      </c>
      <c r="O476" t="n">
        <v>0</v>
      </c>
      <c r="P476" t="n">
        <v>0</v>
      </c>
      <c r="Q476" t="n">
        <v>0</v>
      </c>
      <c r="R476" s="2" t="inlineStr"/>
    </row>
    <row r="477" ht="15" customHeight="1">
      <c r="A477" t="inlineStr">
        <is>
          <t>A 7377-2023</t>
        </is>
      </c>
      <c r="B477" s="1" t="n">
        <v>44971</v>
      </c>
      <c r="C477" s="1" t="n">
        <v>46066</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46066</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56688-2024</t>
        </is>
      </c>
      <c r="B479" s="1" t="n">
        <v>45627.66478009259</v>
      </c>
      <c r="C479" s="1" t="n">
        <v>46066</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16159-2024</t>
        </is>
      </c>
      <c r="B480" s="1" t="n">
        <v>45406</v>
      </c>
      <c r="C480" s="1" t="n">
        <v>46066</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51764-2025</t>
        </is>
      </c>
      <c r="B481" s="1" t="n">
        <v>45951.63636574074</v>
      </c>
      <c r="C481" s="1" t="n">
        <v>46066</v>
      </c>
      <c r="D481" t="inlineStr">
        <is>
          <t>VÄSTMANLANDS LÄN</t>
        </is>
      </c>
      <c r="E481" t="inlineStr">
        <is>
          <t>SALA</t>
        </is>
      </c>
      <c r="G481" t="n">
        <v>1.5</v>
      </c>
      <c r="H481" t="n">
        <v>0</v>
      </c>
      <c r="I481" t="n">
        <v>0</v>
      </c>
      <c r="J481" t="n">
        <v>0</v>
      </c>
      <c r="K481" t="n">
        <v>0</v>
      </c>
      <c r="L481" t="n">
        <v>0</v>
      </c>
      <c r="M481" t="n">
        <v>0</v>
      </c>
      <c r="N481" t="n">
        <v>0</v>
      </c>
      <c r="O481" t="n">
        <v>0</v>
      </c>
      <c r="P481" t="n">
        <v>0</v>
      </c>
      <c r="Q481" t="n">
        <v>0</v>
      </c>
      <c r="R481" s="2" t="inlineStr"/>
    </row>
    <row r="482" ht="15" customHeight="1">
      <c r="A482" t="inlineStr">
        <is>
          <t>A 51626-2025</t>
        </is>
      </c>
      <c r="B482" s="1" t="n">
        <v>45951.41769675926</v>
      </c>
      <c r="C482" s="1" t="n">
        <v>46066</v>
      </c>
      <c r="D482" t="inlineStr">
        <is>
          <t>VÄSTMANLANDS LÄN</t>
        </is>
      </c>
      <c r="E482" t="inlineStr">
        <is>
          <t>SALA</t>
        </is>
      </c>
      <c r="G482" t="n">
        <v>2.6</v>
      </c>
      <c r="H482" t="n">
        <v>0</v>
      </c>
      <c r="I482" t="n">
        <v>0</v>
      </c>
      <c r="J482" t="n">
        <v>0</v>
      </c>
      <c r="K482" t="n">
        <v>0</v>
      </c>
      <c r="L482" t="n">
        <v>0</v>
      </c>
      <c r="M482" t="n">
        <v>0</v>
      </c>
      <c r="N482" t="n">
        <v>0</v>
      </c>
      <c r="O482" t="n">
        <v>0</v>
      </c>
      <c r="P482" t="n">
        <v>0</v>
      </c>
      <c r="Q482" t="n">
        <v>0</v>
      </c>
      <c r="R482" s="2" t="inlineStr"/>
    </row>
    <row r="483" ht="15" customHeight="1">
      <c r="A483" t="inlineStr">
        <is>
          <t>A 66307-2021</t>
        </is>
      </c>
      <c r="B483" s="1" t="n">
        <v>44518.48670138889</v>
      </c>
      <c r="C483" s="1" t="n">
        <v>46066</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51690-2025</t>
        </is>
      </c>
      <c r="B484" s="1" t="n">
        <v>45951.53462962963</v>
      </c>
      <c r="C484" s="1" t="n">
        <v>46066</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27262-2024</t>
        </is>
      </c>
      <c r="B485" s="1" t="n">
        <v>45471</v>
      </c>
      <c r="C485" s="1" t="n">
        <v>46066</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10913-2025</t>
        </is>
      </c>
      <c r="B486" s="1" t="n">
        <v>45722.73423611111</v>
      </c>
      <c r="C486" s="1" t="n">
        <v>46066</v>
      </c>
      <c r="D486" t="inlineStr">
        <is>
          <t>VÄSTMANLANDS LÄN</t>
        </is>
      </c>
      <c r="E486" t="inlineStr">
        <is>
          <t>SALA</t>
        </is>
      </c>
      <c r="G486" t="n">
        <v>7.6</v>
      </c>
      <c r="H486" t="n">
        <v>0</v>
      </c>
      <c r="I486" t="n">
        <v>0</v>
      </c>
      <c r="J486" t="n">
        <v>0</v>
      </c>
      <c r="K486" t="n">
        <v>0</v>
      </c>
      <c r="L486" t="n">
        <v>0</v>
      </c>
      <c r="M486" t="n">
        <v>0</v>
      </c>
      <c r="N486" t="n">
        <v>0</v>
      </c>
      <c r="O486" t="n">
        <v>0</v>
      </c>
      <c r="P486" t="n">
        <v>0</v>
      </c>
      <c r="Q486" t="n">
        <v>0</v>
      </c>
      <c r="R486" s="2" t="inlineStr"/>
    </row>
    <row r="487" ht="15" customHeight="1">
      <c r="A487" t="inlineStr">
        <is>
          <t>A 51804-2025</t>
        </is>
      </c>
      <c r="B487" s="1" t="n">
        <v>45951.77697916667</v>
      </c>
      <c r="C487" s="1" t="n">
        <v>46066</v>
      </c>
      <c r="D487" t="inlineStr">
        <is>
          <t>VÄSTMANLANDS LÄN</t>
        </is>
      </c>
      <c r="E487" t="inlineStr">
        <is>
          <t>SALA</t>
        </is>
      </c>
      <c r="F487" t="inlineStr">
        <is>
          <t>Kommuner</t>
        </is>
      </c>
      <c r="G487" t="n">
        <v>2</v>
      </c>
      <c r="H487" t="n">
        <v>0</v>
      </c>
      <c r="I487" t="n">
        <v>0</v>
      </c>
      <c r="J487" t="n">
        <v>0</v>
      </c>
      <c r="K487" t="n">
        <v>0</v>
      </c>
      <c r="L487" t="n">
        <v>0</v>
      </c>
      <c r="M487" t="n">
        <v>0</v>
      </c>
      <c r="N487" t="n">
        <v>0</v>
      </c>
      <c r="O487" t="n">
        <v>0</v>
      </c>
      <c r="P487" t="n">
        <v>0</v>
      </c>
      <c r="Q487" t="n">
        <v>0</v>
      </c>
      <c r="R487" s="2" t="inlineStr"/>
    </row>
    <row r="488" ht="15" customHeight="1">
      <c r="A488" t="inlineStr">
        <is>
          <t>A 51808-2025</t>
        </is>
      </c>
      <c r="B488" s="1" t="n">
        <v>45951.79302083333</v>
      </c>
      <c r="C488" s="1" t="n">
        <v>46066</v>
      </c>
      <c r="D488" t="inlineStr">
        <is>
          <t>VÄSTMANLANDS LÄN</t>
        </is>
      </c>
      <c r="E488" t="inlineStr">
        <is>
          <t>SALA</t>
        </is>
      </c>
      <c r="F488" t="inlineStr">
        <is>
          <t>Kommuner</t>
        </is>
      </c>
      <c r="G488" t="n">
        <v>3</v>
      </c>
      <c r="H488" t="n">
        <v>0</v>
      </c>
      <c r="I488" t="n">
        <v>0</v>
      </c>
      <c r="J488" t="n">
        <v>0</v>
      </c>
      <c r="K488" t="n">
        <v>0</v>
      </c>
      <c r="L488" t="n">
        <v>0</v>
      </c>
      <c r="M488" t="n">
        <v>0</v>
      </c>
      <c r="N488" t="n">
        <v>0</v>
      </c>
      <c r="O488" t="n">
        <v>0</v>
      </c>
      <c r="P488" t="n">
        <v>0</v>
      </c>
      <c r="Q488" t="n">
        <v>0</v>
      </c>
      <c r="R488" s="2" t="inlineStr"/>
    </row>
    <row r="489" ht="15" customHeight="1">
      <c r="A489" t="inlineStr">
        <is>
          <t>A 35410-2022</t>
        </is>
      </c>
      <c r="B489" s="1" t="n">
        <v>44798.62576388889</v>
      </c>
      <c r="C489" s="1" t="n">
        <v>46066</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51803-2025</t>
        </is>
      </c>
      <c r="B490" s="1" t="n">
        <v>45951.76818287037</v>
      </c>
      <c r="C490" s="1" t="n">
        <v>46066</v>
      </c>
      <c r="D490" t="inlineStr">
        <is>
          <t>VÄSTMANLANDS LÄN</t>
        </is>
      </c>
      <c r="E490" t="inlineStr">
        <is>
          <t>SALA</t>
        </is>
      </c>
      <c r="F490" t="inlineStr">
        <is>
          <t>Kommuner</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51805-2025</t>
        </is>
      </c>
      <c r="B491" s="1" t="n">
        <v>45951.78359953704</v>
      </c>
      <c r="C491" s="1" t="n">
        <v>46066</v>
      </c>
      <c r="D491" t="inlineStr">
        <is>
          <t>VÄSTMANLANDS LÄN</t>
        </is>
      </c>
      <c r="E491" t="inlineStr">
        <is>
          <t>SALA</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1118-2024</t>
        </is>
      </c>
      <c r="B492" s="1" t="n">
        <v>45302</v>
      </c>
      <c r="C492" s="1" t="n">
        <v>46066</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51809-2025</t>
        </is>
      </c>
      <c r="B493" s="1" t="n">
        <v>45951.80116898148</v>
      </c>
      <c r="C493" s="1" t="n">
        <v>46066</v>
      </c>
      <c r="D493" t="inlineStr">
        <is>
          <t>VÄSTMANLANDS LÄN</t>
        </is>
      </c>
      <c r="E493" t="inlineStr">
        <is>
          <t>SALA</t>
        </is>
      </c>
      <c r="F493" t="inlineStr">
        <is>
          <t>Kommuner</t>
        </is>
      </c>
      <c r="G493" t="n">
        <v>3.5</v>
      </c>
      <c r="H493" t="n">
        <v>0</v>
      </c>
      <c r="I493" t="n">
        <v>0</v>
      </c>
      <c r="J493" t="n">
        <v>0</v>
      </c>
      <c r="K493" t="n">
        <v>0</v>
      </c>
      <c r="L493" t="n">
        <v>0</v>
      </c>
      <c r="M493" t="n">
        <v>0</v>
      </c>
      <c r="N493" t="n">
        <v>0</v>
      </c>
      <c r="O493" t="n">
        <v>0</v>
      </c>
      <c r="P493" t="n">
        <v>0</v>
      </c>
      <c r="Q493" t="n">
        <v>0</v>
      </c>
      <c r="R493" s="2" t="inlineStr"/>
    </row>
    <row r="494" ht="15" customHeight="1">
      <c r="A494" t="inlineStr">
        <is>
          <t>A 53864-2022</t>
        </is>
      </c>
      <c r="B494" s="1" t="n">
        <v>44880.64016203704</v>
      </c>
      <c r="C494" s="1" t="n">
        <v>46066</v>
      </c>
      <c r="D494" t="inlineStr">
        <is>
          <t>VÄSTMANLANDS LÄN</t>
        </is>
      </c>
      <c r="E494" t="inlineStr">
        <is>
          <t>SALA</t>
        </is>
      </c>
      <c r="G494" t="n">
        <v>5.9</v>
      </c>
      <c r="H494" t="n">
        <v>0</v>
      </c>
      <c r="I494" t="n">
        <v>0</v>
      </c>
      <c r="J494" t="n">
        <v>0</v>
      </c>
      <c r="K494" t="n">
        <v>0</v>
      </c>
      <c r="L494" t="n">
        <v>0</v>
      </c>
      <c r="M494" t="n">
        <v>0</v>
      </c>
      <c r="N494" t="n">
        <v>0</v>
      </c>
      <c r="O494" t="n">
        <v>0</v>
      </c>
      <c r="P494" t="n">
        <v>0</v>
      </c>
      <c r="Q494" t="n">
        <v>0</v>
      </c>
      <c r="R494" s="2" t="inlineStr"/>
    </row>
    <row r="495" ht="15" customHeight="1">
      <c r="A495" t="inlineStr">
        <is>
          <t>A 40085-2024</t>
        </is>
      </c>
      <c r="B495" s="1" t="n">
        <v>45554</v>
      </c>
      <c r="C495" s="1" t="n">
        <v>46066</v>
      </c>
      <c r="D495" t="inlineStr">
        <is>
          <t>VÄSTMANLANDS LÄN</t>
        </is>
      </c>
      <c r="E495" t="inlineStr">
        <is>
          <t>SALA</t>
        </is>
      </c>
      <c r="G495" t="n">
        <v>2.8</v>
      </c>
      <c r="H495" t="n">
        <v>0</v>
      </c>
      <c r="I495" t="n">
        <v>0</v>
      </c>
      <c r="J495" t="n">
        <v>0</v>
      </c>
      <c r="K495" t="n">
        <v>0</v>
      </c>
      <c r="L495" t="n">
        <v>0</v>
      </c>
      <c r="M495" t="n">
        <v>0</v>
      </c>
      <c r="N495" t="n">
        <v>0</v>
      </c>
      <c r="O495" t="n">
        <v>0</v>
      </c>
      <c r="P495" t="n">
        <v>0</v>
      </c>
      <c r="Q495" t="n">
        <v>0</v>
      </c>
      <c r="R495" s="2" t="inlineStr"/>
    </row>
    <row r="496" ht="15" customHeight="1">
      <c r="A496" t="inlineStr">
        <is>
          <t>A 3551-2024</t>
        </is>
      </c>
      <c r="B496" s="1" t="n">
        <v>45320.61099537037</v>
      </c>
      <c r="C496" s="1" t="n">
        <v>46066</v>
      </c>
      <c r="D496" t="inlineStr">
        <is>
          <t>VÄSTMANLANDS LÄN</t>
        </is>
      </c>
      <c r="E496" t="inlineStr">
        <is>
          <t>SALA</t>
        </is>
      </c>
      <c r="F496" t="inlineStr">
        <is>
          <t>Kommuner</t>
        </is>
      </c>
      <c r="G496" t="n">
        <v>6</v>
      </c>
      <c r="H496" t="n">
        <v>0</v>
      </c>
      <c r="I496" t="n">
        <v>0</v>
      </c>
      <c r="J496" t="n">
        <v>0</v>
      </c>
      <c r="K496" t="n">
        <v>0</v>
      </c>
      <c r="L496" t="n">
        <v>0</v>
      </c>
      <c r="M496" t="n">
        <v>0</v>
      </c>
      <c r="N496" t="n">
        <v>0</v>
      </c>
      <c r="O496" t="n">
        <v>0</v>
      </c>
      <c r="P496" t="n">
        <v>0</v>
      </c>
      <c r="Q496" t="n">
        <v>0</v>
      </c>
      <c r="R496" s="2" t="inlineStr"/>
    </row>
    <row r="497" ht="15" customHeight="1">
      <c r="A497" t="inlineStr">
        <is>
          <t>A 22961-2023</t>
        </is>
      </c>
      <c r="B497" s="1" t="n">
        <v>45072</v>
      </c>
      <c r="C497" s="1" t="n">
        <v>46066</v>
      </c>
      <c r="D497" t="inlineStr">
        <is>
          <t>VÄSTMANLANDS LÄN</t>
        </is>
      </c>
      <c r="E497" t="inlineStr">
        <is>
          <t>SALA</t>
        </is>
      </c>
      <c r="G497" t="n">
        <v>2.7</v>
      </c>
      <c r="H497" t="n">
        <v>0</v>
      </c>
      <c r="I497" t="n">
        <v>0</v>
      </c>
      <c r="J497" t="n">
        <v>0</v>
      </c>
      <c r="K497" t="n">
        <v>0</v>
      </c>
      <c r="L497" t="n">
        <v>0</v>
      </c>
      <c r="M497" t="n">
        <v>0</v>
      </c>
      <c r="N497" t="n">
        <v>0</v>
      </c>
      <c r="O497" t="n">
        <v>0</v>
      </c>
      <c r="P497" t="n">
        <v>0</v>
      </c>
      <c r="Q497" t="n">
        <v>0</v>
      </c>
      <c r="R497" s="2" t="inlineStr"/>
    </row>
    <row r="498" ht="15" customHeight="1">
      <c r="A498" t="inlineStr">
        <is>
          <t>A 22963-2023</t>
        </is>
      </c>
      <c r="B498" s="1" t="n">
        <v>45072</v>
      </c>
      <c r="C498" s="1" t="n">
        <v>46066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54960-2024</t>
        </is>
      </c>
      <c r="B499" s="1" t="n">
        <v>45619.85208333333</v>
      </c>
      <c r="C499" s="1" t="n">
        <v>46066</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27228-2023</t>
        </is>
      </c>
      <c r="B500" s="1" t="n">
        <v>45096.59189814814</v>
      </c>
      <c r="C500" s="1" t="n">
        <v>46066</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26507-2023</t>
        </is>
      </c>
      <c r="B501" s="1" t="n">
        <v>45092</v>
      </c>
      <c r="C501" s="1" t="n">
        <v>46066</v>
      </c>
      <c r="D501" t="inlineStr">
        <is>
          <t>VÄSTMANLANDS LÄN</t>
        </is>
      </c>
      <c r="E501" t="inlineStr">
        <is>
          <t>SALA</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53725-2025</t>
        </is>
      </c>
      <c r="B502" s="1" t="n">
        <v>45960.63394675926</v>
      </c>
      <c r="C502" s="1" t="n">
        <v>46066</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6183-2025</t>
        </is>
      </c>
      <c r="B503" s="1" t="n">
        <v>45698</v>
      </c>
      <c r="C503" s="1" t="n">
        <v>46066</v>
      </c>
      <c r="D503" t="inlineStr">
        <is>
          <t>VÄSTMANLANDS LÄN</t>
        </is>
      </c>
      <c r="E503" t="inlineStr">
        <is>
          <t>SALA</t>
        </is>
      </c>
      <c r="F503" t="inlineStr">
        <is>
          <t>Bergvik skog öst AB</t>
        </is>
      </c>
      <c r="G503" t="n">
        <v>2.3</v>
      </c>
      <c r="H503" t="n">
        <v>0</v>
      </c>
      <c r="I503" t="n">
        <v>0</v>
      </c>
      <c r="J503" t="n">
        <v>0</v>
      </c>
      <c r="K503" t="n">
        <v>0</v>
      </c>
      <c r="L503" t="n">
        <v>0</v>
      </c>
      <c r="M503" t="n">
        <v>0</v>
      </c>
      <c r="N503" t="n">
        <v>0</v>
      </c>
      <c r="O503" t="n">
        <v>0</v>
      </c>
      <c r="P503" t="n">
        <v>0</v>
      </c>
      <c r="Q503" t="n">
        <v>0</v>
      </c>
      <c r="R503" s="2" t="inlineStr"/>
    </row>
    <row r="504" ht="15" customHeight="1">
      <c r="A504" t="inlineStr">
        <is>
          <t>A 16543-2023</t>
        </is>
      </c>
      <c r="B504" s="1" t="n">
        <v>45029</v>
      </c>
      <c r="C504" s="1" t="n">
        <v>46066</v>
      </c>
      <c r="D504" t="inlineStr">
        <is>
          <t>VÄSTMANLANDS LÄN</t>
        </is>
      </c>
      <c r="E504" t="inlineStr">
        <is>
          <t>SALA</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38636-2024</t>
        </is>
      </c>
      <c r="B505" s="1" t="n">
        <v>45546</v>
      </c>
      <c r="C505" s="1" t="n">
        <v>46066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43176-2023</t>
        </is>
      </c>
      <c r="B506" s="1" t="n">
        <v>45183</v>
      </c>
      <c r="C506" s="1" t="n">
        <v>46066</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37624-2024</t>
        </is>
      </c>
      <c r="B507" s="1" t="n">
        <v>45541</v>
      </c>
      <c r="C507" s="1" t="n">
        <v>46066</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57895-2024</t>
        </is>
      </c>
      <c r="B508" s="1" t="n">
        <v>45631</v>
      </c>
      <c r="C508" s="1" t="n">
        <v>46066</v>
      </c>
      <c r="D508" t="inlineStr">
        <is>
          <t>VÄSTMANLANDS LÄN</t>
        </is>
      </c>
      <c r="E508" t="inlineStr">
        <is>
          <t>SALA</t>
        </is>
      </c>
      <c r="G508" t="n">
        <v>1</v>
      </c>
      <c r="H508" t="n">
        <v>0</v>
      </c>
      <c r="I508" t="n">
        <v>0</v>
      </c>
      <c r="J508" t="n">
        <v>0</v>
      </c>
      <c r="K508" t="n">
        <v>0</v>
      </c>
      <c r="L508" t="n">
        <v>0</v>
      </c>
      <c r="M508" t="n">
        <v>0</v>
      </c>
      <c r="N508" t="n">
        <v>0</v>
      </c>
      <c r="O508" t="n">
        <v>0</v>
      </c>
      <c r="P508" t="n">
        <v>0</v>
      </c>
      <c r="Q508" t="n">
        <v>0</v>
      </c>
      <c r="R508" s="2" t="inlineStr"/>
    </row>
    <row r="509" ht="15" customHeight="1">
      <c r="A509" t="inlineStr">
        <is>
          <t>A 47086-2022</t>
        </is>
      </c>
      <c r="B509" s="1" t="n">
        <v>44852</v>
      </c>
      <c r="C509" s="1" t="n">
        <v>46066</v>
      </c>
      <c r="D509" t="inlineStr">
        <is>
          <t>VÄSTMANLANDS LÄN</t>
        </is>
      </c>
      <c r="E509" t="inlineStr">
        <is>
          <t>SALA</t>
        </is>
      </c>
      <c r="G509" t="n">
        <v>12.5</v>
      </c>
      <c r="H509" t="n">
        <v>0</v>
      </c>
      <c r="I509" t="n">
        <v>0</v>
      </c>
      <c r="J509" t="n">
        <v>0</v>
      </c>
      <c r="K509" t="n">
        <v>0</v>
      </c>
      <c r="L509" t="n">
        <v>0</v>
      </c>
      <c r="M509" t="n">
        <v>0</v>
      </c>
      <c r="N509" t="n">
        <v>0</v>
      </c>
      <c r="O509" t="n">
        <v>0</v>
      </c>
      <c r="P509" t="n">
        <v>0</v>
      </c>
      <c r="Q509" t="n">
        <v>0</v>
      </c>
      <c r="R509" s="2" t="inlineStr"/>
    </row>
    <row r="510" ht="15" customHeight="1">
      <c r="A510" t="inlineStr">
        <is>
          <t>A 53744-2025</t>
        </is>
      </c>
      <c r="B510" s="1" t="n">
        <v>45960.64863425926</v>
      </c>
      <c r="C510" s="1" t="n">
        <v>46066</v>
      </c>
      <c r="D510" t="inlineStr">
        <is>
          <t>VÄSTMANLANDS LÄN</t>
        </is>
      </c>
      <c r="E510" t="inlineStr">
        <is>
          <t>SALA</t>
        </is>
      </c>
      <c r="G510" t="n">
        <v>2</v>
      </c>
      <c r="H510" t="n">
        <v>0</v>
      </c>
      <c r="I510" t="n">
        <v>0</v>
      </c>
      <c r="J510" t="n">
        <v>0</v>
      </c>
      <c r="K510" t="n">
        <v>0</v>
      </c>
      <c r="L510" t="n">
        <v>0</v>
      </c>
      <c r="M510" t="n">
        <v>0</v>
      </c>
      <c r="N510" t="n">
        <v>0</v>
      </c>
      <c r="O510" t="n">
        <v>0</v>
      </c>
      <c r="P510" t="n">
        <v>0</v>
      </c>
      <c r="Q510" t="n">
        <v>0</v>
      </c>
      <c r="R510" s="2" t="inlineStr"/>
    </row>
    <row r="511" ht="15" customHeight="1">
      <c r="A511" t="inlineStr">
        <is>
          <t>A 53724-2025</t>
        </is>
      </c>
      <c r="B511" s="1" t="n">
        <v>45960.63174768518</v>
      </c>
      <c r="C511" s="1" t="n">
        <v>46066</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14010-2021</t>
        </is>
      </c>
      <c r="B512" s="1" t="n">
        <v>44277.63396990741</v>
      </c>
      <c r="C512" s="1" t="n">
        <v>46066</v>
      </c>
      <c r="D512" t="inlineStr">
        <is>
          <t>VÄSTMANLANDS LÄN</t>
        </is>
      </c>
      <c r="E512" t="inlineStr">
        <is>
          <t>SALA</t>
        </is>
      </c>
      <c r="G512" t="n">
        <v>3.5</v>
      </c>
      <c r="H512" t="n">
        <v>0</v>
      </c>
      <c r="I512" t="n">
        <v>0</v>
      </c>
      <c r="J512" t="n">
        <v>0</v>
      </c>
      <c r="K512" t="n">
        <v>0</v>
      </c>
      <c r="L512" t="n">
        <v>0</v>
      </c>
      <c r="M512" t="n">
        <v>0</v>
      </c>
      <c r="N512" t="n">
        <v>0</v>
      </c>
      <c r="O512" t="n">
        <v>0</v>
      </c>
      <c r="P512" t="n">
        <v>0</v>
      </c>
      <c r="Q512" t="n">
        <v>0</v>
      </c>
      <c r="R512" s="2" t="inlineStr"/>
    </row>
    <row r="513" ht="15" customHeight="1">
      <c r="A513" t="inlineStr">
        <is>
          <t>A 54344-2025</t>
        </is>
      </c>
      <c r="B513" s="1" t="n">
        <v>45965.36462962963</v>
      </c>
      <c r="C513" s="1" t="n">
        <v>46066</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56687-2024</t>
        </is>
      </c>
      <c r="B514" s="1" t="n">
        <v>45627.63271990741</v>
      </c>
      <c r="C514" s="1" t="n">
        <v>46066</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54590-2025</t>
        </is>
      </c>
      <c r="B515" s="1" t="n">
        <v>45965.74199074074</v>
      </c>
      <c r="C515" s="1" t="n">
        <v>46066</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54347-2024</t>
        </is>
      </c>
      <c r="B516" s="1" t="n">
        <v>45617.39325231482</v>
      </c>
      <c r="C516" s="1" t="n">
        <v>46066</v>
      </c>
      <c r="D516" t="inlineStr">
        <is>
          <t>VÄSTMANLANDS LÄN</t>
        </is>
      </c>
      <c r="E516" t="inlineStr">
        <is>
          <t>SALA</t>
        </is>
      </c>
      <c r="G516" t="n">
        <v>2</v>
      </c>
      <c r="H516" t="n">
        <v>0</v>
      </c>
      <c r="I516" t="n">
        <v>0</v>
      </c>
      <c r="J516" t="n">
        <v>0</v>
      </c>
      <c r="K516" t="n">
        <v>0</v>
      </c>
      <c r="L516" t="n">
        <v>0</v>
      </c>
      <c r="M516" t="n">
        <v>0</v>
      </c>
      <c r="N516" t="n">
        <v>0</v>
      </c>
      <c r="O516" t="n">
        <v>0</v>
      </c>
      <c r="P516" t="n">
        <v>0</v>
      </c>
      <c r="Q516" t="n">
        <v>0</v>
      </c>
      <c r="R516" s="2" t="inlineStr"/>
    </row>
    <row r="517" ht="15" customHeight="1">
      <c r="A517" t="inlineStr">
        <is>
          <t>A 54201-2025</t>
        </is>
      </c>
      <c r="B517" s="1" t="n">
        <v>45964.58055555556</v>
      </c>
      <c r="C517" s="1" t="n">
        <v>46066</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64693-2023</t>
        </is>
      </c>
      <c r="B518" s="1" t="n">
        <v>45281.63850694444</v>
      </c>
      <c r="C518" s="1" t="n">
        <v>46066</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64695-2023</t>
        </is>
      </c>
      <c r="B519" s="1" t="n">
        <v>45281.64099537037</v>
      </c>
      <c r="C519" s="1" t="n">
        <v>46066</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27486-2022</t>
        </is>
      </c>
      <c r="B520" s="1" t="n">
        <v>44742.60846064815</v>
      </c>
      <c r="C520" s="1" t="n">
        <v>46066</v>
      </c>
      <c r="D520" t="inlineStr">
        <is>
          <t>VÄSTMANLANDS LÄN</t>
        </is>
      </c>
      <c r="E520" t="inlineStr">
        <is>
          <t>SALA</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54893-2025</t>
        </is>
      </c>
      <c r="B521" s="1" t="n">
        <v>45967.36383101852</v>
      </c>
      <c r="C521" s="1" t="n">
        <v>46066</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35003-2024</t>
        </is>
      </c>
      <c r="B522" s="1" t="n">
        <v>45527.56790509259</v>
      </c>
      <c r="C522" s="1" t="n">
        <v>46066</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48688-2024</t>
        </is>
      </c>
      <c r="B523" s="1" t="n">
        <v>45593.50541666667</v>
      </c>
      <c r="C523" s="1" t="n">
        <v>46066</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15354-2021</t>
        </is>
      </c>
      <c r="B524" s="1" t="n">
        <v>44284</v>
      </c>
      <c r="C524" s="1" t="n">
        <v>46066</v>
      </c>
      <c r="D524" t="inlineStr">
        <is>
          <t>VÄSTMANLANDS LÄN</t>
        </is>
      </c>
      <c r="E524" t="inlineStr">
        <is>
          <t>SALA</t>
        </is>
      </c>
      <c r="F524" t="inlineStr">
        <is>
          <t>Kyrkan</t>
        </is>
      </c>
      <c r="G524" t="n">
        <v>8.5</v>
      </c>
      <c r="H524" t="n">
        <v>0</v>
      </c>
      <c r="I524" t="n">
        <v>0</v>
      </c>
      <c r="J524" t="n">
        <v>0</v>
      </c>
      <c r="K524" t="n">
        <v>0</v>
      </c>
      <c r="L524" t="n">
        <v>0</v>
      </c>
      <c r="M524" t="n">
        <v>0</v>
      </c>
      <c r="N524" t="n">
        <v>0</v>
      </c>
      <c r="O524" t="n">
        <v>0</v>
      </c>
      <c r="P524" t="n">
        <v>0</v>
      </c>
      <c r="Q524" t="n">
        <v>0</v>
      </c>
      <c r="R524" s="2" t="inlineStr"/>
    </row>
    <row r="525" ht="15" customHeight="1">
      <c r="A525" t="inlineStr">
        <is>
          <t>A 19033-2025</t>
        </is>
      </c>
      <c r="B525" s="1" t="n">
        <v>45764.65796296296</v>
      </c>
      <c r="C525" s="1" t="n">
        <v>46066</v>
      </c>
      <c r="D525" t="inlineStr">
        <is>
          <t>VÄSTMANLANDS LÄN</t>
        </is>
      </c>
      <c r="E525" t="inlineStr">
        <is>
          <t>SALA</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63933-2023</t>
        </is>
      </c>
      <c r="B526" s="1" t="n">
        <v>45278</v>
      </c>
      <c r="C526" s="1" t="n">
        <v>46066</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44746-2024</t>
        </is>
      </c>
      <c r="B527" s="1" t="n">
        <v>45574.59813657407</v>
      </c>
      <c r="C527" s="1" t="n">
        <v>46066</v>
      </c>
      <c r="D527" t="inlineStr">
        <is>
          <t>VÄSTMANLANDS LÄN</t>
        </is>
      </c>
      <c r="E527" t="inlineStr">
        <is>
          <t>SALA</t>
        </is>
      </c>
      <c r="G527" t="n">
        <v>6.7</v>
      </c>
      <c r="H527" t="n">
        <v>0</v>
      </c>
      <c r="I527" t="n">
        <v>0</v>
      </c>
      <c r="J527" t="n">
        <v>0</v>
      </c>
      <c r="K527" t="n">
        <v>0</v>
      </c>
      <c r="L527" t="n">
        <v>0</v>
      </c>
      <c r="M527" t="n">
        <v>0</v>
      </c>
      <c r="N527" t="n">
        <v>0</v>
      </c>
      <c r="O527" t="n">
        <v>0</v>
      </c>
      <c r="P527" t="n">
        <v>0</v>
      </c>
      <c r="Q527" t="n">
        <v>0</v>
      </c>
      <c r="R527" s="2" t="inlineStr"/>
    </row>
    <row r="528" ht="15" customHeight="1">
      <c r="A528" t="inlineStr">
        <is>
          <t>A 33273-2023</t>
        </is>
      </c>
      <c r="B528" s="1" t="n">
        <v>45127</v>
      </c>
      <c r="C528" s="1" t="n">
        <v>46066</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11696-2025</t>
        </is>
      </c>
      <c r="B529" s="1" t="n">
        <v>45727</v>
      </c>
      <c r="C529" s="1" t="n">
        <v>46066</v>
      </c>
      <c r="D529" t="inlineStr">
        <is>
          <t>VÄSTMANLANDS LÄN</t>
        </is>
      </c>
      <c r="E529" t="inlineStr">
        <is>
          <t>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55997-2025</t>
        </is>
      </c>
      <c r="B530" s="1" t="n">
        <v>45973.56833333334</v>
      </c>
      <c r="C530" s="1" t="n">
        <v>46066</v>
      </c>
      <c r="D530" t="inlineStr">
        <is>
          <t>VÄSTMANLANDS LÄN</t>
        </is>
      </c>
      <c r="E530" t="inlineStr">
        <is>
          <t>SALA</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60545-2024</t>
        </is>
      </c>
      <c r="B531" s="1" t="n">
        <v>45643</v>
      </c>
      <c r="C531" s="1" t="n">
        <v>46066</v>
      </c>
      <c r="D531" t="inlineStr">
        <is>
          <t>VÄSTMANLANDS LÄN</t>
        </is>
      </c>
      <c r="E531" t="inlineStr">
        <is>
          <t>SALA</t>
        </is>
      </c>
      <c r="G531" t="n">
        <v>3.3</v>
      </c>
      <c r="H531" t="n">
        <v>0</v>
      </c>
      <c r="I531" t="n">
        <v>0</v>
      </c>
      <c r="J531" t="n">
        <v>0</v>
      </c>
      <c r="K531" t="n">
        <v>0</v>
      </c>
      <c r="L531" t="n">
        <v>0</v>
      </c>
      <c r="M531" t="n">
        <v>0</v>
      </c>
      <c r="N531" t="n">
        <v>0</v>
      </c>
      <c r="O531" t="n">
        <v>0</v>
      </c>
      <c r="P531" t="n">
        <v>0</v>
      </c>
      <c r="Q531" t="n">
        <v>0</v>
      </c>
      <c r="R531" s="2" t="inlineStr"/>
    </row>
    <row r="532" ht="15" customHeight="1">
      <c r="A532" t="inlineStr">
        <is>
          <t>A 60547-2024</t>
        </is>
      </c>
      <c r="B532" s="1" t="n">
        <v>45643</v>
      </c>
      <c r="C532" s="1" t="n">
        <v>46066</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55714-2025</t>
        </is>
      </c>
      <c r="B533" s="1" t="n">
        <v>45972.49131944445</v>
      </c>
      <c r="C533" s="1" t="n">
        <v>46066</v>
      </c>
      <c r="D533" t="inlineStr">
        <is>
          <t>VÄSTMANLANDS LÄN</t>
        </is>
      </c>
      <c r="E533" t="inlineStr">
        <is>
          <t>SALA</t>
        </is>
      </c>
      <c r="G533" t="n">
        <v>6.6</v>
      </c>
      <c r="H533" t="n">
        <v>0</v>
      </c>
      <c r="I533" t="n">
        <v>0</v>
      </c>
      <c r="J533" t="n">
        <v>0</v>
      </c>
      <c r="K533" t="n">
        <v>0</v>
      </c>
      <c r="L533" t="n">
        <v>0</v>
      </c>
      <c r="M533" t="n">
        <v>0</v>
      </c>
      <c r="N533" t="n">
        <v>0</v>
      </c>
      <c r="O533" t="n">
        <v>0</v>
      </c>
      <c r="P533" t="n">
        <v>0</v>
      </c>
      <c r="Q533" t="n">
        <v>0</v>
      </c>
      <c r="R533" s="2" t="inlineStr"/>
    </row>
    <row r="534" ht="15" customHeight="1">
      <c r="A534" t="inlineStr">
        <is>
          <t>A 56593-2025</t>
        </is>
      </c>
      <c r="B534" s="1" t="n">
        <v>45975</v>
      </c>
      <c r="C534" s="1" t="n">
        <v>46066</v>
      </c>
      <c r="D534" t="inlineStr">
        <is>
          <t>VÄSTMANLANDS LÄN</t>
        </is>
      </c>
      <c r="E534" t="inlineStr">
        <is>
          <t>SALA</t>
        </is>
      </c>
      <c r="F534" t="inlineStr">
        <is>
          <t>Kyrkan</t>
        </is>
      </c>
      <c r="G534" t="n">
        <v>0.1</v>
      </c>
      <c r="H534" t="n">
        <v>0</v>
      </c>
      <c r="I534" t="n">
        <v>0</v>
      </c>
      <c r="J534" t="n">
        <v>0</v>
      </c>
      <c r="K534" t="n">
        <v>0</v>
      </c>
      <c r="L534" t="n">
        <v>0</v>
      </c>
      <c r="M534" t="n">
        <v>0</v>
      </c>
      <c r="N534" t="n">
        <v>0</v>
      </c>
      <c r="O534" t="n">
        <v>0</v>
      </c>
      <c r="P534" t="n">
        <v>0</v>
      </c>
      <c r="Q534" t="n">
        <v>0</v>
      </c>
      <c r="R534" s="2" t="inlineStr"/>
    </row>
    <row r="535" ht="15" customHeight="1">
      <c r="A535" t="inlineStr">
        <is>
          <t>A 1985-2022</t>
        </is>
      </c>
      <c r="B535" s="1" t="n">
        <v>44575</v>
      </c>
      <c r="C535" s="1" t="n">
        <v>46066</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27261-2024</t>
        </is>
      </c>
      <c r="B536" s="1" t="n">
        <v>45471</v>
      </c>
      <c r="C536" s="1" t="n">
        <v>46066</v>
      </c>
      <c r="D536" t="inlineStr">
        <is>
          <t>VÄSTMANLANDS LÄN</t>
        </is>
      </c>
      <c r="E536" t="inlineStr">
        <is>
          <t>SALA</t>
        </is>
      </c>
      <c r="G536" t="n">
        <v>6.1</v>
      </c>
      <c r="H536" t="n">
        <v>0</v>
      </c>
      <c r="I536" t="n">
        <v>0</v>
      </c>
      <c r="J536" t="n">
        <v>0</v>
      </c>
      <c r="K536" t="n">
        <v>0</v>
      </c>
      <c r="L536" t="n">
        <v>0</v>
      </c>
      <c r="M536" t="n">
        <v>0</v>
      </c>
      <c r="N536" t="n">
        <v>0</v>
      </c>
      <c r="O536" t="n">
        <v>0</v>
      </c>
      <c r="P536" t="n">
        <v>0</v>
      </c>
      <c r="Q536" t="n">
        <v>0</v>
      </c>
      <c r="R536" s="2" t="inlineStr"/>
    </row>
    <row r="537" ht="15" customHeight="1">
      <c r="A537" t="inlineStr">
        <is>
          <t>A 56645-2025</t>
        </is>
      </c>
      <c r="B537" s="1" t="n">
        <v>45975.63063657407</v>
      </c>
      <c r="C537" s="1" t="n">
        <v>46066</v>
      </c>
      <c r="D537" t="inlineStr">
        <is>
          <t>VÄSTMANLANDS LÄN</t>
        </is>
      </c>
      <c r="E537" t="inlineStr">
        <is>
          <t>SALA</t>
        </is>
      </c>
      <c r="F537" t="inlineStr">
        <is>
          <t>Bergvik skog öst AB</t>
        </is>
      </c>
      <c r="G537" t="n">
        <v>5.3</v>
      </c>
      <c r="H537" t="n">
        <v>0</v>
      </c>
      <c r="I537" t="n">
        <v>0</v>
      </c>
      <c r="J537" t="n">
        <v>0</v>
      </c>
      <c r="K537" t="n">
        <v>0</v>
      </c>
      <c r="L537" t="n">
        <v>0</v>
      </c>
      <c r="M537" t="n">
        <v>0</v>
      </c>
      <c r="N537" t="n">
        <v>0</v>
      </c>
      <c r="O537" t="n">
        <v>0</v>
      </c>
      <c r="P537" t="n">
        <v>0</v>
      </c>
      <c r="Q537" t="n">
        <v>0</v>
      </c>
      <c r="R537" s="2" t="inlineStr"/>
    </row>
    <row r="538" ht="15" customHeight="1">
      <c r="A538" t="inlineStr">
        <is>
          <t>A 56502-2025</t>
        </is>
      </c>
      <c r="B538" s="1" t="n">
        <v>45975</v>
      </c>
      <c r="C538" s="1" t="n">
        <v>46066</v>
      </c>
      <c r="D538" t="inlineStr">
        <is>
          <t>VÄSTMANLANDS LÄN</t>
        </is>
      </c>
      <c r="E538" t="inlineStr">
        <is>
          <t>SALA</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56614-2025</t>
        </is>
      </c>
      <c r="B539" s="1" t="n">
        <v>45975.59288194445</v>
      </c>
      <c r="C539" s="1" t="n">
        <v>46066</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56611-2025</t>
        </is>
      </c>
      <c r="B540" s="1" t="n">
        <v>45975</v>
      </c>
      <c r="C540" s="1" t="n">
        <v>46066</v>
      </c>
      <c r="D540" t="inlineStr">
        <is>
          <t>VÄSTMANLANDS LÄN</t>
        </is>
      </c>
      <c r="E540" t="inlineStr">
        <is>
          <t>SALA</t>
        </is>
      </c>
      <c r="G540" t="n">
        <v>2.8</v>
      </c>
      <c r="H540" t="n">
        <v>0</v>
      </c>
      <c r="I540" t="n">
        <v>0</v>
      </c>
      <c r="J540" t="n">
        <v>0</v>
      </c>
      <c r="K540" t="n">
        <v>0</v>
      </c>
      <c r="L540" t="n">
        <v>0</v>
      </c>
      <c r="M540" t="n">
        <v>0</v>
      </c>
      <c r="N540" t="n">
        <v>0</v>
      </c>
      <c r="O540" t="n">
        <v>0</v>
      </c>
      <c r="P540" t="n">
        <v>0</v>
      </c>
      <c r="Q540" t="n">
        <v>0</v>
      </c>
      <c r="R540" s="2" t="inlineStr"/>
    </row>
    <row r="541" ht="15" customHeight="1">
      <c r="A541" t="inlineStr">
        <is>
          <t>A 35976-2024</t>
        </is>
      </c>
      <c r="B541" s="1" t="n">
        <v>45533.49555555556</v>
      </c>
      <c r="C541" s="1" t="n">
        <v>46066</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55556-2023</t>
        </is>
      </c>
      <c r="B542" s="1" t="n">
        <v>45232</v>
      </c>
      <c r="C542" s="1" t="n">
        <v>46066</v>
      </c>
      <c r="D542" t="inlineStr">
        <is>
          <t>VÄSTMANLANDS LÄN</t>
        </is>
      </c>
      <c r="E542" t="inlineStr">
        <is>
          <t>SALA</t>
        </is>
      </c>
      <c r="G542" t="n">
        <v>1.3</v>
      </c>
      <c r="H542" t="n">
        <v>0</v>
      </c>
      <c r="I542" t="n">
        <v>0</v>
      </c>
      <c r="J542" t="n">
        <v>0</v>
      </c>
      <c r="K542" t="n">
        <v>0</v>
      </c>
      <c r="L542" t="n">
        <v>0</v>
      </c>
      <c r="M542" t="n">
        <v>0</v>
      </c>
      <c r="N542" t="n">
        <v>0</v>
      </c>
      <c r="O542" t="n">
        <v>0</v>
      </c>
      <c r="P542" t="n">
        <v>0</v>
      </c>
      <c r="Q542" t="n">
        <v>0</v>
      </c>
      <c r="R542" s="2" t="inlineStr"/>
    </row>
    <row r="543" ht="15" customHeight="1">
      <c r="A543" t="inlineStr">
        <is>
          <t>A 57650-2024</t>
        </is>
      </c>
      <c r="B543" s="1" t="n">
        <v>45630</v>
      </c>
      <c r="C543" s="1" t="n">
        <v>46066</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50479-2022</t>
        </is>
      </c>
      <c r="B544" s="1" t="n">
        <v>44861</v>
      </c>
      <c r="C544" s="1" t="n">
        <v>46066</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45790-2023</t>
        </is>
      </c>
      <c r="B545" s="1" t="n">
        <v>45195.45958333334</v>
      </c>
      <c r="C545" s="1" t="n">
        <v>46066</v>
      </c>
      <c r="D545" t="inlineStr">
        <is>
          <t>VÄSTMANLANDS LÄN</t>
        </is>
      </c>
      <c r="E545" t="inlineStr">
        <is>
          <t>SALA</t>
        </is>
      </c>
      <c r="G545" t="n">
        <v>5.7</v>
      </c>
      <c r="H545" t="n">
        <v>0</v>
      </c>
      <c r="I545" t="n">
        <v>0</v>
      </c>
      <c r="J545" t="n">
        <v>0</v>
      </c>
      <c r="K545" t="n">
        <v>0</v>
      </c>
      <c r="L545" t="n">
        <v>0</v>
      </c>
      <c r="M545" t="n">
        <v>0</v>
      </c>
      <c r="N545" t="n">
        <v>0</v>
      </c>
      <c r="O545" t="n">
        <v>0</v>
      </c>
      <c r="P545" t="n">
        <v>0</v>
      </c>
      <c r="Q545" t="n">
        <v>0</v>
      </c>
      <c r="R545" s="2" t="inlineStr"/>
    </row>
    <row r="546" ht="15" customHeight="1">
      <c r="A546" t="inlineStr">
        <is>
          <t>A 57014-2025</t>
        </is>
      </c>
      <c r="B546" s="1" t="n">
        <v>45978</v>
      </c>
      <c r="C546" s="1" t="n">
        <v>46066</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2928-2024</t>
        </is>
      </c>
      <c r="B547" s="1" t="n">
        <v>45315.59041666667</v>
      </c>
      <c r="C547" s="1" t="n">
        <v>46066</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73673-2021</t>
        </is>
      </c>
      <c r="B548" s="1" t="n">
        <v>44552.46501157407</v>
      </c>
      <c r="C548" s="1" t="n">
        <v>46066</v>
      </c>
      <c r="D548" t="inlineStr">
        <is>
          <t>VÄSTMANLANDS LÄN</t>
        </is>
      </c>
      <c r="E548" t="inlineStr">
        <is>
          <t>SALA</t>
        </is>
      </c>
      <c r="G548" t="n">
        <v>11.4</v>
      </c>
      <c r="H548" t="n">
        <v>0</v>
      </c>
      <c r="I548" t="n">
        <v>0</v>
      </c>
      <c r="J548" t="n">
        <v>0</v>
      </c>
      <c r="K548" t="n">
        <v>0</v>
      </c>
      <c r="L548" t="n">
        <v>0</v>
      </c>
      <c r="M548" t="n">
        <v>0</v>
      </c>
      <c r="N548" t="n">
        <v>0</v>
      </c>
      <c r="O548" t="n">
        <v>0</v>
      </c>
      <c r="P548" t="n">
        <v>0</v>
      </c>
      <c r="Q548" t="n">
        <v>0</v>
      </c>
      <c r="R548" s="2" t="inlineStr"/>
    </row>
    <row r="549" ht="15" customHeight="1">
      <c r="A549" t="inlineStr">
        <is>
          <t>A 40871-2021</t>
        </is>
      </c>
      <c r="B549" s="1" t="n">
        <v>44421</v>
      </c>
      <c r="C549" s="1" t="n">
        <v>46066</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57414-2025</t>
        </is>
      </c>
      <c r="B550" s="1" t="n">
        <v>45980.45003472222</v>
      </c>
      <c r="C550" s="1" t="n">
        <v>46066</v>
      </c>
      <c r="D550" t="inlineStr">
        <is>
          <t>VÄSTMANLANDS LÄN</t>
        </is>
      </c>
      <c r="E550" t="inlineStr">
        <is>
          <t>SALA</t>
        </is>
      </c>
      <c r="F550" t="inlineStr">
        <is>
          <t>Bergvik skog öst AB</t>
        </is>
      </c>
      <c r="G550" t="n">
        <v>2</v>
      </c>
      <c r="H550" t="n">
        <v>0</v>
      </c>
      <c r="I550" t="n">
        <v>0</v>
      </c>
      <c r="J550" t="n">
        <v>0</v>
      </c>
      <c r="K550" t="n">
        <v>0</v>
      </c>
      <c r="L550" t="n">
        <v>0</v>
      </c>
      <c r="M550" t="n">
        <v>0</v>
      </c>
      <c r="N550" t="n">
        <v>0</v>
      </c>
      <c r="O550" t="n">
        <v>0</v>
      </c>
      <c r="P550" t="n">
        <v>0</v>
      </c>
      <c r="Q550" t="n">
        <v>0</v>
      </c>
      <c r="R550" s="2" t="inlineStr"/>
    </row>
    <row r="551" ht="15" customHeight="1">
      <c r="A551" t="inlineStr">
        <is>
          <t>A 57415-2025</t>
        </is>
      </c>
      <c r="B551" s="1" t="n">
        <v>45980.45099537037</v>
      </c>
      <c r="C551" s="1" t="n">
        <v>46066</v>
      </c>
      <c r="D551" t="inlineStr">
        <is>
          <t>VÄSTMANLANDS LÄN</t>
        </is>
      </c>
      <c r="E551" t="inlineStr">
        <is>
          <t>SALA</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57412-2025</t>
        </is>
      </c>
      <c r="B552" s="1" t="n">
        <v>45980.44883101852</v>
      </c>
      <c r="C552" s="1" t="n">
        <v>46066</v>
      </c>
      <c r="D552" t="inlineStr">
        <is>
          <t>VÄSTMANLANDS LÄN</t>
        </is>
      </c>
      <c r="E552" t="inlineStr">
        <is>
          <t>SALA</t>
        </is>
      </c>
      <c r="F552" t="inlineStr">
        <is>
          <t>Bergvik skog öst AB</t>
        </is>
      </c>
      <c r="G552" t="n">
        <v>4.5</v>
      </c>
      <c r="H552" t="n">
        <v>0</v>
      </c>
      <c r="I552" t="n">
        <v>0</v>
      </c>
      <c r="J552" t="n">
        <v>0</v>
      </c>
      <c r="K552" t="n">
        <v>0</v>
      </c>
      <c r="L552" t="n">
        <v>0</v>
      </c>
      <c r="M552" t="n">
        <v>0</v>
      </c>
      <c r="N552" t="n">
        <v>0</v>
      </c>
      <c r="O552" t="n">
        <v>0</v>
      </c>
      <c r="P552" t="n">
        <v>0</v>
      </c>
      <c r="Q552" t="n">
        <v>0</v>
      </c>
      <c r="R552" s="2" t="inlineStr"/>
    </row>
    <row r="553" ht="15" customHeight="1">
      <c r="A553" t="inlineStr">
        <is>
          <t>A 14271-2025</t>
        </is>
      </c>
      <c r="B553" s="1" t="n">
        <v>45740.64129629629</v>
      </c>
      <c r="C553" s="1" t="n">
        <v>46066</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58359-2025</t>
        </is>
      </c>
      <c r="B554" s="1" t="n">
        <v>45985.51594907408</v>
      </c>
      <c r="C554" s="1" t="n">
        <v>46066</v>
      </c>
      <c r="D554" t="inlineStr">
        <is>
          <t>VÄSTMANLANDS LÄN</t>
        </is>
      </c>
      <c r="E554" t="inlineStr">
        <is>
          <t>SALA</t>
        </is>
      </c>
      <c r="G554" t="n">
        <v>3.7</v>
      </c>
      <c r="H554" t="n">
        <v>0</v>
      </c>
      <c r="I554" t="n">
        <v>0</v>
      </c>
      <c r="J554" t="n">
        <v>0</v>
      </c>
      <c r="K554" t="n">
        <v>0</v>
      </c>
      <c r="L554" t="n">
        <v>0</v>
      </c>
      <c r="M554" t="n">
        <v>0</v>
      </c>
      <c r="N554" t="n">
        <v>0</v>
      </c>
      <c r="O554" t="n">
        <v>0</v>
      </c>
      <c r="P554" t="n">
        <v>0</v>
      </c>
      <c r="Q554" t="n">
        <v>0</v>
      </c>
      <c r="R554" s="2" t="inlineStr"/>
    </row>
    <row r="555" ht="15" customHeight="1">
      <c r="A555" t="inlineStr">
        <is>
          <t>A 58364-2025</t>
        </is>
      </c>
      <c r="B555" s="1" t="n">
        <v>45985.5228125</v>
      </c>
      <c r="C555" s="1" t="n">
        <v>46066</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54199-2024</t>
        </is>
      </c>
      <c r="B556" s="1" t="n">
        <v>45616.64703703704</v>
      </c>
      <c r="C556" s="1" t="n">
        <v>46066</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6312-2025</t>
        </is>
      </c>
      <c r="B557" s="1" t="n">
        <v>45698</v>
      </c>
      <c r="C557" s="1" t="n">
        <v>46066</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58282-2025</t>
        </is>
      </c>
      <c r="B558" s="1" t="n">
        <v>45985.44309027777</v>
      </c>
      <c r="C558" s="1" t="n">
        <v>46066</v>
      </c>
      <c r="D558" t="inlineStr">
        <is>
          <t>VÄSTMANLANDS LÄN</t>
        </is>
      </c>
      <c r="E558" t="inlineStr">
        <is>
          <t>SALA</t>
        </is>
      </c>
      <c r="G558" t="n">
        <v>8.9</v>
      </c>
      <c r="H558" t="n">
        <v>0</v>
      </c>
      <c r="I558" t="n">
        <v>0</v>
      </c>
      <c r="J558" t="n">
        <v>0</v>
      </c>
      <c r="K558" t="n">
        <v>0</v>
      </c>
      <c r="L558" t="n">
        <v>0</v>
      </c>
      <c r="M558" t="n">
        <v>0</v>
      </c>
      <c r="N558" t="n">
        <v>0</v>
      </c>
      <c r="O558" t="n">
        <v>0</v>
      </c>
      <c r="P558" t="n">
        <v>0</v>
      </c>
      <c r="Q558" t="n">
        <v>0</v>
      </c>
      <c r="R558" s="2" t="inlineStr"/>
    </row>
    <row r="559" ht="15" customHeight="1">
      <c r="A559" t="inlineStr">
        <is>
          <t>A 55760-2025</t>
        </is>
      </c>
      <c r="B559" s="1" t="n">
        <v>45972</v>
      </c>
      <c r="C559" s="1" t="n">
        <v>46066</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58357-2025</t>
        </is>
      </c>
      <c r="B560" s="1" t="n">
        <v>45985.51518518518</v>
      </c>
      <c r="C560" s="1" t="n">
        <v>46066</v>
      </c>
      <c r="D560" t="inlineStr">
        <is>
          <t>VÄSTMANLANDS LÄN</t>
        </is>
      </c>
      <c r="E560" t="inlineStr">
        <is>
          <t>SALA</t>
        </is>
      </c>
      <c r="G560" t="n">
        <v>3</v>
      </c>
      <c r="H560" t="n">
        <v>0</v>
      </c>
      <c r="I560" t="n">
        <v>0</v>
      </c>
      <c r="J560" t="n">
        <v>0</v>
      </c>
      <c r="K560" t="n">
        <v>0</v>
      </c>
      <c r="L560" t="n">
        <v>0</v>
      </c>
      <c r="M560" t="n">
        <v>0</v>
      </c>
      <c r="N560" t="n">
        <v>0</v>
      </c>
      <c r="O560" t="n">
        <v>0</v>
      </c>
      <c r="P560" t="n">
        <v>0</v>
      </c>
      <c r="Q560" t="n">
        <v>0</v>
      </c>
      <c r="R560" s="2" t="inlineStr"/>
    </row>
    <row r="561" ht="15" customHeight="1">
      <c r="A561" t="inlineStr">
        <is>
          <t>A 58365-2025</t>
        </is>
      </c>
      <c r="B561" s="1" t="n">
        <v>45985.52288194445</v>
      </c>
      <c r="C561" s="1" t="n">
        <v>46066</v>
      </c>
      <c r="D561" t="inlineStr">
        <is>
          <t>VÄSTMANLANDS LÄN</t>
        </is>
      </c>
      <c r="E561" t="inlineStr">
        <is>
          <t>SALA</t>
        </is>
      </c>
      <c r="G561" t="n">
        <v>3.9</v>
      </c>
      <c r="H561" t="n">
        <v>0</v>
      </c>
      <c r="I561" t="n">
        <v>0</v>
      </c>
      <c r="J561" t="n">
        <v>0</v>
      </c>
      <c r="K561" t="n">
        <v>0</v>
      </c>
      <c r="L561" t="n">
        <v>0</v>
      </c>
      <c r="M561" t="n">
        <v>0</v>
      </c>
      <c r="N561" t="n">
        <v>0</v>
      </c>
      <c r="O561" t="n">
        <v>0</v>
      </c>
      <c r="P561" t="n">
        <v>0</v>
      </c>
      <c r="Q561" t="n">
        <v>0</v>
      </c>
      <c r="R561" s="2" t="inlineStr"/>
    </row>
    <row r="562" ht="15" customHeight="1">
      <c r="A562" t="inlineStr">
        <is>
          <t>A 44857-2023</t>
        </is>
      </c>
      <c r="B562" s="1" t="n">
        <v>45190.58479166667</v>
      </c>
      <c r="C562" s="1" t="n">
        <v>46066</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62654-2022</t>
        </is>
      </c>
      <c r="B563" s="1" t="n">
        <v>44917</v>
      </c>
      <c r="C563" s="1" t="n">
        <v>46066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43188-2023</t>
        </is>
      </c>
      <c r="B564" s="1" t="n">
        <v>45183</v>
      </c>
      <c r="C564" s="1" t="n">
        <v>46066</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43205-2023</t>
        </is>
      </c>
      <c r="B565" s="1" t="n">
        <v>45183</v>
      </c>
      <c r="C565" s="1" t="n">
        <v>46066</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61892-2021</t>
        </is>
      </c>
      <c r="B566" s="1" t="n">
        <v>44502</v>
      </c>
      <c r="C566" s="1" t="n">
        <v>46066</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29213-2022</t>
        </is>
      </c>
      <c r="B567" s="1" t="n">
        <v>44750.57474537037</v>
      </c>
      <c r="C567" s="1" t="n">
        <v>46066</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59483-2022</t>
        </is>
      </c>
      <c r="B568" s="1" t="n">
        <v>44907.45679398148</v>
      </c>
      <c r="C568" s="1" t="n">
        <v>46066</v>
      </c>
      <c r="D568" t="inlineStr">
        <is>
          <t>VÄSTMANLANDS LÄN</t>
        </is>
      </c>
      <c r="E568" t="inlineStr">
        <is>
          <t>SALA</t>
        </is>
      </c>
      <c r="G568" t="n">
        <v>5.2</v>
      </c>
      <c r="H568" t="n">
        <v>0</v>
      </c>
      <c r="I568" t="n">
        <v>0</v>
      </c>
      <c r="J568" t="n">
        <v>0</v>
      </c>
      <c r="K568" t="n">
        <v>0</v>
      </c>
      <c r="L568" t="n">
        <v>0</v>
      </c>
      <c r="M568" t="n">
        <v>0</v>
      </c>
      <c r="N568" t="n">
        <v>0</v>
      </c>
      <c r="O568" t="n">
        <v>0</v>
      </c>
      <c r="P568" t="n">
        <v>0</v>
      </c>
      <c r="Q568" t="n">
        <v>0</v>
      </c>
      <c r="R568" s="2" t="inlineStr"/>
    </row>
    <row r="569" ht="15" customHeight="1">
      <c r="A569" t="inlineStr">
        <is>
          <t>A 16160-2024</t>
        </is>
      </c>
      <c r="B569" s="1" t="n">
        <v>45406</v>
      </c>
      <c r="C569" s="1" t="n">
        <v>46066</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948-2026</t>
        </is>
      </c>
      <c r="B570" s="1" t="n">
        <v>46030.53986111111</v>
      </c>
      <c r="C570" s="1" t="n">
        <v>46066</v>
      </c>
      <c r="D570" t="inlineStr">
        <is>
          <t>VÄSTMANLANDS LÄN</t>
        </is>
      </c>
      <c r="E570" t="inlineStr">
        <is>
          <t>SALA</t>
        </is>
      </c>
      <c r="G570" t="n">
        <v>0.8</v>
      </c>
      <c r="H570" t="n">
        <v>0</v>
      </c>
      <c r="I570" t="n">
        <v>0</v>
      </c>
      <c r="J570" t="n">
        <v>0</v>
      </c>
      <c r="K570" t="n">
        <v>0</v>
      </c>
      <c r="L570" t="n">
        <v>0</v>
      </c>
      <c r="M570" t="n">
        <v>0</v>
      </c>
      <c r="N570" t="n">
        <v>0</v>
      </c>
      <c r="O570" t="n">
        <v>0</v>
      </c>
      <c r="P570" t="n">
        <v>0</v>
      </c>
      <c r="Q570" t="n">
        <v>0</v>
      </c>
      <c r="R570" s="2" t="inlineStr"/>
    </row>
    <row r="571" ht="15" customHeight="1">
      <c r="A571" t="inlineStr">
        <is>
          <t>A 59385-2025</t>
        </is>
      </c>
      <c r="B571" s="1" t="n">
        <v>45989.45746527778</v>
      </c>
      <c r="C571" s="1" t="n">
        <v>46066</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59390-2025</t>
        </is>
      </c>
      <c r="B572" s="1" t="n">
        <v>45989.4640162037</v>
      </c>
      <c r="C572" s="1" t="n">
        <v>46066</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51247-2025</t>
        </is>
      </c>
      <c r="B573" s="1" t="n">
        <v>45947.86487268518</v>
      </c>
      <c r="C573" s="1" t="n">
        <v>46066</v>
      </c>
      <c r="D573" t="inlineStr">
        <is>
          <t>VÄSTMANLANDS LÄN</t>
        </is>
      </c>
      <c r="E573" t="inlineStr">
        <is>
          <t>SALA</t>
        </is>
      </c>
      <c r="G573" t="n">
        <v>10.4</v>
      </c>
      <c r="H573" t="n">
        <v>0</v>
      </c>
      <c r="I573" t="n">
        <v>0</v>
      </c>
      <c r="J573" t="n">
        <v>0</v>
      </c>
      <c r="K573" t="n">
        <v>0</v>
      </c>
      <c r="L573" t="n">
        <v>0</v>
      </c>
      <c r="M573" t="n">
        <v>0</v>
      </c>
      <c r="N573" t="n">
        <v>0</v>
      </c>
      <c r="O573" t="n">
        <v>0</v>
      </c>
      <c r="P573" t="n">
        <v>0</v>
      </c>
      <c r="Q573" t="n">
        <v>0</v>
      </c>
      <c r="R573" s="2" t="inlineStr"/>
    </row>
    <row r="574" ht="15" customHeight="1">
      <c r="A574" t="inlineStr">
        <is>
          <t>A 39597-2022</t>
        </is>
      </c>
      <c r="B574" s="1" t="n">
        <v>44818</v>
      </c>
      <c r="C574" s="1" t="n">
        <v>46066</v>
      </c>
      <c r="D574" t="inlineStr">
        <is>
          <t>VÄSTMANLANDS LÄN</t>
        </is>
      </c>
      <c r="E574" t="inlineStr">
        <is>
          <t>SALA</t>
        </is>
      </c>
      <c r="G574" t="n">
        <v>2.3</v>
      </c>
      <c r="H574" t="n">
        <v>0</v>
      </c>
      <c r="I574" t="n">
        <v>0</v>
      </c>
      <c r="J574" t="n">
        <v>0</v>
      </c>
      <c r="K574" t="n">
        <v>0</v>
      </c>
      <c r="L574" t="n">
        <v>0</v>
      </c>
      <c r="M574" t="n">
        <v>0</v>
      </c>
      <c r="N574" t="n">
        <v>0</v>
      </c>
      <c r="O574" t="n">
        <v>0</v>
      </c>
      <c r="P574" t="n">
        <v>0</v>
      </c>
      <c r="Q574" t="n">
        <v>0</v>
      </c>
      <c r="R574" s="2" t="inlineStr"/>
    </row>
    <row r="575" ht="15" customHeight="1">
      <c r="A575" t="inlineStr">
        <is>
          <t>A 22921-2023</t>
        </is>
      </c>
      <c r="B575" s="1" t="n">
        <v>45070</v>
      </c>
      <c r="C575" s="1" t="n">
        <v>46066</v>
      </c>
      <c r="D575" t="inlineStr">
        <is>
          <t>VÄSTMANLANDS LÄN</t>
        </is>
      </c>
      <c r="E575" t="inlineStr">
        <is>
          <t>SALA</t>
        </is>
      </c>
      <c r="G575" t="n">
        <v>1.3</v>
      </c>
      <c r="H575" t="n">
        <v>0</v>
      </c>
      <c r="I575" t="n">
        <v>0</v>
      </c>
      <c r="J575" t="n">
        <v>0</v>
      </c>
      <c r="K575" t="n">
        <v>0</v>
      </c>
      <c r="L575" t="n">
        <v>0</v>
      </c>
      <c r="M575" t="n">
        <v>0</v>
      </c>
      <c r="N575" t="n">
        <v>0</v>
      </c>
      <c r="O575" t="n">
        <v>0</v>
      </c>
      <c r="P575" t="n">
        <v>0</v>
      </c>
      <c r="Q575" t="n">
        <v>0</v>
      </c>
      <c r="R575" s="2" t="inlineStr"/>
    </row>
    <row r="576" ht="15" customHeight="1">
      <c r="A576" t="inlineStr">
        <is>
          <t>A 914-2026</t>
        </is>
      </c>
      <c r="B576" s="1" t="n">
        <v>46030.47952546296</v>
      </c>
      <c r="C576" s="1" t="n">
        <v>46066</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910-2026</t>
        </is>
      </c>
      <c r="B577" s="1" t="n">
        <v>46030.4771412037</v>
      </c>
      <c r="C577" s="1" t="n">
        <v>46066</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36858-2023</t>
        </is>
      </c>
      <c r="B578" s="1" t="n">
        <v>45154.55184027777</v>
      </c>
      <c r="C578" s="1" t="n">
        <v>46066</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55024-2023</t>
        </is>
      </c>
      <c r="B579" s="1" t="n">
        <v>45229</v>
      </c>
      <c r="C579" s="1" t="n">
        <v>46066</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55032-2023</t>
        </is>
      </c>
      <c r="B580" s="1" t="n">
        <v>45229</v>
      </c>
      <c r="C580" s="1" t="n">
        <v>46066</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20352-2022</t>
        </is>
      </c>
      <c r="B581" s="1" t="n">
        <v>44699.37318287037</v>
      </c>
      <c r="C581" s="1" t="n">
        <v>46066</v>
      </c>
      <c r="D581" t="inlineStr">
        <is>
          <t>VÄSTMANLANDS LÄN</t>
        </is>
      </c>
      <c r="E581" t="inlineStr">
        <is>
          <t>SALA</t>
        </is>
      </c>
      <c r="G581" t="n">
        <v>1.3</v>
      </c>
      <c r="H581" t="n">
        <v>0</v>
      </c>
      <c r="I581" t="n">
        <v>0</v>
      </c>
      <c r="J581" t="n">
        <v>0</v>
      </c>
      <c r="K581" t="n">
        <v>0</v>
      </c>
      <c r="L581" t="n">
        <v>0</v>
      </c>
      <c r="M581" t="n">
        <v>0</v>
      </c>
      <c r="N581" t="n">
        <v>0</v>
      </c>
      <c r="O581" t="n">
        <v>0</v>
      </c>
      <c r="P581" t="n">
        <v>0</v>
      </c>
      <c r="Q581" t="n">
        <v>0</v>
      </c>
      <c r="R581" s="2" t="inlineStr"/>
    </row>
    <row r="582" ht="15" customHeight="1">
      <c r="A582" t="inlineStr">
        <is>
          <t>A 5032-2025</t>
        </is>
      </c>
      <c r="B582" s="1" t="n">
        <v>45691</v>
      </c>
      <c r="C582" s="1" t="n">
        <v>46066</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59817-2025</t>
        </is>
      </c>
      <c r="B583" s="1" t="n">
        <v>45992.63711805556</v>
      </c>
      <c r="C583" s="1" t="n">
        <v>46066</v>
      </c>
      <c r="D583" t="inlineStr">
        <is>
          <t>VÄSTMANLANDS LÄN</t>
        </is>
      </c>
      <c r="E583" t="inlineStr">
        <is>
          <t>SALA</t>
        </is>
      </c>
      <c r="G583" t="n">
        <v>6.9</v>
      </c>
      <c r="H583" t="n">
        <v>0</v>
      </c>
      <c r="I583" t="n">
        <v>0</v>
      </c>
      <c r="J583" t="n">
        <v>0</v>
      </c>
      <c r="K583" t="n">
        <v>0</v>
      </c>
      <c r="L583" t="n">
        <v>0</v>
      </c>
      <c r="M583" t="n">
        <v>0</v>
      </c>
      <c r="N583" t="n">
        <v>0</v>
      </c>
      <c r="O583" t="n">
        <v>0</v>
      </c>
      <c r="P583" t="n">
        <v>0</v>
      </c>
      <c r="Q583" t="n">
        <v>0</v>
      </c>
      <c r="R583" s="2" t="inlineStr"/>
    </row>
    <row r="584" ht="15" customHeight="1">
      <c r="A584" t="inlineStr">
        <is>
          <t>A 17117-2023</t>
        </is>
      </c>
      <c r="B584" s="1" t="n">
        <v>45034</v>
      </c>
      <c r="C584" s="1" t="n">
        <v>46066</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1705-2026</t>
        </is>
      </c>
      <c r="B585" s="1" t="n">
        <v>46034.59930555556</v>
      </c>
      <c r="C585" s="1" t="n">
        <v>46066</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59870-2025</t>
        </is>
      </c>
      <c r="B586" s="1" t="n">
        <v>45992.92226851852</v>
      </c>
      <c r="C586" s="1" t="n">
        <v>46066</v>
      </c>
      <c r="D586" t="inlineStr">
        <is>
          <t>VÄSTMANLANDS LÄN</t>
        </is>
      </c>
      <c r="E586" t="inlineStr">
        <is>
          <t>SALA</t>
        </is>
      </c>
      <c r="G586" t="n">
        <v>3.4</v>
      </c>
      <c r="H586" t="n">
        <v>0</v>
      </c>
      <c r="I586" t="n">
        <v>0</v>
      </c>
      <c r="J586" t="n">
        <v>0</v>
      </c>
      <c r="K586" t="n">
        <v>0</v>
      </c>
      <c r="L586" t="n">
        <v>0</v>
      </c>
      <c r="M586" t="n">
        <v>0</v>
      </c>
      <c r="N586" t="n">
        <v>0</v>
      </c>
      <c r="O586" t="n">
        <v>0</v>
      </c>
      <c r="P586" t="n">
        <v>0</v>
      </c>
      <c r="Q586" t="n">
        <v>0</v>
      </c>
      <c r="R586" s="2" t="inlineStr"/>
    </row>
    <row r="587" ht="15" customHeight="1">
      <c r="A587" t="inlineStr">
        <is>
          <t>A 19243-2025</t>
        </is>
      </c>
      <c r="B587" s="1" t="n">
        <v>45769</v>
      </c>
      <c r="C587" s="1" t="n">
        <v>46066</v>
      </c>
      <c r="D587" t="inlineStr">
        <is>
          <t>VÄSTMANLANDS LÄN</t>
        </is>
      </c>
      <c r="E587" t="inlineStr">
        <is>
          <t>SALA</t>
        </is>
      </c>
      <c r="F587" t="inlineStr">
        <is>
          <t>Bergvik skog öst AB</t>
        </is>
      </c>
      <c r="G587" t="n">
        <v>1.5</v>
      </c>
      <c r="H587" t="n">
        <v>0</v>
      </c>
      <c r="I587" t="n">
        <v>0</v>
      </c>
      <c r="J587" t="n">
        <v>0</v>
      </c>
      <c r="K587" t="n">
        <v>0</v>
      </c>
      <c r="L587" t="n">
        <v>0</v>
      </c>
      <c r="M587" t="n">
        <v>0</v>
      </c>
      <c r="N587" t="n">
        <v>0</v>
      </c>
      <c r="O587" t="n">
        <v>0</v>
      </c>
      <c r="P587" t="n">
        <v>0</v>
      </c>
      <c r="Q587" t="n">
        <v>0</v>
      </c>
      <c r="R587" s="2" t="inlineStr"/>
    </row>
    <row r="588" ht="15" customHeight="1">
      <c r="A588" t="inlineStr">
        <is>
          <t>A 59926-2025</t>
        </is>
      </c>
      <c r="B588" s="1" t="n">
        <v>45993.39221064815</v>
      </c>
      <c r="C588" s="1" t="n">
        <v>46066</v>
      </c>
      <c r="D588" t="inlineStr">
        <is>
          <t>VÄSTMANLANDS LÄN</t>
        </is>
      </c>
      <c r="E588" t="inlineStr">
        <is>
          <t>SALA</t>
        </is>
      </c>
      <c r="G588" t="n">
        <v>7.1</v>
      </c>
      <c r="H588" t="n">
        <v>0</v>
      </c>
      <c r="I588" t="n">
        <v>0</v>
      </c>
      <c r="J588" t="n">
        <v>0</v>
      </c>
      <c r="K588" t="n">
        <v>0</v>
      </c>
      <c r="L588" t="n">
        <v>0</v>
      </c>
      <c r="M588" t="n">
        <v>0</v>
      </c>
      <c r="N588" t="n">
        <v>0</v>
      </c>
      <c r="O588" t="n">
        <v>0</v>
      </c>
      <c r="P588" t="n">
        <v>0</v>
      </c>
      <c r="Q588" t="n">
        <v>0</v>
      </c>
      <c r="R588" s="2" t="inlineStr"/>
    </row>
    <row r="589" ht="15" customHeight="1">
      <c r="A589" t="inlineStr">
        <is>
          <t>A 60017-2025</t>
        </is>
      </c>
      <c r="B589" s="1" t="n">
        <v>45993.59998842593</v>
      </c>
      <c r="C589" s="1" t="n">
        <v>46066</v>
      </c>
      <c r="D589" t="inlineStr">
        <is>
          <t>VÄSTMANLANDS LÄN</t>
        </is>
      </c>
      <c r="E589" t="inlineStr">
        <is>
          <t>SALA</t>
        </is>
      </c>
      <c r="G589" t="n">
        <v>4.4</v>
      </c>
      <c r="H589" t="n">
        <v>0</v>
      </c>
      <c r="I589" t="n">
        <v>0</v>
      </c>
      <c r="J589" t="n">
        <v>0</v>
      </c>
      <c r="K589" t="n">
        <v>0</v>
      </c>
      <c r="L589" t="n">
        <v>0</v>
      </c>
      <c r="M589" t="n">
        <v>0</v>
      </c>
      <c r="N589" t="n">
        <v>0</v>
      </c>
      <c r="O589" t="n">
        <v>0</v>
      </c>
      <c r="P589" t="n">
        <v>0</v>
      </c>
      <c r="Q589" t="n">
        <v>0</v>
      </c>
      <c r="R589" s="2" t="inlineStr"/>
    </row>
    <row r="590" ht="15" customHeight="1">
      <c r="A590" t="inlineStr">
        <is>
          <t>A 7166-2025</t>
        </is>
      </c>
      <c r="B590" s="1" t="n">
        <v>45702</v>
      </c>
      <c r="C590" s="1" t="n">
        <v>46066</v>
      </c>
      <c r="D590" t="inlineStr">
        <is>
          <t>VÄSTMANLANDS LÄN</t>
        </is>
      </c>
      <c r="E590" t="inlineStr">
        <is>
          <t>SALA</t>
        </is>
      </c>
      <c r="G590" t="n">
        <v>6.1</v>
      </c>
      <c r="H590" t="n">
        <v>0</v>
      </c>
      <c r="I590" t="n">
        <v>0</v>
      </c>
      <c r="J590" t="n">
        <v>0</v>
      </c>
      <c r="K590" t="n">
        <v>0</v>
      </c>
      <c r="L590" t="n">
        <v>0</v>
      </c>
      <c r="M590" t="n">
        <v>0</v>
      </c>
      <c r="N590" t="n">
        <v>0</v>
      </c>
      <c r="O590" t="n">
        <v>0</v>
      </c>
      <c r="P590" t="n">
        <v>0</v>
      </c>
      <c r="Q590" t="n">
        <v>0</v>
      </c>
      <c r="R590" s="2" t="inlineStr"/>
    </row>
    <row r="591" ht="15" customHeight="1">
      <c r="A591" t="inlineStr">
        <is>
          <t>A 36393-2023</t>
        </is>
      </c>
      <c r="B591" s="1" t="n">
        <v>45152</v>
      </c>
      <c r="C591" s="1" t="n">
        <v>46066</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26416-2023</t>
        </is>
      </c>
      <c r="B592" s="1" t="n">
        <v>45092.38087962963</v>
      </c>
      <c r="C592" s="1" t="n">
        <v>46066</v>
      </c>
      <c r="D592" t="inlineStr">
        <is>
          <t>VÄSTMANLANDS LÄN</t>
        </is>
      </c>
      <c r="E592" t="inlineStr">
        <is>
          <t>SALA</t>
        </is>
      </c>
      <c r="G592" t="n">
        <v>2.9</v>
      </c>
      <c r="H592" t="n">
        <v>0</v>
      </c>
      <c r="I592" t="n">
        <v>0</v>
      </c>
      <c r="J592" t="n">
        <v>0</v>
      </c>
      <c r="K592" t="n">
        <v>0</v>
      </c>
      <c r="L592" t="n">
        <v>0</v>
      </c>
      <c r="M592" t="n">
        <v>0</v>
      </c>
      <c r="N592" t="n">
        <v>0</v>
      </c>
      <c r="O592" t="n">
        <v>0</v>
      </c>
      <c r="P592" t="n">
        <v>0</v>
      </c>
      <c r="Q592" t="n">
        <v>0</v>
      </c>
      <c r="R592" s="2" t="inlineStr"/>
    </row>
    <row r="593" ht="15" customHeight="1">
      <c r="A593" t="inlineStr">
        <is>
          <t>A 60254-2025</t>
        </is>
      </c>
      <c r="B593" s="1" t="n">
        <v>45994.60146990741</v>
      </c>
      <c r="C593" s="1" t="n">
        <v>46066</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60259-2025</t>
        </is>
      </c>
      <c r="B594" s="1" t="n">
        <v>45994.60913194445</v>
      </c>
      <c r="C594" s="1" t="n">
        <v>46066</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60241-2025</t>
        </is>
      </c>
      <c r="B595" s="1" t="n">
        <v>45994.58454861111</v>
      </c>
      <c r="C595" s="1" t="n">
        <v>46066</v>
      </c>
      <c r="D595" t="inlineStr">
        <is>
          <t>VÄSTMANLANDS LÄN</t>
        </is>
      </c>
      <c r="E595" t="inlineStr">
        <is>
          <t>SALA</t>
        </is>
      </c>
      <c r="G595" t="n">
        <v>1.6</v>
      </c>
      <c r="H595" t="n">
        <v>0</v>
      </c>
      <c r="I595" t="n">
        <v>0</v>
      </c>
      <c r="J595" t="n">
        <v>0</v>
      </c>
      <c r="K595" t="n">
        <v>0</v>
      </c>
      <c r="L595" t="n">
        <v>0</v>
      </c>
      <c r="M595" t="n">
        <v>0</v>
      </c>
      <c r="N595" t="n">
        <v>0</v>
      </c>
      <c r="O595" t="n">
        <v>0</v>
      </c>
      <c r="P595" t="n">
        <v>0</v>
      </c>
      <c r="Q595" t="n">
        <v>0</v>
      </c>
      <c r="R595" s="2" t="inlineStr"/>
    </row>
    <row r="596" ht="15" customHeight="1">
      <c r="A596" t="inlineStr">
        <is>
          <t>A 28661-2024</t>
        </is>
      </c>
      <c r="B596" s="1" t="n">
        <v>45478</v>
      </c>
      <c r="C596" s="1" t="n">
        <v>46066</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46066</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7197-2025</t>
        </is>
      </c>
      <c r="B598" s="1" t="n">
        <v>45702</v>
      </c>
      <c r="C598" s="1" t="n">
        <v>46066</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60258-2025</t>
        </is>
      </c>
      <c r="B599" s="1" t="n">
        <v>45994.6064699074</v>
      </c>
      <c r="C599" s="1" t="n">
        <v>46066</v>
      </c>
      <c r="D599" t="inlineStr">
        <is>
          <t>VÄSTMANLANDS LÄN</t>
        </is>
      </c>
      <c r="E599" t="inlineStr">
        <is>
          <t>SALA</t>
        </is>
      </c>
      <c r="G599" t="n">
        <v>2.2</v>
      </c>
      <c r="H599" t="n">
        <v>0</v>
      </c>
      <c r="I599" t="n">
        <v>0</v>
      </c>
      <c r="J599" t="n">
        <v>0</v>
      </c>
      <c r="K599" t="n">
        <v>0</v>
      </c>
      <c r="L599" t="n">
        <v>0</v>
      </c>
      <c r="M599" t="n">
        <v>0</v>
      </c>
      <c r="N599" t="n">
        <v>0</v>
      </c>
      <c r="O599" t="n">
        <v>0</v>
      </c>
      <c r="P599" t="n">
        <v>0</v>
      </c>
      <c r="Q599" t="n">
        <v>0</v>
      </c>
      <c r="R599" s="2" t="inlineStr"/>
    </row>
    <row r="600" ht="15" customHeight="1">
      <c r="A600" t="inlineStr">
        <is>
          <t>A 60246-2025</t>
        </is>
      </c>
      <c r="B600" s="1" t="n">
        <v>45994.58931712963</v>
      </c>
      <c r="C600" s="1" t="n">
        <v>46066</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60629-2025</t>
        </is>
      </c>
      <c r="B601" s="1" t="n">
        <v>45996.41972222222</v>
      </c>
      <c r="C601" s="1" t="n">
        <v>46066</v>
      </c>
      <c r="D601" t="inlineStr">
        <is>
          <t>VÄSTMANLANDS LÄN</t>
        </is>
      </c>
      <c r="E601" t="inlineStr">
        <is>
          <t>SALA</t>
        </is>
      </c>
      <c r="G601" t="n">
        <v>4.3</v>
      </c>
      <c r="H601" t="n">
        <v>0</v>
      </c>
      <c r="I601" t="n">
        <v>0</v>
      </c>
      <c r="J601" t="n">
        <v>0</v>
      </c>
      <c r="K601" t="n">
        <v>0</v>
      </c>
      <c r="L601" t="n">
        <v>0</v>
      </c>
      <c r="M601" t="n">
        <v>0</v>
      </c>
      <c r="N601" t="n">
        <v>0</v>
      </c>
      <c r="O601" t="n">
        <v>0</v>
      </c>
      <c r="P601" t="n">
        <v>0</v>
      </c>
      <c r="Q601" t="n">
        <v>0</v>
      </c>
      <c r="R601" s="2" t="inlineStr"/>
    </row>
    <row r="602" ht="15" customHeight="1">
      <c r="A602" t="inlineStr">
        <is>
          <t>A 13752-2025</t>
        </is>
      </c>
      <c r="B602" s="1" t="n">
        <v>45737.41416666667</v>
      </c>
      <c r="C602" s="1" t="n">
        <v>46066</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2927-2024</t>
        </is>
      </c>
      <c r="B603" s="1" t="n">
        <v>45315.58989583333</v>
      </c>
      <c r="C603" s="1" t="n">
        <v>46066</v>
      </c>
      <c r="D603" t="inlineStr">
        <is>
          <t>VÄSTMANLANDS LÄN</t>
        </is>
      </c>
      <c r="E603" t="inlineStr">
        <is>
          <t>SALA</t>
        </is>
      </c>
      <c r="G603" t="n">
        <v>2.5</v>
      </c>
      <c r="H603" t="n">
        <v>0</v>
      </c>
      <c r="I603" t="n">
        <v>0</v>
      </c>
      <c r="J603" t="n">
        <v>0</v>
      </c>
      <c r="K603" t="n">
        <v>0</v>
      </c>
      <c r="L603" t="n">
        <v>0</v>
      </c>
      <c r="M603" t="n">
        <v>0</v>
      </c>
      <c r="N603" t="n">
        <v>0</v>
      </c>
      <c r="O603" t="n">
        <v>0</v>
      </c>
      <c r="P603" t="n">
        <v>0</v>
      </c>
      <c r="Q603" t="n">
        <v>0</v>
      </c>
      <c r="R603" s="2" t="inlineStr"/>
    </row>
    <row r="604" ht="15" customHeight="1">
      <c r="A604" t="inlineStr">
        <is>
          <t>A 26854-2024</t>
        </is>
      </c>
      <c r="B604" s="1" t="n">
        <v>45470</v>
      </c>
      <c r="C604" s="1" t="n">
        <v>46066</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48570-2024</t>
        </is>
      </c>
      <c r="B605" s="1" t="n">
        <v>45591</v>
      </c>
      <c r="C605" s="1" t="n">
        <v>46066</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10812-2021</t>
        </is>
      </c>
      <c r="B606" s="1" t="n">
        <v>44259</v>
      </c>
      <c r="C606" s="1" t="n">
        <v>46066</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57883-2024</t>
        </is>
      </c>
      <c r="B607" s="1" t="n">
        <v>45630</v>
      </c>
      <c r="C607" s="1" t="n">
        <v>46066</v>
      </c>
      <c r="D607" t="inlineStr">
        <is>
          <t>VÄSTMANLANDS LÄN</t>
        </is>
      </c>
      <c r="E607" t="inlineStr">
        <is>
          <t>SALA</t>
        </is>
      </c>
      <c r="G607" t="n">
        <v>5.4</v>
      </c>
      <c r="H607" t="n">
        <v>0</v>
      </c>
      <c r="I607" t="n">
        <v>0</v>
      </c>
      <c r="J607" t="n">
        <v>0</v>
      </c>
      <c r="K607" t="n">
        <v>0</v>
      </c>
      <c r="L607" t="n">
        <v>0</v>
      </c>
      <c r="M607" t="n">
        <v>0</v>
      </c>
      <c r="N607" t="n">
        <v>0</v>
      </c>
      <c r="O607" t="n">
        <v>0</v>
      </c>
      <c r="P607" t="n">
        <v>0</v>
      </c>
      <c r="Q607" t="n">
        <v>0</v>
      </c>
      <c r="R607" s="2" t="inlineStr"/>
    </row>
    <row r="608" ht="15" customHeight="1">
      <c r="A608" t="inlineStr">
        <is>
          <t>A 16769-2024</t>
        </is>
      </c>
      <c r="B608" s="1" t="n">
        <v>45411.38738425926</v>
      </c>
      <c r="C608" s="1" t="n">
        <v>46066</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18877-2023</t>
        </is>
      </c>
      <c r="B609" s="1" t="n">
        <v>45044</v>
      </c>
      <c r="C609" s="1" t="n">
        <v>46066</v>
      </c>
      <c r="D609" t="inlineStr">
        <is>
          <t>VÄSTMANLANDS LÄN</t>
        </is>
      </c>
      <c r="E609" t="inlineStr">
        <is>
          <t>SALA</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44544-2024</t>
        </is>
      </c>
      <c r="B610" s="1" t="n">
        <v>45574.46119212963</v>
      </c>
      <c r="C610" s="1" t="n">
        <v>46066</v>
      </c>
      <c r="D610" t="inlineStr">
        <is>
          <t>VÄSTMANLANDS LÄN</t>
        </is>
      </c>
      <c r="E610" t="inlineStr">
        <is>
          <t>SALA</t>
        </is>
      </c>
      <c r="G610" t="n">
        <v>3.3</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46066</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56547-2022</t>
        </is>
      </c>
      <c r="B612" s="1" t="n">
        <v>44893.48284722222</v>
      </c>
      <c r="C612" s="1" t="n">
        <v>46066</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29542-2023</t>
        </is>
      </c>
      <c r="B613" s="1" t="n">
        <v>45098</v>
      </c>
      <c r="C613" s="1" t="n">
        <v>46066</v>
      </c>
      <c r="D613" t="inlineStr">
        <is>
          <t>VÄSTMANLANDS LÄN</t>
        </is>
      </c>
      <c r="E613" t="inlineStr">
        <is>
          <t>SALA</t>
        </is>
      </c>
      <c r="G613" t="n">
        <v>4.8</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46066</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46066</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61522-2025</t>
        </is>
      </c>
      <c r="B616" s="1" t="n">
        <v>46001.68684027778</v>
      </c>
      <c r="C616" s="1" t="n">
        <v>46066</v>
      </c>
      <c r="D616" t="inlineStr">
        <is>
          <t>VÄSTMANLANDS LÄN</t>
        </is>
      </c>
      <c r="E616" t="inlineStr">
        <is>
          <t>SALA</t>
        </is>
      </c>
      <c r="G616" t="n">
        <v>5.7</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46066</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46066</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22026-2021</t>
        </is>
      </c>
      <c r="B619" s="1" t="n">
        <v>44323</v>
      </c>
      <c r="C619" s="1" t="n">
        <v>46066</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68864-2021</t>
        </is>
      </c>
      <c r="B620" s="1" t="n">
        <v>44530</v>
      </c>
      <c r="C620" s="1" t="n">
        <v>46066</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4712-2026</t>
        </is>
      </c>
      <c r="B621" s="1" t="n">
        <v>46048.46082175926</v>
      </c>
      <c r="C621" s="1" t="n">
        <v>46066</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4681-2026</t>
        </is>
      </c>
      <c r="B622" s="1" t="n">
        <v>46048.43016203704</v>
      </c>
      <c r="C622" s="1" t="n">
        <v>46066</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4664-2026</t>
        </is>
      </c>
      <c r="B623" s="1" t="n">
        <v>46048.41061342593</v>
      </c>
      <c r="C623" s="1" t="n">
        <v>46066</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5219-2026</t>
        </is>
      </c>
      <c r="B624" s="1" t="n">
        <v>46049.76225694444</v>
      </c>
      <c r="C624" s="1" t="n">
        <v>46066</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19065-2022</t>
        </is>
      </c>
      <c r="B625" s="1" t="n">
        <v>44691.44309027777</v>
      </c>
      <c r="C625" s="1" t="n">
        <v>46066</v>
      </c>
      <c r="D625" t="inlineStr">
        <is>
          <t>VÄSTMANLANDS LÄN</t>
        </is>
      </c>
      <c r="E625" t="inlineStr">
        <is>
          <t>SALA</t>
        </is>
      </c>
      <c r="G625" t="n">
        <v>3.4</v>
      </c>
      <c r="H625" t="n">
        <v>0</v>
      </c>
      <c r="I625" t="n">
        <v>0</v>
      </c>
      <c r="J625" t="n">
        <v>0</v>
      </c>
      <c r="K625" t="n">
        <v>0</v>
      </c>
      <c r="L625" t="n">
        <v>0</v>
      </c>
      <c r="M625" t="n">
        <v>0</v>
      </c>
      <c r="N625" t="n">
        <v>0</v>
      </c>
      <c r="O625" t="n">
        <v>0</v>
      </c>
      <c r="P625" t="n">
        <v>0</v>
      </c>
      <c r="Q625" t="n">
        <v>0</v>
      </c>
      <c r="R625" s="2" t="inlineStr"/>
    </row>
    <row r="626" ht="15" customHeight="1">
      <c r="A626" t="inlineStr">
        <is>
          <t>A 37612-2024</t>
        </is>
      </c>
      <c r="B626" s="1" t="n">
        <v>45541</v>
      </c>
      <c r="C626" s="1" t="n">
        <v>46066</v>
      </c>
      <c r="D626" t="inlineStr">
        <is>
          <t>VÄSTMANLANDS LÄN</t>
        </is>
      </c>
      <c r="E626" t="inlineStr">
        <is>
          <t>SALA</t>
        </is>
      </c>
      <c r="G626" t="n">
        <v>2.2</v>
      </c>
      <c r="H626" t="n">
        <v>0</v>
      </c>
      <c r="I626" t="n">
        <v>0</v>
      </c>
      <c r="J626" t="n">
        <v>0</v>
      </c>
      <c r="K626" t="n">
        <v>0</v>
      </c>
      <c r="L626" t="n">
        <v>0</v>
      </c>
      <c r="M626" t="n">
        <v>0</v>
      </c>
      <c r="N626" t="n">
        <v>0</v>
      </c>
      <c r="O626" t="n">
        <v>0</v>
      </c>
      <c r="P626" t="n">
        <v>0</v>
      </c>
      <c r="Q626" t="n">
        <v>0</v>
      </c>
      <c r="R626" s="2" t="inlineStr"/>
    </row>
    <row r="627" ht="15" customHeight="1">
      <c r="A627" t="inlineStr">
        <is>
          <t>A 37615-2024</t>
        </is>
      </c>
      <c r="B627" s="1" t="n">
        <v>45541.50673611111</v>
      </c>
      <c r="C627" s="1" t="n">
        <v>46066</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62523-2025</t>
        </is>
      </c>
      <c r="B628" s="1" t="n">
        <v>46007.61512731481</v>
      </c>
      <c r="C628" s="1" t="n">
        <v>46066</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4624-2026</t>
        </is>
      </c>
      <c r="B629" s="1" t="n">
        <v>46048.38107638889</v>
      </c>
      <c r="C629" s="1" t="n">
        <v>46066</v>
      </c>
      <c r="D629" t="inlineStr">
        <is>
          <t>VÄSTMANLANDS LÄN</t>
        </is>
      </c>
      <c r="E629" t="inlineStr">
        <is>
          <t>SALA</t>
        </is>
      </c>
      <c r="G629" t="n">
        <v>12.3</v>
      </c>
      <c r="H629" t="n">
        <v>0</v>
      </c>
      <c r="I629" t="n">
        <v>0</v>
      </c>
      <c r="J629" t="n">
        <v>0</v>
      </c>
      <c r="K629" t="n">
        <v>0</v>
      </c>
      <c r="L629" t="n">
        <v>0</v>
      </c>
      <c r="M629" t="n">
        <v>0</v>
      </c>
      <c r="N629" t="n">
        <v>0</v>
      </c>
      <c r="O629" t="n">
        <v>0</v>
      </c>
      <c r="P629" t="n">
        <v>0</v>
      </c>
      <c r="Q629" t="n">
        <v>0</v>
      </c>
      <c r="R629" s="2" t="inlineStr"/>
    </row>
    <row r="630" ht="15" customHeight="1">
      <c r="A630" t="inlineStr">
        <is>
          <t>A 18158-2025</t>
        </is>
      </c>
      <c r="B630" s="1" t="n">
        <v>45761</v>
      </c>
      <c r="C630" s="1" t="n">
        <v>46066</v>
      </c>
      <c r="D630" t="inlineStr">
        <is>
          <t>VÄSTMANLANDS LÄN</t>
        </is>
      </c>
      <c r="E630" t="inlineStr">
        <is>
          <t>SALA</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5525-2026</t>
        </is>
      </c>
      <c r="B631" s="1" t="n">
        <v>46050.65055555556</v>
      </c>
      <c r="C631" s="1" t="n">
        <v>46066</v>
      </c>
      <c r="D631" t="inlineStr">
        <is>
          <t>VÄSTMANLANDS LÄN</t>
        </is>
      </c>
      <c r="E631" t="inlineStr">
        <is>
          <t>SALA</t>
        </is>
      </c>
      <c r="G631" t="n">
        <v>13.1</v>
      </c>
      <c r="H631" t="n">
        <v>0</v>
      </c>
      <c r="I631" t="n">
        <v>0</v>
      </c>
      <c r="J631" t="n">
        <v>0</v>
      </c>
      <c r="K631" t="n">
        <v>0</v>
      </c>
      <c r="L631" t="n">
        <v>0</v>
      </c>
      <c r="M631" t="n">
        <v>0</v>
      </c>
      <c r="N631" t="n">
        <v>0</v>
      </c>
      <c r="O631" t="n">
        <v>0</v>
      </c>
      <c r="P631" t="n">
        <v>0</v>
      </c>
      <c r="Q631" t="n">
        <v>0</v>
      </c>
      <c r="R631" s="2" t="inlineStr"/>
    </row>
    <row r="632" ht="15" customHeight="1">
      <c r="A632" t="inlineStr">
        <is>
          <t>A 63055-2025</t>
        </is>
      </c>
      <c r="B632" s="1" t="n">
        <v>46009.63619212963</v>
      </c>
      <c r="C632" s="1" t="n">
        <v>46066</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9962-2025</t>
        </is>
      </c>
      <c r="B633" s="1" t="n">
        <v>45719.37072916667</v>
      </c>
      <c r="C633" s="1" t="n">
        <v>46066</v>
      </c>
      <c r="D633" t="inlineStr">
        <is>
          <t>VÄSTMANLANDS LÄN</t>
        </is>
      </c>
      <c r="E633" t="inlineStr">
        <is>
          <t>SALA</t>
        </is>
      </c>
      <c r="G633" t="n">
        <v>4.5</v>
      </c>
      <c r="H633" t="n">
        <v>0</v>
      </c>
      <c r="I633" t="n">
        <v>0</v>
      </c>
      <c r="J633" t="n">
        <v>0</v>
      </c>
      <c r="K633" t="n">
        <v>0</v>
      </c>
      <c r="L633" t="n">
        <v>0</v>
      </c>
      <c r="M633" t="n">
        <v>0</v>
      </c>
      <c r="N633" t="n">
        <v>0</v>
      </c>
      <c r="O633" t="n">
        <v>0</v>
      </c>
      <c r="P633" t="n">
        <v>0</v>
      </c>
      <c r="Q633" t="n">
        <v>0</v>
      </c>
      <c r="R633" s="2" t="inlineStr"/>
    </row>
    <row r="634" ht="15" customHeight="1">
      <c r="A634" t="inlineStr">
        <is>
          <t>A 63051-2025</t>
        </is>
      </c>
      <c r="B634" s="1" t="n">
        <v>46009.63134259259</v>
      </c>
      <c r="C634" s="1" t="n">
        <v>46066</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37602-2024</t>
        </is>
      </c>
      <c r="B635" s="1" t="n">
        <v>45541</v>
      </c>
      <c r="C635" s="1" t="n">
        <v>46066</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63046-2025</t>
        </is>
      </c>
      <c r="B636" s="1" t="n">
        <v>46009.62373842593</v>
      </c>
      <c r="C636" s="1" t="n">
        <v>46066</v>
      </c>
      <c r="D636" t="inlineStr">
        <is>
          <t>VÄSTMANLANDS LÄN</t>
        </is>
      </c>
      <c r="E636" t="inlineStr">
        <is>
          <t>SALA</t>
        </is>
      </c>
      <c r="G636" t="n">
        <v>1.1</v>
      </c>
      <c r="H636" t="n">
        <v>0</v>
      </c>
      <c r="I636" t="n">
        <v>0</v>
      </c>
      <c r="J636" t="n">
        <v>0</v>
      </c>
      <c r="K636" t="n">
        <v>0</v>
      </c>
      <c r="L636" t="n">
        <v>0</v>
      </c>
      <c r="M636" t="n">
        <v>0</v>
      </c>
      <c r="N636" t="n">
        <v>0</v>
      </c>
      <c r="O636" t="n">
        <v>0</v>
      </c>
      <c r="P636" t="n">
        <v>0</v>
      </c>
      <c r="Q636" t="n">
        <v>0</v>
      </c>
      <c r="R636" s="2" t="inlineStr"/>
    </row>
    <row r="637" ht="15" customHeight="1">
      <c r="A637" t="inlineStr">
        <is>
          <t>A 18762-2024</t>
        </is>
      </c>
      <c r="B637" s="1" t="n">
        <v>45426.55240740741</v>
      </c>
      <c r="C637" s="1" t="n">
        <v>46066</v>
      </c>
      <c r="D637" t="inlineStr">
        <is>
          <t>VÄSTMANLANDS LÄN</t>
        </is>
      </c>
      <c r="E637" t="inlineStr">
        <is>
          <t>SALA</t>
        </is>
      </c>
      <c r="G637" t="n">
        <v>6.2</v>
      </c>
      <c r="H637" t="n">
        <v>0</v>
      </c>
      <c r="I637" t="n">
        <v>0</v>
      </c>
      <c r="J637" t="n">
        <v>0</v>
      </c>
      <c r="K637" t="n">
        <v>0</v>
      </c>
      <c r="L637" t="n">
        <v>0</v>
      </c>
      <c r="M637" t="n">
        <v>0</v>
      </c>
      <c r="N637" t="n">
        <v>0</v>
      </c>
      <c r="O637" t="n">
        <v>0</v>
      </c>
      <c r="P637" t="n">
        <v>0</v>
      </c>
      <c r="Q637" t="n">
        <v>0</v>
      </c>
      <c r="R637" s="2" t="inlineStr"/>
    </row>
    <row r="638" ht="15" customHeight="1">
      <c r="A638" t="inlineStr">
        <is>
          <t>A 5418-2026</t>
        </is>
      </c>
      <c r="B638" s="1" t="n">
        <v>46050.53740740741</v>
      </c>
      <c r="C638" s="1" t="n">
        <v>46066</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39011-2023</t>
        </is>
      </c>
      <c r="B639" s="1" t="n">
        <v>45162</v>
      </c>
      <c r="C639" s="1" t="n">
        <v>46066</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5894-2026</t>
        </is>
      </c>
      <c r="B640" s="1" t="n">
        <v>46052.42412037037</v>
      </c>
      <c r="C640" s="1" t="n">
        <v>46066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46352-2023</t>
        </is>
      </c>
      <c r="B641" s="1" t="n">
        <v>45192</v>
      </c>
      <c r="C641" s="1" t="n">
        <v>46066</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43751-2021</t>
        </is>
      </c>
      <c r="B642" s="1" t="n">
        <v>44433</v>
      </c>
      <c r="C642" s="1" t="n">
        <v>46066</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1128-2025</t>
        </is>
      </c>
      <c r="B643" s="1" t="n">
        <v>45666.68469907407</v>
      </c>
      <c r="C643" s="1" t="n">
        <v>46066</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31950-2023</t>
        </is>
      </c>
      <c r="B644" s="1" t="n">
        <v>45107</v>
      </c>
      <c r="C644" s="1" t="n">
        <v>46066</v>
      </c>
      <c r="D644" t="inlineStr">
        <is>
          <t>VÄSTMANLANDS LÄN</t>
        </is>
      </c>
      <c r="E644" t="inlineStr">
        <is>
          <t>SALA</t>
        </is>
      </c>
      <c r="G644" t="n">
        <v>0.1</v>
      </c>
      <c r="H644" t="n">
        <v>0</v>
      </c>
      <c r="I644" t="n">
        <v>0</v>
      </c>
      <c r="J644" t="n">
        <v>0</v>
      </c>
      <c r="K644" t="n">
        <v>0</v>
      </c>
      <c r="L644" t="n">
        <v>0</v>
      </c>
      <c r="M644" t="n">
        <v>0</v>
      </c>
      <c r="N644" t="n">
        <v>0</v>
      </c>
      <c r="O644" t="n">
        <v>0</v>
      </c>
      <c r="P644" t="n">
        <v>0</v>
      </c>
      <c r="Q644" t="n">
        <v>0</v>
      </c>
      <c r="R644" s="2" t="inlineStr"/>
    </row>
    <row r="645" ht="15" customHeight="1">
      <c r="A645" t="inlineStr">
        <is>
          <t>A 63353-2025</t>
        </is>
      </c>
      <c r="B645" s="1" t="n">
        <v>46010.66670138889</v>
      </c>
      <c r="C645" s="1" t="n">
        <v>46066</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56540-2024</t>
        </is>
      </c>
      <c r="B646" s="1" t="n">
        <v>45625</v>
      </c>
      <c r="C646" s="1" t="n">
        <v>46066</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6116-2023</t>
        </is>
      </c>
      <c r="B647" s="1" t="n">
        <v>44964</v>
      </c>
      <c r="C647" s="1" t="n">
        <v>46066</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63269-2025</t>
        </is>
      </c>
      <c r="B648" s="1" t="n">
        <v>46010</v>
      </c>
      <c r="C648" s="1" t="n">
        <v>46066</v>
      </c>
      <c r="D648" t="inlineStr">
        <is>
          <t>VÄSTMANLANDS LÄN</t>
        </is>
      </c>
      <c r="E648" t="inlineStr">
        <is>
          <t>SALA</t>
        </is>
      </c>
      <c r="G648" t="n">
        <v>6.4</v>
      </c>
      <c r="H648" t="n">
        <v>0</v>
      </c>
      <c r="I648" t="n">
        <v>0</v>
      </c>
      <c r="J648" t="n">
        <v>0</v>
      </c>
      <c r="K648" t="n">
        <v>0</v>
      </c>
      <c r="L648" t="n">
        <v>0</v>
      </c>
      <c r="M648" t="n">
        <v>0</v>
      </c>
      <c r="N648" t="n">
        <v>0</v>
      </c>
      <c r="O648" t="n">
        <v>0</v>
      </c>
      <c r="P648" t="n">
        <v>0</v>
      </c>
      <c r="Q648" t="n">
        <v>0</v>
      </c>
      <c r="R648" s="2" t="inlineStr"/>
    </row>
    <row r="649" ht="15" customHeight="1">
      <c r="A649" t="inlineStr">
        <is>
          <t>A 25860-2024</t>
        </is>
      </c>
      <c r="B649" s="1" t="n">
        <v>45467.46278935186</v>
      </c>
      <c r="C649" s="1" t="n">
        <v>46066</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10154-2021</t>
        </is>
      </c>
      <c r="B650" s="1" t="n">
        <v>44256</v>
      </c>
      <c r="C650" s="1" t="n">
        <v>46066</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56916-2022</t>
        </is>
      </c>
      <c r="B651" s="1" t="n">
        <v>44888</v>
      </c>
      <c r="C651" s="1" t="n">
        <v>46066</v>
      </c>
      <c r="D651" t="inlineStr">
        <is>
          <t>VÄSTMANLANDS LÄN</t>
        </is>
      </c>
      <c r="E651" t="inlineStr">
        <is>
          <t>SALA</t>
        </is>
      </c>
      <c r="G651" t="n">
        <v>1.7</v>
      </c>
      <c r="H651" t="n">
        <v>0</v>
      </c>
      <c r="I651" t="n">
        <v>0</v>
      </c>
      <c r="J651" t="n">
        <v>0</v>
      </c>
      <c r="K651" t="n">
        <v>0</v>
      </c>
      <c r="L651" t="n">
        <v>0</v>
      </c>
      <c r="M651" t="n">
        <v>0</v>
      </c>
      <c r="N651" t="n">
        <v>0</v>
      </c>
      <c r="O651" t="n">
        <v>0</v>
      </c>
      <c r="P651" t="n">
        <v>0</v>
      </c>
      <c r="Q651" t="n">
        <v>0</v>
      </c>
      <c r="R651" s="2" t="inlineStr"/>
    </row>
    <row r="652" ht="15" customHeight="1">
      <c r="A652" t="inlineStr">
        <is>
          <t>A 6021-2026</t>
        </is>
      </c>
      <c r="B652" s="1" t="n">
        <v>46050</v>
      </c>
      <c r="C652" s="1" t="n">
        <v>46066</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71471-2021</t>
        </is>
      </c>
      <c r="B653" s="1" t="n">
        <v>44540.53421296296</v>
      </c>
      <c r="C653" s="1" t="n">
        <v>46066</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13987-2023</t>
        </is>
      </c>
      <c r="B654" s="1" t="n">
        <v>45007</v>
      </c>
      <c r="C654" s="1" t="n">
        <v>46066</v>
      </c>
      <c r="D654" t="inlineStr">
        <is>
          <t>VÄSTMANLANDS LÄN</t>
        </is>
      </c>
      <c r="E654" t="inlineStr">
        <is>
          <t>SALA</t>
        </is>
      </c>
      <c r="G654" t="n">
        <v>3.2</v>
      </c>
      <c r="H654" t="n">
        <v>0</v>
      </c>
      <c r="I654" t="n">
        <v>0</v>
      </c>
      <c r="J654" t="n">
        <v>0</v>
      </c>
      <c r="K654" t="n">
        <v>0</v>
      </c>
      <c r="L654" t="n">
        <v>0</v>
      </c>
      <c r="M654" t="n">
        <v>0</v>
      </c>
      <c r="N654" t="n">
        <v>0</v>
      </c>
      <c r="O654" t="n">
        <v>0</v>
      </c>
      <c r="P654" t="n">
        <v>0</v>
      </c>
      <c r="Q654" t="n">
        <v>0</v>
      </c>
      <c r="R654" s="2" t="inlineStr"/>
    </row>
    <row r="655" ht="15" customHeight="1">
      <c r="A655" t="inlineStr">
        <is>
          <t>A 13990-2023</t>
        </is>
      </c>
      <c r="B655" s="1" t="n">
        <v>45007</v>
      </c>
      <c r="C655" s="1" t="n">
        <v>46066</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17722-2025</t>
        </is>
      </c>
      <c r="B656" s="1" t="n">
        <v>45758</v>
      </c>
      <c r="C656" s="1" t="n">
        <v>46066</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1993-2022</t>
        </is>
      </c>
      <c r="B657" s="1" t="n">
        <v>44575</v>
      </c>
      <c r="C657" s="1" t="n">
        <v>46066</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17051-2025</t>
        </is>
      </c>
      <c r="B658" s="1" t="n">
        <v>45755</v>
      </c>
      <c r="C658" s="1" t="n">
        <v>46066</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43509-2021</t>
        </is>
      </c>
      <c r="B659" s="1" t="n">
        <v>44433</v>
      </c>
      <c r="C659" s="1" t="n">
        <v>46066</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46066</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56964-2023</t>
        </is>
      </c>
      <c r="B661" s="1" t="n">
        <v>45244.63140046296</v>
      </c>
      <c r="C661" s="1" t="n">
        <v>46066</v>
      </c>
      <c r="D661" t="inlineStr">
        <is>
          <t>VÄSTMANLANDS LÄN</t>
        </is>
      </c>
      <c r="E661" t="inlineStr">
        <is>
          <t>SALA</t>
        </is>
      </c>
      <c r="G661" t="n">
        <v>4.6</v>
      </c>
      <c r="H661" t="n">
        <v>0</v>
      </c>
      <c r="I661" t="n">
        <v>0</v>
      </c>
      <c r="J661" t="n">
        <v>0</v>
      </c>
      <c r="K661" t="n">
        <v>0</v>
      </c>
      <c r="L661" t="n">
        <v>0</v>
      </c>
      <c r="M661" t="n">
        <v>0</v>
      </c>
      <c r="N661" t="n">
        <v>0</v>
      </c>
      <c r="O661" t="n">
        <v>0</v>
      </c>
      <c r="P661" t="n">
        <v>0</v>
      </c>
      <c r="Q661" t="n">
        <v>0</v>
      </c>
      <c r="R661" s="2" t="inlineStr"/>
    </row>
    <row r="662" ht="15" customHeight="1">
      <c r="A662" t="inlineStr">
        <is>
          <t>A 37337-2024</t>
        </is>
      </c>
      <c r="B662" s="1" t="n">
        <v>45540</v>
      </c>
      <c r="C662" s="1" t="n">
        <v>46066</v>
      </c>
      <c r="D662" t="inlineStr">
        <is>
          <t>VÄSTMANLANDS LÄN</t>
        </is>
      </c>
      <c r="E662" t="inlineStr">
        <is>
          <t>SALA</t>
        </is>
      </c>
      <c r="G662" t="n">
        <v>6.5</v>
      </c>
      <c r="H662" t="n">
        <v>0</v>
      </c>
      <c r="I662" t="n">
        <v>0</v>
      </c>
      <c r="J662" t="n">
        <v>0</v>
      </c>
      <c r="K662" t="n">
        <v>0</v>
      </c>
      <c r="L662" t="n">
        <v>0</v>
      </c>
      <c r="M662" t="n">
        <v>0</v>
      </c>
      <c r="N662" t="n">
        <v>0</v>
      </c>
      <c r="O662" t="n">
        <v>0</v>
      </c>
      <c r="P662" t="n">
        <v>0</v>
      </c>
      <c r="Q662" t="n">
        <v>0</v>
      </c>
      <c r="R662" s="2" t="inlineStr"/>
    </row>
    <row r="663" ht="15" customHeight="1">
      <c r="A663" t="inlineStr">
        <is>
          <t>A 17120-2023</t>
        </is>
      </c>
      <c r="B663" s="1" t="n">
        <v>45034</v>
      </c>
      <c r="C663" s="1" t="n">
        <v>46066</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34494-2023</t>
        </is>
      </c>
      <c r="B664" s="1" t="n">
        <v>45133</v>
      </c>
      <c r="C664" s="1" t="n">
        <v>46066</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10579-2022</t>
        </is>
      </c>
      <c r="B665" s="1" t="n">
        <v>44624</v>
      </c>
      <c r="C665" s="1" t="n">
        <v>46066</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9335-2022</t>
        </is>
      </c>
      <c r="B666" s="1" t="n">
        <v>44616.56579861111</v>
      </c>
      <c r="C666" s="1" t="n">
        <v>46066</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45313-2024</t>
        </is>
      </c>
      <c r="B667" s="1" t="n">
        <v>45576</v>
      </c>
      <c r="C667" s="1" t="n">
        <v>46066</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23119-2022</t>
        </is>
      </c>
      <c r="B668" s="1" t="n">
        <v>44719.56697916667</v>
      </c>
      <c r="C668" s="1" t="n">
        <v>46066</v>
      </c>
      <c r="D668" t="inlineStr">
        <is>
          <t>VÄSTMANLANDS LÄN</t>
        </is>
      </c>
      <c r="E668" t="inlineStr">
        <is>
          <t>SALA</t>
        </is>
      </c>
      <c r="G668" t="n">
        <v>7</v>
      </c>
      <c r="H668" t="n">
        <v>0</v>
      </c>
      <c r="I668" t="n">
        <v>0</v>
      </c>
      <c r="J668" t="n">
        <v>0</v>
      </c>
      <c r="K668" t="n">
        <v>0</v>
      </c>
      <c r="L668" t="n">
        <v>0</v>
      </c>
      <c r="M668" t="n">
        <v>0</v>
      </c>
      <c r="N668" t="n">
        <v>0</v>
      </c>
      <c r="O668" t="n">
        <v>0</v>
      </c>
      <c r="P668" t="n">
        <v>0</v>
      </c>
      <c r="Q668" t="n">
        <v>0</v>
      </c>
      <c r="R668" s="2" t="inlineStr"/>
    </row>
    <row r="669" ht="15" customHeight="1">
      <c r="A669" t="inlineStr">
        <is>
          <t>A 1196-2023</t>
        </is>
      </c>
      <c r="B669" s="1" t="n">
        <v>44935.82290509259</v>
      </c>
      <c r="C669" s="1" t="n">
        <v>46066</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52503-2024</t>
        </is>
      </c>
      <c r="B670" s="1" t="n">
        <v>45609.58806712963</v>
      </c>
      <c r="C670" s="1" t="n">
        <v>46066</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7953-2024</t>
        </is>
      </c>
      <c r="B671" s="1" t="n">
        <v>45350</v>
      </c>
      <c r="C671" s="1" t="n">
        <v>46066</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46066</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7950-2025</t>
        </is>
      </c>
      <c r="B673" s="1" t="n">
        <v>45707.41799768519</v>
      </c>
      <c r="C673" s="1" t="n">
        <v>46066</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27657-2023</t>
        </is>
      </c>
      <c r="B674" s="1" t="n">
        <v>45097.76631944445</v>
      </c>
      <c r="C674" s="1" t="n">
        <v>46066</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13855-2023</t>
        </is>
      </c>
      <c r="B675" s="1" t="n">
        <v>45007</v>
      </c>
      <c r="C675" s="1" t="n">
        <v>46066</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33309-2022</t>
        </is>
      </c>
      <c r="B676" s="1" t="n">
        <v>44788.40986111111</v>
      </c>
      <c r="C676" s="1" t="n">
        <v>46066</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47909-2022</t>
        </is>
      </c>
      <c r="B677" s="1" t="n">
        <v>44855</v>
      </c>
      <c r="C677" s="1" t="n">
        <v>46066</v>
      </c>
      <c r="D677" t="inlineStr">
        <is>
          <t>VÄSTMANLANDS LÄN</t>
        </is>
      </c>
      <c r="E677" t="inlineStr">
        <is>
          <t>SALA</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15272-2025</t>
        </is>
      </c>
      <c r="B678" s="1" t="n">
        <v>45744</v>
      </c>
      <c r="C678" s="1" t="n">
        <v>46066</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11183-2023</t>
        </is>
      </c>
      <c r="B679" s="1" t="n">
        <v>44992.57782407408</v>
      </c>
      <c r="C679" s="1" t="n">
        <v>46066</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46066</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53838-2022</t>
        </is>
      </c>
      <c r="B681" s="1" t="n">
        <v>44880.59363425926</v>
      </c>
      <c r="C681" s="1" t="n">
        <v>46066</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53166-2024</t>
        </is>
      </c>
      <c r="B682" s="1" t="n">
        <v>45611</v>
      </c>
      <c r="C682" s="1" t="n">
        <v>46066</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28827-2022</t>
        </is>
      </c>
      <c r="B683" s="1" t="n">
        <v>44749.45561342593</v>
      </c>
      <c r="C683" s="1" t="n">
        <v>46066</v>
      </c>
      <c r="D683" t="inlineStr">
        <is>
          <t>VÄSTMANLANDS LÄN</t>
        </is>
      </c>
      <c r="E683" t="inlineStr">
        <is>
          <t>SALA</t>
        </is>
      </c>
      <c r="F683" t="inlineStr">
        <is>
          <t>Kommuner</t>
        </is>
      </c>
      <c r="G683" t="n">
        <v>11.9</v>
      </c>
      <c r="H683" t="n">
        <v>0</v>
      </c>
      <c r="I683" t="n">
        <v>0</v>
      </c>
      <c r="J683" t="n">
        <v>0</v>
      </c>
      <c r="K683" t="n">
        <v>0</v>
      </c>
      <c r="L683" t="n">
        <v>0</v>
      </c>
      <c r="M683" t="n">
        <v>0</v>
      </c>
      <c r="N683" t="n">
        <v>0</v>
      </c>
      <c r="O683" t="n">
        <v>0</v>
      </c>
      <c r="P683" t="n">
        <v>0</v>
      </c>
      <c r="Q683" t="n">
        <v>0</v>
      </c>
      <c r="R683" s="2" t="inlineStr"/>
    </row>
    <row r="684" ht="15" customHeight="1">
      <c r="A684" t="inlineStr">
        <is>
          <t>A 17866-2025</t>
        </is>
      </c>
      <c r="B684" s="1" t="n">
        <v>45758</v>
      </c>
      <c r="C684" s="1" t="n">
        <v>46066</v>
      </c>
      <c r="D684" t="inlineStr">
        <is>
          <t>VÄSTMANLANDS LÄN</t>
        </is>
      </c>
      <c r="E684" t="inlineStr">
        <is>
          <t>SALA</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54836-2024</t>
        </is>
      </c>
      <c r="B685" s="1" t="n">
        <v>45618</v>
      </c>
      <c r="C685" s="1" t="n">
        <v>46066</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64729-2023</t>
        </is>
      </c>
      <c r="B686" s="1" t="n">
        <v>45281</v>
      </c>
      <c r="C686" s="1" t="n">
        <v>46066</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10585-2022</t>
        </is>
      </c>
      <c r="B687" s="1" t="n">
        <v>44624</v>
      </c>
      <c r="C687" s="1" t="n">
        <v>46066</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46066</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31609-2024</t>
        </is>
      </c>
      <c r="B689" s="1" t="n">
        <v>45506</v>
      </c>
      <c r="C689" s="1" t="n">
        <v>46066</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56057-2023</t>
        </is>
      </c>
      <c r="B690" s="1" t="n">
        <v>45233</v>
      </c>
      <c r="C690" s="1" t="n">
        <v>46066</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62635-2022</t>
        </is>
      </c>
      <c r="B691" s="1" t="n">
        <v>44917</v>
      </c>
      <c r="C691" s="1" t="n">
        <v>46066</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4852-2023</t>
        </is>
      </c>
      <c r="B692" s="1" t="n">
        <v>44957.72496527778</v>
      </c>
      <c r="C692" s="1" t="n">
        <v>46066</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39714-2023</t>
        </is>
      </c>
      <c r="B693" s="1" t="n">
        <v>45167.62133101852</v>
      </c>
      <c r="C693" s="1" t="n">
        <v>46066</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42984-2023</t>
        </is>
      </c>
      <c r="B694" s="1" t="n">
        <v>45179</v>
      </c>
      <c r="C694" s="1" t="n">
        <v>46066</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56535-2022</t>
        </is>
      </c>
      <c r="B695" s="1" t="n">
        <v>44893.47173611111</v>
      </c>
      <c r="C695" s="1" t="n">
        <v>46066</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60550-2024</t>
        </is>
      </c>
      <c r="B696" s="1" t="n">
        <v>45643</v>
      </c>
      <c r="C696" s="1" t="n">
        <v>46066</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13746-2025</t>
        </is>
      </c>
      <c r="B697" s="1" t="n">
        <v>45737.40944444444</v>
      </c>
      <c r="C697" s="1" t="n">
        <v>46066</v>
      </c>
      <c r="D697" t="inlineStr">
        <is>
          <t>VÄSTMANLANDS LÄN</t>
        </is>
      </c>
      <c r="E697" t="inlineStr">
        <is>
          <t>SALA</t>
        </is>
      </c>
      <c r="G697" t="n">
        <v>2.1</v>
      </c>
      <c r="H697" t="n">
        <v>0</v>
      </c>
      <c r="I697" t="n">
        <v>0</v>
      </c>
      <c r="J697" t="n">
        <v>0</v>
      </c>
      <c r="K697" t="n">
        <v>0</v>
      </c>
      <c r="L697" t="n">
        <v>0</v>
      </c>
      <c r="M697" t="n">
        <v>0</v>
      </c>
      <c r="N697" t="n">
        <v>0</v>
      </c>
      <c r="O697" t="n">
        <v>0</v>
      </c>
      <c r="P697" t="n">
        <v>0</v>
      </c>
      <c r="Q697" t="n">
        <v>0</v>
      </c>
      <c r="R697" s="2" t="inlineStr"/>
    </row>
    <row r="698" ht="15" customHeight="1">
      <c r="A698" t="inlineStr">
        <is>
          <t>A 29230-2022</t>
        </is>
      </c>
      <c r="B698" s="1" t="n">
        <v>44750</v>
      </c>
      <c r="C698" s="1" t="n">
        <v>46066</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59175-2022</t>
        </is>
      </c>
      <c r="B699" s="1" t="n">
        <v>44904.48502314815</v>
      </c>
      <c r="C699" s="1" t="n">
        <v>46066</v>
      </c>
      <c r="D699" t="inlineStr">
        <is>
          <t>VÄSTMANLANDS LÄN</t>
        </is>
      </c>
      <c r="E699" t="inlineStr">
        <is>
          <t>SALA</t>
        </is>
      </c>
      <c r="G699" t="n">
        <v>2.1</v>
      </c>
      <c r="H699" t="n">
        <v>0</v>
      </c>
      <c r="I699" t="n">
        <v>0</v>
      </c>
      <c r="J699" t="n">
        <v>0</v>
      </c>
      <c r="K699" t="n">
        <v>0</v>
      </c>
      <c r="L699" t="n">
        <v>0</v>
      </c>
      <c r="M699" t="n">
        <v>0</v>
      </c>
      <c r="N699" t="n">
        <v>0</v>
      </c>
      <c r="O699" t="n">
        <v>0</v>
      </c>
      <c r="P699" t="n">
        <v>0</v>
      </c>
      <c r="Q699" t="n">
        <v>0</v>
      </c>
      <c r="R699" s="2" t="inlineStr"/>
    </row>
    <row r="700" ht="15" customHeight="1">
      <c r="A700" t="inlineStr">
        <is>
          <t>A 19381-2025</t>
        </is>
      </c>
      <c r="B700" s="1" t="n">
        <v>45769</v>
      </c>
      <c r="C700" s="1" t="n">
        <v>46066</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42938-2023</t>
        </is>
      </c>
      <c r="B701" s="1" t="n">
        <v>45179</v>
      </c>
      <c r="C701" s="1" t="n">
        <v>46066</v>
      </c>
      <c r="D701" t="inlineStr">
        <is>
          <t>VÄSTMANLANDS LÄN</t>
        </is>
      </c>
      <c r="E701" t="inlineStr">
        <is>
          <t>SALA</t>
        </is>
      </c>
      <c r="G701" t="n">
        <v>10.9</v>
      </c>
      <c r="H701" t="n">
        <v>0</v>
      </c>
      <c r="I701" t="n">
        <v>0</v>
      </c>
      <c r="J701" t="n">
        <v>0</v>
      </c>
      <c r="K701" t="n">
        <v>0</v>
      </c>
      <c r="L701" t="n">
        <v>0</v>
      </c>
      <c r="M701" t="n">
        <v>0</v>
      </c>
      <c r="N701" t="n">
        <v>0</v>
      </c>
      <c r="O701" t="n">
        <v>0</v>
      </c>
      <c r="P701" t="n">
        <v>0</v>
      </c>
      <c r="Q701" t="n">
        <v>0</v>
      </c>
      <c r="R701" s="2" t="inlineStr"/>
    </row>
    <row r="702" ht="15" customHeight="1">
      <c r="A702" t="inlineStr">
        <is>
          <t>A 19222-2025</t>
        </is>
      </c>
      <c r="B702" s="1" t="n">
        <v>45769</v>
      </c>
      <c r="C702" s="1" t="n">
        <v>46066</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19241-2025</t>
        </is>
      </c>
      <c r="B703" s="1" t="n">
        <v>45769</v>
      </c>
      <c r="C703" s="1" t="n">
        <v>46066</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60823-2024</t>
        </is>
      </c>
      <c r="B704" s="1" t="n">
        <v>45644</v>
      </c>
      <c r="C704" s="1" t="n">
        <v>46066</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61681-2024</t>
        </is>
      </c>
      <c r="B705" s="1" t="n">
        <v>45647</v>
      </c>
      <c r="C705" s="1" t="n">
        <v>46066</v>
      </c>
      <c r="D705" t="inlineStr">
        <is>
          <t>VÄSTMANLANDS LÄN</t>
        </is>
      </c>
      <c r="E705" t="inlineStr">
        <is>
          <t>SALA</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49661-2024</t>
        </is>
      </c>
      <c r="B706" s="1" t="n">
        <v>45596</v>
      </c>
      <c r="C706" s="1" t="n">
        <v>46066</v>
      </c>
      <c r="D706" t="inlineStr">
        <is>
          <t>VÄSTMANLANDS LÄN</t>
        </is>
      </c>
      <c r="E706" t="inlineStr">
        <is>
          <t>SALA</t>
        </is>
      </c>
      <c r="G706" t="n">
        <v>6.7</v>
      </c>
      <c r="H706" t="n">
        <v>0</v>
      </c>
      <c r="I706" t="n">
        <v>0</v>
      </c>
      <c r="J706" t="n">
        <v>0</v>
      </c>
      <c r="K706" t="n">
        <v>0</v>
      </c>
      <c r="L706" t="n">
        <v>0</v>
      </c>
      <c r="M706" t="n">
        <v>0</v>
      </c>
      <c r="N706" t="n">
        <v>0</v>
      </c>
      <c r="O706" t="n">
        <v>0</v>
      </c>
      <c r="P706" t="n">
        <v>0</v>
      </c>
      <c r="Q706" t="n">
        <v>0</v>
      </c>
      <c r="R706" s="2" t="inlineStr"/>
    </row>
    <row r="707" ht="15" customHeight="1">
      <c r="A707" t="inlineStr">
        <is>
          <t>A 59297-2023</t>
        </is>
      </c>
      <c r="B707" s="1" t="n">
        <v>45253</v>
      </c>
      <c r="C707" s="1" t="n">
        <v>46066</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15965-2024</t>
        </is>
      </c>
      <c r="B708" s="1" t="n">
        <v>45405.55740740741</v>
      </c>
      <c r="C708" s="1" t="n">
        <v>46066</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46066</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46066</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21053-2022</t>
        </is>
      </c>
      <c r="B711" s="1" t="n">
        <v>44704</v>
      </c>
      <c r="C711" s="1" t="n">
        <v>46066</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11927-2025</t>
        </is>
      </c>
      <c r="B712" s="1" t="n">
        <v>45728.5137962963</v>
      </c>
      <c r="C712" s="1" t="n">
        <v>46066</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50876-2023</t>
        </is>
      </c>
      <c r="B713" s="1" t="n">
        <v>45211</v>
      </c>
      <c r="C713" s="1" t="n">
        <v>46066</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10255-2024</t>
        </is>
      </c>
      <c r="B714" s="1" t="n">
        <v>45365</v>
      </c>
      <c r="C714" s="1" t="n">
        <v>46066</v>
      </c>
      <c r="D714" t="inlineStr">
        <is>
          <t>VÄSTMANLANDS LÄN</t>
        </is>
      </c>
      <c r="E714" t="inlineStr">
        <is>
          <t>SALA</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62648-2022</t>
        </is>
      </c>
      <c r="B715" s="1" t="n">
        <v>44917</v>
      </c>
      <c r="C715" s="1" t="n">
        <v>46066</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56548-2024</t>
        </is>
      </c>
      <c r="B716" s="1" t="n">
        <v>45625</v>
      </c>
      <c r="C716" s="1" t="n">
        <v>46066</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5477-2024</t>
        </is>
      </c>
      <c r="B717" s="1" t="n">
        <v>45333.67833333334</v>
      </c>
      <c r="C717" s="1" t="n">
        <v>46066</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39451-2022</t>
        </is>
      </c>
      <c r="B718" s="1" t="n">
        <v>44818.36606481481</v>
      </c>
      <c r="C718" s="1" t="n">
        <v>46066</v>
      </c>
      <c r="D718" t="inlineStr">
        <is>
          <t>VÄSTMANLANDS LÄN</t>
        </is>
      </c>
      <c r="E718" t="inlineStr">
        <is>
          <t>SALA</t>
        </is>
      </c>
      <c r="G718" t="n">
        <v>9.4</v>
      </c>
      <c r="H718" t="n">
        <v>0</v>
      </c>
      <c r="I718" t="n">
        <v>0</v>
      </c>
      <c r="J718" t="n">
        <v>0</v>
      </c>
      <c r="K718" t="n">
        <v>0</v>
      </c>
      <c r="L718" t="n">
        <v>0</v>
      </c>
      <c r="M718" t="n">
        <v>0</v>
      </c>
      <c r="N718" t="n">
        <v>0</v>
      </c>
      <c r="O718" t="n">
        <v>0</v>
      </c>
      <c r="P718" t="n">
        <v>0</v>
      </c>
      <c r="Q718" t="n">
        <v>0</v>
      </c>
      <c r="R718" s="2" t="inlineStr"/>
    </row>
    <row r="719" ht="15" customHeight="1">
      <c r="A719" t="inlineStr">
        <is>
          <t>A 7772-2023</t>
        </is>
      </c>
      <c r="B719" s="1" t="n">
        <v>44973.40076388889</v>
      </c>
      <c r="C719" s="1" t="n">
        <v>46066</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19751-2022</t>
        </is>
      </c>
      <c r="B720" s="1" t="n">
        <v>44694</v>
      </c>
      <c r="C720" s="1" t="n">
        <v>46066</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44713-2023</t>
        </is>
      </c>
      <c r="B721" s="1" t="n">
        <v>45184</v>
      </c>
      <c r="C721" s="1" t="n">
        <v>46066</v>
      </c>
      <c r="D721" t="inlineStr">
        <is>
          <t>VÄSTMANLANDS LÄN</t>
        </is>
      </c>
      <c r="E721" t="inlineStr">
        <is>
          <t>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18713-2025</t>
        </is>
      </c>
      <c r="B722" s="1" t="n">
        <v>45763</v>
      </c>
      <c r="C722" s="1" t="n">
        <v>46066</v>
      </c>
      <c r="D722" t="inlineStr">
        <is>
          <t>VÄSTMANLANDS LÄN</t>
        </is>
      </c>
      <c r="E722" t="inlineStr">
        <is>
          <t>SALA</t>
        </is>
      </c>
      <c r="F722" t="inlineStr">
        <is>
          <t>Bergvik skog öst AB</t>
        </is>
      </c>
      <c r="G722" t="n">
        <v>11.6</v>
      </c>
      <c r="H722" t="n">
        <v>0</v>
      </c>
      <c r="I722" t="n">
        <v>0</v>
      </c>
      <c r="J722" t="n">
        <v>0</v>
      </c>
      <c r="K722" t="n">
        <v>0</v>
      </c>
      <c r="L722" t="n">
        <v>0</v>
      </c>
      <c r="M722" t="n">
        <v>0</v>
      </c>
      <c r="N722" t="n">
        <v>0</v>
      </c>
      <c r="O722" t="n">
        <v>0</v>
      </c>
      <c r="P722" t="n">
        <v>0</v>
      </c>
      <c r="Q722" t="n">
        <v>0</v>
      </c>
      <c r="R722" s="2" t="inlineStr"/>
    </row>
    <row r="723" ht="15" customHeight="1">
      <c r="A723" t="inlineStr">
        <is>
          <t>A 47479-2024</t>
        </is>
      </c>
      <c r="B723" s="1" t="n">
        <v>45587</v>
      </c>
      <c r="C723" s="1" t="n">
        <v>46066</v>
      </c>
      <c r="D723" t="inlineStr">
        <is>
          <t>VÄSTMANLANDS LÄN</t>
        </is>
      </c>
      <c r="E723" t="inlineStr">
        <is>
          <t>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69236-2021</t>
        </is>
      </c>
      <c r="B724" s="1" t="n">
        <v>44531.4047337963</v>
      </c>
      <c r="C724" s="1" t="n">
        <v>46066</v>
      </c>
      <c r="D724" t="inlineStr">
        <is>
          <t>VÄSTMANLANDS LÄN</t>
        </is>
      </c>
      <c r="E724" t="inlineStr">
        <is>
          <t>SALA</t>
        </is>
      </c>
      <c r="G724" t="n">
        <v>2.8</v>
      </c>
      <c r="H724" t="n">
        <v>0</v>
      </c>
      <c r="I724" t="n">
        <v>0</v>
      </c>
      <c r="J724" t="n">
        <v>0</v>
      </c>
      <c r="K724" t="n">
        <v>0</v>
      </c>
      <c r="L724" t="n">
        <v>0</v>
      </c>
      <c r="M724" t="n">
        <v>0</v>
      </c>
      <c r="N724" t="n">
        <v>0</v>
      </c>
      <c r="O724" t="n">
        <v>0</v>
      </c>
      <c r="P724" t="n">
        <v>0</v>
      </c>
      <c r="Q724" t="n">
        <v>0</v>
      </c>
      <c r="R724" s="2" t="inlineStr"/>
    </row>
    <row r="725" ht="15" customHeight="1">
      <c r="A725" t="inlineStr">
        <is>
          <t>A 25541-2024</t>
        </is>
      </c>
      <c r="B725" s="1" t="n">
        <v>45463.56337962963</v>
      </c>
      <c r="C725" s="1" t="n">
        <v>46066</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5728-2022</t>
        </is>
      </c>
      <c r="B726" s="1" t="n">
        <v>44596.42082175926</v>
      </c>
      <c r="C726" s="1" t="n">
        <v>46066</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10250-2025</t>
        </is>
      </c>
      <c r="B727" s="1" t="n">
        <v>45720.36165509259</v>
      </c>
      <c r="C727" s="1" t="n">
        <v>46066</v>
      </c>
      <c r="D727" t="inlineStr">
        <is>
          <t>VÄSTMANLANDS LÄN</t>
        </is>
      </c>
      <c r="E727" t="inlineStr">
        <is>
          <t>SALA</t>
        </is>
      </c>
      <c r="G727" t="n">
        <v>0.5</v>
      </c>
      <c r="H727" t="n">
        <v>0</v>
      </c>
      <c r="I727" t="n">
        <v>0</v>
      </c>
      <c r="J727" t="n">
        <v>0</v>
      </c>
      <c r="K727" t="n">
        <v>0</v>
      </c>
      <c r="L727" t="n">
        <v>0</v>
      </c>
      <c r="M727" t="n">
        <v>0</v>
      </c>
      <c r="N727" t="n">
        <v>0</v>
      </c>
      <c r="O727" t="n">
        <v>0</v>
      </c>
      <c r="P727" t="n">
        <v>0</v>
      </c>
      <c r="Q727" t="n">
        <v>0</v>
      </c>
      <c r="R727" s="2" t="inlineStr"/>
    </row>
    <row r="728" ht="15" customHeight="1">
      <c r="A728" t="inlineStr">
        <is>
          <t>A 49512-2024</t>
        </is>
      </c>
      <c r="B728" s="1" t="n">
        <v>45591</v>
      </c>
      <c r="C728" s="1" t="n">
        <v>46066</v>
      </c>
      <c r="D728" t="inlineStr">
        <is>
          <t>VÄSTMANLANDS LÄN</t>
        </is>
      </c>
      <c r="E728" t="inlineStr">
        <is>
          <t>SALA</t>
        </is>
      </c>
      <c r="G728" t="n">
        <v>8.1</v>
      </c>
      <c r="H728" t="n">
        <v>0</v>
      </c>
      <c r="I728" t="n">
        <v>0</v>
      </c>
      <c r="J728" t="n">
        <v>0</v>
      </c>
      <c r="K728" t="n">
        <v>0</v>
      </c>
      <c r="L728" t="n">
        <v>0</v>
      </c>
      <c r="M728" t="n">
        <v>0</v>
      </c>
      <c r="N728" t="n">
        <v>0</v>
      </c>
      <c r="O728" t="n">
        <v>0</v>
      </c>
      <c r="P728" t="n">
        <v>0</v>
      </c>
      <c r="Q728" t="n">
        <v>0</v>
      </c>
      <c r="R728" s="2" t="inlineStr"/>
    </row>
    <row r="729" ht="15" customHeight="1">
      <c r="A729" t="inlineStr">
        <is>
          <t>A 42416-2022</t>
        </is>
      </c>
      <c r="B729" s="1" t="n">
        <v>44831</v>
      </c>
      <c r="C729" s="1" t="n">
        <v>46066</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6135-2023</t>
        </is>
      </c>
      <c r="B730" s="1" t="n">
        <v>44964.62628472222</v>
      </c>
      <c r="C730" s="1" t="n">
        <v>46066</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16693-2023</t>
        </is>
      </c>
      <c r="B731" s="1" t="n">
        <v>45028</v>
      </c>
      <c r="C731" s="1" t="n">
        <v>46066</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8285-2025</t>
        </is>
      </c>
      <c r="B732" s="1" t="n">
        <v>45708</v>
      </c>
      <c r="C732" s="1" t="n">
        <v>46066</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15584-2021</t>
        </is>
      </c>
      <c r="B733" s="1" t="n">
        <v>44285</v>
      </c>
      <c r="C733" s="1" t="n">
        <v>46066</v>
      </c>
      <c r="D733" t="inlineStr">
        <is>
          <t>VÄSTMANLANDS LÄN</t>
        </is>
      </c>
      <c r="E733" t="inlineStr">
        <is>
          <t>SALA</t>
        </is>
      </c>
      <c r="G733" t="n">
        <v>3.4</v>
      </c>
      <c r="H733" t="n">
        <v>0</v>
      </c>
      <c r="I733" t="n">
        <v>0</v>
      </c>
      <c r="J733" t="n">
        <v>0</v>
      </c>
      <c r="K733" t="n">
        <v>0</v>
      </c>
      <c r="L733" t="n">
        <v>0</v>
      </c>
      <c r="M733" t="n">
        <v>0</v>
      </c>
      <c r="N733" t="n">
        <v>0</v>
      </c>
      <c r="O733" t="n">
        <v>0</v>
      </c>
      <c r="P733" t="n">
        <v>0</v>
      </c>
      <c r="Q733" t="n">
        <v>0</v>
      </c>
      <c r="R733" s="2" t="inlineStr"/>
    </row>
    <row r="734" ht="15" customHeight="1">
      <c r="A734" t="inlineStr">
        <is>
          <t>A 18340-2025</t>
        </is>
      </c>
      <c r="B734" s="1" t="n">
        <v>45762</v>
      </c>
      <c r="C734" s="1" t="n">
        <v>46066</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56706-2022</t>
        </is>
      </c>
      <c r="B735" s="1" t="n">
        <v>44893.78893518518</v>
      </c>
      <c r="C735" s="1" t="n">
        <v>46066</v>
      </c>
      <c r="D735" t="inlineStr">
        <is>
          <t>VÄSTMANLANDS LÄN</t>
        </is>
      </c>
      <c r="E735" t="inlineStr">
        <is>
          <t>SALA</t>
        </is>
      </c>
      <c r="G735" t="n">
        <v>4.5</v>
      </c>
      <c r="H735" t="n">
        <v>0</v>
      </c>
      <c r="I735" t="n">
        <v>0</v>
      </c>
      <c r="J735" t="n">
        <v>0</v>
      </c>
      <c r="K735" t="n">
        <v>0</v>
      </c>
      <c r="L735" t="n">
        <v>0</v>
      </c>
      <c r="M735" t="n">
        <v>0</v>
      </c>
      <c r="N735" t="n">
        <v>0</v>
      </c>
      <c r="O735" t="n">
        <v>0</v>
      </c>
      <c r="P735" t="n">
        <v>0</v>
      </c>
      <c r="Q735" t="n">
        <v>0</v>
      </c>
      <c r="R735" s="2" t="inlineStr"/>
    </row>
    <row r="736" ht="15" customHeight="1">
      <c r="A736" t="inlineStr">
        <is>
          <t>A 56707-2022</t>
        </is>
      </c>
      <c r="B736" s="1" t="n">
        <v>44893.79412037037</v>
      </c>
      <c r="C736" s="1" t="n">
        <v>46066</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48571-2024</t>
        </is>
      </c>
      <c r="B737" s="1" t="n">
        <v>45591</v>
      </c>
      <c r="C737" s="1" t="n">
        <v>46066</v>
      </c>
      <c r="D737" t="inlineStr">
        <is>
          <t>VÄSTMANLANDS LÄN</t>
        </is>
      </c>
      <c r="E737" t="inlineStr">
        <is>
          <t>SALA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13188-2025</t>
        </is>
      </c>
      <c r="B738" s="1" t="n">
        <v>45735.39246527778</v>
      </c>
      <c r="C738" s="1" t="n">
        <v>46066</v>
      </c>
      <c r="D738" t="inlineStr">
        <is>
          <t>VÄSTMANLANDS LÄN</t>
        </is>
      </c>
      <c r="E738" t="inlineStr">
        <is>
          <t>SALA</t>
        </is>
      </c>
      <c r="F738" t="inlineStr">
        <is>
          <t>Naturvårdsverket</t>
        </is>
      </c>
      <c r="G738" t="n">
        <v>18.4</v>
      </c>
      <c r="H738" t="n">
        <v>0</v>
      </c>
      <c r="I738" t="n">
        <v>0</v>
      </c>
      <c r="J738" t="n">
        <v>0</v>
      </c>
      <c r="K738" t="n">
        <v>0</v>
      </c>
      <c r="L738" t="n">
        <v>0</v>
      </c>
      <c r="M738" t="n">
        <v>0</v>
      </c>
      <c r="N738" t="n">
        <v>0</v>
      </c>
      <c r="O738" t="n">
        <v>0</v>
      </c>
      <c r="P738" t="n">
        <v>0</v>
      </c>
      <c r="Q738" t="n">
        <v>0</v>
      </c>
      <c r="R738" s="2" t="inlineStr"/>
    </row>
    <row r="739" ht="15" customHeight="1">
      <c r="A739" t="inlineStr">
        <is>
          <t>A 23431-2024</t>
        </is>
      </c>
      <c r="B739" s="1" t="n">
        <v>45453</v>
      </c>
      <c r="C739" s="1" t="n">
        <v>46066</v>
      </c>
      <c r="D739" t="inlineStr">
        <is>
          <t>VÄSTMANLANDS LÄN</t>
        </is>
      </c>
      <c r="E739" t="inlineStr">
        <is>
          <t>SALA</t>
        </is>
      </c>
      <c r="G739" t="n">
        <v>1.6</v>
      </c>
      <c r="H739" t="n">
        <v>0</v>
      </c>
      <c r="I739" t="n">
        <v>0</v>
      </c>
      <c r="J739" t="n">
        <v>0</v>
      </c>
      <c r="K739" t="n">
        <v>0</v>
      </c>
      <c r="L739" t="n">
        <v>0</v>
      </c>
      <c r="M739" t="n">
        <v>0</v>
      </c>
      <c r="N739" t="n">
        <v>0</v>
      </c>
      <c r="O739" t="n">
        <v>0</v>
      </c>
      <c r="P739" t="n">
        <v>0</v>
      </c>
      <c r="Q739" t="n">
        <v>0</v>
      </c>
      <c r="R739" s="2" t="inlineStr"/>
    </row>
    <row r="740" ht="15" customHeight="1">
      <c r="A740" t="inlineStr">
        <is>
          <t>A 21168-2025</t>
        </is>
      </c>
      <c r="B740" s="1" t="n">
        <v>45777</v>
      </c>
      <c r="C740" s="1" t="n">
        <v>46066</v>
      </c>
      <c r="D740" t="inlineStr">
        <is>
          <t>VÄSTMANLANDS LÄN</t>
        </is>
      </c>
      <c r="E740" t="inlineStr">
        <is>
          <t>SALA</t>
        </is>
      </c>
      <c r="G740" t="n">
        <v>4.5</v>
      </c>
      <c r="H740" t="n">
        <v>0</v>
      </c>
      <c r="I740" t="n">
        <v>0</v>
      </c>
      <c r="J740" t="n">
        <v>0</v>
      </c>
      <c r="K740" t="n">
        <v>0</v>
      </c>
      <c r="L740" t="n">
        <v>0</v>
      </c>
      <c r="M740" t="n">
        <v>0</v>
      </c>
      <c r="N740" t="n">
        <v>0</v>
      </c>
      <c r="O740" t="n">
        <v>0</v>
      </c>
      <c r="P740" t="n">
        <v>0</v>
      </c>
      <c r="Q740" t="n">
        <v>0</v>
      </c>
      <c r="R740" s="2" t="inlineStr"/>
    </row>
    <row r="741" ht="15" customHeight="1">
      <c r="A741" t="inlineStr">
        <is>
          <t>A 21754-2025</t>
        </is>
      </c>
      <c r="B741" s="1" t="n">
        <v>45783.61837962963</v>
      </c>
      <c r="C741" s="1" t="n">
        <v>46066</v>
      </c>
      <c r="D741" t="inlineStr">
        <is>
          <t>VÄSTMANLANDS LÄN</t>
        </is>
      </c>
      <c r="E741" t="inlineStr">
        <is>
          <t>SALA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21751-2025</t>
        </is>
      </c>
      <c r="B742" s="1" t="n">
        <v>45783.61372685185</v>
      </c>
      <c r="C742" s="1" t="n">
        <v>46066</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37587-2024</t>
        </is>
      </c>
      <c r="B743" s="1" t="n">
        <v>45541</v>
      </c>
      <c r="C743" s="1" t="n">
        <v>46066</v>
      </c>
      <c r="D743" t="inlineStr">
        <is>
          <t>VÄSTMANLANDS LÄN</t>
        </is>
      </c>
      <c r="E743" t="inlineStr">
        <is>
          <t>SALA</t>
        </is>
      </c>
      <c r="G743" t="n">
        <v>1.2</v>
      </c>
      <c r="H743" t="n">
        <v>0</v>
      </c>
      <c r="I743" t="n">
        <v>0</v>
      </c>
      <c r="J743" t="n">
        <v>0</v>
      </c>
      <c r="K743" t="n">
        <v>0</v>
      </c>
      <c r="L743" t="n">
        <v>0</v>
      </c>
      <c r="M743" t="n">
        <v>0</v>
      </c>
      <c r="N743" t="n">
        <v>0</v>
      </c>
      <c r="O743" t="n">
        <v>0</v>
      </c>
      <c r="P743" t="n">
        <v>0</v>
      </c>
      <c r="Q743" t="n">
        <v>0</v>
      </c>
      <c r="R743" s="2" t="inlineStr"/>
    </row>
    <row r="744" ht="15" customHeight="1">
      <c r="A744" t="inlineStr">
        <is>
          <t>A 64724-2023</t>
        </is>
      </c>
      <c r="B744" s="1" t="n">
        <v>45281.7602662037</v>
      </c>
      <c r="C744" s="1" t="n">
        <v>46066</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7176-2023</t>
        </is>
      </c>
      <c r="B745" s="1" t="n">
        <v>44970</v>
      </c>
      <c r="C745" s="1" t="n">
        <v>46066</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43600-2024</t>
        </is>
      </c>
      <c r="B746" s="1" t="n">
        <v>45569</v>
      </c>
      <c r="C746" s="1" t="n">
        <v>46066</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31405-2024</t>
        </is>
      </c>
      <c r="B747" s="1" t="n">
        <v>45505.5490625</v>
      </c>
      <c r="C747" s="1" t="n">
        <v>46066</v>
      </c>
      <c r="D747" t="inlineStr">
        <is>
          <t>VÄSTMANLANDS LÄN</t>
        </is>
      </c>
      <c r="E747" t="inlineStr">
        <is>
          <t>SALA</t>
        </is>
      </c>
      <c r="G747" t="n">
        <v>5.2</v>
      </c>
      <c r="H747" t="n">
        <v>0</v>
      </c>
      <c r="I747" t="n">
        <v>0</v>
      </c>
      <c r="J747" t="n">
        <v>0</v>
      </c>
      <c r="K747" t="n">
        <v>0</v>
      </c>
      <c r="L747" t="n">
        <v>0</v>
      </c>
      <c r="M747" t="n">
        <v>0</v>
      </c>
      <c r="N747" t="n">
        <v>0</v>
      </c>
      <c r="O747" t="n">
        <v>0</v>
      </c>
      <c r="P747" t="n">
        <v>0</v>
      </c>
      <c r="Q747" t="n">
        <v>0</v>
      </c>
      <c r="R747" s="2" t="inlineStr"/>
    </row>
    <row r="748" ht="15" customHeight="1">
      <c r="A748" t="inlineStr">
        <is>
          <t>A 22616-2025</t>
        </is>
      </c>
      <c r="B748" s="1" t="n">
        <v>45789.42752314815</v>
      </c>
      <c r="C748" s="1" t="n">
        <v>46066</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22353-2025</t>
        </is>
      </c>
      <c r="B749" s="1" t="n">
        <v>45786</v>
      </c>
      <c r="C749" s="1" t="n">
        <v>46066</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22383-2025</t>
        </is>
      </c>
      <c r="B750" s="1" t="n">
        <v>45786</v>
      </c>
      <c r="C750" s="1" t="n">
        <v>46066</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22624-2025</t>
        </is>
      </c>
      <c r="B751" s="1" t="n">
        <v>45789.43327546296</v>
      </c>
      <c r="C751" s="1" t="n">
        <v>46066</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22370-2025</t>
        </is>
      </c>
      <c r="B752" s="1" t="n">
        <v>45786</v>
      </c>
      <c r="C752" s="1" t="n">
        <v>46066</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13130-2025</t>
        </is>
      </c>
      <c r="B753" s="1" t="n">
        <v>45734</v>
      </c>
      <c r="C753" s="1" t="n">
        <v>46066</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23804-2025</t>
        </is>
      </c>
      <c r="B754" s="1" t="n">
        <v>45793.55995370371</v>
      </c>
      <c r="C754" s="1" t="n">
        <v>46066</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22126-2025</t>
        </is>
      </c>
      <c r="B755" s="1" t="n">
        <v>45785</v>
      </c>
      <c r="C755" s="1" t="n">
        <v>46066</v>
      </c>
      <c r="D755" t="inlineStr">
        <is>
          <t>VÄSTMANLANDS LÄN</t>
        </is>
      </c>
      <c r="E755" t="inlineStr">
        <is>
          <t>SALA</t>
        </is>
      </c>
      <c r="G755" t="n">
        <v>10.6</v>
      </c>
      <c r="H755" t="n">
        <v>0</v>
      </c>
      <c r="I755" t="n">
        <v>0</v>
      </c>
      <c r="J755" t="n">
        <v>0</v>
      </c>
      <c r="K755" t="n">
        <v>0</v>
      </c>
      <c r="L755" t="n">
        <v>0</v>
      </c>
      <c r="M755" t="n">
        <v>0</v>
      </c>
      <c r="N755" t="n">
        <v>0</v>
      </c>
      <c r="O755" t="n">
        <v>0</v>
      </c>
      <c r="P755" t="n">
        <v>0</v>
      </c>
      <c r="Q755" t="n">
        <v>0</v>
      </c>
      <c r="R755" s="2" t="inlineStr"/>
    </row>
    <row r="756" ht="15" customHeight="1">
      <c r="A756" t="inlineStr">
        <is>
          <t>A 19297-2025</t>
        </is>
      </c>
      <c r="B756" s="1" t="n">
        <v>45769.56261574074</v>
      </c>
      <c r="C756" s="1" t="n">
        <v>46066</v>
      </c>
      <c r="D756" t="inlineStr">
        <is>
          <t>VÄSTMANLANDS LÄN</t>
        </is>
      </c>
      <c r="E756" t="inlineStr">
        <is>
          <t>SALA</t>
        </is>
      </c>
      <c r="G756" t="n">
        <v>0.8</v>
      </c>
      <c r="H756" t="n">
        <v>0</v>
      </c>
      <c r="I756" t="n">
        <v>0</v>
      </c>
      <c r="J756" t="n">
        <v>0</v>
      </c>
      <c r="K756" t="n">
        <v>0</v>
      </c>
      <c r="L756" t="n">
        <v>0</v>
      </c>
      <c r="M756" t="n">
        <v>0</v>
      </c>
      <c r="N756" t="n">
        <v>0</v>
      </c>
      <c r="O756" t="n">
        <v>0</v>
      </c>
      <c r="P756" t="n">
        <v>0</v>
      </c>
      <c r="Q756" t="n">
        <v>0</v>
      </c>
      <c r="R756" s="2" t="inlineStr"/>
    </row>
    <row r="757">
      <c r="A757" t="inlineStr">
        <is>
          <t>A 23810-2025</t>
        </is>
      </c>
      <c r="B757" s="1" t="n">
        <v>45793.56989583333</v>
      </c>
      <c r="C757" s="1" t="n">
        <v>46066</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2026-02-13T11:01:46Z</dcterms:created>
  <dcterms:modified xmlns:dcterms="http://purl.org/dc/terms/" xmlns:xsi="http://www.w3.org/2001/XMLSchema-instance" xsi:type="dcterms:W3CDTF">2026-02-13T11:01:47Z</dcterms:modified>
</cp:coreProperties>
</file>