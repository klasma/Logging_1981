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45766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45766</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45766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45766</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45766</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45766</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45766</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45766</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45766</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45766</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45766</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45766</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45766</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45766</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45766</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45766</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45766</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45766</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45766</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45766</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45766</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45766</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45766</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45766</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45766</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45766</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45766</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45766</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66088-2019</t>
        </is>
      </c>
      <c r="B30" s="1" t="n">
        <v>43807</v>
      </c>
      <c r="C30" s="1" t="n">
        <v>45766</v>
      </c>
      <c r="D30" t="inlineStr">
        <is>
          <t>VÄSTMANLANDS LÄN</t>
        </is>
      </c>
      <c r="E30" t="inlineStr">
        <is>
          <t>SALA</t>
        </is>
      </c>
      <c r="G30" t="n">
        <v>6.4</v>
      </c>
      <c r="H30" t="n">
        <v>0</v>
      </c>
      <c r="I30" t="n">
        <v>1</v>
      </c>
      <c r="J30" t="n">
        <v>2</v>
      </c>
      <c r="K30" t="n">
        <v>0</v>
      </c>
      <c r="L30" t="n">
        <v>0</v>
      </c>
      <c r="M30" t="n">
        <v>0</v>
      </c>
      <c r="N30" t="n">
        <v>0</v>
      </c>
      <c r="O30" t="n">
        <v>2</v>
      </c>
      <c r="P30" t="n">
        <v>0</v>
      </c>
      <c r="Q30" t="n">
        <v>3</v>
      </c>
      <c r="R30" s="2" t="inlineStr">
        <is>
          <t>Ullticka
Vedtrappmossa
Flagellkvastmossa</t>
        </is>
      </c>
      <c r="S30">
        <f>HYPERLINK("https://klasma.github.io/Logging_1981/artfynd/A 66088-2019 artfynd.xlsx", "A 66088-2019")</f>
        <v/>
      </c>
      <c r="T30">
        <f>HYPERLINK("https://klasma.github.io/Logging_1981/kartor/A 66088-2019 karta.png", "A 66088-2019")</f>
        <v/>
      </c>
      <c r="V30">
        <f>HYPERLINK("https://klasma.github.io/Logging_1981/klagomål/A 66088-2019 FSC-klagomål.docx", "A 66088-2019")</f>
        <v/>
      </c>
      <c r="W30">
        <f>HYPERLINK("https://klasma.github.io/Logging_1981/klagomålsmail/A 66088-2019 FSC-klagomål mail.docx", "A 66088-2019")</f>
        <v/>
      </c>
      <c r="X30">
        <f>HYPERLINK("https://klasma.github.io/Logging_1981/tillsyn/A 66088-2019 tillsynsbegäran.docx", "A 66088-2019")</f>
        <v/>
      </c>
      <c r="Y30">
        <f>HYPERLINK("https://klasma.github.io/Logging_1981/tillsynsmail/A 66088-2019 tillsynsbegäran mail.docx", "A 66088-2019")</f>
        <v/>
      </c>
    </row>
    <row r="31" ht="15" customHeight="1">
      <c r="A31" t="inlineStr">
        <is>
          <t>A 17919-2020</t>
        </is>
      </c>
      <c r="B31" s="1" t="n">
        <v>43924</v>
      </c>
      <c r="C31" s="1" t="n">
        <v>45766</v>
      </c>
      <c r="D31" t="inlineStr">
        <is>
          <t>VÄSTMANLANDS LÄN</t>
        </is>
      </c>
      <c r="E31" t="inlineStr">
        <is>
          <t>SALA</t>
        </is>
      </c>
      <c r="G31" t="n">
        <v>2.6</v>
      </c>
      <c r="H31" t="n">
        <v>3</v>
      </c>
      <c r="I31" t="n">
        <v>0</v>
      </c>
      <c r="J31" t="n">
        <v>2</v>
      </c>
      <c r="K31" t="n">
        <v>0</v>
      </c>
      <c r="L31" t="n">
        <v>0</v>
      </c>
      <c r="M31" t="n">
        <v>0</v>
      </c>
      <c r="N31" t="n">
        <v>0</v>
      </c>
      <c r="O31" t="n">
        <v>2</v>
      </c>
      <c r="P31" t="n">
        <v>0</v>
      </c>
      <c r="Q31" t="n">
        <v>3</v>
      </c>
      <c r="R31" s="2" t="inlineStr">
        <is>
          <t>Spillkråka
Svartvit flugsnappare
Gröngöling</t>
        </is>
      </c>
      <c r="S31">
        <f>HYPERLINK("https://klasma.github.io/Logging_1981/artfynd/A 17919-2020 artfynd.xlsx", "A 17919-2020")</f>
        <v/>
      </c>
      <c r="T31">
        <f>HYPERLINK("https://klasma.github.io/Logging_1981/kartor/A 17919-2020 karta.png", "A 17919-2020")</f>
        <v/>
      </c>
      <c r="V31">
        <f>HYPERLINK("https://klasma.github.io/Logging_1981/klagomål/A 17919-2020 FSC-klagomål.docx", "A 17919-2020")</f>
        <v/>
      </c>
      <c r="W31">
        <f>HYPERLINK("https://klasma.github.io/Logging_1981/klagomålsmail/A 17919-2020 FSC-klagomål mail.docx", "A 17919-2020")</f>
        <v/>
      </c>
      <c r="X31">
        <f>HYPERLINK("https://klasma.github.io/Logging_1981/tillsyn/A 17919-2020 tillsynsbegäran.docx", "A 17919-2020")</f>
        <v/>
      </c>
      <c r="Y31">
        <f>HYPERLINK("https://klasma.github.io/Logging_1981/tillsynsmail/A 17919-2020 tillsynsbegäran mail.docx", "A 17919-2020")</f>
        <v/>
      </c>
      <c r="Z31">
        <f>HYPERLINK("https://klasma.github.io/Logging_1981/fåglar/A 17919-2020 prioriterade fågelarter.docx", "A 17919-2020")</f>
        <v/>
      </c>
    </row>
    <row r="32" ht="15" customHeight="1">
      <c r="A32" t="inlineStr">
        <is>
          <t>A 26571-2021</t>
        </is>
      </c>
      <c r="B32" s="1" t="n">
        <v>44348</v>
      </c>
      <c r="C32" s="1" t="n">
        <v>45766</v>
      </c>
      <c r="D32" t="inlineStr">
        <is>
          <t>VÄSTMANLANDS LÄN</t>
        </is>
      </c>
      <c r="E32" t="inlineStr">
        <is>
          <t>SALA</t>
        </is>
      </c>
      <c r="G32" t="n">
        <v>2.1</v>
      </c>
      <c r="H32" t="n">
        <v>0</v>
      </c>
      <c r="I32" t="n">
        <v>1</v>
      </c>
      <c r="J32" t="n">
        <v>2</v>
      </c>
      <c r="K32" t="n">
        <v>0</v>
      </c>
      <c r="L32" t="n">
        <v>0</v>
      </c>
      <c r="M32" t="n">
        <v>0</v>
      </c>
      <c r="N32" t="n">
        <v>0</v>
      </c>
      <c r="O32" t="n">
        <v>2</v>
      </c>
      <c r="P32" t="n">
        <v>0</v>
      </c>
      <c r="Q32" t="n">
        <v>3</v>
      </c>
      <c r="R32" s="2" t="inlineStr">
        <is>
          <t>Skrovlig taggsvamp
Ullticka
Flagellkvastmossa</t>
        </is>
      </c>
      <c r="S32">
        <f>HYPERLINK("https://klasma.github.io/Logging_1981/artfynd/A 26571-2021 artfynd.xlsx", "A 26571-2021")</f>
        <v/>
      </c>
      <c r="T32">
        <f>HYPERLINK("https://klasma.github.io/Logging_1981/kartor/A 26571-2021 karta.png", "A 26571-2021")</f>
        <v/>
      </c>
      <c r="V32">
        <f>HYPERLINK("https://klasma.github.io/Logging_1981/klagomål/A 26571-2021 FSC-klagomål.docx", "A 26571-2021")</f>
        <v/>
      </c>
      <c r="W32">
        <f>HYPERLINK("https://klasma.github.io/Logging_1981/klagomålsmail/A 26571-2021 FSC-klagomål mail.docx", "A 26571-2021")</f>
        <v/>
      </c>
      <c r="X32">
        <f>HYPERLINK("https://klasma.github.io/Logging_1981/tillsyn/A 26571-2021 tillsynsbegäran.docx", "A 26571-2021")</f>
        <v/>
      </c>
      <c r="Y32">
        <f>HYPERLINK("https://klasma.github.io/Logging_1981/tillsynsmail/A 26571-2021 tillsynsbegäran mail.docx", "A 26571-2021")</f>
        <v/>
      </c>
    </row>
    <row r="33" ht="15" customHeight="1">
      <c r="A33" t="inlineStr">
        <is>
          <t>A 62768-2021</t>
        </is>
      </c>
      <c r="B33" s="1" t="n">
        <v>44504</v>
      </c>
      <c r="C33" s="1" t="n">
        <v>45766</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15991-2022</t>
        </is>
      </c>
      <c r="B34" s="1" t="n">
        <v>44664</v>
      </c>
      <c r="C34" s="1" t="n">
        <v>45766</v>
      </c>
      <c r="D34" t="inlineStr">
        <is>
          <t>VÄSTMANLANDS LÄN</t>
        </is>
      </c>
      <c r="E34" t="inlineStr">
        <is>
          <t>SALA</t>
        </is>
      </c>
      <c r="G34" t="n">
        <v>4.5</v>
      </c>
      <c r="H34" t="n">
        <v>2</v>
      </c>
      <c r="I34" t="n">
        <v>1</v>
      </c>
      <c r="J34" t="n">
        <v>0</v>
      </c>
      <c r="K34" t="n">
        <v>1</v>
      </c>
      <c r="L34" t="n">
        <v>0</v>
      </c>
      <c r="M34" t="n">
        <v>0</v>
      </c>
      <c r="N34" t="n">
        <v>0</v>
      </c>
      <c r="O34" t="n">
        <v>1</v>
      </c>
      <c r="P34" t="n">
        <v>1</v>
      </c>
      <c r="Q34" t="n">
        <v>3</v>
      </c>
      <c r="R34" s="2" t="inlineStr">
        <is>
          <t>Knärot
Blåmossa
Revlummer</t>
        </is>
      </c>
      <c r="S34">
        <f>HYPERLINK("https://klasma.github.io/Logging_1981/artfynd/A 15991-2022 artfynd.xlsx", "A 15991-2022")</f>
        <v/>
      </c>
      <c r="T34">
        <f>HYPERLINK("https://klasma.github.io/Logging_1981/kartor/A 15991-2022 karta.png", "A 15991-2022")</f>
        <v/>
      </c>
      <c r="U34">
        <f>HYPERLINK("https://klasma.github.io/Logging_1981/knärot/A 15991-2022 karta knärot.png", "A 15991-2022")</f>
        <v/>
      </c>
      <c r="V34">
        <f>HYPERLINK("https://klasma.github.io/Logging_1981/klagomål/A 15991-2022 FSC-klagomål.docx", "A 15991-2022")</f>
        <v/>
      </c>
      <c r="W34">
        <f>HYPERLINK("https://klasma.github.io/Logging_1981/klagomålsmail/A 15991-2022 FSC-klagomål mail.docx", "A 15991-2022")</f>
        <v/>
      </c>
      <c r="X34">
        <f>HYPERLINK("https://klasma.github.io/Logging_1981/tillsyn/A 15991-2022 tillsynsbegäran.docx", "A 15991-2022")</f>
        <v/>
      </c>
      <c r="Y34">
        <f>HYPERLINK("https://klasma.github.io/Logging_1981/tillsynsmail/A 15991-2022 tillsynsbegäran mail.docx", "A 15991-2022")</f>
        <v/>
      </c>
    </row>
    <row r="35" ht="15" customHeight="1">
      <c r="A35" t="inlineStr">
        <is>
          <t>A 3567-2024</t>
        </is>
      </c>
      <c r="B35" s="1" t="n">
        <v>45320</v>
      </c>
      <c r="C35" s="1" t="n">
        <v>45766</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45766</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45766</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45766</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45766</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45766</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45766</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45766</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45766</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45766</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45766</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45766</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45766</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45766</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45766</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45766</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45766</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45766</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45766</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45766</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45766</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45766</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45766</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45766</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45766</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45766</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45766</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45766</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45766</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45766</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45766</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45766</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45766</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45766</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45766</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45766</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45766</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45766</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45766</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45766</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45766</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45766</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45766</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45766</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45766</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45766</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45766</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45766</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45766</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45766</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45766</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45766</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45766</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45766</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45766</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45766</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45766</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45766</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45766</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18255-2019</t>
        </is>
      </c>
      <c r="B94" s="1" t="n">
        <v>43558</v>
      </c>
      <c r="C94" s="1" t="n">
        <v>45766</v>
      </c>
      <c r="D94" t="inlineStr">
        <is>
          <t>VÄSTMANLANDS LÄN</t>
        </is>
      </c>
      <c r="E94" t="inlineStr">
        <is>
          <t>SALA</t>
        </is>
      </c>
      <c r="F94" t="inlineStr">
        <is>
          <t>Kommuner</t>
        </is>
      </c>
      <c r="G94" t="n">
        <v>2.2</v>
      </c>
      <c r="H94" t="n">
        <v>0</v>
      </c>
      <c r="I94" t="n">
        <v>0</v>
      </c>
      <c r="J94" t="n">
        <v>0</v>
      </c>
      <c r="K94" t="n">
        <v>0</v>
      </c>
      <c r="L94" t="n">
        <v>0</v>
      </c>
      <c r="M94" t="n">
        <v>0</v>
      </c>
      <c r="N94" t="n">
        <v>0</v>
      </c>
      <c r="O94" t="n">
        <v>0</v>
      </c>
      <c r="P94" t="n">
        <v>0</v>
      </c>
      <c r="Q94" t="n">
        <v>0</v>
      </c>
      <c r="R94" s="2" t="inlineStr"/>
    </row>
    <row r="95" ht="15" customHeight="1">
      <c r="A95" t="inlineStr">
        <is>
          <t>A 18352-2019</t>
        </is>
      </c>
      <c r="B95" s="1" t="n">
        <v>43559</v>
      </c>
      <c r="C95" s="1" t="n">
        <v>45766</v>
      </c>
      <c r="D95" t="inlineStr">
        <is>
          <t>VÄSTMANLANDS LÄN</t>
        </is>
      </c>
      <c r="E95" t="inlineStr">
        <is>
          <t>SALA</t>
        </is>
      </c>
      <c r="F95" t="inlineStr">
        <is>
          <t>Kommuner</t>
        </is>
      </c>
      <c r="G95" t="n">
        <v>1.7</v>
      </c>
      <c r="H95" t="n">
        <v>0</v>
      </c>
      <c r="I95" t="n">
        <v>0</v>
      </c>
      <c r="J95" t="n">
        <v>0</v>
      </c>
      <c r="K95" t="n">
        <v>0</v>
      </c>
      <c r="L95" t="n">
        <v>0</v>
      </c>
      <c r="M95" t="n">
        <v>0</v>
      </c>
      <c r="N95" t="n">
        <v>0</v>
      </c>
      <c r="O95" t="n">
        <v>0</v>
      </c>
      <c r="P95" t="n">
        <v>0</v>
      </c>
      <c r="Q95" t="n">
        <v>0</v>
      </c>
      <c r="R95" s="2" t="inlineStr"/>
    </row>
    <row r="96" ht="15" customHeight="1">
      <c r="A96" t="inlineStr">
        <is>
          <t>A 18791-2019</t>
        </is>
      </c>
      <c r="B96" s="1" t="n">
        <v>43562</v>
      </c>
      <c r="C96" s="1" t="n">
        <v>45766</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18961-2019</t>
        </is>
      </c>
      <c r="B97" s="1" t="n">
        <v>43563</v>
      </c>
      <c r="C97" s="1" t="n">
        <v>45766</v>
      </c>
      <c r="D97" t="inlineStr">
        <is>
          <t>VÄSTMANLANDS LÄN</t>
        </is>
      </c>
      <c r="E97" t="inlineStr">
        <is>
          <t>SALA</t>
        </is>
      </c>
      <c r="F97" t="inlineStr">
        <is>
          <t>Kommuner</t>
        </is>
      </c>
      <c r="G97" t="n">
        <v>1.5</v>
      </c>
      <c r="H97" t="n">
        <v>0</v>
      </c>
      <c r="I97" t="n">
        <v>0</v>
      </c>
      <c r="J97" t="n">
        <v>0</v>
      </c>
      <c r="K97" t="n">
        <v>0</v>
      </c>
      <c r="L97" t="n">
        <v>0</v>
      </c>
      <c r="M97" t="n">
        <v>0</v>
      </c>
      <c r="N97" t="n">
        <v>0</v>
      </c>
      <c r="O97" t="n">
        <v>0</v>
      </c>
      <c r="P97" t="n">
        <v>0</v>
      </c>
      <c r="Q97" t="n">
        <v>0</v>
      </c>
      <c r="R97" s="2" t="inlineStr"/>
    </row>
    <row r="98" ht="15" customHeight="1">
      <c r="A98" t="inlineStr">
        <is>
          <t>A 19869-2019</t>
        </is>
      </c>
      <c r="B98" s="1" t="n">
        <v>43567</v>
      </c>
      <c r="C98" s="1" t="n">
        <v>45766</v>
      </c>
      <c r="D98" t="inlineStr">
        <is>
          <t>VÄSTMANLANDS LÄN</t>
        </is>
      </c>
      <c r="E98" t="inlineStr">
        <is>
          <t>SALA</t>
        </is>
      </c>
      <c r="G98" t="n">
        <v>1.6</v>
      </c>
      <c r="H98" t="n">
        <v>0</v>
      </c>
      <c r="I98" t="n">
        <v>0</v>
      </c>
      <c r="J98" t="n">
        <v>0</v>
      </c>
      <c r="K98" t="n">
        <v>0</v>
      </c>
      <c r="L98" t="n">
        <v>0</v>
      </c>
      <c r="M98" t="n">
        <v>0</v>
      </c>
      <c r="N98" t="n">
        <v>0</v>
      </c>
      <c r="O98" t="n">
        <v>0</v>
      </c>
      <c r="P98" t="n">
        <v>0</v>
      </c>
      <c r="Q98" t="n">
        <v>0</v>
      </c>
      <c r="R98" s="2" t="inlineStr"/>
    </row>
    <row r="99" ht="15" customHeight="1">
      <c r="A99" t="inlineStr">
        <is>
          <t>A 21985-2019</t>
        </is>
      </c>
      <c r="B99" s="1" t="n">
        <v>43584</v>
      </c>
      <c r="C99" s="1" t="n">
        <v>45766</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22249-2019</t>
        </is>
      </c>
      <c r="B100" s="1" t="n">
        <v>43585</v>
      </c>
      <c r="C100" s="1" t="n">
        <v>45766</v>
      </c>
      <c r="D100" t="inlineStr">
        <is>
          <t>VÄSTMANLANDS LÄN</t>
        </is>
      </c>
      <c r="E100" t="inlineStr">
        <is>
          <t>SALA</t>
        </is>
      </c>
      <c r="F100" t="inlineStr">
        <is>
          <t>Kommuner</t>
        </is>
      </c>
      <c r="G100" t="n">
        <v>0.8</v>
      </c>
      <c r="H100" t="n">
        <v>0</v>
      </c>
      <c r="I100" t="n">
        <v>0</v>
      </c>
      <c r="J100" t="n">
        <v>0</v>
      </c>
      <c r="K100" t="n">
        <v>0</v>
      </c>
      <c r="L100" t="n">
        <v>0</v>
      </c>
      <c r="M100" t="n">
        <v>0</v>
      </c>
      <c r="N100" t="n">
        <v>0</v>
      </c>
      <c r="O100" t="n">
        <v>0</v>
      </c>
      <c r="P100" t="n">
        <v>0</v>
      </c>
      <c r="Q100" t="n">
        <v>0</v>
      </c>
      <c r="R100" s="2" t="inlineStr"/>
    </row>
    <row r="101" ht="15" customHeight="1">
      <c r="A101" t="inlineStr">
        <is>
          <t>A 22833-2019</t>
        </is>
      </c>
      <c r="B101" s="1" t="n">
        <v>43591</v>
      </c>
      <c r="C101" s="1" t="n">
        <v>45766</v>
      </c>
      <c r="D101" t="inlineStr">
        <is>
          <t>VÄSTMANLANDS LÄN</t>
        </is>
      </c>
      <c r="E101" t="inlineStr">
        <is>
          <t>SALA</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25005-2019</t>
        </is>
      </c>
      <c r="B102" s="1" t="n">
        <v>43602</v>
      </c>
      <c r="C102" s="1" t="n">
        <v>45766</v>
      </c>
      <c r="D102" t="inlineStr">
        <is>
          <t>VÄSTMANLANDS LÄN</t>
        </is>
      </c>
      <c r="E102" t="inlineStr">
        <is>
          <t>SALA</t>
        </is>
      </c>
      <c r="F102" t="inlineStr">
        <is>
          <t>Kommuner</t>
        </is>
      </c>
      <c r="G102" t="n">
        <v>4.3</v>
      </c>
      <c r="H102" t="n">
        <v>0</v>
      </c>
      <c r="I102" t="n">
        <v>0</v>
      </c>
      <c r="J102" t="n">
        <v>0</v>
      </c>
      <c r="K102" t="n">
        <v>0</v>
      </c>
      <c r="L102" t="n">
        <v>0</v>
      </c>
      <c r="M102" t="n">
        <v>0</v>
      </c>
      <c r="N102" t="n">
        <v>0</v>
      </c>
      <c r="O102" t="n">
        <v>0</v>
      </c>
      <c r="P102" t="n">
        <v>0</v>
      </c>
      <c r="Q102" t="n">
        <v>0</v>
      </c>
      <c r="R102" s="2" t="inlineStr"/>
    </row>
    <row r="103" ht="15" customHeight="1">
      <c r="A103" t="inlineStr">
        <is>
          <t>A 25814-2019</t>
        </is>
      </c>
      <c r="B103" s="1" t="n">
        <v>43608</v>
      </c>
      <c r="C103" s="1" t="n">
        <v>45766</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26861-2019</t>
        </is>
      </c>
      <c r="B104" s="1" t="n">
        <v>43613</v>
      </c>
      <c r="C104" s="1" t="n">
        <v>45766</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27164-2019</t>
        </is>
      </c>
      <c r="B105" s="1" t="n">
        <v>43614</v>
      </c>
      <c r="C105" s="1" t="n">
        <v>45766</v>
      </c>
      <c r="D105" t="inlineStr">
        <is>
          <t>VÄSTMANLANDS LÄN</t>
        </is>
      </c>
      <c r="E105" t="inlineStr">
        <is>
          <t>SALA</t>
        </is>
      </c>
      <c r="G105" t="n">
        <v>1.9</v>
      </c>
      <c r="H105" t="n">
        <v>0</v>
      </c>
      <c r="I105" t="n">
        <v>0</v>
      </c>
      <c r="J105" t="n">
        <v>0</v>
      </c>
      <c r="K105" t="n">
        <v>0</v>
      </c>
      <c r="L105" t="n">
        <v>0</v>
      </c>
      <c r="M105" t="n">
        <v>0</v>
      </c>
      <c r="N105" t="n">
        <v>0</v>
      </c>
      <c r="O105" t="n">
        <v>0</v>
      </c>
      <c r="P105" t="n">
        <v>0</v>
      </c>
      <c r="Q105" t="n">
        <v>0</v>
      </c>
      <c r="R105" s="2" t="inlineStr"/>
    </row>
    <row r="106" ht="15" customHeight="1">
      <c r="A106" t="inlineStr">
        <is>
          <t>A 27040-2019</t>
        </is>
      </c>
      <c r="B106" s="1" t="n">
        <v>43614</v>
      </c>
      <c r="C106" s="1" t="n">
        <v>45766</v>
      </c>
      <c r="D106" t="inlineStr">
        <is>
          <t>VÄSTMANLANDS LÄN</t>
        </is>
      </c>
      <c r="E106" t="inlineStr">
        <is>
          <t>SALA</t>
        </is>
      </c>
      <c r="G106" t="n">
        <v>1.4</v>
      </c>
      <c r="H106" t="n">
        <v>0</v>
      </c>
      <c r="I106" t="n">
        <v>0</v>
      </c>
      <c r="J106" t="n">
        <v>0</v>
      </c>
      <c r="K106" t="n">
        <v>0</v>
      </c>
      <c r="L106" t="n">
        <v>0</v>
      </c>
      <c r="M106" t="n">
        <v>0</v>
      </c>
      <c r="N106" t="n">
        <v>0</v>
      </c>
      <c r="O106" t="n">
        <v>0</v>
      </c>
      <c r="P106" t="n">
        <v>0</v>
      </c>
      <c r="Q106" t="n">
        <v>0</v>
      </c>
      <c r="R106" s="2" t="inlineStr"/>
    </row>
    <row r="107" ht="15" customHeight="1">
      <c r="A107" t="inlineStr">
        <is>
          <t>A 28132-2019</t>
        </is>
      </c>
      <c r="B107" s="1" t="n">
        <v>43621</v>
      </c>
      <c r="C107" s="1" t="n">
        <v>45766</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28143-2019</t>
        </is>
      </c>
      <c r="B108" s="1" t="n">
        <v>43621</v>
      </c>
      <c r="C108" s="1" t="n">
        <v>45766</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28162-2019</t>
        </is>
      </c>
      <c r="B109" s="1" t="n">
        <v>43621</v>
      </c>
      <c r="C109" s="1" t="n">
        <v>45766</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29023-2019</t>
        </is>
      </c>
      <c r="B110" s="1" t="n">
        <v>43628</v>
      </c>
      <c r="C110" s="1" t="n">
        <v>45766</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29331-2019</t>
        </is>
      </c>
      <c r="B111" s="1" t="n">
        <v>43629</v>
      </c>
      <c r="C111" s="1" t="n">
        <v>45766</v>
      </c>
      <c r="D111" t="inlineStr">
        <is>
          <t>VÄSTMANLANDS LÄN</t>
        </is>
      </c>
      <c r="E111" t="inlineStr">
        <is>
          <t>SALA</t>
        </is>
      </c>
      <c r="G111" t="n">
        <v>5</v>
      </c>
      <c r="H111" t="n">
        <v>0</v>
      </c>
      <c r="I111" t="n">
        <v>0</v>
      </c>
      <c r="J111" t="n">
        <v>0</v>
      </c>
      <c r="K111" t="n">
        <v>0</v>
      </c>
      <c r="L111" t="n">
        <v>0</v>
      </c>
      <c r="M111" t="n">
        <v>0</v>
      </c>
      <c r="N111" t="n">
        <v>0</v>
      </c>
      <c r="O111" t="n">
        <v>0</v>
      </c>
      <c r="P111" t="n">
        <v>0</v>
      </c>
      <c r="Q111" t="n">
        <v>0</v>
      </c>
      <c r="R111" s="2" t="inlineStr"/>
    </row>
    <row r="112" ht="15" customHeight="1">
      <c r="A112" t="inlineStr">
        <is>
          <t>A 31225-2019</t>
        </is>
      </c>
      <c r="B112" s="1" t="n">
        <v>43635</v>
      </c>
      <c r="C112" s="1" t="n">
        <v>45766</v>
      </c>
      <c r="D112" t="inlineStr">
        <is>
          <t>VÄSTMANLANDS LÄN</t>
        </is>
      </c>
      <c r="E112" t="inlineStr">
        <is>
          <t>SALA</t>
        </is>
      </c>
      <c r="G112" t="n">
        <v>1.5</v>
      </c>
      <c r="H112" t="n">
        <v>0</v>
      </c>
      <c r="I112" t="n">
        <v>0</v>
      </c>
      <c r="J112" t="n">
        <v>0</v>
      </c>
      <c r="K112" t="n">
        <v>0</v>
      </c>
      <c r="L112" t="n">
        <v>0</v>
      </c>
      <c r="M112" t="n">
        <v>0</v>
      </c>
      <c r="N112" t="n">
        <v>0</v>
      </c>
      <c r="O112" t="n">
        <v>0</v>
      </c>
      <c r="P112" t="n">
        <v>0</v>
      </c>
      <c r="Q112" t="n">
        <v>0</v>
      </c>
      <c r="R112" s="2" t="inlineStr"/>
    </row>
    <row r="113" ht="15" customHeight="1">
      <c r="A113" t="inlineStr">
        <is>
          <t>A 30974-2019</t>
        </is>
      </c>
      <c r="B113" s="1" t="n">
        <v>43639</v>
      </c>
      <c r="C113" s="1" t="n">
        <v>45766</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34709-2019</t>
        </is>
      </c>
      <c r="B114" s="1" t="n">
        <v>43648</v>
      </c>
      <c r="C114" s="1" t="n">
        <v>45766</v>
      </c>
      <c r="D114" t="inlineStr">
        <is>
          <t>VÄSTMANLANDS LÄN</t>
        </is>
      </c>
      <c r="E114" t="inlineStr">
        <is>
          <t>SALA</t>
        </is>
      </c>
      <c r="G114" t="n">
        <v>1.7</v>
      </c>
      <c r="H114" t="n">
        <v>0</v>
      </c>
      <c r="I114" t="n">
        <v>0</v>
      </c>
      <c r="J114" t="n">
        <v>0</v>
      </c>
      <c r="K114" t="n">
        <v>0</v>
      </c>
      <c r="L114" t="n">
        <v>0</v>
      </c>
      <c r="M114" t="n">
        <v>0</v>
      </c>
      <c r="N114" t="n">
        <v>0</v>
      </c>
      <c r="O114" t="n">
        <v>0</v>
      </c>
      <c r="P114" t="n">
        <v>0</v>
      </c>
      <c r="Q114" t="n">
        <v>0</v>
      </c>
      <c r="R114" s="2" t="inlineStr"/>
    </row>
    <row r="115" ht="15" customHeight="1">
      <c r="A115" t="inlineStr">
        <is>
          <t>A 35690-2019</t>
        </is>
      </c>
      <c r="B115" s="1" t="n">
        <v>43664</v>
      </c>
      <c r="C115" s="1" t="n">
        <v>45766</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36142-2019</t>
        </is>
      </c>
      <c r="B116" s="1" t="n">
        <v>43668</v>
      </c>
      <c r="C116" s="1" t="n">
        <v>45766</v>
      </c>
      <c r="D116" t="inlineStr">
        <is>
          <t>VÄSTMANLANDS LÄN</t>
        </is>
      </c>
      <c r="E116" t="inlineStr">
        <is>
          <t>SALA</t>
        </is>
      </c>
      <c r="G116" t="n">
        <v>0.6</v>
      </c>
      <c r="H116" t="n">
        <v>0</v>
      </c>
      <c r="I116" t="n">
        <v>0</v>
      </c>
      <c r="J116" t="n">
        <v>0</v>
      </c>
      <c r="K116" t="n">
        <v>0</v>
      </c>
      <c r="L116" t="n">
        <v>0</v>
      </c>
      <c r="M116" t="n">
        <v>0</v>
      </c>
      <c r="N116" t="n">
        <v>0</v>
      </c>
      <c r="O116" t="n">
        <v>0</v>
      </c>
      <c r="P116" t="n">
        <v>0</v>
      </c>
      <c r="Q116" t="n">
        <v>0</v>
      </c>
      <c r="R116" s="2" t="inlineStr"/>
    </row>
    <row r="117" ht="15" customHeight="1">
      <c r="A117" t="inlineStr">
        <is>
          <t>A 36429-2019</t>
        </is>
      </c>
      <c r="B117" s="1" t="n">
        <v>43670</v>
      </c>
      <c r="C117" s="1" t="n">
        <v>45766</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36600-2019</t>
        </is>
      </c>
      <c r="B118" s="1" t="n">
        <v>43671</v>
      </c>
      <c r="C118" s="1" t="n">
        <v>45766</v>
      </c>
      <c r="D118" t="inlineStr">
        <is>
          <t>VÄSTMANLANDS LÄN</t>
        </is>
      </c>
      <c r="E118" t="inlineStr">
        <is>
          <t>SALA</t>
        </is>
      </c>
      <c r="F118" t="inlineStr">
        <is>
          <t>Kyrkan</t>
        </is>
      </c>
      <c r="G118" t="n">
        <v>4.3</v>
      </c>
      <c r="H118" t="n">
        <v>0</v>
      </c>
      <c r="I118" t="n">
        <v>0</v>
      </c>
      <c r="J118" t="n">
        <v>0</v>
      </c>
      <c r="K118" t="n">
        <v>0</v>
      </c>
      <c r="L118" t="n">
        <v>0</v>
      </c>
      <c r="M118" t="n">
        <v>0</v>
      </c>
      <c r="N118" t="n">
        <v>0</v>
      </c>
      <c r="O118" t="n">
        <v>0</v>
      </c>
      <c r="P118" t="n">
        <v>0</v>
      </c>
      <c r="Q118" t="n">
        <v>0</v>
      </c>
      <c r="R118" s="2" t="inlineStr"/>
    </row>
    <row r="119" ht="15" customHeight="1">
      <c r="A119" t="inlineStr">
        <is>
          <t>A 37186-2019</t>
        </is>
      </c>
      <c r="B119" s="1" t="n">
        <v>43677</v>
      </c>
      <c r="C119" s="1" t="n">
        <v>45766</v>
      </c>
      <c r="D119" t="inlineStr">
        <is>
          <t>VÄSTMANLANDS LÄN</t>
        </is>
      </c>
      <c r="E119" t="inlineStr">
        <is>
          <t>SALA</t>
        </is>
      </c>
      <c r="G119" t="n">
        <v>1.8</v>
      </c>
      <c r="H119" t="n">
        <v>0</v>
      </c>
      <c r="I119" t="n">
        <v>0</v>
      </c>
      <c r="J119" t="n">
        <v>0</v>
      </c>
      <c r="K119" t="n">
        <v>0</v>
      </c>
      <c r="L119" t="n">
        <v>0</v>
      </c>
      <c r="M119" t="n">
        <v>0</v>
      </c>
      <c r="N119" t="n">
        <v>0</v>
      </c>
      <c r="O119" t="n">
        <v>0</v>
      </c>
      <c r="P119" t="n">
        <v>0</v>
      </c>
      <c r="Q119" t="n">
        <v>0</v>
      </c>
      <c r="R119" s="2" t="inlineStr"/>
    </row>
    <row r="120" ht="15" customHeight="1">
      <c r="A120" t="inlineStr">
        <is>
          <t>A 37533-2019</t>
        </is>
      </c>
      <c r="B120" s="1" t="n">
        <v>43679</v>
      </c>
      <c r="C120" s="1" t="n">
        <v>45766</v>
      </c>
      <c r="D120" t="inlineStr">
        <is>
          <t>VÄSTMANLANDS LÄN</t>
        </is>
      </c>
      <c r="E120" t="inlineStr">
        <is>
          <t>SALA</t>
        </is>
      </c>
      <c r="G120" t="n">
        <v>7.9</v>
      </c>
      <c r="H120" t="n">
        <v>0</v>
      </c>
      <c r="I120" t="n">
        <v>0</v>
      </c>
      <c r="J120" t="n">
        <v>0</v>
      </c>
      <c r="K120" t="n">
        <v>0</v>
      </c>
      <c r="L120" t="n">
        <v>0</v>
      </c>
      <c r="M120" t="n">
        <v>0</v>
      </c>
      <c r="N120" t="n">
        <v>0</v>
      </c>
      <c r="O120" t="n">
        <v>0</v>
      </c>
      <c r="P120" t="n">
        <v>0</v>
      </c>
      <c r="Q120" t="n">
        <v>0</v>
      </c>
      <c r="R120" s="2" t="inlineStr"/>
    </row>
    <row r="121" ht="15" customHeight="1">
      <c r="A121" t="inlineStr">
        <is>
          <t>A 38645-2019</t>
        </is>
      </c>
      <c r="B121" s="1" t="n">
        <v>43686</v>
      </c>
      <c r="C121" s="1" t="n">
        <v>45766</v>
      </c>
      <c r="D121" t="inlineStr">
        <is>
          <t>VÄSTMANLANDS LÄN</t>
        </is>
      </c>
      <c r="E121" t="inlineStr">
        <is>
          <t>SALA</t>
        </is>
      </c>
      <c r="G121" t="n">
        <v>1.5</v>
      </c>
      <c r="H121" t="n">
        <v>0</v>
      </c>
      <c r="I121" t="n">
        <v>0</v>
      </c>
      <c r="J121" t="n">
        <v>0</v>
      </c>
      <c r="K121" t="n">
        <v>0</v>
      </c>
      <c r="L121" t="n">
        <v>0</v>
      </c>
      <c r="M121" t="n">
        <v>0</v>
      </c>
      <c r="N121" t="n">
        <v>0</v>
      </c>
      <c r="O121" t="n">
        <v>0</v>
      </c>
      <c r="P121" t="n">
        <v>0</v>
      </c>
      <c r="Q121" t="n">
        <v>0</v>
      </c>
      <c r="R121" s="2" t="inlineStr"/>
    </row>
    <row r="122" ht="15" customHeight="1">
      <c r="A122" t="inlineStr">
        <is>
          <t>A 41259-2019</t>
        </is>
      </c>
      <c r="B122" s="1" t="n">
        <v>43698</v>
      </c>
      <c r="C122" s="1" t="n">
        <v>45766</v>
      </c>
      <c r="D122" t="inlineStr">
        <is>
          <t>VÄSTMANLANDS LÄN</t>
        </is>
      </c>
      <c r="E122" t="inlineStr">
        <is>
          <t>SALA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45302-2019</t>
        </is>
      </c>
      <c r="B123" s="1" t="n">
        <v>43707</v>
      </c>
      <c r="C123" s="1" t="n">
        <v>45766</v>
      </c>
      <c r="D123" t="inlineStr">
        <is>
          <t>VÄSTMANLANDS LÄN</t>
        </is>
      </c>
      <c r="E123" t="inlineStr">
        <is>
          <t>SALA</t>
        </is>
      </c>
      <c r="G123" t="n">
        <v>2.1</v>
      </c>
      <c r="H123" t="n">
        <v>0</v>
      </c>
      <c r="I123" t="n">
        <v>0</v>
      </c>
      <c r="J123" t="n">
        <v>0</v>
      </c>
      <c r="K123" t="n">
        <v>0</v>
      </c>
      <c r="L123" t="n">
        <v>0</v>
      </c>
      <c r="M123" t="n">
        <v>0</v>
      </c>
      <c r="N123" t="n">
        <v>0</v>
      </c>
      <c r="O123" t="n">
        <v>0</v>
      </c>
      <c r="P123" t="n">
        <v>0</v>
      </c>
      <c r="Q123" t="n">
        <v>0</v>
      </c>
      <c r="R123" s="2" t="inlineStr"/>
    </row>
    <row r="124" ht="15" customHeight="1">
      <c r="A124" t="inlineStr">
        <is>
          <t>A 46936-2019</t>
        </is>
      </c>
      <c r="B124" s="1" t="n">
        <v>43719</v>
      </c>
      <c r="C124" s="1" t="n">
        <v>45766</v>
      </c>
      <c r="D124" t="inlineStr">
        <is>
          <t>VÄSTMANLANDS LÄN</t>
        </is>
      </c>
      <c r="E124" t="inlineStr">
        <is>
          <t>SALA</t>
        </is>
      </c>
      <c r="G124" t="n">
        <v>4.6</v>
      </c>
      <c r="H124" t="n">
        <v>0</v>
      </c>
      <c r="I124" t="n">
        <v>0</v>
      </c>
      <c r="J124" t="n">
        <v>0</v>
      </c>
      <c r="K124" t="n">
        <v>0</v>
      </c>
      <c r="L124" t="n">
        <v>0</v>
      </c>
      <c r="M124" t="n">
        <v>0</v>
      </c>
      <c r="N124" t="n">
        <v>0</v>
      </c>
      <c r="O124" t="n">
        <v>0</v>
      </c>
      <c r="P124" t="n">
        <v>0</v>
      </c>
      <c r="Q124" t="n">
        <v>0</v>
      </c>
      <c r="R124" s="2" t="inlineStr"/>
    </row>
    <row r="125" ht="15" customHeight="1">
      <c r="A125" t="inlineStr">
        <is>
          <t>A 48617-2019</t>
        </is>
      </c>
      <c r="B125" s="1" t="n">
        <v>43727</v>
      </c>
      <c r="C125" s="1" t="n">
        <v>45766</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48681-2019</t>
        </is>
      </c>
      <c r="B126" s="1" t="n">
        <v>43728</v>
      </c>
      <c r="C126" s="1" t="n">
        <v>45766</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52756-2019</t>
        </is>
      </c>
      <c r="B127" s="1" t="n">
        <v>43739</v>
      </c>
      <c r="C127" s="1" t="n">
        <v>45766</v>
      </c>
      <c r="D127" t="inlineStr">
        <is>
          <t>VÄSTMANLANDS LÄN</t>
        </is>
      </c>
      <c r="E127" t="inlineStr">
        <is>
          <t>SALA</t>
        </is>
      </c>
      <c r="G127" t="n">
        <v>4.2</v>
      </c>
      <c r="H127" t="n">
        <v>0</v>
      </c>
      <c r="I127" t="n">
        <v>0</v>
      </c>
      <c r="J127" t="n">
        <v>0</v>
      </c>
      <c r="K127" t="n">
        <v>0</v>
      </c>
      <c r="L127" t="n">
        <v>0</v>
      </c>
      <c r="M127" t="n">
        <v>0</v>
      </c>
      <c r="N127" t="n">
        <v>0</v>
      </c>
      <c r="O127" t="n">
        <v>0</v>
      </c>
      <c r="P127" t="n">
        <v>0</v>
      </c>
      <c r="Q127" t="n">
        <v>0</v>
      </c>
      <c r="R127" s="2" t="inlineStr"/>
    </row>
    <row r="128" ht="15" customHeight="1">
      <c r="A128" t="inlineStr">
        <is>
          <t>A 51854-2019</t>
        </is>
      </c>
      <c r="B128" s="1" t="n">
        <v>43741</v>
      </c>
      <c r="C128" s="1" t="n">
        <v>45766</v>
      </c>
      <c r="D128" t="inlineStr">
        <is>
          <t>VÄSTMANLANDS LÄN</t>
        </is>
      </c>
      <c r="E128" t="inlineStr">
        <is>
          <t>SALA</t>
        </is>
      </c>
      <c r="G128" t="n">
        <v>2</v>
      </c>
      <c r="H128" t="n">
        <v>0</v>
      </c>
      <c r="I128" t="n">
        <v>0</v>
      </c>
      <c r="J128" t="n">
        <v>0</v>
      </c>
      <c r="K128" t="n">
        <v>0</v>
      </c>
      <c r="L128" t="n">
        <v>0</v>
      </c>
      <c r="M128" t="n">
        <v>0</v>
      </c>
      <c r="N128" t="n">
        <v>0</v>
      </c>
      <c r="O128" t="n">
        <v>0</v>
      </c>
      <c r="P128" t="n">
        <v>0</v>
      </c>
      <c r="Q128" t="n">
        <v>0</v>
      </c>
      <c r="R128" s="2" t="inlineStr"/>
    </row>
    <row r="129" ht="15" customHeight="1">
      <c r="A129" t="inlineStr">
        <is>
          <t>A 54393-2019</t>
        </is>
      </c>
      <c r="B129" s="1" t="n">
        <v>43746</v>
      </c>
      <c r="C129" s="1" t="n">
        <v>45766</v>
      </c>
      <c r="D129" t="inlineStr">
        <is>
          <t>VÄSTMANLANDS LÄN</t>
        </is>
      </c>
      <c r="E129" t="inlineStr">
        <is>
          <t>SALA</t>
        </is>
      </c>
      <c r="G129" t="n">
        <v>3.2</v>
      </c>
      <c r="H129" t="n">
        <v>0</v>
      </c>
      <c r="I129" t="n">
        <v>0</v>
      </c>
      <c r="J129" t="n">
        <v>0</v>
      </c>
      <c r="K129" t="n">
        <v>0</v>
      </c>
      <c r="L129" t="n">
        <v>0</v>
      </c>
      <c r="M129" t="n">
        <v>0</v>
      </c>
      <c r="N129" t="n">
        <v>0</v>
      </c>
      <c r="O129" t="n">
        <v>0</v>
      </c>
      <c r="P129" t="n">
        <v>0</v>
      </c>
      <c r="Q129" t="n">
        <v>0</v>
      </c>
      <c r="R129" s="2" t="inlineStr"/>
    </row>
    <row r="130" ht="15" customHeight="1">
      <c r="A130" t="inlineStr">
        <is>
          <t>A 54069-2019</t>
        </is>
      </c>
      <c r="B130" s="1" t="n">
        <v>43752</v>
      </c>
      <c r="C130" s="1" t="n">
        <v>45766</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57743-2019</t>
        </is>
      </c>
      <c r="B131" s="1" t="n">
        <v>43768</v>
      </c>
      <c r="C131" s="1" t="n">
        <v>45766</v>
      </c>
      <c r="D131" t="inlineStr">
        <is>
          <t>VÄSTMANLANDS LÄN</t>
        </is>
      </c>
      <c r="E131" t="inlineStr">
        <is>
          <t>SALA</t>
        </is>
      </c>
      <c r="G131" t="n">
        <v>3.8</v>
      </c>
      <c r="H131" t="n">
        <v>0</v>
      </c>
      <c r="I131" t="n">
        <v>0</v>
      </c>
      <c r="J131" t="n">
        <v>0</v>
      </c>
      <c r="K131" t="n">
        <v>0</v>
      </c>
      <c r="L131" t="n">
        <v>0</v>
      </c>
      <c r="M131" t="n">
        <v>0</v>
      </c>
      <c r="N131" t="n">
        <v>0</v>
      </c>
      <c r="O131" t="n">
        <v>0</v>
      </c>
      <c r="P131" t="n">
        <v>0</v>
      </c>
      <c r="Q131" t="n">
        <v>0</v>
      </c>
      <c r="R131" s="2" t="inlineStr"/>
    </row>
    <row r="132" ht="15" customHeight="1">
      <c r="A132" t="inlineStr">
        <is>
          <t>A 58003-2019</t>
        </is>
      </c>
      <c r="B132" s="1" t="n">
        <v>43769</v>
      </c>
      <c r="C132" s="1" t="n">
        <v>45766</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58027-2019</t>
        </is>
      </c>
      <c r="B133" s="1" t="n">
        <v>43769</v>
      </c>
      <c r="C133" s="1" t="n">
        <v>45766</v>
      </c>
      <c r="D133" t="inlineStr">
        <is>
          <t>VÄSTMANLANDS LÄN</t>
        </is>
      </c>
      <c r="E133" t="inlineStr">
        <is>
          <t>SALA</t>
        </is>
      </c>
      <c r="G133" t="n">
        <v>2.4</v>
      </c>
      <c r="H133" t="n">
        <v>0</v>
      </c>
      <c r="I133" t="n">
        <v>0</v>
      </c>
      <c r="J133" t="n">
        <v>0</v>
      </c>
      <c r="K133" t="n">
        <v>0</v>
      </c>
      <c r="L133" t="n">
        <v>0</v>
      </c>
      <c r="M133" t="n">
        <v>0</v>
      </c>
      <c r="N133" t="n">
        <v>0</v>
      </c>
      <c r="O133" t="n">
        <v>0</v>
      </c>
      <c r="P133" t="n">
        <v>0</v>
      </c>
      <c r="Q133" t="n">
        <v>0</v>
      </c>
      <c r="R133" s="2" t="inlineStr"/>
    </row>
    <row r="134" ht="15" customHeight="1">
      <c r="A134" t="inlineStr">
        <is>
          <t>A 58681-2019</t>
        </is>
      </c>
      <c r="B134" s="1" t="n">
        <v>43773</v>
      </c>
      <c r="C134" s="1" t="n">
        <v>45766</v>
      </c>
      <c r="D134" t="inlineStr">
        <is>
          <t>VÄSTMANLANDS LÄN</t>
        </is>
      </c>
      <c r="E134" t="inlineStr">
        <is>
          <t>SALA</t>
        </is>
      </c>
      <c r="G134" t="n">
        <v>3</v>
      </c>
      <c r="H134" t="n">
        <v>0</v>
      </c>
      <c r="I134" t="n">
        <v>0</v>
      </c>
      <c r="J134" t="n">
        <v>0</v>
      </c>
      <c r="K134" t="n">
        <v>0</v>
      </c>
      <c r="L134" t="n">
        <v>0</v>
      </c>
      <c r="M134" t="n">
        <v>0</v>
      </c>
      <c r="N134" t="n">
        <v>0</v>
      </c>
      <c r="O134" t="n">
        <v>0</v>
      </c>
      <c r="P134" t="n">
        <v>0</v>
      </c>
      <c r="Q134" t="n">
        <v>0</v>
      </c>
      <c r="R134" s="2" t="inlineStr"/>
    </row>
    <row r="135" ht="15" customHeight="1">
      <c r="A135" t="inlineStr">
        <is>
          <t>A 58917-2019</t>
        </is>
      </c>
      <c r="B135" s="1" t="n">
        <v>43774</v>
      </c>
      <c r="C135" s="1" t="n">
        <v>45766</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59147-2019</t>
        </is>
      </c>
      <c r="B136" s="1" t="n">
        <v>43775</v>
      </c>
      <c r="C136" s="1" t="n">
        <v>45766</v>
      </c>
      <c r="D136" t="inlineStr">
        <is>
          <t>VÄSTMANLANDS LÄN</t>
        </is>
      </c>
      <c r="E136" t="inlineStr">
        <is>
          <t>SALA</t>
        </is>
      </c>
      <c r="F136" t="inlineStr">
        <is>
          <t>Övriga Aktiebolag</t>
        </is>
      </c>
      <c r="G136" t="n">
        <v>69.8</v>
      </c>
      <c r="H136" t="n">
        <v>0</v>
      </c>
      <c r="I136" t="n">
        <v>0</v>
      </c>
      <c r="J136" t="n">
        <v>0</v>
      </c>
      <c r="K136" t="n">
        <v>0</v>
      </c>
      <c r="L136" t="n">
        <v>0</v>
      </c>
      <c r="M136" t="n">
        <v>0</v>
      </c>
      <c r="N136" t="n">
        <v>0</v>
      </c>
      <c r="O136" t="n">
        <v>0</v>
      </c>
      <c r="P136" t="n">
        <v>0</v>
      </c>
      <c r="Q136" t="n">
        <v>0</v>
      </c>
      <c r="R136" s="2" t="inlineStr"/>
    </row>
    <row r="137" ht="15" customHeight="1">
      <c r="A137" t="inlineStr">
        <is>
          <t>A 60007-2019</t>
        </is>
      </c>
      <c r="B137" s="1" t="n">
        <v>43777</v>
      </c>
      <c r="C137" s="1" t="n">
        <v>45766</v>
      </c>
      <c r="D137" t="inlineStr">
        <is>
          <t>VÄSTMANLANDS LÄN</t>
        </is>
      </c>
      <c r="E137" t="inlineStr">
        <is>
          <t>SALA</t>
        </is>
      </c>
      <c r="F137" t="inlineStr">
        <is>
          <t>Kyrkan</t>
        </is>
      </c>
      <c r="G137" t="n">
        <v>5.1</v>
      </c>
      <c r="H137" t="n">
        <v>0</v>
      </c>
      <c r="I137" t="n">
        <v>0</v>
      </c>
      <c r="J137" t="n">
        <v>0</v>
      </c>
      <c r="K137" t="n">
        <v>0</v>
      </c>
      <c r="L137" t="n">
        <v>0</v>
      </c>
      <c r="M137" t="n">
        <v>0</v>
      </c>
      <c r="N137" t="n">
        <v>0</v>
      </c>
      <c r="O137" t="n">
        <v>0</v>
      </c>
      <c r="P137" t="n">
        <v>0</v>
      </c>
      <c r="Q137" t="n">
        <v>0</v>
      </c>
      <c r="R137" s="2" t="inlineStr"/>
    </row>
    <row r="138" ht="15" customHeight="1">
      <c r="A138" t="inlineStr">
        <is>
          <t>A 60012-2019</t>
        </is>
      </c>
      <c r="B138" s="1" t="n">
        <v>43777</v>
      </c>
      <c r="C138" s="1" t="n">
        <v>45766</v>
      </c>
      <c r="D138" t="inlineStr">
        <is>
          <t>VÄSTMANLANDS LÄN</t>
        </is>
      </c>
      <c r="E138" t="inlineStr">
        <is>
          <t>SALA</t>
        </is>
      </c>
      <c r="F138" t="inlineStr">
        <is>
          <t>Kyrkan</t>
        </is>
      </c>
      <c r="G138" t="n">
        <v>1.5</v>
      </c>
      <c r="H138" t="n">
        <v>0</v>
      </c>
      <c r="I138" t="n">
        <v>0</v>
      </c>
      <c r="J138" t="n">
        <v>0</v>
      </c>
      <c r="K138" t="n">
        <v>0</v>
      </c>
      <c r="L138" t="n">
        <v>0</v>
      </c>
      <c r="M138" t="n">
        <v>0</v>
      </c>
      <c r="N138" t="n">
        <v>0</v>
      </c>
      <c r="O138" t="n">
        <v>0</v>
      </c>
      <c r="P138" t="n">
        <v>0</v>
      </c>
      <c r="Q138" t="n">
        <v>0</v>
      </c>
      <c r="R138" s="2" t="inlineStr"/>
    </row>
    <row r="139" ht="15" customHeight="1">
      <c r="A139" t="inlineStr">
        <is>
          <t>A 61270-2019</t>
        </is>
      </c>
      <c r="B139" s="1" t="n">
        <v>43783</v>
      </c>
      <c r="C139" s="1" t="n">
        <v>45766</v>
      </c>
      <c r="D139" t="inlineStr">
        <is>
          <t>VÄSTMANLANDS LÄN</t>
        </is>
      </c>
      <c r="E139" t="inlineStr">
        <is>
          <t>SALA</t>
        </is>
      </c>
      <c r="G139" t="n">
        <v>3.3</v>
      </c>
      <c r="H139" t="n">
        <v>0</v>
      </c>
      <c r="I139" t="n">
        <v>0</v>
      </c>
      <c r="J139" t="n">
        <v>0</v>
      </c>
      <c r="K139" t="n">
        <v>0</v>
      </c>
      <c r="L139" t="n">
        <v>0</v>
      </c>
      <c r="M139" t="n">
        <v>0</v>
      </c>
      <c r="N139" t="n">
        <v>0</v>
      </c>
      <c r="O139" t="n">
        <v>0</v>
      </c>
      <c r="P139" t="n">
        <v>0</v>
      </c>
      <c r="Q139" t="n">
        <v>0</v>
      </c>
      <c r="R139" s="2" t="inlineStr"/>
    </row>
    <row r="140" ht="15" customHeight="1">
      <c r="A140" t="inlineStr">
        <is>
          <t>A 61394-2019</t>
        </is>
      </c>
      <c r="B140" s="1" t="n">
        <v>43783</v>
      </c>
      <c r="C140" s="1" t="n">
        <v>45766</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61758-2019</t>
        </is>
      </c>
      <c r="B141" s="1" t="n">
        <v>43784</v>
      </c>
      <c r="C141" s="1" t="n">
        <v>45766</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62390-2019</t>
        </is>
      </c>
      <c r="B142" s="1" t="n">
        <v>43788</v>
      </c>
      <c r="C142" s="1" t="n">
        <v>45766</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64164-2019</t>
        </is>
      </c>
      <c r="B143" s="1" t="n">
        <v>43791</v>
      </c>
      <c r="C143" s="1" t="n">
        <v>45766</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63369-2019</t>
        </is>
      </c>
      <c r="B144" s="1" t="n">
        <v>43794</v>
      </c>
      <c r="C144" s="1" t="n">
        <v>45766</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63498-2019</t>
        </is>
      </c>
      <c r="B145" s="1" t="n">
        <v>43794</v>
      </c>
      <c r="C145" s="1" t="n">
        <v>45766</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64090-2019</t>
        </is>
      </c>
      <c r="B146" s="1" t="n">
        <v>43796</v>
      </c>
      <c r="C146" s="1" t="n">
        <v>45766</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64092-2019</t>
        </is>
      </c>
      <c r="B147" s="1" t="n">
        <v>43796</v>
      </c>
      <c r="C147" s="1" t="n">
        <v>45766</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65021-2019</t>
        </is>
      </c>
      <c r="B148" s="1" t="n">
        <v>43801</v>
      </c>
      <c r="C148" s="1" t="n">
        <v>45766</v>
      </c>
      <c r="D148" t="inlineStr">
        <is>
          <t>VÄSTMANLANDS LÄN</t>
        </is>
      </c>
      <c r="E148" t="inlineStr">
        <is>
          <t>SALA</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66089-2019</t>
        </is>
      </c>
      <c r="B149" s="1" t="n">
        <v>43807</v>
      </c>
      <c r="C149" s="1" t="n">
        <v>45766</v>
      </c>
      <c r="D149" t="inlineStr">
        <is>
          <t>VÄSTMANLANDS LÄN</t>
        </is>
      </c>
      <c r="E149" t="inlineStr">
        <is>
          <t>SALA</t>
        </is>
      </c>
      <c r="G149" t="n">
        <v>17.1</v>
      </c>
      <c r="H149" t="n">
        <v>0</v>
      </c>
      <c r="I149" t="n">
        <v>0</v>
      </c>
      <c r="J149" t="n">
        <v>0</v>
      </c>
      <c r="K149" t="n">
        <v>0</v>
      </c>
      <c r="L149" t="n">
        <v>0</v>
      </c>
      <c r="M149" t="n">
        <v>0</v>
      </c>
      <c r="N149" t="n">
        <v>0</v>
      </c>
      <c r="O149" t="n">
        <v>0</v>
      </c>
      <c r="P149" t="n">
        <v>0</v>
      </c>
      <c r="Q149" t="n">
        <v>0</v>
      </c>
      <c r="R149" s="2" t="inlineStr"/>
    </row>
    <row r="150" ht="15" customHeight="1">
      <c r="A150" t="inlineStr">
        <is>
          <t>A 66216-2019</t>
        </is>
      </c>
      <c r="B150" s="1" t="n">
        <v>43808</v>
      </c>
      <c r="C150" s="1" t="n">
        <v>45766</v>
      </c>
      <c r="D150" t="inlineStr">
        <is>
          <t>VÄSTMANLANDS LÄN</t>
        </is>
      </c>
      <c r="E150" t="inlineStr">
        <is>
          <t>SALA</t>
        </is>
      </c>
      <c r="F150" t="inlineStr">
        <is>
          <t>Kommuner</t>
        </is>
      </c>
      <c r="G150" t="n">
        <v>3.7</v>
      </c>
      <c r="H150" t="n">
        <v>0</v>
      </c>
      <c r="I150" t="n">
        <v>0</v>
      </c>
      <c r="J150" t="n">
        <v>0</v>
      </c>
      <c r="K150" t="n">
        <v>0</v>
      </c>
      <c r="L150" t="n">
        <v>0</v>
      </c>
      <c r="M150" t="n">
        <v>0</v>
      </c>
      <c r="N150" t="n">
        <v>0</v>
      </c>
      <c r="O150" t="n">
        <v>0</v>
      </c>
      <c r="P150" t="n">
        <v>0</v>
      </c>
      <c r="Q150" t="n">
        <v>0</v>
      </c>
      <c r="R150" s="2" t="inlineStr"/>
    </row>
    <row r="151" ht="15" customHeight="1">
      <c r="A151" t="inlineStr">
        <is>
          <t>A 67360-2019</t>
        </is>
      </c>
      <c r="B151" s="1" t="n">
        <v>43812</v>
      </c>
      <c r="C151" s="1" t="n">
        <v>45766</v>
      </c>
      <c r="D151" t="inlineStr">
        <is>
          <t>VÄSTMANLANDS LÄN</t>
        </is>
      </c>
      <c r="E151" t="inlineStr">
        <is>
          <t>SALA</t>
        </is>
      </c>
      <c r="G151" t="n">
        <v>4.9</v>
      </c>
      <c r="H151" t="n">
        <v>0</v>
      </c>
      <c r="I151" t="n">
        <v>0</v>
      </c>
      <c r="J151" t="n">
        <v>0</v>
      </c>
      <c r="K151" t="n">
        <v>0</v>
      </c>
      <c r="L151" t="n">
        <v>0</v>
      </c>
      <c r="M151" t="n">
        <v>0</v>
      </c>
      <c r="N151" t="n">
        <v>0</v>
      </c>
      <c r="O151" t="n">
        <v>0</v>
      </c>
      <c r="P151" t="n">
        <v>0</v>
      </c>
      <c r="Q151" t="n">
        <v>0</v>
      </c>
      <c r="R151" s="2" t="inlineStr"/>
    </row>
    <row r="152" ht="15" customHeight="1">
      <c r="A152" t="inlineStr">
        <is>
          <t>A 68398-2019</t>
        </is>
      </c>
      <c r="B152" s="1" t="n">
        <v>43818</v>
      </c>
      <c r="C152" s="1" t="n">
        <v>45766</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68394-2019</t>
        </is>
      </c>
      <c r="B153" s="1" t="n">
        <v>43818</v>
      </c>
      <c r="C153" s="1" t="n">
        <v>45766</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1465-2020</t>
        </is>
      </c>
      <c r="B154" s="1" t="n">
        <v>43822</v>
      </c>
      <c r="C154" s="1" t="n">
        <v>45766</v>
      </c>
      <c r="D154" t="inlineStr">
        <is>
          <t>VÄSTMANLANDS LÄN</t>
        </is>
      </c>
      <c r="E154" t="inlineStr">
        <is>
          <t>SALA</t>
        </is>
      </c>
      <c r="G154" t="n">
        <v>4.1</v>
      </c>
      <c r="H154" t="n">
        <v>0</v>
      </c>
      <c r="I154" t="n">
        <v>0</v>
      </c>
      <c r="J154" t="n">
        <v>0</v>
      </c>
      <c r="K154" t="n">
        <v>0</v>
      </c>
      <c r="L154" t="n">
        <v>0</v>
      </c>
      <c r="M154" t="n">
        <v>0</v>
      </c>
      <c r="N154" t="n">
        <v>0</v>
      </c>
      <c r="O154" t="n">
        <v>0</v>
      </c>
      <c r="P154" t="n">
        <v>0</v>
      </c>
      <c r="Q154" t="n">
        <v>0</v>
      </c>
      <c r="R154" s="2" t="inlineStr"/>
    </row>
    <row r="155" ht="15" customHeight="1">
      <c r="A155" t="inlineStr">
        <is>
          <t>A 63-2020</t>
        </is>
      </c>
      <c r="B155" s="1" t="n">
        <v>43832</v>
      </c>
      <c r="C155" s="1" t="n">
        <v>45766</v>
      </c>
      <c r="D155" t="inlineStr">
        <is>
          <t>VÄSTMANLANDS LÄN</t>
        </is>
      </c>
      <c r="E155" t="inlineStr">
        <is>
          <t>SALA</t>
        </is>
      </c>
      <c r="G155" t="n">
        <v>4.6</v>
      </c>
      <c r="H155" t="n">
        <v>0</v>
      </c>
      <c r="I155" t="n">
        <v>0</v>
      </c>
      <c r="J155" t="n">
        <v>0</v>
      </c>
      <c r="K155" t="n">
        <v>0</v>
      </c>
      <c r="L155" t="n">
        <v>0</v>
      </c>
      <c r="M155" t="n">
        <v>0</v>
      </c>
      <c r="N155" t="n">
        <v>0</v>
      </c>
      <c r="O155" t="n">
        <v>0</v>
      </c>
      <c r="P155" t="n">
        <v>0</v>
      </c>
      <c r="Q155" t="n">
        <v>0</v>
      </c>
      <c r="R155" s="2" t="inlineStr"/>
    </row>
    <row r="156" ht="15" customHeight="1">
      <c r="A156" t="inlineStr">
        <is>
          <t>A 151-2020</t>
        </is>
      </c>
      <c r="B156" s="1" t="n">
        <v>43833</v>
      </c>
      <c r="C156" s="1" t="n">
        <v>45766</v>
      </c>
      <c r="D156" t="inlineStr">
        <is>
          <t>VÄSTMANLANDS LÄN</t>
        </is>
      </c>
      <c r="E156" t="inlineStr">
        <is>
          <t>SALA</t>
        </is>
      </c>
      <c r="F156" t="inlineStr">
        <is>
          <t>Kyrkan</t>
        </is>
      </c>
      <c r="G156" t="n">
        <v>6.5</v>
      </c>
      <c r="H156" t="n">
        <v>0</v>
      </c>
      <c r="I156" t="n">
        <v>0</v>
      </c>
      <c r="J156" t="n">
        <v>0</v>
      </c>
      <c r="K156" t="n">
        <v>0</v>
      </c>
      <c r="L156" t="n">
        <v>0</v>
      </c>
      <c r="M156" t="n">
        <v>0</v>
      </c>
      <c r="N156" t="n">
        <v>0</v>
      </c>
      <c r="O156" t="n">
        <v>0</v>
      </c>
      <c r="P156" t="n">
        <v>0</v>
      </c>
      <c r="Q156" t="n">
        <v>0</v>
      </c>
      <c r="R156" s="2" t="inlineStr"/>
    </row>
    <row r="157" ht="15" customHeight="1">
      <c r="A157" t="inlineStr">
        <is>
          <t>A 161-2020</t>
        </is>
      </c>
      <c r="B157" s="1" t="n">
        <v>43833</v>
      </c>
      <c r="C157" s="1" t="n">
        <v>45766</v>
      </c>
      <c r="D157" t="inlineStr">
        <is>
          <t>VÄSTMANLANDS LÄN</t>
        </is>
      </c>
      <c r="E157" t="inlineStr">
        <is>
          <t>SALA</t>
        </is>
      </c>
      <c r="F157" t="inlineStr">
        <is>
          <t>Kyrkan</t>
        </is>
      </c>
      <c r="G157" t="n">
        <v>1.6</v>
      </c>
      <c r="H157" t="n">
        <v>0</v>
      </c>
      <c r="I157" t="n">
        <v>0</v>
      </c>
      <c r="J157" t="n">
        <v>0</v>
      </c>
      <c r="K157" t="n">
        <v>0</v>
      </c>
      <c r="L157" t="n">
        <v>0</v>
      </c>
      <c r="M157" t="n">
        <v>0</v>
      </c>
      <c r="N157" t="n">
        <v>0</v>
      </c>
      <c r="O157" t="n">
        <v>0</v>
      </c>
      <c r="P157" t="n">
        <v>0</v>
      </c>
      <c r="Q157" t="n">
        <v>0</v>
      </c>
      <c r="R157" s="2" t="inlineStr"/>
    </row>
    <row r="158" ht="15" customHeight="1">
      <c r="A158" t="inlineStr">
        <is>
          <t>A 297-2020</t>
        </is>
      </c>
      <c r="B158" s="1" t="n">
        <v>43837</v>
      </c>
      <c r="C158" s="1" t="n">
        <v>45766</v>
      </c>
      <c r="D158" t="inlineStr">
        <is>
          <t>VÄSTMANLANDS LÄN</t>
        </is>
      </c>
      <c r="E158" t="inlineStr">
        <is>
          <t>SALA</t>
        </is>
      </c>
      <c r="F158" t="inlineStr">
        <is>
          <t>Kyrkan</t>
        </is>
      </c>
      <c r="G158" t="n">
        <v>0.3</v>
      </c>
      <c r="H158" t="n">
        <v>0</v>
      </c>
      <c r="I158" t="n">
        <v>0</v>
      </c>
      <c r="J158" t="n">
        <v>0</v>
      </c>
      <c r="K158" t="n">
        <v>0</v>
      </c>
      <c r="L158" t="n">
        <v>0</v>
      </c>
      <c r="M158" t="n">
        <v>0</v>
      </c>
      <c r="N158" t="n">
        <v>0</v>
      </c>
      <c r="O158" t="n">
        <v>0</v>
      </c>
      <c r="P158" t="n">
        <v>0</v>
      </c>
      <c r="Q158" t="n">
        <v>0</v>
      </c>
      <c r="R158" s="2" t="inlineStr"/>
    </row>
    <row r="159" ht="15" customHeight="1">
      <c r="A159" t="inlineStr">
        <is>
          <t>A 496-2020</t>
        </is>
      </c>
      <c r="B159" s="1" t="n">
        <v>43837</v>
      </c>
      <c r="C159" s="1" t="n">
        <v>45766</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1005-2020</t>
        </is>
      </c>
      <c r="B160" s="1" t="n">
        <v>43839</v>
      </c>
      <c r="C160" s="1" t="n">
        <v>45766</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1272-2020</t>
        </is>
      </c>
      <c r="B161" s="1" t="n">
        <v>43841</v>
      </c>
      <c r="C161" s="1" t="n">
        <v>45766</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1346-2020</t>
        </is>
      </c>
      <c r="B162" s="1" t="n">
        <v>43843</v>
      </c>
      <c r="C162" s="1" t="n">
        <v>45766</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3935-2020</t>
        </is>
      </c>
      <c r="B163" s="1" t="n">
        <v>43846</v>
      </c>
      <c r="C163" s="1" t="n">
        <v>45766</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2588-2020</t>
        </is>
      </c>
      <c r="B164" s="1" t="n">
        <v>43847</v>
      </c>
      <c r="C164" s="1" t="n">
        <v>45766</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4630-2020</t>
        </is>
      </c>
      <c r="B165" s="1" t="n">
        <v>43851</v>
      </c>
      <c r="C165" s="1" t="n">
        <v>45766</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3590-2020</t>
        </is>
      </c>
      <c r="B166" s="1" t="n">
        <v>43853</v>
      </c>
      <c r="C166" s="1" t="n">
        <v>45766</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4866-2020</t>
        </is>
      </c>
      <c r="B167" s="1" t="n">
        <v>43859</v>
      </c>
      <c r="C167" s="1" t="n">
        <v>45766</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5201-2020</t>
        </is>
      </c>
      <c r="B168" s="1" t="n">
        <v>43860</v>
      </c>
      <c r="C168" s="1" t="n">
        <v>45766</v>
      </c>
      <c r="D168" t="inlineStr">
        <is>
          <t>VÄSTMANLANDS LÄN</t>
        </is>
      </c>
      <c r="E168" t="inlineStr">
        <is>
          <t>SALA</t>
        </is>
      </c>
      <c r="F168" t="inlineStr">
        <is>
          <t>Kyrkan</t>
        </is>
      </c>
      <c r="G168" t="n">
        <v>5</v>
      </c>
      <c r="H168" t="n">
        <v>0</v>
      </c>
      <c r="I168" t="n">
        <v>0</v>
      </c>
      <c r="J168" t="n">
        <v>0</v>
      </c>
      <c r="K168" t="n">
        <v>0</v>
      </c>
      <c r="L168" t="n">
        <v>0</v>
      </c>
      <c r="M168" t="n">
        <v>0</v>
      </c>
      <c r="N168" t="n">
        <v>0</v>
      </c>
      <c r="O168" t="n">
        <v>0</v>
      </c>
      <c r="P168" t="n">
        <v>0</v>
      </c>
      <c r="Q168" t="n">
        <v>0</v>
      </c>
      <c r="R168" s="2" t="inlineStr"/>
    </row>
    <row r="169" ht="15" customHeight="1">
      <c r="A169" t="inlineStr">
        <is>
          <t>A 5163-2020</t>
        </is>
      </c>
      <c r="B169" s="1" t="n">
        <v>43860</v>
      </c>
      <c r="C169" s="1" t="n">
        <v>45766</v>
      </c>
      <c r="D169" t="inlineStr">
        <is>
          <t>VÄSTMANLANDS LÄN</t>
        </is>
      </c>
      <c r="E169" t="inlineStr">
        <is>
          <t>SALA</t>
        </is>
      </c>
      <c r="G169" t="n">
        <v>1.9</v>
      </c>
      <c r="H169" t="n">
        <v>0</v>
      </c>
      <c r="I169" t="n">
        <v>0</v>
      </c>
      <c r="J169" t="n">
        <v>0</v>
      </c>
      <c r="K169" t="n">
        <v>0</v>
      </c>
      <c r="L169" t="n">
        <v>0</v>
      </c>
      <c r="M169" t="n">
        <v>0</v>
      </c>
      <c r="N169" t="n">
        <v>0</v>
      </c>
      <c r="O169" t="n">
        <v>0</v>
      </c>
      <c r="P169" t="n">
        <v>0</v>
      </c>
      <c r="Q169" t="n">
        <v>0</v>
      </c>
      <c r="R169" s="2" t="inlineStr"/>
    </row>
    <row r="170" ht="15" customHeight="1">
      <c r="A170" t="inlineStr">
        <is>
          <t>A 5191-2020</t>
        </is>
      </c>
      <c r="B170" s="1" t="n">
        <v>43860</v>
      </c>
      <c r="C170" s="1" t="n">
        <v>45766</v>
      </c>
      <c r="D170" t="inlineStr">
        <is>
          <t>VÄSTMANLANDS LÄN</t>
        </is>
      </c>
      <c r="E170" t="inlineStr">
        <is>
          <t>SALA</t>
        </is>
      </c>
      <c r="F170" t="inlineStr">
        <is>
          <t>Kyrkan</t>
        </is>
      </c>
      <c r="G170" t="n">
        <v>10.9</v>
      </c>
      <c r="H170" t="n">
        <v>0</v>
      </c>
      <c r="I170" t="n">
        <v>0</v>
      </c>
      <c r="J170" t="n">
        <v>0</v>
      </c>
      <c r="K170" t="n">
        <v>0</v>
      </c>
      <c r="L170" t="n">
        <v>0</v>
      </c>
      <c r="M170" t="n">
        <v>0</v>
      </c>
      <c r="N170" t="n">
        <v>0</v>
      </c>
      <c r="O170" t="n">
        <v>0</v>
      </c>
      <c r="P170" t="n">
        <v>0</v>
      </c>
      <c r="Q170" t="n">
        <v>0</v>
      </c>
      <c r="R170" s="2" t="inlineStr"/>
    </row>
    <row r="171" ht="15" customHeight="1">
      <c r="A171" t="inlineStr">
        <is>
          <t>A 5320-2020</t>
        </is>
      </c>
      <c r="B171" s="1" t="n">
        <v>43860</v>
      </c>
      <c r="C171" s="1" t="n">
        <v>45766</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5587-2020</t>
        </is>
      </c>
      <c r="B172" s="1" t="n">
        <v>43861</v>
      </c>
      <c r="C172" s="1" t="n">
        <v>45766</v>
      </c>
      <c r="D172" t="inlineStr">
        <is>
          <t>VÄSTMANLANDS LÄN</t>
        </is>
      </c>
      <c r="E172" t="inlineStr">
        <is>
          <t>SALA</t>
        </is>
      </c>
      <c r="G172" t="n">
        <v>9.6</v>
      </c>
      <c r="H172" t="n">
        <v>0</v>
      </c>
      <c r="I172" t="n">
        <v>0</v>
      </c>
      <c r="J172" t="n">
        <v>0</v>
      </c>
      <c r="K172" t="n">
        <v>0</v>
      </c>
      <c r="L172" t="n">
        <v>0</v>
      </c>
      <c r="M172" t="n">
        <v>0</v>
      </c>
      <c r="N172" t="n">
        <v>0</v>
      </c>
      <c r="O172" t="n">
        <v>0</v>
      </c>
      <c r="P172" t="n">
        <v>0</v>
      </c>
      <c r="Q172" t="n">
        <v>0</v>
      </c>
      <c r="R172" s="2" t="inlineStr"/>
    </row>
    <row r="173" ht="15" customHeight="1">
      <c r="A173" t="inlineStr">
        <is>
          <t>A 5750-2020</t>
        </is>
      </c>
      <c r="B173" s="1" t="n">
        <v>43864</v>
      </c>
      <c r="C173" s="1" t="n">
        <v>45766</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6185-2020</t>
        </is>
      </c>
      <c r="B174" s="1" t="n">
        <v>43865</v>
      </c>
      <c r="C174" s="1" t="n">
        <v>45766</v>
      </c>
      <c r="D174" t="inlineStr">
        <is>
          <t>VÄSTMANLANDS LÄN</t>
        </is>
      </c>
      <c r="E174" t="inlineStr">
        <is>
          <t>SALA</t>
        </is>
      </c>
      <c r="G174" t="n">
        <v>1.4</v>
      </c>
      <c r="H174" t="n">
        <v>0</v>
      </c>
      <c r="I174" t="n">
        <v>0</v>
      </c>
      <c r="J174" t="n">
        <v>0</v>
      </c>
      <c r="K174" t="n">
        <v>0</v>
      </c>
      <c r="L174" t="n">
        <v>0</v>
      </c>
      <c r="M174" t="n">
        <v>0</v>
      </c>
      <c r="N174" t="n">
        <v>0</v>
      </c>
      <c r="O174" t="n">
        <v>0</v>
      </c>
      <c r="P174" t="n">
        <v>0</v>
      </c>
      <c r="Q174" t="n">
        <v>0</v>
      </c>
      <c r="R174" s="2" t="inlineStr"/>
    </row>
    <row r="175" ht="15" customHeight="1">
      <c r="A175" t="inlineStr">
        <is>
          <t>A 7190-2020</t>
        </is>
      </c>
      <c r="B175" s="1" t="n">
        <v>43868</v>
      </c>
      <c r="C175" s="1" t="n">
        <v>45766</v>
      </c>
      <c r="D175" t="inlineStr">
        <is>
          <t>VÄSTMANLANDS LÄN</t>
        </is>
      </c>
      <c r="E175" t="inlineStr">
        <is>
          <t>SALA</t>
        </is>
      </c>
      <c r="G175" t="n">
        <v>4.5</v>
      </c>
      <c r="H175" t="n">
        <v>0</v>
      </c>
      <c r="I175" t="n">
        <v>0</v>
      </c>
      <c r="J175" t="n">
        <v>0</v>
      </c>
      <c r="K175" t="n">
        <v>0</v>
      </c>
      <c r="L175" t="n">
        <v>0</v>
      </c>
      <c r="M175" t="n">
        <v>0</v>
      </c>
      <c r="N175" t="n">
        <v>0</v>
      </c>
      <c r="O175" t="n">
        <v>0</v>
      </c>
      <c r="P175" t="n">
        <v>0</v>
      </c>
      <c r="Q175" t="n">
        <v>0</v>
      </c>
      <c r="R175" s="2" t="inlineStr"/>
    </row>
    <row r="176" ht="15" customHeight="1">
      <c r="A176" t="inlineStr">
        <is>
          <t>A 10010-2020</t>
        </is>
      </c>
      <c r="B176" s="1" t="n">
        <v>43882</v>
      </c>
      <c r="C176" s="1" t="n">
        <v>45766</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10276-2020</t>
        </is>
      </c>
      <c r="B177" s="1" t="n">
        <v>43885</v>
      </c>
      <c r="C177" s="1" t="n">
        <v>45766</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10811-2020</t>
        </is>
      </c>
      <c r="B178" s="1" t="n">
        <v>43888</v>
      </c>
      <c r="C178" s="1" t="n">
        <v>45766</v>
      </c>
      <c r="D178" t="inlineStr">
        <is>
          <t>VÄSTMANLANDS LÄN</t>
        </is>
      </c>
      <c r="E178" t="inlineStr">
        <is>
          <t>SALA</t>
        </is>
      </c>
      <c r="G178" t="n">
        <v>3.9</v>
      </c>
      <c r="H178" t="n">
        <v>0</v>
      </c>
      <c r="I178" t="n">
        <v>0</v>
      </c>
      <c r="J178" t="n">
        <v>0</v>
      </c>
      <c r="K178" t="n">
        <v>0</v>
      </c>
      <c r="L178" t="n">
        <v>0</v>
      </c>
      <c r="M178" t="n">
        <v>0</v>
      </c>
      <c r="N178" t="n">
        <v>0</v>
      </c>
      <c r="O178" t="n">
        <v>0</v>
      </c>
      <c r="P178" t="n">
        <v>0</v>
      </c>
      <c r="Q178" t="n">
        <v>0</v>
      </c>
      <c r="R178" s="2" t="inlineStr"/>
    </row>
    <row r="179" ht="15" customHeight="1">
      <c r="A179" t="inlineStr">
        <is>
          <t>A 14110-2020</t>
        </is>
      </c>
      <c r="B179" s="1" t="n">
        <v>43900</v>
      </c>
      <c r="C179" s="1" t="n">
        <v>45766</v>
      </c>
      <c r="D179" t="inlineStr">
        <is>
          <t>VÄSTMANLANDS LÄN</t>
        </is>
      </c>
      <c r="E179" t="inlineStr">
        <is>
          <t>SALA</t>
        </is>
      </c>
      <c r="G179" t="n">
        <v>2.5</v>
      </c>
      <c r="H179" t="n">
        <v>0</v>
      </c>
      <c r="I179" t="n">
        <v>0</v>
      </c>
      <c r="J179" t="n">
        <v>0</v>
      </c>
      <c r="K179" t="n">
        <v>0</v>
      </c>
      <c r="L179" t="n">
        <v>0</v>
      </c>
      <c r="M179" t="n">
        <v>0</v>
      </c>
      <c r="N179" t="n">
        <v>0</v>
      </c>
      <c r="O179" t="n">
        <v>0</v>
      </c>
      <c r="P179" t="n">
        <v>0</v>
      </c>
      <c r="Q179" t="n">
        <v>0</v>
      </c>
      <c r="R179" s="2" t="inlineStr"/>
    </row>
    <row r="180" ht="15" customHeight="1">
      <c r="A180" t="inlineStr">
        <is>
          <t>A 13643-2020</t>
        </is>
      </c>
      <c r="B180" s="1" t="n">
        <v>43903</v>
      </c>
      <c r="C180" s="1" t="n">
        <v>45766</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13936-2020</t>
        </is>
      </c>
      <c r="B181" s="1" t="n">
        <v>43903</v>
      </c>
      <c r="C181" s="1" t="n">
        <v>45766</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14049-2020</t>
        </is>
      </c>
      <c r="B182" s="1" t="n">
        <v>43906</v>
      </c>
      <c r="C182" s="1" t="n">
        <v>45766</v>
      </c>
      <c r="D182" t="inlineStr">
        <is>
          <t>VÄSTMANLANDS LÄN</t>
        </is>
      </c>
      <c r="E182" t="inlineStr">
        <is>
          <t>SALA</t>
        </is>
      </c>
      <c r="G182" t="n">
        <v>4.4</v>
      </c>
      <c r="H182" t="n">
        <v>0</v>
      </c>
      <c r="I182" t="n">
        <v>0</v>
      </c>
      <c r="J182" t="n">
        <v>0</v>
      </c>
      <c r="K182" t="n">
        <v>0</v>
      </c>
      <c r="L182" t="n">
        <v>0</v>
      </c>
      <c r="M182" t="n">
        <v>0</v>
      </c>
      <c r="N182" t="n">
        <v>0</v>
      </c>
      <c r="O182" t="n">
        <v>0</v>
      </c>
      <c r="P182" t="n">
        <v>0</v>
      </c>
      <c r="Q182" t="n">
        <v>0</v>
      </c>
      <c r="R182" s="2" t="inlineStr"/>
    </row>
    <row r="183" ht="15" customHeight="1">
      <c r="A183" t="inlineStr">
        <is>
          <t>A 14542-2020</t>
        </is>
      </c>
      <c r="B183" s="1" t="n">
        <v>43908</v>
      </c>
      <c r="C183" s="1" t="n">
        <v>45766</v>
      </c>
      <c r="D183" t="inlineStr">
        <is>
          <t>VÄSTMANLANDS LÄN</t>
        </is>
      </c>
      <c r="E183" t="inlineStr">
        <is>
          <t>SALA</t>
        </is>
      </c>
      <c r="G183" t="n">
        <v>4.1</v>
      </c>
      <c r="H183" t="n">
        <v>0</v>
      </c>
      <c r="I183" t="n">
        <v>0</v>
      </c>
      <c r="J183" t="n">
        <v>0</v>
      </c>
      <c r="K183" t="n">
        <v>0</v>
      </c>
      <c r="L183" t="n">
        <v>0</v>
      </c>
      <c r="M183" t="n">
        <v>0</v>
      </c>
      <c r="N183" t="n">
        <v>0</v>
      </c>
      <c r="O183" t="n">
        <v>0</v>
      </c>
      <c r="P183" t="n">
        <v>0</v>
      </c>
      <c r="Q183" t="n">
        <v>0</v>
      </c>
      <c r="R183" s="2" t="inlineStr"/>
    </row>
    <row r="184" ht="15" customHeight="1">
      <c r="A184" t="inlineStr">
        <is>
          <t>A 16480-2020</t>
        </is>
      </c>
      <c r="B184" s="1" t="n">
        <v>43914</v>
      </c>
      <c r="C184" s="1" t="n">
        <v>45766</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15850-2020</t>
        </is>
      </c>
      <c r="B185" s="1" t="n">
        <v>43915</v>
      </c>
      <c r="C185" s="1" t="n">
        <v>45766</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15748-2020</t>
        </is>
      </c>
      <c r="B186" s="1" t="n">
        <v>43915</v>
      </c>
      <c r="C186" s="1" t="n">
        <v>45766</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16093-2020</t>
        </is>
      </c>
      <c r="B187" s="1" t="n">
        <v>43916</v>
      </c>
      <c r="C187" s="1" t="n">
        <v>45766</v>
      </c>
      <c r="D187" t="inlineStr">
        <is>
          <t>VÄSTMANLANDS LÄN</t>
        </is>
      </c>
      <c r="E187" t="inlineStr">
        <is>
          <t>SALA</t>
        </is>
      </c>
      <c r="G187" t="n">
        <v>1.6</v>
      </c>
      <c r="H187" t="n">
        <v>0</v>
      </c>
      <c r="I187" t="n">
        <v>0</v>
      </c>
      <c r="J187" t="n">
        <v>0</v>
      </c>
      <c r="K187" t="n">
        <v>0</v>
      </c>
      <c r="L187" t="n">
        <v>0</v>
      </c>
      <c r="M187" t="n">
        <v>0</v>
      </c>
      <c r="N187" t="n">
        <v>0</v>
      </c>
      <c r="O187" t="n">
        <v>0</v>
      </c>
      <c r="P187" t="n">
        <v>0</v>
      </c>
      <c r="Q187" t="n">
        <v>0</v>
      </c>
      <c r="R187" s="2" t="inlineStr"/>
    </row>
    <row r="188" ht="15" customHeight="1">
      <c r="A188" t="inlineStr">
        <is>
          <t>A 17139-2020</t>
        </is>
      </c>
      <c r="B188" s="1" t="n">
        <v>43922</v>
      </c>
      <c r="C188" s="1" t="n">
        <v>45766</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17205-2020</t>
        </is>
      </c>
      <c r="B189" s="1" t="n">
        <v>43922</v>
      </c>
      <c r="C189" s="1" t="n">
        <v>45766</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17355-2020</t>
        </is>
      </c>
      <c r="B190" s="1" t="n">
        <v>43923</v>
      </c>
      <c r="C190" s="1" t="n">
        <v>45766</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17492-2020</t>
        </is>
      </c>
      <c r="B191" s="1" t="n">
        <v>43923</v>
      </c>
      <c r="C191" s="1" t="n">
        <v>45766</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18772-2020</t>
        </is>
      </c>
      <c r="B192" s="1" t="n">
        <v>43930</v>
      </c>
      <c r="C192" s="1" t="n">
        <v>45766</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19071-2020</t>
        </is>
      </c>
      <c r="B193" s="1" t="n">
        <v>43936</v>
      </c>
      <c r="C193" s="1" t="n">
        <v>45766</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19480-2020</t>
        </is>
      </c>
      <c r="B194" s="1" t="n">
        <v>43936</v>
      </c>
      <c r="C194" s="1" t="n">
        <v>45766</v>
      </c>
      <c r="D194" t="inlineStr">
        <is>
          <t>VÄSTMANLANDS LÄN</t>
        </is>
      </c>
      <c r="E194" t="inlineStr">
        <is>
          <t>SALA</t>
        </is>
      </c>
      <c r="G194" t="n">
        <v>4.8</v>
      </c>
      <c r="H194" t="n">
        <v>0</v>
      </c>
      <c r="I194" t="n">
        <v>0</v>
      </c>
      <c r="J194" t="n">
        <v>0</v>
      </c>
      <c r="K194" t="n">
        <v>0</v>
      </c>
      <c r="L194" t="n">
        <v>0</v>
      </c>
      <c r="M194" t="n">
        <v>0</v>
      </c>
      <c r="N194" t="n">
        <v>0</v>
      </c>
      <c r="O194" t="n">
        <v>0</v>
      </c>
      <c r="P194" t="n">
        <v>0</v>
      </c>
      <c r="Q194" t="n">
        <v>0</v>
      </c>
      <c r="R194" s="2" t="inlineStr"/>
    </row>
    <row r="195" ht="15" customHeight="1">
      <c r="A195" t="inlineStr">
        <is>
          <t>A 22305-2020</t>
        </is>
      </c>
      <c r="B195" s="1" t="n">
        <v>43957</v>
      </c>
      <c r="C195" s="1" t="n">
        <v>45766</v>
      </c>
      <c r="D195" t="inlineStr">
        <is>
          <t>VÄSTMANLANDS LÄN</t>
        </is>
      </c>
      <c r="E195" t="inlineStr">
        <is>
          <t>SALA</t>
        </is>
      </c>
      <c r="G195" t="n">
        <v>2.9</v>
      </c>
      <c r="H195" t="n">
        <v>0</v>
      </c>
      <c r="I195" t="n">
        <v>0</v>
      </c>
      <c r="J195" t="n">
        <v>0</v>
      </c>
      <c r="K195" t="n">
        <v>0</v>
      </c>
      <c r="L195" t="n">
        <v>0</v>
      </c>
      <c r="M195" t="n">
        <v>0</v>
      </c>
      <c r="N195" t="n">
        <v>0</v>
      </c>
      <c r="O195" t="n">
        <v>0</v>
      </c>
      <c r="P195" t="n">
        <v>0</v>
      </c>
      <c r="Q195" t="n">
        <v>0</v>
      </c>
      <c r="R195" s="2" t="inlineStr"/>
    </row>
    <row r="196" ht="15" customHeight="1">
      <c r="A196" t="inlineStr">
        <is>
          <t>A 22058-2020</t>
        </is>
      </c>
      <c r="B196" s="1" t="n">
        <v>43959</v>
      </c>
      <c r="C196" s="1" t="n">
        <v>45766</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24235-2020</t>
        </is>
      </c>
      <c r="B197" s="1" t="n">
        <v>43976</v>
      </c>
      <c r="C197" s="1" t="n">
        <v>45766</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24763-2020</t>
        </is>
      </c>
      <c r="B198" s="1" t="n">
        <v>43978</v>
      </c>
      <c r="C198" s="1" t="n">
        <v>45766</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26098-2020</t>
        </is>
      </c>
      <c r="B199" s="1" t="n">
        <v>43985</v>
      </c>
      <c r="C199" s="1" t="n">
        <v>45766</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26425-2020</t>
        </is>
      </c>
      <c r="B200" s="1" t="n">
        <v>43987</v>
      </c>
      <c r="C200" s="1" t="n">
        <v>45766</v>
      </c>
      <c r="D200" t="inlineStr">
        <is>
          <t>VÄSTMANLANDS LÄN</t>
        </is>
      </c>
      <c r="E200" t="inlineStr">
        <is>
          <t>SALA</t>
        </is>
      </c>
      <c r="G200" t="n">
        <v>6.3</v>
      </c>
      <c r="H200" t="n">
        <v>0</v>
      </c>
      <c r="I200" t="n">
        <v>0</v>
      </c>
      <c r="J200" t="n">
        <v>0</v>
      </c>
      <c r="K200" t="n">
        <v>0</v>
      </c>
      <c r="L200" t="n">
        <v>0</v>
      </c>
      <c r="M200" t="n">
        <v>0</v>
      </c>
      <c r="N200" t="n">
        <v>0</v>
      </c>
      <c r="O200" t="n">
        <v>0</v>
      </c>
      <c r="P200" t="n">
        <v>0</v>
      </c>
      <c r="Q200" t="n">
        <v>0</v>
      </c>
      <c r="R200" s="2" t="inlineStr"/>
    </row>
    <row r="201" ht="15" customHeight="1">
      <c r="A201" t="inlineStr">
        <is>
          <t>A 26937-2020</t>
        </is>
      </c>
      <c r="B201" s="1" t="n">
        <v>43990</v>
      </c>
      <c r="C201" s="1" t="n">
        <v>45766</v>
      </c>
      <c r="D201" t="inlineStr">
        <is>
          <t>VÄSTMANLANDS LÄN</t>
        </is>
      </c>
      <c r="E201" t="inlineStr">
        <is>
          <t>SALA</t>
        </is>
      </c>
      <c r="F201" t="inlineStr">
        <is>
          <t>Bergvik skog öst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27730-2020</t>
        </is>
      </c>
      <c r="B202" s="1" t="n">
        <v>43994</v>
      </c>
      <c r="C202" s="1" t="n">
        <v>45766</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29845-2020</t>
        </is>
      </c>
      <c r="B203" s="1" t="n">
        <v>44005</v>
      </c>
      <c r="C203" s="1" t="n">
        <v>45766</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29821-2020</t>
        </is>
      </c>
      <c r="B204" s="1" t="n">
        <v>44005</v>
      </c>
      <c r="C204" s="1" t="n">
        <v>45766</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29925-2020</t>
        </is>
      </c>
      <c r="B205" s="1" t="n">
        <v>44006</v>
      </c>
      <c r="C205" s="1" t="n">
        <v>45766</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30327-2020</t>
        </is>
      </c>
      <c r="B206" s="1" t="n">
        <v>44007</v>
      </c>
      <c r="C206" s="1" t="n">
        <v>45766</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32371-2020</t>
        </is>
      </c>
      <c r="B207" s="1" t="n">
        <v>44018</v>
      </c>
      <c r="C207" s="1" t="n">
        <v>45766</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32367-2020</t>
        </is>
      </c>
      <c r="B208" s="1" t="n">
        <v>44018</v>
      </c>
      <c r="C208" s="1" t="n">
        <v>45766</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32368-2020</t>
        </is>
      </c>
      <c r="B209" s="1" t="n">
        <v>44018</v>
      </c>
      <c r="C209" s="1" t="n">
        <v>45766</v>
      </c>
      <c r="D209" t="inlineStr">
        <is>
          <t>VÄSTMANLANDS LÄN</t>
        </is>
      </c>
      <c r="E209" t="inlineStr">
        <is>
          <t>SALA</t>
        </is>
      </c>
      <c r="G209" t="n">
        <v>3.4</v>
      </c>
      <c r="H209" t="n">
        <v>0</v>
      </c>
      <c r="I209" t="n">
        <v>0</v>
      </c>
      <c r="J209" t="n">
        <v>0</v>
      </c>
      <c r="K209" t="n">
        <v>0</v>
      </c>
      <c r="L209" t="n">
        <v>0</v>
      </c>
      <c r="M209" t="n">
        <v>0</v>
      </c>
      <c r="N209" t="n">
        <v>0</v>
      </c>
      <c r="O209" t="n">
        <v>0</v>
      </c>
      <c r="P209" t="n">
        <v>0</v>
      </c>
      <c r="Q209" t="n">
        <v>0</v>
      </c>
      <c r="R209" s="2" t="inlineStr"/>
    </row>
    <row r="210" ht="15" customHeight="1">
      <c r="A210" t="inlineStr">
        <is>
          <t>A 32377-2020</t>
        </is>
      </c>
      <c r="B210" s="1" t="n">
        <v>44018</v>
      </c>
      <c r="C210" s="1" t="n">
        <v>45766</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33181-2020</t>
        </is>
      </c>
      <c r="B211" s="1" t="n">
        <v>44021</v>
      </c>
      <c r="C211" s="1" t="n">
        <v>45766</v>
      </c>
      <c r="D211" t="inlineStr">
        <is>
          <t>VÄSTMANLANDS LÄN</t>
        </is>
      </c>
      <c r="E211" t="inlineStr">
        <is>
          <t>SALA</t>
        </is>
      </c>
      <c r="G211" t="n">
        <v>2.8</v>
      </c>
      <c r="H211" t="n">
        <v>0</v>
      </c>
      <c r="I211" t="n">
        <v>0</v>
      </c>
      <c r="J211" t="n">
        <v>0</v>
      </c>
      <c r="K211" t="n">
        <v>0</v>
      </c>
      <c r="L211" t="n">
        <v>0</v>
      </c>
      <c r="M211" t="n">
        <v>0</v>
      </c>
      <c r="N211" t="n">
        <v>0</v>
      </c>
      <c r="O211" t="n">
        <v>0</v>
      </c>
      <c r="P211" t="n">
        <v>0</v>
      </c>
      <c r="Q211" t="n">
        <v>0</v>
      </c>
      <c r="R211" s="2" t="inlineStr"/>
    </row>
    <row r="212" ht="15" customHeight="1">
      <c r="A212" t="inlineStr">
        <is>
          <t>A 34430-2020</t>
        </is>
      </c>
      <c r="B212" s="1" t="n">
        <v>44032</v>
      </c>
      <c r="C212" s="1" t="n">
        <v>45766</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34429-2020</t>
        </is>
      </c>
      <c r="B213" s="1" t="n">
        <v>44032</v>
      </c>
      <c r="C213" s="1" t="n">
        <v>45766</v>
      </c>
      <c r="D213" t="inlineStr">
        <is>
          <t>VÄSTMANLANDS LÄN</t>
        </is>
      </c>
      <c r="E213" t="inlineStr">
        <is>
          <t>SALA</t>
        </is>
      </c>
      <c r="G213" t="n">
        <v>3.6</v>
      </c>
      <c r="H213" t="n">
        <v>0</v>
      </c>
      <c r="I213" t="n">
        <v>0</v>
      </c>
      <c r="J213" t="n">
        <v>0</v>
      </c>
      <c r="K213" t="n">
        <v>0</v>
      </c>
      <c r="L213" t="n">
        <v>0</v>
      </c>
      <c r="M213" t="n">
        <v>0</v>
      </c>
      <c r="N213" t="n">
        <v>0</v>
      </c>
      <c r="O213" t="n">
        <v>0</v>
      </c>
      <c r="P213" t="n">
        <v>0</v>
      </c>
      <c r="Q213" t="n">
        <v>0</v>
      </c>
      <c r="R213" s="2" t="inlineStr"/>
    </row>
    <row r="214" ht="15" customHeight="1">
      <c r="A214" t="inlineStr">
        <is>
          <t>A 37008-2020</t>
        </is>
      </c>
      <c r="B214" s="1" t="n">
        <v>44054</v>
      </c>
      <c r="C214" s="1" t="n">
        <v>45766</v>
      </c>
      <c r="D214" t="inlineStr">
        <is>
          <t>VÄSTMANLANDS LÄN</t>
        </is>
      </c>
      <c r="E214" t="inlineStr">
        <is>
          <t>SALA</t>
        </is>
      </c>
      <c r="F214" t="inlineStr">
        <is>
          <t>Kommuner</t>
        </is>
      </c>
      <c r="G214" t="n">
        <v>5.5</v>
      </c>
      <c r="H214" t="n">
        <v>0</v>
      </c>
      <c r="I214" t="n">
        <v>0</v>
      </c>
      <c r="J214" t="n">
        <v>0</v>
      </c>
      <c r="K214" t="n">
        <v>0</v>
      </c>
      <c r="L214" t="n">
        <v>0</v>
      </c>
      <c r="M214" t="n">
        <v>0</v>
      </c>
      <c r="N214" t="n">
        <v>0</v>
      </c>
      <c r="O214" t="n">
        <v>0</v>
      </c>
      <c r="P214" t="n">
        <v>0</v>
      </c>
      <c r="Q214" t="n">
        <v>0</v>
      </c>
      <c r="R214" s="2" t="inlineStr"/>
    </row>
    <row r="215" ht="15" customHeight="1">
      <c r="A215" t="inlineStr">
        <is>
          <t>A 37098-2020</t>
        </is>
      </c>
      <c r="B215" s="1" t="n">
        <v>44054</v>
      </c>
      <c r="C215" s="1" t="n">
        <v>45766</v>
      </c>
      <c r="D215" t="inlineStr">
        <is>
          <t>VÄSTMANLANDS LÄN</t>
        </is>
      </c>
      <c r="E215" t="inlineStr">
        <is>
          <t>SALA</t>
        </is>
      </c>
      <c r="F215" t="inlineStr">
        <is>
          <t>Kommuner</t>
        </is>
      </c>
      <c r="G215" t="n">
        <v>3.8</v>
      </c>
      <c r="H215" t="n">
        <v>0</v>
      </c>
      <c r="I215" t="n">
        <v>0</v>
      </c>
      <c r="J215" t="n">
        <v>0</v>
      </c>
      <c r="K215" t="n">
        <v>0</v>
      </c>
      <c r="L215" t="n">
        <v>0</v>
      </c>
      <c r="M215" t="n">
        <v>0</v>
      </c>
      <c r="N215" t="n">
        <v>0</v>
      </c>
      <c r="O215" t="n">
        <v>0</v>
      </c>
      <c r="P215" t="n">
        <v>0</v>
      </c>
      <c r="Q215" t="n">
        <v>0</v>
      </c>
      <c r="R215" s="2" t="inlineStr"/>
    </row>
    <row r="216" ht="15" customHeight="1">
      <c r="A216" t="inlineStr">
        <is>
          <t>A 37150-2020</t>
        </is>
      </c>
      <c r="B216" s="1" t="n">
        <v>44054</v>
      </c>
      <c r="C216" s="1" t="n">
        <v>45766</v>
      </c>
      <c r="D216" t="inlineStr">
        <is>
          <t>VÄSTMANLANDS LÄN</t>
        </is>
      </c>
      <c r="E216" t="inlineStr">
        <is>
          <t>SALA</t>
        </is>
      </c>
      <c r="F216" t="inlineStr">
        <is>
          <t>Kommuner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38579-2020</t>
        </is>
      </c>
      <c r="B217" s="1" t="n">
        <v>44061</v>
      </c>
      <c r="C217" s="1" t="n">
        <v>45766</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38713-2020</t>
        </is>
      </c>
      <c r="B218" s="1" t="n">
        <v>44061</v>
      </c>
      <c r="C218" s="1" t="n">
        <v>45766</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39519-2020</t>
        </is>
      </c>
      <c r="B219" s="1" t="n">
        <v>44064</v>
      </c>
      <c r="C219" s="1" t="n">
        <v>45766</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39818-2020</t>
        </is>
      </c>
      <c r="B220" s="1" t="n">
        <v>44067</v>
      </c>
      <c r="C220" s="1" t="n">
        <v>45766</v>
      </c>
      <c r="D220" t="inlineStr">
        <is>
          <t>VÄSTMANLANDS LÄN</t>
        </is>
      </c>
      <c r="E220" t="inlineStr">
        <is>
          <t>SALA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41493-2020</t>
        </is>
      </c>
      <c r="B221" s="1" t="n">
        <v>44074</v>
      </c>
      <c r="C221" s="1" t="n">
        <v>45766</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41485-2020</t>
        </is>
      </c>
      <c r="B222" s="1" t="n">
        <v>44074</v>
      </c>
      <c r="C222" s="1" t="n">
        <v>45766</v>
      </c>
      <c r="D222" t="inlineStr">
        <is>
          <t>VÄSTMANLANDS LÄN</t>
        </is>
      </c>
      <c r="E222" t="inlineStr">
        <is>
          <t>SALA</t>
        </is>
      </c>
      <c r="G222" t="n">
        <v>4.7</v>
      </c>
      <c r="H222" t="n">
        <v>0</v>
      </c>
      <c r="I222" t="n">
        <v>0</v>
      </c>
      <c r="J222" t="n">
        <v>0</v>
      </c>
      <c r="K222" t="n">
        <v>0</v>
      </c>
      <c r="L222" t="n">
        <v>0</v>
      </c>
      <c r="M222" t="n">
        <v>0</v>
      </c>
      <c r="N222" t="n">
        <v>0</v>
      </c>
      <c r="O222" t="n">
        <v>0</v>
      </c>
      <c r="P222" t="n">
        <v>0</v>
      </c>
      <c r="Q222" t="n">
        <v>0</v>
      </c>
      <c r="R222" s="2" t="inlineStr"/>
    </row>
    <row r="223" ht="15" customHeight="1">
      <c r="A223" t="inlineStr">
        <is>
          <t>A 42344-2020</t>
        </is>
      </c>
      <c r="B223" s="1" t="n">
        <v>44076</v>
      </c>
      <c r="C223" s="1" t="n">
        <v>45766</v>
      </c>
      <c r="D223" t="inlineStr">
        <is>
          <t>VÄSTMANLANDS LÄN</t>
        </is>
      </c>
      <c r="E223" t="inlineStr">
        <is>
          <t>SALA</t>
        </is>
      </c>
      <c r="G223" t="n">
        <v>5.1</v>
      </c>
      <c r="H223" t="n">
        <v>0</v>
      </c>
      <c r="I223" t="n">
        <v>0</v>
      </c>
      <c r="J223" t="n">
        <v>0</v>
      </c>
      <c r="K223" t="n">
        <v>0</v>
      </c>
      <c r="L223" t="n">
        <v>0</v>
      </c>
      <c r="M223" t="n">
        <v>0</v>
      </c>
      <c r="N223" t="n">
        <v>0</v>
      </c>
      <c r="O223" t="n">
        <v>0</v>
      </c>
      <c r="P223" t="n">
        <v>0</v>
      </c>
      <c r="Q223" t="n">
        <v>0</v>
      </c>
      <c r="R223" s="2" t="inlineStr"/>
    </row>
    <row r="224" ht="15" customHeight="1">
      <c r="A224" t="inlineStr">
        <is>
          <t>A 42345-2020</t>
        </is>
      </c>
      <c r="B224" s="1" t="n">
        <v>44076</v>
      </c>
      <c r="C224" s="1" t="n">
        <v>45766</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42346-2020</t>
        </is>
      </c>
      <c r="B225" s="1" t="n">
        <v>44076</v>
      </c>
      <c r="C225" s="1" t="n">
        <v>45766</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43349-2020</t>
        </is>
      </c>
      <c r="B226" s="1" t="n">
        <v>44081</v>
      </c>
      <c r="C226" s="1" t="n">
        <v>45766</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44652-2020</t>
        </is>
      </c>
      <c r="B227" s="1" t="n">
        <v>44085</v>
      </c>
      <c r="C227" s="1" t="n">
        <v>45766</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44950-2020</t>
        </is>
      </c>
      <c r="B228" s="1" t="n">
        <v>44088</v>
      </c>
      <c r="C228" s="1" t="n">
        <v>45766</v>
      </c>
      <c r="D228" t="inlineStr">
        <is>
          <t>VÄSTMANLANDS LÄN</t>
        </is>
      </c>
      <c r="E228" t="inlineStr">
        <is>
          <t>SALA</t>
        </is>
      </c>
      <c r="G228" t="n">
        <v>9</v>
      </c>
      <c r="H228" t="n">
        <v>0</v>
      </c>
      <c r="I228" t="n">
        <v>0</v>
      </c>
      <c r="J228" t="n">
        <v>0</v>
      </c>
      <c r="K228" t="n">
        <v>0</v>
      </c>
      <c r="L228" t="n">
        <v>0</v>
      </c>
      <c r="M228" t="n">
        <v>0</v>
      </c>
      <c r="N228" t="n">
        <v>0</v>
      </c>
      <c r="O228" t="n">
        <v>0</v>
      </c>
      <c r="P228" t="n">
        <v>0</v>
      </c>
      <c r="Q228" t="n">
        <v>0</v>
      </c>
      <c r="R228" s="2" t="inlineStr"/>
    </row>
    <row r="229" ht="15" customHeight="1">
      <c r="A229" t="inlineStr">
        <is>
          <t>A 46965-2020</t>
        </is>
      </c>
      <c r="B229" s="1" t="n">
        <v>44096</v>
      </c>
      <c r="C229" s="1" t="n">
        <v>45766</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47054-2020</t>
        </is>
      </c>
      <c r="B230" s="1" t="n">
        <v>44096</v>
      </c>
      <c r="C230" s="1" t="n">
        <v>45766</v>
      </c>
      <c r="D230" t="inlineStr">
        <is>
          <t>VÄSTMANLANDS LÄN</t>
        </is>
      </c>
      <c r="E230" t="inlineStr">
        <is>
          <t>SALA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47208-2020</t>
        </is>
      </c>
      <c r="B231" s="1" t="n">
        <v>44097</v>
      </c>
      <c r="C231" s="1" t="n">
        <v>45766</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50559-2020</t>
        </is>
      </c>
      <c r="B232" s="1" t="n">
        <v>44110</v>
      </c>
      <c r="C232" s="1" t="n">
        <v>45766</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50801-2020</t>
        </is>
      </c>
      <c r="B233" s="1" t="n">
        <v>44111</v>
      </c>
      <c r="C233" s="1" t="n">
        <v>45766</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50818-2020</t>
        </is>
      </c>
      <c r="B234" s="1" t="n">
        <v>44111</v>
      </c>
      <c r="C234" s="1" t="n">
        <v>45766</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54322-2020</t>
        </is>
      </c>
      <c r="B235" s="1" t="n">
        <v>44126</v>
      </c>
      <c r="C235" s="1" t="n">
        <v>45766</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54923-2020</t>
        </is>
      </c>
      <c r="B236" s="1" t="n">
        <v>44127</v>
      </c>
      <c r="C236" s="1" t="n">
        <v>45766</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54931-2020</t>
        </is>
      </c>
      <c r="B237" s="1" t="n">
        <v>44127</v>
      </c>
      <c r="C237" s="1" t="n">
        <v>45766</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55439-2020</t>
        </is>
      </c>
      <c r="B238" s="1" t="n">
        <v>44130</v>
      </c>
      <c r="C238" s="1" t="n">
        <v>45766</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55881-2020</t>
        </is>
      </c>
      <c r="B239" s="1" t="n">
        <v>44132</v>
      </c>
      <c r="C239" s="1" t="n">
        <v>45766</v>
      </c>
      <c r="D239" t="inlineStr">
        <is>
          <t>VÄSTMANLANDS LÄN</t>
        </is>
      </c>
      <c r="E239" t="inlineStr">
        <is>
          <t>SALA</t>
        </is>
      </c>
      <c r="G239" t="n">
        <v>3</v>
      </c>
      <c r="H239" t="n">
        <v>0</v>
      </c>
      <c r="I239" t="n">
        <v>0</v>
      </c>
      <c r="J239" t="n">
        <v>0</v>
      </c>
      <c r="K239" t="n">
        <v>0</v>
      </c>
      <c r="L239" t="n">
        <v>0</v>
      </c>
      <c r="M239" t="n">
        <v>0</v>
      </c>
      <c r="N239" t="n">
        <v>0</v>
      </c>
      <c r="O239" t="n">
        <v>0</v>
      </c>
      <c r="P239" t="n">
        <v>0</v>
      </c>
      <c r="Q239" t="n">
        <v>0</v>
      </c>
      <c r="R239" s="2" t="inlineStr"/>
    </row>
    <row r="240" ht="15" customHeight="1">
      <c r="A240" t="inlineStr">
        <is>
          <t>A 56134-2020</t>
        </is>
      </c>
      <c r="B240" s="1" t="n">
        <v>44132</v>
      </c>
      <c r="C240" s="1" t="n">
        <v>45766</v>
      </c>
      <c r="D240" t="inlineStr">
        <is>
          <t>VÄSTMANLANDS LÄN</t>
        </is>
      </c>
      <c r="E240" t="inlineStr">
        <is>
          <t>SALA</t>
        </is>
      </c>
      <c r="G240" t="n">
        <v>4.7</v>
      </c>
      <c r="H240" t="n">
        <v>0</v>
      </c>
      <c r="I240" t="n">
        <v>0</v>
      </c>
      <c r="J240" t="n">
        <v>0</v>
      </c>
      <c r="K240" t="n">
        <v>0</v>
      </c>
      <c r="L240" t="n">
        <v>0</v>
      </c>
      <c r="M240" t="n">
        <v>0</v>
      </c>
      <c r="N240" t="n">
        <v>0</v>
      </c>
      <c r="O240" t="n">
        <v>0</v>
      </c>
      <c r="P240" t="n">
        <v>0</v>
      </c>
      <c r="Q240" t="n">
        <v>0</v>
      </c>
      <c r="R240" s="2" t="inlineStr"/>
    </row>
    <row r="241" ht="15" customHeight="1">
      <c r="A241" t="inlineStr">
        <is>
          <t>A 56098-2020</t>
        </is>
      </c>
      <c r="B241" s="1" t="n">
        <v>44132</v>
      </c>
      <c r="C241" s="1" t="n">
        <v>45766</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57800-2020</t>
        </is>
      </c>
      <c r="B242" s="1" t="n">
        <v>44141</v>
      </c>
      <c r="C242" s="1" t="n">
        <v>45766</v>
      </c>
      <c r="D242" t="inlineStr">
        <is>
          <t>VÄSTMANLANDS LÄN</t>
        </is>
      </c>
      <c r="E242" t="inlineStr">
        <is>
          <t>SALA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58314-2020</t>
        </is>
      </c>
      <c r="B243" s="1" t="n">
        <v>44145</v>
      </c>
      <c r="C243" s="1" t="n">
        <v>45766</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58781-2020</t>
        </is>
      </c>
      <c r="B244" s="1" t="n">
        <v>44146</v>
      </c>
      <c r="C244" s="1" t="n">
        <v>45766</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58912-2020</t>
        </is>
      </c>
      <c r="B245" s="1" t="n">
        <v>44146</v>
      </c>
      <c r="C245" s="1" t="n">
        <v>45766</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61415-2020</t>
        </is>
      </c>
      <c r="B246" s="1" t="n">
        <v>44156</v>
      </c>
      <c r="C246" s="1" t="n">
        <v>45766</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62275-2020</t>
        </is>
      </c>
      <c r="B247" s="1" t="n">
        <v>44158</v>
      </c>
      <c r="C247" s="1" t="n">
        <v>45766</v>
      </c>
      <c r="D247" t="inlineStr">
        <is>
          <t>VÄSTMANLANDS LÄN</t>
        </is>
      </c>
      <c r="E247" t="inlineStr">
        <is>
          <t>SALA</t>
        </is>
      </c>
      <c r="G247" t="n">
        <v>4.9</v>
      </c>
      <c r="H247" t="n">
        <v>0</v>
      </c>
      <c r="I247" t="n">
        <v>0</v>
      </c>
      <c r="J247" t="n">
        <v>0</v>
      </c>
      <c r="K247" t="n">
        <v>0</v>
      </c>
      <c r="L247" t="n">
        <v>0</v>
      </c>
      <c r="M247" t="n">
        <v>0</v>
      </c>
      <c r="N247" t="n">
        <v>0</v>
      </c>
      <c r="O247" t="n">
        <v>0</v>
      </c>
      <c r="P247" t="n">
        <v>0</v>
      </c>
      <c r="Q247" t="n">
        <v>0</v>
      </c>
      <c r="R247" s="2" t="inlineStr"/>
    </row>
    <row r="248" ht="15" customHeight="1">
      <c r="A248" t="inlineStr">
        <is>
          <t>A 62680-2020</t>
        </is>
      </c>
      <c r="B248" s="1" t="n">
        <v>44161</v>
      </c>
      <c r="C248" s="1" t="n">
        <v>45766</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64940-2020</t>
        </is>
      </c>
      <c r="B249" s="1" t="n">
        <v>44172</v>
      </c>
      <c r="C249" s="1" t="n">
        <v>45766</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66821-2020</t>
        </is>
      </c>
      <c r="B250" s="1" t="n">
        <v>44179</v>
      </c>
      <c r="C250" s="1" t="n">
        <v>45766</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68113-2020</t>
        </is>
      </c>
      <c r="B251" s="1" t="n">
        <v>44182</v>
      </c>
      <c r="C251" s="1" t="n">
        <v>45766</v>
      </c>
      <c r="D251" t="inlineStr">
        <is>
          <t>VÄSTMANLANDS LÄN</t>
        </is>
      </c>
      <c r="E251" t="inlineStr">
        <is>
          <t>SALA</t>
        </is>
      </c>
      <c r="G251" t="n">
        <v>3.6</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45766</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69192-2020</t>
        </is>
      </c>
      <c r="B253" s="1" t="n">
        <v>44191</v>
      </c>
      <c r="C253" s="1" t="n">
        <v>45766</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69195-2020</t>
        </is>
      </c>
      <c r="B254" s="1" t="n">
        <v>44191</v>
      </c>
      <c r="C254" s="1" t="n">
        <v>45766</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69319-2020</t>
        </is>
      </c>
      <c r="B255" s="1" t="n">
        <v>44193</v>
      </c>
      <c r="C255" s="1" t="n">
        <v>45766</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69318-2020</t>
        </is>
      </c>
      <c r="B256" s="1" t="n">
        <v>44193</v>
      </c>
      <c r="C256" s="1" t="n">
        <v>45766</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1599-2021</t>
        </is>
      </c>
      <c r="B257" s="1" t="n">
        <v>44209</v>
      </c>
      <c r="C257" s="1" t="n">
        <v>45766</v>
      </c>
      <c r="D257" t="inlineStr">
        <is>
          <t>VÄSTMANLANDS LÄN</t>
        </is>
      </c>
      <c r="E257" t="inlineStr">
        <is>
          <t>SALA</t>
        </is>
      </c>
      <c r="G257" t="n">
        <v>9.6</v>
      </c>
      <c r="H257" t="n">
        <v>0</v>
      </c>
      <c r="I257" t="n">
        <v>0</v>
      </c>
      <c r="J257" t="n">
        <v>0</v>
      </c>
      <c r="K257" t="n">
        <v>0</v>
      </c>
      <c r="L257" t="n">
        <v>0</v>
      </c>
      <c r="M257" t="n">
        <v>0</v>
      </c>
      <c r="N257" t="n">
        <v>0</v>
      </c>
      <c r="O257" t="n">
        <v>0</v>
      </c>
      <c r="P257" t="n">
        <v>0</v>
      </c>
      <c r="Q257" t="n">
        <v>0</v>
      </c>
      <c r="R257" s="2" t="inlineStr"/>
      <c r="U257">
        <f>HYPERLINK("https://klasma.github.io/Logging_1981/knärot/A 1599-2021 karta knärot.png", "A 1599-2021")</f>
        <v/>
      </c>
      <c r="V257">
        <f>HYPERLINK("https://klasma.github.io/Logging_1981/klagomål/A 1599-2021 FSC-klagomål.docx", "A 1599-2021")</f>
        <v/>
      </c>
      <c r="W257">
        <f>HYPERLINK("https://klasma.github.io/Logging_1981/klagomålsmail/A 1599-2021 FSC-klagomål mail.docx", "A 1599-2021")</f>
        <v/>
      </c>
      <c r="X257">
        <f>HYPERLINK("https://klasma.github.io/Logging_1981/tillsyn/A 1599-2021 tillsynsbegäran.docx", "A 1599-2021")</f>
        <v/>
      </c>
      <c r="Y257">
        <f>HYPERLINK("https://klasma.github.io/Logging_1981/tillsynsmail/A 1599-2021 tillsynsbegäran mail.docx", "A 1599-2021")</f>
        <v/>
      </c>
    </row>
    <row r="258" ht="15" customHeight="1">
      <c r="A258" t="inlineStr">
        <is>
          <t>A 2443-2021</t>
        </is>
      </c>
      <c r="B258" s="1" t="n">
        <v>44214</v>
      </c>
      <c r="C258" s="1" t="n">
        <v>45766</v>
      </c>
      <c r="D258" t="inlineStr">
        <is>
          <t>VÄSTMANLANDS LÄN</t>
        </is>
      </c>
      <c r="E258" t="inlineStr">
        <is>
          <t>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4736-2021</t>
        </is>
      </c>
      <c r="B259" s="1" t="n">
        <v>44225</v>
      </c>
      <c r="C259" s="1" t="n">
        <v>45766</v>
      </c>
      <c r="D259" t="inlineStr">
        <is>
          <t>VÄSTMANLANDS LÄN</t>
        </is>
      </c>
      <c r="E259" t="inlineStr">
        <is>
          <t>SALA</t>
        </is>
      </c>
      <c r="G259" t="n">
        <v>4.2</v>
      </c>
      <c r="H259" t="n">
        <v>0</v>
      </c>
      <c r="I259" t="n">
        <v>0</v>
      </c>
      <c r="J259" t="n">
        <v>0</v>
      </c>
      <c r="K259" t="n">
        <v>0</v>
      </c>
      <c r="L259" t="n">
        <v>0</v>
      </c>
      <c r="M259" t="n">
        <v>0</v>
      </c>
      <c r="N259" t="n">
        <v>0</v>
      </c>
      <c r="O259" t="n">
        <v>0</v>
      </c>
      <c r="P259" t="n">
        <v>0</v>
      </c>
      <c r="Q259" t="n">
        <v>0</v>
      </c>
      <c r="R259" s="2" t="inlineStr"/>
    </row>
    <row r="260" ht="15" customHeight="1">
      <c r="A260" t="inlineStr">
        <is>
          <t>A 6088-2021</t>
        </is>
      </c>
      <c r="B260" s="1" t="n">
        <v>44232</v>
      </c>
      <c r="C260" s="1" t="n">
        <v>45766</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6308-2021</t>
        </is>
      </c>
      <c r="B261" s="1" t="n">
        <v>44235</v>
      </c>
      <c r="C261" s="1" t="n">
        <v>45766</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45766</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7968-2021</t>
        </is>
      </c>
      <c r="B263" s="1" t="n">
        <v>44243</v>
      </c>
      <c r="C263" s="1" t="n">
        <v>45766</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7955-2021</t>
        </is>
      </c>
      <c r="B264" s="1" t="n">
        <v>44243</v>
      </c>
      <c r="C264" s="1" t="n">
        <v>45766</v>
      </c>
      <c r="D264" t="inlineStr">
        <is>
          <t>VÄSTMANLANDS LÄN</t>
        </is>
      </c>
      <c r="E264" t="inlineStr">
        <is>
          <t>SALA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8513-2021</t>
        </is>
      </c>
      <c r="B265" s="1" t="n">
        <v>44244</v>
      </c>
      <c r="C265" s="1" t="n">
        <v>45766</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10154-2021</t>
        </is>
      </c>
      <c r="B266" s="1" t="n">
        <v>44256</v>
      </c>
      <c r="C266" s="1" t="n">
        <v>45766</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10812-2021</t>
        </is>
      </c>
      <c r="B267" s="1" t="n">
        <v>44259</v>
      </c>
      <c r="C267" s="1" t="n">
        <v>45766</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11017-2021</t>
        </is>
      </c>
      <c r="B268" s="1" t="n">
        <v>44260</v>
      </c>
      <c r="C268" s="1" t="n">
        <v>45766</v>
      </c>
      <c r="D268" t="inlineStr">
        <is>
          <t>VÄSTMANLANDS LÄN</t>
        </is>
      </c>
      <c r="E268" t="inlineStr">
        <is>
          <t>SALA</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11007-2021</t>
        </is>
      </c>
      <c r="B269" s="1" t="n">
        <v>44260</v>
      </c>
      <c r="C269" s="1" t="n">
        <v>45766</v>
      </c>
      <c r="D269" t="inlineStr">
        <is>
          <t>VÄSTMANLANDS LÄN</t>
        </is>
      </c>
      <c r="E269" t="inlineStr">
        <is>
          <t>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11560-2021</t>
        </is>
      </c>
      <c r="B270" s="1" t="n">
        <v>44264</v>
      </c>
      <c r="C270" s="1" t="n">
        <v>45766</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13112-2021</t>
        </is>
      </c>
      <c r="B271" s="1" t="n">
        <v>44272</v>
      </c>
      <c r="C271" s="1" t="n">
        <v>45766</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14010-2021</t>
        </is>
      </c>
      <c r="B272" s="1" t="n">
        <v>44277</v>
      </c>
      <c r="C272" s="1" t="n">
        <v>45766</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15354-2021</t>
        </is>
      </c>
      <c r="B273" s="1" t="n">
        <v>44284</v>
      </c>
      <c r="C273" s="1" t="n">
        <v>45766</v>
      </c>
      <c r="D273" t="inlineStr">
        <is>
          <t>VÄSTMANLANDS LÄN</t>
        </is>
      </c>
      <c r="E273" t="inlineStr">
        <is>
          <t>SALA</t>
        </is>
      </c>
      <c r="F273" t="inlineStr">
        <is>
          <t>Kyrkan</t>
        </is>
      </c>
      <c r="G273" t="n">
        <v>8.5</v>
      </c>
      <c r="H273" t="n">
        <v>0</v>
      </c>
      <c r="I273" t="n">
        <v>0</v>
      </c>
      <c r="J273" t="n">
        <v>0</v>
      </c>
      <c r="K273" t="n">
        <v>0</v>
      </c>
      <c r="L273" t="n">
        <v>0</v>
      </c>
      <c r="M273" t="n">
        <v>0</v>
      </c>
      <c r="N273" t="n">
        <v>0</v>
      </c>
      <c r="O273" t="n">
        <v>0</v>
      </c>
      <c r="P273" t="n">
        <v>0</v>
      </c>
      <c r="Q273" t="n">
        <v>0</v>
      </c>
      <c r="R273" s="2" t="inlineStr"/>
    </row>
    <row r="274" ht="15" customHeight="1">
      <c r="A274" t="inlineStr">
        <is>
          <t>A 15483-2021</t>
        </is>
      </c>
      <c r="B274" s="1" t="n">
        <v>44285</v>
      </c>
      <c r="C274" s="1" t="n">
        <v>45766</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15584-2021</t>
        </is>
      </c>
      <c r="B275" s="1" t="n">
        <v>44285</v>
      </c>
      <c r="C275" s="1" t="n">
        <v>45766</v>
      </c>
      <c r="D275" t="inlineStr">
        <is>
          <t>VÄSTMANLANDS LÄN</t>
        </is>
      </c>
      <c r="E275" t="inlineStr">
        <is>
          <t>SALA</t>
        </is>
      </c>
      <c r="G275" t="n">
        <v>3.4</v>
      </c>
      <c r="H275" t="n">
        <v>0</v>
      </c>
      <c r="I275" t="n">
        <v>0</v>
      </c>
      <c r="J275" t="n">
        <v>0</v>
      </c>
      <c r="K275" t="n">
        <v>0</v>
      </c>
      <c r="L275" t="n">
        <v>0</v>
      </c>
      <c r="M275" t="n">
        <v>0</v>
      </c>
      <c r="N275" t="n">
        <v>0</v>
      </c>
      <c r="O275" t="n">
        <v>0</v>
      </c>
      <c r="P275" t="n">
        <v>0</v>
      </c>
      <c r="Q275" t="n">
        <v>0</v>
      </c>
      <c r="R275" s="2" t="inlineStr"/>
    </row>
    <row r="276" ht="15" customHeight="1">
      <c r="A276" t="inlineStr">
        <is>
          <t>A 16651-2021</t>
        </is>
      </c>
      <c r="B276" s="1" t="n">
        <v>44294</v>
      </c>
      <c r="C276" s="1" t="n">
        <v>45766</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18046-2021</t>
        </is>
      </c>
      <c r="B277" s="1" t="n">
        <v>44301</v>
      </c>
      <c r="C277" s="1" t="n">
        <v>45766</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18189-2021</t>
        </is>
      </c>
      <c r="B278" s="1" t="n">
        <v>44302</v>
      </c>
      <c r="C278" s="1" t="n">
        <v>45766</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18259-2021</t>
        </is>
      </c>
      <c r="B279" s="1" t="n">
        <v>44305</v>
      </c>
      <c r="C279" s="1" t="n">
        <v>45766</v>
      </c>
      <c r="D279" t="inlineStr">
        <is>
          <t>VÄSTMANLANDS LÄN</t>
        </is>
      </c>
      <c r="E279" t="inlineStr">
        <is>
          <t>SALA</t>
        </is>
      </c>
      <c r="G279" t="n">
        <v>0</v>
      </c>
      <c r="H279" t="n">
        <v>0</v>
      </c>
      <c r="I279" t="n">
        <v>0</v>
      </c>
      <c r="J279" t="n">
        <v>0</v>
      </c>
      <c r="K279" t="n">
        <v>0</v>
      </c>
      <c r="L279" t="n">
        <v>0</v>
      </c>
      <c r="M279" t="n">
        <v>0</v>
      </c>
      <c r="N279" t="n">
        <v>0</v>
      </c>
      <c r="O279" t="n">
        <v>0</v>
      </c>
      <c r="P279" t="n">
        <v>0</v>
      </c>
      <c r="Q279" t="n">
        <v>0</v>
      </c>
      <c r="R279" s="2" t="inlineStr"/>
    </row>
    <row r="280" ht="15" customHeight="1">
      <c r="A280" t="inlineStr">
        <is>
          <t>A 18378-2021</t>
        </is>
      </c>
      <c r="B280" s="1" t="n">
        <v>44305</v>
      </c>
      <c r="C280" s="1" t="n">
        <v>45766</v>
      </c>
      <c r="D280" t="inlineStr">
        <is>
          <t>VÄSTMANLANDS LÄN</t>
        </is>
      </c>
      <c r="E280" t="inlineStr">
        <is>
          <t>SALA</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18385-2021</t>
        </is>
      </c>
      <c r="B281" s="1" t="n">
        <v>44305</v>
      </c>
      <c r="C281" s="1" t="n">
        <v>45766</v>
      </c>
      <c r="D281" t="inlineStr">
        <is>
          <t>VÄSTMANLANDS LÄN</t>
        </is>
      </c>
      <c r="E281" t="inlineStr">
        <is>
          <t>SALA</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18951-2021</t>
        </is>
      </c>
      <c r="B282" s="1" t="n">
        <v>44308</v>
      </c>
      <c r="C282" s="1" t="n">
        <v>45766</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21458-2021</t>
        </is>
      </c>
      <c r="B283" s="1" t="n">
        <v>44321</v>
      </c>
      <c r="C283" s="1" t="n">
        <v>45766</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21478-2021</t>
        </is>
      </c>
      <c r="B284" s="1" t="n">
        <v>44321</v>
      </c>
      <c r="C284" s="1" t="n">
        <v>45766</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45766</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22026-2021</t>
        </is>
      </c>
      <c r="B286" s="1" t="n">
        <v>44323</v>
      </c>
      <c r="C286" s="1" t="n">
        <v>45766</v>
      </c>
      <c r="D286" t="inlineStr">
        <is>
          <t>VÄSTMANLANDS LÄN</t>
        </is>
      </c>
      <c r="E286" t="inlineStr">
        <is>
          <t>SALA</t>
        </is>
      </c>
      <c r="G286" t="n">
        <v>2.9</v>
      </c>
      <c r="H286" t="n">
        <v>0</v>
      </c>
      <c r="I286" t="n">
        <v>0</v>
      </c>
      <c r="J286" t="n">
        <v>0</v>
      </c>
      <c r="K286" t="n">
        <v>0</v>
      </c>
      <c r="L286" t="n">
        <v>0</v>
      </c>
      <c r="M286" t="n">
        <v>0</v>
      </c>
      <c r="N286" t="n">
        <v>0</v>
      </c>
      <c r="O286" t="n">
        <v>0</v>
      </c>
      <c r="P286" t="n">
        <v>0</v>
      </c>
      <c r="Q286" t="n">
        <v>0</v>
      </c>
      <c r="R286" s="2" t="inlineStr"/>
    </row>
    <row r="287" ht="15" customHeight="1">
      <c r="A287" t="inlineStr">
        <is>
          <t>A 22017-2021</t>
        </is>
      </c>
      <c r="B287" s="1" t="n">
        <v>44323</v>
      </c>
      <c r="C287" s="1" t="n">
        <v>45766</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22362-2021</t>
        </is>
      </c>
      <c r="B288" s="1" t="n">
        <v>44326</v>
      </c>
      <c r="C288" s="1" t="n">
        <v>45766</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23696-2021</t>
        </is>
      </c>
      <c r="B289" s="1" t="n">
        <v>44334</v>
      </c>
      <c r="C289" s="1" t="n">
        <v>45766</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23693-2021</t>
        </is>
      </c>
      <c r="B290" s="1" t="n">
        <v>44334</v>
      </c>
      <c r="C290" s="1" t="n">
        <v>45766</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24740-2021</t>
        </is>
      </c>
      <c r="B291" s="1" t="n">
        <v>44340</v>
      </c>
      <c r="C291" s="1" t="n">
        <v>45766</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24823-2021</t>
        </is>
      </c>
      <c r="B292" s="1" t="n">
        <v>44340</v>
      </c>
      <c r="C292" s="1" t="n">
        <v>45766</v>
      </c>
      <c r="D292" t="inlineStr">
        <is>
          <t>VÄSTMANLANDS LÄN</t>
        </is>
      </c>
      <c r="E292" t="inlineStr">
        <is>
          <t>SALA</t>
        </is>
      </c>
      <c r="G292" t="n">
        <v>4.9</v>
      </c>
      <c r="H292" t="n">
        <v>0</v>
      </c>
      <c r="I292" t="n">
        <v>0</v>
      </c>
      <c r="J292" t="n">
        <v>0</v>
      </c>
      <c r="K292" t="n">
        <v>0</v>
      </c>
      <c r="L292" t="n">
        <v>0</v>
      </c>
      <c r="M292" t="n">
        <v>0</v>
      </c>
      <c r="N292" t="n">
        <v>0</v>
      </c>
      <c r="O292" t="n">
        <v>0</v>
      </c>
      <c r="P292" t="n">
        <v>0</v>
      </c>
      <c r="Q292" t="n">
        <v>0</v>
      </c>
      <c r="R292" s="2" t="inlineStr"/>
    </row>
    <row r="293" ht="15" customHeight="1">
      <c r="A293" t="inlineStr">
        <is>
          <t>A 24755-2021</t>
        </is>
      </c>
      <c r="B293" s="1" t="n">
        <v>44340</v>
      </c>
      <c r="C293" s="1" t="n">
        <v>45766</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26579-2021</t>
        </is>
      </c>
      <c r="B294" s="1" t="n">
        <v>44348</v>
      </c>
      <c r="C294" s="1" t="n">
        <v>45766</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26570-2021</t>
        </is>
      </c>
      <c r="B295" s="1" t="n">
        <v>44348</v>
      </c>
      <c r="C295" s="1" t="n">
        <v>45766</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26575-2021</t>
        </is>
      </c>
      <c r="B296" s="1" t="n">
        <v>44348</v>
      </c>
      <c r="C296" s="1" t="n">
        <v>45766</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28425-2021</t>
        </is>
      </c>
      <c r="B297" s="1" t="n">
        <v>44356</v>
      </c>
      <c r="C297" s="1" t="n">
        <v>45766</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30170-2021</t>
        </is>
      </c>
      <c r="B298" s="1" t="n">
        <v>44363</v>
      </c>
      <c r="C298" s="1" t="n">
        <v>45766</v>
      </c>
      <c r="D298" t="inlineStr">
        <is>
          <t>VÄSTMANLANDS LÄN</t>
        </is>
      </c>
      <c r="E298" t="inlineStr">
        <is>
          <t>SALA</t>
        </is>
      </c>
      <c r="G298" t="n">
        <v>7.2</v>
      </c>
      <c r="H298" t="n">
        <v>0</v>
      </c>
      <c r="I298" t="n">
        <v>0</v>
      </c>
      <c r="J298" t="n">
        <v>0</v>
      </c>
      <c r="K298" t="n">
        <v>0</v>
      </c>
      <c r="L298" t="n">
        <v>0</v>
      </c>
      <c r="M298" t="n">
        <v>0</v>
      </c>
      <c r="N298" t="n">
        <v>0</v>
      </c>
      <c r="O298" t="n">
        <v>0</v>
      </c>
      <c r="P298" t="n">
        <v>0</v>
      </c>
      <c r="Q298" t="n">
        <v>0</v>
      </c>
      <c r="R298" s="2" t="inlineStr"/>
    </row>
    <row r="299" ht="15" customHeight="1">
      <c r="A299" t="inlineStr">
        <is>
          <t>A 30859-2021</t>
        </is>
      </c>
      <c r="B299" s="1" t="n">
        <v>44365</v>
      </c>
      <c r="C299" s="1" t="n">
        <v>45766</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30904-2021</t>
        </is>
      </c>
      <c r="B300" s="1" t="n">
        <v>44365</v>
      </c>
      <c r="C300" s="1" t="n">
        <v>45766</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30915-2021</t>
        </is>
      </c>
      <c r="B301" s="1" t="n">
        <v>44365</v>
      </c>
      <c r="C301" s="1" t="n">
        <v>45766</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30925-2021</t>
        </is>
      </c>
      <c r="B302" s="1" t="n">
        <v>44365</v>
      </c>
      <c r="C302" s="1" t="n">
        <v>45766</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30918-2021</t>
        </is>
      </c>
      <c r="B303" s="1" t="n">
        <v>44365</v>
      </c>
      <c r="C303" s="1" t="n">
        <v>45766</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31072-2021</t>
        </is>
      </c>
      <c r="B304" s="1" t="n">
        <v>44368</v>
      </c>
      <c r="C304" s="1" t="n">
        <v>45766</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31082-2021</t>
        </is>
      </c>
      <c r="B305" s="1" t="n">
        <v>44368</v>
      </c>
      <c r="C305" s="1" t="n">
        <v>45766</v>
      </c>
      <c r="D305" t="inlineStr">
        <is>
          <t>VÄSTMANLANDS LÄN</t>
        </is>
      </c>
      <c r="E305" t="inlineStr">
        <is>
          <t>SALA</t>
        </is>
      </c>
      <c r="G305" t="n">
        <v>2</v>
      </c>
      <c r="H305" t="n">
        <v>0</v>
      </c>
      <c r="I305" t="n">
        <v>0</v>
      </c>
      <c r="J305" t="n">
        <v>0</v>
      </c>
      <c r="K305" t="n">
        <v>0</v>
      </c>
      <c r="L305" t="n">
        <v>0</v>
      </c>
      <c r="M305" t="n">
        <v>0</v>
      </c>
      <c r="N305" t="n">
        <v>0</v>
      </c>
      <c r="O305" t="n">
        <v>0</v>
      </c>
      <c r="P305" t="n">
        <v>0</v>
      </c>
      <c r="Q305" t="n">
        <v>0</v>
      </c>
      <c r="R305" s="2" t="inlineStr"/>
    </row>
    <row r="306" ht="15" customHeight="1">
      <c r="A306" t="inlineStr">
        <is>
          <t>A 31452-2021</t>
        </is>
      </c>
      <c r="B306" s="1" t="n">
        <v>44369</v>
      </c>
      <c r="C306" s="1" t="n">
        <v>45766</v>
      </c>
      <c r="D306" t="inlineStr">
        <is>
          <t>VÄSTMANLANDS LÄN</t>
        </is>
      </c>
      <c r="E306" t="inlineStr">
        <is>
          <t>SALA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45766</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31904-2021</t>
        </is>
      </c>
      <c r="B308" s="1" t="n">
        <v>44370</v>
      </c>
      <c r="C308" s="1" t="n">
        <v>45766</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32610-2021</t>
        </is>
      </c>
      <c r="B309" s="1" t="n">
        <v>44375</v>
      </c>
      <c r="C309" s="1" t="n">
        <v>45766</v>
      </c>
      <c r="D309" t="inlineStr">
        <is>
          <t>VÄSTMANLANDS LÄN</t>
        </is>
      </c>
      <c r="E309" t="inlineStr">
        <is>
          <t>SALA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45766</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45766</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35207-2021</t>
        </is>
      </c>
      <c r="B312" s="1" t="n">
        <v>44384</v>
      </c>
      <c r="C312" s="1" t="n">
        <v>45766</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35211-2021</t>
        </is>
      </c>
      <c r="B313" s="1" t="n">
        <v>44384</v>
      </c>
      <c r="C313" s="1" t="n">
        <v>45766</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35451-2021</t>
        </is>
      </c>
      <c r="B314" s="1" t="n">
        <v>44384</v>
      </c>
      <c r="C314" s="1" t="n">
        <v>45766</v>
      </c>
      <c r="D314" t="inlineStr">
        <is>
          <t>VÄSTMANLANDS LÄN</t>
        </is>
      </c>
      <c r="E314" t="inlineStr">
        <is>
          <t>SALA</t>
        </is>
      </c>
      <c r="G314" t="n">
        <v>2.5</v>
      </c>
      <c r="H314" t="n">
        <v>0</v>
      </c>
      <c r="I314" t="n">
        <v>0</v>
      </c>
      <c r="J314" t="n">
        <v>0</v>
      </c>
      <c r="K314" t="n">
        <v>0</v>
      </c>
      <c r="L314" t="n">
        <v>0</v>
      </c>
      <c r="M314" t="n">
        <v>0</v>
      </c>
      <c r="N314" t="n">
        <v>0</v>
      </c>
      <c r="O314" t="n">
        <v>0</v>
      </c>
      <c r="P314" t="n">
        <v>0</v>
      </c>
      <c r="Q314" t="n">
        <v>0</v>
      </c>
      <c r="R314" s="2" t="inlineStr"/>
    </row>
    <row r="315" ht="15" customHeight="1">
      <c r="A315" t="inlineStr">
        <is>
          <t>A 35487-2021</t>
        </is>
      </c>
      <c r="B315" s="1" t="n">
        <v>44384</v>
      </c>
      <c r="C315" s="1" t="n">
        <v>45766</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35482-2021</t>
        </is>
      </c>
      <c r="B316" s="1" t="n">
        <v>44384</v>
      </c>
      <c r="C316" s="1" t="n">
        <v>45766</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35921-2021</t>
        </is>
      </c>
      <c r="B317" s="1" t="n">
        <v>44388</v>
      </c>
      <c r="C317" s="1" t="n">
        <v>45766</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37703-2021</t>
        </is>
      </c>
      <c r="B318" s="1" t="n">
        <v>44400</v>
      </c>
      <c r="C318" s="1" t="n">
        <v>45766</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37856-2021</t>
        </is>
      </c>
      <c r="B319" s="1" t="n">
        <v>44403</v>
      </c>
      <c r="C319" s="1" t="n">
        <v>45766</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37872-2021</t>
        </is>
      </c>
      <c r="B320" s="1" t="n">
        <v>44403</v>
      </c>
      <c r="C320" s="1" t="n">
        <v>45766</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37881-2021</t>
        </is>
      </c>
      <c r="B321" s="1" t="n">
        <v>44403</v>
      </c>
      <c r="C321" s="1" t="n">
        <v>45766</v>
      </c>
      <c r="D321" t="inlineStr">
        <is>
          <t>VÄSTMANLANDS LÄN</t>
        </is>
      </c>
      <c r="E321" t="inlineStr">
        <is>
          <t>SALA</t>
        </is>
      </c>
      <c r="G321" t="n">
        <v>4.6</v>
      </c>
      <c r="H321" t="n">
        <v>0</v>
      </c>
      <c r="I321" t="n">
        <v>0</v>
      </c>
      <c r="J321" t="n">
        <v>0</v>
      </c>
      <c r="K321" t="n">
        <v>0</v>
      </c>
      <c r="L321" t="n">
        <v>0</v>
      </c>
      <c r="M321" t="n">
        <v>0</v>
      </c>
      <c r="N321" t="n">
        <v>0</v>
      </c>
      <c r="O321" t="n">
        <v>0</v>
      </c>
      <c r="P321" t="n">
        <v>0</v>
      </c>
      <c r="Q321" t="n">
        <v>0</v>
      </c>
      <c r="R321" s="2" t="inlineStr"/>
    </row>
    <row r="322" ht="15" customHeight="1">
      <c r="A322" t="inlineStr">
        <is>
          <t>A 38195-2021</t>
        </is>
      </c>
      <c r="B322" s="1" t="n">
        <v>44405</v>
      </c>
      <c r="C322" s="1" t="n">
        <v>45766</v>
      </c>
      <c r="D322" t="inlineStr">
        <is>
          <t>VÄSTMANLANDS LÄN</t>
        </is>
      </c>
      <c r="E322" t="inlineStr">
        <is>
          <t>SALA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38634-2021</t>
        </is>
      </c>
      <c r="B323" s="1" t="n">
        <v>44410</v>
      </c>
      <c r="C323" s="1" t="n">
        <v>45766</v>
      </c>
      <c r="D323" t="inlineStr">
        <is>
          <t>VÄSTMANLANDS LÄN</t>
        </is>
      </c>
      <c r="E323" t="inlineStr">
        <is>
          <t>SALA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39439-2021</t>
        </is>
      </c>
      <c r="B324" s="1" t="n">
        <v>44414</v>
      </c>
      <c r="C324" s="1" t="n">
        <v>45766</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39807-2021</t>
        </is>
      </c>
      <c r="B325" s="1" t="n">
        <v>44417</v>
      </c>
      <c r="C325" s="1" t="n">
        <v>45766</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40157-2021</t>
        </is>
      </c>
      <c r="B326" s="1" t="n">
        <v>44418</v>
      </c>
      <c r="C326" s="1" t="n">
        <v>45766</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40153-2021</t>
        </is>
      </c>
      <c r="B327" s="1" t="n">
        <v>44418</v>
      </c>
      <c r="C327" s="1" t="n">
        <v>45766</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40398-2021</t>
        </is>
      </c>
      <c r="B328" s="1" t="n">
        <v>44419</v>
      </c>
      <c r="C328" s="1" t="n">
        <v>45766</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40659-2021</t>
        </is>
      </c>
      <c r="B329" s="1" t="n">
        <v>44420</v>
      </c>
      <c r="C329" s="1" t="n">
        <v>45766</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40871-2021</t>
        </is>
      </c>
      <c r="B330" s="1" t="n">
        <v>44421</v>
      </c>
      <c r="C330" s="1" t="n">
        <v>45766</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41292-2021</t>
        </is>
      </c>
      <c r="B331" s="1" t="n">
        <v>44424</v>
      </c>
      <c r="C331" s="1" t="n">
        <v>45766</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41583-2021</t>
        </is>
      </c>
      <c r="B332" s="1" t="n">
        <v>44425</v>
      </c>
      <c r="C332" s="1" t="n">
        <v>45766</v>
      </c>
      <c r="D332" t="inlineStr">
        <is>
          <t>VÄSTMANLANDS LÄN</t>
        </is>
      </c>
      <c r="E332" t="inlineStr">
        <is>
          <t>SALA</t>
        </is>
      </c>
      <c r="G332" t="n">
        <v>5</v>
      </c>
      <c r="H332" t="n">
        <v>0</v>
      </c>
      <c r="I332" t="n">
        <v>0</v>
      </c>
      <c r="J332" t="n">
        <v>0</v>
      </c>
      <c r="K332" t="n">
        <v>0</v>
      </c>
      <c r="L332" t="n">
        <v>0</v>
      </c>
      <c r="M332" t="n">
        <v>0</v>
      </c>
      <c r="N332" t="n">
        <v>0</v>
      </c>
      <c r="O332" t="n">
        <v>0</v>
      </c>
      <c r="P332" t="n">
        <v>0</v>
      </c>
      <c r="Q332" t="n">
        <v>0</v>
      </c>
      <c r="R332" s="2" t="inlineStr"/>
    </row>
    <row r="333" ht="15" customHeight="1">
      <c r="A333" t="inlineStr">
        <is>
          <t>A 43292-2021</t>
        </is>
      </c>
      <c r="B333" s="1" t="n">
        <v>44432</v>
      </c>
      <c r="C333" s="1" t="n">
        <v>45766</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43509-2021</t>
        </is>
      </c>
      <c r="B334" s="1" t="n">
        <v>44433</v>
      </c>
      <c r="C334" s="1" t="n">
        <v>45766</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46279-2021</t>
        </is>
      </c>
      <c r="B335" s="1" t="n">
        <v>44442</v>
      </c>
      <c r="C335" s="1" t="n">
        <v>45766</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47701-2021</t>
        </is>
      </c>
      <c r="B336" s="1" t="n">
        <v>44448</v>
      </c>
      <c r="C336" s="1" t="n">
        <v>45766</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45766</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48400-2021</t>
        </is>
      </c>
      <c r="B338" s="1" t="n">
        <v>44449</v>
      </c>
      <c r="C338" s="1" t="n">
        <v>45766</v>
      </c>
      <c r="D338" t="inlineStr">
        <is>
          <t>VÄSTMANLANDS LÄN</t>
        </is>
      </c>
      <c r="E338" t="inlineStr">
        <is>
          <t>SALA</t>
        </is>
      </c>
      <c r="G338" t="n">
        <v>3</v>
      </c>
      <c r="H338" t="n">
        <v>0</v>
      </c>
      <c r="I338" t="n">
        <v>0</v>
      </c>
      <c r="J338" t="n">
        <v>0</v>
      </c>
      <c r="K338" t="n">
        <v>0</v>
      </c>
      <c r="L338" t="n">
        <v>0</v>
      </c>
      <c r="M338" t="n">
        <v>0</v>
      </c>
      <c r="N338" t="n">
        <v>0</v>
      </c>
      <c r="O338" t="n">
        <v>0</v>
      </c>
      <c r="P338" t="n">
        <v>0</v>
      </c>
      <c r="Q338" t="n">
        <v>0</v>
      </c>
      <c r="R338" s="2" t="inlineStr"/>
    </row>
    <row r="339" ht="15" customHeight="1">
      <c r="A339" t="inlineStr">
        <is>
          <t>A 50962-2021</t>
        </is>
      </c>
      <c r="B339" s="1" t="n">
        <v>44460</v>
      </c>
      <c r="C339" s="1" t="n">
        <v>45766</v>
      </c>
      <c r="D339" t="inlineStr">
        <is>
          <t>VÄSTMANLANDS LÄN</t>
        </is>
      </c>
      <c r="E339" t="inlineStr">
        <is>
          <t>SALA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54030-2021</t>
        </is>
      </c>
      <c r="B340" s="1" t="n">
        <v>44470</v>
      </c>
      <c r="C340" s="1" t="n">
        <v>45766</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54520-2021</t>
        </is>
      </c>
      <c r="B341" s="1" t="n">
        <v>44473</v>
      </c>
      <c r="C341" s="1" t="n">
        <v>45766</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57049-2021</t>
        </is>
      </c>
      <c r="B342" s="1" t="n">
        <v>44482</v>
      </c>
      <c r="C342" s="1" t="n">
        <v>45766</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57056-2021</t>
        </is>
      </c>
      <c r="B343" s="1" t="n">
        <v>44482</v>
      </c>
      <c r="C343" s="1" t="n">
        <v>45766</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57000-2021</t>
        </is>
      </c>
      <c r="B344" s="1" t="n">
        <v>44482</v>
      </c>
      <c r="C344" s="1" t="n">
        <v>45766</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57131-2021</t>
        </is>
      </c>
      <c r="B345" s="1" t="n">
        <v>44482</v>
      </c>
      <c r="C345" s="1" t="n">
        <v>45766</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57517-2021</t>
        </is>
      </c>
      <c r="B346" s="1" t="n">
        <v>44483</v>
      </c>
      <c r="C346" s="1" t="n">
        <v>45766</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57596-2021</t>
        </is>
      </c>
      <c r="B347" s="1" t="n">
        <v>44483</v>
      </c>
      <c r="C347" s="1" t="n">
        <v>45766</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58107-2021</t>
        </is>
      </c>
      <c r="B348" s="1" t="n">
        <v>44487</v>
      </c>
      <c r="C348" s="1" t="n">
        <v>45766</v>
      </c>
      <c r="D348" t="inlineStr">
        <is>
          <t>VÄSTMANLANDS LÄN</t>
        </is>
      </c>
      <c r="E348" t="inlineStr">
        <is>
          <t>SALA</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58106-2021</t>
        </is>
      </c>
      <c r="B349" s="1" t="n">
        <v>44487</v>
      </c>
      <c r="C349" s="1" t="n">
        <v>45766</v>
      </c>
      <c r="D349" t="inlineStr">
        <is>
          <t>VÄSTMANLANDS LÄN</t>
        </is>
      </c>
      <c r="E349" t="inlineStr">
        <is>
          <t>SALA</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58522-2021</t>
        </is>
      </c>
      <c r="B350" s="1" t="n">
        <v>44488</v>
      </c>
      <c r="C350" s="1" t="n">
        <v>45766</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58701-2021</t>
        </is>
      </c>
      <c r="B351" s="1" t="n">
        <v>44489</v>
      </c>
      <c r="C351" s="1" t="n">
        <v>45766</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60031-2021</t>
        </is>
      </c>
      <c r="B352" s="1" t="n">
        <v>44495</v>
      </c>
      <c r="C352" s="1" t="n">
        <v>45766</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60951-2021</t>
        </is>
      </c>
      <c r="B353" s="1" t="n">
        <v>44497</v>
      </c>
      <c r="C353" s="1" t="n">
        <v>45766</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61892-2021</t>
        </is>
      </c>
      <c r="B354" s="1" t="n">
        <v>44502</v>
      </c>
      <c r="C354" s="1" t="n">
        <v>45766</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61874-2021</t>
        </is>
      </c>
      <c r="B355" s="1" t="n">
        <v>44502</v>
      </c>
      <c r="C355" s="1" t="n">
        <v>45766</v>
      </c>
      <c r="D355" t="inlineStr">
        <is>
          <t>VÄSTMANLANDS LÄN</t>
        </is>
      </c>
      <c r="E355" t="inlineStr">
        <is>
          <t>SALA</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61897-2021</t>
        </is>
      </c>
      <c r="B356" s="1" t="n">
        <v>44502</v>
      </c>
      <c r="C356" s="1" t="n">
        <v>45766</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v>
      </c>
      <c r="C357" s="1" t="n">
        <v>45766</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62793-2021</t>
        </is>
      </c>
      <c r="B358" s="1" t="n">
        <v>44504</v>
      </c>
      <c r="C358" s="1" t="n">
        <v>45766</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62833-2021</t>
        </is>
      </c>
      <c r="B359" s="1" t="n">
        <v>44504</v>
      </c>
      <c r="C359" s="1" t="n">
        <v>45766</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45766</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62967-2021</t>
        </is>
      </c>
      <c r="B361" s="1" t="n">
        <v>44505</v>
      </c>
      <c r="C361" s="1" t="n">
        <v>45766</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63290-2021</t>
        </is>
      </c>
      <c r="B362" s="1" t="n">
        <v>44505</v>
      </c>
      <c r="C362" s="1" t="n">
        <v>45766</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64931-2021</t>
        </is>
      </c>
      <c r="B363" s="1" t="n">
        <v>44512</v>
      </c>
      <c r="C363" s="1" t="n">
        <v>45766</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64932-2021</t>
        </is>
      </c>
      <c r="B364" s="1" t="n">
        <v>44512</v>
      </c>
      <c r="C364" s="1" t="n">
        <v>45766</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65213-2021</t>
        </is>
      </c>
      <c r="B365" s="1" t="n">
        <v>44515</v>
      </c>
      <c r="C365" s="1" t="n">
        <v>45766</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65321-2021</t>
        </is>
      </c>
      <c r="B366" s="1" t="n">
        <v>44515</v>
      </c>
      <c r="C366" s="1" t="n">
        <v>45766</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65338-2021</t>
        </is>
      </c>
      <c r="B367" s="1" t="n">
        <v>44515</v>
      </c>
      <c r="C367" s="1" t="n">
        <v>45766</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65353-2021</t>
        </is>
      </c>
      <c r="B368" s="1" t="n">
        <v>44515</v>
      </c>
      <c r="C368" s="1" t="n">
        <v>45766</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65490-2021</t>
        </is>
      </c>
      <c r="B369" s="1" t="n">
        <v>44515</v>
      </c>
      <c r="C369" s="1" t="n">
        <v>45766</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65856-2021</t>
        </is>
      </c>
      <c r="B370" s="1" t="n">
        <v>44517</v>
      </c>
      <c r="C370" s="1" t="n">
        <v>45766</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65818-2021</t>
        </is>
      </c>
      <c r="B371" s="1" t="n">
        <v>44517</v>
      </c>
      <c r="C371" s="1" t="n">
        <v>45766</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65835-2021</t>
        </is>
      </c>
      <c r="B372" s="1" t="n">
        <v>44517</v>
      </c>
      <c r="C372" s="1" t="n">
        <v>45766</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65860-2021</t>
        </is>
      </c>
      <c r="B373" s="1" t="n">
        <v>44517</v>
      </c>
      <c r="C373" s="1" t="n">
        <v>45766</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66307-2021</t>
        </is>
      </c>
      <c r="B374" s="1" t="n">
        <v>44518</v>
      </c>
      <c r="C374" s="1" t="n">
        <v>45766</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66508-2021</t>
        </is>
      </c>
      <c r="B375" s="1" t="n">
        <v>44519</v>
      </c>
      <c r="C375" s="1" t="n">
        <v>45766</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66563-2021</t>
        </is>
      </c>
      <c r="B376" s="1" t="n">
        <v>44519</v>
      </c>
      <c r="C376" s="1" t="n">
        <v>45766</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66561-2021</t>
        </is>
      </c>
      <c r="B377" s="1" t="n">
        <v>44519</v>
      </c>
      <c r="C377" s="1" t="n">
        <v>45766</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66908-2021</t>
        </is>
      </c>
      <c r="B378" s="1" t="n">
        <v>44522</v>
      </c>
      <c r="C378" s="1" t="n">
        <v>45766</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66830-2021</t>
        </is>
      </c>
      <c r="B379" s="1" t="n">
        <v>44522</v>
      </c>
      <c r="C379" s="1" t="n">
        <v>45766</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67037-2021</t>
        </is>
      </c>
      <c r="B380" s="1" t="n">
        <v>44522</v>
      </c>
      <c r="C380" s="1" t="n">
        <v>45766</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c r="U380">
        <f>HYPERLINK("https://klasma.github.io/Logging_1981/knärot/A 67037-2021 karta knärot.png", "A 67037-2021")</f>
        <v/>
      </c>
      <c r="V380">
        <f>HYPERLINK("https://klasma.github.io/Logging_1981/klagomål/A 67037-2021 FSC-klagomål.docx", "A 67037-2021")</f>
        <v/>
      </c>
      <c r="W380">
        <f>HYPERLINK("https://klasma.github.io/Logging_1981/klagomålsmail/A 67037-2021 FSC-klagomål mail.docx", "A 67037-2021")</f>
        <v/>
      </c>
      <c r="X380">
        <f>HYPERLINK("https://klasma.github.io/Logging_1981/tillsyn/A 67037-2021 tillsynsbegäran.docx", "A 67037-2021")</f>
        <v/>
      </c>
      <c r="Y380">
        <f>HYPERLINK("https://klasma.github.io/Logging_1981/tillsynsmail/A 67037-2021 tillsynsbegäran mail.docx", "A 67037-2021")</f>
        <v/>
      </c>
    </row>
    <row r="381" ht="15" customHeight="1">
      <c r="A381" t="inlineStr">
        <is>
          <t>A 67965-2021</t>
        </is>
      </c>
      <c r="B381" s="1" t="n">
        <v>44525</v>
      </c>
      <c r="C381" s="1" t="n">
        <v>45766</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67958-2021</t>
        </is>
      </c>
      <c r="B382" s="1" t="n">
        <v>44525</v>
      </c>
      <c r="C382" s="1" t="n">
        <v>45766</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67962-2021</t>
        </is>
      </c>
      <c r="B383" s="1" t="n">
        <v>44525</v>
      </c>
      <c r="C383" s="1" t="n">
        <v>45766</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68355-2021</t>
        </is>
      </c>
      <c r="B384" s="1" t="n">
        <v>44528</v>
      </c>
      <c r="C384" s="1" t="n">
        <v>45766</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68484-2021</t>
        </is>
      </c>
      <c r="B385" s="1" t="n">
        <v>44529</v>
      </c>
      <c r="C385" s="1" t="n">
        <v>45766</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68980-2021</t>
        </is>
      </c>
      <c r="B386" s="1" t="n">
        <v>44529</v>
      </c>
      <c r="C386" s="1" t="n">
        <v>45766</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68864-2021</t>
        </is>
      </c>
      <c r="B387" s="1" t="n">
        <v>44530</v>
      </c>
      <c r="C387" s="1" t="n">
        <v>45766</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45766</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69236-2021</t>
        </is>
      </c>
      <c r="B389" s="1" t="n">
        <v>44531</v>
      </c>
      <c r="C389" s="1" t="n">
        <v>45766</v>
      </c>
      <c r="D389" t="inlineStr">
        <is>
          <t>VÄSTMANLANDS LÄN</t>
        </is>
      </c>
      <c r="E389" t="inlineStr">
        <is>
          <t>SALA</t>
        </is>
      </c>
      <c r="G389" t="n">
        <v>2.8</v>
      </c>
      <c r="H389" t="n">
        <v>0</v>
      </c>
      <c r="I389" t="n">
        <v>0</v>
      </c>
      <c r="J389" t="n">
        <v>0</v>
      </c>
      <c r="K389" t="n">
        <v>0</v>
      </c>
      <c r="L389" t="n">
        <v>0</v>
      </c>
      <c r="M389" t="n">
        <v>0</v>
      </c>
      <c r="N389" t="n">
        <v>0</v>
      </c>
      <c r="O389" t="n">
        <v>0</v>
      </c>
      <c r="P389" t="n">
        <v>0</v>
      </c>
      <c r="Q389" t="n">
        <v>0</v>
      </c>
      <c r="R389" s="2" t="inlineStr"/>
    </row>
    <row r="390" ht="15" customHeight="1">
      <c r="A390" t="inlineStr">
        <is>
          <t>A 70218-2021</t>
        </is>
      </c>
      <c r="B390" s="1" t="n">
        <v>44535</v>
      </c>
      <c r="C390" s="1" t="n">
        <v>45766</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70319-2021</t>
        </is>
      </c>
      <c r="B391" s="1" t="n">
        <v>44536</v>
      </c>
      <c r="C391" s="1" t="n">
        <v>45766</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70655-2021</t>
        </is>
      </c>
      <c r="B392" s="1" t="n">
        <v>44537</v>
      </c>
      <c r="C392" s="1" t="n">
        <v>45766</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70958-2021</t>
        </is>
      </c>
      <c r="B393" s="1" t="n">
        <v>44538</v>
      </c>
      <c r="C393" s="1" t="n">
        <v>45766</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71471-2021</t>
        </is>
      </c>
      <c r="B394" s="1" t="n">
        <v>44540</v>
      </c>
      <c r="C394" s="1" t="n">
        <v>45766</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71853-2021</t>
        </is>
      </c>
      <c r="B395" s="1" t="n">
        <v>44543</v>
      </c>
      <c r="C395" s="1" t="n">
        <v>45766</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72071-2021</t>
        </is>
      </c>
      <c r="B396" s="1" t="n">
        <v>44544</v>
      </c>
      <c r="C396" s="1" t="n">
        <v>45766</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72405-2021</t>
        </is>
      </c>
      <c r="B397" s="1" t="n">
        <v>44545</v>
      </c>
      <c r="C397" s="1" t="n">
        <v>45766</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72389-2021</t>
        </is>
      </c>
      <c r="B398" s="1" t="n">
        <v>44545</v>
      </c>
      <c r="C398" s="1" t="n">
        <v>45766</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72810-2021</t>
        </is>
      </c>
      <c r="B399" s="1" t="n">
        <v>44546</v>
      </c>
      <c r="C399" s="1" t="n">
        <v>45766</v>
      </c>
      <c r="D399" t="inlineStr">
        <is>
          <t>VÄSTMANLANDS LÄN</t>
        </is>
      </c>
      <c r="E399" t="inlineStr">
        <is>
          <t>SALA</t>
        </is>
      </c>
      <c r="G399" t="n">
        <v>3.3</v>
      </c>
      <c r="H399" t="n">
        <v>0</v>
      </c>
      <c r="I399" t="n">
        <v>0</v>
      </c>
      <c r="J399" t="n">
        <v>0</v>
      </c>
      <c r="K399" t="n">
        <v>0</v>
      </c>
      <c r="L399" t="n">
        <v>0</v>
      </c>
      <c r="M399" t="n">
        <v>0</v>
      </c>
      <c r="N399" t="n">
        <v>0</v>
      </c>
      <c r="O399" t="n">
        <v>0</v>
      </c>
      <c r="P399" t="n">
        <v>0</v>
      </c>
      <c r="Q399" t="n">
        <v>0</v>
      </c>
      <c r="R399" s="2" t="inlineStr"/>
    </row>
    <row r="400" ht="15" customHeight="1">
      <c r="A400" t="inlineStr">
        <is>
          <t>A 72805-2021</t>
        </is>
      </c>
      <c r="B400" s="1" t="n">
        <v>44546</v>
      </c>
      <c r="C400" s="1" t="n">
        <v>45766</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72808-2021</t>
        </is>
      </c>
      <c r="B401" s="1" t="n">
        <v>44546</v>
      </c>
      <c r="C401" s="1" t="n">
        <v>45766</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72776-2021</t>
        </is>
      </c>
      <c r="B402" s="1" t="n">
        <v>44547</v>
      </c>
      <c r="C402" s="1" t="n">
        <v>45766</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73029-2021</t>
        </is>
      </c>
      <c r="B403" s="1" t="n">
        <v>44550</v>
      </c>
      <c r="C403" s="1" t="n">
        <v>45766</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73124-2021</t>
        </is>
      </c>
      <c r="B404" s="1" t="n">
        <v>44550</v>
      </c>
      <c r="C404" s="1" t="n">
        <v>45766</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73219-2021</t>
        </is>
      </c>
      <c r="B405" s="1" t="n">
        <v>44550</v>
      </c>
      <c r="C405" s="1" t="n">
        <v>45766</v>
      </c>
      <c r="D405" t="inlineStr">
        <is>
          <t>VÄSTMANLANDS LÄN</t>
        </is>
      </c>
      <c r="E405" t="inlineStr">
        <is>
          <t>SALA</t>
        </is>
      </c>
      <c r="G405" t="n">
        <v>7.1</v>
      </c>
      <c r="H405" t="n">
        <v>0</v>
      </c>
      <c r="I405" t="n">
        <v>0</v>
      </c>
      <c r="J405" t="n">
        <v>0</v>
      </c>
      <c r="K405" t="n">
        <v>0</v>
      </c>
      <c r="L405" t="n">
        <v>0</v>
      </c>
      <c r="M405" t="n">
        <v>0</v>
      </c>
      <c r="N405" t="n">
        <v>0</v>
      </c>
      <c r="O405" t="n">
        <v>0</v>
      </c>
      <c r="P405" t="n">
        <v>0</v>
      </c>
      <c r="Q405" t="n">
        <v>0</v>
      </c>
      <c r="R405" s="2" t="inlineStr"/>
    </row>
    <row r="406" ht="15" customHeight="1">
      <c r="A406" t="inlineStr">
        <is>
          <t>A 73423-2021</t>
        </is>
      </c>
      <c r="B406" s="1" t="n">
        <v>44551</v>
      </c>
      <c r="C406" s="1" t="n">
        <v>45766</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73519-2021</t>
        </is>
      </c>
      <c r="B407" s="1" t="n">
        <v>44551</v>
      </c>
      <c r="C407" s="1" t="n">
        <v>45766</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73683-2021</t>
        </is>
      </c>
      <c r="B408" s="1" t="n">
        <v>44552</v>
      </c>
      <c r="C408" s="1" t="n">
        <v>45766</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73663-2021</t>
        </is>
      </c>
      <c r="B409" s="1" t="n">
        <v>44552</v>
      </c>
      <c r="C409" s="1" t="n">
        <v>45766</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73673-2021</t>
        </is>
      </c>
      <c r="B410" s="1" t="n">
        <v>44552</v>
      </c>
      <c r="C410" s="1" t="n">
        <v>45766</v>
      </c>
      <c r="D410" t="inlineStr">
        <is>
          <t>VÄSTMANLANDS LÄN</t>
        </is>
      </c>
      <c r="E410" t="inlineStr">
        <is>
          <t>SALA</t>
        </is>
      </c>
      <c r="G410" t="n">
        <v>11.4</v>
      </c>
      <c r="H410" t="n">
        <v>0</v>
      </c>
      <c r="I410" t="n">
        <v>0</v>
      </c>
      <c r="J410" t="n">
        <v>0</v>
      </c>
      <c r="K410" t="n">
        <v>0</v>
      </c>
      <c r="L410" t="n">
        <v>0</v>
      </c>
      <c r="M410" t="n">
        <v>0</v>
      </c>
      <c r="N410" t="n">
        <v>0</v>
      </c>
      <c r="O410" t="n">
        <v>0</v>
      </c>
      <c r="P410" t="n">
        <v>0</v>
      </c>
      <c r="Q410" t="n">
        <v>0</v>
      </c>
      <c r="R410" s="2" t="inlineStr"/>
    </row>
    <row r="411" ht="15" customHeight="1">
      <c r="A411" t="inlineStr">
        <is>
          <t>A 73606-2021</t>
        </is>
      </c>
      <c r="B411" s="1" t="n">
        <v>44552</v>
      </c>
      <c r="C411" s="1" t="n">
        <v>45766</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45766</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73687-2021</t>
        </is>
      </c>
      <c r="B413" s="1" t="n">
        <v>44552</v>
      </c>
      <c r="C413" s="1" t="n">
        <v>45766</v>
      </c>
      <c r="D413" t="inlineStr">
        <is>
          <t>VÄSTMANLANDS LÄN</t>
        </is>
      </c>
      <c r="E413" t="inlineStr">
        <is>
          <t>SALA</t>
        </is>
      </c>
      <c r="G413" t="n">
        <v>5.6</v>
      </c>
      <c r="H413" t="n">
        <v>0</v>
      </c>
      <c r="I413" t="n">
        <v>0</v>
      </c>
      <c r="J413" t="n">
        <v>0</v>
      </c>
      <c r="K413" t="n">
        <v>0</v>
      </c>
      <c r="L413" t="n">
        <v>0</v>
      </c>
      <c r="M413" t="n">
        <v>0</v>
      </c>
      <c r="N413" t="n">
        <v>0</v>
      </c>
      <c r="O413" t="n">
        <v>0</v>
      </c>
      <c r="P413" t="n">
        <v>0</v>
      </c>
      <c r="Q413" t="n">
        <v>0</v>
      </c>
      <c r="R413" s="2" t="inlineStr"/>
    </row>
    <row r="414" ht="15" customHeight="1">
      <c r="A414" t="inlineStr">
        <is>
          <t>A 73788-2021</t>
        </is>
      </c>
      <c r="B414" s="1" t="n">
        <v>44552</v>
      </c>
      <c r="C414" s="1" t="n">
        <v>45766</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73835-2021</t>
        </is>
      </c>
      <c r="B415" s="1" t="n">
        <v>44552</v>
      </c>
      <c r="C415" s="1" t="n">
        <v>45766</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74123-2021</t>
        </is>
      </c>
      <c r="B416" s="1" t="n">
        <v>44557</v>
      </c>
      <c r="C416" s="1" t="n">
        <v>45766</v>
      </c>
      <c r="D416" t="inlineStr">
        <is>
          <t>VÄSTMANLANDS LÄN</t>
        </is>
      </c>
      <c r="E416" t="inlineStr">
        <is>
          <t>SALA</t>
        </is>
      </c>
      <c r="F416" t="inlineStr">
        <is>
          <t>Kommuner</t>
        </is>
      </c>
      <c r="G416" t="n">
        <v>11.9</v>
      </c>
      <c r="H416" t="n">
        <v>0</v>
      </c>
      <c r="I416" t="n">
        <v>0</v>
      </c>
      <c r="J416" t="n">
        <v>0</v>
      </c>
      <c r="K416" t="n">
        <v>0</v>
      </c>
      <c r="L416" t="n">
        <v>0</v>
      </c>
      <c r="M416" t="n">
        <v>0</v>
      </c>
      <c r="N416" t="n">
        <v>0</v>
      </c>
      <c r="O416" t="n">
        <v>0</v>
      </c>
      <c r="P416" t="n">
        <v>0</v>
      </c>
      <c r="Q416" t="n">
        <v>0</v>
      </c>
      <c r="R416" s="2" t="inlineStr"/>
    </row>
    <row r="417" ht="15" customHeight="1">
      <c r="A417" t="inlineStr">
        <is>
          <t>A 74277-2021</t>
        </is>
      </c>
      <c r="B417" s="1" t="n">
        <v>44558</v>
      </c>
      <c r="C417" s="1" t="n">
        <v>45766</v>
      </c>
      <c r="D417" t="inlineStr">
        <is>
          <t>VÄSTMANLANDS LÄN</t>
        </is>
      </c>
      <c r="E417" t="inlineStr">
        <is>
          <t>SALA</t>
        </is>
      </c>
      <c r="F417" t="inlineStr">
        <is>
          <t>Kommuner</t>
        </is>
      </c>
      <c r="G417" t="n">
        <v>24.4</v>
      </c>
      <c r="H417" t="n">
        <v>0</v>
      </c>
      <c r="I417" t="n">
        <v>0</v>
      </c>
      <c r="J417" t="n">
        <v>0</v>
      </c>
      <c r="K417" t="n">
        <v>0</v>
      </c>
      <c r="L417" t="n">
        <v>0</v>
      </c>
      <c r="M417" t="n">
        <v>0</v>
      </c>
      <c r="N417" t="n">
        <v>0</v>
      </c>
      <c r="O417" t="n">
        <v>0</v>
      </c>
      <c r="P417" t="n">
        <v>0</v>
      </c>
      <c r="Q417" t="n">
        <v>0</v>
      </c>
      <c r="R417" s="2" t="inlineStr"/>
    </row>
    <row r="418" ht="15" customHeight="1">
      <c r="A418" t="inlineStr">
        <is>
          <t>A 617-2022</t>
        </is>
      </c>
      <c r="B418" s="1" t="n">
        <v>44567</v>
      </c>
      <c r="C418" s="1" t="n">
        <v>45766</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939-2022</t>
        </is>
      </c>
      <c r="B419" s="1" t="n">
        <v>44571</v>
      </c>
      <c r="C419" s="1" t="n">
        <v>45766</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1043-2022</t>
        </is>
      </c>
      <c r="B420" s="1" t="n">
        <v>44571</v>
      </c>
      <c r="C420" s="1" t="n">
        <v>45766</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1162-2022</t>
        </is>
      </c>
      <c r="B421" s="1" t="n">
        <v>44572</v>
      </c>
      <c r="C421" s="1" t="n">
        <v>45766</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1985-2022</t>
        </is>
      </c>
      <c r="B422" s="1" t="n">
        <v>44575</v>
      </c>
      <c r="C422" s="1" t="n">
        <v>45766</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1993-2022</t>
        </is>
      </c>
      <c r="B423" s="1" t="n">
        <v>44575</v>
      </c>
      <c r="C423" s="1" t="n">
        <v>45766</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v>
      </c>
      <c r="C424" s="1" t="n">
        <v>45766</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3050-2022</t>
        </is>
      </c>
      <c r="B425" s="1" t="n">
        <v>44582</v>
      </c>
      <c r="C425" s="1" t="n">
        <v>45766</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3201-2022</t>
        </is>
      </c>
      <c r="B426" s="1" t="n">
        <v>44582</v>
      </c>
      <c r="C426" s="1" t="n">
        <v>45766</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3204-2022</t>
        </is>
      </c>
      <c r="B427" s="1" t="n">
        <v>44582</v>
      </c>
      <c r="C427" s="1" t="n">
        <v>45766</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3647-2022</t>
        </is>
      </c>
      <c r="B428" s="1" t="n">
        <v>44586</v>
      </c>
      <c r="C428" s="1" t="n">
        <v>45766</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3888-2022</t>
        </is>
      </c>
      <c r="B429" s="1" t="n">
        <v>44587</v>
      </c>
      <c r="C429" s="1" t="n">
        <v>45766</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3920-2022</t>
        </is>
      </c>
      <c r="B430" s="1" t="n">
        <v>44587</v>
      </c>
      <c r="C430" s="1" t="n">
        <v>45766</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4237-2022</t>
        </is>
      </c>
      <c r="B431" s="1" t="n">
        <v>44588</v>
      </c>
      <c r="C431" s="1" t="n">
        <v>45766</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4281-2022</t>
        </is>
      </c>
      <c r="B432" s="1" t="n">
        <v>44588</v>
      </c>
      <c r="C432" s="1" t="n">
        <v>45766</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v>
      </c>
      <c r="C433" s="1" t="n">
        <v>45766</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4779-2022</t>
        </is>
      </c>
      <c r="B434" s="1" t="n">
        <v>44592</v>
      </c>
      <c r="C434" s="1" t="n">
        <v>45766</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5335-2022</t>
        </is>
      </c>
      <c r="B435" s="1" t="n">
        <v>44594</v>
      </c>
      <c r="C435" s="1" t="n">
        <v>45766</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5737-2022</t>
        </is>
      </c>
      <c r="B436" s="1" t="n">
        <v>44596</v>
      </c>
      <c r="C436" s="1" t="n">
        <v>45766</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5728-2022</t>
        </is>
      </c>
      <c r="B437" s="1" t="n">
        <v>44596</v>
      </c>
      <c r="C437" s="1" t="n">
        <v>45766</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6097-2022</t>
        </is>
      </c>
      <c r="B438" s="1" t="n">
        <v>44599</v>
      </c>
      <c r="C438" s="1" t="n">
        <v>45766</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6705-2022</t>
        </is>
      </c>
      <c r="B439" s="1" t="n">
        <v>44602</v>
      </c>
      <c r="C439" s="1" t="n">
        <v>45766</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6665-2022</t>
        </is>
      </c>
      <c r="B440" s="1" t="n">
        <v>44602</v>
      </c>
      <c r="C440" s="1" t="n">
        <v>45766</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6667-2022</t>
        </is>
      </c>
      <c r="B441" s="1" t="n">
        <v>44602</v>
      </c>
      <c r="C441" s="1" t="n">
        <v>45766</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6710-2022</t>
        </is>
      </c>
      <c r="B442" s="1" t="n">
        <v>44602</v>
      </c>
      <c r="C442" s="1" t="n">
        <v>45766</v>
      </c>
      <c r="D442" t="inlineStr">
        <is>
          <t>VÄSTMANLANDS LÄN</t>
        </is>
      </c>
      <c r="E442" t="inlineStr">
        <is>
          <t>SALA</t>
        </is>
      </c>
      <c r="G442" t="n">
        <v>6.4</v>
      </c>
      <c r="H442" t="n">
        <v>0</v>
      </c>
      <c r="I442" t="n">
        <v>0</v>
      </c>
      <c r="J442" t="n">
        <v>0</v>
      </c>
      <c r="K442" t="n">
        <v>0</v>
      </c>
      <c r="L442" t="n">
        <v>0</v>
      </c>
      <c r="M442" t="n">
        <v>0</v>
      </c>
      <c r="N442" t="n">
        <v>0</v>
      </c>
      <c r="O442" t="n">
        <v>0</v>
      </c>
      <c r="P442" t="n">
        <v>0</v>
      </c>
      <c r="Q442" t="n">
        <v>0</v>
      </c>
      <c r="R442" s="2" t="inlineStr"/>
    </row>
    <row r="443" ht="15" customHeight="1">
      <c r="A443" t="inlineStr">
        <is>
          <t>A 6957-2022</t>
        </is>
      </c>
      <c r="B443" s="1" t="n">
        <v>44603</v>
      </c>
      <c r="C443" s="1" t="n">
        <v>45766</v>
      </c>
      <c r="D443" t="inlineStr">
        <is>
          <t>VÄSTMANLANDS LÄN</t>
        </is>
      </c>
      <c r="E443" t="inlineStr">
        <is>
          <t>SALA</t>
        </is>
      </c>
      <c r="G443" t="n">
        <v>4.5</v>
      </c>
      <c r="H443" t="n">
        <v>0</v>
      </c>
      <c r="I443" t="n">
        <v>0</v>
      </c>
      <c r="J443" t="n">
        <v>0</v>
      </c>
      <c r="K443" t="n">
        <v>0</v>
      </c>
      <c r="L443" t="n">
        <v>0</v>
      </c>
      <c r="M443" t="n">
        <v>0</v>
      </c>
      <c r="N443" t="n">
        <v>0</v>
      </c>
      <c r="O443" t="n">
        <v>0</v>
      </c>
      <c r="P443" t="n">
        <v>0</v>
      </c>
      <c r="Q443" t="n">
        <v>0</v>
      </c>
      <c r="R443" s="2" t="inlineStr"/>
    </row>
    <row r="444" ht="15" customHeight="1">
      <c r="A444" t="inlineStr">
        <is>
          <t>A 7169-2022</t>
        </is>
      </c>
      <c r="B444" s="1" t="n">
        <v>44604</v>
      </c>
      <c r="C444" s="1" t="n">
        <v>45766</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8130-2022</t>
        </is>
      </c>
      <c r="B445" s="1" t="n">
        <v>44609</v>
      </c>
      <c r="C445" s="1" t="n">
        <v>45766</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9048-2022</t>
        </is>
      </c>
      <c r="B446" s="1" t="n">
        <v>44615</v>
      </c>
      <c r="C446" s="1" t="n">
        <v>45766</v>
      </c>
      <c r="D446" t="inlineStr">
        <is>
          <t>VÄSTMANLANDS LÄN</t>
        </is>
      </c>
      <c r="E446" t="inlineStr">
        <is>
          <t>SALA</t>
        </is>
      </c>
      <c r="G446" t="n">
        <v>5.2</v>
      </c>
      <c r="H446" t="n">
        <v>0</v>
      </c>
      <c r="I446" t="n">
        <v>0</v>
      </c>
      <c r="J446" t="n">
        <v>0</v>
      </c>
      <c r="K446" t="n">
        <v>0</v>
      </c>
      <c r="L446" t="n">
        <v>0</v>
      </c>
      <c r="M446" t="n">
        <v>0</v>
      </c>
      <c r="N446" t="n">
        <v>0</v>
      </c>
      <c r="O446" t="n">
        <v>0</v>
      </c>
      <c r="P446" t="n">
        <v>0</v>
      </c>
      <c r="Q446" t="n">
        <v>0</v>
      </c>
      <c r="R446" s="2" t="inlineStr"/>
    </row>
    <row r="447" ht="15" customHeight="1">
      <c r="A447" t="inlineStr">
        <is>
          <t>A 9050-2022</t>
        </is>
      </c>
      <c r="B447" s="1" t="n">
        <v>44615</v>
      </c>
      <c r="C447" s="1" t="n">
        <v>45766</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9075-2022</t>
        </is>
      </c>
      <c r="B448" s="1" t="n">
        <v>44615</v>
      </c>
      <c r="C448" s="1" t="n">
        <v>45766</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9335-2022</t>
        </is>
      </c>
      <c r="B449" s="1" t="n">
        <v>44616</v>
      </c>
      <c r="C449" s="1" t="n">
        <v>45766</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45766</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10083-2022</t>
        </is>
      </c>
      <c r="B451" s="1" t="n">
        <v>44621</v>
      </c>
      <c r="C451" s="1" t="n">
        <v>45766</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10168-2022</t>
        </is>
      </c>
      <c r="B452" s="1" t="n">
        <v>44622</v>
      </c>
      <c r="C452" s="1" t="n">
        <v>45766</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10434-2022</t>
        </is>
      </c>
      <c r="B453" s="1" t="n">
        <v>44623</v>
      </c>
      <c r="C453" s="1" t="n">
        <v>45766</v>
      </c>
      <c r="D453" t="inlineStr">
        <is>
          <t>VÄSTMANLANDS LÄN</t>
        </is>
      </c>
      <c r="E453" t="inlineStr">
        <is>
          <t>SALA</t>
        </is>
      </c>
      <c r="G453" t="n">
        <v>5.5</v>
      </c>
      <c r="H453" t="n">
        <v>0</v>
      </c>
      <c r="I453" t="n">
        <v>0</v>
      </c>
      <c r="J453" t="n">
        <v>0</v>
      </c>
      <c r="K453" t="n">
        <v>0</v>
      </c>
      <c r="L453" t="n">
        <v>0</v>
      </c>
      <c r="M453" t="n">
        <v>0</v>
      </c>
      <c r="N453" t="n">
        <v>0</v>
      </c>
      <c r="O453" t="n">
        <v>0</v>
      </c>
      <c r="P453" t="n">
        <v>0</v>
      </c>
      <c r="Q453" t="n">
        <v>0</v>
      </c>
      <c r="R453" s="2" t="inlineStr"/>
    </row>
    <row r="454" ht="15" customHeight="1">
      <c r="A454" t="inlineStr">
        <is>
          <t>A 10585-2022</t>
        </is>
      </c>
      <c r="B454" s="1" t="n">
        <v>44624</v>
      </c>
      <c r="C454" s="1" t="n">
        <v>45766</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45766</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11370-2022</t>
        </is>
      </c>
      <c r="B456" s="1" t="n">
        <v>44630</v>
      </c>
      <c r="C456" s="1" t="n">
        <v>45766</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12245-2022</t>
        </is>
      </c>
      <c r="B457" s="1" t="n">
        <v>44637</v>
      </c>
      <c r="C457" s="1" t="n">
        <v>45766</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13608-2022</t>
        </is>
      </c>
      <c r="B458" s="1" t="n">
        <v>44648</v>
      </c>
      <c r="C458" s="1" t="n">
        <v>45766</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13962-2022</t>
        </is>
      </c>
      <c r="B459" s="1" t="n">
        <v>44650</v>
      </c>
      <c r="C459" s="1" t="n">
        <v>45766</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15850-2022</t>
        </is>
      </c>
      <c r="B460" s="1" t="n">
        <v>44664</v>
      </c>
      <c r="C460" s="1" t="n">
        <v>45766</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16255-2022</t>
        </is>
      </c>
      <c r="B461" s="1" t="n">
        <v>44670</v>
      </c>
      <c r="C461" s="1" t="n">
        <v>45766</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16404-2022</t>
        </is>
      </c>
      <c r="B462" s="1" t="n">
        <v>44671</v>
      </c>
      <c r="C462" s="1" t="n">
        <v>45766</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16768-2022</t>
        </is>
      </c>
      <c r="B463" s="1" t="n">
        <v>44673</v>
      </c>
      <c r="C463" s="1" t="n">
        <v>45766</v>
      </c>
      <c r="D463" t="inlineStr">
        <is>
          <t>VÄSTMANLANDS LÄN</t>
        </is>
      </c>
      <c r="E463" t="inlineStr">
        <is>
          <t>SALA</t>
        </is>
      </c>
      <c r="G463" t="n">
        <v>4.7</v>
      </c>
      <c r="H463" t="n">
        <v>0</v>
      </c>
      <c r="I463" t="n">
        <v>0</v>
      </c>
      <c r="J463" t="n">
        <v>0</v>
      </c>
      <c r="K463" t="n">
        <v>0</v>
      </c>
      <c r="L463" t="n">
        <v>0</v>
      </c>
      <c r="M463" t="n">
        <v>0</v>
      </c>
      <c r="N463" t="n">
        <v>0</v>
      </c>
      <c r="O463" t="n">
        <v>0</v>
      </c>
      <c r="P463" t="n">
        <v>0</v>
      </c>
      <c r="Q463" t="n">
        <v>0</v>
      </c>
      <c r="R463" s="2" t="inlineStr"/>
    </row>
    <row r="464" ht="15" customHeight="1">
      <c r="A464" t="inlineStr">
        <is>
          <t>A 16905-2022</t>
        </is>
      </c>
      <c r="B464" s="1" t="n">
        <v>44676</v>
      </c>
      <c r="C464" s="1" t="n">
        <v>45766</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17897-2022</t>
        </is>
      </c>
      <c r="B465" s="1" t="n">
        <v>44683</v>
      </c>
      <c r="C465" s="1" t="n">
        <v>45766</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19058-2022</t>
        </is>
      </c>
      <c r="B466" s="1" t="n">
        <v>44691</v>
      </c>
      <c r="C466" s="1" t="n">
        <v>45766</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19065-2022</t>
        </is>
      </c>
      <c r="B467" s="1" t="n">
        <v>44691</v>
      </c>
      <c r="C467" s="1" t="n">
        <v>45766</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19751-2022</t>
        </is>
      </c>
      <c r="B468" s="1" t="n">
        <v>44694</v>
      </c>
      <c r="C468" s="1" t="n">
        <v>45766</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19760-2022</t>
        </is>
      </c>
      <c r="B469" s="1" t="n">
        <v>44694</v>
      </c>
      <c r="C469" s="1" t="n">
        <v>45766</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20344-2022</t>
        </is>
      </c>
      <c r="B470" s="1" t="n">
        <v>44699</v>
      </c>
      <c r="C470" s="1" t="n">
        <v>45766</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20352-2022</t>
        </is>
      </c>
      <c r="B471" s="1" t="n">
        <v>44699</v>
      </c>
      <c r="C471" s="1" t="n">
        <v>45766</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20875-2022</t>
        </is>
      </c>
      <c r="B472" s="1" t="n">
        <v>44701</v>
      </c>
      <c r="C472" s="1" t="n">
        <v>45766</v>
      </c>
      <c r="D472" t="inlineStr">
        <is>
          <t>VÄSTMANLANDS LÄN</t>
        </is>
      </c>
      <c r="E472" t="inlineStr">
        <is>
          <t>SALA</t>
        </is>
      </c>
      <c r="G472" t="n">
        <v>2.6</v>
      </c>
      <c r="H472" t="n">
        <v>0</v>
      </c>
      <c r="I472" t="n">
        <v>0</v>
      </c>
      <c r="J472" t="n">
        <v>0</v>
      </c>
      <c r="K472" t="n">
        <v>0</v>
      </c>
      <c r="L472" t="n">
        <v>0</v>
      </c>
      <c r="M472" t="n">
        <v>0</v>
      </c>
      <c r="N472" t="n">
        <v>0</v>
      </c>
      <c r="O472" t="n">
        <v>0</v>
      </c>
      <c r="P472" t="n">
        <v>0</v>
      </c>
      <c r="Q472" t="n">
        <v>0</v>
      </c>
      <c r="R472" s="2" t="inlineStr"/>
    </row>
    <row r="473" ht="15" customHeight="1">
      <c r="A473" t="inlineStr">
        <is>
          <t>A 21055-2022</t>
        </is>
      </c>
      <c r="B473" s="1" t="n">
        <v>44704</v>
      </c>
      <c r="C473" s="1" t="n">
        <v>45766</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21053-2022</t>
        </is>
      </c>
      <c r="B474" s="1" t="n">
        <v>44704</v>
      </c>
      <c r="C474" s="1" t="n">
        <v>45766</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21159-2022</t>
        </is>
      </c>
      <c r="B475" s="1" t="n">
        <v>44704</v>
      </c>
      <c r="C475" s="1" t="n">
        <v>45766</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21777-2022</t>
        </is>
      </c>
      <c r="B476" s="1" t="n">
        <v>44708</v>
      </c>
      <c r="C476" s="1" t="n">
        <v>45766</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45766</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22575-2022</t>
        </is>
      </c>
      <c r="B478" s="1" t="n">
        <v>44713</v>
      </c>
      <c r="C478" s="1" t="n">
        <v>45766</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22562-2022</t>
        </is>
      </c>
      <c r="B479" s="1" t="n">
        <v>44713</v>
      </c>
      <c r="C479" s="1" t="n">
        <v>45766</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22811-2022</t>
        </is>
      </c>
      <c r="B480" s="1" t="n">
        <v>44715</v>
      </c>
      <c r="C480" s="1" t="n">
        <v>45766</v>
      </c>
      <c r="D480" t="inlineStr">
        <is>
          <t>VÄSTMANLANDS LÄN</t>
        </is>
      </c>
      <c r="E480" t="inlineStr">
        <is>
          <t>SALA</t>
        </is>
      </c>
      <c r="G480" t="n">
        <v>5</v>
      </c>
      <c r="H480" t="n">
        <v>0</v>
      </c>
      <c r="I480" t="n">
        <v>0</v>
      </c>
      <c r="J480" t="n">
        <v>0</v>
      </c>
      <c r="K480" t="n">
        <v>0</v>
      </c>
      <c r="L480" t="n">
        <v>0</v>
      </c>
      <c r="M480" t="n">
        <v>0</v>
      </c>
      <c r="N480" t="n">
        <v>0</v>
      </c>
      <c r="O480" t="n">
        <v>0</v>
      </c>
      <c r="P480" t="n">
        <v>0</v>
      </c>
      <c r="Q480" t="n">
        <v>0</v>
      </c>
      <c r="R480" s="2" t="inlineStr"/>
    </row>
    <row r="481" ht="15" customHeight="1">
      <c r="A481" t="inlineStr">
        <is>
          <t>A 23119-2022</t>
        </is>
      </c>
      <c r="B481" s="1" t="n">
        <v>44719</v>
      </c>
      <c r="C481" s="1" t="n">
        <v>45766</v>
      </c>
      <c r="D481" t="inlineStr">
        <is>
          <t>VÄSTMANLANDS LÄN</t>
        </is>
      </c>
      <c r="E481" t="inlineStr">
        <is>
          <t>SALA</t>
        </is>
      </c>
      <c r="G481" t="n">
        <v>7</v>
      </c>
      <c r="H481" t="n">
        <v>0</v>
      </c>
      <c r="I481" t="n">
        <v>0</v>
      </c>
      <c r="J481" t="n">
        <v>0</v>
      </c>
      <c r="K481" t="n">
        <v>0</v>
      </c>
      <c r="L481" t="n">
        <v>0</v>
      </c>
      <c r="M481" t="n">
        <v>0</v>
      </c>
      <c r="N481" t="n">
        <v>0</v>
      </c>
      <c r="O481" t="n">
        <v>0</v>
      </c>
      <c r="P481" t="n">
        <v>0</v>
      </c>
      <c r="Q481" t="n">
        <v>0</v>
      </c>
      <c r="R481" s="2" t="inlineStr"/>
    </row>
    <row r="482" ht="15" customHeight="1">
      <c r="A482" t="inlineStr">
        <is>
          <t>A 23181-2022</t>
        </is>
      </c>
      <c r="B482" s="1" t="n">
        <v>44719</v>
      </c>
      <c r="C482" s="1" t="n">
        <v>45766</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23180-2022</t>
        </is>
      </c>
      <c r="B483" s="1" t="n">
        <v>44719</v>
      </c>
      <c r="C483" s="1" t="n">
        <v>45766</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23182-2022</t>
        </is>
      </c>
      <c r="B484" s="1" t="n">
        <v>44719</v>
      </c>
      <c r="C484" s="1" t="n">
        <v>45766</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v>
      </c>
      <c r="C485" s="1" t="n">
        <v>45766</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23847-2022</t>
        </is>
      </c>
      <c r="B486" s="1" t="n">
        <v>44722</v>
      </c>
      <c r="C486" s="1" t="n">
        <v>45766</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24818-2022</t>
        </is>
      </c>
      <c r="B487" s="1" t="n">
        <v>44727</v>
      </c>
      <c r="C487" s="1" t="n">
        <v>45766</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24835-2022</t>
        </is>
      </c>
      <c r="B488" s="1" t="n">
        <v>44727</v>
      </c>
      <c r="C488" s="1" t="n">
        <v>45766</v>
      </c>
      <c r="D488" t="inlineStr">
        <is>
          <t>VÄSTMANLANDS LÄN</t>
        </is>
      </c>
      <c r="E488" t="inlineStr">
        <is>
          <t>SALA</t>
        </is>
      </c>
      <c r="G488" t="n">
        <v>5.8</v>
      </c>
      <c r="H488" t="n">
        <v>0</v>
      </c>
      <c r="I488" t="n">
        <v>0</v>
      </c>
      <c r="J488" t="n">
        <v>0</v>
      </c>
      <c r="K488" t="n">
        <v>0</v>
      </c>
      <c r="L488" t="n">
        <v>0</v>
      </c>
      <c r="M488" t="n">
        <v>0</v>
      </c>
      <c r="N488" t="n">
        <v>0</v>
      </c>
      <c r="O488" t="n">
        <v>0</v>
      </c>
      <c r="P488" t="n">
        <v>0</v>
      </c>
      <c r="Q488" t="n">
        <v>0</v>
      </c>
      <c r="R488" s="2" t="inlineStr"/>
    </row>
    <row r="489" ht="15" customHeight="1">
      <c r="A489" t="inlineStr">
        <is>
          <t>A 24882-2022</t>
        </is>
      </c>
      <c r="B489" s="1" t="n">
        <v>44728</v>
      </c>
      <c r="C489" s="1" t="n">
        <v>45766</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45766</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25748-2022</t>
        </is>
      </c>
      <c r="B491" s="1" t="n">
        <v>44732</v>
      </c>
      <c r="C491" s="1" t="n">
        <v>45766</v>
      </c>
      <c r="D491" t="inlineStr">
        <is>
          <t>VÄSTMANLANDS LÄN</t>
        </is>
      </c>
      <c r="E491" t="inlineStr">
        <is>
          <t>SALA</t>
        </is>
      </c>
      <c r="G491" t="n">
        <v>7.7</v>
      </c>
      <c r="H491" t="n">
        <v>0</v>
      </c>
      <c r="I491" t="n">
        <v>0</v>
      </c>
      <c r="J491" t="n">
        <v>0</v>
      </c>
      <c r="K491" t="n">
        <v>0</v>
      </c>
      <c r="L491" t="n">
        <v>0</v>
      </c>
      <c r="M491" t="n">
        <v>0</v>
      </c>
      <c r="N491" t="n">
        <v>0</v>
      </c>
      <c r="O491" t="n">
        <v>0</v>
      </c>
      <c r="P491" t="n">
        <v>0</v>
      </c>
      <c r="Q491" t="n">
        <v>0</v>
      </c>
      <c r="R491" s="2" t="inlineStr"/>
    </row>
    <row r="492" ht="15" customHeight="1">
      <c r="A492" t="inlineStr">
        <is>
          <t>A 27229-2022</t>
        </is>
      </c>
      <c r="B492" s="1" t="n">
        <v>44741</v>
      </c>
      <c r="C492" s="1" t="n">
        <v>45766</v>
      </c>
      <c r="D492" t="inlineStr">
        <is>
          <t>VÄSTMANLANDS LÄN</t>
        </is>
      </c>
      <c r="E492" t="inlineStr">
        <is>
          <t>SALA</t>
        </is>
      </c>
      <c r="F492" t="inlineStr">
        <is>
          <t>Kommuner</t>
        </is>
      </c>
      <c r="G492" t="n">
        <v>1.4</v>
      </c>
      <c r="H492" t="n">
        <v>0</v>
      </c>
      <c r="I492" t="n">
        <v>0</v>
      </c>
      <c r="J492" t="n">
        <v>0</v>
      </c>
      <c r="K492" t="n">
        <v>0</v>
      </c>
      <c r="L492" t="n">
        <v>0</v>
      </c>
      <c r="M492" t="n">
        <v>0</v>
      </c>
      <c r="N492" t="n">
        <v>0</v>
      </c>
      <c r="O492" t="n">
        <v>0</v>
      </c>
      <c r="P492" t="n">
        <v>0</v>
      </c>
      <c r="Q492" t="n">
        <v>0</v>
      </c>
      <c r="R492" s="2" t="inlineStr"/>
    </row>
    <row r="493" ht="15" customHeight="1">
      <c r="A493" t="inlineStr">
        <is>
          <t>A 27240-2022</t>
        </is>
      </c>
      <c r="B493" s="1" t="n">
        <v>44741</v>
      </c>
      <c r="C493" s="1" t="n">
        <v>45766</v>
      </c>
      <c r="D493" t="inlineStr">
        <is>
          <t>VÄSTMANLANDS LÄN</t>
        </is>
      </c>
      <c r="E493" t="inlineStr">
        <is>
          <t>SALA</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27446-2022</t>
        </is>
      </c>
      <c r="B494" s="1" t="n">
        <v>44742</v>
      </c>
      <c r="C494" s="1" t="n">
        <v>45766</v>
      </c>
      <c r="D494" t="inlineStr">
        <is>
          <t>VÄSTMANLANDS LÄN</t>
        </is>
      </c>
      <c r="E494" t="inlineStr">
        <is>
          <t>SALA</t>
        </is>
      </c>
      <c r="G494" t="n">
        <v>6.7</v>
      </c>
      <c r="H494" t="n">
        <v>0</v>
      </c>
      <c r="I494" t="n">
        <v>0</v>
      </c>
      <c r="J494" t="n">
        <v>0</v>
      </c>
      <c r="K494" t="n">
        <v>0</v>
      </c>
      <c r="L494" t="n">
        <v>0</v>
      </c>
      <c r="M494" t="n">
        <v>0</v>
      </c>
      <c r="N494" t="n">
        <v>0</v>
      </c>
      <c r="O494" t="n">
        <v>0</v>
      </c>
      <c r="P494" t="n">
        <v>0</v>
      </c>
      <c r="Q494" t="n">
        <v>0</v>
      </c>
      <c r="R494" s="2" t="inlineStr"/>
    </row>
    <row r="495" ht="15" customHeight="1">
      <c r="A495" t="inlineStr">
        <is>
          <t>A 27528-2022</t>
        </is>
      </c>
      <c r="B495" s="1" t="n">
        <v>44742</v>
      </c>
      <c r="C495" s="1" t="n">
        <v>45766</v>
      </c>
      <c r="D495" t="inlineStr">
        <is>
          <t>VÄSTMANLANDS LÄN</t>
        </is>
      </c>
      <c r="E495" t="inlineStr">
        <is>
          <t>SALA</t>
        </is>
      </c>
      <c r="G495" t="n">
        <v>3.2</v>
      </c>
      <c r="H495" t="n">
        <v>0</v>
      </c>
      <c r="I495" t="n">
        <v>0</v>
      </c>
      <c r="J495" t="n">
        <v>0</v>
      </c>
      <c r="K495" t="n">
        <v>0</v>
      </c>
      <c r="L495" t="n">
        <v>0</v>
      </c>
      <c r="M495" t="n">
        <v>0</v>
      </c>
      <c r="N495" t="n">
        <v>0</v>
      </c>
      <c r="O495" t="n">
        <v>0</v>
      </c>
      <c r="P495" t="n">
        <v>0</v>
      </c>
      <c r="Q495" t="n">
        <v>0</v>
      </c>
      <c r="R495" s="2" t="inlineStr"/>
    </row>
    <row r="496" ht="15" customHeight="1">
      <c r="A496" t="inlineStr">
        <is>
          <t>A 27486-2022</t>
        </is>
      </c>
      <c r="B496" s="1" t="n">
        <v>44742</v>
      </c>
      <c r="C496" s="1" t="n">
        <v>45766</v>
      </c>
      <c r="D496" t="inlineStr">
        <is>
          <t>VÄSTMANLANDS LÄN</t>
        </is>
      </c>
      <c r="E496" t="inlineStr">
        <is>
          <t>SALA</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28069-2022</t>
        </is>
      </c>
      <c r="B497" s="1" t="n">
        <v>44746</v>
      </c>
      <c r="C497" s="1" t="n">
        <v>45766</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28215-2022</t>
        </is>
      </c>
      <c r="B498" s="1" t="n">
        <v>44746</v>
      </c>
      <c r="C498" s="1" t="n">
        <v>45766</v>
      </c>
      <c r="D498" t="inlineStr">
        <is>
          <t>VÄSTMANLANDS LÄN</t>
        </is>
      </c>
      <c r="E498" t="inlineStr">
        <is>
          <t>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28402-2022</t>
        </is>
      </c>
      <c r="B499" s="1" t="n">
        <v>44747</v>
      </c>
      <c r="C499" s="1" t="n">
        <v>45766</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28863-2022</t>
        </is>
      </c>
      <c r="B500" s="1" t="n">
        <v>44749</v>
      </c>
      <c r="C500" s="1" t="n">
        <v>45766</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28875-2022</t>
        </is>
      </c>
      <c r="B501" s="1" t="n">
        <v>44749</v>
      </c>
      <c r="C501" s="1" t="n">
        <v>45766</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28999-2022</t>
        </is>
      </c>
      <c r="B502" s="1" t="n">
        <v>44749</v>
      </c>
      <c r="C502" s="1" t="n">
        <v>45766</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28827-2022</t>
        </is>
      </c>
      <c r="B503" s="1" t="n">
        <v>44749</v>
      </c>
      <c r="C503" s="1" t="n">
        <v>45766</v>
      </c>
      <c r="D503" t="inlineStr">
        <is>
          <t>VÄSTMANLANDS LÄN</t>
        </is>
      </c>
      <c r="E503" t="inlineStr">
        <is>
          <t>SALA</t>
        </is>
      </c>
      <c r="F503" t="inlineStr">
        <is>
          <t>Kommuner</t>
        </is>
      </c>
      <c r="G503" t="n">
        <v>11.9</v>
      </c>
      <c r="H503" t="n">
        <v>0</v>
      </c>
      <c r="I503" t="n">
        <v>0</v>
      </c>
      <c r="J503" t="n">
        <v>0</v>
      </c>
      <c r="K503" t="n">
        <v>0</v>
      </c>
      <c r="L503" t="n">
        <v>0</v>
      </c>
      <c r="M503" t="n">
        <v>0</v>
      </c>
      <c r="N503" t="n">
        <v>0</v>
      </c>
      <c r="O503" t="n">
        <v>0</v>
      </c>
      <c r="P503" t="n">
        <v>0</v>
      </c>
      <c r="Q503" t="n">
        <v>0</v>
      </c>
      <c r="R503" s="2" t="inlineStr"/>
    </row>
    <row r="504" ht="15" customHeight="1">
      <c r="A504" t="inlineStr">
        <is>
          <t>A 28873-2022</t>
        </is>
      </c>
      <c r="B504" s="1" t="n">
        <v>44749</v>
      </c>
      <c r="C504" s="1" t="n">
        <v>45766</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29002-2022</t>
        </is>
      </c>
      <c r="B505" s="1" t="n">
        <v>44749</v>
      </c>
      <c r="C505" s="1" t="n">
        <v>45766</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28868-2022</t>
        </is>
      </c>
      <c r="B506" s="1" t="n">
        <v>44749</v>
      </c>
      <c r="C506" s="1" t="n">
        <v>45766</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28874-2022</t>
        </is>
      </c>
      <c r="B507" s="1" t="n">
        <v>44749</v>
      </c>
      <c r="C507" s="1" t="n">
        <v>45766</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28879-2022</t>
        </is>
      </c>
      <c r="B508" s="1" t="n">
        <v>44749</v>
      </c>
      <c r="C508" s="1" t="n">
        <v>45766</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45766</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29228-2022</t>
        </is>
      </c>
      <c r="B510" s="1" t="n">
        <v>44750</v>
      </c>
      <c r="C510" s="1" t="n">
        <v>45766</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29233-2022</t>
        </is>
      </c>
      <c r="B511" s="1" t="n">
        <v>44750</v>
      </c>
      <c r="C511" s="1" t="n">
        <v>45766</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29248-2022</t>
        </is>
      </c>
      <c r="B512" s="1" t="n">
        <v>44750</v>
      </c>
      <c r="C512" s="1" t="n">
        <v>45766</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45766</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29133-2022</t>
        </is>
      </c>
      <c r="B514" s="1" t="n">
        <v>44750</v>
      </c>
      <c r="C514" s="1" t="n">
        <v>45766</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29213-2022</t>
        </is>
      </c>
      <c r="B515" s="1" t="n">
        <v>44750</v>
      </c>
      <c r="C515" s="1" t="n">
        <v>45766</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29963-2022</t>
        </is>
      </c>
      <c r="B516" s="1" t="n">
        <v>44756</v>
      </c>
      <c r="C516" s="1" t="n">
        <v>45766</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29965-2022</t>
        </is>
      </c>
      <c r="B517" s="1" t="n">
        <v>44756</v>
      </c>
      <c r="C517" s="1" t="n">
        <v>45766</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29982-2022</t>
        </is>
      </c>
      <c r="B518" s="1" t="n">
        <v>44756</v>
      </c>
      <c r="C518" s="1" t="n">
        <v>45766</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30360-2022</t>
        </is>
      </c>
      <c r="B519" s="1" t="n">
        <v>44760</v>
      </c>
      <c r="C519" s="1" t="n">
        <v>45766</v>
      </c>
      <c r="D519" t="inlineStr">
        <is>
          <t>VÄSTMANLANDS LÄN</t>
        </is>
      </c>
      <c r="E519" t="inlineStr">
        <is>
          <t>SALA</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30442-2022</t>
        </is>
      </c>
      <c r="B520" s="1" t="n">
        <v>44761</v>
      </c>
      <c r="C520" s="1" t="n">
        <v>45766</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30971-2022</t>
        </is>
      </c>
      <c r="B521" s="1" t="n">
        <v>44768</v>
      </c>
      <c r="C521" s="1" t="n">
        <v>45766</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31000-2022</t>
        </is>
      </c>
      <c r="B522" s="1" t="n">
        <v>44768</v>
      </c>
      <c r="C522" s="1" t="n">
        <v>45766</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31373-2022</t>
        </is>
      </c>
      <c r="B523" s="1" t="n">
        <v>44774</v>
      </c>
      <c r="C523" s="1" t="n">
        <v>45766</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31380-2022</t>
        </is>
      </c>
      <c r="B524" s="1" t="n">
        <v>44774</v>
      </c>
      <c r="C524" s="1" t="n">
        <v>45766</v>
      </c>
      <c r="D524" t="inlineStr">
        <is>
          <t>VÄSTMANLANDS LÄN</t>
        </is>
      </c>
      <c r="E524" t="inlineStr">
        <is>
          <t>SALA</t>
        </is>
      </c>
      <c r="G524" t="n">
        <v>4.7</v>
      </c>
      <c r="H524" t="n">
        <v>0</v>
      </c>
      <c r="I524" t="n">
        <v>0</v>
      </c>
      <c r="J524" t="n">
        <v>0</v>
      </c>
      <c r="K524" t="n">
        <v>0</v>
      </c>
      <c r="L524" t="n">
        <v>0</v>
      </c>
      <c r="M524" t="n">
        <v>0</v>
      </c>
      <c r="N524" t="n">
        <v>0</v>
      </c>
      <c r="O524" t="n">
        <v>0</v>
      </c>
      <c r="P524" t="n">
        <v>0</v>
      </c>
      <c r="Q524" t="n">
        <v>0</v>
      </c>
      <c r="R524" s="2" t="inlineStr"/>
    </row>
    <row r="525" ht="15" customHeight="1">
      <c r="A525" t="inlineStr">
        <is>
          <t>A 31387-2022</t>
        </is>
      </c>
      <c r="B525" s="1" t="n">
        <v>44774</v>
      </c>
      <c r="C525" s="1" t="n">
        <v>45766</v>
      </c>
      <c r="D525" t="inlineStr">
        <is>
          <t>VÄSTMANLANDS LÄN</t>
        </is>
      </c>
      <c r="E525" t="inlineStr">
        <is>
          <t>SALA</t>
        </is>
      </c>
      <c r="G525" t="n">
        <v>5.8</v>
      </c>
      <c r="H525" t="n">
        <v>0</v>
      </c>
      <c r="I525" t="n">
        <v>0</v>
      </c>
      <c r="J525" t="n">
        <v>0</v>
      </c>
      <c r="K525" t="n">
        <v>0</v>
      </c>
      <c r="L525" t="n">
        <v>0</v>
      </c>
      <c r="M525" t="n">
        <v>0</v>
      </c>
      <c r="N525" t="n">
        <v>0</v>
      </c>
      <c r="O525" t="n">
        <v>0</v>
      </c>
      <c r="P525" t="n">
        <v>0</v>
      </c>
      <c r="Q525" t="n">
        <v>0</v>
      </c>
      <c r="R525" s="2" t="inlineStr"/>
    </row>
    <row r="526" ht="15" customHeight="1">
      <c r="A526" t="inlineStr">
        <is>
          <t>A 31394-2022</t>
        </is>
      </c>
      <c r="B526" s="1" t="n">
        <v>44774</v>
      </c>
      <c r="C526" s="1" t="n">
        <v>45766</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33309-2022</t>
        </is>
      </c>
      <c r="B527" s="1" t="n">
        <v>44788</v>
      </c>
      <c r="C527" s="1" t="n">
        <v>45766</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34110-2022</t>
        </is>
      </c>
      <c r="B528" s="1" t="n">
        <v>44791</v>
      </c>
      <c r="C528" s="1" t="n">
        <v>45766</v>
      </c>
      <c r="D528" t="inlineStr">
        <is>
          <t>VÄSTMANLANDS LÄN</t>
        </is>
      </c>
      <c r="E528" t="inlineStr">
        <is>
          <t>SALA</t>
        </is>
      </c>
      <c r="G528" t="n">
        <v>0.2</v>
      </c>
      <c r="H528" t="n">
        <v>0</v>
      </c>
      <c r="I528" t="n">
        <v>0</v>
      </c>
      <c r="J528" t="n">
        <v>0</v>
      </c>
      <c r="K528" t="n">
        <v>0</v>
      </c>
      <c r="L528" t="n">
        <v>0</v>
      </c>
      <c r="M528" t="n">
        <v>0</v>
      </c>
      <c r="N528" t="n">
        <v>0</v>
      </c>
      <c r="O528" t="n">
        <v>0</v>
      </c>
      <c r="P528" t="n">
        <v>0</v>
      </c>
      <c r="Q528" t="n">
        <v>0</v>
      </c>
      <c r="R528" s="2" t="inlineStr"/>
    </row>
    <row r="529" ht="15" customHeight="1">
      <c r="A529" t="inlineStr">
        <is>
          <t>A 34468-2022</t>
        </is>
      </c>
      <c r="B529" s="1" t="n">
        <v>44792</v>
      </c>
      <c r="C529" s="1" t="n">
        <v>45766</v>
      </c>
      <c r="D529" t="inlineStr">
        <is>
          <t>VÄSTMANLANDS LÄN</t>
        </is>
      </c>
      <c r="E529" t="inlineStr">
        <is>
          <t>SALA</t>
        </is>
      </c>
      <c r="F529" t="inlineStr">
        <is>
          <t>Kommuner</t>
        </is>
      </c>
      <c r="G529" t="n">
        <v>1</v>
      </c>
      <c r="H529" t="n">
        <v>0</v>
      </c>
      <c r="I529" t="n">
        <v>0</v>
      </c>
      <c r="J529" t="n">
        <v>0</v>
      </c>
      <c r="K529" t="n">
        <v>0</v>
      </c>
      <c r="L529" t="n">
        <v>0</v>
      </c>
      <c r="M529" t="n">
        <v>0</v>
      </c>
      <c r="N529" t="n">
        <v>0</v>
      </c>
      <c r="O529" t="n">
        <v>0</v>
      </c>
      <c r="P529" t="n">
        <v>0</v>
      </c>
      <c r="Q529" t="n">
        <v>0</v>
      </c>
      <c r="R529" s="2" t="inlineStr"/>
    </row>
    <row r="530" ht="15" customHeight="1">
      <c r="A530" t="inlineStr">
        <is>
          <t>A 34737-2022</t>
        </is>
      </c>
      <c r="B530" s="1" t="n">
        <v>44795</v>
      </c>
      <c r="C530" s="1" t="n">
        <v>45766</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v>
      </c>
      <c r="C531" s="1" t="n">
        <v>45766</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35637-2022</t>
        </is>
      </c>
      <c r="B532" s="1" t="n">
        <v>44799</v>
      </c>
      <c r="C532" s="1" t="n">
        <v>45766</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38081-2022</t>
        </is>
      </c>
      <c r="B533" s="1" t="n">
        <v>44811</v>
      </c>
      <c r="C533" s="1" t="n">
        <v>45766</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38161-2022</t>
        </is>
      </c>
      <c r="B534" s="1" t="n">
        <v>44812</v>
      </c>
      <c r="C534" s="1" t="n">
        <v>45766</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39451-2022</t>
        </is>
      </c>
      <c r="B535" s="1" t="n">
        <v>44818</v>
      </c>
      <c r="C535" s="1" t="n">
        <v>45766</v>
      </c>
      <c r="D535" t="inlineStr">
        <is>
          <t>VÄSTMANLANDS LÄN</t>
        </is>
      </c>
      <c r="E535" t="inlineStr">
        <is>
          <t>SALA</t>
        </is>
      </c>
      <c r="G535" t="n">
        <v>9.4</v>
      </c>
      <c r="H535" t="n">
        <v>0</v>
      </c>
      <c r="I535" t="n">
        <v>0</v>
      </c>
      <c r="J535" t="n">
        <v>0</v>
      </c>
      <c r="K535" t="n">
        <v>0</v>
      </c>
      <c r="L535" t="n">
        <v>0</v>
      </c>
      <c r="M535" t="n">
        <v>0</v>
      </c>
      <c r="N535" t="n">
        <v>0</v>
      </c>
      <c r="O535" t="n">
        <v>0</v>
      </c>
      <c r="P535" t="n">
        <v>0</v>
      </c>
      <c r="Q535" t="n">
        <v>0</v>
      </c>
      <c r="R535" s="2" t="inlineStr"/>
    </row>
    <row r="536" ht="15" customHeight="1">
      <c r="A536" t="inlineStr">
        <is>
          <t>A 39600-2022</t>
        </is>
      </c>
      <c r="B536" s="1" t="n">
        <v>44818</v>
      </c>
      <c r="C536" s="1" t="n">
        <v>45766</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39597-2022</t>
        </is>
      </c>
      <c r="B537" s="1" t="n">
        <v>44818</v>
      </c>
      <c r="C537" s="1" t="n">
        <v>45766</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40094-2022</t>
        </is>
      </c>
      <c r="B538" s="1" t="n">
        <v>44819</v>
      </c>
      <c r="C538" s="1" t="n">
        <v>45766</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40113-2022</t>
        </is>
      </c>
      <c r="B539" s="1" t="n">
        <v>44819</v>
      </c>
      <c r="C539" s="1" t="n">
        <v>45766</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40405-2022</t>
        </is>
      </c>
      <c r="B540" s="1" t="n">
        <v>44823</v>
      </c>
      <c r="C540" s="1" t="n">
        <v>45766</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40597-2022</t>
        </is>
      </c>
      <c r="B541" s="1" t="n">
        <v>44823</v>
      </c>
      <c r="C541" s="1" t="n">
        <v>45766</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41567-2022</t>
        </is>
      </c>
      <c r="B542" s="1" t="n">
        <v>44827</v>
      </c>
      <c r="C542" s="1" t="n">
        <v>45766</v>
      </c>
      <c r="D542" t="inlineStr">
        <is>
          <t>VÄSTMANLANDS LÄN</t>
        </is>
      </c>
      <c r="E542" t="inlineStr">
        <is>
          <t>SALA</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41876-2022</t>
        </is>
      </c>
      <c r="B543" s="1" t="n">
        <v>44830</v>
      </c>
      <c r="C543" s="1" t="n">
        <v>45766</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42416-2022</t>
        </is>
      </c>
      <c r="B544" s="1" t="n">
        <v>44831</v>
      </c>
      <c r="C544" s="1" t="n">
        <v>45766</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42447-2022</t>
        </is>
      </c>
      <c r="B545" s="1" t="n">
        <v>44831</v>
      </c>
      <c r="C545" s="1" t="n">
        <v>45766</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42414-2022</t>
        </is>
      </c>
      <c r="B546" s="1" t="n">
        <v>44831</v>
      </c>
      <c r="C546" s="1" t="n">
        <v>45766</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43103-2022</t>
        </is>
      </c>
      <c r="B547" s="1" t="n">
        <v>44833</v>
      </c>
      <c r="C547" s="1" t="n">
        <v>45766</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43101-2022</t>
        </is>
      </c>
      <c r="B548" s="1" t="n">
        <v>44833</v>
      </c>
      <c r="C548" s="1" t="n">
        <v>45766</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44217-2022</t>
        </is>
      </c>
      <c r="B549" s="1" t="n">
        <v>44839</v>
      </c>
      <c r="C549" s="1" t="n">
        <v>45766</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44318-2022</t>
        </is>
      </c>
      <c r="B550" s="1" t="n">
        <v>44839</v>
      </c>
      <c r="C550" s="1" t="n">
        <v>45766</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44224-2022</t>
        </is>
      </c>
      <c r="B551" s="1" t="n">
        <v>44839</v>
      </c>
      <c r="C551" s="1" t="n">
        <v>45766</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44892-2022</t>
        </is>
      </c>
      <c r="B552" s="1" t="n">
        <v>44841</v>
      </c>
      <c r="C552" s="1" t="n">
        <v>45766</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45015-2022</t>
        </is>
      </c>
      <c r="B553" s="1" t="n">
        <v>44841</v>
      </c>
      <c r="C553" s="1" t="n">
        <v>45766</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44935-2022</t>
        </is>
      </c>
      <c r="B554" s="1" t="n">
        <v>44841</v>
      </c>
      <c r="C554" s="1" t="n">
        <v>45766</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45309-2022</t>
        </is>
      </c>
      <c r="B555" s="1" t="n">
        <v>44844</v>
      </c>
      <c r="C555" s="1" t="n">
        <v>45766</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45517-2022</t>
        </is>
      </c>
      <c r="B556" s="1" t="n">
        <v>44845</v>
      </c>
      <c r="C556" s="1" t="n">
        <v>45766</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45615-2022</t>
        </is>
      </c>
      <c r="B557" s="1" t="n">
        <v>44845</v>
      </c>
      <c r="C557" s="1" t="n">
        <v>45766</v>
      </c>
      <c r="D557" t="inlineStr">
        <is>
          <t>VÄSTMANLANDS LÄN</t>
        </is>
      </c>
      <c r="E557" t="inlineStr">
        <is>
          <t>SALA</t>
        </is>
      </c>
      <c r="F557" t="inlineStr">
        <is>
          <t>Bergvik skog öst AB</t>
        </is>
      </c>
      <c r="G557" t="n">
        <v>10</v>
      </c>
      <c r="H557" t="n">
        <v>0</v>
      </c>
      <c r="I557" t="n">
        <v>0</v>
      </c>
      <c r="J557" t="n">
        <v>0</v>
      </c>
      <c r="K557" t="n">
        <v>0</v>
      </c>
      <c r="L557" t="n">
        <v>0</v>
      </c>
      <c r="M557" t="n">
        <v>0</v>
      </c>
      <c r="N557" t="n">
        <v>0</v>
      </c>
      <c r="O557" t="n">
        <v>0</v>
      </c>
      <c r="P557" t="n">
        <v>0</v>
      </c>
      <c r="Q557" t="n">
        <v>0</v>
      </c>
      <c r="R557" s="2" t="inlineStr"/>
    </row>
    <row r="558" ht="15" customHeight="1">
      <c r="A558" t="inlineStr">
        <is>
          <t>A 46264-2022</t>
        </is>
      </c>
      <c r="B558" s="1" t="n">
        <v>44847</v>
      </c>
      <c r="C558" s="1" t="n">
        <v>45766</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46460-2022</t>
        </is>
      </c>
      <c r="B559" s="1" t="n">
        <v>44848</v>
      </c>
      <c r="C559" s="1" t="n">
        <v>45766</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45766</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47713-2022</t>
        </is>
      </c>
      <c r="B561" s="1" t="n">
        <v>44854</v>
      </c>
      <c r="C561" s="1" t="n">
        <v>45766</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47715-2022</t>
        </is>
      </c>
      <c r="B562" s="1" t="n">
        <v>44854</v>
      </c>
      <c r="C562" s="1" t="n">
        <v>45766</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47909-2022</t>
        </is>
      </c>
      <c r="B563" s="1" t="n">
        <v>44855</v>
      </c>
      <c r="C563" s="1" t="n">
        <v>45766</v>
      </c>
      <c r="D563" t="inlineStr">
        <is>
          <t>VÄSTMANLANDS LÄN</t>
        </is>
      </c>
      <c r="E563" t="inlineStr">
        <is>
          <t>SALA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48219-2022</t>
        </is>
      </c>
      <c r="B564" s="1" t="n">
        <v>44858</v>
      </c>
      <c r="C564" s="1" t="n">
        <v>45766</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49086-2022</t>
        </is>
      </c>
      <c r="B565" s="1" t="n">
        <v>44860</v>
      </c>
      <c r="C565" s="1" t="n">
        <v>45766</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49254-2022</t>
        </is>
      </c>
      <c r="B566" s="1" t="n">
        <v>44861</v>
      </c>
      <c r="C566" s="1" t="n">
        <v>45766</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50461-2022</t>
        </is>
      </c>
      <c r="B567" s="1" t="n">
        <v>44861</v>
      </c>
      <c r="C567" s="1" t="n">
        <v>45766</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50479-2022</t>
        </is>
      </c>
      <c r="B568" s="1" t="n">
        <v>44861</v>
      </c>
      <c r="C568" s="1" t="n">
        <v>45766</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51279-2022</t>
        </is>
      </c>
      <c r="B569" s="1" t="n">
        <v>44866</v>
      </c>
      <c r="C569" s="1" t="n">
        <v>45766</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51377-2022</t>
        </is>
      </c>
      <c r="B570" s="1" t="n">
        <v>44866</v>
      </c>
      <c r="C570" s="1" t="n">
        <v>45766</v>
      </c>
      <c r="D570" t="inlineStr">
        <is>
          <t>VÄSTMANLANDS LÄN</t>
        </is>
      </c>
      <c r="E570" t="inlineStr">
        <is>
          <t>SALA</t>
        </is>
      </c>
      <c r="G570" t="n">
        <v>6.3</v>
      </c>
      <c r="H570" t="n">
        <v>0</v>
      </c>
      <c r="I570" t="n">
        <v>0</v>
      </c>
      <c r="J570" t="n">
        <v>0</v>
      </c>
      <c r="K570" t="n">
        <v>0</v>
      </c>
      <c r="L570" t="n">
        <v>0</v>
      </c>
      <c r="M570" t="n">
        <v>0</v>
      </c>
      <c r="N570" t="n">
        <v>0</v>
      </c>
      <c r="O570" t="n">
        <v>0</v>
      </c>
      <c r="P570" t="n">
        <v>0</v>
      </c>
      <c r="Q570" t="n">
        <v>0</v>
      </c>
      <c r="R570" s="2" t="inlineStr"/>
    </row>
    <row r="571" ht="15" customHeight="1">
      <c r="A571" t="inlineStr">
        <is>
          <t>A 50795-2022</t>
        </is>
      </c>
      <c r="B571" s="1" t="n">
        <v>44867</v>
      </c>
      <c r="C571" s="1" t="n">
        <v>45766</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51600-2022</t>
        </is>
      </c>
      <c r="B572" s="1" t="n">
        <v>44871</v>
      </c>
      <c r="C572" s="1" t="n">
        <v>45766</v>
      </c>
      <c r="D572" t="inlineStr">
        <is>
          <t>VÄSTMANLANDS LÄN</t>
        </is>
      </c>
      <c r="E572" t="inlineStr">
        <is>
          <t>SALA</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45766</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52504-2022</t>
        </is>
      </c>
      <c r="B574" s="1" t="n">
        <v>44874</v>
      </c>
      <c r="C574" s="1" t="n">
        <v>45766</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52498-2022</t>
        </is>
      </c>
      <c r="B575" s="1" t="n">
        <v>44874</v>
      </c>
      <c r="C575" s="1" t="n">
        <v>45766</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52630-2022</t>
        </is>
      </c>
      <c r="B576" s="1" t="n">
        <v>44874</v>
      </c>
      <c r="C576" s="1" t="n">
        <v>45766</v>
      </c>
      <c r="D576" t="inlineStr">
        <is>
          <t>VÄSTMANLANDS LÄN</t>
        </is>
      </c>
      <c r="E576" t="inlineStr">
        <is>
          <t>SALA</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53425-2022</t>
        </is>
      </c>
      <c r="B577" s="1" t="n">
        <v>44879</v>
      </c>
      <c r="C577" s="1" t="n">
        <v>45766</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53432-2022</t>
        </is>
      </c>
      <c r="B578" s="1" t="n">
        <v>44879</v>
      </c>
      <c r="C578" s="1" t="n">
        <v>45766</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53628-2022</t>
        </is>
      </c>
      <c r="B579" s="1" t="n">
        <v>44879</v>
      </c>
      <c r="C579" s="1" t="n">
        <v>45766</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v>
      </c>
      <c r="C580" s="1" t="n">
        <v>45766</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53864-2022</t>
        </is>
      </c>
      <c r="B581" s="1" t="n">
        <v>44880</v>
      </c>
      <c r="C581" s="1" t="n">
        <v>45766</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v>
      </c>
      <c r="C582" s="1" t="n">
        <v>45766</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53838-2022</t>
        </is>
      </c>
      <c r="B583" s="1" t="n">
        <v>44880</v>
      </c>
      <c r="C583" s="1" t="n">
        <v>45766</v>
      </c>
      <c r="D583" t="inlineStr">
        <is>
          <t>VÄSTMANLANDS LÄN</t>
        </is>
      </c>
      <c r="E583" t="inlineStr">
        <is>
          <t>SALA</t>
        </is>
      </c>
      <c r="G583" t="n">
        <v>3.9</v>
      </c>
      <c r="H583" t="n">
        <v>0</v>
      </c>
      <c r="I583" t="n">
        <v>0</v>
      </c>
      <c r="J583" t="n">
        <v>0</v>
      </c>
      <c r="K583" t="n">
        <v>0</v>
      </c>
      <c r="L583" t="n">
        <v>0</v>
      </c>
      <c r="M583" t="n">
        <v>0</v>
      </c>
      <c r="N583" t="n">
        <v>0</v>
      </c>
      <c r="O583" t="n">
        <v>0</v>
      </c>
      <c r="P583" t="n">
        <v>0</v>
      </c>
      <c r="Q583" t="n">
        <v>0</v>
      </c>
      <c r="R583" s="2" t="inlineStr"/>
    </row>
    <row r="584" ht="15" customHeight="1">
      <c r="A584" t="inlineStr">
        <is>
          <t>A 53997-2022</t>
        </is>
      </c>
      <c r="B584" s="1" t="n">
        <v>44881</v>
      </c>
      <c r="C584" s="1" t="n">
        <v>45766</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55733-2022</t>
        </is>
      </c>
      <c r="B585" s="1" t="n">
        <v>44888</v>
      </c>
      <c r="C585" s="1" t="n">
        <v>45766</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56089-2022</t>
        </is>
      </c>
      <c r="B586" s="1" t="n">
        <v>44889</v>
      </c>
      <c r="C586" s="1" t="n">
        <v>45766</v>
      </c>
      <c r="D586" t="inlineStr">
        <is>
          <t>VÄSTMANLANDS LÄN</t>
        </is>
      </c>
      <c r="E586" t="inlineStr">
        <is>
          <t>SALA</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56088-2022</t>
        </is>
      </c>
      <c r="B587" s="1" t="n">
        <v>44889</v>
      </c>
      <c r="C587" s="1" t="n">
        <v>45766</v>
      </c>
      <c r="D587" t="inlineStr">
        <is>
          <t>VÄSTMANLANDS LÄN</t>
        </is>
      </c>
      <c r="E587" t="inlineStr">
        <is>
          <t>SALA</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56234-2022</t>
        </is>
      </c>
      <c r="B588" s="1" t="n">
        <v>44890</v>
      </c>
      <c r="C588" s="1" t="n">
        <v>45766</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56242-2022</t>
        </is>
      </c>
      <c r="B589" s="1" t="n">
        <v>44890</v>
      </c>
      <c r="C589" s="1" t="n">
        <v>45766</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56535-2022</t>
        </is>
      </c>
      <c r="B590" s="1" t="n">
        <v>44893</v>
      </c>
      <c r="C590" s="1" t="n">
        <v>45766</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56706-2022</t>
        </is>
      </c>
      <c r="B591" s="1" t="n">
        <v>44893</v>
      </c>
      <c r="C591" s="1" t="n">
        <v>45766</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56547-2022</t>
        </is>
      </c>
      <c r="B592" s="1" t="n">
        <v>44893</v>
      </c>
      <c r="C592" s="1" t="n">
        <v>45766</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56707-2022</t>
        </is>
      </c>
      <c r="B593" s="1" t="n">
        <v>44893</v>
      </c>
      <c r="C593" s="1" t="n">
        <v>45766</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56977-2022</t>
        </is>
      </c>
      <c r="B594" s="1" t="n">
        <v>44894</v>
      </c>
      <c r="C594" s="1" t="n">
        <v>45766</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57371-2022</t>
        </is>
      </c>
      <c r="B595" s="1" t="n">
        <v>44896</v>
      </c>
      <c r="C595" s="1" t="n">
        <v>45766</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58076-2022</t>
        </is>
      </c>
      <c r="B596" s="1" t="n">
        <v>44900</v>
      </c>
      <c r="C596" s="1" t="n">
        <v>45766</v>
      </c>
      <c r="D596" t="inlineStr">
        <is>
          <t>VÄSTMANLANDS LÄN</t>
        </is>
      </c>
      <c r="E596" t="inlineStr">
        <is>
          <t>SALA</t>
        </is>
      </c>
      <c r="G596" t="n">
        <v>6.4</v>
      </c>
      <c r="H596" t="n">
        <v>0</v>
      </c>
      <c r="I596" t="n">
        <v>0</v>
      </c>
      <c r="J596" t="n">
        <v>0</v>
      </c>
      <c r="K596" t="n">
        <v>0</v>
      </c>
      <c r="L596" t="n">
        <v>0</v>
      </c>
      <c r="M596" t="n">
        <v>0</v>
      </c>
      <c r="N596" t="n">
        <v>0</v>
      </c>
      <c r="O596" t="n">
        <v>0</v>
      </c>
      <c r="P596" t="n">
        <v>0</v>
      </c>
      <c r="Q596" t="n">
        <v>0</v>
      </c>
      <c r="R596" s="2" t="inlineStr"/>
    </row>
    <row r="597" ht="15" customHeight="1">
      <c r="A597" t="inlineStr">
        <is>
          <t>A 58496-2022</t>
        </is>
      </c>
      <c r="B597" s="1" t="n">
        <v>44902</v>
      </c>
      <c r="C597" s="1" t="n">
        <v>45766</v>
      </c>
      <c r="D597" t="inlineStr">
        <is>
          <t>VÄSTMANLANDS LÄN</t>
        </is>
      </c>
      <c r="E597" t="inlineStr">
        <is>
          <t>SALA</t>
        </is>
      </c>
      <c r="G597" t="n">
        <v>5.9</v>
      </c>
      <c r="H597" t="n">
        <v>0</v>
      </c>
      <c r="I597" t="n">
        <v>0</v>
      </c>
      <c r="J597" t="n">
        <v>0</v>
      </c>
      <c r="K597" t="n">
        <v>0</v>
      </c>
      <c r="L597" t="n">
        <v>0</v>
      </c>
      <c r="M597" t="n">
        <v>0</v>
      </c>
      <c r="N597" t="n">
        <v>0</v>
      </c>
      <c r="O597" t="n">
        <v>0</v>
      </c>
      <c r="P597" t="n">
        <v>0</v>
      </c>
      <c r="Q597" t="n">
        <v>0</v>
      </c>
      <c r="R597" s="2" t="inlineStr"/>
    </row>
    <row r="598" ht="15" customHeight="1">
      <c r="A598" t="inlineStr">
        <is>
          <t>A 58502-2022</t>
        </is>
      </c>
      <c r="B598" s="1" t="n">
        <v>44902</v>
      </c>
      <c r="C598" s="1" t="n">
        <v>45766</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59019-2022</t>
        </is>
      </c>
      <c r="B599" s="1" t="n">
        <v>44903</v>
      </c>
      <c r="C599" s="1" t="n">
        <v>45766</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v>
      </c>
      <c r="C600" s="1" t="n">
        <v>45766</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v>
      </c>
      <c r="C601" s="1" t="n">
        <v>45766</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60156-2022</t>
        </is>
      </c>
      <c r="B602" s="1" t="n">
        <v>44909</v>
      </c>
      <c r="C602" s="1" t="n">
        <v>45766</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45766</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60703-2022</t>
        </is>
      </c>
      <c r="B604" s="1" t="n">
        <v>44912</v>
      </c>
      <c r="C604" s="1" t="n">
        <v>45766</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60974-2022</t>
        </is>
      </c>
      <c r="B605" s="1" t="n">
        <v>44914</v>
      </c>
      <c r="C605" s="1" t="n">
        <v>45766</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45766</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62654-2022</t>
        </is>
      </c>
      <c r="B607" s="1" t="n">
        <v>44917</v>
      </c>
      <c r="C607" s="1" t="n">
        <v>45766</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62651-2022</t>
        </is>
      </c>
      <c r="B608" s="1" t="n">
        <v>44917</v>
      </c>
      <c r="C608" s="1" t="n">
        <v>45766</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62648-2022</t>
        </is>
      </c>
      <c r="B609" s="1" t="n">
        <v>44917</v>
      </c>
      <c r="C609" s="1" t="n">
        <v>45766</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61985-2022</t>
        </is>
      </c>
      <c r="B610" s="1" t="n">
        <v>44918</v>
      </c>
      <c r="C610" s="1" t="n">
        <v>45766</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62292-2022</t>
        </is>
      </c>
      <c r="B611" s="1" t="n">
        <v>44923</v>
      </c>
      <c r="C611" s="1" t="n">
        <v>45766</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62300-2022</t>
        </is>
      </c>
      <c r="B612" s="1" t="n">
        <v>44923</v>
      </c>
      <c r="C612" s="1" t="n">
        <v>45766</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v>
      </c>
      <c r="C613" s="1" t="n">
        <v>45766</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1638-2023</t>
        </is>
      </c>
      <c r="B614" s="1" t="n">
        <v>44937</v>
      </c>
      <c r="C614" s="1" t="n">
        <v>45766</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1793-2023</t>
        </is>
      </c>
      <c r="B615" s="1" t="n">
        <v>44937</v>
      </c>
      <c r="C615" s="1" t="n">
        <v>45766</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1934-2023</t>
        </is>
      </c>
      <c r="B616" s="1" t="n">
        <v>44939</v>
      </c>
      <c r="C616" s="1" t="n">
        <v>45766</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1967-2023</t>
        </is>
      </c>
      <c r="B617" s="1" t="n">
        <v>44939</v>
      </c>
      <c r="C617" s="1" t="n">
        <v>45766</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2521-2023</t>
        </is>
      </c>
      <c r="B618" s="1" t="n">
        <v>44943</v>
      </c>
      <c r="C618" s="1" t="n">
        <v>45766</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2900-2023</t>
        </is>
      </c>
      <c r="B619" s="1" t="n">
        <v>44943</v>
      </c>
      <c r="C619" s="1" t="n">
        <v>45766</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3733-2023</t>
        </is>
      </c>
      <c r="B620" s="1" t="n">
        <v>44951</v>
      </c>
      <c r="C620" s="1" t="n">
        <v>45766</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3810-2023</t>
        </is>
      </c>
      <c r="B621" s="1" t="n">
        <v>44951</v>
      </c>
      <c r="C621" s="1" t="n">
        <v>45766</v>
      </c>
      <c r="D621" t="inlineStr">
        <is>
          <t>VÄSTMANLANDS LÄN</t>
        </is>
      </c>
      <c r="E621" t="inlineStr">
        <is>
          <t>SALA</t>
        </is>
      </c>
      <c r="G621" t="n">
        <v>4.2</v>
      </c>
      <c r="H621" t="n">
        <v>0</v>
      </c>
      <c r="I621" t="n">
        <v>0</v>
      </c>
      <c r="J621" t="n">
        <v>0</v>
      </c>
      <c r="K621" t="n">
        <v>0</v>
      </c>
      <c r="L621" t="n">
        <v>0</v>
      </c>
      <c r="M621" t="n">
        <v>0</v>
      </c>
      <c r="N621" t="n">
        <v>0</v>
      </c>
      <c r="O621" t="n">
        <v>0</v>
      </c>
      <c r="P621" t="n">
        <v>0</v>
      </c>
      <c r="Q621" t="n">
        <v>0</v>
      </c>
      <c r="R621" s="2" t="inlineStr"/>
    </row>
    <row r="622" ht="15" customHeight="1">
      <c r="A622" t="inlineStr">
        <is>
          <t>A 3866-2023</t>
        </is>
      </c>
      <c r="B622" s="1" t="n">
        <v>44951</v>
      </c>
      <c r="C622" s="1" t="n">
        <v>45766</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v>
      </c>
      <c r="C623" s="1" t="n">
        <v>45766</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4637-2023</t>
        </is>
      </c>
      <c r="B624" s="1" t="n">
        <v>44957</v>
      </c>
      <c r="C624" s="1" t="n">
        <v>45766</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4791-2023</t>
        </is>
      </c>
      <c r="B625" s="1" t="n">
        <v>44957</v>
      </c>
      <c r="C625" s="1" t="n">
        <v>45766</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4797-2023</t>
        </is>
      </c>
      <c r="B626" s="1" t="n">
        <v>44957</v>
      </c>
      <c r="C626" s="1" t="n">
        <v>45766</v>
      </c>
      <c r="D626" t="inlineStr">
        <is>
          <t>VÄSTMANLANDS LÄN</t>
        </is>
      </c>
      <c r="E626" t="inlineStr">
        <is>
          <t>SALA</t>
        </is>
      </c>
      <c r="G626" t="n">
        <v>5.7</v>
      </c>
      <c r="H626" t="n">
        <v>0</v>
      </c>
      <c r="I626" t="n">
        <v>0</v>
      </c>
      <c r="J626" t="n">
        <v>0</v>
      </c>
      <c r="K626" t="n">
        <v>0</v>
      </c>
      <c r="L626" t="n">
        <v>0</v>
      </c>
      <c r="M626" t="n">
        <v>0</v>
      </c>
      <c r="N626" t="n">
        <v>0</v>
      </c>
      <c r="O626" t="n">
        <v>0</v>
      </c>
      <c r="P626" t="n">
        <v>0</v>
      </c>
      <c r="Q626" t="n">
        <v>0</v>
      </c>
      <c r="R626" s="2" t="inlineStr"/>
    </row>
    <row r="627" ht="15" customHeight="1">
      <c r="A627" t="inlineStr">
        <is>
          <t>A 4852-2023</t>
        </is>
      </c>
      <c r="B627" s="1" t="n">
        <v>44957</v>
      </c>
      <c r="C627" s="1" t="n">
        <v>45766</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5782-2023</t>
        </is>
      </c>
      <c r="B628" s="1" t="n">
        <v>44963</v>
      </c>
      <c r="C628" s="1" t="n">
        <v>45766</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6111-2023</t>
        </is>
      </c>
      <c r="B629" s="1" t="n">
        <v>44964</v>
      </c>
      <c r="C629" s="1" t="n">
        <v>45766</v>
      </c>
      <c r="D629" t="inlineStr">
        <is>
          <t>VÄSTMANLANDS LÄN</t>
        </is>
      </c>
      <c r="E629" t="inlineStr">
        <is>
          <t>SALA</t>
        </is>
      </c>
      <c r="G629" t="n">
        <v>3.7</v>
      </c>
      <c r="H629" t="n">
        <v>0</v>
      </c>
      <c r="I629" t="n">
        <v>0</v>
      </c>
      <c r="J629" t="n">
        <v>0</v>
      </c>
      <c r="K629" t="n">
        <v>0</v>
      </c>
      <c r="L629" t="n">
        <v>0</v>
      </c>
      <c r="M629" t="n">
        <v>0</v>
      </c>
      <c r="N629" t="n">
        <v>0</v>
      </c>
      <c r="O629" t="n">
        <v>0</v>
      </c>
      <c r="P629" t="n">
        <v>0</v>
      </c>
      <c r="Q629" t="n">
        <v>0</v>
      </c>
      <c r="R629" s="2" t="inlineStr"/>
    </row>
    <row r="630" ht="15" customHeight="1">
      <c r="A630" t="inlineStr">
        <is>
          <t>A 6135-2023</t>
        </is>
      </c>
      <c r="B630" s="1" t="n">
        <v>44964</v>
      </c>
      <c r="C630" s="1" t="n">
        <v>45766</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6167-2023</t>
        </is>
      </c>
      <c r="B631" s="1" t="n">
        <v>44964</v>
      </c>
      <c r="C631" s="1" t="n">
        <v>45766</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6130-2023</t>
        </is>
      </c>
      <c r="B632" s="1" t="n">
        <v>44964</v>
      </c>
      <c r="C632" s="1" t="n">
        <v>45766</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45766</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6139-2023</t>
        </is>
      </c>
      <c r="B634" s="1" t="n">
        <v>44964</v>
      </c>
      <c r="C634" s="1" t="n">
        <v>45766</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6869-2023</t>
        </is>
      </c>
      <c r="B635" s="1" t="n">
        <v>44964</v>
      </c>
      <c r="C635" s="1" t="n">
        <v>45766</v>
      </c>
      <c r="D635" t="inlineStr">
        <is>
          <t>VÄSTMANLANDS LÄN</t>
        </is>
      </c>
      <c r="E635" t="inlineStr">
        <is>
          <t>SALA</t>
        </is>
      </c>
      <c r="G635" t="n">
        <v>11.6</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45766</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6851-2023</t>
        </is>
      </c>
      <c r="B637" s="1" t="n">
        <v>44967</v>
      </c>
      <c r="C637" s="1" t="n">
        <v>45766</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7176-2023</t>
        </is>
      </c>
      <c r="B638" s="1" t="n">
        <v>44970</v>
      </c>
      <c r="C638" s="1" t="n">
        <v>45766</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7193-2023</t>
        </is>
      </c>
      <c r="B639" s="1" t="n">
        <v>44970</v>
      </c>
      <c r="C639" s="1" t="n">
        <v>45766</v>
      </c>
      <c r="D639" t="inlineStr">
        <is>
          <t>VÄSTMANLANDS LÄN</t>
        </is>
      </c>
      <c r="E639" t="inlineStr">
        <is>
          <t>SALA</t>
        </is>
      </c>
      <c r="G639" t="n">
        <v>2.5</v>
      </c>
      <c r="H639" t="n">
        <v>0</v>
      </c>
      <c r="I639" t="n">
        <v>0</v>
      </c>
      <c r="J639" t="n">
        <v>0</v>
      </c>
      <c r="K639" t="n">
        <v>0</v>
      </c>
      <c r="L639" t="n">
        <v>0</v>
      </c>
      <c r="M639" t="n">
        <v>0</v>
      </c>
      <c r="N639" t="n">
        <v>0</v>
      </c>
      <c r="O639" t="n">
        <v>0</v>
      </c>
      <c r="P639" t="n">
        <v>0</v>
      </c>
      <c r="Q639" t="n">
        <v>0</v>
      </c>
      <c r="R639" s="2" t="inlineStr"/>
    </row>
    <row r="640" ht="15" customHeight="1">
      <c r="A640" t="inlineStr">
        <is>
          <t>A 7954-2023</t>
        </is>
      </c>
      <c r="B640" s="1" t="n">
        <v>44970</v>
      </c>
      <c r="C640" s="1" t="n">
        <v>45766</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7377-2023</t>
        </is>
      </c>
      <c r="B641" s="1" t="n">
        <v>44971</v>
      </c>
      <c r="C641" s="1" t="n">
        <v>45766</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7351-2023</t>
        </is>
      </c>
      <c r="B642" s="1" t="n">
        <v>44971</v>
      </c>
      <c r="C642" s="1" t="n">
        <v>45766</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7502-2023</t>
        </is>
      </c>
      <c r="B643" s="1" t="n">
        <v>44971</v>
      </c>
      <c r="C643" s="1" t="n">
        <v>45766</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7664-2023</t>
        </is>
      </c>
      <c r="B644" s="1" t="n">
        <v>44972</v>
      </c>
      <c r="C644" s="1" t="n">
        <v>45766</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7635-2023</t>
        </is>
      </c>
      <c r="B645" s="1" t="n">
        <v>44972</v>
      </c>
      <c r="C645" s="1" t="n">
        <v>45766</v>
      </c>
      <c r="D645" t="inlineStr">
        <is>
          <t>VÄSTMANLANDS LÄN</t>
        </is>
      </c>
      <c r="E645" t="inlineStr">
        <is>
          <t>SALA</t>
        </is>
      </c>
      <c r="G645" t="n">
        <v>1.3</v>
      </c>
      <c r="H645" t="n">
        <v>0</v>
      </c>
      <c r="I645" t="n">
        <v>0</v>
      </c>
      <c r="J645" t="n">
        <v>0</v>
      </c>
      <c r="K645" t="n">
        <v>0</v>
      </c>
      <c r="L645" t="n">
        <v>0</v>
      </c>
      <c r="M645" t="n">
        <v>0</v>
      </c>
      <c r="N645" t="n">
        <v>0</v>
      </c>
      <c r="O645" t="n">
        <v>0</v>
      </c>
      <c r="P645" t="n">
        <v>0</v>
      </c>
      <c r="Q645" t="n">
        <v>0</v>
      </c>
      <c r="R645" s="2" t="inlineStr"/>
    </row>
    <row r="646" ht="15" customHeight="1">
      <c r="A646" t="inlineStr">
        <is>
          <t>A 7772-2023</t>
        </is>
      </c>
      <c r="B646" s="1" t="n">
        <v>44973</v>
      </c>
      <c r="C646" s="1" t="n">
        <v>45766</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7813-2023</t>
        </is>
      </c>
      <c r="B647" s="1" t="n">
        <v>44973</v>
      </c>
      <c r="C647" s="1" t="n">
        <v>45766</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8047-2023</t>
        </is>
      </c>
      <c r="B648" s="1" t="n">
        <v>44974</v>
      </c>
      <c r="C648" s="1" t="n">
        <v>45766</v>
      </c>
      <c r="D648" t="inlineStr">
        <is>
          <t>VÄSTMANLANDS LÄN</t>
        </is>
      </c>
      <c r="E648" t="inlineStr">
        <is>
          <t>SALA</t>
        </is>
      </c>
      <c r="G648" t="n">
        <v>17.4</v>
      </c>
      <c r="H648" t="n">
        <v>0</v>
      </c>
      <c r="I648" t="n">
        <v>0</v>
      </c>
      <c r="J648" t="n">
        <v>0</v>
      </c>
      <c r="K648" t="n">
        <v>0</v>
      </c>
      <c r="L648" t="n">
        <v>0</v>
      </c>
      <c r="M648" t="n">
        <v>0</v>
      </c>
      <c r="N648" t="n">
        <v>0</v>
      </c>
      <c r="O648" t="n">
        <v>0</v>
      </c>
      <c r="P648" t="n">
        <v>0</v>
      </c>
      <c r="Q648" t="n">
        <v>0</v>
      </c>
      <c r="R648" s="2" t="inlineStr"/>
    </row>
    <row r="649" ht="15" customHeight="1">
      <c r="A649" t="inlineStr">
        <is>
          <t>A 8766-2023</t>
        </is>
      </c>
      <c r="B649" s="1" t="n">
        <v>44978</v>
      </c>
      <c r="C649" s="1" t="n">
        <v>45766</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9051-2023</t>
        </is>
      </c>
      <c r="B650" s="1" t="n">
        <v>44979</v>
      </c>
      <c r="C650" s="1" t="n">
        <v>45766</v>
      </c>
      <c r="D650" t="inlineStr">
        <is>
          <t>VÄSTMANLANDS LÄN</t>
        </is>
      </c>
      <c r="E650" t="inlineStr">
        <is>
          <t>SALA</t>
        </is>
      </c>
      <c r="G650" t="n">
        <v>4.1</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45766</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11166-2023</t>
        </is>
      </c>
      <c r="B652" s="1" t="n">
        <v>44992</v>
      </c>
      <c r="C652" s="1" t="n">
        <v>45766</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11183-2023</t>
        </is>
      </c>
      <c r="B653" s="1" t="n">
        <v>44992</v>
      </c>
      <c r="C653" s="1" t="n">
        <v>45766</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11631-2023</t>
        </is>
      </c>
      <c r="B654" s="1" t="n">
        <v>44994</v>
      </c>
      <c r="C654" s="1" t="n">
        <v>45766</v>
      </c>
      <c r="D654" t="inlineStr">
        <is>
          <t>VÄSTMANLANDS LÄN</t>
        </is>
      </c>
      <c r="E654" t="inlineStr">
        <is>
          <t>SALA</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12231-2023</t>
        </is>
      </c>
      <c r="B655" s="1" t="n">
        <v>44995</v>
      </c>
      <c r="C655" s="1" t="n">
        <v>45766</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45766</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12272-2023</t>
        </is>
      </c>
      <c r="B657" s="1" t="n">
        <v>44995</v>
      </c>
      <c r="C657" s="1" t="n">
        <v>45766</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12242-2023</t>
        </is>
      </c>
      <c r="B658" s="1" t="n">
        <v>44995</v>
      </c>
      <c r="C658" s="1" t="n">
        <v>45766</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12252-2023</t>
        </is>
      </c>
      <c r="B659" s="1" t="n">
        <v>44995</v>
      </c>
      <c r="C659" s="1" t="n">
        <v>45766</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45766</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12509-2023</t>
        </is>
      </c>
      <c r="B661" s="1" t="n">
        <v>45000</v>
      </c>
      <c r="C661" s="1" t="n">
        <v>45766</v>
      </c>
      <c r="D661" t="inlineStr">
        <is>
          <t>VÄSTMANLANDS LÄN</t>
        </is>
      </c>
      <c r="E661" t="inlineStr">
        <is>
          <t>SALA</t>
        </is>
      </c>
      <c r="G661" t="n">
        <v>13.9</v>
      </c>
      <c r="H661" t="n">
        <v>0</v>
      </c>
      <c r="I661" t="n">
        <v>0</v>
      </c>
      <c r="J661" t="n">
        <v>0</v>
      </c>
      <c r="K661" t="n">
        <v>0</v>
      </c>
      <c r="L661" t="n">
        <v>0</v>
      </c>
      <c r="M661" t="n">
        <v>0</v>
      </c>
      <c r="N661" t="n">
        <v>0</v>
      </c>
      <c r="O661" t="n">
        <v>0</v>
      </c>
      <c r="P661" t="n">
        <v>0</v>
      </c>
      <c r="Q661" t="n">
        <v>0</v>
      </c>
      <c r="R661" s="2" t="inlineStr"/>
    </row>
    <row r="662" ht="15" customHeight="1">
      <c r="A662" t="inlineStr">
        <is>
          <t>A 12510-2023</t>
        </is>
      </c>
      <c r="B662" s="1" t="n">
        <v>45000</v>
      </c>
      <c r="C662" s="1" t="n">
        <v>45766</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13146-2023</t>
        </is>
      </c>
      <c r="B663" s="1" t="n">
        <v>45002</v>
      </c>
      <c r="C663" s="1" t="n">
        <v>45766</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13022-2023</t>
        </is>
      </c>
      <c r="B664" s="1" t="n">
        <v>45002</v>
      </c>
      <c r="C664" s="1" t="n">
        <v>45766</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13151-2023</t>
        </is>
      </c>
      <c r="B665" s="1" t="n">
        <v>45002</v>
      </c>
      <c r="C665" s="1" t="n">
        <v>45766</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45766</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13153-2023</t>
        </is>
      </c>
      <c r="B667" s="1" t="n">
        <v>45002</v>
      </c>
      <c r="C667" s="1" t="n">
        <v>45766</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13059-2023</t>
        </is>
      </c>
      <c r="B668" s="1" t="n">
        <v>45002</v>
      </c>
      <c r="C668" s="1" t="n">
        <v>45766</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13857-2023</t>
        </is>
      </c>
      <c r="B669" s="1" t="n">
        <v>45007</v>
      </c>
      <c r="C669" s="1" t="n">
        <v>45766</v>
      </c>
      <c r="D669" t="inlineStr">
        <is>
          <t>VÄSTMANLANDS LÄN</t>
        </is>
      </c>
      <c r="E669" t="inlineStr">
        <is>
          <t>SALA</t>
        </is>
      </c>
      <c r="G669" t="n">
        <v>5.7</v>
      </c>
      <c r="H669" t="n">
        <v>0</v>
      </c>
      <c r="I669" t="n">
        <v>0</v>
      </c>
      <c r="J669" t="n">
        <v>0</v>
      </c>
      <c r="K669" t="n">
        <v>0</v>
      </c>
      <c r="L669" t="n">
        <v>0</v>
      </c>
      <c r="M669" t="n">
        <v>0</v>
      </c>
      <c r="N669" t="n">
        <v>0</v>
      </c>
      <c r="O669" t="n">
        <v>0</v>
      </c>
      <c r="P669" t="n">
        <v>0</v>
      </c>
      <c r="Q669" t="n">
        <v>0</v>
      </c>
      <c r="R669" s="2" t="inlineStr"/>
    </row>
    <row r="670" ht="15" customHeight="1">
      <c r="A670" t="inlineStr">
        <is>
          <t>A 13833-2023</t>
        </is>
      </c>
      <c r="B670" s="1" t="n">
        <v>45007</v>
      </c>
      <c r="C670" s="1" t="n">
        <v>45766</v>
      </c>
      <c r="D670" t="inlineStr">
        <is>
          <t>VÄSTMANLANDS LÄN</t>
        </is>
      </c>
      <c r="E670" t="inlineStr">
        <is>
          <t>SALA</t>
        </is>
      </c>
      <c r="G670" t="n">
        <v>4.3</v>
      </c>
      <c r="H670" t="n">
        <v>0</v>
      </c>
      <c r="I670" t="n">
        <v>0</v>
      </c>
      <c r="J670" t="n">
        <v>0</v>
      </c>
      <c r="K670" t="n">
        <v>0</v>
      </c>
      <c r="L670" t="n">
        <v>0</v>
      </c>
      <c r="M670" t="n">
        <v>0</v>
      </c>
      <c r="N670" t="n">
        <v>0</v>
      </c>
      <c r="O670" t="n">
        <v>0</v>
      </c>
      <c r="P670" t="n">
        <v>0</v>
      </c>
      <c r="Q670" t="n">
        <v>0</v>
      </c>
      <c r="R670" s="2" t="inlineStr"/>
    </row>
    <row r="671" ht="15" customHeight="1">
      <c r="A671" t="inlineStr">
        <is>
          <t>A 13855-2023</t>
        </is>
      </c>
      <c r="B671" s="1" t="n">
        <v>45007</v>
      </c>
      <c r="C671" s="1" t="n">
        <v>45766</v>
      </c>
      <c r="D671" t="inlineStr">
        <is>
          <t>VÄSTMANLANDS LÄN</t>
        </is>
      </c>
      <c r="E671" t="inlineStr">
        <is>
          <t>SALA</t>
        </is>
      </c>
      <c r="G671" t="n">
        <v>2.9</v>
      </c>
      <c r="H671" t="n">
        <v>0</v>
      </c>
      <c r="I671" t="n">
        <v>0</v>
      </c>
      <c r="J671" t="n">
        <v>0</v>
      </c>
      <c r="K671" t="n">
        <v>0</v>
      </c>
      <c r="L671" t="n">
        <v>0</v>
      </c>
      <c r="M671" t="n">
        <v>0</v>
      </c>
      <c r="N671" t="n">
        <v>0</v>
      </c>
      <c r="O671" t="n">
        <v>0</v>
      </c>
      <c r="P671" t="n">
        <v>0</v>
      </c>
      <c r="Q671" t="n">
        <v>0</v>
      </c>
      <c r="R671" s="2" t="inlineStr"/>
    </row>
    <row r="672" ht="15" customHeight="1">
      <c r="A672" t="inlineStr">
        <is>
          <t>A 13990-2023</t>
        </is>
      </c>
      <c r="B672" s="1" t="n">
        <v>45007</v>
      </c>
      <c r="C672" s="1" t="n">
        <v>45766</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13987-2023</t>
        </is>
      </c>
      <c r="B673" s="1" t="n">
        <v>45007</v>
      </c>
      <c r="C673" s="1" t="n">
        <v>45766</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13935-2023</t>
        </is>
      </c>
      <c r="B674" s="1" t="n">
        <v>45008</v>
      </c>
      <c r="C674" s="1" t="n">
        <v>45766</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14578-2023</t>
        </is>
      </c>
      <c r="B675" s="1" t="n">
        <v>45013</v>
      </c>
      <c r="C675" s="1" t="n">
        <v>45766</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14823-2023</t>
        </is>
      </c>
      <c r="B676" s="1" t="n">
        <v>45014</v>
      </c>
      <c r="C676" s="1" t="n">
        <v>45766</v>
      </c>
      <c r="D676" t="inlineStr">
        <is>
          <t>VÄSTMANLANDS LÄN</t>
        </is>
      </c>
      <c r="E676" t="inlineStr">
        <is>
          <t>SALA</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14790-2023</t>
        </is>
      </c>
      <c r="B677" s="1" t="n">
        <v>45014</v>
      </c>
      <c r="C677" s="1" t="n">
        <v>45766</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15589-2023</t>
        </is>
      </c>
      <c r="B678" s="1" t="n">
        <v>45020</v>
      </c>
      <c r="C678" s="1" t="n">
        <v>45766</v>
      </c>
      <c r="D678" t="inlineStr">
        <is>
          <t>VÄSTMANLANDS LÄN</t>
        </is>
      </c>
      <c r="E678" t="inlineStr">
        <is>
          <t>SALA</t>
        </is>
      </c>
      <c r="G678" t="n">
        <v>7.5</v>
      </c>
      <c r="H678" t="n">
        <v>0</v>
      </c>
      <c r="I678" t="n">
        <v>0</v>
      </c>
      <c r="J678" t="n">
        <v>0</v>
      </c>
      <c r="K678" t="n">
        <v>0</v>
      </c>
      <c r="L678" t="n">
        <v>0</v>
      </c>
      <c r="M678" t="n">
        <v>0</v>
      </c>
      <c r="N678" t="n">
        <v>0</v>
      </c>
      <c r="O678" t="n">
        <v>0</v>
      </c>
      <c r="P678" t="n">
        <v>0</v>
      </c>
      <c r="Q678" t="n">
        <v>0</v>
      </c>
      <c r="R678" s="2" t="inlineStr"/>
    </row>
    <row r="679" ht="15" customHeight="1">
      <c r="A679" t="inlineStr">
        <is>
          <t>A 15584-2023</t>
        </is>
      </c>
      <c r="B679" s="1" t="n">
        <v>45020</v>
      </c>
      <c r="C679" s="1" t="n">
        <v>45766</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16003-2023</t>
        </is>
      </c>
      <c r="B680" s="1" t="n">
        <v>45024</v>
      </c>
      <c r="C680" s="1" t="n">
        <v>45766</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16002-2023</t>
        </is>
      </c>
      <c r="B681" s="1" t="n">
        <v>45024</v>
      </c>
      <c r="C681" s="1" t="n">
        <v>45766</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16041-2023</t>
        </is>
      </c>
      <c r="B682" s="1" t="n">
        <v>45027</v>
      </c>
      <c r="C682" s="1" t="n">
        <v>45766</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16142-2023</t>
        </is>
      </c>
      <c r="B683" s="1" t="n">
        <v>45027</v>
      </c>
      <c r="C683" s="1" t="n">
        <v>45766</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16083-2023</t>
        </is>
      </c>
      <c r="B684" s="1" t="n">
        <v>45027</v>
      </c>
      <c r="C684" s="1" t="n">
        <v>45766</v>
      </c>
      <c r="D684" t="inlineStr">
        <is>
          <t>VÄSTMANLANDS LÄN</t>
        </is>
      </c>
      <c r="E684" t="inlineStr">
        <is>
          <t>SALA</t>
        </is>
      </c>
      <c r="G684" t="n">
        <v>4.4</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45766</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16693-2023</t>
        </is>
      </c>
      <c r="B686" s="1" t="n">
        <v>45028</v>
      </c>
      <c r="C686" s="1" t="n">
        <v>45766</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16546-2023</t>
        </is>
      </c>
      <c r="B687" s="1" t="n">
        <v>45029</v>
      </c>
      <c r="C687" s="1" t="n">
        <v>45766</v>
      </c>
      <c r="D687" t="inlineStr">
        <is>
          <t>VÄSTMANLANDS LÄN</t>
        </is>
      </c>
      <c r="E687" t="inlineStr">
        <is>
          <t>SALA</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16543-2023</t>
        </is>
      </c>
      <c r="B688" s="1" t="n">
        <v>45029</v>
      </c>
      <c r="C688" s="1" t="n">
        <v>45766</v>
      </c>
      <c r="D688" t="inlineStr">
        <is>
          <t>VÄSTMANLANDS LÄN</t>
        </is>
      </c>
      <c r="E688" t="inlineStr">
        <is>
          <t>SALA</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16544-2023</t>
        </is>
      </c>
      <c r="B689" s="1" t="n">
        <v>45029</v>
      </c>
      <c r="C689" s="1" t="n">
        <v>45766</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16547-2023</t>
        </is>
      </c>
      <c r="B690" s="1" t="n">
        <v>45029</v>
      </c>
      <c r="C690" s="1" t="n">
        <v>45766</v>
      </c>
      <c r="D690" t="inlineStr">
        <is>
          <t>VÄSTMANLANDS LÄN</t>
        </is>
      </c>
      <c r="E690" t="inlineStr">
        <is>
          <t>SALA</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16545-2023</t>
        </is>
      </c>
      <c r="B691" s="1" t="n">
        <v>45029</v>
      </c>
      <c r="C691" s="1" t="n">
        <v>45766</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16984-2023</t>
        </is>
      </c>
      <c r="B692" s="1" t="n">
        <v>45033</v>
      </c>
      <c r="C692" s="1" t="n">
        <v>45766</v>
      </c>
      <c r="D692" t="inlineStr">
        <is>
          <t>VÄSTMANLANDS LÄN</t>
        </is>
      </c>
      <c r="E692" t="inlineStr">
        <is>
          <t>SALA</t>
        </is>
      </c>
      <c r="G692" t="n">
        <v>0.8</v>
      </c>
      <c r="H692" t="n">
        <v>0</v>
      </c>
      <c r="I692" t="n">
        <v>0</v>
      </c>
      <c r="J692" t="n">
        <v>0</v>
      </c>
      <c r="K692" t="n">
        <v>0</v>
      </c>
      <c r="L692" t="n">
        <v>0</v>
      </c>
      <c r="M692" t="n">
        <v>0</v>
      </c>
      <c r="N692" t="n">
        <v>0</v>
      </c>
      <c r="O692" t="n">
        <v>0</v>
      </c>
      <c r="P692" t="n">
        <v>0</v>
      </c>
      <c r="Q692" t="n">
        <v>0</v>
      </c>
      <c r="R692" s="2" t="inlineStr"/>
    </row>
    <row r="693" ht="15" customHeight="1">
      <c r="A693" t="inlineStr">
        <is>
          <t>A 17079-2023</t>
        </is>
      </c>
      <c r="B693" s="1" t="n">
        <v>45034</v>
      </c>
      <c r="C693" s="1" t="n">
        <v>45766</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17117-2023</t>
        </is>
      </c>
      <c r="B694" s="1" t="n">
        <v>45034</v>
      </c>
      <c r="C694" s="1" t="n">
        <v>45766</v>
      </c>
      <c r="D694" t="inlineStr">
        <is>
          <t>VÄSTMANLANDS LÄN</t>
        </is>
      </c>
      <c r="E694" t="inlineStr">
        <is>
          <t>SALA</t>
        </is>
      </c>
      <c r="G694" t="n">
        <v>0.4</v>
      </c>
      <c r="H694" t="n">
        <v>0</v>
      </c>
      <c r="I694" t="n">
        <v>0</v>
      </c>
      <c r="J694" t="n">
        <v>0</v>
      </c>
      <c r="K694" t="n">
        <v>0</v>
      </c>
      <c r="L694" t="n">
        <v>0</v>
      </c>
      <c r="M694" t="n">
        <v>0</v>
      </c>
      <c r="N694" t="n">
        <v>0</v>
      </c>
      <c r="O694" t="n">
        <v>0</v>
      </c>
      <c r="P694" t="n">
        <v>0</v>
      </c>
      <c r="Q694" t="n">
        <v>0</v>
      </c>
      <c r="R694" s="2" t="inlineStr"/>
    </row>
    <row r="695" ht="15" customHeight="1">
      <c r="A695" t="inlineStr">
        <is>
          <t>A 17109-2023</t>
        </is>
      </c>
      <c r="B695" s="1" t="n">
        <v>45034</v>
      </c>
      <c r="C695" s="1" t="n">
        <v>45766</v>
      </c>
      <c r="D695" t="inlineStr">
        <is>
          <t>VÄSTMANLANDS LÄN</t>
        </is>
      </c>
      <c r="E695" t="inlineStr">
        <is>
          <t>SALA</t>
        </is>
      </c>
      <c r="G695" t="n">
        <v>5.8</v>
      </c>
      <c r="H695" t="n">
        <v>0</v>
      </c>
      <c r="I695" t="n">
        <v>0</v>
      </c>
      <c r="J695" t="n">
        <v>0</v>
      </c>
      <c r="K695" t="n">
        <v>0</v>
      </c>
      <c r="L695" t="n">
        <v>0</v>
      </c>
      <c r="M695" t="n">
        <v>0</v>
      </c>
      <c r="N695" t="n">
        <v>0</v>
      </c>
      <c r="O695" t="n">
        <v>0</v>
      </c>
      <c r="P695" t="n">
        <v>0</v>
      </c>
      <c r="Q695" t="n">
        <v>0</v>
      </c>
      <c r="R695" s="2" t="inlineStr"/>
    </row>
    <row r="696" ht="15" customHeight="1">
      <c r="A696" t="inlineStr">
        <is>
          <t>A 17120-2023</t>
        </is>
      </c>
      <c r="B696" s="1" t="n">
        <v>45034</v>
      </c>
      <c r="C696" s="1" t="n">
        <v>45766</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45766</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18431-2023</t>
        </is>
      </c>
      <c r="B698" s="1" t="n">
        <v>45042</v>
      </c>
      <c r="C698" s="1" t="n">
        <v>45766</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18877-2023</t>
        </is>
      </c>
      <c r="B699" s="1" t="n">
        <v>45044</v>
      </c>
      <c r="C699" s="1" t="n">
        <v>45766</v>
      </c>
      <c r="D699" t="inlineStr">
        <is>
          <t>VÄSTMANLANDS LÄN</t>
        </is>
      </c>
      <c r="E699" t="inlineStr">
        <is>
          <t>SALA</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19916-2023</t>
        </is>
      </c>
      <c r="B700" s="1" t="n">
        <v>45054</v>
      </c>
      <c r="C700" s="1" t="n">
        <v>45766</v>
      </c>
      <c r="D700" t="inlineStr">
        <is>
          <t>VÄSTMANLANDS LÄN</t>
        </is>
      </c>
      <c r="E700" t="inlineStr">
        <is>
          <t>SALA</t>
        </is>
      </c>
      <c r="G700" t="n">
        <v>9.9</v>
      </c>
      <c r="H700" t="n">
        <v>0</v>
      </c>
      <c r="I700" t="n">
        <v>0</v>
      </c>
      <c r="J700" t="n">
        <v>0</v>
      </c>
      <c r="K700" t="n">
        <v>0</v>
      </c>
      <c r="L700" t="n">
        <v>0</v>
      </c>
      <c r="M700" t="n">
        <v>0</v>
      </c>
      <c r="N700" t="n">
        <v>0</v>
      </c>
      <c r="O700" t="n">
        <v>0</v>
      </c>
      <c r="P700" t="n">
        <v>0</v>
      </c>
      <c r="Q700" t="n">
        <v>0</v>
      </c>
      <c r="R700" s="2" t="inlineStr"/>
    </row>
    <row r="701" ht="15" customHeight="1">
      <c r="A701" t="inlineStr">
        <is>
          <t>A 20568-2023</t>
        </is>
      </c>
      <c r="B701" s="1" t="n">
        <v>45055</v>
      </c>
      <c r="C701" s="1" t="n">
        <v>45766</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20567-2023</t>
        </is>
      </c>
      <c r="B702" s="1" t="n">
        <v>45055</v>
      </c>
      <c r="C702" s="1" t="n">
        <v>45766</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20405-2023</t>
        </is>
      </c>
      <c r="B703" s="1" t="n">
        <v>45056</v>
      </c>
      <c r="C703" s="1" t="n">
        <v>45766</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20587-2023</t>
        </is>
      </c>
      <c r="B704" s="1" t="n">
        <v>45057</v>
      </c>
      <c r="C704" s="1" t="n">
        <v>45766</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45766</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22097-2023</t>
        </is>
      </c>
      <c r="B706" s="1" t="n">
        <v>45065</v>
      </c>
      <c r="C706" s="1" t="n">
        <v>45766</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22076-2023</t>
        </is>
      </c>
      <c r="B707" s="1" t="n">
        <v>45069</v>
      </c>
      <c r="C707" s="1" t="n">
        <v>45766</v>
      </c>
      <c r="D707" t="inlineStr">
        <is>
          <t>VÄSTMANLANDS LÄN</t>
        </is>
      </c>
      <c r="E707" t="inlineStr">
        <is>
          <t>SALA</t>
        </is>
      </c>
      <c r="G707" t="n">
        <v>5.3</v>
      </c>
      <c r="H707" t="n">
        <v>0</v>
      </c>
      <c r="I707" t="n">
        <v>0</v>
      </c>
      <c r="J707" t="n">
        <v>0</v>
      </c>
      <c r="K707" t="n">
        <v>0</v>
      </c>
      <c r="L707" t="n">
        <v>0</v>
      </c>
      <c r="M707" t="n">
        <v>0</v>
      </c>
      <c r="N707" t="n">
        <v>0</v>
      </c>
      <c r="O707" t="n">
        <v>0</v>
      </c>
      <c r="P707" t="n">
        <v>0</v>
      </c>
      <c r="Q707" t="n">
        <v>0</v>
      </c>
      <c r="R707" s="2" t="inlineStr"/>
    </row>
    <row r="708" ht="15" customHeight="1">
      <c r="A708" t="inlineStr">
        <is>
          <t>A 22146-2023</t>
        </is>
      </c>
      <c r="B708" s="1" t="n">
        <v>45069</v>
      </c>
      <c r="C708" s="1" t="n">
        <v>45766</v>
      </c>
      <c r="D708" t="inlineStr">
        <is>
          <t>VÄSTMANLANDS LÄN</t>
        </is>
      </c>
      <c r="E708" t="inlineStr">
        <is>
          <t>SALA</t>
        </is>
      </c>
      <c r="F708" t="inlineStr">
        <is>
          <t>Kommuner</t>
        </is>
      </c>
      <c r="G708" t="n">
        <v>9.9</v>
      </c>
      <c r="H708" t="n">
        <v>0</v>
      </c>
      <c r="I708" t="n">
        <v>0</v>
      </c>
      <c r="J708" t="n">
        <v>0</v>
      </c>
      <c r="K708" t="n">
        <v>0</v>
      </c>
      <c r="L708" t="n">
        <v>0</v>
      </c>
      <c r="M708" t="n">
        <v>0</v>
      </c>
      <c r="N708" t="n">
        <v>0</v>
      </c>
      <c r="O708" t="n">
        <v>0</v>
      </c>
      <c r="P708" t="n">
        <v>0</v>
      </c>
      <c r="Q708" t="n">
        <v>0</v>
      </c>
      <c r="R708" s="2" t="inlineStr"/>
    </row>
    <row r="709" ht="15" customHeight="1">
      <c r="A709" t="inlineStr">
        <is>
          <t>A 22091-2023</t>
        </is>
      </c>
      <c r="B709" s="1" t="n">
        <v>45069</v>
      </c>
      <c r="C709" s="1" t="n">
        <v>45766</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22082-2023</t>
        </is>
      </c>
      <c r="B710" s="1" t="n">
        <v>45069</v>
      </c>
      <c r="C710" s="1" t="n">
        <v>45766</v>
      </c>
      <c r="D710" t="inlineStr">
        <is>
          <t>VÄSTMANLANDS LÄN</t>
        </is>
      </c>
      <c r="E710" t="inlineStr">
        <is>
          <t>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22523-2023</t>
        </is>
      </c>
      <c r="B711" s="1" t="n">
        <v>45069</v>
      </c>
      <c r="C711" s="1" t="n">
        <v>45766</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22921-2023</t>
        </is>
      </c>
      <c r="B712" s="1" t="n">
        <v>45070</v>
      </c>
      <c r="C712" s="1" t="n">
        <v>45766</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22963-2023</t>
        </is>
      </c>
      <c r="B713" s="1" t="n">
        <v>45072</v>
      </c>
      <c r="C713" s="1" t="n">
        <v>45766</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45766</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23145-2023</t>
        </is>
      </c>
      <c r="B715" s="1" t="n">
        <v>45075</v>
      </c>
      <c r="C715" s="1" t="n">
        <v>45766</v>
      </c>
      <c r="D715" t="inlineStr">
        <is>
          <t>VÄSTMANLANDS LÄN</t>
        </is>
      </c>
      <c r="E715" t="inlineStr">
        <is>
          <t>SALA</t>
        </is>
      </c>
      <c r="G715" t="n">
        <v>5.3</v>
      </c>
      <c r="H715" t="n">
        <v>0</v>
      </c>
      <c r="I715" t="n">
        <v>0</v>
      </c>
      <c r="J715" t="n">
        <v>0</v>
      </c>
      <c r="K715" t="n">
        <v>0</v>
      </c>
      <c r="L715" t="n">
        <v>0</v>
      </c>
      <c r="M715" t="n">
        <v>0</v>
      </c>
      <c r="N715" t="n">
        <v>0</v>
      </c>
      <c r="O715" t="n">
        <v>0</v>
      </c>
      <c r="P715" t="n">
        <v>0</v>
      </c>
      <c r="Q715" t="n">
        <v>0</v>
      </c>
      <c r="R715" s="2" t="inlineStr"/>
    </row>
    <row r="716" ht="15" customHeight="1">
      <c r="A716" t="inlineStr">
        <is>
          <t>A 23146-2023</t>
        </is>
      </c>
      <c r="B716" s="1" t="n">
        <v>45075</v>
      </c>
      <c r="C716" s="1" t="n">
        <v>45766</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23224-2023</t>
        </is>
      </c>
      <c r="B717" s="1" t="n">
        <v>45075</v>
      </c>
      <c r="C717" s="1" t="n">
        <v>45766</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23222-2023</t>
        </is>
      </c>
      <c r="B718" s="1" t="n">
        <v>45075</v>
      </c>
      <c r="C718" s="1" t="n">
        <v>45766</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23232-2023</t>
        </is>
      </c>
      <c r="B719" s="1" t="n">
        <v>45075</v>
      </c>
      <c r="C719" s="1" t="n">
        <v>45766</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23374-2023</t>
        </is>
      </c>
      <c r="B720" s="1" t="n">
        <v>45076</v>
      </c>
      <c r="C720" s="1" t="n">
        <v>45766</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23372-2023</t>
        </is>
      </c>
      <c r="B721" s="1" t="n">
        <v>45076</v>
      </c>
      <c r="C721" s="1" t="n">
        <v>45766</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23659-2023</t>
        </is>
      </c>
      <c r="B722" s="1" t="n">
        <v>45077</v>
      </c>
      <c r="C722" s="1" t="n">
        <v>45766</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24248-2023</t>
        </is>
      </c>
      <c r="B723" s="1" t="n">
        <v>45079</v>
      </c>
      <c r="C723" s="1" t="n">
        <v>45766</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24495-2023</t>
        </is>
      </c>
      <c r="B724" s="1" t="n">
        <v>45082</v>
      </c>
      <c r="C724" s="1" t="n">
        <v>45766</v>
      </c>
      <c r="D724" t="inlineStr">
        <is>
          <t>VÄSTMANLANDS LÄN</t>
        </is>
      </c>
      <c r="E724" t="inlineStr">
        <is>
          <t>SALA</t>
        </is>
      </c>
      <c r="G724" t="n">
        <v>5.2</v>
      </c>
      <c r="H724" t="n">
        <v>0</v>
      </c>
      <c r="I724" t="n">
        <v>0</v>
      </c>
      <c r="J724" t="n">
        <v>0</v>
      </c>
      <c r="K724" t="n">
        <v>0</v>
      </c>
      <c r="L724" t="n">
        <v>0</v>
      </c>
      <c r="M724" t="n">
        <v>0</v>
      </c>
      <c r="N724" t="n">
        <v>0</v>
      </c>
      <c r="O724" t="n">
        <v>0</v>
      </c>
      <c r="P724" t="n">
        <v>0</v>
      </c>
      <c r="Q724" t="n">
        <v>0</v>
      </c>
      <c r="R724" s="2" t="inlineStr"/>
    </row>
    <row r="725" ht="15" customHeight="1">
      <c r="A725" t="inlineStr">
        <is>
          <t>A 24585-2023</t>
        </is>
      </c>
      <c r="B725" s="1" t="n">
        <v>45083</v>
      </c>
      <c r="C725" s="1" t="n">
        <v>45766</v>
      </c>
      <c r="D725" t="inlineStr">
        <is>
          <t>VÄSTMANLANDS LÄN</t>
        </is>
      </c>
      <c r="E725" t="inlineStr">
        <is>
          <t>SALA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24584-2023</t>
        </is>
      </c>
      <c r="B726" s="1" t="n">
        <v>45083</v>
      </c>
      <c r="C726" s="1" t="n">
        <v>45766</v>
      </c>
      <c r="D726" t="inlineStr">
        <is>
          <t>VÄSTMANLANDS LÄN</t>
        </is>
      </c>
      <c r="E726" t="inlineStr">
        <is>
          <t>SALA</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24586-2023</t>
        </is>
      </c>
      <c r="B727" s="1" t="n">
        <v>45083</v>
      </c>
      <c r="C727" s="1" t="n">
        <v>45766</v>
      </c>
      <c r="D727" t="inlineStr">
        <is>
          <t>VÄSTMANLANDS LÄN</t>
        </is>
      </c>
      <c r="E727" t="inlineStr">
        <is>
          <t>SALA</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24773-2023</t>
        </is>
      </c>
      <c r="B728" s="1" t="n">
        <v>45084</v>
      </c>
      <c r="C728" s="1" t="n">
        <v>45766</v>
      </c>
      <c r="D728" t="inlineStr">
        <is>
          <t>VÄSTMANLANDS LÄN</t>
        </is>
      </c>
      <c r="E728" t="inlineStr">
        <is>
          <t>SALA</t>
        </is>
      </c>
      <c r="G728" t="n">
        <v>5</v>
      </c>
      <c r="H728" t="n">
        <v>0</v>
      </c>
      <c r="I728" t="n">
        <v>0</v>
      </c>
      <c r="J728" t="n">
        <v>0</v>
      </c>
      <c r="K728" t="n">
        <v>0</v>
      </c>
      <c r="L728" t="n">
        <v>0</v>
      </c>
      <c r="M728" t="n">
        <v>0</v>
      </c>
      <c r="N728" t="n">
        <v>0</v>
      </c>
      <c r="O728" t="n">
        <v>0</v>
      </c>
      <c r="P728" t="n">
        <v>0</v>
      </c>
      <c r="Q728" t="n">
        <v>0</v>
      </c>
      <c r="R728" s="2" t="inlineStr"/>
    </row>
    <row r="729" ht="15" customHeight="1">
      <c r="A729" t="inlineStr">
        <is>
          <t>A 24777-2023</t>
        </is>
      </c>
      <c r="B729" s="1" t="n">
        <v>45084</v>
      </c>
      <c r="C729" s="1" t="n">
        <v>45766</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24944-2023</t>
        </is>
      </c>
      <c r="B730" s="1" t="n">
        <v>45085</v>
      </c>
      <c r="C730" s="1" t="n">
        <v>45766</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25260-2023</t>
        </is>
      </c>
      <c r="B731" s="1" t="n">
        <v>45086</v>
      </c>
      <c r="C731" s="1" t="n">
        <v>45766</v>
      </c>
      <c r="D731" t="inlineStr">
        <is>
          <t>VÄSTMANLANDS LÄN</t>
        </is>
      </c>
      <c r="E731" t="inlineStr">
        <is>
          <t>SALA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25233-2023</t>
        </is>
      </c>
      <c r="B732" s="1" t="n">
        <v>45086</v>
      </c>
      <c r="C732" s="1" t="n">
        <v>45766</v>
      </c>
      <c r="D732" t="inlineStr">
        <is>
          <t>VÄSTMANLANDS LÄN</t>
        </is>
      </c>
      <c r="E732" t="inlineStr">
        <is>
          <t>SALA</t>
        </is>
      </c>
      <c r="F732" t="inlineStr">
        <is>
          <t>Kommuner</t>
        </is>
      </c>
      <c r="G732" t="n">
        <v>4.7</v>
      </c>
      <c r="H732" t="n">
        <v>0</v>
      </c>
      <c r="I732" t="n">
        <v>0</v>
      </c>
      <c r="J732" t="n">
        <v>0</v>
      </c>
      <c r="K732" t="n">
        <v>0</v>
      </c>
      <c r="L732" t="n">
        <v>0</v>
      </c>
      <c r="M732" t="n">
        <v>0</v>
      </c>
      <c r="N732" t="n">
        <v>0</v>
      </c>
      <c r="O732" t="n">
        <v>0</v>
      </c>
      <c r="P732" t="n">
        <v>0</v>
      </c>
      <c r="Q732" t="n">
        <v>0</v>
      </c>
      <c r="R732" s="2" t="inlineStr"/>
    </row>
    <row r="733" ht="15" customHeight="1">
      <c r="A733" t="inlineStr">
        <is>
          <t>A 26229-2023</t>
        </is>
      </c>
      <c r="B733" s="1" t="n">
        <v>45086</v>
      </c>
      <c r="C733" s="1" t="n">
        <v>45766</v>
      </c>
      <c r="D733" t="inlineStr">
        <is>
          <t>VÄSTMANLANDS LÄN</t>
        </is>
      </c>
      <c r="E733" t="inlineStr">
        <is>
          <t>SALA</t>
        </is>
      </c>
      <c r="G733" t="n">
        <v>6.6</v>
      </c>
      <c r="H733" t="n">
        <v>0</v>
      </c>
      <c r="I733" t="n">
        <v>0</v>
      </c>
      <c r="J733" t="n">
        <v>0</v>
      </c>
      <c r="K733" t="n">
        <v>0</v>
      </c>
      <c r="L733" t="n">
        <v>0</v>
      </c>
      <c r="M733" t="n">
        <v>0</v>
      </c>
      <c r="N733" t="n">
        <v>0</v>
      </c>
      <c r="O733" t="n">
        <v>0</v>
      </c>
      <c r="P733" t="n">
        <v>0</v>
      </c>
      <c r="Q733" t="n">
        <v>0</v>
      </c>
      <c r="R733" s="2" t="inlineStr"/>
    </row>
    <row r="734" ht="15" customHeight="1">
      <c r="A734" t="inlineStr">
        <is>
          <t>A 25566-2023</t>
        </is>
      </c>
      <c r="B734" s="1" t="n">
        <v>45089</v>
      </c>
      <c r="C734" s="1" t="n">
        <v>45766</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25571-2023</t>
        </is>
      </c>
      <c r="B735" s="1" t="n">
        <v>45089</v>
      </c>
      <c r="C735" s="1" t="n">
        <v>45766</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25576-2023</t>
        </is>
      </c>
      <c r="B736" s="1" t="n">
        <v>45089</v>
      </c>
      <c r="C736" s="1" t="n">
        <v>45766</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25580-2023</t>
        </is>
      </c>
      <c r="B737" s="1" t="n">
        <v>45089</v>
      </c>
      <c r="C737" s="1" t="n">
        <v>45766</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25894-2023</t>
        </is>
      </c>
      <c r="B738" s="1" t="n">
        <v>45090</v>
      </c>
      <c r="C738" s="1" t="n">
        <v>45766</v>
      </c>
      <c r="D738" t="inlineStr">
        <is>
          <t>VÄSTMANLANDS LÄN</t>
        </is>
      </c>
      <c r="E738" t="inlineStr">
        <is>
          <t>SALA</t>
        </is>
      </c>
      <c r="G738" t="n">
        <v>3.2</v>
      </c>
      <c r="H738" t="n">
        <v>0</v>
      </c>
      <c r="I738" t="n">
        <v>0</v>
      </c>
      <c r="J738" t="n">
        <v>0</v>
      </c>
      <c r="K738" t="n">
        <v>0</v>
      </c>
      <c r="L738" t="n">
        <v>0</v>
      </c>
      <c r="M738" t="n">
        <v>0</v>
      </c>
      <c r="N738" t="n">
        <v>0</v>
      </c>
      <c r="O738" t="n">
        <v>0</v>
      </c>
      <c r="P738" t="n">
        <v>0</v>
      </c>
      <c r="Q738" t="n">
        <v>0</v>
      </c>
      <c r="R738" s="2" t="inlineStr"/>
    </row>
    <row r="739" ht="15" customHeight="1">
      <c r="A739" t="inlineStr">
        <is>
          <t>A 26607-2023</t>
        </is>
      </c>
      <c r="B739" s="1" t="n">
        <v>45090</v>
      </c>
      <c r="C739" s="1" t="n">
        <v>45766</v>
      </c>
      <c r="D739" t="inlineStr">
        <is>
          <t>VÄSTMANLANDS LÄN</t>
        </is>
      </c>
      <c r="E739" t="inlineStr">
        <is>
          <t>SALA</t>
        </is>
      </c>
      <c r="G739" t="n">
        <v>4.8</v>
      </c>
      <c r="H739" t="n">
        <v>0</v>
      </c>
      <c r="I739" t="n">
        <v>0</v>
      </c>
      <c r="J739" t="n">
        <v>0</v>
      </c>
      <c r="K739" t="n">
        <v>0</v>
      </c>
      <c r="L739" t="n">
        <v>0</v>
      </c>
      <c r="M739" t="n">
        <v>0</v>
      </c>
      <c r="N739" t="n">
        <v>0</v>
      </c>
      <c r="O739" t="n">
        <v>0</v>
      </c>
      <c r="P739" t="n">
        <v>0</v>
      </c>
      <c r="Q739" t="n">
        <v>0</v>
      </c>
      <c r="R739" s="2" t="inlineStr"/>
    </row>
    <row r="740" ht="15" customHeight="1">
      <c r="A740" t="inlineStr">
        <is>
          <t>A 26505-2023</t>
        </is>
      </c>
      <c r="B740" s="1" t="n">
        <v>45092</v>
      </c>
      <c r="C740" s="1" t="n">
        <v>45766</v>
      </c>
      <c r="D740" t="inlineStr">
        <is>
          <t>VÄSTMANLANDS LÄN</t>
        </is>
      </c>
      <c r="E740" t="inlineStr">
        <is>
          <t>SALA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26509-2023</t>
        </is>
      </c>
      <c r="B741" s="1" t="n">
        <v>45092</v>
      </c>
      <c r="C741" s="1" t="n">
        <v>45766</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26508-2023</t>
        </is>
      </c>
      <c r="B742" s="1" t="n">
        <v>45092</v>
      </c>
      <c r="C742" s="1" t="n">
        <v>45766</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26416-2023</t>
        </is>
      </c>
      <c r="B743" s="1" t="n">
        <v>45092</v>
      </c>
      <c r="C743" s="1" t="n">
        <v>45766</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26507-2023</t>
        </is>
      </c>
      <c r="B744" s="1" t="n">
        <v>45092</v>
      </c>
      <c r="C744" s="1" t="n">
        <v>45766</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26692-2023</t>
        </is>
      </c>
      <c r="B745" s="1" t="n">
        <v>45093</v>
      </c>
      <c r="C745" s="1" t="n">
        <v>45766</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26761-2023</t>
        </is>
      </c>
      <c r="B746" s="1" t="n">
        <v>45093</v>
      </c>
      <c r="C746" s="1" t="n">
        <v>45766</v>
      </c>
      <c r="D746" t="inlineStr">
        <is>
          <t>VÄSTMANLANDS LÄN</t>
        </is>
      </c>
      <c r="E746" t="inlineStr">
        <is>
          <t>SALA</t>
        </is>
      </c>
      <c r="G746" t="n">
        <v>4.3</v>
      </c>
      <c r="H746" t="n">
        <v>0</v>
      </c>
      <c r="I746" t="n">
        <v>0</v>
      </c>
      <c r="J746" t="n">
        <v>0</v>
      </c>
      <c r="K746" t="n">
        <v>0</v>
      </c>
      <c r="L746" t="n">
        <v>0</v>
      </c>
      <c r="M746" t="n">
        <v>0</v>
      </c>
      <c r="N746" t="n">
        <v>0</v>
      </c>
      <c r="O746" t="n">
        <v>0</v>
      </c>
      <c r="P746" t="n">
        <v>0</v>
      </c>
      <c r="Q746" t="n">
        <v>0</v>
      </c>
      <c r="R746" s="2" t="inlineStr"/>
    </row>
    <row r="747" ht="15" customHeight="1">
      <c r="A747" t="inlineStr">
        <is>
          <t>A 27023-2023</t>
        </is>
      </c>
      <c r="B747" s="1" t="n">
        <v>45094</v>
      </c>
      <c r="C747" s="1" t="n">
        <v>45766</v>
      </c>
      <c r="D747" t="inlineStr">
        <is>
          <t>VÄSTMANLANDS LÄN</t>
        </is>
      </c>
      <c r="E747" t="inlineStr">
        <is>
          <t>SALA</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27038-2023</t>
        </is>
      </c>
      <c r="B748" s="1" t="n">
        <v>45095</v>
      </c>
      <c r="C748" s="1" t="n">
        <v>45766</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27228-2023</t>
        </is>
      </c>
      <c r="B749" s="1" t="n">
        <v>45096</v>
      </c>
      <c r="C749" s="1" t="n">
        <v>45766</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27255-2023</t>
        </is>
      </c>
      <c r="B750" s="1" t="n">
        <v>45096</v>
      </c>
      <c r="C750" s="1" t="n">
        <v>45766</v>
      </c>
      <c r="D750" t="inlineStr">
        <is>
          <t>VÄSTMANLANDS LÄN</t>
        </is>
      </c>
      <c r="E750" t="inlineStr">
        <is>
          <t>SALA</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27424-2023</t>
        </is>
      </c>
      <c r="B751" s="1" t="n">
        <v>45097</v>
      </c>
      <c r="C751" s="1" t="n">
        <v>45766</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27638-2023</t>
        </is>
      </c>
      <c r="B752" s="1" t="n">
        <v>45097</v>
      </c>
      <c r="C752" s="1" t="n">
        <v>45766</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27657-2023</t>
        </is>
      </c>
      <c r="B753" s="1" t="n">
        <v>45097</v>
      </c>
      <c r="C753" s="1" t="n">
        <v>45766</v>
      </c>
      <c r="D753" t="inlineStr">
        <is>
          <t>VÄSTMANLANDS LÄN</t>
        </is>
      </c>
      <c r="E753" t="inlineStr">
        <is>
          <t>SALA</t>
        </is>
      </c>
      <c r="G753" t="n">
        <v>0.1</v>
      </c>
      <c r="H753" t="n">
        <v>0</v>
      </c>
      <c r="I753" t="n">
        <v>0</v>
      </c>
      <c r="J753" t="n">
        <v>0</v>
      </c>
      <c r="K753" t="n">
        <v>0</v>
      </c>
      <c r="L753" t="n">
        <v>0</v>
      </c>
      <c r="M753" t="n">
        <v>0</v>
      </c>
      <c r="N753" t="n">
        <v>0</v>
      </c>
      <c r="O753" t="n">
        <v>0</v>
      </c>
      <c r="P753" t="n">
        <v>0</v>
      </c>
      <c r="Q753" t="n">
        <v>0</v>
      </c>
      <c r="R753" s="2" t="inlineStr"/>
    </row>
    <row r="754" ht="15" customHeight="1">
      <c r="A754" t="inlineStr">
        <is>
          <t>A 27744-2023</t>
        </is>
      </c>
      <c r="B754" s="1" t="n">
        <v>45098</v>
      </c>
      <c r="C754" s="1" t="n">
        <v>45766</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27834-2023</t>
        </is>
      </c>
      <c r="B755" s="1" t="n">
        <v>45098</v>
      </c>
      <c r="C755" s="1" t="n">
        <v>45766</v>
      </c>
      <c r="D755" t="inlineStr">
        <is>
          <t>VÄSTMANLANDS LÄN</t>
        </is>
      </c>
      <c r="E755" t="inlineStr">
        <is>
          <t>SALA</t>
        </is>
      </c>
      <c r="G755" t="n">
        <v>5</v>
      </c>
      <c r="H755" t="n">
        <v>0</v>
      </c>
      <c r="I755" t="n">
        <v>0</v>
      </c>
      <c r="J755" t="n">
        <v>0</v>
      </c>
      <c r="K755" t="n">
        <v>0</v>
      </c>
      <c r="L755" t="n">
        <v>0</v>
      </c>
      <c r="M755" t="n">
        <v>0</v>
      </c>
      <c r="N755" t="n">
        <v>0</v>
      </c>
      <c r="O755" t="n">
        <v>0</v>
      </c>
      <c r="P755" t="n">
        <v>0</v>
      </c>
      <c r="Q755" t="n">
        <v>0</v>
      </c>
      <c r="R755" s="2" t="inlineStr"/>
    </row>
    <row r="756" ht="15" customHeight="1">
      <c r="A756" t="inlineStr">
        <is>
          <t>A 27824-2023</t>
        </is>
      </c>
      <c r="B756" s="1" t="n">
        <v>45098</v>
      </c>
      <c r="C756" s="1" t="n">
        <v>45766</v>
      </c>
      <c r="D756" t="inlineStr">
        <is>
          <t>VÄSTMANLANDS LÄN</t>
        </is>
      </c>
      <c r="E756" t="inlineStr">
        <is>
          <t>SALA</t>
        </is>
      </c>
      <c r="G756" t="n">
        <v>5.3</v>
      </c>
      <c r="H756" t="n">
        <v>0</v>
      </c>
      <c r="I756" t="n">
        <v>0</v>
      </c>
      <c r="J756" t="n">
        <v>0</v>
      </c>
      <c r="K756" t="n">
        <v>0</v>
      </c>
      <c r="L756" t="n">
        <v>0</v>
      </c>
      <c r="M756" t="n">
        <v>0</v>
      </c>
      <c r="N756" t="n">
        <v>0</v>
      </c>
      <c r="O756" t="n">
        <v>0</v>
      </c>
      <c r="P756" t="n">
        <v>0</v>
      </c>
      <c r="Q756" t="n">
        <v>0</v>
      </c>
      <c r="R756" s="2" t="inlineStr"/>
    </row>
    <row r="757" ht="15" customHeight="1">
      <c r="A757" t="inlineStr">
        <is>
          <t>A 27749-2023</t>
        </is>
      </c>
      <c r="B757" s="1" t="n">
        <v>45098</v>
      </c>
      <c r="C757" s="1" t="n">
        <v>45766</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29542-2023</t>
        </is>
      </c>
      <c r="B758" s="1" t="n">
        <v>45098</v>
      </c>
      <c r="C758" s="1" t="n">
        <v>45766</v>
      </c>
      <c r="D758" t="inlineStr">
        <is>
          <t>VÄSTMANLANDS LÄN</t>
        </is>
      </c>
      <c r="E758" t="inlineStr">
        <is>
          <t>SALA</t>
        </is>
      </c>
      <c r="G758" t="n">
        <v>4.8</v>
      </c>
      <c r="H758" t="n">
        <v>0</v>
      </c>
      <c r="I758" t="n">
        <v>0</v>
      </c>
      <c r="J758" t="n">
        <v>0</v>
      </c>
      <c r="K758" t="n">
        <v>0</v>
      </c>
      <c r="L758" t="n">
        <v>0</v>
      </c>
      <c r="M758" t="n">
        <v>0</v>
      </c>
      <c r="N758" t="n">
        <v>0</v>
      </c>
      <c r="O758" t="n">
        <v>0</v>
      </c>
      <c r="P758" t="n">
        <v>0</v>
      </c>
      <c r="Q758" t="n">
        <v>0</v>
      </c>
      <c r="R758" s="2" t="inlineStr"/>
    </row>
    <row r="759" ht="15" customHeight="1">
      <c r="A759" t="inlineStr">
        <is>
          <t>A 28328-2023</t>
        </is>
      </c>
      <c r="B759" s="1" t="n">
        <v>45099</v>
      </c>
      <c r="C759" s="1" t="n">
        <v>45766</v>
      </c>
      <c r="D759" t="inlineStr">
        <is>
          <t>VÄSTMANLANDS LÄN</t>
        </is>
      </c>
      <c r="E759" t="inlineStr">
        <is>
          <t>SALA</t>
        </is>
      </c>
      <c r="G759" t="n">
        <v>1.8</v>
      </c>
      <c r="H759" t="n">
        <v>0</v>
      </c>
      <c r="I759" t="n">
        <v>0</v>
      </c>
      <c r="J759" t="n">
        <v>0</v>
      </c>
      <c r="K759" t="n">
        <v>0</v>
      </c>
      <c r="L759" t="n">
        <v>0</v>
      </c>
      <c r="M759" t="n">
        <v>0</v>
      </c>
      <c r="N759" t="n">
        <v>0</v>
      </c>
      <c r="O759" t="n">
        <v>0</v>
      </c>
      <c r="P759" t="n">
        <v>0</v>
      </c>
      <c r="Q759" t="n">
        <v>0</v>
      </c>
      <c r="R759" s="2" t="inlineStr"/>
    </row>
    <row r="760" ht="15" customHeight="1">
      <c r="A760" t="inlineStr">
        <is>
          <t>A 28696-2023</t>
        </is>
      </c>
      <c r="B760" s="1" t="n">
        <v>45103</v>
      </c>
      <c r="C760" s="1" t="n">
        <v>45766</v>
      </c>
      <c r="D760" t="inlineStr">
        <is>
          <t>VÄSTMANLANDS LÄN</t>
        </is>
      </c>
      <c r="E760" t="inlineStr">
        <is>
          <t>SALA</t>
        </is>
      </c>
      <c r="F760" t="inlineStr">
        <is>
          <t>Kommuner</t>
        </is>
      </c>
      <c r="G760" t="n">
        <v>5.9</v>
      </c>
      <c r="H760" t="n">
        <v>0</v>
      </c>
      <c r="I760" t="n">
        <v>0</v>
      </c>
      <c r="J760" t="n">
        <v>0</v>
      </c>
      <c r="K760" t="n">
        <v>0</v>
      </c>
      <c r="L760" t="n">
        <v>0</v>
      </c>
      <c r="M760" t="n">
        <v>0</v>
      </c>
      <c r="N760" t="n">
        <v>0</v>
      </c>
      <c r="O760" t="n">
        <v>0</v>
      </c>
      <c r="P760" t="n">
        <v>0</v>
      </c>
      <c r="Q760" t="n">
        <v>0</v>
      </c>
      <c r="R760" s="2" t="inlineStr"/>
    </row>
    <row r="761" ht="15" customHeight="1">
      <c r="A761" t="inlineStr">
        <is>
          <t>A 29241-2023</t>
        </is>
      </c>
      <c r="B761" s="1" t="n">
        <v>45105</v>
      </c>
      <c r="C761" s="1" t="n">
        <v>45766</v>
      </c>
      <c r="D761" t="inlineStr">
        <is>
          <t>VÄSTMANLANDS LÄN</t>
        </is>
      </c>
      <c r="E761" t="inlineStr">
        <is>
          <t>SALA</t>
        </is>
      </c>
      <c r="F761" t="inlineStr">
        <is>
          <t>Kommuner</t>
        </is>
      </c>
      <c r="G761" t="n">
        <v>4.8</v>
      </c>
      <c r="H761" t="n">
        <v>0</v>
      </c>
      <c r="I761" t="n">
        <v>0</v>
      </c>
      <c r="J761" t="n">
        <v>0</v>
      </c>
      <c r="K761" t="n">
        <v>0</v>
      </c>
      <c r="L761" t="n">
        <v>0</v>
      </c>
      <c r="M761" t="n">
        <v>0</v>
      </c>
      <c r="N761" t="n">
        <v>0</v>
      </c>
      <c r="O761" t="n">
        <v>0</v>
      </c>
      <c r="P761" t="n">
        <v>0</v>
      </c>
      <c r="Q761" t="n">
        <v>0</v>
      </c>
      <c r="R761" s="2" t="inlineStr"/>
    </row>
    <row r="762" ht="15" customHeight="1">
      <c r="A762" t="inlineStr">
        <is>
          <t>A 31945-2023</t>
        </is>
      </c>
      <c r="B762" s="1" t="n">
        <v>45107</v>
      </c>
      <c r="C762" s="1" t="n">
        <v>45766</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31950-2023</t>
        </is>
      </c>
      <c r="B763" s="1" t="n">
        <v>45107</v>
      </c>
      <c r="C763" s="1" t="n">
        <v>45766</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31953-2023</t>
        </is>
      </c>
      <c r="B764" s="1" t="n">
        <v>45107</v>
      </c>
      <c r="C764" s="1" t="n">
        <v>45766</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31298-2023</t>
        </is>
      </c>
      <c r="B765" s="1" t="n">
        <v>45114</v>
      </c>
      <c r="C765" s="1" t="n">
        <v>45766</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31315-2023</t>
        </is>
      </c>
      <c r="B766" s="1" t="n">
        <v>45114</v>
      </c>
      <c r="C766" s="1" t="n">
        <v>45766</v>
      </c>
      <c r="D766" t="inlineStr">
        <is>
          <t>VÄSTMANLANDS LÄN</t>
        </is>
      </c>
      <c r="E766" t="inlineStr">
        <is>
          <t>SALA</t>
        </is>
      </c>
      <c r="G766" t="n">
        <v>1.7</v>
      </c>
      <c r="H766" t="n">
        <v>0</v>
      </c>
      <c r="I766" t="n">
        <v>0</v>
      </c>
      <c r="J766" t="n">
        <v>0</v>
      </c>
      <c r="K766" t="n">
        <v>0</v>
      </c>
      <c r="L766" t="n">
        <v>0</v>
      </c>
      <c r="M766" t="n">
        <v>0</v>
      </c>
      <c r="N766" t="n">
        <v>0</v>
      </c>
      <c r="O766" t="n">
        <v>0</v>
      </c>
      <c r="P766" t="n">
        <v>0</v>
      </c>
      <c r="Q766" t="n">
        <v>0</v>
      </c>
      <c r="R766" s="2" t="inlineStr"/>
    </row>
    <row r="767" ht="15" customHeight="1">
      <c r="A767" t="inlineStr">
        <is>
          <t>A 31646-2023</t>
        </is>
      </c>
      <c r="B767" s="1" t="n">
        <v>45117</v>
      </c>
      <c r="C767" s="1" t="n">
        <v>45766</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31859-2023</t>
        </is>
      </c>
      <c r="B768" s="1" t="n">
        <v>45118</v>
      </c>
      <c r="C768" s="1" t="n">
        <v>45766</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31859-2023 karta knärot.png", "A 31859-2023")</f>
        <v/>
      </c>
      <c r="V768">
        <f>HYPERLINK("https://klasma.github.io/Logging_1981/klagomål/A 31859-2023 FSC-klagomål.docx", "A 31859-2023")</f>
        <v/>
      </c>
      <c r="W768">
        <f>HYPERLINK("https://klasma.github.io/Logging_1981/klagomålsmail/A 31859-2023 FSC-klagomål mail.docx", "A 31859-2023")</f>
        <v/>
      </c>
      <c r="X768">
        <f>HYPERLINK("https://klasma.github.io/Logging_1981/tillsyn/A 31859-2023 tillsynsbegäran.docx", "A 31859-2023")</f>
        <v/>
      </c>
      <c r="Y768">
        <f>HYPERLINK("https://klasma.github.io/Logging_1981/tillsynsmail/A 31859-2023 tillsynsbegäran mail.docx", "A 31859-2023")</f>
        <v/>
      </c>
    </row>
    <row r="769" ht="15" customHeight="1">
      <c r="A769" t="inlineStr">
        <is>
          <t>A 32945-2023</t>
        </is>
      </c>
      <c r="B769" s="1" t="n">
        <v>45125</v>
      </c>
      <c r="C769" s="1" t="n">
        <v>45766</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33152-2023</t>
        </is>
      </c>
      <c r="B770" s="1" t="n">
        <v>45126</v>
      </c>
      <c r="C770" s="1" t="n">
        <v>45766</v>
      </c>
      <c r="D770" t="inlineStr">
        <is>
          <t>VÄSTMANLANDS LÄN</t>
        </is>
      </c>
      <c r="E770" t="inlineStr">
        <is>
          <t>SALA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33151-2023</t>
        </is>
      </c>
      <c r="B771" s="1" t="n">
        <v>45126</v>
      </c>
      <c r="C771" s="1" t="n">
        <v>45766</v>
      </c>
      <c r="D771" t="inlineStr">
        <is>
          <t>VÄSTMANLANDS LÄN</t>
        </is>
      </c>
      <c r="E771" t="inlineStr">
        <is>
          <t>SALA</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33180-2023</t>
        </is>
      </c>
      <c r="B772" s="1" t="n">
        <v>45127</v>
      </c>
      <c r="C772" s="1" t="n">
        <v>45766</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33273-2023</t>
        </is>
      </c>
      <c r="B773" s="1" t="n">
        <v>45127</v>
      </c>
      <c r="C773" s="1" t="n">
        <v>45766</v>
      </c>
      <c r="D773" t="inlineStr">
        <is>
          <t>VÄSTMANLANDS LÄN</t>
        </is>
      </c>
      <c r="E773" t="inlineStr">
        <is>
          <t>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33527-2023</t>
        </is>
      </c>
      <c r="B774" s="1" t="n">
        <v>45131</v>
      </c>
      <c r="C774" s="1" t="n">
        <v>45766</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34361-2023</t>
        </is>
      </c>
      <c r="B775" s="1" t="n">
        <v>45131</v>
      </c>
      <c r="C775" s="1" t="n">
        <v>45766</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33732-2023</t>
        </is>
      </c>
      <c r="B776" s="1" t="n">
        <v>45133</v>
      </c>
      <c r="C776" s="1" t="n">
        <v>45766</v>
      </c>
      <c r="D776" t="inlineStr">
        <is>
          <t>VÄSTMANLANDS LÄN</t>
        </is>
      </c>
      <c r="E776" t="inlineStr">
        <is>
          <t>SALA</t>
        </is>
      </c>
      <c r="G776" t="n">
        <v>2</v>
      </c>
      <c r="H776" t="n">
        <v>0</v>
      </c>
      <c r="I776" t="n">
        <v>0</v>
      </c>
      <c r="J776" t="n">
        <v>0</v>
      </c>
      <c r="K776" t="n">
        <v>0</v>
      </c>
      <c r="L776" t="n">
        <v>0</v>
      </c>
      <c r="M776" t="n">
        <v>0</v>
      </c>
      <c r="N776" t="n">
        <v>0</v>
      </c>
      <c r="O776" t="n">
        <v>0</v>
      </c>
      <c r="P776" t="n">
        <v>0</v>
      </c>
      <c r="Q776" t="n">
        <v>0</v>
      </c>
      <c r="R776" s="2" t="inlineStr"/>
    </row>
    <row r="777" ht="15" customHeight="1">
      <c r="A777" t="inlineStr">
        <is>
          <t>A 33743-2023</t>
        </is>
      </c>
      <c r="B777" s="1" t="n">
        <v>45133</v>
      </c>
      <c r="C777" s="1" t="n">
        <v>45766</v>
      </c>
      <c r="D777" t="inlineStr">
        <is>
          <t>VÄSTMANLANDS LÄN</t>
        </is>
      </c>
      <c r="E777" t="inlineStr">
        <is>
          <t>SALA</t>
        </is>
      </c>
      <c r="G777" t="n">
        <v>4.6</v>
      </c>
      <c r="H777" t="n">
        <v>0</v>
      </c>
      <c r="I777" t="n">
        <v>0</v>
      </c>
      <c r="J777" t="n">
        <v>0</v>
      </c>
      <c r="K777" t="n">
        <v>0</v>
      </c>
      <c r="L777" t="n">
        <v>0</v>
      </c>
      <c r="M777" t="n">
        <v>0</v>
      </c>
      <c r="N777" t="n">
        <v>0</v>
      </c>
      <c r="O777" t="n">
        <v>0</v>
      </c>
      <c r="P777" t="n">
        <v>0</v>
      </c>
      <c r="Q777" t="n">
        <v>0</v>
      </c>
      <c r="R777" s="2" t="inlineStr"/>
    </row>
    <row r="778" ht="15" customHeight="1">
      <c r="A778" t="inlineStr">
        <is>
          <t>A 34494-2023</t>
        </is>
      </c>
      <c r="B778" s="1" t="n">
        <v>45133</v>
      </c>
      <c r="C778" s="1" t="n">
        <v>45766</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34215-2023</t>
        </is>
      </c>
      <c r="B779" s="1" t="n">
        <v>45138</v>
      </c>
      <c r="C779" s="1" t="n">
        <v>45766</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34867-2023</t>
        </is>
      </c>
      <c r="B780" s="1" t="n">
        <v>45142</v>
      </c>
      <c r="C780" s="1" t="n">
        <v>45766</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35434-2023</t>
        </is>
      </c>
      <c r="B781" s="1" t="n">
        <v>45146</v>
      </c>
      <c r="C781" s="1" t="n">
        <v>45766</v>
      </c>
      <c r="D781" t="inlineStr">
        <is>
          <t>VÄSTMANLANDS LÄN</t>
        </is>
      </c>
      <c r="E781" t="inlineStr">
        <is>
          <t>SALA</t>
        </is>
      </c>
      <c r="G781" t="n">
        <v>2.5</v>
      </c>
      <c r="H781" t="n">
        <v>0</v>
      </c>
      <c r="I781" t="n">
        <v>0</v>
      </c>
      <c r="J781" t="n">
        <v>0</v>
      </c>
      <c r="K781" t="n">
        <v>0</v>
      </c>
      <c r="L781" t="n">
        <v>0</v>
      </c>
      <c r="M781" t="n">
        <v>0</v>
      </c>
      <c r="N781" t="n">
        <v>0</v>
      </c>
      <c r="O781" t="n">
        <v>0</v>
      </c>
      <c r="P781" t="n">
        <v>0</v>
      </c>
      <c r="Q781" t="n">
        <v>0</v>
      </c>
      <c r="R781" s="2" t="inlineStr"/>
    </row>
    <row r="782" ht="15" customHeight="1">
      <c r="A782" t="inlineStr">
        <is>
          <t>A 36393-2023</t>
        </is>
      </c>
      <c r="B782" s="1" t="n">
        <v>45152</v>
      </c>
      <c r="C782" s="1" t="n">
        <v>45766</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36858-2023</t>
        </is>
      </c>
      <c r="B783" s="1" t="n">
        <v>45154</v>
      </c>
      <c r="C783" s="1" t="n">
        <v>45766</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38773-2023</t>
        </is>
      </c>
      <c r="B784" s="1" t="n">
        <v>45161</v>
      </c>
      <c r="C784" s="1" t="n">
        <v>45766</v>
      </c>
      <c r="D784" t="inlineStr">
        <is>
          <t>VÄSTMANLANDS LÄN</t>
        </is>
      </c>
      <c r="E784" t="inlineStr">
        <is>
          <t>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38561-2023</t>
        </is>
      </c>
      <c r="B785" s="1" t="n">
        <v>45162</v>
      </c>
      <c r="C785" s="1" t="n">
        <v>45766</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39011-2023</t>
        </is>
      </c>
      <c r="B786" s="1" t="n">
        <v>45162</v>
      </c>
      <c r="C786" s="1" t="n">
        <v>45766</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39604-2023</t>
        </is>
      </c>
      <c r="B787" s="1" t="n">
        <v>45163</v>
      </c>
      <c r="C787" s="1" t="n">
        <v>45766</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39714-2023</t>
        </is>
      </c>
      <c r="B788" s="1" t="n">
        <v>45167</v>
      </c>
      <c r="C788" s="1" t="n">
        <v>45766</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39708-2023</t>
        </is>
      </c>
      <c r="B789" s="1" t="n">
        <v>45167</v>
      </c>
      <c r="C789" s="1" t="n">
        <v>45766</v>
      </c>
      <c r="D789" t="inlineStr">
        <is>
          <t>VÄSTMANLANDS LÄN</t>
        </is>
      </c>
      <c r="E789" t="inlineStr">
        <is>
          <t>SALA</t>
        </is>
      </c>
      <c r="G789" t="n">
        <v>5.3</v>
      </c>
      <c r="H789" t="n">
        <v>0</v>
      </c>
      <c r="I789" t="n">
        <v>0</v>
      </c>
      <c r="J789" t="n">
        <v>0</v>
      </c>
      <c r="K789" t="n">
        <v>0</v>
      </c>
      <c r="L789" t="n">
        <v>0</v>
      </c>
      <c r="M789" t="n">
        <v>0</v>
      </c>
      <c r="N789" t="n">
        <v>0</v>
      </c>
      <c r="O789" t="n">
        <v>0</v>
      </c>
      <c r="P789" t="n">
        <v>0</v>
      </c>
      <c r="Q789" t="n">
        <v>0</v>
      </c>
      <c r="R789" s="2" t="inlineStr"/>
    </row>
    <row r="790" ht="15" customHeight="1">
      <c r="A790" t="inlineStr">
        <is>
          <t>A 39713-2023</t>
        </is>
      </c>
      <c r="B790" s="1" t="n">
        <v>45167</v>
      </c>
      <c r="C790" s="1" t="n">
        <v>45766</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40214-2023</t>
        </is>
      </c>
      <c r="B791" s="1" t="n">
        <v>45169</v>
      </c>
      <c r="C791" s="1" t="n">
        <v>45766</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41613-2023</t>
        </is>
      </c>
      <c r="B792" s="1" t="n">
        <v>45173</v>
      </c>
      <c r="C792" s="1" t="n">
        <v>45766</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41619-2023</t>
        </is>
      </c>
      <c r="B793" s="1" t="n">
        <v>45173</v>
      </c>
      <c r="C793" s="1" t="n">
        <v>45766</v>
      </c>
      <c r="D793" t="inlineStr">
        <is>
          <t>VÄSTMANLANDS LÄN</t>
        </is>
      </c>
      <c r="E793" t="inlineStr">
        <is>
          <t>SALA</t>
        </is>
      </c>
      <c r="G793" t="n">
        <v>1</v>
      </c>
      <c r="H793" t="n">
        <v>0</v>
      </c>
      <c r="I793" t="n">
        <v>0</v>
      </c>
      <c r="J793" t="n">
        <v>0</v>
      </c>
      <c r="K793" t="n">
        <v>0</v>
      </c>
      <c r="L793" t="n">
        <v>0</v>
      </c>
      <c r="M793" t="n">
        <v>0</v>
      </c>
      <c r="N793" t="n">
        <v>0</v>
      </c>
      <c r="O793" t="n">
        <v>0</v>
      </c>
      <c r="P793" t="n">
        <v>0</v>
      </c>
      <c r="Q793" t="n">
        <v>0</v>
      </c>
      <c r="R793" s="2" t="inlineStr"/>
    </row>
    <row r="794" ht="15" customHeight="1">
      <c r="A794" t="inlineStr">
        <is>
          <t>A 42312-2023</t>
        </is>
      </c>
      <c r="B794" s="1" t="n">
        <v>45175</v>
      </c>
      <c r="C794" s="1" t="n">
        <v>45766</v>
      </c>
      <c r="D794" t="inlineStr">
        <is>
          <t>VÄSTMANLANDS LÄN</t>
        </is>
      </c>
      <c r="E794" t="inlineStr">
        <is>
          <t>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42938-2023</t>
        </is>
      </c>
      <c r="B795" s="1" t="n">
        <v>45179</v>
      </c>
      <c r="C795" s="1" t="n">
        <v>45766</v>
      </c>
      <c r="D795" t="inlineStr">
        <is>
          <t>VÄSTMANLANDS LÄN</t>
        </is>
      </c>
      <c r="E795" t="inlineStr">
        <is>
          <t>SALA</t>
        </is>
      </c>
      <c r="G795" t="n">
        <v>10.9</v>
      </c>
      <c r="H795" t="n">
        <v>0</v>
      </c>
      <c r="I795" t="n">
        <v>0</v>
      </c>
      <c r="J795" t="n">
        <v>0</v>
      </c>
      <c r="K795" t="n">
        <v>0</v>
      </c>
      <c r="L795" t="n">
        <v>0</v>
      </c>
      <c r="M795" t="n">
        <v>0</v>
      </c>
      <c r="N795" t="n">
        <v>0</v>
      </c>
      <c r="O795" t="n">
        <v>0</v>
      </c>
      <c r="P795" t="n">
        <v>0</v>
      </c>
      <c r="Q795" t="n">
        <v>0</v>
      </c>
      <c r="R795" s="2" t="inlineStr"/>
    </row>
    <row r="796" ht="15" customHeight="1">
      <c r="A796" t="inlineStr">
        <is>
          <t>A 42984-2023</t>
        </is>
      </c>
      <c r="B796" s="1" t="n">
        <v>45179</v>
      </c>
      <c r="C796" s="1" t="n">
        <v>45766</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42991-2023</t>
        </is>
      </c>
      <c r="B797" s="1" t="n">
        <v>45179</v>
      </c>
      <c r="C797" s="1" t="n">
        <v>45766</v>
      </c>
      <c r="D797" t="inlineStr">
        <is>
          <t>VÄSTMANLANDS LÄN</t>
        </is>
      </c>
      <c r="E797" t="inlineStr">
        <is>
          <t>SALA</t>
        </is>
      </c>
      <c r="G797" t="n">
        <v>3.6</v>
      </c>
      <c r="H797" t="n">
        <v>0</v>
      </c>
      <c r="I797" t="n">
        <v>0</v>
      </c>
      <c r="J797" t="n">
        <v>0</v>
      </c>
      <c r="K797" t="n">
        <v>0</v>
      </c>
      <c r="L797" t="n">
        <v>0</v>
      </c>
      <c r="M797" t="n">
        <v>0</v>
      </c>
      <c r="N797" t="n">
        <v>0</v>
      </c>
      <c r="O797" t="n">
        <v>0</v>
      </c>
      <c r="P797" t="n">
        <v>0</v>
      </c>
      <c r="Q797" t="n">
        <v>0</v>
      </c>
      <c r="R797" s="2" t="inlineStr"/>
    </row>
    <row r="798" ht="15" customHeight="1">
      <c r="A798" t="inlineStr">
        <is>
          <t>A 44247-2023</t>
        </is>
      </c>
      <c r="B798" s="1" t="n">
        <v>45182</v>
      </c>
      <c r="C798" s="1" t="n">
        <v>45766</v>
      </c>
      <c r="D798" t="inlineStr">
        <is>
          <t>VÄSTMANLANDS LÄN</t>
        </is>
      </c>
      <c r="E798" t="inlineStr">
        <is>
          <t>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43188-2023</t>
        </is>
      </c>
      <c r="B799" s="1" t="n">
        <v>45183</v>
      </c>
      <c r="C799" s="1" t="n">
        <v>45766</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43184-2023</t>
        </is>
      </c>
      <c r="B800" s="1" t="n">
        <v>45183</v>
      </c>
      <c r="C800" s="1" t="n">
        <v>45766</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43205-2023</t>
        </is>
      </c>
      <c r="B801" s="1" t="n">
        <v>45183</v>
      </c>
      <c r="C801" s="1" t="n">
        <v>45766</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43176-2023</t>
        </is>
      </c>
      <c r="B802" s="1" t="n">
        <v>45183</v>
      </c>
      <c r="C802" s="1" t="n">
        <v>45766</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43187-2023</t>
        </is>
      </c>
      <c r="B803" s="1" t="n">
        <v>45183</v>
      </c>
      <c r="C803" s="1" t="n">
        <v>45766</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43363-2023</t>
        </is>
      </c>
      <c r="B804" s="1" t="n">
        <v>45183</v>
      </c>
      <c r="C804" s="1" t="n">
        <v>45766</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43362-2023</t>
        </is>
      </c>
      <c r="B805" s="1" t="n">
        <v>45183</v>
      </c>
      <c r="C805" s="1" t="n">
        <v>45766</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44713-2023</t>
        </is>
      </c>
      <c r="B806" s="1" t="n">
        <v>45184</v>
      </c>
      <c r="C806" s="1" t="n">
        <v>45766</v>
      </c>
      <c r="D806" t="inlineStr">
        <is>
          <t>VÄSTMANLANDS LÄN</t>
        </is>
      </c>
      <c r="E806" t="inlineStr">
        <is>
          <t>SALA</t>
        </is>
      </c>
      <c r="F806" t="inlineStr">
        <is>
          <t>Kyrkan</t>
        </is>
      </c>
      <c r="G806" t="n">
        <v>7.6</v>
      </c>
      <c r="H806" t="n">
        <v>0</v>
      </c>
      <c r="I806" t="n">
        <v>0</v>
      </c>
      <c r="J806" t="n">
        <v>0</v>
      </c>
      <c r="K806" t="n">
        <v>0</v>
      </c>
      <c r="L806" t="n">
        <v>0</v>
      </c>
      <c r="M806" t="n">
        <v>0</v>
      </c>
      <c r="N806" t="n">
        <v>0</v>
      </c>
      <c r="O806" t="n">
        <v>0</v>
      </c>
      <c r="P806" t="n">
        <v>0</v>
      </c>
      <c r="Q806" t="n">
        <v>0</v>
      </c>
      <c r="R806" s="2" t="inlineStr"/>
    </row>
    <row r="807" ht="15" customHeight="1">
      <c r="A807" t="inlineStr">
        <is>
          <t>A 44720-2023</t>
        </is>
      </c>
      <c r="B807" s="1" t="n">
        <v>45184</v>
      </c>
      <c r="C807" s="1" t="n">
        <v>45766</v>
      </c>
      <c r="D807" t="inlineStr">
        <is>
          <t>VÄSTMANLANDS LÄN</t>
        </is>
      </c>
      <c r="E807" t="inlineStr">
        <is>
          <t>SALA</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44297-2023</t>
        </is>
      </c>
      <c r="B808" s="1" t="n">
        <v>45188</v>
      </c>
      <c r="C808" s="1" t="n">
        <v>45766</v>
      </c>
      <c r="D808" t="inlineStr">
        <is>
          <t>VÄSTMANLANDS LÄN</t>
        </is>
      </c>
      <c r="E808" t="inlineStr">
        <is>
          <t>SALA</t>
        </is>
      </c>
      <c r="G808" t="n">
        <v>2.7</v>
      </c>
      <c r="H808" t="n">
        <v>0</v>
      </c>
      <c r="I808" t="n">
        <v>0</v>
      </c>
      <c r="J808" t="n">
        <v>0</v>
      </c>
      <c r="K808" t="n">
        <v>0</v>
      </c>
      <c r="L808" t="n">
        <v>0</v>
      </c>
      <c r="M808" t="n">
        <v>0</v>
      </c>
      <c r="N808" t="n">
        <v>0</v>
      </c>
      <c r="O808" t="n">
        <v>0</v>
      </c>
      <c r="P808" t="n">
        <v>0</v>
      </c>
      <c r="Q808" t="n">
        <v>0</v>
      </c>
      <c r="R808" s="2" t="inlineStr"/>
    </row>
    <row r="809" ht="15" customHeight="1">
      <c r="A809" t="inlineStr">
        <is>
          <t>A 44846-2023</t>
        </is>
      </c>
      <c r="B809" s="1" t="n">
        <v>45190</v>
      </c>
      <c r="C809" s="1" t="n">
        <v>45766</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44857-2023</t>
        </is>
      </c>
      <c r="B810" s="1" t="n">
        <v>45190</v>
      </c>
      <c r="C810" s="1" t="n">
        <v>45766</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46352-2023</t>
        </is>
      </c>
      <c r="B811" s="1" t="n">
        <v>45192</v>
      </c>
      <c r="C811" s="1" t="n">
        <v>45766</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46355-2023</t>
        </is>
      </c>
      <c r="B812" s="1" t="n">
        <v>45192</v>
      </c>
      <c r="C812" s="1" t="n">
        <v>45766</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46350-2023</t>
        </is>
      </c>
      <c r="B813" s="1" t="n">
        <v>45192</v>
      </c>
      <c r="C813" s="1" t="n">
        <v>45766</v>
      </c>
      <c r="D813" t="inlineStr">
        <is>
          <t>VÄSTMANLANDS LÄN</t>
        </is>
      </c>
      <c r="E813" t="inlineStr">
        <is>
          <t>SALA</t>
        </is>
      </c>
      <c r="G813" t="n">
        <v>4.8</v>
      </c>
      <c r="H813" t="n">
        <v>0</v>
      </c>
      <c r="I813" t="n">
        <v>0</v>
      </c>
      <c r="J813" t="n">
        <v>0</v>
      </c>
      <c r="K813" t="n">
        <v>0</v>
      </c>
      <c r="L813" t="n">
        <v>0</v>
      </c>
      <c r="M813" t="n">
        <v>0</v>
      </c>
      <c r="N813" t="n">
        <v>0</v>
      </c>
      <c r="O813" t="n">
        <v>0</v>
      </c>
      <c r="P813" t="n">
        <v>0</v>
      </c>
      <c r="Q813" t="n">
        <v>0</v>
      </c>
      <c r="R813" s="2" t="inlineStr"/>
    </row>
    <row r="814" ht="15" customHeight="1">
      <c r="A814" t="inlineStr">
        <is>
          <t>A 45531-2023</t>
        </is>
      </c>
      <c r="B814" s="1" t="n">
        <v>45194</v>
      </c>
      <c r="C814" s="1" t="n">
        <v>45766</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45602-2023</t>
        </is>
      </c>
      <c r="B815" s="1" t="n">
        <v>45194</v>
      </c>
      <c r="C815" s="1" t="n">
        <v>45766</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45790-2023</t>
        </is>
      </c>
      <c r="B816" s="1" t="n">
        <v>45195</v>
      </c>
      <c r="C816" s="1" t="n">
        <v>45766</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46226-2023</t>
        </is>
      </c>
      <c r="B817" s="1" t="n">
        <v>45196</v>
      </c>
      <c r="C817" s="1" t="n">
        <v>45766</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47501-2023</t>
        </is>
      </c>
      <c r="B818" s="1" t="n">
        <v>45202</v>
      </c>
      <c r="C818" s="1" t="n">
        <v>45766</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50876-2023</t>
        </is>
      </c>
      <c r="B819" s="1" t="n">
        <v>45211</v>
      </c>
      <c r="C819" s="1" t="n">
        <v>45766</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50241-2023</t>
        </is>
      </c>
      <c r="B820" s="1" t="n">
        <v>45216</v>
      </c>
      <c r="C820" s="1" t="n">
        <v>45766</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51203-2023</t>
        </is>
      </c>
      <c r="B821" s="1" t="n">
        <v>45219</v>
      </c>
      <c r="C821" s="1" t="n">
        <v>45766</v>
      </c>
      <c r="D821" t="inlineStr">
        <is>
          <t>VÄSTMANLANDS LÄN</t>
        </is>
      </c>
      <c r="E821" t="inlineStr">
        <is>
          <t>SALA</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51848-2023</t>
        </is>
      </c>
      <c r="B822" s="1" t="n">
        <v>45223</v>
      </c>
      <c r="C822" s="1" t="n">
        <v>45766</v>
      </c>
      <c r="D822" t="inlineStr">
        <is>
          <t>VÄSTMANLANDS LÄN</t>
        </is>
      </c>
      <c r="E822" t="inlineStr">
        <is>
          <t>SALA</t>
        </is>
      </c>
      <c r="G822" t="n">
        <v>7</v>
      </c>
      <c r="H822" t="n">
        <v>0</v>
      </c>
      <c r="I822" t="n">
        <v>0</v>
      </c>
      <c r="J822" t="n">
        <v>0</v>
      </c>
      <c r="K822" t="n">
        <v>0</v>
      </c>
      <c r="L822" t="n">
        <v>0</v>
      </c>
      <c r="M822" t="n">
        <v>0</v>
      </c>
      <c r="N822" t="n">
        <v>0</v>
      </c>
      <c r="O822" t="n">
        <v>0</v>
      </c>
      <c r="P822" t="n">
        <v>0</v>
      </c>
      <c r="Q822" t="n">
        <v>0</v>
      </c>
      <c r="R822" s="2" t="inlineStr"/>
    </row>
    <row r="823" ht="15" customHeight="1">
      <c r="A823" t="inlineStr">
        <is>
          <t>A 52654-2023</t>
        </is>
      </c>
      <c r="B823" s="1" t="n">
        <v>45225</v>
      </c>
      <c r="C823" s="1" t="n">
        <v>45766</v>
      </c>
      <c r="D823" t="inlineStr">
        <is>
          <t>VÄSTMANLANDS LÄN</t>
        </is>
      </c>
      <c r="E823" t="inlineStr">
        <is>
          <t>SALA</t>
        </is>
      </c>
      <c r="G823" t="n">
        <v>4.6</v>
      </c>
      <c r="H823" t="n">
        <v>0</v>
      </c>
      <c r="I823" t="n">
        <v>0</v>
      </c>
      <c r="J823" t="n">
        <v>0</v>
      </c>
      <c r="K823" t="n">
        <v>0</v>
      </c>
      <c r="L823" t="n">
        <v>0</v>
      </c>
      <c r="M823" t="n">
        <v>0</v>
      </c>
      <c r="N823" t="n">
        <v>0</v>
      </c>
      <c r="O823" t="n">
        <v>0</v>
      </c>
      <c r="P823" t="n">
        <v>0</v>
      </c>
      <c r="Q823" t="n">
        <v>0</v>
      </c>
      <c r="R823" s="2" t="inlineStr"/>
    </row>
    <row r="824" ht="15" customHeight="1">
      <c r="A824" t="inlineStr">
        <is>
          <t>A 54910-2023</t>
        </is>
      </c>
      <c r="B824" s="1" t="n">
        <v>45229</v>
      </c>
      <c r="C824" s="1" t="n">
        <v>45766</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55024-2023</t>
        </is>
      </c>
      <c r="B825" s="1" t="n">
        <v>45229</v>
      </c>
      <c r="C825" s="1" t="n">
        <v>45766</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55032-2023</t>
        </is>
      </c>
      <c r="B826" s="1" t="n">
        <v>45229</v>
      </c>
      <c r="C826" s="1" t="n">
        <v>45766</v>
      </c>
      <c r="D826" t="inlineStr">
        <is>
          <t>VÄSTMANLANDS LÄN</t>
        </is>
      </c>
      <c r="E826" t="inlineStr">
        <is>
          <t>SALA</t>
        </is>
      </c>
      <c r="G826" t="n">
        <v>1.5</v>
      </c>
      <c r="H826" t="n">
        <v>0</v>
      </c>
      <c r="I826" t="n">
        <v>0</v>
      </c>
      <c r="J826" t="n">
        <v>0</v>
      </c>
      <c r="K826" t="n">
        <v>0</v>
      </c>
      <c r="L826" t="n">
        <v>0</v>
      </c>
      <c r="M826" t="n">
        <v>0</v>
      </c>
      <c r="N826" t="n">
        <v>0</v>
      </c>
      <c r="O826" t="n">
        <v>0</v>
      </c>
      <c r="P826" t="n">
        <v>0</v>
      </c>
      <c r="Q826" t="n">
        <v>0</v>
      </c>
      <c r="R826" s="2" t="inlineStr"/>
    </row>
    <row r="827" ht="15" customHeight="1">
      <c r="A827" t="inlineStr">
        <is>
          <t>A 55035-2023</t>
        </is>
      </c>
      <c r="B827" s="1" t="n">
        <v>45229</v>
      </c>
      <c r="C827" s="1" t="n">
        <v>45766</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55040-2023</t>
        </is>
      </c>
      <c r="B828" s="1" t="n">
        <v>45229</v>
      </c>
      <c r="C828" s="1" t="n">
        <v>45766</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53877-2023</t>
        </is>
      </c>
      <c r="B829" s="1" t="n">
        <v>45231</v>
      </c>
      <c r="C829" s="1" t="n">
        <v>45766</v>
      </c>
      <c r="D829" t="inlineStr">
        <is>
          <t>VÄSTMANLANDS LÄN</t>
        </is>
      </c>
      <c r="E829" t="inlineStr">
        <is>
          <t>SALA</t>
        </is>
      </c>
      <c r="G829" t="n">
        <v>3.2</v>
      </c>
      <c r="H829" t="n">
        <v>0</v>
      </c>
      <c r="I829" t="n">
        <v>0</v>
      </c>
      <c r="J829" t="n">
        <v>0</v>
      </c>
      <c r="K829" t="n">
        <v>0</v>
      </c>
      <c r="L829" t="n">
        <v>0</v>
      </c>
      <c r="M829" t="n">
        <v>0</v>
      </c>
      <c r="N829" t="n">
        <v>0</v>
      </c>
      <c r="O829" t="n">
        <v>0</v>
      </c>
      <c r="P829" t="n">
        <v>0</v>
      </c>
      <c r="Q829" t="n">
        <v>0</v>
      </c>
      <c r="R829" s="2" t="inlineStr"/>
    </row>
    <row r="830" ht="15" customHeight="1">
      <c r="A830" t="inlineStr">
        <is>
          <t>A 53951-2023</t>
        </is>
      </c>
      <c r="B830" s="1" t="n">
        <v>45231</v>
      </c>
      <c r="C830" s="1" t="n">
        <v>45766</v>
      </c>
      <c r="D830" t="inlineStr">
        <is>
          <t>VÄSTMANLANDS LÄN</t>
        </is>
      </c>
      <c r="E830" t="inlineStr">
        <is>
          <t>SALA</t>
        </is>
      </c>
      <c r="F830" t="inlineStr">
        <is>
          <t>Kommuner</t>
        </is>
      </c>
      <c r="G830" t="n">
        <v>8.4</v>
      </c>
      <c r="H830" t="n">
        <v>0</v>
      </c>
      <c r="I830" t="n">
        <v>0</v>
      </c>
      <c r="J830" t="n">
        <v>0</v>
      </c>
      <c r="K830" t="n">
        <v>0</v>
      </c>
      <c r="L830" t="n">
        <v>0</v>
      </c>
      <c r="M830" t="n">
        <v>0</v>
      </c>
      <c r="N830" t="n">
        <v>0</v>
      </c>
      <c r="O830" t="n">
        <v>0</v>
      </c>
      <c r="P830" t="n">
        <v>0</v>
      </c>
      <c r="Q830" t="n">
        <v>0</v>
      </c>
      <c r="R830" s="2" t="inlineStr"/>
      <c r="U830">
        <f>HYPERLINK("https://klasma.github.io/Logging_1981/knärot/A 53951-2023 karta knärot.png", "A 53951-2023")</f>
        <v/>
      </c>
      <c r="V830">
        <f>HYPERLINK("https://klasma.github.io/Logging_1981/klagomål/A 53951-2023 FSC-klagomål.docx", "A 53951-2023")</f>
        <v/>
      </c>
      <c r="W830">
        <f>HYPERLINK("https://klasma.github.io/Logging_1981/klagomålsmail/A 53951-2023 FSC-klagomål mail.docx", "A 53951-2023")</f>
        <v/>
      </c>
      <c r="X830">
        <f>HYPERLINK("https://klasma.github.io/Logging_1981/tillsyn/A 53951-2023 tillsynsbegäran.docx", "A 53951-2023")</f>
        <v/>
      </c>
      <c r="Y830">
        <f>HYPERLINK("https://klasma.github.io/Logging_1981/tillsynsmail/A 53951-2023 tillsynsbegäran mail.docx", "A 53951-2023")</f>
        <v/>
      </c>
    </row>
    <row r="831" ht="15" customHeight="1">
      <c r="A831" t="inlineStr">
        <is>
          <t>A 54125-2023</t>
        </is>
      </c>
      <c r="B831" s="1" t="n">
        <v>45232</v>
      </c>
      <c r="C831" s="1" t="n">
        <v>45766</v>
      </c>
      <c r="D831" t="inlineStr">
        <is>
          <t>VÄSTMANLANDS LÄN</t>
        </is>
      </c>
      <c r="E831" t="inlineStr">
        <is>
          <t>SALA</t>
        </is>
      </c>
      <c r="G831" t="n">
        <v>3.7</v>
      </c>
      <c r="H831" t="n">
        <v>0</v>
      </c>
      <c r="I831" t="n">
        <v>0</v>
      </c>
      <c r="J831" t="n">
        <v>0</v>
      </c>
      <c r="K831" t="n">
        <v>0</v>
      </c>
      <c r="L831" t="n">
        <v>0</v>
      </c>
      <c r="M831" t="n">
        <v>0</v>
      </c>
      <c r="N831" t="n">
        <v>0</v>
      </c>
      <c r="O831" t="n">
        <v>0</v>
      </c>
      <c r="P831" t="n">
        <v>0</v>
      </c>
      <c r="Q831" t="n">
        <v>0</v>
      </c>
      <c r="R831" s="2" t="inlineStr"/>
    </row>
    <row r="832" ht="15" customHeight="1">
      <c r="A832" t="inlineStr">
        <is>
          <t>A 54114-2023</t>
        </is>
      </c>
      <c r="B832" s="1" t="n">
        <v>45232</v>
      </c>
      <c r="C832" s="1" t="n">
        <v>45766</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54118-2023</t>
        </is>
      </c>
      <c r="B833" s="1" t="n">
        <v>45232</v>
      </c>
      <c r="C833" s="1" t="n">
        <v>45766</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55556-2023</t>
        </is>
      </c>
      <c r="B834" s="1" t="n">
        <v>45232</v>
      </c>
      <c r="C834" s="1" t="n">
        <v>45766</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56057-2023</t>
        </is>
      </c>
      <c r="B835" s="1" t="n">
        <v>45233</v>
      </c>
      <c r="C835" s="1" t="n">
        <v>45766</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56064-2023</t>
        </is>
      </c>
      <c r="B836" s="1" t="n">
        <v>45233</v>
      </c>
      <c r="C836" s="1" t="n">
        <v>45766</v>
      </c>
      <c r="D836" t="inlineStr">
        <is>
          <t>VÄSTMANLANDS LÄN</t>
        </is>
      </c>
      <c r="E836" t="inlineStr">
        <is>
          <t>SALA</t>
        </is>
      </c>
      <c r="G836" t="n">
        <v>0.8</v>
      </c>
      <c r="H836" t="n">
        <v>0</v>
      </c>
      <c r="I836" t="n">
        <v>0</v>
      </c>
      <c r="J836" t="n">
        <v>0</v>
      </c>
      <c r="K836" t="n">
        <v>0</v>
      </c>
      <c r="L836" t="n">
        <v>0</v>
      </c>
      <c r="M836" t="n">
        <v>0</v>
      </c>
      <c r="N836" t="n">
        <v>0</v>
      </c>
      <c r="O836" t="n">
        <v>0</v>
      </c>
      <c r="P836" t="n">
        <v>0</v>
      </c>
      <c r="Q836" t="n">
        <v>0</v>
      </c>
      <c r="R836" s="2" t="inlineStr"/>
    </row>
    <row r="837" ht="15" customHeight="1">
      <c r="A837" t="inlineStr">
        <is>
          <t>A 55504-2023</t>
        </is>
      </c>
      <c r="B837" s="1" t="n">
        <v>45238</v>
      </c>
      <c r="C837" s="1" t="n">
        <v>45766</v>
      </c>
      <c r="D837" t="inlineStr">
        <is>
          <t>VÄSTMANLANDS LÄN</t>
        </is>
      </c>
      <c r="E837" t="inlineStr">
        <is>
          <t>SALA</t>
        </is>
      </c>
      <c r="G837" t="n">
        <v>4</v>
      </c>
      <c r="H837" t="n">
        <v>0</v>
      </c>
      <c r="I837" t="n">
        <v>0</v>
      </c>
      <c r="J837" t="n">
        <v>0</v>
      </c>
      <c r="K837" t="n">
        <v>0</v>
      </c>
      <c r="L837" t="n">
        <v>0</v>
      </c>
      <c r="M837" t="n">
        <v>0</v>
      </c>
      <c r="N837" t="n">
        <v>0</v>
      </c>
      <c r="O837" t="n">
        <v>0</v>
      </c>
      <c r="P837" t="n">
        <v>0</v>
      </c>
      <c r="Q837" t="n">
        <v>0</v>
      </c>
      <c r="R837" s="2" t="inlineStr"/>
    </row>
    <row r="838" ht="15" customHeight="1">
      <c r="A838" t="inlineStr">
        <is>
          <t>A 55474-2023</t>
        </is>
      </c>
      <c r="B838" s="1" t="n">
        <v>45238</v>
      </c>
      <c r="C838" s="1" t="n">
        <v>45766</v>
      </c>
      <c r="D838" t="inlineStr">
        <is>
          <t>VÄSTMANLANDS LÄN</t>
        </is>
      </c>
      <c r="E838" t="inlineStr">
        <is>
          <t>SALA</t>
        </is>
      </c>
      <c r="G838" t="n">
        <v>2.4</v>
      </c>
      <c r="H838" t="n">
        <v>0</v>
      </c>
      <c r="I838" t="n">
        <v>0</v>
      </c>
      <c r="J838" t="n">
        <v>0</v>
      </c>
      <c r="K838" t="n">
        <v>0</v>
      </c>
      <c r="L838" t="n">
        <v>0</v>
      </c>
      <c r="M838" t="n">
        <v>0</v>
      </c>
      <c r="N838" t="n">
        <v>0</v>
      </c>
      <c r="O838" t="n">
        <v>0</v>
      </c>
      <c r="P838" t="n">
        <v>0</v>
      </c>
      <c r="Q838" t="n">
        <v>0</v>
      </c>
      <c r="R838" s="2" t="inlineStr"/>
    </row>
    <row r="839" ht="15" customHeight="1">
      <c r="A839" t="inlineStr">
        <is>
          <t>A 56956-2023</t>
        </is>
      </c>
      <c r="B839" s="1" t="n">
        <v>45244</v>
      </c>
      <c r="C839" s="1" t="n">
        <v>45766</v>
      </c>
      <c r="D839" t="inlineStr">
        <is>
          <t>VÄSTMANLANDS LÄN</t>
        </is>
      </c>
      <c r="E839" t="inlineStr">
        <is>
          <t>SALA</t>
        </is>
      </c>
      <c r="G839" t="n">
        <v>6.5</v>
      </c>
      <c r="H839" t="n">
        <v>0</v>
      </c>
      <c r="I839" t="n">
        <v>0</v>
      </c>
      <c r="J839" t="n">
        <v>0</v>
      </c>
      <c r="K839" t="n">
        <v>0</v>
      </c>
      <c r="L839" t="n">
        <v>0</v>
      </c>
      <c r="M839" t="n">
        <v>0</v>
      </c>
      <c r="N839" t="n">
        <v>0</v>
      </c>
      <c r="O839" t="n">
        <v>0</v>
      </c>
      <c r="P839" t="n">
        <v>0</v>
      </c>
      <c r="Q839" t="n">
        <v>0</v>
      </c>
      <c r="R839" s="2" t="inlineStr"/>
    </row>
    <row r="840" ht="15" customHeight="1">
      <c r="A840" t="inlineStr">
        <is>
          <t>A 56949-2023</t>
        </is>
      </c>
      <c r="B840" s="1" t="n">
        <v>45244</v>
      </c>
      <c r="C840" s="1" t="n">
        <v>45766</v>
      </c>
      <c r="D840" t="inlineStr">
        <is>
          <t>VÄSTMANLANDS LÄN</t>
        </is>
      </c>
      <c r="E840" t="inlineStr">
        <is>
          <t>SALA</t>
        </is>
      </c>
      <c r="G840" t="n">
        <v>4.7</v>
      </c>
      <c r="H840" t="n">
        <v>0</v>
      </c>
      <c r="I840" t="n">
        <v>0</v>
      </c>
      <c r="J840" t="n">
        <v>0</v>
      </c>
      <c r="K840" t="n">
        <v>0</v>
      </c>
      <c r="L840" t="n">
        <v>0</v>
      </c>
      <c r="M840" t="n">
        <v>0</v>
      </c>
      <c r="N840" t="n">
        <v>0</v>
      </c>
      <c r="O840" t="n">
        <v>0</v>
      </c>
      <c r="P840" t="n">
        <v>0</v>
      </c>
      <c r="Q840" t="n">
        <v>0</v>
      </c>
      <c r="R840" s="2" t="inlineStr"/>
    </row>
    <row r="841" ht="15" customHeight="1">
      <c r="A841" t="inlineStr">
        <is>
          <t>A 56964-2023</t>
        </is>
      </c>
      <c r="B841" s="1" t="n">
        <v>45244</v>
      </c>
      <c r="C841" s="1" t="n">
        <v>45766</v>
      </c>
      <c r="D841" t="inlineStr">
        <is>
          <t>VÄSTMANLANDS LÄN</t>
        </is>
      </c>
      <c r="E841" t="inlineStr">
        <is>
          <t>SALA</t>
        </is>
      </c>
      <c r="G841" t="n">
        <v>4.6</v>
      </c>
      <c r="H841" t="n">
        <v>0</v>
      </c>
      <c r="I841" t="n">
        <v>0</v>
      </c>
      <c r="J841" t="n">
        <v>0</v>
      </c>
      <c r="K841" t="n">
        <v>0</v>
      </c>
      <c r="L841" t="n">
        <v>0</v>
      </c>
      <c r="M841" t="n">
        <v>0</v>
      </c>
      <c r="N841" t="n">
        <v>0</v>
      </c>
      <c r="O841" t="n">
        <v>0</v>
      </c>
      <c r="P841" t="n">
        <v>0</v>
      </c>
      <c r="Q841" t="n">
        <v>0</v>
      </c>
      <c r="R841" s="2" t="inlineStr"/>
    </row>
    <row r="842" ht="15" customHeight="1">
      <c r="A842" t="inlineStr">
        <is>
          <t>A 58028-2023</t>
        </is>
      </c>
      <c r="B842" s="1" t="n">
        <v>45247</v>
      </c>
      <c r="C842" s="1" t="n">
        <v>45766</v>
      </c>
      <c r="D842" t="inlineStr">
        <is>
          <t>VÄSTMANLANDS LÄN</t>
        </is>
      </c>
      <c r="E842" t="inlineStr">
        <is>
          <t>SALA</t>
        </is>
      </c>
      <c r="G842" t="n">
        <v>19.6</v>
      </c>
      <c r="H842" t="n">
        <v>0</v>
      </c>
      <c r="I842" t="n">
        <v>0</v>
      </c>
      <c r="J842" t="n">
        <v>0</v>
      </c>
      <c r="K842" t="n">
        <v>0</v>
      </c>
      <c r="L842" t="n">
        <v>0</v>
      </c>
      <c r="M842" t="n">
        <v>0</v>
      </c>
      <c r="N842" t="n">
        <v>0</v>
      </c>
      <c r="O842" t="n">
        <v>0</v>
      </c>
      <c r="P842" t="n">
        <v>0</v>
      </c>
      <c r="Q842" t="n">
        <v>0</v>
      </c>
      <c r="R842" s="2" t="inlineStr"/>
    </row>
    <row r="843" ht="15" customHeight="1">
      <c r="A843" t="inlineStr">
        <is>
          <t>A 58113-2023</t>
        </is>
      </c>
      <c r="B843" s="1" t="n">
        <v>45249</v>
      </c>
      <c r="C843" s="1" t="n">
        <v>45766</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58271-2023</t>
        </is>
      </c>
      <c r="B844" s="1" t="n">
        <v>45250</v>
      </c>
      <c r="C844" s="1" t="n">
        <v>45766</v>
      </c>
      <c r="D844" t="inlineStr">
        <is>
          <t>VÄSTMANLANDS LÄN</t>
        </is>
      </c>
      <c r="E844" t="inlineStr">
        <is>
          <t>SALA</t>
        </is>
      </c>
      <c r="G844" t="n">
        <v>5.2</v>
      </c>
      <c r="H844" t="n">
        <v>0</v>
      </c>
      <c r="I844" t="n">
        <v>0</v>
      </c>
      <c r="J844" t="n">
        <v>0</v>
      </c>
      <c r="K844" t="n">
        <v>0</v>
      </c>
      <c r="L844" t="n">
        <v>0</v>
      </c>
      <c r="M844" t="n">
        <v>0</v>
      </c>
      <c r="N844" t="n">
        <v>0</v>
      </c>
      <c r="O844" t="n">
        <v>0</v>
      </c>
      <c r="P844" t="n">
        <v>0</v>
      </c>
      <c r="Q844" t="n">
        <v>0</v>
      </c>
      <c r="R844" s="2" t="inlineStr"/>
    </row>
    <row r="845" ht="15" customHeight="1">
      <c r="A845" t="inlineStr">
        <is>
          <t>A 58920-2023</t>
        </is>
      </c>
      <c r="B845" s="1" t="n">
        <v>45252</v>
      </c>
      <c r="C845" s="1" t="n">
        <v>45766</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58823-2023</t>
        </is>
      </c>
      <c r="B846" s="1" t="n">
        <v>45252</v>
      </c>
      <c r="C846" s="1" t="n">
        <v>45766</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45766</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59713-2023</t>
        </is>
      </c>
      <c r="B848" s="1" t="n">
        <v>45257</v>
      </c>
      <c r="C848" s="1" t="n">
        <v>45766</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59785-2023</t>
        </is>
      </c>
      <c r="B849" s="1" t="n">
        <v>45257</v>
      </c>
      <c r="C849" s="1" t="n">
        <v>45766</v>
      </c>
      <c r="D849" t="inlineStr">
        <is>
          <t>VÄSTMANLANDS LÄN</t>
        </is>
      </c>
      <c r="E849" t="inlineStr">
        <is>
          <t>SALA</t>
        </is>
      </c>
      <c r="G849" t="n">
        <v>2.2</v>
      </c>
      <c r="H849" t="n">
        <v>0</v>
      </c>
      <c r="I849" t="n">
        <v>0</v>
      </c>
      <c r="J849" t="n">
        <v>0</v>
      </c>
      <c r="K849" t="n">
        <v>0</v>
      </c>
      <c r="L849" t="n">
        <v>0</v>
      </c>
      <c r="M849" t="n">
        <v>0</v>
      </c>
      <c r="N849" t="n">
        <v>0</v>
      </c>
      <c r="O849" t="n">
        <v>0</v>
      </c>
      <c r="P849" t="n">
        <v>0</v>
      </c>
      <c r="Q849" t="n">
        <v>0</v>
      </c>
      <c r="R849" s="2" t="inlineStr"/>
    </row>
    <row r="850" ht="15" customHeight="1">
      <c r="A850" t="inlineStr">
        <is>
          <t>A 60249-2023</t>
        </is>
      </c>
      <c r="B850" s="1" t="n">
        <v>45258</v>
      </c>
      <c r="C850" s="1" t="n">
        <v>45766</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45766</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60730-2023</t>
        </is>
      </c>
      <c r="B852" s="1" t="n">
        <v>45260</v>
      </c>
      <c r="C852" s="1" t="n">
        <v>45766</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61525-2023</t>
        </is>
      </c>
      <c r="B853" s="1" t="n">
        <v>45265</v>
      </c>
      <c r="C853" s="1" t="n">
        <v>45766</v>
      </c>
      <c r="D853" t="inlineStr">
        <is>
          <t>VÄSTMANLANDS LÄN</t>
        </is>
      </c>
      <c r="E853" t="inlineStr">
        <is>
          <t>SALA</t>
        </is>
      </c>
      <c r="G853" t="n">
        <v>1.6</v>
      </c>
      <c r="H853" t="n">
        <v>0</v>
      </c>
      <c r="I853" t="n">
        <v>0</v>
      </c>
      <c r="J853" t="n">
        <v>0</v>
      </c>
      <c r="K853" t="n">
        <v>0</v>
      </c>
      <c r="L853" t="n">
        <v>0</v>
      </c>
      <c r="M853" t="n">
        <v>0</v>
      </c>
      <c r="N853" t="n">
        <v>0</v>
      </c>
      <c r="O853" t="n">
        <v>0</v>
      </c>
      <c r="P853" t="n">
        <v>0</v>
      </c>
      <c r="Q853" t="n">
        <v>0</v>
      </c>
      <c r="R853" s="2" t="inlineStr"/>
      <c r="U853">
        <f>HYPERLINK("https://klasma.github.io/Logging_1981/knärot/A 61525-2023 karta knärot.png", "A 61525-2023")</f>
        <v/>
      </c>
      <c r="V853">
        <f>HYPERLINK("https://klasma.github.io/Logging_1981/klagomål/A 61525-2023 FSC-klagomål.docx", "A 61525-2023")</f>
        <v/>
      </c>
      <c r="W853">
        <f>HYPERLINK("https://klasma.github.io/Logging_1981/klagomålsmail/A 61525-2023 FSC-klagomål mail.docx", "A 61525-2023")</f>
        <v/>
      </c>
      <c r="X853">
        <f>HYPERLINK("https://klasma.github.io/Logging_1981/tillsyn/A 61525-2023 tillsynsbegäran.docx", "A 61525-2023")</f>
        <v/>
      </c>
      <c r="Y853">
        <f>HYPERLINK("https://klasma.github.io/Logging_1981/tillsynsmail/A 61525-2023 tillsynsbegäran mail.docx", "A 61525-2023")</f>
        <v/>
      </c>
    </row>
    <row r="854" ht="15" customHeight="1">
      <c r="A854" t="inlineStr">
        <is>
          <t>A 62449-2023</t>
        </is>
      </c>
      <c r="B854" s="1" t="n">
        <v>45268</v>
      </c>
      <c r="C854" s="1" t="n">
        <v>45766</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62630-2023</t>
        </is>
      </c>
      <c r="B855" s="1" t="n">
        <v>45271</v>
      </c>
      <c r="C855" s="1" t="n">
        <v>45766</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63234-2023</t>
        </is>
      </c>
      <c r="B856" s="1" t="n">
        <v>45273</v>
      </c>
      <c r="C856" s="1" t="n">
        <v>45766</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63274-2023</t>
        </is>
      </c>
      <c r="B857" s="1" t="n">
        <v>45273</v>
      </c>
      <c r="C857" s="1" t="n">
        <v>45766</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63466-2023</t>
        </is>
      </c>
      <c r="B858" s="1" t="n">
        <v>45274</v>
      </c>
      <c r="C858" s="1" t="n">
        <v>45766</v>
      </c>
      <c r="D858" t="inlineStr">
        <is>
          <t>VÄSTMANLANDS LÄN</t>
        </is>
      </c>
      <c r="E858" t="inlineStr">
        <is>
          <t>SALA</t>
        </is>
      </c>
      <c r="G858" t="n">
        <v>2.9</v>
      </c>
      <c r="H858" t="n">
        <v>0</v>
      </c>
      <c r="I858" t="n">
        <v>0</v>
      </c>
      <c r="J858" t="n">
        <v>0</v>
      </c>
      <c r="K858" t="n">
        <v>0</v>
      </c>
      <c r="L858" t="n">
        <v>0</v>
      </c>
      <c r="M858" t="n">
        <v>0</v>
      </c>
      <c r="N858" t="n">
        <v>0</v>
      </c>
      <c r="O858" t="n">
        <v>0</v>
      </c>
      <c r="P858" t="n">
        <v>0</v>
      </c>
      <c r="Q858" t="n">
        <v>0</v>
      </c>
      <c r="R858" s="2" t="inlineStr"/>
    </row>
    <row r="859" ht="15" customHeight="1">
      <c r="A859" t="inlineStr">
        <is>
          <t>A 63564-2023</t>
        </is>
      </c>
      <c r="B859" s="1" t="n">
        <v>45275</v>
      </c>
      <c r="C859" s="1" t="n">
        <v>45766</v>
      </c>
      <c r="D859" t="inlineStr">
        <is>
          <t>VÄSTMANLANDS LÄN</t>
        </is>
      </c>
      <c r="E859" t="inlineStr">
        <is>
          <t>SALA</t>
        </is>
      </c>
      <c r="G859" t="n">
        <v>3.6</v>
      </c>
      <c r="H859" t="n">
        <v>0</v>
      </c>
      <c r="I859" t="n">
        <v>0</v>
      </c>
      <c r="J859" t="n">
        <v>0</v>
      </c>
      <c r="K859" t="n">
        <v>0</v>
      </c>
      <c r="L859" t="n">
        <v>0</v>
      </c>
      <c r="M859" t="n">
        <v>0</v>
      </c>
      <c r="N859" t="n">
        <v>0</v>
      </c>
      <c r="O859" t="n">
        <v>0</v>
      </c>
      <c r="P859" t="n">
        <v>0</v>
      </c>
      <c r="Q859" t="n">
        <v>0</v>
      </c>
      <c r="R859" s="2" t="inlineStr"/>
    </row>
    <row r="860" ht="15" customHeight="1">
      <c r="A860" t="inlineStr">
        <is>
          <t>A 63905-2023</t>
        </is>
      </c>
      <c r="B860" s="1" t="n">
        <v>45278</v>
      </c>
      <c r="C860" s="1" t="n">
        <v>45766</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63933-2023</t>
        </is>
      </c>
      <c r="B861" s="1" t="n">
        <v>45278</v>
      </c>
      <c r="C861" s="1" t="n">
        <v>45766</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64109-2023</t>
        </is>
      </c>
      <c r="B862" s="1" t="n">
        <v>45279</v>
      </c>
      <c r="C862" s="1" t="n">
        <v>45766</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64123-2023</t>
        </is>
      </c>
      <c r="B863" s="1" t="n">
        <v>45279</v>
      </c>
      <c r="C863" s="1" t="n">
        <v>45766</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64693-2023</t>
        </is>
      </c>
      <c r="B864" s="1" t="n">
        <v>45281</v>
      </c>
      <c r="C864" s="1" t="n">
        <v>45766</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64729-2023</t>
        </is>
      </c>
      <c r="B865" s="1" t="n">
        <v>45281</v>
      </c>
      <c r="C865" s="1" t="n">
        <v>45766</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64724-2023</t>
        </is>
      </c>
      <c r="B866" s="1" t="n">
        <v>45281</v>
      </c>
      <c r="C866" s="1" t="n">
        <v>45766</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64692-2023</t>
        </is>
      </c>
      <c r="B867" s="1" t="n">
        <v>45281</v>
      </c>
      <c r="C867" s="1" t="n">
        <v>45766</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64687-2023</t>
        </is>
      </c>
      <c r="B868" s="1" t="n">
        <v>45281</v>
      </c>
      <c r="C868" s="1" t="n">
        <v>45766</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64695-2023</t>
        </is>
      </c>
      <c r="B869" s="1" t="n">
        <v>45281</v>
      </c>
      <c r="C869" s="1" t="n">
        <v>45766</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45766</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30-2024</t>
        </is>
      </c>
      <c r="B871" s="1" t="n">
        <v>45293</v>
      </c>
      <c r="C871" s="1" t="n">
        <v>45766</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96-2024</t>
        </is>
      </c>
      <c r="B872" s="1" t="n">
        <v>45293</v>
      </c>
      <c r="C872" s="1" t="n">
        <v>45766</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110-2024</t>
        </is>
      </c>
      <c r="B873" s="1" t="n">
        <v>45294</v>
      </c>
      <c r="C873" s="1" t="n">
        <v>45766</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456-2024</t>
        </is>
      </c>
      <c r="B874" s="1" t="n">
        <v>45296</v>
      </c>
      <c r="C874" s="1" t="n">
        <v>45766</v>
      </c>
      <c r="D874" t="inlineStr">
        <is>
          <t>VÄSTMANLANDS LÄN</t>
        </is>
      </c>
      <c r="E874" t="inlineStr">
        <is>
          <t>SALA</t>
        </is>
      </c>
      <c r="G874" t="n">
        <v>4.7</v>
      </c>
      <c r="H874" t="n">
        <v>0</v>
      </c>
      <c r="I874" t="n">
        <v>0</v>
      </c>
      <c r="J874" t="n">
        <v>0</v>
      </c>
      <c r="K874" t="n">
        <v>0</v>
      </c>
      <c r="L874" t="n">
        <v>0</v>
      </c>
      <c r="M874" t="n">
        <v>0</v>
      </c>
      <c r="N874" t="n">
        <v>0</v>
      </c>
      <c r="O874" t="n">
        <v>0</v>
      </c>
      <c r="P874" t="n">
        <v>0</v>
      </c>
      <c r="Q874" t="n">
        <v>0</v>
      </c>
      <c r="R874" s="2" t="inlineStr"/>
    </row>
    <row r="875" ht="15" customHeight="1">
      <c r="A875" t="inlineStr">
        <is>
          <t>A 1118-2024</t>
        </is>
      </c>
      <c r="B875" s="1" t="n">
        <v>45302</v>
      </c>
      <c r="C875" s="1" t="n">
        <v>45766</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1555-2024</t>
        </is>
      </c>
      <c r="B876" s="1" t="n">
        <v>45306</v>
      </c>
      <c r="C876" s="1" t="n">
        <v>45766</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1552-2024</t>
        </is>
      </c>
      <c r="B877" s="1" t="n">
        <v>45306</v>
      </c>
      <c r="C877" s="1" t="n">
        <v>45766</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2392-2024</t>
        </is>
      </c>
      <c r="B878" s="1" t="n">
        <v>45310</v>
      </c>
      <c r="C878" s="1" t="n">
        <v>45766</v>
      </c>
      <c r="D878" t="inlineStr">
        <is>
          <t>VÄSTMANLANDS LÄN</t>
        </is>
      </c>
      <c r="E878" t="inlineStr">
        <is>
          <t>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2478-2024</t>
        </is>
      </c>
      <c r="B879" s="1" t="n">
        <v>45313</v>
      </c>
      <c r="C879" s="1" t="n">
        <v>45766</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2599-2024</t>
        </is>
      </c>
      <c r="B880" s="1" t="n">
        <v>45313</v>
      </c>
      <c r="C880" s="1" t="n">
        <v>45766</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2766-2024</t>
        </is>
      </c>
      <c r="B881" s="1" t="n">
        <v>45314</v>
      </c>
      <c r="C881" s="1" t="n">
        <v>45766</v>
      </c>
      <c r="D881" t="inlineStr">
        <is>
          <t>VÄSTMANLANDS LÄN</t>
        </is>
      </c>
      <c r="E881" t="inlineStr">
        <is>
          <t>SALA</t>
        </is>
      </c>
      <c r="G881" t="n">
        <v>2.8</v>
      </c>
      <c r="H881" t="n">
        <v>0</v>
      </c>
      <c r="I881" t="n">
        <v>0</v>
      </c>
      <c r="J881" t="n">
        <v>0</v>
      </c>
      <c r="K881" t="n">
        <v>0</v>
      </c>
      <c r="L881" t="n">
        <v>0</v>
      </c>
      <c r="M881" t="n">
        <v>0</v>
      </c>
      <c r="N881" t="n">
        <v>0</v>
      </c>
      <c r="O881" t="n">
        <v>0</v>
      </c>
      <c r="P881" t="n">
        <v>0</v>
      </c>
      <c r="Q881" t="n">
        <v>0</v>
      </c>
      <c r="R881" s="2" t="inlineStr"/>
    </row>
    <row r="882" ht="15" customHeight="1">
      <c r="A882" t="inlineStr">
        <is>
          <t>A 2925-2024</t>
        </is>
      </c>
      <c r="B882" s="1" t="n">
        <v>45315</v>
      </c>
      <c r="C882" s="1" t="n">
        <v>45766</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2928-2024</t>
        </is>
      </c>
      <c r="B883" s="1" t="n">
        <v>45315</v>
      </c>
      <c r="C883" s="1" t="n">
        <v>45766</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2927-2024</t>
        </is>
      </c>
      <c r="B884" s="1" t="n">
        <v>45315</v>
      </c>
      <c r="C884" s="1" t="n">
        <v>45766</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3061-2024</t>
        </is>
      </c>
      <c r="B885" s="1" t="n">
        <v>45316</v>
      </c>
      <c r="C885" s="1" t="n">
        <v>45766</v>
      </c>
      <c r="D885" t="inlineStr">
        <is>
          <t>VÄSTMANLANDS LÄN</t>
        </is>
      </c>
      <c r="E885" t="inlineStr">
        <is>
          <t>SALA</t>
        </is>
      </c>
      <c r="G885" t="n">
        <v>5.7</v>
      </c>
      <c r="H885" t="n">
        <v>0</v>
      </c>
      <c r="I885" t="n">
        <v>0</v>
      </c>
      <c r="J885" t="n">
        <v>0</v>
      </c>
      <c r="K885" t="n">
        <v>0</v>
      </c>
      <c r="L885" t="n">
        <v>0</v>
      </c>
      <c r="M885" t="n">
        <v>0</v>
      </c>
      <c r="N885" t="n">
        <v>0</v>
      </c>
      <c r="O885" t="n">
        <v>0</v>
      </c>
      <c r="P885" t="n">
        <v>0</v>
      </c>
      <c r="Q885" t="n">
        <v>0</v>
      </c>
      <c r="R885" s="2" t="inlineStr"/>
    </row>
    <row r="886" ht="15" customHeight="1">
      <c r="A886" t="inlineStr">
        <is>
          <t>A 3332-2024</t>
        </is>
      </c>
      <c r="B886" s="1" t="n">
        <v>45317</v>
      </c>
      <c r="C886" s="1" t="n">
        <v>45766</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3577-2024</t>
        </is>
      </c>
      <c r="B887" s="1" t="n">
        <v>45320</v>
      </c>
      <c r="C887" s="1" t="n">
        <v>45766</v>
      </c>
      <c r="D887" t="inlineStr">
        <is>
          <t>VÄSTMANLANDS LÄN</t>
        </is>
      </c>
      <c r="E887" t="inlineStr">
        <is>
          <t>SALA</t>
        </is>
      </c>
      <c r="F887" t="inlineStr">
        <is>
          <t>Kommuner</t>
        </is>
      </c>
      <c r="G887" t="n">
        <v>7.2</v>
      </c>
      <c r="H887" t="n">
        <v>0</v>
      </c>
      <c r="I887" t="n">
        <v>0</v>
      </c>
      <c r="J887" t="n">
        <v>0</v>
      </c>
      <c r="K887" t="n">
        <v>0</v>
      </c>
      <c r="L887" t="n">
        <v>0</v>
      </c>
      <c r="M887" t="n">
        <v>0</v>
      </c>
      <c r="N887" t="n">
        <v>0</v>
      </c>
      <c r="O887" t="n">
        <v>0</v>
      </c>
      <c r="P887" t="n">
        <v>0</v>
      </c>
      <c r="Q887" t="n">
        <v>0</v>
      </c>
      <c r="R887" s="2" t="inlineStr"/>
    </row>
    <row r="888" ht="15" customHeight="1">
      <c r="A888" t="inlineStr">
        <is>
          <t>A 3527-2024</t>
        </is>
      </c>
      <c r="B888" s="1" t="n">
        <v>45320</v>
      </c>
      <c r="C888" s="1" t="n">
        <v>45766</v>
      </c>
      <c r="D888" t="inlineStr">
        <is>
          <t>VÄSTMANLANDS LÄN</t>
        </is>
      </c>
      <c r="E888" t="inlineStr">
        <is>
          <t>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3551-2024</t>
        </is>
      </c>
      <c r="B889" s="1" t="n">
        <v>45320</v>
      </c>
      <c r="C889" s="1" t="n">
        <v>45766</v>
      </c>
      <c r="D889" t="inlineStr">
        <is>
          <t>VÄSTMANLANDS LÄN</t>
        </is>
      </c>
      <c r="E889" t="inlineStr">
        <is>
          <t>SALA</t>
        </is>
      </c>
      <c r="F889" t="inlineStr">
        <is>
          <t>Kommuner</t>
        </is>
      </c>
      <c r="G889" t="n">
        <v>6</v>
      </c>
      <c r="H889" t="n">
        <v>0</v>
      </c>
      <c r="I889" t="n">
        <v>0</v>
      </c>
      <c r="J889" t="n">
        <v>0</v>
      </c>
      <c r="K889" t="n">
        <v>0</v>
      </c>
      <c r="L889" t="n">
        <v>0</v>
      </c>
      <c r="M889" t="n">
        <v>0</v>
      </c>
      <c r="N889" t="n">
        <v>0</v>
      </c>
      <c r="O889" t="n">
        <v>0</v>
      </c>
      <c r="P889" t="n">
        <v>0</v>
      </c>
      <c r="Q889" t="n">
        <v>0</v>
      </c>
      <c r="R889" s="2" t="inlineStr"/>
    </row>
    <row r="890" ht="15" customHeight="1">
      <c r="A890" t="inlineStr">
        <is>
          <t>A 3525-2024</t>
        </is>
      </c>
      <c r="B890" s="1" t="n">
        <v>45320</v>
      </c>
      <c r="C890" s="1" t="n">
        <v>45766</v>
      </c>
      <c r="D890" t="inlineStr">
        <is>
          <t>VÄSTMANLANDS LÄN</t>
        </is>
      </c>
      <c r="E890" t="inlineStr">
        <is>
          <t>SALA</t>
        </is>
      </c>
      <c r="G890" t="n">
        <v>3.5</v>
      </c>
      <c r="H890" t="n">
        <v>0</v>
      </c>
      <c r="I890" t="n">
        <v>0</v>
      </c>
      <c r="J890" t="n">
        <v>0</v>
      </c>
      <c r="K890" t="n">
        <v>0</v>
      </c>
      <c r="L890" t="n">
        <v>0</v>
      </c>
      <c r="M890" t="n">
        <v>0</v>
      </c>
      <c r="N890" t="n">
        <v>0</v>
      </c>
      <c r="O890" t="n">
        <v>0</v>
      </c>
      <c r="P890" t="n">
        <v>0</v>
      </c>
      <c r="Q890" t="n">
        <v>0</v>
      </c>
      <c r="R890" s="2" t="inlineStr"/>
    </row>
    <row r="891" ht="15" customHeight="1">
      <c r="A891" t="inlineStr">
        <is>
          <t>A 3560-2024</t>
        </is>
      </c>
      <c r="B891" s="1" t="n">
        <v>45320</v>
      </c>
      <c r="C891" s="1" t="n">
        <v>45766</v>
      </c>
      <c r="D891" t="inlineStr">
        <is>
          <t>VÄSTMANLANDS LÄN</t>
        </is>
      </c>
      <c r="E891" t="inlineStr">
        <is>
          <t>SALA</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4417-2024</t>
        </is>
      </c>
      <c r="B892" s="1" t="n">
        <v>45327</v>
      </c>
      <c r="C892" s="1" t="n">
        <v>45766</v>
      </c>
      <c r="D892" t="inlineStr">
        <is>
          <t>VÄSTMANLANDS LÄN</t>
        </is>
      </c>
      <c r="E892" t="inlineStr">
        <is>
          <t>SALA</t>
        </is>
      </c>
      <c r="G892" t="n">
        <v>3.7</v>
      </c>
      <c r="H892" t="n">
        <v>0</v>
      </c>
      <c r="I892" t="n">
        <v>0</v>
      </c>
      <c r="J892" t="n">
        <v>0</v>
      </c>
      <c r="K892" t="n">
        <v>0</v>
      </c>
      <c r="L892" t="n">
        <v>0</v>
      </c>
      <c r="M892" t="n">
        <v>0</v>
      </c>
      <c r="N892" t="n">
        <v>0</v>
      </c>
      <c r="O892" t="n">
        <v>0</v>
      </c>
      <c r="P892" t="n">
        <v>0</v>
      </c>
      <c r="Q892" t="n">
        <v>0</v>
      </c>
      <c r="R892" s="2" t="inlineStr"/>
    </row>
    <row r="893" ht="15" customHeight="1">
      <c r="A893" t="inlineStr">
        <is>
          <t>A 4897-2024</t>
        </is>
      </c>
      <c r="B893" s="1" t="n">
        <v>45329</v>
      </c>
      <c r="C893" s="1" t="n">
        <v>45766</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5478-2024</t>
        </is>
      </c>
      <c r="B894" s="1" t="n">
        <v>45333</v>
      </c>
      <c r="C894" s="1" t="n">
        <v>45766</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5477-2024</t>
        </is>
      </c>
      <c r="B895" s="1" t="n">
        <v>45333</v>
      </c>
      <c r="C895" s="1" t="n">
        <v>45766</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5705-2024</t>
        </is>
      </c>
      <c r="B896" s="1" t="n">
        <v>45334</v>
      </c>
      <c r="C896" s="1" t="n">
        <v>45766</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5977-2024</t>
        </is>
      </c>
      <c r="B897" s="1" t="n">
        <v>45336</v>
      </c>
      <c r="C897" s="1" t="n">
        <v>45766</v>
      </c>
      <c r="D897" t="inlineStr">
        <is>
          <t>VÄSTMANLANDS LÄN</t>
        </is>
      </c>
      <c r="E897" t="inlineStr">
        <is>
          <t>SALA</t>
        </is>
      </c>
      <c r="G897" t="n">
        <v>13.1</v>
      </c>
      <c r="H897" t="n">
        <v>0</v>
      </c>
      <c r="I897" t="n">
        <v>0</v>
      </c>
      <c r="J897" t="n">
        <v>0</v>
      </c>
      <c r="K897" t="n">
        <v>0</v>
      </c>
      <c r="L897" t="n">
        <v>0</v>
      </c>
      <c r="M897" t="n">
        <v>0</v>
      </c>
      <c r="N897" t="n">
        <v>0</v>
      </c>
      <c r="O897" t="n">
        <v>0</v>
      </c>
      <c r="P897" t="n">
        <v>0</v>
      </c>
      <c r="Q897" t="n">
        <v>0</v>
      </c>
      <c r="R897" s="2" t="inlineStr"/>
    </row>
    <row r="898" ht="15" customHeight="1">
      <c r="A898" t="inlineStr">
        <is>
          <t>A 6030-2024</t>
        </is>
      </c>
      <c r="B898" s="1" t="n">
        <v>45336</v>
      </c>
      <c r="C898" s="1" t="n">
        <v>45766</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5984-2024</t>
        </is>
      </c>
      <c r="B899" s="1" t="n">
        <v>45336</v>
      </c>
      <c r="C899" s="1" t="n">
        <v>45766</v>
      </c>
      <c r="D899" t="inlineStr">
        <is>
          <t>VÄSTMANLANDS LÄN</t>
        </is>
      </c>
      <c r="E899" t="inlineStr">
        <is>
          <t>SALA</t>
        </is>
      </c>
      <c r="G899" t="n">
        <v>0.7</v>
      </c>
      <c r="H899" t="n">
        <v>0</v>
      </c>
      <c r="I899" t="n">
        <v>0</v>
      </c>
      <c r="J899" t="n">
        <v>0</v>
      </c>
      <c r="K899" t="n">
        <v>0</v>
      </c>
      <c r="L899" t="n">
        <v>0</v>
      </c>
      <c r="M899" t="n">
        <v>0</v>
      </c>
      <c r="N899" t="n">
        <v>0</v>
      </c>
      <c r="O899" t="n">
        <v>0</v>
      </c>
      <c r="P899" t="n">
        <v>0</v>
      </c>
      <c r="Q899" t="n">
        <v>0</v>
      </c>
      <c r="R899" s="2" t="inlineStr"/>
    </row>
    <row r="900" ht="15" customHeight="1">
      <c r="A900" t="inlineStr">
        <is>
          <t>A 6134-2024</t>
        </is>
      </c>
      <c r="B900" s="1" t="n">
        <v>45337</v>
      </c>
      <c r="C900" s="1" t="n">
        <v>45766</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6572-2024</t>
        </is>
      </c>
      <c r="B901" s="1" t="n">
        <v>45338</v>
      </c>
      <c r="C901" s="1" t="n">
        <v>45766</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6538-2024</t>
        </is>
      </c>
      <c r="B902" s="1" t="n">
        <v>45338</v>
      </c>
      <c r="C902" s="1" t="n">
        <v>45766</v>
      </c>
      <c r="D902" t="inlineStr">
        <is>
          <t>VÄSTMANLANDS LÄN</t>
        </is>
      </c>
      <c r="E902" t="inlineStr">
        <is>
          <t>SALA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6601-2024</t>
        </is>
      </c>
      <c r="B903" s="1" t="n">
        <v>45338</v>
      </c>
      <c r="C903" s="1" t="n">
        <v>45766</v>
      </c>
      <c r="D903" t="inlineStr">
        <is>
          <t>VÄSTMANLANDS LÄN</t>
        </is>
      </c>
      <c r="E903" t="inlineStr">
        <is>
          <t>SALA</t>
        </is>
      </c>
      <c r="G903" t="n">
        <v>4</v>
      </c>
      <c r="H903" t="n">
        <v>0</v>
      </c>
      <c r="I903" t="n">
        <v>0</v>
      </c>
      <c r="J903" t="n">
        <v>0</v>
      </c>
      <c r="K903" t="n">
        <v>0</v>
      </c>
      <c r="L903" t="n">
        <v>0</v>
      </c>
      <c r="M903" t="n">
        <v>0</v>
      </c>
      <c r="N903" t="n">
        <v>0</v>
      </c>
      <c r="O903" t="n">
        <v>0</v>
      </c>
      <c r="P903" t="n">
        <v>0</v>
      </c>
      <c r="Q903" t="n">
        <v>0</v>
      </c>
      <c r="R903" s="2" t="inlineStr"/>
    </row>
    <row r="904" ht="15" customHeight="1">
      <c r="A904" t="inlineStr">
        <is>
          <t>A 6585-2024</t>
        </is>
      </c>
      <c r="B904" s="1" t="n">
        <v>45338</v>
      </c>
      <c r="C904" s="1" t="n">
        <v>45766</v>
      </c>
      <c r="D904" t="inlineStr">
        <is>
          <t>VÄSTMANLANDS LÄN</t>
        </is>
      </c>
      <c r="E904" t="inlineStr">
        <is>
          <t>SALA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6541-2024</t>
        </is>
      </c>
      <c r="B905" s="1" t="n">
        <v>45338</v>
      </c>
      <c r="C905" s="1" t="n">
        <v>45766</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6657-2024</t>
        </is>
      </c>
      <c r="B906" s="1" t="n">
        <v>45341</v>
      </c>
      <c r="C906" s="1" t="n">
        <v>45766</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7953-2024</t>
        </is>
      </c>
      <c r="B907" s="1" t="n">
        <v>45350</v>
      </c>
      <c r="C907" s="1" t="n">
        <v>45766</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8591-2024</t>
        </is>
      </c>
      <c r="B908" s="1" t="n">
        <v>45355</v>
      </c>
      <c r="C908" s="1" t="n">
        <v>45766</v>
      </c>
      <c r="D908" t="inlineStr">
        <is>
          <t>VÄSTMANLANDS LÄN</t>
        </is>
      </c>
      <c r="E908" t="inlineStr">
        <is>
          <t>SALA</t>
        </is>
      </c>
      <c r="G908" t="n">
        <v>4.6</v>
      </c>
      <c r="H908" t="n">
        <v>0</v>
      </c>
      <c r="I908" t="n">
        <v>0</v>
      </c>
      <c r="J908" t="n">
        <v>0</v>
      </c>
      <c r="K908" t="n">
        <v>0</v>
      </c>
      <c r="L908" t="n">
        <v>0</v>
      </c>
      <c r="M908" t="n">
        <v>0</v>
      </c>
      <c r="N908" t="n">
        <v>0</v>
      </c>
      <c r="O908" t="n">
        <v>0</v>
      </c>
      <c r="P908" t="n">
        <v>0</v>
      </c>
      <c r="Q908" t="n">
        <v>0</v>
      </c>
      <c r="R908" s="2" t="inlineStr"/>
    </row>
    <row r="909" ht="15" customHeight="1">
      <c r="A909" t="inlineStr">
        <is>
          <t>A 8775-2024</t>
        </is>
      </c>
      <c r="B909" s="1" t="n">
        <v>45356</v>
      </c>
      <c r="C909" s="1" t="n">
        <v>45766</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8793-2024</t>
        </is>
      </c>
      <c r="B910" s="1" t="n">
        <v>45356</v>
      </c>
      <c r="C910" s="1" t="n">
        <v>45766</v>
      </c>
      <c r="D910" t="inlineStr">
        <is>
          <t>VÄSTMANLANDS LÄN</t>
        </is>
      </c>
      <c r="E910" t="inlineStr">
        <is>
          <t>SALA</t>
        </is>
      </c>
      <c r="G910" t="n">
        <v>2</v>
      </c>
      <c r="H910" t="n">
        <v>0</v>
      </c>
      <c r="I910" t="n">
        <v>0</v>
      </c>
      <c r="J910" t="n">
        <v>0</v>
      </c>
      <c r="K910" t="n">
        <v>0</v>
      </c>
      <c r="L910" t="n">
        <v>0</v>
      </c>
      <c r="M910" t="n">
        <v>0</v>
      </c>
      <c r="N910" t="n">
        <v>0</v>
      </c>
      <c r="O910" t="n">
        <v>0</v>
      </c>
      <c r="P910" t="n">
        <v>0</v>
      </c>
      <c r="Q910" t="n">
        <v>0</v>
      </c>
      <c r="R910" s="2" t="inlineStr"/>
    </row>
    <row r="911" ht="15" customHeight="1">
      <c r="A911" t="inlineStr">
        <is>
          <t>A 8778-2024</t>
        </is>
      </c>
      <c r="B911" s="1" t="n">
        <v>45356</v>
      </c>
      <c r="C911" s="1" t="n">
        <v>45766</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9205-2024</t>
        </is>
      </c>
      <c r="B912" s="1" t="n">
        <v>45358</v>
      </c>
      <c r="C912" s="1" t="n">
        <v>45766</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9204-2024</t>
        </is>
      </c>
      <c r="B913" s="1" t="n">
        <v>45358</v>
      </c>
      <c r="C913" s="1" t="n">
        <v>45766</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9474-2024</t>
        </is>
      </c>
      <c r="B914" s="1" t="n">
        <v>45359</v>
      </c>
      <c r="C914" s="1" t="n">
        <v>45766</v>
      </c>
      <c r="D914" t="inlineStr">
        <is>
          <t>VÄSTMANLANDS LÄN</t>
        </is>
      </c>
      <c r="E914" t="inlineStr">
        <is>
          <t>SALA</t>
        </is>
      </c>
      <c r="F914" t="inlineStr">
        <is>
          <t>Kommuner</t>
        </is>
      </c>
      <c r="G914" t="n">
        <v>4.1</v>
      </c>
      <c r="H914" t="n">
        <v>0</v>
      </c>
      <c r="I914" t="n">
        <v>0</v>
      </c>
      <c r="J914" t="n">
        <v>0</v>
      </c>
      <c r="K914" t="n">
        <v>0</v>
      </c>
      <c r="L914" t="n">
        <v>0</v>
      </c>
      <c r="M914" t="n">
        <v>0</v>
      </c>
      <c r="N914" t="n">
        <v>0</v>
      </c>
      <c r="O914" t="n">
        <v>0</v>
      </c>
      <c r="P914" t="n">
        <v>0</v>
      </c>
      <c r="Q914" t="n">
        <v>0</v>
      </c>
      <c r="R914" s="2" t="inlineStr"/>
    </row>
    <row r="915" ht="15" customHeight="1">
      <c r="A915" t="inlineStr">
        <is>
          <t>A 9853-2024</t>
        </is>
      </c>
      <c r="B915" s="1" t="n">
        <v>45363</v>
      </c>
      <c r="C915" s="1" t="n">
        <v>45766</v>
      </c>
      <c r="D915" t="inlineStr">
        <is>
          <t>VÄSTMANLANDS LÄN</t>
        </is>
      </c>
      <c r="E915" t="inlineStr">
        <is>
          <t>SALA</t>
        </is>
      </c>
      <c r="G915" t="n">
        <v>3.2</v>
      </c>
      <c r="H915" t="n">
        <v>0</v>
      </c>
      <c r="I915" t="n">
        <v>0</v>
      </c>
      <c r="J915" t="n">
        <v>0</v>
      </c>
      <c r="K915" t="n">
        <v>0</v>
      </c>
      <c r="L915" t="n">
        <v>0</v>
      </c>
      <c r="M915" t="n">
        <v>0</v>
      </c>
      <c r="N915" t="n">
        <v>0</v>
      </c>
      <c r="O915" t="n">
        <v>0</v>
      </c>
      <c r="P915" t="n">
        <v>0</v>
      </c>
      <c r="Q915" t="n">
        <v>0</v>
      </c>
      <c r="R915" s="2" t="inlineStr"/>
    </row>
    <row r="916" ht="15" customHeight="1">
      <c r="A916" t="inlineStr">
        <is>
          <t>A 9874-2024</t>
        </is>
      </c>
      <c r="B916" s="1" t="n">
        <v>45363</v>
      </c>
      <c r="C916" s="1" t="n">
        <v>45766</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10255-2024</t>
        </is>
      </c>
      <c r="B917" s="1" t="n">
        <v>45365</v>
      </c>
      <c r="C917" s="1" t="n">
        <v>45766</v>
      </c>
      <c r="D917" t="inlineStr">
        <is>
          <t>VÄSTMANLANDS LÄN</t>
        </is>
      </c>
      <c r="E917" t="inlineStr">
        <is>
          <t>SALA</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10559-2024</t>
        </is>
      </c>
      <c r="B918" s="1" t="n">
        <v>45366</v>
      </c>
      <c r="C918" s="1" t="n">
        <v>45766</v>
      </c>
      <c r="D918" t="inlineStr">
        <is>
          <t>VÄSTMANLANDS LÄN</t>
        </is>
      </c>
      <c r="E918" t="inlineStr">
        <is>
          <t>SALA</t>
        </is>
      </c>
      <c r="G918" t="n">
        <v>0.3</v>
      </c>
      <c r="H918" t="n">
        <v>0</v>
      </c>
      <c r="I918" t="n">
        <v>0</v>
      </c>
      <c r="J918" t="n">
        <v>0</v>
      </c>
      <c r="K918" t="n">
        <v>0</v>
      </c>
      <c r="L918" t="n">
        <v>0</v>
      </c>
      <c r="M918" t="n">
        <v>0</v>
      </c>
      <c r="N918" t="n">
        <v>0</v>
      </c>
      <c r="O918" t="n">
        <v>0</v>
      </c>
      <c r="P918" t="n">
        <v>0</v>
      </c>
      <c r="Q918" t="n">
        <v>0</v>
      </c>
      <c r="R918" s="2" t="inlineStr"/>
    </row>
    <row r="919" ht="15" customHeight="1">
      <c r="A919" t="inlineStr">
        <is>
          <t>A 10751-2024</t>
        </is>
      </c>
      <c r="B919" s="1" t="n">
        <v>45369</v>
      </c>
      <c r="C919" s="1" t="n">
        <v>45766</v>
      </c>
      <c r="D919" t="inlineStr">
        <is>
          <t>VÄSTMANLANDS LÄN</t>
        </is>
      </c>
      <c r="E919" t="inlineStr">
        <is>
          <t>SALA</t>
        </is>
      </c>
      <c r="G919" t="n">
        <v>1.6</v>
      </c>
      <c r="H919" t="n">
        <v>0</v>
      </c>
      <c r="I919" t="n">
        <v>0</v>
      </c>
      <c r="J919" t="n">
        <v>0</v>
      </c>
      <c r="K919" t="n">
        <v>0</v>
      </c>
      <c r="L919" t="n">
        <v>0</v>
      </c>
      <c r="M919" t="n">
        <v>0</v>
      </c>
      <c r="N919" t="n">
        <v>0</v>
      </c>
      <c r="O919" t="n">
        <v>0</v>
      </c>
      <c r="P919" t="n">
        <v>0</v>
      </c>
      <c r="Q919" t="n">
        <v>0</v>
      </c>
      <c r="R919" s="2" t="inlineStr"/>
    </row>
    <row r="920" ht="15" customHeight="1">
      <c r="A920" t="inlineStr">
        <is>
          <t>A 10754-2024</t>
        </is>
      </c>
      <c r="B920" s="1" t="n">
        <v>45369</v>
      </c>
      <c r="C920" s="1" t="n">
        <v>45766</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10909-2024</t>
        </is>
      </c>
      <c r="B921" s="1" t="n">
        <v>45370</v>
      </c>
      <c r="C921" s="1" t="n">
        <v>45766</v>
      </c>
      <c r="D921" t="inlineStr">
        <is>
          <t>VÄSTMANLANDS LÄN</t>
        </is>
      </c>
      <c r="E921" t="inlineStr">
        <is>
          <t>SALA</t>
        </is>
      </c>
      <c r="G921" t="n">
        <v>3.3</v>
      </c>
      <c r="H921" t="n">
        <v>0</v>
      </c>
      <c r="I921" t="n">
        <v>0</v>
      </c>
      <c r="J921" t="n">
        <v>0</v>
      </c>
      <c r="K921" t="n">
        <v>0</v>
      </c>
      <c r="L921" t="n">
        <v>0</v>
      </c>
      <c r="M921" t="n">
        <v>0</v>
      </c>
      <c r="N921" t="n">
        <v>0</v>
      </c>
      <c r="O921" t="n">
        <v>0</v>
      </c>
      <c r="P921" t="n">
        <v>0</v>
      </c>
      <c r="Q921" t="n">
        <v>0</v>
      </c>
      <c r="R921" s="2" t="inlineStr"/>
    </row>
    <row r="922" ht="15" customHeight="1">
      <c r="A922" t="inlineStr">
        <is>
          <t>A 11244-2024</t>
        </is>
      </c>
      <c r="B922" s="1" t="n">
        <v>45371</v>
      </c>
      <c r="C922" s="1" t="n">
        <v>45766</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11381-2024</t>
        </is>
      </c>
      <c r="B923" s="1" t="n">
        <v>45372</v>
      </c>
      <c r="C923" s="1" t="n">
        <v>45766</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v>
      </c>
      <c r="C924" s="1" t="n">
        <v>45766</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11378-2024</t>
        </is>
      </c>
      <c r="B925" s="1" t="n">
        <v>45372</v>
      </c>
      <c r="C925" s="1" t="n">
        <v>45766</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11492-2024</t>
        </is>
      </c>
      <c r="B926" s="1" t="n">
        <v>45372</v>
      </c>
      <c r="C926" s="1" t="n">
        <v>45766</v>
      </c>
      <c r="D926" t="inlineStr">
        <is>
          <t>VÄSTMANLANDS LÄN</t>
        </is>
      </c>
      <c r="E926" t="inlineStr">
        <is>
          <t>SALA</t>
        </is>
      </c>
      <c r="G926" t="n">
        <v>6.9</v>
      </c>
      <c r="H926" t="n">
        <v>0</v>
      </c>
      <c r="I926" t="n">
        <v>0</v>
      </c>
      <c r="J926" t="n">
        <v>0</v>
      </c>
      <c r="K926" t="n">
        <v>0</v>
      </c>
      <c r="L926" t="n">
        <v>0</v>
      </c>
      <c r="M926" t="n">
        <v>0</v>
      </c>
      <c r="N926" t="n">
        <v>0</v>
      </c>
      <c r="O926" t="n">
        <v>0</v>
      </c>
      <c r="P926" t="n">
        <v>0</v>
      </c>
      <c r="Q926" t="n">
        <v>0</v>
      </c>
      <c r="R926" s="2" t="inlineStr"/>
    </row>
    <row r="927" ht="15" customHeight="1">
      <c r="A927" t="inlineStr">
        <is>
          <t>A 11847-2024</t>
        </is>
      </c>
      <c r="B927" s="1" t="n">
        <v>45376</v>
      </c>
      <c r="C927" s="1" t="n">
        <v>45766</v>
      </c>
      <c r="D927" t="inlineStr">
        <is>
          <t>VÄSTMANLANDS LÄN</t>
        </is>
      </c>
      <c r="E927" t="inlineStr">
        <is>
          <t>SALA</t>
        </is>
      </c>
      <c r="G927" t="n">
        <v>7.1</v>
      </c>
      <c r="H927" t="n">
        <v>0</v>
      </c>
      <c r="I927" t="n">
        <v>0</v>
      </c>
      <c r="J927" t="n">
        <v>0</v>
      </c>
      <c r="K927" t="n">
        <v>0</v>
      </c>
      <c r="L927" t="n">
        <v>0</v>
      </c>
      <c r="M927" t="n">
        <v>0</v>
      </c>
      <c r="N927" t="n">
        <v>0</v>
      </c>
      <c r="O927" t="n">
        <v>0</v>
      </c>
      <c r="P927" t="n">
        <v>0</v>
      </c>
      <c r="Q927" t="n">
        <v>0</v>
      </c>
      <c r="R927" s="2" t="inlineStr"/>
    </row>
    <row r="928" ht="15" customHeight="1">
      <c r="A928" t="inlineStr">
        <is>
          <t>A 12236-2024</t>
        </is>
      </c>
      <c r="B928" s="1" t="n">
        <v>45378</v>
      </c>
      <c r="C928" s="1" t="n">
        <v>45766</v>
      </c>
      <c r="D928" t="inlineStr">
        <is>
          <t>VÄSTMANLANDS LÄN</t>
        </is>
      </c>
      <c r="E928" t="inlineStr">
        <is>
          <t>SALA</t>
        </is>
      </c>
      <c r="F928" t="inlineStr">
        <is>
          <t>Kommuner</t>
        </is>
      </c>
      <c r="G928" t="n">
        <v>4.4</v>
      </c>
      <c r="H928" t="n">
        <v>0</v>
      </c>
      <c r="I928" t="n">
        <v>0</v>
      </c>
      <c r="J928" t="n">
        <v>0</v>
      </c>
      <c r="K928" t="n">
        <v>0</v>
      </c>
      <c r="L928" t="n">
        <v>0</v>
      </c>
      <c r="M928" t="n">
        <v>0</v>
      </c>
      <c r="N928" t="n">
        <v>0</v>
      </c>
      <c r="O928" t="n">
        <v>0</v>
      </c>
      <c r="P928" t="n">
        <v>0</v>
      </c>
      <c r="Q928" t="n">
        <v>0</v>
      </c>
      <c r="R928" s="2" t="inlineStr"/>
    </row>
    <row r="929" ht="15" customHeight="1">
      <c r="A929" t="inlineStr">
        <is>
          <t>A 12244-2024</t>
        </is>
      </c>
      <c r="B929" s="1" t="n">
        <v>45378</v>
      </c>
      <c r="C929" s="1" t="n">
        <v>45766</v>
      </c>
      <c r="D929" t="inlineStr">
        <is>
          <t>VÄSTMANLANDS LÄN</t>
        </is>
      </c>
      <c r="E929" t="inlineStr">
        <is>
          <t>SALA</t>
        </is>
      </c>
      <c r="G929" t="n">
        <v>3.6</v>
      </c>
      <c r="H929" t="n">
        <v>0</v>
      </c>
      <c r="I929" t="n">
        <v>0</v>
      </c>
      <c r="J929" t="n">
        <v>0</v>
      </c>
      <c r="K929" t="n">
        <v>0</v>
      </c>
      <c r="L929" t="n">
        <v>0</v>
      </c>
      <c r="M929" t="n">
        <v>0</v>
      </c>
      <c r="N929" t="n">
        <v>0</v>
      </c>
      <c r="O929" t="n">
        <v>0</v>
      </c>
      <c r="P929" t="n">
        <v>0</v>
      </c>
      <c r="Q929" t="n">
        <v>0</v>
      </c>
      <c r="R929" s="2" t="inlineStr"/>
    </row>
    <row r="930" ht="15" customHeight="1">
      <c r="A930" t="inlineStr">
        <is>
          <t>A 12237-2024</t>
        </is>
      </c>
      <c r="B930" s="1" t="n">
        <v>45378</v>
      </c>
      <c r="C930" s="1" t="n">
        <v>45766</v>
      </c>
      <c r="D930" t="inlineStr">
        <is>
          <t>VÄSTMANLANDS LÄN</t>
        </is>
      </c>
      <c r="E930" t="inlineStr">
        <is>
          <t>SALA</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12242-2024</t>
        </is>
      </c>
      <c r="B931" s="1" t="n">
        <v>45378</v>
      </c>
      <c r="C931" s="1" t="n">
        <v>45766</v>
      </c>
      <c r="D931" t="inlineStr">
        <is>
          <t>VÄSTMANLANDS LÄN</t>
        </is>
      </c>
      <c r="E931" t="inlineStr">
        <is>
          <t>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12463-2024</t>
        </is>
      </c>
      <c r="B932" s="1" t="n">
        <v>45378</v>
      </c>
      <c r="C932" s="1" t="n">
        <v>45766</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12485-2024</t>
        </is>
      </c>
      <c r="B933" s="1" t="n">
        <v>45379</v>
      </c>
      <c r="C933" s="1" t="n">
        <v>45766</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13106-2024</t>
        </is>
      </c>
      <c r="B934" s="1" t="n">
        <v>45385</v>
      </c>
      <c r="C934" s="1" t="n">
        <v>45766</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13110-2024</t>
        </is>
      </c>
      <c r="B935" s="1" t="n">
        <v>45385</v>
      </c>
      <c r="C935" s="1" t="n">
        <v>45766</v>
      </c>
      <c r="D935" t="inlineStr">
        <is>
          <t>VÄSTMANLANDS LÄN</t>
        </is>
      </c>
      <c r="E935" t="inlineStr">
        <is>
          <t>SALA</t>
        </is>
      </c>
      <c r="G935" t="n">
        <v>3</v>
      </c>
      <c r="H935" t="n">
        <v>0</v>
      </c>
      <c r="I935" t="n">
        <v>0</v>
      </c>
      <c r="J935" t="n">
        <v>0</v>
      </c>
      <c r="K935" t="n">
        <v>0</v>
      </c>
      <c r="L935" t="n">
        <v>0</v>
      </c>
      <c r="M935" t="n">
        <v>0</v>
      </c>
      <c r="N935" t="n">
        <v>0</v>
      </c>
      <c r="O935" t="n">
        <v>0</v>
      </c>
      <c r="P935" t="n">
        <v>0</v>
      </c>
      <c r="Q935" t="n">
        <v>0</v>
      </c>
      <c r="R935" s="2" t="inlineStr"/>
    </row>
    <row r="936" ht="15" customHeight="1">
      <c r="A936" t="inlineStr">
        <is>
          <t>A 14001-2024</t>
        </is>
      </c>
      <c r="B936" s="1" t="n">
        <v>45392</v>
      </c>
      <c r="C936" s="1" t="n">
        <v>45766</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14115-2024</t>
        </is>
      </c>
      <c r="B937" s="1" t="n">
        <v>45392</v>
      </c>
      <c r="C937" s="1" t="n">
        <v>45766</v>
      </c>
      <c r="D937" t="inlineStr">
        <is>
          <t>VÄSTMANLANDS LÄN</t>
        </is>
      </c>
      <c r="E937" t="inlineStr">
        <is>
          <t>SALA</t>
        </is>
      </c>
      <c r="G937" t="n">
        <v>5</v>
      </c>
      <c r="H937" t="n">
        <v>0</v>
      </c>
      <c r="I937" t="n">
        <v>0</v>
      </c>
      <c r="J937" t="n">
        <v>0</v>
      </c>
      <c r="K937" t="n">
        <v>0</v>
      </c>
      <c r="L937" t="n">
        <v>0</v>
      </c>
      <c r="M937" t="n">
        <v>0</v>
      </c>
      <c r="N937" t="n">
        <v>0</v>
      </c>
      <c r="O937" t="n">
        <v>0</v>
      </c>
      <c r="P937" t="n">
        <v>0</v>
      </c>
      <c r="Q937" t="n">
        <v>0</v>
      </c>
      <c r="R937" s="2" t="inlineStr"/>
    </row>
    <row r="938" ht="15" customHeight="1">
      <c r="A938" t="inlineStr">
        <is>
          <t>A 14181-2024</t>
        </is>
      </c>
      <c r="B938" s="1" t="n">
        <v>45393</v>
      </c>
      <c r="C938" s="1" t="n">
        <v>45766</v>
      </c>
      <c r="D938" t="inlineStr">
        <is>
          <t>VÄSTMANLANDS LÄN</t>
        </is>
      </c>
      <c r="E938" t="inlineStr">
        <is>
          <t>SALA</t>
        </is>
      </c>
      <c r="G938" t="n">
        <v>6.4</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v>
      </c>
      <c r="C939" s="1" t="n">
        <v>45766</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15968-2024</t>
        </is>
      </c>
      <c r="B940" s="1" t="n">
        <v>45405</v>
      </c>
      <c r="C940" s="1" t="n">
        <v>45766</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15965-2024</t>
        </is>
      </c>
      <c r="B941" s="1" t="n">
        <v>45405</v>
      </c>
      <c r="C941" s="1" t="n">
        <v>45766</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45766</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16163-2024</t>
        </is>
      </c>
      <c r="B943" s="1" t="n">
        <v>45406</v>
      </c>
      <c r="C943" s="1" t="n">
        <v>45766</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16148-2024</t>
        </is>
      </c>
      <c r="B944" s="1" t="n">
        <v>45406</v>
      </c>
      <c r="C944" s="1" t="n">
        <v>45766</v>
      </c>
      <c r="D944" t="inlineStr">
        <is>
          <t>VÄSTMANLANDS LÄN</t>
        </is>
      </c>
      <c r="E944" t="inlineStr">
        <is>
          <t>SALA</t>
        </is>
      </c>
      <c r="G944" t="n">
        <v>5.1</v>
      </c>
      <c r="H944" t="n">
        <v>0</v>
      </c>
      <c r="I944" t="n">
        <v>0</v>
      </c>
      <c r="J944" t="n">
        <v>0</v>
      </c>
      <c r="K944" t="n">
        <v>0</v>
      </c>
      <c r="L944" t="n">
        <v>0</v>
      </c>
      <c r="M944" t="n">
        <v>0</v>
      </c>
      <c r="N944" t="n">
        <v>0</v>
      </c>
      <c r="O944" t="n">
        <v>0</v>
      </c>
      <c r="P944" t="n">
        <v>0</v>
      </c>
      <c r="Q944" t="n">
        <v>0</v>
      </c>
      <c r="R944" s="2" t="inlineStr"/>
    </row>
    <row r="945" ht="15" customHeight="1">
      <c r="A945" t="inlineStr">
        <is>
          <t>A 16160-2024</t>
        </is>
      </c>
      <c r="B945" s="1" t="n">
        <v>45406</v>
      </c>
      <c r="C945" s="1" t="n">
        <v>45766</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16767-2024</t>
        </is>
      </c>
      <c r="B946" s="1" t="n">
        <v>45411</v>
      </c>
      <c r="C946" s="1" t="n">
        <v>45766</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16760-2024</t>
        </is>
      </c>
      <c r="B947" s="1" t="n">
        <v>45411</v>
      </c>
      <c r="C947" s="1" t="n">
        <v>45766</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16769-2024</t>
        </is>
      </c>
      <c r="B948" s="1" t="n">
        <v>45411</v>
      </c>
      <c r="C948" s="1" t="n">
        <v>45766</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17455-2024</t>
        </is>
      </c>
      <c r="B949" s="1" t="n">
        <v>45415</v>
      </c>
      <c r="C949" s="1" t="n">
        <v>45766</v>
      </c>
      <c r="D949" t="inlineStr">
        <is>
          <t>VÄSTMANLANDS LÄN</t>
        </is>
      </c>
      <c r="E949" t="inlineStr">
        <is>
          <t>SALA</t>
        </is>
      </c>
      <c r="G949" t="n">
        <v>2.8</v>
      </c>
      <c r="H949" t="n">
        <v>0</v>
      </c>
      <c r="I949" t="n">
        <v>0</v>
      </c>
      <c r="J949" t="n">
        <v>0</v>
      </c>
      <c r="K949" t="n">
        <v>0</v>
      </c>
      <c r="L949" t="n">
        <v>0</v>
      </c>
      <c r="M949" t="n">
        <v>0</v>
      </c>
      <c r="N949" t="n">
        <v>0</v>
      </c>
      <c r="O949" t="n">
        <v>0</v>
      </c>
      <c r="P949" t="n">
        <v>0</v>
      </c>
      <c r="Q949" t="n">
        <v>0</v>
      </c>
      <c r="R949" s="2" t="inlineStr"/>
    </row>
    <row r="950" ht="15" customHeight="1">
      <c r="A950" t="inlineStr">
        <is>
          <t>A 17495-2024</t>
        </is>
      </c>
      <c r="B950" s="1" t="n">
        <v>45415</v>
      </c>
      <c r="C950" s="1" t="n">
        <v>45766</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17457-2024</t>
        </is>
      </c>
      <c r="B951" s="1" t="n">
        <v>45415</v>
      </c>
      <c r="C951" s="1" t="n">
        <v>45766</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17458-2024</t>
        </is>
      </c>
      <c r="B952" s="1" t="n">
        <v>45415</v>
      </c>
      <c r="C952" s="1" t="n">
        <v>45766</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17496-2024</t>
        </is>
      </c>
      <c r="B953" s="1" t="n">
        <v>45415</v>
      </c>
      <c r="C953" s="1" t="n">
        <v>45766</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17918-2024</t>
        </is>
      </c>
      <c r="B954" s="1" t="n">
        <v>45419</v>
      </c>
      <c r="C954" s="1" t="n">
        <v>45766</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18461-2024</t>
        </is>
      </c>
      <c r="B955" s="1" t="n">
        <v>45425</v>
      </c>
      <c r="C955" s="1" t="n">
        <v>45766</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18522-2024</t>
        </is>
      </c>
      <c r="B956" s="1" t="n">
        <v>45425</v>
      </c>
      <c r="C956" s="1" t="n">
        <v>45766</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18750-2024</t>
        </is>
      </c>
      <c r="B957" s="1" t="n">
        <v>45426</v>
      </c>
      <c r="C957" s="1" t="n">
        <v>45766</v>
      </c>
      <c r="D957" t="inlineStr">
        <is>
          <t>VÄSTMANLANDS LÄN</t>
        </is>
      </c>
      <c r="E957" t="inlineStr">
        <is>
          <t>SALA</t>
        </is>
      </c>
      <c r="G957" t="n">
        <v>5.5</v>
      </c>
      <c r="H957" t="n">
        <v>0</v>
      </c>
      <c r="I957" t="n">
        <v>0</v>
      </c>
      <c r="J957" t="n">
        <v>0</v>
      </c>
      <c r="K957" t="n">
        <v>0</v>
      </c>
      <c r="L957" t="n">
        <v>0</v>
      </c>
      <c r="M957" t="n">
        <v>0</v>
      </c>
      <c r="N957" t="n">
        <v>0</v>
      </c>
      <c r="O957" t="n">
        <v>0</v>
      </c>
      <c r="P957" t="n">
        <v>0</v>
      </c>
      <c r="Q957" t="n">
        <v>0</v>
      </c>
      <c r="R957" s="2" t="inlineStr"/>
    </row>
    <row r="958" ht="15" customHeight="1">
      <c r="A958" t="inlineStr">
        <is>
          <t>A 18762-2024</t>
        </is>
      </c>
      <c r="B958" s="1" t="n">
        <v>45426</v>
      </c>
      <c r="C958" s="1" t="n">
        <v>45766</v>
      </c>
      <c r="D958" t="inlineStr">
        <is>
          <t>VÄSTMANLANDS LÄN</t>
        </is>
      </c>
      <c r="E958" t="inlineStr">
        <is>
          <t>SALA</t>
        </is>
      </c>
      <c r="G958" t="n">
        <v>6.2</v>
      </c>
      <c r="H958" t="n">
        <v>0</v>
      </c>
      <c r="I958" t="n">
        <v>0</v>
      </c>
      <c r="J958" t="n">
        <v>0</v>
      </c>
      <c r="K958" t="n">
        <v>0</v>
      </c>
      <c r="L958" t="n">
        <v>0</v>
      </c>
      <c r="M958" t="n">
        <v>0</v>
      </c>
      <c r="N958" t="n">
        <v>0</v>
      </c>
      <c r="O958" t="n">
        <v>0</v>
      </c>
      <c r="P958" t="n">
        <v>0</v>
      </c>
      <c r="Q958" t="n">
        <v>0</v>
      </c>
      <c r="R958" s="2" t="inlineStr"/>
    </row>
    <row r="959" ht="15" customHeight="1">
      <c r="A959" t="inlineStr">
        <is>
          <t>A 19224-2024</t>
        </is>
      </c>
      <c r="B959" s="1" t="n">
        <v>45428</v>
      </c>
      <c r="C959" s="1" t="n">
        <v>45766</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19803-2024</t>
        </is>
      </c>
      <c r="B960" s="1" t="n">
        <v>45432</v>
      </c>
      <c r="C960" s="1" t="n">
        <v>45766</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19860-2024</t>
        </is>
      </c>
      <c r="B961" s="1" t="n">
        <v>45433</v>
      </c>
      <c r="C961" s="1" t="n">
        <v>45766</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19969-2024</t>
        </is>
      </c>
      <c r="B962" s="1" t="n">
        <v>45433</v>
      </c>
      <c r="C962" s="1" t="n">
        <v>45766</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21234-2024</t>
        </is>
      </c>
      <c r="B963" s="1" t="n">
        <v>45440</v>
      </c>
      <c r="C963" s="1" t="n">
        <v>45766</v>
      </c>
      <c r="D963" t="inlineStr">
        <is>
          <t>VÄSTMANLANDS LÄN</t>
        </is>
      </c>
      <c r="E963" t="inlineStr">
        <is>
          <t>SALA</t>
        </is>
      </c>
      <c r="G963" t="n">
        <v>4.9</v>
      </c>
      <c r="H963" t="n">
        <v>0</v>
      </c>
      <c r="I963" t="n">
        <v>0</v>
      </c>
      <c r="J963" t="n">
        <v>0</v>
      </c>
      <c r="K963" t="n">
        <v>0</v>
      </c>
      <c r="L963" t="n">
        <v>0</v>
      </c>
      <c r="M963" t="n">
        <v>0</v>
      </c>
      <c r="N963" t="n">
        <v>0</v>
      </c>
      <c r="O963" t="n">
        <v>0</v>
      </c>
      <c r="P963" t="n">
        <v>0</v>
      </c>
      <c r="Q963" t="n">
        <v>0</v>
      </c>
      <c r="R963" s="2" t="inlineStr"/>
    </row>
    <row r="964" ht="15" customHeight="1">
      <c r="A964" t="inlineStr">
        <is>
          <t>A 21225-2024</t>
        </is>
      </c>
      <c r="B964" s="1" t="n">
        <v>45440</v>
      </c>
      <c r="C964" s="1" t="n">
        <v>45766</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21968-2024</t>
        </is>
      </c>
      <c r="B965" s="1" t="n">
        <v>45443</v>
      </c>
      <c r="C965" s="1" t="n">
        <v>45766</v>
      </c>
      <c r="D965" t="inlineStr">
        <is>
          <t>VÄSTMANLANDS LÄN</t>
        </is>
      </c>
      <c r="E965" t="inlineStr">
        <is>
          <t>SALA</t>
        </is>
      </c>
      <c r="G965" t="n">
        <v>1.9</v>
      </c>
      <c r="H965" t="n">
        <v>0</v>
      </c>
      <c r="I965" t="n">
        <v>0</v>
      </c>
      <c r="J965" t="n">
        <v>0</v>
      </c>
      <c r="K965" t="n">
        <v>0</v>
      </c>
      <c r="L965" t="n">
        <v>0</v>
      </c>
      <c r="M965" t="n">
        <v>0</v>
      </c>
      <c r="N965" t="n">
        <v>0</v>
      </c>
      <c r="O965" t="n">
        <v>0</v>
      </c>
      <c r="P965" t="n">
        <v>0</v>
      </c>
      <c r="Q965" t="n">
        <v>0</v>
      </c>
      <c r="R965" s="2" t="inlineStr"/>
    </row>
    <row r="966" ht="15" customHeight="1">
      <c r="A966" t="inlineStr">
        <is>
          <t>A 23317-2024</t>
        </is>
      </c>
      <c r="B966" s="1" t="n">
        <v>45453</v>
      </c>
      <c r="C966" s="1" t="n">
        <v>45766</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23406-2024</t>
        </is>
      </c>
      <c r="B967" s="1" t="n">
        <v>45453</v>
      </c>
      <c r="C967" s="1" t="n">
        <v>45766</v>
      </c>
      <c r="D967" t="inlineStr">
        <is>
          <t>VÄSTMANLANDS LÄN</t>
        </is>
      </c>
      <c r="E967" t="inlineStr">
        <is>
          <t>SALA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23431-2024</t>
        </is>
      </c>
      <c r="B968" s="1" t="n">
        <v>45453</v>
      </c>
      <c r="C968" s="1" t="n">
        <v>45766</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23433-2024</t>
        </is>
      </c>
      <c r="B969" s="1" t="n">
        <v>45453</v>
      </c>
      <c r="C969" s="1" t="n">
        <v>45766</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23322-2024</t>
        </is>
      </c>
      <c r="B970" s="1" t="n">
        <v>45453</v>
      </c>
      <c r="C970" s="1" t="n">
        <v>45766</v>
      </c>
      <c r="D970" t="inlineStr">
        <is>
          <t>VÄSTMANLANDS LÄN</t>
        </is>
      </c>
      <c r="E970" t="inlineStr">
        <is>
          <t>SALA</t>
        </is>
      </c>
      <c r="G970" t="n">
        <v>3.2</v>
      </c>
      <c r="H970" t="n">
        <v>0</v>
      </c>
      <c r="I970" t="n">
        <v>0</v>
      </c>
      <c r="J970" t="n">
        <v>0</v>
      </c>
      <c r="K970" t="n">
        <v>0</v>
      </c>
      <c r="L970" t="n">
        <v>0</v>
      </c>
      <c r="M970" t="n">
        <v>0</v>
      </c>
      <c r="N970" t="n">
        <v>0</v>
      </c>
      <c r="O970" t="n">
        <v>0</v>
      </c>
      <c r="P970" t="n">
        <v>0</v>
      </c>
      <c r="Q970" t="n">
        <v>0</v>
      </c>
      <c r="R970" s="2" t="inlineStr"/>
    </row>
    <row r="971" ht="15" customHeight="1">
      <c r="A971" t="inlineStr">
        <is>
          <t>A 23621-2024</t>
        </is>
      </c>
      <c r="B971" s="1" t="n">
        <v>45454</v>
      </c>
      <c r="C971" s="1" t="n">
        <v>45766</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24039-2024</t>
        </is>
      </c>
      <c r="B972" s="1" t="n">
        <v>45456</v>
      </c>
      <c r="C972" s="1" t="n">
        <v>45766</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24037-2024</t>
        </is>
      </c>
      <c r="B973" s="1" t="n">
        <v>45456</v>
      </c>
      <c r="C973" s="1" t="n">
        <v>45766</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24175-2024</t>
        </is>
      </c>
      <c r="B974" s="1" t="n">
        <v>45456</v>
      </c>
      <c r="C974" s="1" t="n">
        <v>45766</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24337-2024</t>
        </is>
      </c>
      <c r="B975" s="1" t="n">
        <v>45457</v>
      </c>
      <c r="C975" s="1" t="n">
        <v>45766</v>
      </c>
      <c r="D975" t="inlineStr">
        <is>
          <t>VÄSTMANLANDS LÄN</t>
        </is>
      </c>
      <c r="E975" t="inlineStr">
        <is>
          <t>SALA</t>
        </is>
      </c>
      <c r="G975" t="n">
        <v>2.9</v>
      </c>
      <c r="H975" t="n">
        <v>0</v>
      </c>
      <c r="I975" t="n">
        <v>0</v>
      </c>
      <c r="J975" t="n">
        <v>0</v>
      </c>
      <c r="K975" t="n">
        <v>0</v>
      </c>
      <c r="L975" t="n">
        <v>0</v>
      </c>
      <c r="M975" t="n">
        <v>0</v>
      </c>
      <c r="N975" t="n">
        <v>0</v>
      </c>
      <c r="O975" t="n">
        <v>0</v>
      </c>
      <c r="P975" t="n">
        <v>0</v>
      </c>
      <c r="Q975" t="n">
        <v>0</v>
      </c>
      <c r="R975" s="2" t="inlineStr"/>
    </row>
    <row r="976" ht="15" customHeight="1">
      <c r="A976" t="inlineStr">
        <is>
          <t>A 24375-2024</t>
        </is>
      </c>
      <c r="B976" s="1" t="n">
        <v>45457</v>
      </c>
      <c r="C976" s="1" t="n">
        <v>45766</v>
      </c>
      <c r="D976" t="inlineStr">
        <is>
          <t>VÄSTMANLANDS LÄN</t>
        </is>
      </c>
      <c r="E976" t="inlineStr">
        <is>
          <t>SALA</t>
        </is>
      </c>
      <c r="G976" t="n">
        <v>6.3</v>
      </c>
      <c r="H976" t="n">
        <v>0</v>
      </c>
      <c r="I976" t="n">
        <v>0</v>
      </c>
      <c r="J976" t="n">
        <v>0</v>
      </c>
      <c r="K976" t="n">
        <v>0</v>
      </c>
      <c r="L976" t="n">
        <v>0</v>
      </c>
      <c r="M976" t="n">
        <v>0</v>
      </c>
      <c r="N976" t="n">
        <v>0</v>
      </c>
      <c r="O976" t="n">
        <v>0</v>
      </c>
      <c r="P976" t="n">
        <v>0</v>
      </c>
      <c r="Q976" t="n">
        <v>0</v>
      </c>
      <c r="R976" s="2" t="inlineStr"/>
    </row>
    <row r="977" ht="15" customHeight="1">
      <c r="A977" t="inlineStr">
        <is>
          <t>A 24866-2024</t>
        </is>
      </c>
      <c r="B977" s="1" t="n">
        <v>45461</v>
      </c>
      <c r="C977" s="1" t="n">
        <v>45766</v>
      </c>
      <c r="D977" t="inlineStr">
        <is>
          <t>VÄSTMANLANDS LÄN</t>
        </is>
      </c>
      <c r="E977" t="inlineStr">
        <is>
          <t>SALA</t>
        </is>
      </c>
      <c r="G977" t="n">
        <v>2.8</v>
      </c>
      <c r="H977" t="n">
        <v>0</v>
      </c>
      <c r="I977" t="n">
        <v>0</v>
      </c>
      <c r="J977" t="n">
        <v>0</v>
      </c>
      <c r="K977" t="n">
        <v>0</v>
      </c>
      <c r="L977" t="n">
        <v>0</v>
      </c>
      <c r="M977" t="n">
        <v>0</v>
      </c>
      <c r="N977" t="n">
        <v>0</v>
      </c>
      <c r="O977" t="n">
        <v>0</v>
      </c>
      <c r="P977" t="n">
        <v>0</v>
      </c>
      <c r="Q977" t="n">
        <v>0</v>
      </c>
      <c r="R977" s="2" t="inlineStr"/>
    </row>
    <row r="978" ht="15" customHeight="1">
      <c r="A978" t="inlineStr">
        <is>
          <t>A 24900-2024</t>
        </is>
      </c>
      <c r="B978" s="1" t="n">
        <v>45461</v>
      </c>
      <c r="C978" s="1" t="n">
        <v>45766</v>
      </c>
      <c r="D978" t="inlineStr">
        <is>
          <t>VÄSTMANLANDS LÄN</t>
        </is>
      </c>
      <c r="E978" t="inlineStr">
        <is>
          <t>SALA</t>
        </is>
      </c>
      <c r="G978" t="n">
        <v>5.8</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v>
      </c>
      <c r="C979" s="1" t="n">
        <v>45766</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25541-2024</t>
        </is>
      </c>
      <c r="B980" s="1" t="n">
        <v>45463</v>
      </c>
      <c r="C980" s="1" t="n">
        <v>45766</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25860-2024</t>
        </is>
      </c>
      <c r="B981" s="1" t="n">
        <v>45467</v>
      </c>
      <c r="C981" s="1" t="n">
        <v>45766</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25897-2024</t>
        </is>
      </c>
      <c r="B982" s="1" t="n">
        <v>45467</v>
      </c>
      <c r="C982" s="1" t="n">
        <v>45766</v>
      </c>
      <c r="D982" t="inlineStr">
        <is>
          <t>VÄSTMANLANDS LÄN</t>
        </is>
      </c>
      <c r="E982" t="inlineStr">
        <is>
          <t>SALA</t>
        </is>
      </c>
      <c r="G982" t="n">
        <v>9.9</v>
      </c>
      <c r="H982" t="n">
        <v>0</v>
      </c>
      <c r="I982" t="n">
        <v>0</v>
      </c>
      <c r="J982" t="n">
        <v>0</v>
      </c>
      <c r="K982" t="n">
        <v>0</v>
      </c>
      <c r="L982" t="n">
        <v>0</v>
      </c>
      <c r="M982" t="n">
        <v>0</v>
      </c>
      <c r="N982" t="n">
        <v>0</v>
      </c>
      <c r="O982" t="n">
        <v>0</v>
      </c>
      <c r="P982" t="n">
        <v>0</v>
      </c>
      <c r="Q982" t="n">
        <v>0</v>
      </c>
      <c r="R982" s="2" t="inlineStr"/>
    </row>
    <row r="983" ht="15" customHeight="1">
      <c r="A983" t="inlineStr">
        <is>
          <t>A 25891-2024</t>
        </is>
      </c>
      <c r="B983" s="1" t="n">
        <v>45467</v>
      </c>
      <c r="C983" s="1" t="n">
        <v>45766</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25868-2024</t>
        </is>
      </c>
      <c r="B984" s="1" t="n">
        <v>45467</v>
      </c>
      <c r="C984" s="1" t="n">
        <v>45766</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45766</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26848-2024</t>
        </is>
      </c>
      <c r="B986" s="1" t="n">
        <v>45470</v>
      </c>
      <c r="C986" s="1" t="n">
        <v>45766</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26844-2024</t>
        </is>
      </c>
      <c r="B987" s="1" t="n">
        <v>45470</v>
      </c>
      <c r="C987" s="1" t="n">
        <v>45766</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27097-2024</t>
        </is>
      </c>
      <c r="B988" s="1" t="n">
        <v>45471</v>
      </c>
      <c r="C988" s="1" t="n">
        <v>45766</v>
      </c>
      <c r="D988" t="inlineStr">
        <is>
          <t>VÄSTMANLANDS LÄN</t>
        </is>
      </c>
      <c r="E988" t="inlineStr">
        <is>
          <t>SALA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27262-2024</t>
        </is>
      </c>
      <c r="B989" s="1" t="n">
        <v>45471</v>
      </c>
      <c r="C989" s="1" t="n">
        <v>45766</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27261-2024</t>
        </is>
      </c>
      <c r="B990" s="1" t="n">
        <v>45471</v>
      </c>
      <c r="C990" s="1" t="n">
        <v>45766</v>
      </c>
      <c r="D990" t="inlineStr">
        <is>
          <t>VÄSTMANLANDS LÄN</t>
        </is>
      </c>
      <c r="E990" t="inlineStr">
        <is>
          <t>SALA</t>
        </is>
      </c>
      <c r="G990" t="n">
        <v>6.1</v>
      </c>
      <c r="H990" t="n">
        <v>0</v>
      </c>
      <c r="I990" t="n">
        <v>0</v>
      </c>
      <c r="J990" t="n">
        <v>0</v>
      </c>
      <c r="K990" t="n">
        <v>0</v>
      </c>
      <c r="L990" t="n">
        <v>0</v>
      </c>
      <c r="M990" t="n">
        <v>0</v>
      </c>
      <c r="N990" t="n">
        <v>0</v>
      </c>
      <c r="O990" t="n">
        <v>0</v>
      </c>
      <c r="P990" t="n">
        <v>0</v>
      </c>
      <c r="Q990" t="n">
        <v>0</v>
      </c>
      <c r="R990" s="2" t="inlineStr"/>
    </row>
    <row r="991" ht="15" customHeight="1">
      <c r="A991" t="inlineStr">
        <is>
          <t>A 28082-2024</t>
        </is>
      </c>
      <c r="B991" s="1" t="n">
        <v>45476</v>
      </c>
      <c r="C991" s="1" t="n">
        <v>45766</v>
      </c>
      <c r="D991" t="inlineStr">
        <is>
          <t>VÄSTMANLANDS LÄN</t>
        </is>
      </c>
      <c r="E991" t="inlineStr">
        <is>
          <t>SALA</t>
        </is>
      </c>
      <c r="G991" t="n">
        <v>4.7</v>
      </c>
      <c r="H991" t="n">
        <v>0</v>
      </c>
      <c r="I991" t="n">
        <v>0</v>
      </c>
      <c r="J991" t="n">
        <v>0</v>
      </c>
      <c r="K991" t="n">
        <v>0</v>
      </c>
      <c r="L991" t="n">
        <v>0</v>
      </c>
      <c r="M991" t="n">
        <v>0</v>
      </c>
      <c r="N991" t="n">
        <v>0</v>
      </c>
      <c r="O991" t="n">
        <v>0</v>
      </c>
      <c r="P991" t="n">
        <v>0</v>
      </c>
      <c r="Q991" t="n">
        <v>0</v>
      </c>
      <c r="R991" s="2" t="inlineStr"/>
    </row>
    <row r="992" ht="15" customHeight="1">
      <c r="A992" t="inlineStr">
        <is>
          <t>A 28093-2024</t>
        </is>
      </c>
      <c r="B992" s="1" t="n">
        <v>45476</v>
      </c>
      <c r="C992" s="1" t="n">
        <v>45766</v>
      </c>
      <c r="D992" t="inlineStr">
        <is>
          <t>VÄSTMANLANDS LÄN</t>
        </is>
      </c>
      <c r="E992" t="inlineStr">
        <is>
          <t>SALA</t>
        </is>
      </c>
      <c r="G992" t="n">
        <v>4.2</v>
      </c>
      <c r="H992" t="n">
        <v>0</v>
      </c>
      <c r="I992" t="n">
        <v>0</v>
      </c>
      <c r="J992" t="n">
        <v>0</v>
      </c>
      <c r="K992" t="n">
        <v>0</v>
      </c>
      <c r="L992" t="n">
        <v>0</v>
      </c>
      <c r="M992" t="n">
        <v>0</v>
      </c>
      <c r="N992" t="n">
        <v>0</v>
      </c>
      <c r="O992" t="n">
        <v>0</v>
      </c>
      <c r="P992" t="n">
        <v>0</v>
      </c>
      <c r="Q992" t="n">
        <v>0</v>
      </c>
      <c r="R992" s="2" t="inlineStr"/>
    </row>
    <row r="993" ht="15" customHeight="1">
      <c r="A993" t="inlineStr">
        <is>
          <t>A 28439-2024</t>
        </is>
      </c>
      <c r="B993" s="1" t="n">
        <v>45477</v>
      </c>
      <c r="C993" s="1" t="n">
        <v>45766</v>
      </c>
      <c r="D993" t="inlineStr">
        <is>
          <t>VÄSTMANLANDS LÄN</t>
        </is>
      </c>
      <c r="E993" t="inlineStr">
        <is>
          <t>SALA</t>
        </is>
      </c>
      <c r="G993" t="n">
        <v>9.5</v>
      </c>
      <c r="H993" t="n">
        <v>0</v>
      </c>
      <c r="I993" t="n">
        <v>0</v>
      </c>
      <c r="J993" t="n">
        <v>0</v>
      </c>
      <c r="K993" t="n">
        <v>0</v>
      </c>
      <c r="L993" t="n">
        <v>0</v>
      </c>
      <c r="M993" t="n">
        <v>0</v>
      </c>
      <c r="N993" t="n">
        <v>0</v>
      </c>
      <c r="O993" t="n">
        <v>0</v>
      </c>
      <c r="P993" t="n">
        <v>0</v>
      </c>
      <c r="Q993" t="n">
        <v>0</v>
      </c>
      <c r="R993" s="2" t="inlineStr"/>
    </row>
    <row r="994" ht="15" customHeight="1">
      <c r="A994" t="inlineStr">
        <is>
          <t>A 28614-2024</t>
        </is>
      </c>
      <c r="B994" s="1" t="n">
        <v>45478</v>
      </c>
      <c r="C994" s="1" t="n">
        <v>45766</v>
      </c>
      <c r="D994" t="inlineStr">
        <is>
          <t>VÄSTMANLANDS LÄN</t>
        </is>
      </c>
      <c r="E994" t="inlineStr">
        <is>
          <t>SALA</t>
        </is>
      </c>
      <c r="G994" t="n">
        <v>1.4</v>
      </c>
      <c r="H994" t="n">
        <v>0</v>
      </c>
      <c r="I994" t="n">
        <v>0</v>
      </c>
      <c r="J994" t="n">
        <v>0</v>
      </c>
      <c r="K994" t="n">
        <v>0</v>
      </c>
      <c r="L994" t="n">
        <v>0</v>
      </c>
      <c r="M994" t="n">
        <v>0</v>
      </c>
      <c r="N994" t="n">
        <v>0</v>
      </c>
      <c r="O994" t="n">
        <v>0</v>
      </c>
      <c r="P994" t="n">
        <v>0</v>
      </c>
      <c r="Q994" t="n">
        <v>0</v>
      </c>
      <c r="R994" s="2" t="inlineStr"/>
    </row>
    <row r="995" ht="15" customHeight="1">
      <c r="A995" t="inlineStr">
        <is>
          <t>A 28661-2024</t>
        </is>
      </c>
      <c r="B995" s="1" t="n">
        <v>45478</v>
      </c>
      <c r="C995" s="1" t="n">
        <v>45766</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29019-2024</t>
        </is>
      </c>
      <c r="B996" s="1" t="n">
        <v>45481</v>
      </c>
      <c r="C996" s="1" t="n">
        <v>45766</v>
      </c>
      <c r="D996" t="inlineStr">
        <is>
          <t>VÄSTMANLANDS LÄN</t>
        </is>
      </c>
      <c r="E996" t="inlineStr">
        <is>
          <t>SALA</t>
        </is>
      </c>
      <c r="G996" t="n">
        <v>7.4</v>
      </c>
      <c r="H996" t="n">
        <v>0</v>
      </c>
      <c r="I996" t="n">
        <v>0</v>
      </c>
      <c r="J996" t="n">
        <v>0</v>
      </c>
      <c r="K996" t="n">
        <v>0</v>
      </c>
      <c r="L996" t="n">
        <v>0</v>
      </c>
      <c r="M996" t="n">
        <v>0</v>
      </c>
      <c r="N996" t="n">
        <v>0</v>
      </c>
      <c r="O996" t="n">
        <v>0</v>
      </c>
      <c r="P996" t="n">
        <v>0</v>
      </c>
      <c r="Q996" t="n">
        <v>0</v>
      </c>
      <c r="R996" s="2" t="inlineStr"/>
    </row>
    <row r="997" ht="15" customHeight="1">
      <c r="A997" t="inlineStr">
        <is>
          <t>A 30028-2024</t>
        </is>
      </c>
      <c r="B997" s="1" t="n">
        <v>45485</v>
      </c>
      <c r="C997" s="1" t="n">
        <v>45766</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29929-2024</t>
        </is>
      </c>
      <c r="B998" s="1" t="n">
        <v>45488</v>
      </c>
      <c r="C998" s="1" t="n">
        <v>45766</v>
      </c>
      <c r="D998" t="inlineStr">
        <is>
          <t>VÄSTMANLANDS LÄN</t>
        </is>
      </c>
      <c r="E998" t="inlineStr">
        <is>
          <t>SALA</t>
        </is>
      </c>
      <c r="G998" t="n">
        <v>0.7</v>
      </c>
      <c r="H998" t="n">
        <v>0</v>
      </c>
      <c r="I998" t="n">
        <v>0</v>
      </c>
      <c r="J998" t="n">
        <v>0</v>
      </c>
      <c r="K998" t="n">
        <v>0</v>
      </c>
      <c r="L998" t="n">
        <v>0</v>
      </c>
      <c r="M998" t="n">
        <v>0</v>
      </c>
      <c r="N998" t="n">
        <v>0</v>
      </c>
      <c r="O998" t="n">
        <v>0</v>
      </c>
      <c r="P998" t="n">
        <v>0</v>
      </c>
      <c r="Q998" t="n">
        <v>0</v>
      </c>
      <c r="R998" s="2" t="inlineStr"/>
    </row>
    <row r="999" ht="15" customHeight="1">
      <c r="A999" t="inlineStr">
        <is>
          <t>A 30613-2024</t>
        </is>
      </c>
      <c r="B999" s="1" t="n">
        <v>45495</v>
      </c>
      <c r="C999" s="1" t="n">
        <v>45766</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31235-2024</t>
        </is>
      </c>
      <c r="B1000" s="1" t="n">
        <v>45503</v>
      </c>
      <c r="C1000" s="1" t="n">
        <v>45766</v>
      </c>
      <c r="D1000" t="inlineStr">
        <is>
          <t>VÄSTMANLANDS LÄN</t>
        </is>
      </c>
      <c r="E1000" t="inlineStr">
        <is>
          <t>SALA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31405-2024</t>
        </is>
      </c>
      <c r="B1001" s="1" t="n">
        <v>45505</v>
      </c>
      <c r="C1001" s="1" t="n">
        <v>45766</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31599-2024</t>
        </is>
      </c>
      <c r="B1002" s="1" t="n">
        <v>45506</v>
      </c>
      <c r="C1002" s="1" t="n">
        <v>45766</v>
      </c>
      <c r="D1002" t="inlineStr">
        <is>
          <t>VÄSTMANLANDS LÄN</t>
        </is>
      </c>
      <c r="E1002" t="inlineStr">
        <is>
          <t>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31608-2024</t>
        </is>
      </c>
      <c r="B1003" s="1" t="n">
        <v>45506</v>
      </c>
      <c r="C1003" s="1" t="n">
        <v>45766</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31601-2024</t>
        </is>
      </c>
      <c r="B1004" s="1" t="n">
        <v>45506</v>
      </c>
      <c r="C1004" s="1" t="n">
        <v>45766</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31609-2024</t>
        </is>
      </c>
      <c r="B1005" s="1" t="n">
        <v>45506</v>
      </c>
      <c r="C1005" s="1" t="n">
        <v>45766</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31597-2024</t>
        </is>
      </c>
      <c r="B1006" s="1" t="n">
        <v>45506</v>
      </c>
      <c r="C1006" s="1" t="n">
        <v>45766</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31655-2024</t>
        </is>
      </c>
      <c r="B1007" s="1" t="n">
        <v>45506</v>
      </c>
      <c r="C1007" s="1" t="n">
        <v>45766</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31612-2024</t>
        </is>
      </c>
      <c r="B1008" s="1" t="n">
        <v>45506</v>
      </c>
      <c r="C1008" s="1" t="n">
        <v>45766</v>
      </c>
      <c r="D1008" t="inlineStr">
        <is>
          <t>VÄSTMANLANDS LÄN</t>
        </is>
      </c>
      <c r="E1008" t="inlineStr">
        <is>
          <t>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31941-2024</t>
        </is>
      </c>
      <c r="B1009" s="1" t="n">
        <v>45510</v>
      </c>
      <c r="C1009" s="1" t="n">
        <v>45766</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32372-2024</t>
        </is>
      </c>
      <c r="B1010" s="1" t="n">
        <v>45512</v>
      </c>
      <c r="C1010" s="1" t="n">
        <v>45766</v>
      </c>
      <c r="D1010" t="inlineStr">
        <is>
          <t>VÄSTMANLANDS LÄN</t>
        </is>
      </c>
      <c r="E1010" t="inlineStr">
        <is>
          <t>SALA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32303-2024</t>
        </is>
      </c>
      <c r="B1011" s="1" t="n">
        <v>45512</v>
      </c>
      <c r="C1011" s="1" t="n">
        <v>45766</v>
      </c>
      <c r="D1011" t="inlineStr">
        <is>
          <t>VÄSTMANLANDS LÄN</t>
        </is>
      </c>
      <c r="E1011" t="inlineStr">
        <is>
          <t>SALA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32484-2024</t>
        </is>
      </c>
      <c r="B1012" s="1" t="n">
        <v>45513</v>
      </c>
      <c r="C1012" s="1" t="n">
        <v>45766</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34419-2024</t>
        </is>
      </c>
      <c r="B1013" s="1" t="n">
        <v>45525</v>
      </c>
      <c r="C1013" s="1" t="n">
        <v>45766</v>
      </c>
      <c r="D1013" t="inlineStr">
        <is>
          <t>VÄSTMANLANDS LÄN</t>
        </is>
      </c>
      <c r="E1013" t="inlineStr">
        <is>
          <t>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34412-2024</t>
        </is>
      </c>
      <c r="B1014" s="1" t="n">
        <v>45525</v>
      </c>
      <c r="C1014" s="1" t="n">
        <v>45766</v>
      </c>
      <c r="D1014" t="inlineStr">
        <is>
          <t>VÄSTMANLANDS LÄN</t>
        </is>
      </c>
      <c r="E1014" t="inlineStr">
        <is>
          <t>SALA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34416-2024</t>
        </is>
      </c>
      <c r="B1015" s="1" t="n">
        <v>45525</v>
      </c>
      <c r="C1015" s="1" t="n">
        <v>45766</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35003-2024</t>
        </is>
      </c>
      <c r="B1016" s="1" t="n">
        <v>45527</v>
      </c>
      <c r="C1016" s="1" t="n">
        <v>45766</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35016-2024</t>
        </is>
      </c>
      <c r="B1017" s="1" t="n">
        <v>45527</v>
      </c>
      <c r="C1017" s="1" t="n">
        <v>45766</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35010-2024</t>
        </is>
      </c>
      <c r="B1018" s="1" t="n">
        <v>45527</v>
      </c>
      <c r="C1018" s="1" t="n">
        <v>45766</v>
      </c>
      <c r="D1018" t="inlineStr">
        <is>
          <t>VÄSTMANLANDS LÄN</t>
        </is>
      </c>
      <c r="E1018" t="inlineStr">
        <is>
          <t>SALA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35462-2024</t>
        </is>
      </c>
      <c r="B1019" s="1" t="n">
        <v>45531</v>
      </c>
      <c r="C1019" s="1" t="n">
        <v>45766</v>
      </c>
      <c r="D1019" t="inlineStr">
        <is>
          <t>VÄSTMANLANDS LÄN</t>
        </is>
      </c>
      <c r="E1019" t="inlineStr">
        <is>
          <t>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35499-2024</t>
        </is>
      </c>
      <c r="B1020" s="1" t="n">
        <v>45531</v>
      </c>
      <c r="C1020" s="1" t="n">
        <v>45766</v>
      </c>
      <c r="D1020" t="inlineStr">
        <is>
          <t>VÄSTMANLANDS LÄN</t>
        </is>
      </c>
      <c r="E1020" t="inlineStr">
        <is>
          <t>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35529-2024</t>
        </is>
      </c>
      <c r="B1021" s="1" t="n">
        <v>45531</v>
      </c>
      <c r="C1021" s="1" t="n">
        <v>45766</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35558-2024</t>
        </is>
      </c>
      <c r="B1022" s="1" t="n">
        <v>45531</v>
      </c>
      <c r="C1022" s="1" t="n">
        <v>45766</v>
      </c>
      <c r="D1022" t="inlineStr">
        <is>
          <t>VÄSTMANLANDS LÄN</t>
        </is>
      </c>
      <c r="E1022" t="inlineStr">
        <is>
          <t>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35519-2024</t>
        </is>
      </c>
      <c r="B1023" s="1" t="n">
        <v>45531</v>
      </c>
      <c r="C1023" s="1" t="n">
        <v>45766</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35528-2024</t>
        </is>
      </c>
      <c r="B1024" s="1" t="n">
        <v>45531</v>
      </c>
      <c r="C1024" s="1" t="n">
        <v>45766</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35573-2024</t>
        </is>
      </c>
      <c r="B1025" s="1" t="n">
        <v>45531</v>
      </c>
      <c r="C1025" s="1" t="n">
        <v>45766</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36075-2024</t>
        </is>
      </c>
      <c r="B1026" s="1" t="n">
        <v>45533</v>
      </c>
      <c r="C1026" s="1" t="n">
        <v>45766</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35976-2024</t>
        </is>
      </c>
      <c r="B1027" s="1" t="n">
        <v>45533</v>
      </c>
      <c r="C1027" s="1" t="n">
        <v>45766</v>
      </c>
      <c r="D1027" t="inlineStr">
        <is>
          <t>VÄSTMANLANDS LÄN</t>
        </is>
      </c>
      <c r="E1027" t="inlineStr">
        <is>
          <t>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36073-2024</t>
        </is>
      </c>
      <c r="B1028" s="1" t="n">
        <v>45533</v>
      </c>
      <c r="C1028" s="1" t="n">
        <v>45766</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37137-2024</t>
        </is>
      </c>
      <c r="B1029" s="1" t="n">
        <v>45539</v>
      </c>
      <c r="C1029" s="1" t="n">
        <v>45766</v>
      </c>
      <c r="D1029" t="inlineStr">
        <is>
          <t>VÄSTMANLANDS LÄN</t>
        </is>
      </c>
      <c r="E1029" t="inlineStr">
        <is>
          <t>SALA</t>
        </is>
      </c>
      <c r="F1029" t="inlineStr">
        <is>
          <t>Kommuner</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37183-2024</t>
        </is>
      </c>
      <c r="B1030" s="1" t="n">
        <v>45539</v>
      </c>
      <c r="C1030" s="1" t="n">
        <v>45766</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37185-2024</t>
        </is>
      </c>
      <c r="B1031" s="1" t="n">
        <v>45539</v>
      </c>
      <c r="C1031" s="1" t="n">
        <v>45766</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37224-2024</t>
        </is>
      </c>
      <c r="B1032" s="1" t="n">
        <v>45539</v>
      </c>
      <c r="C1032" s="1" t="n">
        <v>45766</v>
      </c>
      <c r="D1032" t="inlineStr">
        <is>
          <t>VÄSTMANLANDS LÄN</t>
        </is>
      </c>
      <c r="E1032" t="inlineStr">
        <is>
          <t>SALA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37190-2024</t>
        </is>
      </c>
      <c r="B1033" s="1" t="n">
        <v>45539</v>
      </c>
      <c r="C1033" s="1" t="n">
        <v>45766</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37251-2024</t>
        </is>
      </c>
      <c r="B1034" s="1" t="n">
        <v>45540</v>
      </c>
      <c r="C1034" s="1" t="n">
        <v>45766</v>
      </c>
      <c r="D1034" t="inlineStr">
        <is>
          <t>VÄSTMANLANDS LÄN</t>
        </is>
      </c>
      <c r="E1034" t="inlineStr">
        <is>
          <t>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37332-2024</t>
        </is>
      </c>
      <c r="B1035" s="1" t="n">
        <v>45540</v>
      </c>
      <c r="C1035" s="1" t="n">
        <v>45766</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37337-2024</t>
        </is>
      </c>
      <c r="B1036" s="1" t="n">
        <v>45540</v>
      </c>
      <c r="C1036" s="1" t="n">
        <v>45766</v>
      </c>
      <c r="D1036" t="inlineStr">
        <is>
          <t>VÄSTMANLANDS LÄN</t>
        </is>
      </c>
      <c r="E1036" t="inlineStr">
        <is>
          <t>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37602-2024</t>
        </is>
      </c>
      <c r="B1037" s="1" t="n">
        <v>45541</v>
      </c>
      <c r="C1037" s="1" t="n">
        <v>45766</v>
      </c>
      <c r="D1037" t="inlineStr">
        <is>
          <t>VÄSTMANLANDS LÄN</t>
        </is>
      </c>
      <c r="E1037" t="inlineStr">
        <is>
          <t>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37587-2024</t>
        </is>
      </c>
      <c r="B1038" s="1" t="n">
        <v>45541</v>
      </c>
      <c r="C1038" s="1" t="n">
        <v>45766</v>
      </c>
      <c r="D1038" t="inlineStr">
        <is>
          <t>VÄSTMANLANDS LÄN</t>
        </is>
      </c>
      <c r="E1038" t="inlineStr">
        <is>
          <t>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37612-2024</t>
        </is>
      </c>
      <c r="B1039" s="1" t="n">
        <v>45541</v>
      </c>
      <c r="C1039" s="1" t="n">
        <v>45766</v>
      </c>
      <c r="D1039" t="inlineStr">
        <is>
          <t>VÄSTMANLANDS LÄN</t>
        </is>
      </c>
      <c r="E1039" t="inlineStr">
        <is>
          <t>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37624-2024</t>
        </is>
      </c>
      <c r="B1040" s="1" t="n">
        <v>45541</v>
      </c>
      <c r="C1040" s="1" t="n">
        <v>45766</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37615-2024</t>
        </is>
      </c>
      <c r="B1041" s="1" t="n">
        <v>45541</v>
      </c>
      <c r="C1041" s="1" t="n">
        <v>45766</v>
      </c>
      <c r="D1041" t="inlineStr">
        <is>
          <t>VÄSTMANLANDS LÄN</t>
        </is>
      </c>
      <c r="E1041" t="inlineStr">
        <is>
          <t>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37958-2024</t>
        </is>
      </c>
      <c r="B1042" s="1" t="n">
        <v>45544</v>
      </c>
      <c r="C1042" s="1" t="n">
        <v>45766</v>
      </c>
      <c r="D1042" t="inlineStr">
        <is>
          <t>VÄSTMANLANDS LÄN</t>
        </is>
      </c>
      <c r="E1042" t="inlineStr">
        <is>
          <t>SALA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38434-2024</t>
        </is>
      </c>
      <c r="B1043" s="1" t="n">
        <v>45546</v>
      </c>
      <c r="C1043" s="1" t="n">
        <v>45766</v>
      </c>
      <c r="D1043" t="inlineStr">
        <is>
          <t>VÄSTMANLANDS LÄN</t>
        </is>
      </c>
      <c r="E1043" t="inlineStr">
        <is>
          <t>SALA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39364-2024</t>
        </is>
      </c>
      <c r="B1044" s="1" t="n">
        <v>45551</v>
      </c>
      <c r="C1044" s="1" t="n">
        <v>45766</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40272-2024</t>
        </is>
      </c>
      <c r="B1045" s="1" t="n">
        <v>45554</v>
      </c>
      <c r="C1045" s="1" t="n">
        <v>45766</v>
      </c>
      <c r="D1045" t="inlineStr">
        <is>
          <t>VÄSTMANLANDS LÄN</t>
        </is>
      </c>
      <c r="E1045" t="inlineStr">
        <is>
          <t>SALA</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40085-2024</t>
        </is>
      </c>
      <c r="B1046" s="1" t="n">
        <v>45554</v>
      </c>
      <c r="C1046" s="1" t="n">
        <v>45766</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40757-2024</t>
        </is>
      </c>
      <c r="B1047" s="1" t="n">
        <v>45558</v>
      </c>
      <c r="C1047" s="1" t="n">
        <v>45766</v>
      </c>
      <c r="D1047" t="inlineStr">
        <is>
          <t>VÄSTMANLANDS LÄN</t>
        </is>
      </c>
      <c r="E1047" t="inlineStr">
        <is>
          <t>SALA</t>
        </is>
      </c>
      <c r="F1047" t="inlineStr">
        <is>
          <t>Kommuner</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41247-2024</t>
        </is>
      </c>
      <c r="B1048" s="1" t="n">
        <v>45559</v>
      </c>
      <c r="C1048" s="1" t="n">
        <v>45766</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41748-2024</t>
        </is>
      </c>
      <c r="B1049" s="1" t="n">
        <v>45561</v>
      </c>
      <c r="C1049" s="1" t="n">
        <v>45766</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42617-2024</t>
        </is>
      </c>
      <c r="B1050" s="1" t="n">
        <v>45565</v>
      </c>
      <c r="C1050" s="1" t="n">
        <v>45766</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42684-2024</t>
        </is>
      </c>
      <c r="B1051" s="1" t="n">
        <v>45565</v>
      </c>
      <c r="C1051" s="1" t="n">
        <v>45766</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43196-2024</t>
        </is>
      </c>
      <c r="B1052" s="1" t="n">
        <v>45567</v>
      </c>
      <c r="C1052" s="1" t="n">
        <v>45766</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43108-2024</t>
        </is>
      </c>
      <c r="B1053" s="1" t="n">
        <v>45567</v>
      </c>
      <c r="C1053" s="1" t="n">
        <v>45766</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43359-2024</t>
        </is>
      </c>
      <c r="B1054" s="1" t="n">
        <v>45568</v>
      </c>
      <c r="C1054" s="1" t="n">
        <v>45766</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45766</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43596-2024</t>
        </is>
      </c>
      <c r="B1056" s="1" t="n">
        <v>45569</v>
      </c>
      <c r="C1056" s="1" t="n">
        <v>45766</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44544-2024</t>
        </is>
      </c>
      <c r="B1057" s="1" t="n">
        <v>45574</v>
      </c>
      <c r="C1057" s="1" t="n">
        <v>45766</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44746-2024</t>
        </is>
      </c>
      <c r="B1058" s="1" t="n">
        <v>45574</v>
      </c>
      <c r="C1058" s="1" t="n">
        <v>45766</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45185-2024</t>
        </is>
      </c>
      <c r="B1059" s="1" t="n">
        <v>45575</v>
      </c>
      <c r="C1059" s="1" t="n">
        <v>45766</v>
      </c>
      <c r="D1059" t="inlineStr">
        <is>
          <t>VÄSTMANLANDS LÄN</t>
        </is>
      </c>
      <c r="E1059" t="inlineStr">
        <is>
          <t>SALA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45187-2024</t>
        </is>
      </c>
      <c r="B1060" s="1" t="n">
        <v>45575</v>
      </c>
      <c r="C1060" s="1" t="n">
        <v>45766</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45313-2024</t>
        </is>
      </c>
      <c r="B1061" s="1" t="n">
        <v>45576</v>
      </c>
      <c r="C1061" s="1" t="n">
        <v>45766</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45737-2024</t>
        </is>
      </c>
      <c r="B1062" s="1" t="n">
        <v>45579</v>
      </c>
      <c r="C1062" s="1" t="n">
        <v>45766</v>
      </c>
      <c r="D1062" t="inlineStr">
        <is>
          <t>VÄSTMANLANDS LÄN</t>
        </is>
      </c>
      <c r="E1062" t="inlineStr">
        <is>
          <t>SALA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45738-2024</t>
        </is>
      </c>
      <c r="B1063" s="1" t="n">
        <v>45579</v>
      </c>
      <c r="C1063" s="1" t="n">
        <v>45766</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45765-2024</t>
        </is>
      </c>
      <c r="B1064" s="1" t="n">
        <v>45579</v>
      </c>
      <c r="C1064" s="1" t="n">
        <v>45766</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45761-2024</t>
        </is>
      </c>
      <c r="B1065" s="1" t="n">
        <v>45579</v>
      </c>
      <c r="C1065" s="1" t="n">
        <v>45766</v>
      </c>
      <c r="D1065" t="inlineStr">
        <is>
          <t>VÄSTMANLANDS LÄN</t>
        </is>
      </c>
      <c r="E1065" t="inlineStr">
        <is>
          <t>SALA</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45931-2024</t>
        </is>
      </c>
      <c r="B1066" s="1" t="n">
        <v>45580</v>
      </c>
      <c r="C1066" s="1" t="n">
        <v>45766</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46861-2024</t>
        </is>
      </c>
      <c r="B1067" s="1" t="n">
        <v>45583</v>
      </c>
      <c r="C1067" s="1" t="n">
        <v>45766</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46682-2024</t>
        </is>
      </c>
      <c r="B1068" s="1" t="n">
        <v>45583</v>
      </c>
      <c r="C1068" s="1" t="n">
        <v>45766</v>
      </c>
      <c r="D1068" t="inlineStr">
        <is>
          <t>VÄSTMANLANDS LÄN</t>
        </is>
      </c>
      <c r="E1068" t="inlineStr">
        <is>
          <t>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47061-2024</t>
        </is>
      </c>
      <c r="B1069" s="1" t="n">
        <v>45586</v>
      </c>
      <c r="C1069" s="1" t="n">
        <v>45766</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47038-2024</t>
        </is>
      </c>
      <c r="B1070" s="1" t="n">
        <v>45586</v>
      </c>
      <c r="C1070" s="1" t="n">
        <v>45766</v>
      </c>
      <c r="D1070" t="inlineStr">
        <is>
          <t>VÄSTMANLANDS LÄN</t>
        </is>
      </c>
      <c r="E1070" t="inlineStr">
        <is>
          <t>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47479-2024</t>
        </is>
      </c>
      <c r="B1071" s="1" t="n">
        <v>45587</v>
      </c>
      <c r="C1071" s="1" t="n">
        <v>45766</v>
      </c>
      <c r="D1071" t="inlineStr">
        <is>
          <t>VÄSTMANLANDS LÄN</t>
        </is>
      </c>
      <c r="E1071" t="inlineStr">
        <is>
          <t>SALA</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47474-2024</t>
        </is>
      </c>
      <c r="B1072" s="1" t="n">
        <v>45587</v>
      </c>
      <c r="C1072" s="1" t="n">
        <v>45766</v>
      </c>
      <c r="D1072" t="inlineStr">
        <is>
          <t>VÄSTMANLANDS LÄN</t>
        </is>
      </c>
      <c r="E1072" t="inlineStr">
        <is>
          <t>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47294-2024</t>
        </is>
      </c>
      <c r="B1073" s="1" t="n">
        <v>45587</v>
      </c>
      <c r="C1073" s="1" t="n">
        <v>45766</v>
      </c>
      <c r="D1073" t="inlineStr">
        <is>
          <t>VÄSTMANLANDS LÄN</t>
        </is>
      </c>
      <c r="E1073" t="inlineStr">
        <is>
          <t>SALA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47468-2024</t>
        </is>
      </c>
      <c r="B1074" s="1" t="n">
        <v>45587</v>
      </c>
      <c r="C1074" s="1" t="n">
        <v>45766</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47351-2024</t>
        </is>
      </c>
      <c r="B1075" s="1" t="n">
        <v>45587</v>
      </c>
      <c r="C1075" s="1" t="n">
        <v>45766</v>
      </c>
      <c r="D1075" t="inlineStr">
        <is>
          <t>VÄSTMANLANDS LÄN</t>
        </is>
      </c>
      <c r="E1075" t="inlineStr">
        <is>
          <t>SALA</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48114-2024</t>
        </is>
      </c>
      <c r="B1076" s="1" t="n">
        <v>45589</v>
      </c>
      <c r="C1076" s="1" t="n">
        <v>45766</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48117-2024</t>
        </is>
      </c>
      <c r="B1077" s="1" t="n">
        <v>45589</v>
      </c>
      <c r="C1077" s="1" t="n">
        <v>45766</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48104-2024</t>
        </is>
      </c>
      <c r="B1078" s="1" t="n">
        <v>45589</v>
      </c>
      <c r="C1078" s="1" t="n">
        <v>45766</v>
      </c>
      <c r="D1078" t="inlineStr">
        <is>
          <t>VÄSTMANLANDS LÄN</t>
        </is>
      </c>
      <c r="E1078" t="inlineStr">
        <is>
          <t>SALA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48124-2024</t>
        </is>
      </c>
      <c r="B1079" s="1" t="n">
        <v>45589</v>
      </c>
      <c r="C1079" s="1" t="n">
        <v>45766</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48569-2024</t>
        </is>
      </c>
      <c r="B1080" s="1" t="n">
        <v>45591</v>
      </c>
      <c r="C1080" s="1" t="n">
        <v>45766</v>
      </c>
      <c r="D1080" t="inlineStr">
        <is>
          <t>VÄSTMANLANDS LÄN</t>
        </is>
      </c>
      <c r="E1080" t="inlineStr">
        <is>
          <t>SALA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48570-2024</t>
        </is>
      </c>
      <c r="B1081" s="1" t="n">
        <v>45591</v>
      </c>
      <c r="C1081" s="1" t="n">
        <v>45766</v>
      </c>
      <c r="D1081" t="inlineStr">
        <is>
          <t>VÄSTMANLANDS LÄN</t>
        </is>
      </c>
      <c r="E1081" t="inlineStr">
        <is>
          <t>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49512-2024</t>
        </is>
      </c>
      <c r="B1082" s="1" t="n">
        <v>45591</v>
      </c>
      <c r="C1082" s="1" t="n">
        <v>45766</v>
      </c>
      <c r="D1082" t="inlineStr">
        <is>
          <t>VÄSTMANLANDS LÄN</t>
        </is>
      </c>
      <c r="E1082" t="inlineStr">
        <is>
          <t>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48571-2024</t>
        </is>
      </c>
      <c r="B1083" s="1" t="n">
        <v>45591</v>
      </c>
      <c r="C1083" s="1" t="n">
        <v>45766</v>
      </c>
      <c r="D1083" t="inlineStr">
        <is>
          <t>VÄSTMANLANDS LÄN</t>
        </is>
      </c>
      <c r="E1083" t="inlineStr">
        <is>
          <t>SALA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48688-2024</t>
        </is>
      </c>
      <c r="B1084" s="1" t="n">
        <v>45593</v>
      </c>
      <c r="C1084" s="1" t="n">
        <v>45766</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48810-2024</t>
        </is>
      </c>
      <c r="B1085" s="1" t="n">
        <v>45593</v>
      </c>
      <c r="C1085" s="1" t="n">
        <v>45766</v>
      </c>
      <c r="D1085" t="inlineStr">
        <is>
          <t>VÄSTMANLANDS LÄN</t>
        </is>
      </c>
      <c r="E1085" t="inlineStr">
        <is>
          <t>SALA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48710-2024</t>
        </is>
      </c>
      <c r="B1086" s="1" t="n">
        <v>45593</v>
      </c>
      <c r="C1086" s="1" t="n">
        <v>45766</v>
      </c>
      <c r="D1086" t="inlineStr">
        <is>
          <t>VÄSTMANLANDS LÄN</t>
        </is>
      </c>
      <c r="E1086" t="inlineStr">
        <is>
          <t>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48789-2024</t>
        </is>
      </c>
      <c r="B1087" s="1" t="n">
        <v>45593</v>
      </c>
      <c r="C1087" s="1" t="n">
        <v>45766</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45766</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49619-2024</t>
        </is>
      </c>
      <c r="B1089" s="1" t="n">
        <v>45596</v>
      </c>
      <c r="C1089" s="1" t="n">
        <v>45766</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49745-2024</t>
        </is>
      </c>
      <c r="B1090" s="1" t="n">
        <v>45596</v>
      </c>
      <c r="C1090" s="1" t="n">
        <v>45766</v>
      </c>
      <c r="D1090" t="inlineStr">
        <is>
          <t>VÄSTMANLANDS LÄN</t>
        </is>
      </c>
      <c r="E1090" t="inlineStr">
        <is>
          <t>SALA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49744-2024</t>
        </is>
      </c>
      <c r="B1091" s="1" t="n">
        <v>45596</v>
      </c>
      <c r="C1091" s="1" t="n">
        <v>45766</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49555-2024</t>
        </is>
      </c>
      <c r="B1092" s="1" t="n">
        <v>45596</v>
      </c>
      <c r="C1092" s="1" t="n">
        <v>45766</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50652-2024</t>
        </is>
      </c>
      <c r="B1093" s="1" t="n">
        <v>45601</v>
      </c>
      <c r="C1093" s="1" t="n">
        <v>45766</v>
      </c>
      <c r="D1093" t="inlineStr">
        <is>
          <t>VÄSTMANLANDS LÄN</t>
        </is>
      </c>
      <c r="E1093" t="inlineStr">
        <is>
          <t>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51464-2024</t>
        </is>
      </c>
      <c r="B1094" s="1" t="n">
        <v>45604</v>
      </c>
      <c r="C1094" s="1" t="n">
        <v>45766</v>
      </c>
      <c r="D1094" t="inlineStr">
        <is>
          <t>VÄSTMANLANDS LÄN</t>
        </is>
      </c>
      <c r="E1094" t="inlineStr">
        <is>
          <t>SALA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51775-2024</t>
        </is>
      </c>
      <c r="B1095" s="1" t="n">
        <v>45607</v>
      </c>
      <c r="C1095" s="1" t="n">
        <v>45766</v>
      </c>
      <c r="D1095" t="inlineStr">
        <is>
          <t>VÄSTMANLANDS LÄN</t>
        </is>
      </c>
      <c r="E1095" t="inlineStr">
        <is>
          <t>SALA</t>
        </is>
      </c>
      <c r="F1095" t="inlineStr">
        <is>
          <t>Övriga Aktiebolag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52177-2024</t>
        </is>
      </c>
      <c r="B1096" s="1" t="n">
        <v>45608</v>
      </c>
      <c r="C1096" s="1" t="n">
        <v>45766</v>
      </c>
      <c r="D1096" t="inlineStr">
        <is>
          <t>VÄSTMANLANDS LÄN</t>
        </is>
      </c>
      <c r="E1096" t="inlineStr">
        <is>
          <t>SALA</t>
        </is>
      </c>
      <c r="F1096" t="inlineStr">
        <is>
          <t>Naturvårdsverket</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52184-2024</t>
        </is>
      </c>
      <c r="B1097" s="1" t="n">
        <v>45608</v>
      </c>
      <c r="C1097" s="1" t="n">
        <v>45766</v>
      </c>
      <c r="D1097" t="inlineStr">
        <is>
          <t>VÄSTMANLANDS LÄN</t>
        </is>
      </c>
      <c r="E1097" t="inlineStr">
        <is>
          <t>SALA</t>
        </is>
      </c>
      <c r="F1097" t="inlineStr">
        <is>
          <t>Naturvårdsverket</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52500-2024</t>
        </is>
      </c>
      <c r="B1098" s="1" t="n">
        <v>45609</v>
      </c>
      <c r="C1098" s="1" t="n">
        <v>45766</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v>
      </c>
      <c r="C1099" s="1" t="n">
        <v>45766</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52821-2024</t>
        </is>
      </c>
      <c r="B1100" s="1" t="n">
        <v>45610</v>
      </c>
      <c r="C1100" s="1" t="n">
        <v>45766</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52799-2024</t>
        </is>
      </c>
      <c r="B1101" s="1" t="n">
        <v>45610</v>
      </c>
      <c r="C1101" s="1" t="n">
        <v>45766</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52827-2024</t>
        </is>
      </c>
      <c r="B1102" s="1" t="n">
        <v>45610</v>
      </c>
      <c r="C1102" s="1" t="n">
        <v>45766</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53164-2024</t>
        </is>
      </c>
      <c r="B1103" s="1" t="n">
        <v>45611</v>
      </c>
      <c r="C1103" s="1" t="n">
        <v>45766</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53166-2024</t>
        </is>
      </c>
      <c r="B1104" s="1" t="n">
        <v>45611</v>
      </c>
      <c r="C1104" s="1" t="n">
        <v>45766</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54043-2024</t>
        </is>
      </c>
      <c r="B1105" s="1" t="n">
        <v>45616</v>
      </c>
      <c r="C1105" s="1" t="n">
        <v>45766</v>
      </c>
      <c r="D1105" t="inlineStr">
        <is>
          <t>VÄSTMANLANDS LÄN</t>
        </is>
      </c>
      <c r="E1105" t="inlineStr">
        <is>
          <t>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54199-2024</t>
        </is>
      </c>
      <c r="B1106" s="1" t="n">
        <v>45616</v>
      </c>
      <c r="C1106" s="1" t="n">
        <v>45766</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54329-2024</t>
        </is>
      </c>
      <c r="B1107" s="1" t="n">
        <v>45617</v>
      </c>
      <c r="C1107" s="1" t="n">
        <v>45766</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54603-2024</t>
        </is>
      </c>
      <c r="B1108" s="1" t="n">
        <v>45617</v>
      </c>
      <c r="C1108" s="1" t="n">
        <v>45766</v>
      </c>
      <c r="D1108" t="inlineStr">
        <is>
          <t>VÄSTMANLANDS LÄN</t>
        </is>
      </c>
      <c r="E1108" t="inlineStr">
        <is>
          <t>SALA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54347-2024</t>
        </is>
      </c>
      <c r="B1109" s="1" t="n">
        <v>45617</v>
      </c>
      <c r="C1109" s="1" t="n">
        <v>45766</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54774-2024</t>
        </is>
      </c>
      <c r="B1110" s="1" t="n">
        <v>45618</v>
      </c>
      <c r="C1110" s="1" t="n">
        <v>45766</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54782-2024</t>
        </is>
      </c>
      <c r="B1111" s="1" t="n">
        <v>45618</v>
      </c>
      <c r="C1111" s="1" t="n">
        <v>45766</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54835-2024</t>
        </is>
      </c>
      <c r="B1112" s="1" t="n">
        <v>45618</v>
      </c>
      <c r="C1112" s="1" t="n">
        <v>45766</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55065-2024</t>
        </is>
      </c>
      <c r="B1113" s="1" t="n">
        <v>45618</v>
      </c>
      <c r="C1113" s="1" t="n">
        <v>45766</v>
      </c>
      <c r="D1113" t="inlineStr">
        <is>
          <t>VÄSTMANLANDS LÄN</t>
        </is>
      </c>
      <c r="E1113" t="inlineStr">
        <is>
          <t>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54836-2024</t>
        </is>
      </c>
      <c r="B1114" s="1" t="n">
        <v>45618</v>
      </c>
      <c r="C1114" s="1" t="n">
        <v>45766</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55101-2024</t>
        </is>
      </c>
      <c r="B1115" s="1" t="n">
        <v>45618</v>
      </c>
      <c r="C1115" s="1" t="n">
        <v>45766</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54771-2024</t>
        </is>
      </c>
      <c r="B1116" s="1" t="n">
        <v>45618</v>
      </c>
      <c r="C1116" s="1" t="n">
        <v>45766</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55107-2024</t>
        </is>
      </c>
      <c r="B1117" s="1" t="n">
        <v>45618</v>
      </c>
      <c r="C1117" s="1" t="n">
        <v>45766</v>
      </c>
      <c r="D1117" t="inlineStr">
        <is>
          <t>VÄSTMANLANDS LÄN</t>
        </is>
      </c>
      <c r="E1117" t="inlineStr">
        <is>
          <t>SALA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54768-2024</t>
        </is>
      </c>
      <c r="B1118" s="1" t="n">
        <v>45618</v>
      </c>
      <c r="C1118" s="1" t="n">
        <v>45766</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54959-2024</t>
        </is>
      </c>
      <c r="B1119" s="1" t="n">
        <v>45619</v>
      </c>
      <c r="C1119" s="1" t="n">
        <v>45766</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54960-2024</t>
        </is>
      </c>
      <c r="B1120" s="1" t="n">
        <v>45619</v>
      </c>
      <c r="C1120" s="1" t="n">
        <v>45766</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55784-2024</t>
        </is>
      </c>
      <c r="B1121" s="1" t="n">
        <v>45623</v>
      </c>
      <c r="C1121" s="1" t="n">
        <v>45766</v>
      </c>
      <c r="D1121" t="inlineStr">
        <is>
          <t>VÄSTMANLANDS LÄN</t>
        </is>
      </c>
      <c r="E1121" t="inlineStr">
        <is>
          <t>SALA</t>
        </is>
      </c>
      <c r="F1121" t="inlineStr">
        <is>
          <t>Bergvik skog öst AB</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56150-2024</t>
        </is>
      </c>
      <c r="B1122" s="1" t="n">
        <v>45624</v>
      </c>
      <c r="C1122" s="1" t="n">
        <v>45766</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56540-2024</t>
        </is>
      </c>
      <c r="B1123" s="1" t="n">
        <v>45625</v>
      </c>
      <c r="C1123" s="1" t="n">
        <v>45766</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56548-2024</t>
        </is>
      </c>
      <c r="B1124" s="1" t="n">
        <v>45625</v>
      </c>
      <c r="C1124" s="1" t="n">
        <v>45766</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56543-2024</t>
        </is>
      </c>
      <c r="B1125" s="1" t="n">
        <v>45625</v>
      </c>
      <c r="C1125" s="1" t="n">
        <v>45766</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56688-2024</t>
        </is>
      </c>
      <c r="B1126" s="1" t="n">
        <v>45627</v>
      </c>
      <c r="C1126" s="1" t="n">
        <v>45766</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56687-2024</t>
        </is>
      </c>
      <c r="B1127" s="1" t="n">
        <v>45627</v>
      </c>
      <c r="C1127" s="1" t="n">
        <v>45766</v>
      </c>
      <c r="D1127" t="inlineStr">
        <is>
          <t>VÄSTMANLANDS LÄN</t>
        </is>
      </c>
      <c r="E1127" t="inlineStr">
        <is>
          <t>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56689-2024</t>
        </is>
      </c>
      <c r="B1128" s="1" t="n">
        <v>45627</v>
      </c>
      <c r="C1128" s="1" t="n">
        <v>45766</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56814-2024</t>
        </is>
      </c>
      <c r="B1129" s="1" t="n">
        <v>45628</v>
      </c>
      <c r="C1129" s="1" t="n">
        <v>45766</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57404-2024</t>
        </is>
      </c>
      <c r="B1130" s="1" t="n">
        <v>45629</v>
      </c>
      <c r="C1130" s="1" t="n">
        <v>45766</v>
      </c>
      <c r="D1130" t="inlineStr">
        <is>
          <t>VÄSTMANLANDS LÄN</t>
        </is>
      </c>
      <c r="E1130" t="inlineStr">
        <is>
          <t>SALA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45766</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57883-2024</t>
        </is>
      </c>
      <c r="B1132" s="1" t="n">
        <v>45630</v>
      </c>
      <c r="C1132" s="1" t="n">
        <v>45766</v>
      </c>
      <c r="D1132" t="inlineStr">
        <is>
          <t>VÄSTMANLANDS LÄN</t>
        </is>
      </c>
      <c r="E1132" t="inlineStr">
        <is>
          <t>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57895-2024</t>
        </is>
      </c>
      <c r="B1133" s="1" t="n">
        <v>45631</v>
      </c>
      <c r="C1133" s="1" t="n">
        <v>45766</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57948-2024</t>
        </is>
      </c>
      <c r="B1134" s="1" t="n">
        <v>45631</v>
      </c>
      <c r="C1134" s="1" t="n">
        <v>45766</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58126-2024</t>
        </is>
      </c>
      <c r="B1135" s="1" t="n">
        <v>45632</v>
      </c>
      <c r="C1135" s="1" t="n">
        <v>45766</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58651-2024</t>
        </is>
      </c>
      <c r="B1136" s="1" t="n">
        <v>45635</v>
      </c>
      <c r="C1136" s="1" t="n">
        <v>45766</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58655-2024</t>
        </is>
      </c>
      <c r="B1137" s="1" t="n">
        <v>45635</v>
      </c>
      <c r="C1137" s="1" t="n">
        <v>45766</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59860-2024</t>
        </is>
      </c>
      <c r="B1138" s="1" t="n">
        <v>45638</v>
      </c>
      <c r="C1138" s="1" t="n">
        <v>45766</v>
      </c>
      <c r="D1138" t="inlineStr">
        <is>
          <t>VÄSTMANLANDS LÄN</t>
        </is>
      </c>
      <c r="E1138" t="inlineStr">
        <is>
          <t>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59909-2024</t>
        </is>
      </c>
      <c r="B1139" s="1" t="n">
        <v>45641</v>
      </c>
      <c r="C1139" s="1" t="n">
        <v>45766</v>
      </c>
      <c r="D1139" t="inlineStr">
        <is>
          <t>VÄSTMANLANDS LÄN</t>
        </is>
      </c>
      <c r="E1139" t="inlineStr">
        <is>
          <t>SALA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60036-2024</t>
        </is>
      </c>
      <c r="B1140" s="1" t="n">
        <v>45642</v>
      </c>
      <c r="C1140" s="1" t="n">
        <v>45766</v>
      </c>
      <c r="D1140" t="inlineStr">
        <is>
          <t>VÄSTMANLANDS LÄN</t>
        </is>
      </c>
      <c r="E1140" t="inlineStr">
        <is>
          <t>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60034-2024</t>
        </is>
      </c>
      <c r="B1141" s="1" t="n">
        <v>45642</v>
      </c>
      <c r="C1141" s="1" t="n">
        <v>45766</v>
      </c>
      <c r="D1141" t="inlineStr">
        <is>
          <t>VÄSTMANLANDS LÄN</t>
        </is>
      </c>
      <c r="E1141" t="inlineStr">
        <is>
          <t>SALA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45766</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45766</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60548-2024</t>
        </is>
      </c>
      <c r="B1144" s="1" t="n">
        <v>45643</v>
      </c>
      <c r="C1144" s="1" t="n">
        <v>45766</v>
      </c>
      <c r="D1144" t="inlineStr">
        <is>
          <t>VÄSTMANLANDS LÄN</t>
        </is>
      </c>
      <c r="E1144" t="inlineStr">
        <is>
          <t>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60547-2024</t>
        </is>
      </c>
      <c r="B1145" s="1" t="n">
        <v>45643</v>
      </c>
      <c r="C1145" s="1" t="n">
        <v>45766</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45766</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60545-2024</t>
        </is>
      </c>
      <c r="B1147" s="1" t="n">
        <v>45643</v>
      </c>
      <c r="C1147" s="1" t="n">
        <v>45766</v>
      </c>
      <c r="D1147" t="inlineStr">
        <is>
          <t>VÄSTMANLANDS LÄN</t>
        </is>
      </c>
      <c r="E1147" t="inlineStr">
        <is>
          <t>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60818-2024</t>
        </is>
      </c>
      <c r="B1148" s="1" t="n">
        <v>45644</v>
      </c>
      <c r="C1148" s="1" t="n">
        <v>45766</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60823-2024</t>
        </is>
      </c>
      <c r="B1149" s="1" t="n">
        <v>45644</v>
      </c>
      <c r="C1149" s="1" t="n">
        <v>45766</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60852-2024</t>
        </is>
      </c>
      <c r="B1150" s="1" t="n">
        <v>45644</v>
      </c>
      <c r="C1150" s="1" t="n">
        <v>45766</v>
      </c>
      <c r="D1150" t="inlineStr">
        <is>
          <t>VÄSTMANLANDS LÄN</t>
        </is>
      </c>
      <c r="E1150" t="inlineStr">
        <is>
          <t>SALA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61517-2024</t>
        </is>
      </c>
      <c r="B1151" s="1" t="n">
        <v>45645</v>
      </c>
      <c r="C1151" s="1" t="n">
        <v>45766</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61444-2024</t>
        </is>
      </c>
      <c r="B1152" s="1" t="n">
        <v>45646</v>
      </c>
      <c r="C1152" s="1" t="n">
        <v>45766</v>
      </c>
      <c r="D1152" t="inlineStr">
        <is>
          <t>VÄSTMANLANDS LÄN</t>
        </is>
      </c>
      <c r="E1152" t="inlineStr">
        <is>
          <t>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61681-2024</t>
        </is>
      </c>
      <c r="B1153" s="1" t="n">
        <v>45647</v>
      </c>
      <c r="C1153" s="1" t="n">
        <v>45766</v>
      </c>
      <c r="D1153" t="inlineStr">
        <is>
          <t>VÄSTMANLANDS LÄN</t>
        </is>
      </c>
      <c r="E1153" t="inlineStr">
        <is>
          <t>SALA</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61683-2024</t>
        </is>
      </c>
      <c r="B1154" s="1" t="n">
        <v>45647</v>
      </c>
      <c r="C1154" s="1" t="n">
        <v>45766</v>
      </c>
      <c r="D1154" t="inlineStr">
        <is>
          <t>VÄSTMANLANDS LÄN</t>
        </is>
      </c>
      <c r="E1154" t="inlineStr">
        <is>
          <t>SALA</t>
        </is>
      </c>
      <c r="F1154" t="inlineStr">
        <is>
          <t>Kommuner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v>
      </c>
      <c r="C1155" s="1" t="n">
        <v>45766</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61717-2024</t>
        </is>
      </c>
      <c r="B1156" s="1" t="n">
        <v>45648</v>
      </c>
      <c r="C1156" s="1" t="n">
        <v>45766</v>
      </c>
      <c r="D1156" t="inlineStr">
        <is>
          <t>VÄSTMANLANDS LÄN</t>
        </is>
      </c>
      <c r="E1156" t="inlineStr">
        <is>
          <t>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191-2025</t>
        </is>
      </c>
      <c r="B1157" s="1" t="n">
        <v>45649</v>
      </c>
      <c r="C1157" s="1" t="n">
        <v>45766</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327-2025</t>
        </is>
      </c>
      <c r="B1158" s="1" t="n">
        <v>45657</v>
      </c>
      <c r="C1158" s="1" t="n">
        <v>45766</v>
      </c>
      <c r="D1158" t="inlineStr">
        <is>
          <t>VÄSTMANLANDS LÄN</t>
        </is>
      </c>
      <c r="E1158" t="inlineStr">
        <is>
          <t>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876-2025</t>
        </is>
      </c>
      <c r="B1159" s="1" t="n">
        <v>45665</v>
      </c>
      <c r="C1159" s="1" t="n">
        <v>45766</v>
      </c>
      <c r="D1159" t="inlineStr">
        <is>
          <t>VÄSTMANLANDS LÄN</t>
        </is>
      </c>
      <c r="E1159" t="inlineStr">
        <is>
          <t>SALA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922-2025</t>
        </is>
      </c>
      <c r="B1160" s="1" t="n">
        <v>45665</v>
      </c>
      <c r="C1160" s="1" t="n">
        <v>45766</v>
      </c>
      <c r="D1160" t="inlineStr">
        <is>
          <t>VÄSTMANLANDS LÄN</t>
        </is>
      </c>
      <c r="E1160" t="inlineStr">
        <is>
          <t>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1128-2025</t>
        </is>
      </c>
      <c r="B1161" s="1" t="n">
        <v>45666</v>
      </c>
      <c r="C1161" s="1" t="n">
        <v>45766</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996-2025</t>
        </is>
      </c>
      <c r="B1162" s="1" t="n">
        <v>45666</v>
      </c>
      <c r="C1162" s="1" t="n">
        <v>45766</v>
      </c>
      <c r="D1162" t="inlineStr">
        <is>
          <t>VÄSTMANLANDS LÄN</t>
        </is>
      </c>
      <c r="E1162" t="inlineStr">
        <is>
          <t>SALA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988-2025</t>
        </is>
      </c>
      <c r="B1163" s="1" t="n">
        <v>45666</v>
      </c>
      <c r="C1163" s="1" t="n">
        <v>45766</v>
      </c>
      <c r="D1163" t="inlineStr">
        <is>
          <t>VÄSTMANLANDS LÄN</t>
        </is>
      </c>
      <c r="E1163" t="inlineStr">
        <is>
          <t>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1569-2025</t>
        </is>
      </c>
      <c r="B1164" s="1" t="n">
        <v>45670</v>
      </c>
      <c r="C1164" s="1" t="n">
        <v>45766</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1770-2025</t>
        </is>
      </c>
      <c r="B1165" s="1" t="n">
        <v>45671</v>
      </c>
      <c r="C1165" s="1" t="n">
        <v>45766</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2271-2025</t>
        </is>
      </c>
      <c r="B1166" s="1" t="n">
        <v>45673</v>
      </c>
      <c r="C1166" s="1" t="n">
        <v>45766</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2521-2025</t>
        </is>
      </c>
      <c r="B1167" s="1" t="n">
        <v>45674</v>
      </c>
      <c r="C1167" s="1" t="n">
        <v>45766</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3546-2025</t>
        </is>
      </c>
      <c r="B1168" s="1" t="n">
        <v>45680</v>
      </c>
      <c r="C1168" s="1" t="n">
        <v>45766</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4389-2025</t>
        </is>
      </c>
      <c r="B1169" s="1" t="n">
        <v>45686</v>
      </c>
      <c r="C1169" s="1" t="n">
        <v>45766</v>
      </c>
      <c r="D1169" t="inlineStr">
        <is>
          <t>VÄSTMANLANDS LÄN</t>
        </is>
      </c>
      <c r="E1169" t="inlineStr">
        <is>
          <t>SALA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5032-2025</t>
        </is>
      </c>
      <c r="B1170" s="1" t="n">
        <v>45691</v>
      </c>
      <c r="C1170" s="1" t="n">
        <v>45766</v>
      </c>
      <c r="D1170" t="inlineStr">
        <is>
          <t>VÄSTMANLANDS LÄN</t>
        </is>
      </c>
      <c r="E1170" t="inlineStr">
        <is>
          <t>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5823-2025</t>
        </is>
      </c>
      <c r="B1171" s="1" t="n">
        <v>45694</v>
      </c>
      <c r="C1171" s="1" t="n">
        <v>45766</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5824-2025</t>
        </is>
      </c>
      <c r="B1172" s="1" t="n">
        <v>45694</v>
      </c>
      <c r="C1172" s="1" t="n">
        <v>45766</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6032-2025</t>
        </is>
      </c>
      <c r="B1173" s="1" t="n">
        <v>45695</v>
      </c>
      <c r="C1173" s="1" t="n">
        <v>45766</v>
      </c>
      <c r="D1173" t="inlineStr">
        <is>
          <t>VÄSTMANLANDS LÄN</t>
        </is>
      </c>
      <c r="E1173" t="inlineStr">
        <is>
          <t>SALA</t>
        </is>
      </c>
      <c r="F1173" t="inlineStr">
        <is>
          <t>Bergvik skog öst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45766</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45766</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45766</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45766</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45766</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6132-2025</t>
        </is>
      </c>
      <c r="B1179" s="1" t="n">
        <v>45698</v>
      </c>
      <c r="C1179" s="1" t="n">
        <v>45766</v>
      </c>
      <c r="D1179" t="inlineStr">
        <is>
          <t>VÄSTMANLANDS LÄN</t>
        </is>
      </c>
      <c r="E1179" t="inlineStr">
        <is>
          <t>SALA</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6127-2025</t>
        </is>
      </c>
      <c r="B1180" s="1" t="n">
        <v>45698</v>
      </c>
      <c r="C1180" s="1" t="n">
        <v>45766</v>
      </c>
      <c r="D1180" t="inlineStr">
        <is>
          <t>VÄSTMANLANDS LÄN</t>
        </is>
      </c>
      <c r="E1180" t="inlineStr">
        <is>
          <t>SALA</t>
        </is>
      </c>
      <c r="F1180" t="inlineStr">
        <is>
          <t>Bergvik skog öst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6691-2025</t>
        </is>
      </c>
      <c r="B1181" s="1" t="n">
        <v>45700</v>
      </c>
      <c r="C1181" s="1" t="n">
        <v>45766</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45766</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45766</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7166-2025</t>
        </is>
      </c>
      <c r="B1184" s="1" t="n">
        <v>45702</v>
      </c>
      <c r="C1184" s="1" t="n">
        <v>45766</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45766</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7459-2025</t>
        </is>
      </c>
      <c r="B1186" s="1" t="n">
        <v>45705</v>
      </c>
      <c r="C1186" s="1" t="n">
        <v>45766</v>
      </c>
      <c r="D1186" t="inlineStr">
        <is>
          <t>VÄSTMANLANDS LÄN</t>
        </is>
      </c>
      <c r="E1186" t="inlineStr">
        <is>
          <t>SALA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7703-2025</t>
        </is>
      </c>
      <c r="B1187" s="1" t="n">
        <v>45706</v>
      </c>
      <c r="C1187" s="1" t="n">
        <v>45766</v>
      </c>
      <c r="D1187" t="inlineStr">
        <is>
          <t>VÄSTMANLANDS LÄN</t>
        </is>
      </c>
      <c r="E1187" t="inlineStr">
        <is>
          <t>SALA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7950-2025</t>
        </is>
      </c>
      <c r="B1188" s="1" t="n">
        <v>45707</v>
      </c>
      <c r="C1188" s="1" t="n">
        <v>45766</v>
      </c>
      <c r="D1188" t="inlineStr">
        <is>
          <t>VÄSTMANLANDS LÄN</t>
        </is>
      </c>
      <c r="E1188" t="inlineStr">
        <is>
          <t>SALA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8285-2025</t>
        </is>
      </c>
      <c r="B1189" s="1" t="n">
        <v>45708</v>
      </c>
      <c r="C1189" s="1" t="n">
        <v>45766</v>
      </c>
      <c r="D1189" t="inlineStr">
        <is>
          <t>VÄSTMANLANDS LÄN</t>
        </is>
      </c>
      <c r="E1189" t="inlineStr">
        <is>
          <t>SALA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45766</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9006-2025</t>
        </is>
      </c>
      <c r="B1191" s="1" t="n">
        <v>45713</v>
      </c>
      <c r="C1191" s="1" t="n">
        <v>45766</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9962-2025</t>
        </is>
      </c>
      <c r="B1192" s="1" t="n">
        <v>45719</v>
      </c>
      <c r="C1192" s="1" t="n">
        <v>45766</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45766</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10250-2025</t>
        </is>
      </c>
      <c r="B1194" s="1" t="n">
        <v>45720</v>
      </c>
      <c r="C1194" s="1" t="n">
        <v>45766</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10508-2025</t>
        </is>
      </c>
      <c r="B1195" s="1" t="n">
        <v>45721</v>
      </c>
      <c r="C1195" s="1" t="n">
        <v>45766</v>
      </c>
      <c r="D1195" t="inlineStr">
        <is>
          <t>VÄSTMANLANDS LÄN</t>
        </is>
      </c>
      <c r="E1195" t="inlineStr">
        <is>
          <t>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45766</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10913-2025</t>
        </is>
      </c>
      <c r="B1197" s="1" t="n">
        <v>45722</v>
      </c>
      <c r="C1197" s="1" t="n">
        <v>45766</v>
      </c>
      <c r="D1197" t="inlineStr">
        <is>
          <t>VÄSTMANLANDS LÄN</t>
        </is>
      </c>
      <c r="E1197" t="inlineStr">
        <is>
          <t>SALA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11153-2025</t>
        </is>
      </c>
      <c r="B1198" s="1" t="n">
        <v>45723</v>
      </c>
      <c r="C1198" s="1" t="n">
        <v>45766</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11210-2025</t>
        </is>
      </c>
      <c r="B1199" s="1" t="n">
        <v>45726</v>
      </c>
      <c r="C1199" s="1" t="n">
        <v>45766</v>
      </c>
      <c r="D1199" t="inlineStr">
        <is>
          <t>VÄSTMANLANDS LÄN</t>
        </is>
      </c>
      <c r="E1199" t="inlineStr">
        <is>
          <t>SALA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11696-2025</t>
        </is>
      </c>
      <c r="B1200" s="1" t="n">
        <v>45727</v>
      </c>
      <c r="C1200" s="1" t="n">
        <v>45766</v>
      </c>
      <c r="D1200" t="inlineStr">
        <is>
          <t>VÄSTMANLANDS LÄN</t>
        </is>
      </c>
      <c r="E1200" t="inlineStr">
        <is>
          <t>SALA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11927-2025</t>
        </is>
      </c>
      <c r="B1201" s="1" t="n">
        <v>45728</v>
      </c>
      <c r="C1201" s="1" t="n">
        <v>45766</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12293-2025</t>
        </is>
      </c>
      <c r="B1202" s="1" t="n">
        <v>45729</v>
      </c>
      <c r="C1202" s="1" t="n">
        <v>45766</v>
      </c>
      <c r="D1202" t="inlineStr">
        <is>
          <t>VÄSTMANLANDS LÄN</t>
        </is>
      </c>
      <c r="E1202" t="inlineStr">
        <is>
          <t>SALA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45766</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12918-2025</t>
        </is>
      </c>
      <c r="B1204" s="1" t="n">
        <v>45733</v>
      </c>
      <c r="C1204" s="1" t="n">
        <v>45766</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45766</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12922-2025</t>
        </is>
      </c>
      <c r="B1206" s="1" t="n">
        <v>45734</v>
      </c>
      <c r="C1206" s="1" t="n">
        <v>45766</v>
      </c>
      <c r="D1206" t="inlineStr">
        <is>
          <t>VÄSTMANLANDS LÄN</t>
        </is>
      </c>
      <c r="E1206" t="inlineStr">
        <is>
          <t>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12921-2025</t>
        </is>
      </c>
      <c r="B1207" s="1" t="n">
        <v>45734</v>
      </c>
      <c r="C1207" s="1" t="n">
        <v>45766</v>
      </c>
      <c r="D1207" t="inlineStr">
        <is>
          <t>VÄSTMANLANDS LÄN</t>
        </is>
      </c>
      <c r="E1207" t="inlineStr">
        <is>
          <t>SALA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13000-2025</t>
        </is>
      </c>
      <c r="B1208" s="1" t="n">
        <v>45734</v>
      </c>
      <c r="C1208" s="1" t="n">
        <v>45766</v>
      </c>
      <c r="D1208" t="inlineStr">
        <is>
          <t>VÄSTMANLANDS LÄN</t>
        </is>
      </c>
      <c r="E1208" t="inlineStr">
        <is>
          <t>SALA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13128-2025</t>
        </is>
      </c>
      <c r="B1209" s="1" t="n">
        <v>45734</v>
      </c>
      <c r="C1209" s="1" t="n">
        <v>45766</v>
      </c>
      <c r="D1209" t="inlineStr">
        <is>
          <t>VÄSTMANLANDS LÄN</t>
        </is>
      </c>
      <c r="E1209" t="inlineStr">
        <is>
          <t>SALA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13129-2025</t>
        </is>
      </c>
      <c r="B1210" s="1" t="n">
        <v>45734</v>
      </c>
      <c r="C1210" s="1" t="n">
        <v>45766</v>
      </c>
      <c r="D1210" t="inlineStr">
        <is>
          <t>VÄSTMANLANDS LÄN</t>
        </is>
      </c>
      <c r="E1210" t="inlineStr">
        <is>
          <t>SALA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13130-2025</t>
        </is>
      </c>
      <c r="B1211" s="1" t="n">
        <v>45734</v>
      </c>
      <c r="C1211" s="1" t="n">
        <v>45766</v>
      </c>
      <c r="D1211" t="inlineStr">
        <is>
          <t>VÄSTMANLANDS LÄN</t>
        </is>
      </c>
      <c r="E1211" t="inlineStr">
        <is>
          <t>SALA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13188-2025</t>
        </is>
      </c>
      <c r="B1212" s="1" t="n">
        <v>45735</v>
      </c>
      <c r="C1212" s="1" t="n">
        <v>45766</v>
      </c>
      <c r="D1212" t="inlineStr">
        <is>
          <t>VÄSTMANLANDS LÄN</t>
        </is>
      </c>
      <c r="E1212" t="inlineStr">
        <is>
          <t>SALA</t>
        </is>
      </c>
      <c r="F1212" t="inlineStr">
        <is>
          <t>Naturvårdsverket</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13471-2025</t>
        </is>
      </c>
      <c r="B1213" s="1" t="n">
        <v>45736</v>
      </c>
      <c r="C1213" s="1" t="n">
        <v>45766</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13752-2025</t>
        </is>
      </c>
      <c r="B1214" s="1" t="n">
        <v>45737</v>
      </c>
      <c r="C1214" s="1" t="n">
        <v>45766</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13746-2025</t>
        </is>
      </c>
      <c r="B1215" s="1" t="n">
        <v>45737</v>
      </c>
      <c r="C1215" s="1" t="n">
        <v>45766</v>
      </c>
      <c r="D1215" t="inlineStr">
        <is>
          <t>VÄSTMANLANDS LÄN</t>
        </is>
      </c>
      <c r="E1215" t="inlineStr">
        <is>
          <t>SALA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13749-2025</t>
        </is>
      </c>
      <c r="B1216" s="1" t="n">
        <v>45737</v>
      </c>
      <c r="C1216" s="1" t="n">
        <v>45766</v>
      </c>
      <c r="D1216" t="inlineStr">
        <is>
          <t>VÄSTMANLANDS LÄN</t>
        </is>
      </c>
      <c r="E1216" t="inlineStr">
        <is>
          <t>SALA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45766</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14024-2025</t>
        </is>
      </c>
      <c r="B1218" s="1" t="n">
        <v>45740</v>
      </c>
      <c r="C1218" s="1" t="n">
        <v>45766</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14268-2025</t>
        </is>
      </c>
      <c r="B1219" s="1" t="n">
        <v>45740</v>
      </c>
      <c r="C1219" s="1" t="n">
        <v>45766</v>
      </c>
      <c r="D1219" t="inlineStr">
        <is>
          <t>VÄSTMANLANDS LÄN</t>
        </is>
      </c>
      <c r="E1219" t="inlineStr">
        <is>
          <t>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14690-2025</t>
        </is>
      </c>
      <c r="B1220" s="1" t="n">
        <v>45742</v>
      </c>
      <c r="C1220" s="1" t="n">
        <v>45766</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15000-2025</t>
        </is>
      </c>
      <c r="B1221" s="1" t="n">
        <v>45743</v>
      </c>
      <c r="C1221" s="1" t="n">
        <v>45766</v>
      </c>
      <c r="D1221" t="inlineStr">
        <is>
          <t>VÄSTMANLANDS LÄN</t>
        </is>
      </c>
      <c r="E1221" t="inlineStr">
        <is>
          <t>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45766</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45766</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14920-2025</t>
        </is>
      </c>
      <c r="B1224" s="1" t="n">
        <v>45743</v>
      </c>
      <c r="C1224" s="1" t="n">
        <v>45766</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15099-2025</t>
        </is>
      </c>
      <c r="B1225" s="1" t="n">
        <v>45744</v>
      </c>
      <c r="C1225" s="1" t="n">
        <v>45766</v>
      </c>
      <c r="D1225" t="inlineStr">
        <is>
          <t>VÄSTMANLANDS LÄN</t>
        </is>
      </c>
      <c r="E1225" t="inlineStr">
        <is>
          <t>SALA</t>
        </is>
      </c>
      <c r="F1225" t="inlineStr">
        <is>
          <t>Sveaskog</t>
        </is>
      </c>
      <c r="G1225" t="n">
        <v>14.4</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45766</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45766</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15756-2025</t>
        </is>
      </c>
      <c r="B1228" s="1" t="n">
        <v>45748</v>
      </c>
      <c r="C1228" s="1" t="n">
        <v>45766</v>
      </c>
      <c r="D1228" t="inlineStr">
        <is>
          <t>VÄSTMANLANDS LÄN</t>
        </is>
      </c>
      <c r="E1228" t="inlineStr">
        <is>
          <t>SALA</t>
        </is>
      </c>
      <c r="F1228" t="inlineStr">
        <is>
          <t>Bergvik skog öst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15650-2025</t>
        </is>
      </c>
      <c r="B1229" s="1" t="n">
        <v>45748</v>
      </c>
      <c r="C1229" s="1" t="n">
        <v>45766</v>
      </c>
      <c r="D1229" t="inlineStr">
        <is>
          <t>VÄSTMANLANDS LÄN</t>
        </is>
      </c>
      <c r="E1229" t="inlineStr">
        <is>
          <t>SALA</t>
        </is>
      </c>
      <c r="F1229" t="inlineStr">
        <is>
          <t>Bergvik skog öst AB</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15681-2025</t>
        </is>
      </c>
      <c r="B1230" s="1" t="n">
        <v>45748</v>
      </c>
      <c r="C1230" s="1" t="n">
        <v>45766</v>
      </c>
      <c r="D1230" t="inlineStr">
        <is>
          <t>VÄSTMANLANDS LÄN</t>
        </is>
      </c>
      <c r="E1230" t="inlineStr">
        <is>
          <t>SALA</t>
        </is>
      </c>
      <c r="F1230" t="inlineStr">
        <is>
          <t>Bergvik skog öst AB</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16133-2025</t>
        </is>
      </c>
      <c r="B1231" s="1" t="n">
        <v>45750</v>
      </c>
      <c r="C1231" s="1" t="n">
        <v>45766</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16328-2025</t>
        </is>
      </c>
      <c r="B1232" s="1" t="n">
        <v>45751</v>
      </c>
      <c r="C1232" s="1" t="n">
        <v>45766</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16641-2025</t>
        </is>
      </c>
      <c r="B1233" s="1" t="n">
        <v>45754</v>
      </c>
      <c r="C1233" s="1" t="n">
        <v>45766</v>
      </c>
      <c r="D1233" t="inlineStr">
        <is>
          <t>VÄSTMANLANDS LÄN</t>
        </is>
      </c>
      <c r="E1233" t="inlineStr">
        <is>
          <t>SALA</t>
        </is>
      </c>
      <c r="G1233" t="n">
        <v>10.6</v>
      </c>
      <c r="H1233" t="n">
        <v>0</v>
      </c>
      <c r="I1233" t="n">
        <v>0</v>
      </c>
      <c r="J1233" t="n">
        <v>0</v>
      </c>
      <c r="K1233" t="n">
        <v>0</v>
      </c>
      <c r="L1233" t="n">
        <v>0</v>
      </c>
      <c r="M1233" t="n">
        <v>0</v>
      </c>
      <c r="N1233" t="n">
        <v>0</v>
      </c>
      <c r="O1233" t="n">
        <v>0</v>
      </c>
      <c r="P1233" t="n">
        <v>0</v>
      </c>
      <c r="Q1233" t="n">
        <v>0</v>
      </c>
      <c r="R1233" s="2" t="inlineStr"/>
    </row>
    <row r="1234" ht="15" customHeight="1">
      <c r="A1234" t="inlineStr">
        <is>
          <t>A 17051-2025</t>
        </is>
      </c>
      <c r="B1234" s="1" t="n">
        <v>45755</v>
      </c>
      <c r="C1234" s="1" t="n">
        <v>45766</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17320-2025</t>
        </is>
      </c>
      <c r="B1235" s="1" t="n">
        <v>45756</v>
      </c>
      <c r="C1235" s="1" t="n">
        <v>45766</v>
      </c>
      <c r="D1235" t="inlineStr">
        <is>
          <t>VÄSTMANLANDS LÄN</t>
        </is>
      </c>
      <c r="E1235" t="inlineStr">
        <is>
          <t>SALA</t>
        </is>
      </c>
      <c r="F1235" t="inlineStr">
        <is>
          <t>Kommuner</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17316-2025</t>
        </is>
      </c>
      <c r="B1236" s="1" t="n">
        <v>45756</v>
      </c>
      <c r="C1236" s="1" t="n">
        <v>45766</v>
      </c>
      <c r="D1236" t="inlineStr">
        <is>
          <t>VÄSTMANLANDS LÄN</t>
        </is>
      </c>
      <c r="E1236" t="inlineStr">
        <is>
          <t>SALA</t>
        </is>
      </c>
      <c r="F1236" t="inlineStr">
        <is>
          <t>Kommuner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17868-2025</t>
        </is>
      </c>
      <c r="B1237" s="1" t="n">
        <v>45758</v>
      </c>
      <c r="C1237" s="1" t="n">
        <v>45766</v>
      </c>
      <c r="D1237" t="inlineStr">
        <is>
          <t>VÄSTMANLANDS LÄN</t>
        </is>
      </c>
      <c r="E1237" t="inlineStr">
        <is>
          <t>SALA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17866-2025</t>
        </is>
      </c>
      <c r="B1238" s="1" t="n">
        <v>45758</v>
      </c>
      <c r="C1238" s="1" t="n">
        <v>45766</v>
      </c>
      <c r="D1238" t="inlineStr">
        <is>
          <t>VÄSTMANLANDS LÄN</t>
        </is>
      </c>
      <c r="E1238" t="inlineStr">
        <is>
          <t>SALA</t>
        </is>
      </c>
      <c r="F1238" t="inlineStr">
        <is>
          <t>Bergvik skog öst AB</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17719-2025</t>
        </is>
      </c>
      <c r="B1239" s="1" t="n">
        <v>45758</v>
      </c>
      <c r="C1239" s="1" t="n">
        <v>45766</v>
      </c>
      <c r="D1239" t="inlineStr">
        <is>
          <t>VÄSTMANLANDS LÄN</t>
        </is>
      </c>
      <c r="E1239" t="inlineStr">
        <is>
          <t>SALA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17722-2025</t>
        </is>
      </c>
      <c r="B1240" s="1" t="n">
        <v>45758</v>
      </c>
      <c r="C1240" s="1" t="n">
        <v>45766</v>
      </c>
      <c r="D1240" t="inlineStr">
        <is>
          <t>VÄSTMANLANDS LÄN</t>
        </is>
      </c>
      <c r="E1240" t="inlineStr">
        <is>
          <t>SALA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17766-2025</t>
        </is>
      </c>
      <c r="B1241" s="1" t="n">
        <v>45758</v>
      </c>
      <c r="C1241" s="1" t="n">
        <v>45766</v>
      </c>
      <c r="D1241" t="inlineStr">
        <is>
          <t>VÄSTMANLANDS LÄN</t>
        </is>
      </c>
      <c r="E1241" t="inlineStr">
        <is>
          <t>SALA</t>
        </is>
      </c>
      <c r="G1241" t="n">
        <v>16.5</v>
      </c>
      <c r="H1241" t="n">
        <v>0</v>
      </c>
      <c r="I1241" t="n">
        <v>0</v>
      </c>
      <c r="J1241" t="n">
        <v>0</v>
      </c>
      <c r="K1241" t="n">
        <v>0</v>
      </c>
      <c r="L1241" t="n">
        <v>0</v>
      </c>
      <c r="M1241" t="n">
        <v>0</v>
      </c>
      <c r="N1241" t="n">
        <v>0</v>
      </c>
      <c r="O1241" t="n">
        <v>0</v>
      </c>
      <c r="P1241" t="n">
        <v>0</v>
      </c>
      <c r="Q1241" t="n">
        <v>0</v>
      </c>
      <c r="R1241" s="2" t="inlineStr"/>
    </row>
    <row r="1242" ht="15" customHeight="1">
      <c r="A1242" t="inlineStr">
        <is>
          <t>A 17985-2025</t>
        </is>
      </c>
      <c r="B1242" s="1" t="n">
        <v>45761</v>
      </c>
      <c r="C1242" s="1" t="n">
        <v>45766</v>
      </c>
      <c r="D1242" t="inlineStr">
        <is>
          <t>VÄSTMANLANDS LÄN</t>
        </is>
      </c>
      <c r="E1242" t="inlineStr">
        <is>
          <t>SALA</t>
        </is>
      </c>
      <c r="G1242" t="n">
        <v>12.5</v>
      </c>
      <c r="H1242" t="n">
        <v>0</v>
      </c>
      <c r="I1242" t="n">
        <v>0</v>
      </c>
      <c r="J1242" t="n">
        <v>0</v>
      </c>
      <c r="K1242" t="n">
        <v>0</v>
      </c>
      <c r="L1242" t="n">
        <v>0</v>
      </c>
      <c r="M1242" t="n">
        <v>0</v>
      </c>
      <c r="N1242" t="n">
        <v>0</v>
      </c>
      <c r="O1242" t="n">
        <v>0</v>
      </c>
      <c r="P1242" t="n">
        <v>0</v>
      </c>
      <c r="Q1242" t="n">
        <v>0</v>
      </c>
      <c r="R1242" s="2" t="inlineStr"/>
    </row>
    <row r="1243" ht="15" customHeight="1">
      <c r="A1243" t="inlineStr">
        <is>
          <t>A 18158-2025</t>
        </is>
      </c>
      <c r="B1243" s="1" t="n">
        <v>45761</v>
      </c>
      <c r="C1243" s="1" t="n">
        <v>45766</v>
      </c>
      <c r="D1243" t="inlineStr">
        <is>
          <t>VÄSTMANLANDS LÄN</t>
        </is>
      </c>
      <c r="E1243" t="inlineStr">
        <is>
          <t>SALA</t>
        </is>
      </c>
      <c r="F1243" t="inlineStr">
        <is>
          <t>Bergvik skog öst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18340-2025</t>
        </is>
      </c>
      <c r="B1244" s="1" t="n">
        <v>45762</v>
      </c>
      <c r="C1244" s="1" t="n">
        <v>45766</v>
      </c>
      <c r="D1244" t="inlineStr">
        <is>
          <t>VÄSTMANLANDS LÄN</t>
        </is>
      </c>
      <c r="E1244" t="inlineStr">
        <is>
          <t>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18713-2025</t>
        </is>
      </c>
      <c r="B1245" s="1" t="n">
        <v>45763</v>
      </c>
      <c r="C1245" s="1" t="n">
        <v>45766</v>
      </c>
      <c r="D1245" t="inlineStr">
        <is>
          <t>VÄSTMANLANDS LÄN</t>
        </is>
      </c>
      <c r="E1245" t="inlineStr">
        <is>
          <t>SALA</t>
        </is>
      </c>
      <c r="F1245" t="inlineStr">
        <is>
          <t>Bergvik skog öst AB</t>
        </is>
      </c>
      <c r="G1245" t="n">
        <v>11.6</v>
      </c>
      <c r="H1245" t="n">
        <v>0</v>
      </c>
      <c r="I1245" t="n">
        <v>0</v>
      </c>
      <c r="J1245" t="n">
        <v>0</v>
      </c>
      <c r="K1245" t="n">
        <v>0</v>
      </c>
      <c r="L1245" t="n">
        <v>0</v>
      </c>
      <c r="M1245" t="n">
        <v>0</v>
      </c>
      <c r="N1245" t="n">
        <v>0</v>
      </c>
      <c r="O1245" t="n">
        <v>0</v>
      </c>
      <c r="P1245" t="n">
        <v>0</v>
      </c>
      <c r="Q1245" t="n">
        <v>0</v>
      </c>
      <c r="R1245" s="2" t="inlineStr"/>
    </row>
    <row r="1246">
      <c r="A1246" t="inlineStr">
        <is>
          <t>A 19033-2025</t>
        </is>
      </c>
      <c r="B1246" s="1" t="n">
        <v>45764</v>
      </c>
      <c r="C1246" s="1" t="n">
        <v>45766</v>
      </c>
      <c r="D1246" t="inlineStr">
        <is>
          <t>VÄSTMANLANDS LÄN</t>
        </is>
      </c>
      <c r="E1246" t="inlineStr">
        <is>
          <t>SALA</t>
        </is>
      </c>
      <c r="F1246" t="inlineStr">
        <is>
          <t>Bergvik skog öst AB</t>
        </is>
      </c>
      <c r="G1246" t="n">
        <v>1.4</v>
      </c>
      <c r="H1246" t="n">
        <v>0</v>
      </c>
      <c r="I1246" t="n">
        <v>0</v>
      </c>
      <c r="J1246" t="n">
        <v>0</v>
      </c>
      <c r="K1246" t="n">
        <v>0</v>
      </c>
      <c r="L1246" t="n">
        <v>0</v>
      </c>
      <c r="M1246" t="n">
        <v>0</v>
      </c>
      <c r="N1246" t="n">
        <v>0</v>
      </c>
      <c r="O1246" t="n">
        <v>0</v>
      </c>
      <c r="P1246" t="n">
        <v>0</v>
      </c>
      <c r="Q1246" t="n">
        <v>0</v>
      </c>
      <c r="R1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2025-04-19T17:24:24Z</dcterms:created>
  <dcterms:modified xmlns:dcterms="http://purl.org/dc/terms/" xmlns:xsi="http://www.w3.org/2001/XMLSchema-instance" xsi:type="dcterms:W3CDTF">2025-04-19T17:24:25Z</dcterms:modified>
</cp:coreProperties>
</file>