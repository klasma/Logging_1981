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46033</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46033</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46033</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46033</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46033</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46033</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46033</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46033</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46033</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46033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46033</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46033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46033</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46033</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46033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59826-2025</t>
        </is>
      </c>
      <c r="B28" s="1" t="n">
        <v>45992.65416666667</v>
      </c>
      <c r="C28" s="1" t="n">
        <v>46033</v>
      </c>
      <c r="D28" t="inlineStr">
        <is>
          <t>VÄSTMANLANDS LÄN</t>
        </is>
      </c>
      <c r="E28" t="inlineStr">
        <is>
          <t>SALA</t>
        </is>
      </c>
      <c r="G28" t="n">
        <v>2.7</v>
      </c>
      <c r="H28" t="n">
        <v>0</v>
      </c>
      <c r="I28" t="n">
        <v>1</v>
      </c>
      <c r="J28" t="n">
        <v>1</v>
      </c>
      <c r="K28" t="n">
        <v>0</v>
      </c>
      <c r="L28" t="n">
        <v>0</v>
      </c>
      <c r="M28" t="n">
        <v>0</v>
      </c>
      <c r="N28" t="n">
        <v>0</v>
      </c>
      <c r="O28" t="n">
        <v>1</v>
      </c>
      <c r="P28" t="n">
        <v>0</v>
      </c>
      <c r="Q28" t="n">
        <v>2</v>
      </c>
      <c r="R28" s="2" t="inlineStr">
        <is>
          <t>Motaggsvamp
Gullgröppa</t>
        </is>
      </c>
      <c r="S28">
        <f>HYPERLINK("https://klasma.github.io/Logging_1981/artfynd/A 59826-2025 artfynd.xlsx", "A 59826-2025")</f>
        <v/>
      </c>
      <c r="T28">
        <f>HYPERLINK("https://klasma.github.io/Logging_1981/kartor/A 59826-2025 karta.png", "A 59826-2025")</f>
        <v/>
      </c>
      <c r="V28">
        <f>HYPERLINK("https://klasma.github.io/Logging_1981/klagomål/A 59826-2025 FSC-klagomål.docx", "A 59826-2025")</f>
        <v/>
      </c>
      <c r="W28">
        <f>HYPERLINK("https://klasma.github.io/Logging_1981/klagomålsmail/A 59826-2025 FSC-klagomål mail.docx", "A 59826-2025")</f>
        <v/>
      </c>
      <c r="X28">
        <f>HYPERLINK("https://klasma.github.io/Logging_1981/tillsyn/A 59826-2025 tillsynsbegäran.docx", "A 59826-2025")</f>
        <v/>
      </c>
      <c r="Y28">
        <f>HYPERLINK("https://klasma.github.io/Logging_1981/tillsynsmail/A 59826-2025 tillsynsbegäran mail.docx", "A 59826-2025")</f>
        <v/>
      </c>
    </row>
    <row r="29" ht="15" customHeight="1">
      <c r="A29" t="inlineStr">
        <is>
          <t>A 24872-2025</t>
        </is>
      </c>
      <c r="B29" s="1" t="n">
        <v>45799.49038194444</v>
      </c>
      <c r="C29" s="1" t="n">
        <v>46033</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46033</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53048-2025</t>
        </is>
      </c>
      <c r="B31" s="1" t="n">
        <v>45958.36018518519</v>
      </c>
      <c r="C31" s="1" t="n">
        <v>46033</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1500-2022</t>
        </is>
      </c>
      <c r="B32" s="1" t="n">
        <v>44573.54357638889</v>
      </c>
      <c r="C32" s="1" t="n">
        <v>46033</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46033</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63584-2025</t>
        </is>
      </c>
      <c r="B34" s="1" t="n">
        <v>46013.77002314815</v>
      </c>
      <c r="C34" s="1" t="n">
        <v>46033</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11846-2024</t>
        </is>
      </c>
      <c r="B35" s="1" t="n">
        <v>45376.4047337963</v>
      </c>
      <c r="C35" s="1" t="n">
        <v>46033</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46033</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46033</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46033</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46033</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22950-2025</t>
        </is>
      </c>
      <c r="B40" s="1" t="n">
        <v>45790.50728009259</v>
      </c>
      <c r="C40" s="1" t="n">
        <v>46033</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46033</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46033</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46033</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48705-2025</t>
        </is>
      </c>
      <c r="B44" s="1" t="n">
        <v>45936.62290509259</v>
      </c>
      <c r="C44" s="1" t="n">
        <v>46033</v>
      </c>
      <c r="D44" t="inlineStr">
        <is>
          <t>VÄSTMANLANDS LÄN</t>
        </is>
      </c>
      <c r="E44" t="inlineStr">
        <is>
          <t>SALA</t>
        </is>
      </c>
      <c r="G44" t="n">
        <v>4.4</v>
      </c>
      <c r="H44" t="n">
        <v>1</v>
      </c>
      <c r="I44" t="n">
        <v>1</v>
      </c>
      <c r="J44" t="n">
        <v>0</v>
      </c>
      <c r="K44" t="n">
        <v>0</v>
      </c>
      <c r="L44" t="n">
        <v>0</v>
      </c>
      <c r="M44" t="n">
        <v>0</v>
      </c>
      <c r="N44" t="n">
        <v>0</v>
      </c>
      <c r="O44" t="n">
        <v>0</v>
      </c>
      <c r="P44" t="n">
        <v>0</v>
      </c>
      <c r="Q44" t="n">
        <v>1</v>
      </c>
      <c r="R44" s="2" t="inlineStr">
        <is>
          <t>Plattlummer</t>
        </is>
      </c>
      <c r="S44">
        <f>HYPERLINK("https://klasma.github.io/Logging_1981/artfynd/A 48705-2025 artfynd.xlsx", "A 48705-2025")</f>
        <v/>
      </c>
      <c r="T44">
        <f>HYPERLINK("https://klasma.github.io/Logging_1981/kartor/A 48705-2025 karta.png", "A 48705-2025")</f>
        <v/>
      </c>
      <c r="V44">
        <f>HYPERLINK("https://klasma.github.io/Logging_1981/klagomål/A 48705-2025 FSC-klagomål.docx", "A 48705-2025")</f>
        <v/>
      </c>
      <c r="W44">
        <f>HYPERLINK("https://klasma.github.io/Logging_1981/klagomålsmail/A 48705-2025 FSC-klagomål mail.docx", "A 48705-2025")</f>
        <v/>
      </c>
      <c r="X44">
        <f>HYPERLINK("https://klasma.github.io/Logging_1981/tillsyn/A 48705-2025 tillsynsbegäran.docx", "A 48705-2025")</f>
        <v/>
      </c>
      <c r="Y44">
        <f>HYPERLINK("https://klasma.github.io/Logging_1981/tillsynsmail/A 48705-2025 tillsynsbegäran mail.docx", "A 48705-2025")</f>
        <v/>
      </c>
    </row>
    <row r="45" ht="15" customHeight="1">
      <c r="A45" t="inlineStr">
        <is>
          <t>A 50268-2025</t>
        </is>
      </c>
      <c r="B45" s="1" t="n">
        <v>45944.35162037037</v>
      </c>
      <c r="C45" s="1" t="n">
        <v>46033</v>
      </c>
      <c r="D45" t="inlineStr">
        <is>
          <t>VÄSTMANLANDS LÄN</t>
        </is>
      </c>
      <c r="E45" t="inlineStr">
        <is>
          <t>SALA</t>
        </is>
      </c>
      <c r="G45" t="n">
        <v>0.7</v>
      </c>
      <c r="H45" t="n">
        <v>1</v>
      </c>
      <c r="I45" t="n">
        <v>0</v>
      </c>
      <c r="J45" t="n">
        <v>0</v>
      </c>
      <c r="K45" t="n">
        <v>0</v>
      </c>
      <c r="L45" t="n">
        <v>0</v>
      </c>
      <c r="M45" t="n">
        <v>0</v>
      </c>
      <c r="N45" t="n">
        <v>0</v>
      </c>
      <c r="O45" t="n">
        <v>0</v>
      </c>
      <c r="P45" t="n">
        <v>0</v>
      </c>
      <c r="Q45" t="n">
        <v>1</v>
      </c>
      <c r="R45" s="2" t="inlineStr">
        <is>
          <t>Fläcknycklar</t>
        </is>
      </c>
      <c r="S45">
        <f>HYPERLINK("https://klasma.github.io/Logging_1981/artfynd/A 50268-2025 artfynd.xlsx", "A 50268-2025")</f>
        <v/>
      </c>
      <c r="T45">
        <f>HYPERLINK("https://klasma.github.io/Logging_1981/kartor/A 50268-2025 karta.png", "A 50268-2025")</f>
        <v/>
      </c>
      <c r="V45">
        <f>HYPERLINK("https://klasma.github.io/Logging_1981/klagomål/A 50268-2025 FSC-klagomål.docx", "A 50268-2025")</f>
        <v/>
      </c>
      <c r="W45">
        <f>HYPERLINK("https://klasma.github.io/Logging_1981/klagomålsmail/A 50268-2025 FSC-klagomål mail.docx", "A 50268-2025")</f>
        <v/>
      </c>
      <c r="X45">
        <f>HYPERLINK("https://klasma.github.io/Logging_1981/tillsyn/A 50268-2025 tillsynsbegäran.docx", "A 50268-2025")</f>
        <v/>
      </c>
      <c r="Y45">
        <f>HYPERLINK("https://klasma.github.io/Logging_1981/tillsynsmail/A 50268-2025 tillsynsbegäran mail.docx", "A 50268-2025")</f>
        <v/>
      </c>
    </row>
    <row r="46" ht="15" customHeight="1">
      <c r="A46" t="inlineStr">
        <is>
          <t>A 22350-2024</t>
        </is>
      </c>
      <c r="B46" s="1" t="n">
        <v>45446</v>
      </c>
      <c r="C46" s="1" t="n">
        <v>46033</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14775-2023</t>
        </is>
      </c>
      <c r="B47" s="1" t="n">
        <v>45014</v>
      </c>
      <c r="C47" s="1" t="n">
        <v>46033</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12509-2023</t>
        </is>
      </c>
      <c r="B48" s="1" t="n">
        <v>44999.95988425926</v>
      </c>
      <c r="C48" s="1" t="n">
        <v>46033</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53052-2025</t>
        </is>
      </c>
      <c r="B49" s="1" t="n">
        <v>45958.36266203703</v>
      </c>
      <c r="C49" s="1" t="n">
        <v>46033</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38255-2025</t>
        </is>
      </c>
      <c r="B50" s="1" t="n">
        <v>45883.38020833334</v>
      </c>
      <c r="C50" s="1" t="n">
        <v>46033</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60852-2024</t>
        </is>
      </c>
      <c r="B51" s="1" t="n">
        <v>45644</v>
      </c>
      <c r="C51" s="1" t="n">
        <v>46033</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19361-2025</t>
        </is>
      </c>
      <c r="B52" s="1" t="n">
        <v>45769.63357638889</v>
      </c>
      <c r="C52" s="1" t="n">
        <v>46033</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46033</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55995-2025</t>
        </is>
      </c>
      <c r="B54" s="1" t="n">
        <v>45973.56733796297</v>
      </c>
      <c r="C54" s="1" t="n">
        <v>46033</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43175-2023</t>
        </is>
      </c>
      <c r="B55" s="1" t="n">
        <v>45183</v>
      </c>
      <c r="C55" s="1" t="n">
        <v>46033</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55550-2023</t>
        </is>
      </c>
      <c r="B56" s="1" t="n">
        <v>45232</v>
      </c>
      <c r="C56" s="1" t="n">
        <v>46033</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46033</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46033</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46033</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46033</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46033</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46033</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46033</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73124-2021</t>
        </is>
      </c>
      <c r="B64" s="1" t="n">
        <v>44550</v>
      </c>
      <c r="C64" s="1" t="n">
        <v>46033</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46033</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46033</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46033</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46033</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46033</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46033</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46033</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46033</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46033</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46033</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46033</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46033</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46033</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46033</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46033</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46033</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46033</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46033</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46033</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46033</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46033</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46033</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46033</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46033</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46033</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46033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46033</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46033</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46033</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46033</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46033</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46033</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46033</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46033</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46033</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46033</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46033</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46033</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46033</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46033</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46033</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46033</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46033</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46033</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46033</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46033</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46033</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46033</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46033</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46033</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46033</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46033</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46033</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46033</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46033</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46033</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46033</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46033</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46033</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46033</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46033</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46033</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46033</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46033</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46033</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46033</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46033</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46033</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46033</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46033</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46033</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46033</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46033</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46033</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46033</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46033</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46033</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46033</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46033</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46033</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46033</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46033</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46033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46033</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46033</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46033</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46033</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46033</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46033</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46033</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46033</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46033</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46033</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46033</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46033</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46033</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35462-2024</t>
        </is>
      </c>
      <c r="B179" s="1" t="n">
        <v>45531</v>
      </c>
      <c r="C179" s="1" t="n">
        <v>46033</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14024-2025</t>
        </is>
      </c>
      <c r="B180" s="1" t="n">
        <v>45740.34650462963</v>
      </c>
      <c r="C180" s="1" t="n">
        <v>46033</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46033</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46033</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46033</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46033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46033</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16767-2024</t>
        </is>
      </c>
      <c r="B186" s="1" t="n">
        <v>45411.38171296296</v>
      </c>
      <c r="C186" s="1" t="n">
        <v>46033</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6097-2022</t>
        </is>
      </c>
      <c r="B187" s="1" t="n">
        <v>44599</v>
      </c>
      <c r="C187" s="1" t="n">
        <v>46033</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62449-2023</t>
        </is>
      </c>
      <c r="B188" s="1" t="n">
        <v>45268.49008101852</v>
      </c>
      <c r="C188" s="1" t="n">
        <v>46033</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46033</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46033</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46033</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17458-2024</t>
        </is>
      </c>
      <c r="B192" s="1" t="n">
        <v>45415</v>
      </c>
      <c r="C192" s="1" t="n">
        <v>46033</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46033</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37587-2024</t>
        </is>
      </c>
      <c r="B194" s="1" t="n">
        <v>45541</v>
      </c>
      <c r="C194" s="1" t="n">
        <v>46033</v>
      </c>
      <c r="D194" t="inlineStr">
        <is>
          <t>VÄSTMANLANDS LÄN</t>
        </is>
      </c>
      <c r="E194" t="inlineStr">
        <is>
          <t>SALA</t>
        </is>
      </c>
      <c r="G194" t="n">
        <v>1.2</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46033</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64724-2023</t>
        </is>
      </c>
      <c r="B196" s="1" t="n">
        <v>45281.7602662037</v>
      </c>
      <c r="C196" s="1" t="n">
        <v>46033</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46033</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46033</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46033</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43600-2024</t>
        </is>
      </c>
      <c r="B200" s="1" t="n">
        <v>45569</v>
      </c>
      <c r="C200" s="1" t="n">
        <v>46033</v>
      </c>
      <c r="D200" t="inlineStr">
        <is>
          <t>VÄSTMANLANDS LÄN</t>
        </is>
      </c>
      <c r="E200" t="inlineStr">
        <is>
          <t>SALA</t>
        </is>
      </c>
      <c r="G200" t="n">
        <v>0.9</v>
      </c>
      <c r="H200" t="n">
        <v>0</v>
      </c>
      <c r="I200" t="n">
        <v>0</v>
      </c>
      <c r="J200" t="n">
        <v>0</v>
      </c>
      <c r="K200" t="n">
        <v>0</v>
      </c>
      <c r="L200" t="n">
        <v>0</v>
      </c>
      <c r="M200" t="n">
        <v>0</v>
      </c>
      <c r="N200" t="n">
        <v>0</v>
      </c>
      <c r="O200" t="n">
        <v>0</v>
      </c>
      <c r="P200" t="n">
        <v>0</v>
      </c>
      <c r="Q200" t="n">
        <v>0</v>
      </c>
      <c r="R200" s="2" t="inlineStr"/>
    </row>
    <row r="201" ht="15" customHeight="1">
      <c r="A201" t="inlineStr">
        <is>
          <t>A 31405-2024</t>
        </is>
      </c>
      <c r="B201" s="1" t="n">
        <v>45505.5490625</v>
      </c>
      <c r="C201" s="1" t="n">
        <v>46033</v>
      </c>
      <c r="D201" t="inlineStr">
        <is>
          <t>VÄSTMANLANDS LÄN</t>
        </is>
      </c>
      <c r="E201" t="inlineStr">
        <is>
          <t>SALA</t>
        </is>
      </c>
      <c r="G201" t="n">
        <v>5.2</v>
      </c>
      <c r="H201" t="n">
        <v>0</v>
      </c>
      <c r="I201" t="n">
        <v>0</v>
      </c>
      <c r="J201" t="n">
        <v>0</v>
      </c>
      <c r="K201" t="n">
        <v>0</v>
      </c>
      <c r="L201" t="n">
        <v>0</v>
      </c>
      <c r="M201" t="n">
        <v>0</v>
      </c>
      <c r="N201" t="n">
        <v>0</v>
      </c>
      <c r="O201" t="n">
        <v>0</v>
      </c>
      <c r="P201" t="n">
        <v>0</v>
      </c>
      <c r="Q201" t="n">
        <v>0</v>
      </c>
      <c r="R201" s="2" t="inlineStr"/>
    </row>
    <row r="202" ht="15" customHeight="1">
      <c r="A202" t="inlineStr">
        <is>
          <t>A 22616-2025</t>
        </is>
      </c>
      <c r="B202" s="1" t="n">
        <v>45789.42752314815</v>
      </c>
      <c r="C202" s="1" t="n">
        <v>46033</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51464-2024</t>
        </is>
      </c>
      <c r="B203" s="1" t="n">
        <v>45604.49768518518</v>
      </c>
      <c r="C203" s="1" t="n">
        <v>46033</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22353-2025</t>
        </is>
      </c>
      <c r="B204" s="1" t="n">
        <v>45786</v>
      </c>
      <c r="C204" s="1" t="n">
        <v>46033</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46033</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54603-2024</t>
        </is>
      </c>
      <c r="B206" s="1" t="n">
        <v>45617.68224537037</v>
      </c>
      <c r="C206" s="1" t="n">
        <v>46033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46033</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46033</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22624-2025</t>
        </is>
      </c>
      <c r="B209" s="1" t="n">
        <v>45789.43327546296</v>
      </c>
      <c r="C209" s="1" t="n">
        <v>46033</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46033</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46033</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4797-2023</t>
        </is>
      </c>
      <c r="B212" s="1" t="n">
        <v>44957</v>
      </c>
      <c r="C212" s="1" t="n">
        <v>46033</v>
      </c>
      <c r="D212" t="inlineStr">
        <is>
          <t>VÄSTMANLANDS LÄN</t>
        </is>
      </c>
      <c r="E212" t="inlineStr">
        <is>
          <t>SALA</t>
        </is>
      </c>
      <c r="G212" t="n">
        <v>5.7</v>
      </c>
      <c r="H212" t="n">
        <v>0</v>
      </c>
      <c r="I212" t="n">
        <v>0</v>
      </c>
      <c r="J212" t="n">
        <v>0</v>
      </c>
      <c r="K212" t="n">
        <v>0</v>
      </c>
      <c r="L212" t="n">
        <v>0</v>
      </c>
      <c r="M212" t="n">
        <v>0</v>
      </c>
      <c r="N212" t="n">
        <v>0</v>
      </c>
      <c r="O212" t="n">
        <v>0</v>
      </c>
      <c r="P212" t="n">
        <v>0</v>
      </c>
      <c r="Q212" t="n">
        <v>0</v>
      </c>
      <c r="R212" s="2" t="inlineStr"/>
    </row>
    <row r="213" ht="15" customHeight="1">
      <c r="A213" t="inlineStr">
        <is>
          <t>A 31864-2025</t>
        </is>
      </c>
      <c r="B213" s="1" t="n">
        <v>45834.63819444444</v>
      </c>
      <c r="C213" s="1" t="n">
        <v>46033</v>
      </c>
      <c r="D213" t="inlineStr">
        <is>
          <t>VÄSTMANLANDS LÄN</t>
        </is>
      </c>
      <c r="E213" t="inlineStr">
        <is>
          <t>SALA</t>
        </is>
      </c>
      <c r="G213" t="n">
        <v>6.3</v>
      </c>
      <c r="H213" t="n">
        <v>0</v>
      </c>
      <c r="I213" t="n">
        <v>0</v>
      </c>
      <c r="J213" t="n">
        <v>0</v>
      </c>
      <c r="K213" t="n">
        <v>0</v>
      </c>
      <c r="L213" t="n">
        <v>0</v>
      </c>
      <c r="M213" t="n">
        <v>0</v>
      </c>
      <c r="N213" t="n">
        <v>0</v>
      </c>
      <c r="O213" t="n">
        <v>0</v>
      </c>
      <c r="P213" t="n">
        <v>0</v>
      </c>
      <c r="Q213" t="n">
        <v>0</v>
      </c>
      <c r="R213" s="2" t="inlineStr"/>
    </row>
    <row r="214" ht="15" customHeight="1">
      <c r="A214" t="inlineStr">
        <is>
          <t>A 13130-2025</t>
        </is>
      </c>
      <c r="B214" s="1" t="n">
        <v>45734</v>
      </c>
      <c r="C214" s="1" t="n">
        <v>46033</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16651-2021</t>
        </is>
      </c>
      <c r="B215" s="1" t="n">
        <v>44294.50096064815</v>
      </c>
      <c r="C215" s="1" t="n">
        <v>46033</v>
      </c>
      <c r="D215" t="inlineStr">
        <is>
          <t>VÄSTMANLANDS LÄN</t>
        </is>
      </c>
      <c r="E215" t="inlineStr">
        <is>
          <t>SALA</t>
        </is>
      </c>
      <c r="G215" t="n">
        <v>7.7</v>
      </c>
      <c r="H215" t="n">
        <v>0</v>
      </c>
      <c r="I215" t="n">
        <v>0</v>
      </c>
      <c r="J215" t="n">
        <v>0</v>
      </c>
      <c r="K215" t="n">
        <v>0</v>
      </c>
      <c r="L215" t="n">
        <v>0</v>
      </c>
      <c r="M215" t="n">
        <v>0</v>
      </c>
      <c r="N215" t="n">
        <v>0</v>
      </c>
      <c r="O215" t="n">
        <v>0</v>
      </c>
      <c r="P215" t="n">
        <v>0</v>
      </c>
      <c r="Q215" t="n">
        <v>0</v>
      </c>
      <c r="R215" s="2" t="inlineStr"/>
    </row>
    <row r="216" ht="15" customHeight="1">
      <c r="A216" t="inlineStr">
        <is>
          <t>A 61517-2024</t>
        </is>
      </c>
      <c r="B216" s="1" t="n">
        <v>45645</v>
      </c>
      <c r="C216" s="1" t="n">
        <v>46033</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59926-2025</t>
        </is>
      </c>
      <c r="B217" s="1" t="n">
        <v>45993.39221064815</v>
      </c>
      <c r="C217" s="1" t="n">
        <v>46033</v>
      </c>
      <c r="D217" t="inlineStr">
        <is>
          <t>VÄSTMANLANDS LÄN</t>
        </is>
      </c>
      <c r="E217" t="inlineStr">
        <is>
          <t>SALA</t>
        </is>
      </c>
      <c r="G217" t="n">
        <v>7.1</v>
      </c>
      <c r="H217" t="n">
        <v>0</v>
      </c>
      <c r="I217" t="n">
        <v>0</v>
      </c>
      <c r="J217" t="n">
        <v>0</v>
      </c>
      <c r="K217" t="n">
        <v>0</v>
      </c>
      <c r="L217" t="n">
        <v>0</v>
      </c>
      <c r="M217" t="n">
        <v>0</v>
      </c>
      <c r="N217" t="n">
        <v>0</v>
      </c>
      <c r="O217" t="n">
        <v>0</v>
      </c>
      <c r="P217" t="n">
        <v>0</v>
      </c>
      <c r="Q217" t="n">
        <v>0</v>
      </c>
      <c r="R217" s="2" t="inlineStr"/>
    </row>
    <row r="218" ht="15" customHeight="1">
      <c r="A218" t="inlineStr">
        <is>
          <t>A 1638-2023</t>
        </is>
      </c>
      <c r="B218" s="1" t="n">
        <v>44937</v>
      </c>
      <c r="C218" s="1" t="n">
        <v>46033</v>
      </c>
      <c r="D218" t="inlineStr">
        <is>
          <t>VÄSTMANLANDS LÄN</t>
        </is>
      </c>
      <c r="E218" t="inlineStr">
        <is>
          <t>SALA</t>
        </is>
      </c>
      <c r="G218" t="n">
        <v>3.1</v>
      </c>
      <c r="H218" t="n">
        <v>0</v>
      </c>
      <c r="I218" t="n">
        <v>0</v>
      </c>
      <c r="J218" t="n">
        <v>0</v>
      </c>
      <c r="K218" t="n">
        <v>0</v>
      </c>
      <c r="L218" t="n">
        <v>0</v>
      </c>
      <c r="M218" t="n">
        <v>0</v>
      </c>
      <c r="N218" t="n">
        <v>0</v>
      </c>
      <c r="O218" t="n">
        <v>0</v>
      </c>
      <c r="P218" t="n">
        <v>0</v>
      </c>
      <c r="Q218" t="n">
        <v>0</v>
      </c>
      <c r="R218" s="2" t="inlineStr"/>
    </row>
    <row r="219" ht="15" customHeight="1">
      <c r="A219" t="inlineStr">
        <is>
          <t>A 39167-2025</t>
        </is>
      </c>
      <c r="B219" s="1" t="n">
        <v>45888</v>
      </c>
      <c r="C219" s="1" t="n">
        <v>46033</v>
      </c>
      <c r="D219" t="inlineStr">
        <is>
          <t>VÄSTMANLANDS LÄN</t>
        </is>
      </c>
      <c r="E219" t="inlineStr">
        <is>
          <t>SALA</t>
        </is>
      </c>
      <c r="G219" t="n">
        <v>5.5</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46033</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23804-2025</t>
        </is>
      </c>
      <c r="B221" s="1" t="n">
        <v>45793.55995370371</v>
      </c>
      <c r="C221" s="1" t="n">
        <v>46033</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46033</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15972-2024</t>
        </is>
      </c>
      <c r="B223" s="1" t="n">
        <v>45405.56498842593</v>
      </c>
      <c r="C223" s="1" t="n">
        <v>46033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19297-2025</t>
        </is>
      </c>
      <c r="B224" s="1" t="n">
        <v>45769.56261574074</v>
      </c>
      <c r="C224" s="1" t="n">
        <v>46033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59870-2025</t>
        </is>
      </c>
      <c r="B225" s="1" t="n">
        <v>45992.92226851852</v>
      </c>
      <c r="C225" s="1" t="n">
        <v>46033</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23810-2025</t>
        </is>
      </c>
      <c r="B226" s="1" t="n">
        <v>45793.56989583333</v>
      </c>
      <c r="C226" s="1" t="n">
        <v>46033</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37958-2024</t>
        </is>
      </c>
      <c r="B227" s="1" t="n">
        <v>45544</v>
      </c>
      <c r="C227" s="1" t="n">
        <v>46033</v>
      </c>
      <c r="D227" t="inlineStr">
        <is>
          <t>VÄSTMANLANDS LÄN</t>
        </is>
      </c>
      <c r="E227" t="inlineStr">
        <is>
          <t>SALA</t>
        </is>
      </c>
      <c r="G227" t="n">
        <v>5.6</v>
      </c>
      <c r="H227" t="n">
        <v>0</v>
      </c>
      <c r="I227" t="n">
        <v>0</v>
      </c>
      <c r="J227" t="n">
        <v>0</v>
      </c>
      <c r="K227" t="n">
        <v>0</v>
      </c>
      <c r="L227" t="n">
        <v>0</v>
      </c>
      <c r="M227" t="n">
        <v>0</v>
      </c>
      <c r="N227" t="n">
        <v>0</v>
      </c>
      <c r="O227" t="n">
        <v>0</v>
      </c>
      <c r="P227" t="n">
        <v>0</v>
      </c>
      <c r="Q227" t="n">
        <v>0</v>
      </c>
      <c r="R227" s="2" t="inlineStr"/>
    </row>
    <row r="228" ht="15" customHeight="1">
      <c r="A228" t="inlineStr">
        <is>
          <t>A 24169-2025</t>
        </is>
      </c>
      <c r="B228" s="1" t="n">
        <v>45796</v>
      </c>
      <c r="C228" s="1" t="n">
        <v>46033</v>
      </c>
      <c r="D228" t="inlineStr">
        <is>
          <t>VÄSTMANLANDS LÄN</t>
        </is>
      </c>
      <c r="E228" t="inlineStr">
        <is>
          <t>SALA</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46033</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52498-2022</t>
        </is>
      </c>
      <c r="B230" s="1" t="n">
        <v>44874.50152777778</v>
      </c>
      <c r="C230" s="1" t="n">
        <v>46033</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1555-2024</t>
        </is>
      </c>
      <c r="B231" s="1" t="n">
        <v>45306</v>
      </c>
      <c r="C231" s="1" t="n">
        <v>46033</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46033</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60017-2025</t>
        </is>
      </c>
      <c r="B233" s="1" t="n">
        <v>45993.59998842593</v>
      </c>
      <c r="C233" s="1" t="n">
        <v>46033</v>
      </c>
      <c r="D233" t="inlineStr">
        <is>
          <t>VÄSTMANLANDS LÄN</t>
        </is>
      </c>
      <c r="E233" t="inlineStr">
        <is>
          <t>SALA</t>
        </is>
      </c>
      <c r="G233" t="n">
        <v>4.4</v>
      </c>
      <c r="H233" t="n">
        <v>0</v>
      </c>
      <c r="I233" t="n">
        <v>0</v>
      </c>
      <c r="J233" t="n">
        <v>0</v>
      </c>
      <c r="K233" t="n">
        <v>0</v>
      </c>
      <c r="L233" t="n">
        <v>0</v>
      </c>
      <c r="M233" t="n">
        <v>0</v>
      </c>
      <c r="N233" t="n">
        <v>0</v>
      </c>
      <c r="O233" t="n">
        <v>0</v>
      </c>
      <c r="P233" t="n">
        <v>0</v>
      </c>
      <c r="Q233" t="n">
        <v>0</v>
      </c>
      <c r="R233" s="2" t="inlineStr"/>
    </row>
    <row r="234" ht="15" customHeight="1">
      <c r="A234" t="inlineStr">
        <is>
          <t>A 24460-2025</t>
        </is>
      </c>
      <c r="B234" s="1" t="n">
        <v>45798</v>
      </c>
      <c r="C234" s="1" t="n">
        <v>46033</v>
      </c>
      <c r="D234" t="inlineStr">
        <is>
          <t>VÄSTMANLANDS LÄN</t>
        </is>
      </c>
      <c r="E234" t="inlineStr">
        <is>
          <t>SALA</t>
        </is>
      </c>
      <c r="F234" t="inlineStr">
        <is>
          <t>Bergvik skog öst AB</t>
        </is>
      </c>
      <c r="G234" t="n">
        <v>2.6</v>
      </c>
      <c r="H234" t="n">
        <v>0</v>
      </c>
      <c r="I234" t="n">
        <v>0</v>
      </c>
      <c r="J234" t="n">
        <v>0</v>
      </c>
      <c r="K234" t="n">
        <v>0</v>
      </c>
      <c r="L234" t="n">
        <v>0</v>
      </c>
      <c r="M234" t="n">
        <v>0</v>
      </c>
      <c r="N234" t="n">
        <v>0</v>
      </c>
      <c r="O234" t="n">
        <v>0</v>
      </c>
      <c r="P234" t="n">
        <v>0</v>
      </c>
      <c r="Q234" t="n">
        <v>0</v>
      </c>
      <c r="R234" s="2" t="inlineStr"/>
    </row>
    <row r="235" ht="15" customHeight="1">
      <c r="A235" t="inlineStr">
        <is>
          <t>A 51764-2025</t>
        </is>
      </c>
      <c r="B235" s="1" t="n">
        <v>45951.63636574074</v>
      </c>
      <c r="C235" s="1" t="n">
        <v>46033</v>
      </c>
      <c r="D235" t="inlineStr">
        <is>
          <t>VÄSTMANLANDS LÄN</t>
        </is>
      </c>
      <c r="E235" t="inlineStr">
        <is>
          <t>SALA</t>
        </is>
      </c>
      <c r="G235" t="n">
        <v>1.5</v>
      </c>
      <c r="H235" t="n">
        <v>0</v>
      </c>
      <c r="I235" t="n">
        <v>0</v>
      </c>
      <c r="J235" t="n">
        <v>0</v>
      </c>
      <c r="K235" t="n">
        <v>0</v>
      </c>
      <c r="L235" t="n">
        <v>0</v>
      </c>
      <c r="M235" t="n">
        <v>0</v>
      </c>
      <c r="N235" t="n">
        <v>0</v>
      </c>
      <c r="O235" t="n">
        <v>0</v>
      </c>
      <c r="P235" t="n">
        <v>0</v>
      </c>
      <c r="Q235" t="n">
        <v>0</v>
      </c>
      <c r="R235" s="2" t="inlineStr"/>
    </row>
    <row r="236" ht="15" customHeight="1">
      <c r="A236" t="inlineStr">
        <is>
          <t>A 24463-2025</t>
        </is>
      </c>
      <c r="B236" s="1" t="n">
        <v>45798</v>
      </c>
      <c r="C236" s="1" t="n">
        <v>46033</v>
      </c>
      <c r="D236" t="inlineStr">
        <is>
          <t>VÄSTMANLANDS LÄN</t>
        </is>
      </c>
      <c r="E236" t="inlineStr">
        <is>
          <t>SALA</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46033</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46033</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40620-2025</t>
        </is>
      </c>
      <c r="B239" s="1" t="n">
        <v>45896.58609953704</v>
      </c>
      <c r="C239" s="1" t="n">
        <v>46033</v>
      </c>
      <c r="D239" t="inlineStr">
        <is>
          <t>VÄSTMANLANDS LÄN</t>
        </is>
      </c>
      <c r="E239" t="inlineStr">
        <is>
          <t>SALA</t>
        </is>
      </c>
      <c r="G239" t="n">
        <v>6.7</v>
      </c>
      <c r="H239" t="n">
        <v>0</v>
      </c>
      <c r="I239" t="n">
        <v>0</v>
      </c>
      <c r="J239" t="n">
        <v>0</v>
      </c>
      <c r="K239" t="n">
        <v>0</v>
      </c>
      <c r="L239" t="n">
        <v>0</v>
      </c>
      <c r="M239" t="n">
        <v>0</v>
      </c>
      <c r="N239" t="n">
        <v>0</v>
      </c>
      <c r="O239" t="n">
        <v>0</v>
      </c>
      <c r="P239" t="n">
        <v>0</v>
      </c>
      <c r="Q239" t="n">
        <v>0</v>
      </c>
      <c r="R239" s="2" t="inlineStr"/>
    </row>
    <row r="240" ht="15" customHeight="1">
      <c r="A240" t="inlineStr">
        <is>
          <t>A 15756-2025</t>
        </is>
      </c>
      <c r="B240" s="1" t="n">
        <v>45748.56810185185</v>
      </c>
      <c r="C240" s="1" t="n">
        <v>46033</v>
      </c>
      <c r="D240" t="inlineStr">
        <is>
          <t>VÄSTMANLANDS LÄN</t>
        </is>
      </c>
      <c r="E240" t="inlineStr">
        <is>
          <t>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31000-2022</t>
        </is>
      </c>
      <c r="B241" s="1" t="n">
        <v>44768</v>
      </c>
      <c r="C241" s="1" t="n">
        <v>46033</v>
      </c>
      <c r="D241" t="inlineStr">
        <is>
          <t>VÄSTMANLANDS LÄN</t>
        </is>
      </c>
      <c r="E241" t="inlineStr">
        <is>
          <t>SALA</t>
        </is>
      </c>
      <c r="G241" t="n">
        <v>5.7</v>
      </c>
      <c r="H241" t="n">
        <v>0</v>
      </c>
      <c r="I241" t="n">
        <v>0</v>
      </c>
      <c r="J241" t="n">
        <v>0</v>
      </c>
      <c r="K241" t="n">
        <v>0</v>
      </c>
      <c r="L241" t="n">
        <v>0</v>
      </c>
      <c r="M241" t="n">
        <v>0</v>
      </c>
      <c r="N241" t="n">
        <v>0</v>
      </c>
      <c r="O241" t="n">
        <v>0</v>
      </c>
      <c r="P241" t="n">
        <v>0</v>
      </c>
      <c r="Q241" t="n">
        <v>0</v>
      </c>
      <c r="R241" s="2" t="inlineStr"/>
    </row>
    <row r="242" ht="15" customHeight="1">
      <c r="A242" t="inlineStr">
        <is>
          <t>A 37183-2024</t>
        </is>
      </c>
      <c r="B242" s="1" t="n">
        <v>45539</v>
      </c>
      <c r="C242" s="1" t="n">
        <v>46033</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55065-2024</t>
        </is>
      </c>
      <c r="B243" s="1" t="n">
        <v>45618</v>
      </c>
      <c r="C243" s="1" t="n">
        <v>46033</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24907-2025</t>
        </is>
      </c>
      <c r="B244" s="1" t="n">
        <v>45799</v>
      </c>
      <c r="C244" s="1" t="n">
        <v>46033</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24910-2025</t>
        </is>
      </c>
      <c r="B245" s="1" t="n">
        <v>45799.53775462963</v>
      </c>
      <c r="C245" s="1" t="n">
        <v>46033</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41230-2025</t>
        </is>
      </c>
      <c r="B246" s="1" t="n">
        <v>45898</v>
      </c>
      <c r="C246" s="1" t="n">
        <v>46033</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27229-2022</t>
        </is>
      </c>
      <c r="B247" s="1" t="n">
        <v>44741</v>
      </c>
      <c r="C247" s="1" t="n">
        <v>46033</v>
      </c>
      <c r="D247" t="inlineStr">
        <is>
          <t>VÄSTMANLANDS LÄN</t>
        </is>
      </c>
      <c r="E247" t="inlineStr">
        <is>
          <t>SALA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41414-2025</t>
        </is>
      </c>
      <c r="B248" s="1" t="n">
        <v>45901.360625</v>
      </c>
      <c r="C248" s="1" t="n">
        <v>46033</v>
      </c>
      <c r="D248" t="inlineStr">
        <is>
          <t>VÄSTMANLANDS LÄN</t>
        </is>
      </c>
      <c r="E248" t="inlineStr">
        <is>
          <t>SALA</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61717-2024</t>
        </is>
      </c>
      <c r="B249" s="1" t="n">
        <v>45648</v>
      </c>
      <c r="C249" s="1" t="n">
        <v>46033</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53164-2024</t>
        </is>
      </c>
      <c r="B250" s="1" t="n">
        <v>45611.64887731482</v>
      </c>
      <c r="C250" s="1" t="n">
        <v>46033</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41431-2025</t>
        </is>
      </c>
      <c r="B251" s="1" t="n">
        <v>45901.39347222223</v>
      </c>
      <c r="C251" s="1" t="n">
        <v>46033</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1793-2023</t>
        </is>
      </c>
      <c r="B252" s="1" t="n">
        <v>44937</v>
      </c>
      <c r="C252" s="1" t="n">
        <v>46033</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46033</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51626-2025</t>
        </is>
      </c>
      <c r="B254" s="1" t="n">
        <v>45951.41769675926</v>
      </c>
      <c r="C254" s="1" t="n">
        <v>46033</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59817-2025</t>
        </is>
      </c>
      <c r="B255" s="1" t="n">
        <v>45992.63711805556</v>
      </c>
      <c r="C255" s="1" t="n">
        <v>46033</v>
      </c>
      <c r="D255" t="inlineStr">
        <is>
          <t>VÄSTMANLANDS LÄN</t>
        </is>
      </c>
      <c r="E255" t="inlineStr">
        <is>
          <t>SALA</t>
        </is>
      </c>
      <c r="G255" t="n">
        <v>6.9</v>
      </c>
      <c r="H255" t="n">
        <v>0</v>
      </c>
      <c r="I255" t="n">
        <v>0</v>
      </c>
      <c r="J255" t="n">
        <v>0</v>
      </c>
      <c r="K255" t="n">
        <v>0</v>
      </c>
      <c r="L255" t="n">
        <v>0</v>
      </c>
      <c r="M255" t="n">
        <v>0</v>
      </c>
      <c r="N255" t="n">
        <v>0</v>
      </c>
      <c r="O255" t="n">
        <v>0</v>
      </c>
      <c r="P255" t="n">
        <v>0</v>
      </c>
      <c r="Q255" t="n">
        <v>0</v>
      </c>
      <c r="R255" s="2" t="inlineStr"/>
    </row>
    <row r="256" ht="15" customHeight="1">
      <c r="A256" t="inlineStr">
        <is>
          <t>A 22397-2022</t>
        </is>
      </c>
      <c r="B256" s="1" t="n">
        <v>44713</v>
      </c>
      <c r="C256" s="1" t="n">
        <v>46033</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28863-2022</t>
        </is>
      </c>
      <c r="B257" s="1" t="n">
        <v>44749.50649305555</v>
      </c>
      <c r="C257" s="1" t="n">
        <v>46033</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10909-2024</t>
        </is>
      </c>
      <c r="B258" s="1" t="n">
        <v>45370</v>
      </c>
      <c r="C258" s="1" t="n">
        <v>46033</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21968-2024</t>
        </is>
      </c>
      <c r="B259" s="1" t="n">
        <v>45443</v>
      </c>
      <c r="C259" s="1" t="n">
        <v>46033</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42421-2025</t>
        </is>
      </c>
      <c r="B260" s="1" t="n">
        <v>45905.40067129629</v>
      </c>
      <c r="C260" s="1" t="n">
        <v>46033</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46033</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14919-2025</t>
        </is>
      </c>
      <c r="B262" s="1" t="n">
        <v>45743.54256944444</v>
      </c>
      <c r="C262" s="1" t="n">
        <v>46033</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14920-2025</t>
        </is>
      </c>
      <c r="B263" s="1" t="n">
        <v>45743</v>
      </c>
      <c r="C263" s="1" t="n">
        <v>46033</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40398-2021</t>
        </is>
      </c>
      <c r="B264" s="1" t="n">
        <v>44419</v>
      </c>
      <c r="C264" s="1" t="n">
        <v>46033</v>
      </c>
      <c r="D264" t="inlineStr">
        <is>
          <t>VÄSTMANLANDS LÄN</t>
        </is>
      </c>
      <c r="E264" t="inlineStr">
        <is>
          <t>SALA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17495-2024</t>
        </is>
      </c>
      <c r="B265" s="1" t="n">
        <v>45415</v>
      </c>
      <c r="C265" s="1" t="n">
        <v>46033</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37263-2025</t>
        </is>
      </c>
      <c r="B266" s="1" t="n">
        <v>45876.4584837963</v>
      </c>
      <c r="C266" s="1" t="n">
        <v>46033</v>
      </c>
      <c r="D266" t="inlineStr">
        <is>
          <t>VÄSTMANLANDS LÄN</t>
        </is>
      </c>
      <c r="E266" t="inlineStr">
        <is>
          <t>SALA</t>
        </is>
      </c>
      <c r="G266" t="n">
        <v>2.3</v>
      </c>
      <c r="H266" t="n">
        <v>0</v>
      </c>
      <c r="I266" t="n">
        <v>0</v>
      </c>
      <c r="J266" t="n">
        <v>0</v>
      </c>
      <c r="K266" t="n">
        <v>0</v>
      </c>
      <c r="L266" t="n">
        <v>0</v>
      </c>
      <c r="M266" t="n">
        <v>0</v>
      </c>
      <c r="N266" t="n">
        <v>0</v>
      </c>
      <c r="O266" t="n">
        <v>0</v>
      </c>
      <c r="P266" t="n">
        <v>0</v>
      </c>
      <c r="Q266" t="n">
        <v>0</v>
      </c>
      <c r="R266" s="2" t="inlineStr"/>
    </row>
    <row r="267" ht="15" customHeight="1">
      <c r="A267" t="inlineStr">
        <is>
          <t>A 43127-2025</t>
        </is>
      </c>
      <c r="B267" s="1" t="n">
        <v>45909</v>
      </c>
      <c r="C267" s="1" t="n">
        <v>46033</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43362-2023</t>
        </is>
      </c>
      <c r="B268" s="1" t="n">
        <v>45183</v>
      </c>
      <c r="C268" s="1" t="n">
        <v>46033</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26661-2025</t>
        </is>
      </c>
      <c r="B269" s="1" t="n">
        <v>45810</v>
      </c>
      <c r="C269" s="1" t="n">
        <v>46033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46033</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43128-2025</t>
        </is>
      </c>
      <c r="B271" s="1" t="n">
        <v>45909</v>
      </c>
      <c r="C271" s="1" t="n">
        <v>46033</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40554-2025</t>
        </is>
      </c>
      <c r="B272" s="1" t="n">
        <v>45896.44506944445</v>
      </c>
      <c r="C272" s="1" t="n">
        <v>46033</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6030-2024</t>
        </is>
      </c>
      <c r="B273" s="1" t="n">
        <v>45336.62782407407</v>
      </c>
      <c r="C273" s="1" t="n">
        <v>46033</v>
      </c>
      <c r="D273" t="inlineStr">
        <is>
          <t>VÄSTMANLANDS LÄN</t>
        </is>
      </c>
      <c r="E273" t="inlineStr">
        <is>
          <t>SALA</t>
        </is>
      </c>
      <c r="G273" t="n">
        <v>3.9</v>
      </c>
      <c r="H273" t="n">
        <v>0</v>
      </c>
      <c r="I273" t="n">
        <v>0</v>
      </c>
      <c r="J273" t="n">
        <v>0</v>
      </c>
      <c r="K273" t="n">
        <v>0</v>
      </c>
      <c r="L273" t="n">
        <v>0</v>
      </c>
      <c r="M273" t="n">
        <v>0</v>
      </c>
      <c r="N273" t="n">
        <v>0</v>
      </c>
      <c r="O273" t="n">
        <v>0</v>
      </c>
      <c r="P273" t="n">
        <v>0</v>
      </c>
      <c r="Q273" t="n">
        <v>0</v>
      </c>
      <c r="R273" s="2" t="inlineStr"/>
    </row>
    <row r="274" ht="15" customHeight="1">
      <c r="A274" t="inlineStr">
        <is>
          <t>A 43129-2025</t>
        </is>
      </c>
      <c r="B274" s="1" t="n">
        <v>45909</v>
      </c>
      <c r="C274" s="1" t="n">
        <v>46033</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43130-2025</t>
        </is>
      </c>
      <c r="B275" s="1" t="n">
        <v>45909</v>
      </c>
      <c r="C275" s="1" t="n">
        <v>46033</v>
      </c>
      <c r="D275" t="inlineStr">
        <is>
          <t>VÄSTMANLANDS LÄN</t>
        </is>
      </c>
      <c r="E275" t="inlineStr">
        <is>
          <t>SALA</t>
        </is>
      </c>
      <c r="G275" t="n">
        <v>0.9</v>
      </c>
      <c r="H275" t="n">
        <v>0</v>
      </c>
      <c r="I275" t="n">
        <v>0</v>
      </c>
      <c r="J275" t="n">
        <v>0</v>
      </c>
      <c r="K275" t="n">
        <v>0</v>
      </c>
      <c r="L275" t="n">
        <v>0</v>
      </c>
      <c r="M275" t="n">
        <v>0</v>
      </c>
      <c r="N275" t="n">
        <v>0</v>
      </c>
      <c r="O275" t="n">
        <v>0</v>
      </c>
      <c r="P275" t="n">
        <v>0</v>
      </c>
      <c r="Q275" t="n">
        <v>0</v>
      </c>
      <c r="R275" s="2" t="inlineStr"/>
    </row>
    <row r="276" ht="15" customHeight="1">
      <c r="A276" t="inlineStr">
        <is>
          <t>A 52630-2022</t>
        </is>
      </c>
      <c r="B276" s="1" t="n">
        <v>44874</v>
      </c>
      <c r="C276" s="1" t="n">
        <v>46033</v>
      </c>
      <c r="D276" t="inlineStr">
        <is>
          <t>VÄSTMANLANDS LÄN</t>
        </is>
      </c>
      <c r="E276" t="inlineStr">
        <is>
          <t>SALA</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43028-2025</t>
        </is>
      </c>
      <c r="B277" s="1" t="n">
        <v>45909.53472222222</v>
      </c>
      <c r="C277" s="1" t="n">
        <v>46033</v>
      </c>
      <c r="D277" t="inlineStr">
        <is>
          <t>VÄSTMANLANDS LÄN</t>
        </is>
      </c>
      <c r="E277" t="inlineStr">
        <is>
          <t>SALA</t>
        </is>
      </c>
      <c r="G277" t="n">
        <v>3.8</v>
      </c>
      <c r="H277" t="n">
        <v>0</v>
      </c>
      <c r="I277" t="n">
        <v>0</v>
      </c>
      <c r="J277" t="n">
        <v>0</v>
      </c>
      <c r="K277" t="n">
        <v>0</v>
      </c>
      <c r="L277" t="n">
        <v>0</v>
      </c>
      <c r="M277" t="n">
        <v>0</v>
      </c>
      <c r="N277" t="n">
        <v>0</v>
      </c>
      <c r="O277" t="n">
        <v>0</v>
      </c>
      <c r="P277" t="n">
        <v>0</v>
      </c>
      <c r="Q277" t="n">
        <v>0</v>
      </c>
      <c r="R277" s="2" t="inlineStr"/>
    </row>
    <row r="278" ht="15" customHeight="1">
      <c r="A278" t="inlineStr">
        <is>
          <t>A 43031-2025</t>
        </is>
      </c>
      <c r="B278" s="1" t="n">
        <v>45909.53856481481</v>
      </c>
      <c r="C278" s="1" t="n">
        <v>46033</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51690-2025</t>
        </is>
      </c>
      <c r="B279" s="1" t="n">
        <v>45951.53462962963</v>
      </c>
      <c r="C279" s="1" t="n">
        <v>46033</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43328-2025</t>
        </is>
      </c>
      <c r="B280" s="1" t="n">
        <v>45910</v>
      </c>
      <c r="C280" s="1" t="n">
        <v>46033</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14690-2025</t>
        </is>
      </c>
      <c r="B281" s="1" t="n">
        <v>45742.58212962963</v>
      </c>
      <c r="C281" s="1" t="n">
        <v>46033</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2521-2025</t>
        </is>
      </c>
      <c r="B282" s="1" t="n">
        <v>45674</v>
      </c>
      <c r="C282" s="1" t="n">
        <v>46033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4736-2021</t>
        </is>
      </c>
      <c r="B283" s="1" t="n">
        <v>44225</v>
      </c>
      <c r="C283" s="1" t="n">
        <v>46033</v>
      </c>
      <c r="D283" t="inlineStr">
        <is>
          <t>VÄSTMANLANDS LÄN</t>
        </is>
      </c>
      <c r="E283" t="inlineStr">
        <is>
          <t>SALA</t>
        </is>
      </c>
      <c r="G283" t="n">
        <v>4.2</v>
      </c>
      <c r="H283" t="n">
        <v>0</v>
      </c>
      <c r="I283" t="n">
        <v>0</v>
      </c>
      <c r="J283" t="n">
        <v>0</v>
      </c>
      <c r="K283" t="n">
        <v>0</v>
      </c>
      <c r="L283" t="n">
        <v>0</v>
      </c>
      <c r="M283" t="n">
        <v>0</v>
      </c>
      <c r="N283" t="n">
        <v>0</v>
      </c>
      <c r="O283" t="n">
        <v>0</v>
      </c>
      <c r="P283" t="n">
        <v>0</v>
      </c>
      <c r="Q283" t="n">
        <v>0</v>
      </c>
      <c r="R283" s="2" t="inlineStr"/>
    </row>
    <row r="284" ht="15" customHeight="1">
      <c r="A284" t="inlineStr">
        <is>
          <t>A 44100-2025</t>
        </is>
      </c>
      <c r="B284" s="1" t="n">
        <v>45915.56707175926</v>
      </c>
      <c r="C284" s="1" t="n">
        <v>46033</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27989-2025</t>
        </is>
      </c>
      <c r="B285" s="1" t="n">
        <v>45817.58716435185</v>
      </c>
      <c r="C285" s="1" t="n">
        <v>46033</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60548-2024</t>
        </is>
      </c>
      <c r="B286" s="1" t="n">
        <v>45643.80978009259</v>
      </c>
      <c r="C286" s="1" t="n">
        <v>46033</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27981-2025</t>
        </is>
      </c>
      <c r="B287" s="1" t="n">
        <v>45817.57471064815</v>
      </c>
      <c r="C287" s="1" t="n">
        <v>46033</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28193-2025</t>
        </is>
      </c>
      <c r="B288" s="1" t="n">
        <v>45818.425625</v>
      </c>
      <c r="C288" s="1" t="n">
        <v>46033</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28284-2025</t>
        </is>
      </c>
      <c r="B289" s="1" t="n">
        <v>45818.58893518519</v>
      </c>
      <c r="C289" s="1" t="n">
        <v>46033</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26761-2023</t>
        </is>
      </c>
      <c r="B290" s="1" t="n">
        <v>45093</v>
      </c>
      <c r="C290" s="1" t="n">
        <v>46033</v>
      </c>
      <c r="D290" t="inlineStr">
        <is>
          <t>VÄSTMANLANDS LÄN</t>
        </is>
      </c>
      <c r="E290" t="inlineStr">
        <is>
          <t>SALA</t>
        </is>
      </c>
      <c r="G290" t="n">
        <v>4.3</v>
      </c>
      <c r="H290" t="n">
        <v>0</v>
      </c>
      <c r="I290" t="n">
        <v>0</v>
      </c>
      <c r="J290" t="n">
        <v>0</v>
      </c>
      <c r="K290" t="n">
        <v>0</v>
      </c>
      <c r="L290" t="n">
        <v>0</v>
      </c>
      <c r="M290" t="n">
        <v>0</v>
      </c>
      <c r="N290" t="n">
        <v>0</v>
      </c>
      <c r="O290" t="n">
        <v>0</v>
      </c>
      <c r="P290" t="n">
        <v>0</v>
      </c>
      <c r="Q290" t="n">
        <v>0</v>
      </c>
      <c r="R290" s="2" t="inlineStr"/>
    </row>
    <row r="291" ht="15" customHeight="1">
      <c r="A291" t="inlineStr">
        <is>
          <t>A 28278-2025</t>
        </is>
      </c>
      <c r="B291" s="1" t="n">
        <v>45818.58454861111</v>
      </c>
      <c r="C291" s="1" t="n">
        <v>46033</v>
      </c>
      <c r="D291" t="inlineStr">
        <is>
          <t>VÄSTMANLANDS LÄN</t>
        </is>
      </c>
      <c r="E291" t="inlineStr">
        <is>
          <t>SALA</t>
        </is>
      </c>
      <c r="G291" t="n">
        <v>7.6</v>
      </c>
      <c r="H291" t="n">
        <v>0</v>
      </c>
      <c r="I291" t="n">
        <v>0</v>
      </c>
      <c r="J291" t="n">
        <v>0</v>
      </c>
      <c r="K291" t="n">
        <v>0</v>
      </c>
      <c r="L291" t="n">
        <v>0</v>
      </c>
      <c r="M291" t="n">
        <v>0</v>
      </c>
      <c r="N291" t="n">
        <v>0</v>
      </c>
      <c r="O291" t="n">
        <v>0</v>
      </c>
      <c r="P291" t="n">
        <v>0</v>
      </c>
      <c r="Q291" t="n">
        <v>0</v>
      </c>
      <c r="R291" s="2" t="inlineStr"/>
    </row>
    <row r="292" ht="15" customHeight="1">
      <c r="A292" t="inlineStr">
        <is>
          <t>A 28628-2025</t>
        </is>
      </c>
      <c r="B292" s="1" t="n">
        <v>45819.62158564815</v>
      </c>
      <c r="C292" s="1" t="n">
        <v>46033</v>
      </c>
      <c r="D292" t="inlineStr">
        <is>
          <t>VÄSTMANLANDS LÄN</t>
        </is>
      </c>
      <c r="E292" t="inlineStr">
        <is>
          <t>SALA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46033</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44524-2025</t>
        </is>
      </c>
      <c r="B294" s="1" t="n">
        <v>45916.72920138889</v>
      </c>
      <c r="C294" s="1" t="n">
        <v>46033</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28630-2025</t>
        </is>
      </c>
      <c r="B295" s="1" t="n">
        <v>45819.62274305556</v>
      </c>
      <c r="C295" s="1" t="n">
        <v>46033</v>
      </c>
      <c r="D295" t="inlineStr">
        <is>
          <t>VÄSTMANLANDS LÄN</t>
        </is>
      </c>
      <c r="E295" t="inlineStr">
        <is>
          <t>SALA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46033</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55035-2023</t>
        </is>
      </c>
      <c r="B297" s="1" t="n">
        <v>45229</v>
      </c>
      <c r="C297" s="1" t="n">
        <v>46033</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45177-2025</t>
        </is>
      </c>
      <c r="B298" s="1" t="n">
        <v>45919.52444444445</v>
      </c>
      <c r="C298" s="1" t="n">
        <v>46033</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28837-2025</t>
        </is>
      </c>
      <c r="B299" s="1" t="n">
        <v>45820.56243055555</v>
      </c>
      <c r="C299" s="1" t="n">
        <v>46033</v>
      </c>
      <c r="D299" t="inlineStr">
        <is>
          <t>VÄSTMANLANDS LÄN</t>
        </is>
      </c>
      <c r="E299" t="inlineStr">
        <is>
          <t>SALA</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28849-2025</t>
        </is>
      </c>
      <c r="B300" s="1" t="n">
        <v>45820</v>
      </c>
      <c r="C300" s="1" t="n">
        <v>46033</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60249-2023</t>
        </is>
      </c>
      <c r="B301" s="1" t="n">
        <v>45258</v>
      </c>
      <c r="C301" s="1" t="n">
        <v>46033</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29085-2025</t>
        </is>
      </c>
      <c r="B302" s="1" t="n">
        <v>45821</v>
      </c>
      <c r="C302" s="1" t="n">
        <v>46033</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43122-2025</t>
        </is>
      </c>
      <c r="B303" s="1" t="n">
        <v>45909</v>
      </c>
      <c r="C303" s="1" t="n">
        <v>46033</v>
      </c>
      <c r="D303" t="inlineStr">
        <is>
          <t>VÄSTMANLANDS LÄN</t>
        </is>
      </c>
      <c r="E303" t="inlineStr">
        <is>
          <t>SALA</t>
        </is>
      </c>
      <c r="G303" t="n">
        <v>3.2</v>
      </c>
      <c r="H303" t="n">
        <v>0</v>
      </c>
      <c r="I303" t="n">
        <v>0</v>
      </c>
      <c r="J303" t="n">
        <v>0</v>
      </c>
      <c r="K303" t="n">
        <v>0</v>
      </c>
      <c r="L303" t="n">
        <v>0</v>
      </c>
      <c r="M303" t="n">
        <v>0</v>
      </c>
      <c r="N303" t="n">
        <v>0</v>
      </c>
      <c r="O303" t="n">
        <v>0</v>
      </c>
      <c r="P303" t="n">
        <v>0</v>
      </c>
      <c r="Q303" t="n">
        <v>0</v>
      </c>
      <c r="R303" s="2" t="inlineStr"/>
    </row>
    <row r="304" ht="15" customHeight="1">
      <c r="A304" t="inlineStr">
        <is>
          <t>A 29691-2025</t>
        </is>
      </c>
      <c r="B304" s="1" t="n">
        <v>45825.53645833334</v>
      </c>
      <c r="C304" s="1" t="n">
        <v>46033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60541-2024</t>
        </is>
      </c>
      <c r="B305" s="1" t="n">
        <v>45643</v>
      </c>
      <c r="C305" s="1" t="n">
        <v>46033</v>
      </c>
      <c r="D305" t="inlineStr">
        <is>
          <t>VÄSTMANLANDS LÄN</t>
        </is>
      </c>
      <c r="E305" t="inlineStr">
        <is>
          <t>SALA</t>
        </is>
      </c>
      <c r="G305" t="n">
        <v>10.6</v>
      </c>
      <c r="H305" t="n">
        <v>0</v>
      </c>
      <c r="I305" t="n">
        <v>0</v>
      </c>
      <c r="J305" t="n">
        <v>0</v>
      </c>
      <c r="K305" t="n">
        <v>0</v>
      </c>
      <c r="L305" t="n">
        <v>0</v>
      </c>
      <c r="M305" t="n">
        <v>0</v>
      </c>
      <c r="N305" t="n">
        <v>0</v>
      </c>
      <c r="O305" t="n">
        <v>0</v>
      </c>
      <c r="P305" t="n">
        <v>0</v>
      </c>
      <c r="Q305" t="n">
        <v>0</v>
      </c>
      <c r="R305" s="2" t="inlineStr"/>
    </row>
    <row r="306" ht="15" customHeight="1">
      <c r="A306" t="inlineStr">
        <is>
          <t>A 51804-2025</t>
        </is>
      </c>
      <c r="B306" s="1" t="n">
        <v>45951.77697916667</v>
      </c>
      <c r="C306" s="1" t="n">
        <v>46033</v>
      </c>
      <c r="D306" t="inlineStr">
        <is>
          <t>VÄSTMANLANDS LÄN</t>
        </is>
      </c>
      <c r="E306" t="inlineStr">
        <is>
          <t>SALA</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46033</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45371-2025</t>
        </is>
      </c>
      <c r="B308" s="1" t="n">
        <v>45922.39001157408</v>
      </c>
      <c r="C308" s="1" t="n">
        <v>46033</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31597-2024</t>
        </is>
      </c>
      <c r="B309" s="1" t="n">
        <v>45506</v>
      </c>
      <c r="C309" s="1" t="n">
        <v>46033</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31599-2024</t>
        </is>
      </c>
      <c r="B310" s="1" t="n">
        <v>45506</v>
      </c>
      <c r="C310" s="1" t="n">
        <v>46033</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31601-2024</t>
        </is>
      </c>
      <c r="B311" s="1" t="n">
        <v>45506</v>
      </c>
      <c r="C311" s="1" t="n">
        <v>46033</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31608-2024</t>
        </is>
      </c>
      <c r="B312" s="1" t="n">
        <v>45506</v>
      </c>
      <c r="C312" s="1" t="n">
        <v>46033</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31612-2024</t>
        </is>
      </c>
      <c r="B313" s="1" t="n">
        <v>45506</v>
      </c>
      <c r="C313" s="1" t="n">
        <v>46033</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29826-2025</t>
        </is>
      </c>
      <c r="B314" s="1" t="n">
        <v>45825.85761574074</v>
      </c>
      <c r="C314" s="1" t="n">
        <v>46033</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52500-2024</t>
        </is>
      </c>
      <c r="B315" s="1" t="n">
        <v>45609</v>
      </c>
      <c r="C315" s="1" t="n">
        <v>46033</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51803-2025</t>
        </is>
      </c>
      <c r="B316" s="1" t="n">
        <v>45951.76818287037</v>
      </c>
      <c r="C316" s="1" t="n">
        <v>46033</v>
      </c>
      <c r="D316" t="inlineStr">
        <is>
          <t>VÄSTMANLANDS LÄN</t>
        </is>
      </c>
      <c r="E316" t="inlineStr">
        <is>
          <t>SALA</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51805-2025</t>
        </is>
      </c>
      <c r="B317" s="1" t="n">
        <v>45951.78359953704</v>
      </c>
      <c r="C317" s="1" t="n">
        <v>46033</v>
      </c>
      <c r="D317" t="inlineStr">
        <is>
          <t>VÄSTMANLANDS LÄN</t>
        </is>
      </c>
      <c r="E317" t="inlineStr">
        <is>
          <t>SALA</t>
        </is>
      </c>
      <c r="F317" t="inlineStr">
        <is>
          <t>Kommuner</t>
        </is>
      </c>
      <c r="G317" t="n">
        <v>1.3</v>
      </c>
      <c r="H317" t="n">
        <v>0</v>
      </c>
      <c r="I317" t="n">
        <v>0</v>
      </c>
      <c r="J317" t="n">
        <v>0</v>
      </c>
      <c r="K317" t="n">
        <v>0</v>
      </c>
      <c r="L317" t="n">
        <v>0</v>
      </c>
      <c r="M317" t="n">
        <v>0</v>
      </c>
      <c r="N317" t="n">
        <v>0</v>
      </c>
      <c r="O317" t="n">
        <v>0</v>
      </c>
      <c r="P317" t="n">
        <v>0</v>
      </c>
      <c r="Q317" t="n">
        <v>0</v>
      </c>
      <c r="R317" s="2" t="inlineStr"/>
    </row>
    <row r="318" ht="15" customHeight="1">
      <c r="A318" t="inlineStr">
        <is>
          <t>A 45914-2025</t>
        </is>
      </c>
      <c r="B318" s="1" t="n">
        <v>45923.82582175926</v>
      </c>
      <c r="C318" s="1" t="n">
        <v>46033</v>
      </c>
      <c r="D318" t="inlineStr">
        <is>
          <t>VÄSTMANLANDS LÄN</t>
        </is>
      </c>
      <c r="E318" t="inlineStr">
        <is>
          <t>SALA</t>
        </is>
      </c>
      <c r="F318" t="inlineStr">
        <is>
          <t>Kommuner</t>
        </is>
      </c>
      <c r="G318" t="n">
        <v>18.2</v>
      </c>
      <c r="H318" t="n">
        <v>0</v>
      </c>
      <c r="I318" t="n">
        <v>0</v>
      </c>
      <c r="J318" t="n">
        <v>0</v>
      </c>
      <c r="K318" t="n">
        <v>0</v>
      </c>
      <c r="L318" t="n">
        <v>0</v>
      </c>
      <c r="M318" t="n">
        <v>0</v>
      </c>
      <c r="N318" t="n">
        <v>0</v>
      </c>
      <c r="O318" t="n">
        <v>0</v>
      </c>
      <c r="P318" t="n">
        <v>0</v>
      </c>
      <c r="Q318" t="n">
        <v>0</v>
      </c>
      <c r="R318" s="2" t="inlineStr"/>
    </row>
    <row r="319" ht="15" customHeight="1">
      <c r="A319" t="inlineStr">
        <is>
          <t>A 51809-2025</t>
        </is>
      </c>
      <c r="B319" s="1" t="n">
        <v>45951.80116898148</v>
      </c>
      <c r="C319" s="1" t="n">
        <v>46033</v>
      </c>
      <c r="D319" t="inlineStr">
        <is>
          <t>VÄSTMANLANDS LÄN</t>
        </is>
      </c>
      <c r="E319" t="inlineStr">
        <is>
          <t>SALA</t>
        </is>
      </c>
      <c r="F319" t="inlineStr">
        <is>
          <t>Kommuner</t>
        </is>
      </c>
      <c r="G319" t="n">
        <v>3.5</v>
      </c>
      <c r="H319" t="n">
        <v>0</v>
      </c>
      <c r="I319" t="n">
        <v>0</v>
      </c>
      <c r="J319" t="n">
        <v>0</v>
      </c>
      <c r="K319" t="n">
        <v>0</v>
      </c>
      <c r="L319" t="n">
        <v>0</v>
      </c>
      <c r="M319" t="n">
        <v>0</v>
      </c>
      <c r="N319" t="n">
        <v>0</v>
      </c>
      <c r="O319" t="n">
        <v>0</v>
      </c>
      <c r="P319" t="n">
        <v>0</v>
      </c>
      <c r="Q319" t="n">
        <v>0</v>
      </c>
      <c r="R319" s="2" t="inlineStr"/>
    </row>
    <row r="320" ht="15" customHeight="1">
      <c r="A320" t="inlineStr">
        <is>
          <t>A 56949-2023</t>
        </is>
      </c>
      <c r="B320" s="1" t="n">
        <v>45244.61589120371</v>
      </c>
      <c r="C320" s="1" t="n">
        <v>46033</v>
      </c>
      <c r="D320" t="inlineStr">
        <is>
          <t>VÄSTMANLANDS LÄN</t>
        </is>
      </c>
      <c r="E320" t="inlineStr">
        <is>
          <t>SALA</t>
        </is>
      </c>
      <c r="G320" t="n">
        <v>4.7</v>
      </c>
      <c r="H320" t="n">
        <v>0</v>
      </c>
      <c r="I320" t="n">
        <v>0</v>
      </c>
      <c r="J320" t="n">
        <v>0</v>
      </c>
      <c r="K320" t="n">
        <v>0</v>
      </c>
      <c r="L320" t="n">
        <v>0</v>
      </c>
      <c r="M320" t="n">
        <v>0</v>
      </c>
      <c r="N320" t="n">
        <v>0</v>
      </c>
      <c r="O320" t="n">
        <v>0</v>
      </c>
      <c r="P320" t="n">
        <v>0</v>
      </c>
      <c r="Q320" t="n">
        <v>0</v>
      </c>
      <c r="R320" s="2" t="inlineStr"/>
    </row>
    <row r="321" ht="15" customHeight="1">
      <c r="A321" t="inlineStr">
        <is>
          <t>A 60258-2025</t>
        </is>
      </c>
      <c r="B321" s="1" t="n">
        <v>45994.6064699074</v>
      </c>
      <c r="C321" s="1" t="n">
        <v>46033</v>
      </c>
      <c r="D321" t="inlineStr">
        <is>
          <t>VÄSTMANLANDS LÄN</t>
        </is>
      </c>
      <c r="E321" t="inlineStr">
        <is>
          <t>SALA</t>
        </is>
      </c>
      <c r="G321" t="n">
        <v>2.2</v>
      </c>
      <c r="H321" t="n">
        <v>0</v>
      </c>
      <c r="I321" t="n">
        <v>0</v>
      </c>
      <c r="J321" t="n">
        <v>0</v>
      </c>
      <c r="K321" t="n">
        <v>0</v>
      </c>
      <c r="L321" t="n">
        <v>0</v>
      </c>
      <c r="M321" t="n">
        <v>0</v>
      </c>
      <c r="N321" t="n">
        <v>0</v>
      </c>
      <c r="O321" t="n">
        <v>0</v>
      </c>
      <c r="P321" t="n">
        <v>0</v>
      </c>
      <c r="Q321" t="n">
        <v>0</v>
      </c>
      <c r="R321" s="2" t="inlineStr"/>
    </row>
    <row r="322" ht="15" customHeight="1">
      <c r="A322" t="inlineStr">
        <is>
          <t>A 60259-2025</t>
        </is>
      </c>
      <c r="B322" s="1" t="n">
        <v>45994.60913194445</v>
      </c>
      <c r="C322" s="1" t="n">
        <v>46033</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45909-2025</t>
        </is>
      </c>
      <c r="B323" s="1" t="n">
        <v>45923.75078703704</v>
      </c>
      <c r="C323" s="1" t="n">
        <v>46033</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96-2024</t>
        </is>
      </c>
      <c r="B324" s="1" t="n">
        <v>45293.85872685185</v>
      </c>
      <c r="C324" s="1" t="n">
        <v>46033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46915-2025</t>
        </is>
      </c>
      <c r="B325" s="1" t="n">
        <v>45929.42114583333</v>
      </c>
      <c r="C325" s="1" t="n">
        <v>46033</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46033</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46033</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30866-2025</t>
        </is>
      </c>
      <c r="B328" s="1" t="n">
        <v>45832.3246875</v>
      </c>
      <c r="C328" s="1" t="n">
        <v>46033</v>
      </c>
      <c r="D328" t="inlineStr">
        <is>
          <t>VÄSTMANLANDS LÄN</t>
        </is>
      </c>
      <c r="E328" t="inlineStr">
        <is>
          <t>SALA</t>
        </is>
      </c>
      <c r="G328" t="n">
        <v>14.3</v>
      </c>
      <c r="H328" t="n">
        <v>0</v>
      </c>
      <c r="I328" t="n">
        <v>0</v>
      </c>
      <c r="J328" t="n">
        <v>0</v>
      </c>
      <c r="K328" t="n">
        <v>0</v>
      </c>
      <c r="L328" t="n">
        <v>0</v>
      </c>
      <c r="M328" t="n">
        <v>0</v>
      </c>
      <c r="N328" t="n">
        <v>0</v>
      </c>
      <c r="O328" t="n">
        <v>0</v>
      </c>
      <c r="P328" t="n">
        <v>0</v>
      </c>
      <c r="Q328" t="n">
        <v>0</v>
      </c>
      <c r="R328" s="2" t="inlineStr"/>
    </row>
    <row r="329" ht="15" customHeight="1">
      <c r="A329" t="inlineStr">
        <is>
          <t>A 30874-2025</t>
        </is>
      </c>
      <c r="B329" s="1" t="n">
        <v>45832.34430555555</v>
      </c>
      <c r="C329" s="1" t="n">
        <v>46033</v>
      </c>
      <c r="D329" t="inlineStr">
        <is>
          <t>VÄSTMANLANDS LÄN</t>
        </is>
      </c>
      <c r="E329" t="inlineStr">
        <is>
          <t>SALA</t>
        </is>
      </c>
      <c r="G329" t="n">
        <v>8.4</v>
      </c>
      <c r="H329" t="n">
        <v>0</v>
      </c>
      <c r="I329" t="n">
        <v>0</v>
      </c>
      <c r="J329" t="n">
        <v>0</v>
      </c>
      <c r="K329" t="n">
        <v>0</v>
      </c>
      <c r="L329" t="n">
        <v>0</v>
      </c>
      <c r="M329" t="n">
        <v>0</v>
      </c>
      <c r="N329" t="n">
        <v>0</v>
      </c>
      <c r="O329" t="n">
        <v>0</v>
      </c>
      <c r="P329" t="n">
        <v>0</v>
      </c>
      <c r="Q329" t="n">
        <v>0</v>
      </c>
      <c r="R329" s="2" t="inlineStr"/>
    </row>
    <row r="330" ht="15" customHeight="1">
      <c r="A330" t="inlineStr">
        <is>
          <t>A 46597-2025</t>
        </is>
      </c>
      <c r="B330" s="1" t="n">
        <v>45926.40113425926</v>
      </c>
      <c r="C330" s="1" t="n">
        <v>46033</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31573-2025</t>
        </is>
      </c>
      <c r="B331" s="1" t="n">
        <v>45833</v>
      </c>
      <c r="C331" s="1" t="n">
        <v>46033</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31288-2025</t>
        </is>
      </c>
      <c r="B332" s="1" t="n">
        <v>45833</v>
      </c>
      <c r="C332" s="1" t="n">
        <v>46033</v>
      </c>
      <c r="D332" t="inlineStr">
        <is>
          <t>VÄSTMANLANDS LÄN</t>
        </is>
      </c>
      <c r="E332" t="inlineStr">
        <is>
          <t>SALA</t>
        </is>
      </c>
      <c r="G332" t="n">
        <v>3.1</v>
      </c>
      <c r="H332" t="n">
        <v>0</v>
      </c>
      <c r="I332" t="n">
        <v>0</v>
      </c>
      <c r="J332" t="n">
        <v>0</v>
      </c>
      <c r="K332" t="n">
        <v>0</v>
      </c>
      <c r="L332" t="n">
        <v>0</v>
      </c>
      <c r="M332" t="n">
        <v>0</v>
      </c>
      <c r="N332" t="n">
        <v>0</v>
      </c>
      <c r="O332" t="n">
        <v>0</v>
      </c>
      <c r="P332" t="n">
        <v>0</v>
      </c>
      <c r="Q332" t="n">
        <v>0</v>
      </c>
      <c r="R332" s="2" t="inlineStr"/>
    </row>
    <row r="333" ht="15" customHeight="1">
      <c r="A333" t="inlineStr">
        <is>
          <t>A 31554-2025</t>
        </is>
      </c>
      <c r="B333" s="1" t="n">
        <v>45833</v>
      </c>
      <c r="C333" s="1" t="n">
        <v>46033</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30899-2025</t>
        </is>
      </c>
      <c r="B334" s="1" t="n">
        <v>45832.35767361111</v>
      </c>
      <c r="C334" s="1" t="n">
        <v>46033</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34814-2021</t>
        </is>
      </c>
      <c r="B335" s="1" t="n">
        <v>44383</v>
      </c>
      <c r="C335" s="1" t="n">
        <v>46033</v>
      </c>
      <c r="D335" t="inlineStr">
        <is>
          <t>VÄSTMANLANDS LÄN</t>
        </is>
      </c>
      <c r="E335" t="inlineStr">
        <is>
          <t>SALA</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25748-2022</t>
        </is>
      </c>
      <c r="B336" s="1" t="n">
        <v>44732</v>
      </c>
      <c r="C336" s="1" t="n">
        <v>46033</v>
      </c>
      <c r="D336" t="inlineStr">
        <is>
          <t>VÄSTMANLANDS LÄN</t>
        </is>
      </c>
      <c r="E336" t="inlineStr">
        <is>
          <t>SALA</t>
        </is>
      </c>
      <c r="G336" t="n">
        <v>7.7</v>
      </c>
      <c r="H336" t="n">
        <v>0</v>
      </c>
      <c r="I336" t="n">
        <v>0</v>
      </c>
      <c r="J336" t="n">
        <v>0</v>
      </c>
      <c r="K336" t="n">
        <v>0</v>
      </c>
      <c r="L336" t="n">
        <v>0</v>
      </c>
      <c r="M336" t="n">
        <v>0</v>
      </c>
      <c r="N336" t="n">
        <v>0</v>
      </c>
      <c r="O336" t="n">
        <v>0</v>
      </c>
      <c r="P336" t="n">
        <v>0</v>
      </c>
      <c r="Q336" t="n">
        <v>0</v>
      </c>
      <c r="R336" s="2" t="inlineStr"/>
    </row>
    <row r="337" ht="15" customHeight="1">
      <c r="A337" t="inlineStr">
        <is>
          <t>A 60246-2025</t>
        </is>
      </c>
      <c r="B337" s="1" t="n">
        <v>45994.58931712963</v>
      </c>
      <c r="C337" s="1" t="n">
        <v>46033</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60254-2025</t>
        </is>
      </c>
      <c r="B338" s="1" t="n">
        <v>45994.60146990741</v>
      </c>
      <c r="C338" s="1" t="n">
        <v>46033</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31065-2025</t>
        </is>
      </c>
      <c r="B339" s="1" t="n">
        <v>45832.57571759259</v>
      </c>
      <c r="C339" s="1" t="n">
        <v>46033</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3733-2023</t>
        </is>
      </c>
      <c r="B340" s="1" t="n">
        <v>44951.42501157407</v>
      </c>
      <c r="C340" s="1" t="n">
        <v>46033</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6136-2025</t>
        </is>
      </c>
      <c r="B341" s="1" t="n">
        <v>45698.37601851852</v>
      </c>
      <c r="C341" s="1" t="n">
        <v>46033</v>
      </c>
      <c r="D341" t="inlineStr">
        <is>
          <t>VÄSTMANLANDS LÄN</t>
        </is>
      </c>
      <c r="E341" t="inlineStr">
        <is>
          <t>SALA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6190-2025</t>
        </is>
      </c>
      <c r="B342" s="1" t="n">
        <v>45698</v>
      </c>
      <c r="C342" s="1" t="n">
        <v>46033</v>
      </c>
      <c r="D342" t="inlineStr">
        <is>
          <t>VÄSTMANLANDS LÄN</t>
        </is>
      </c>
      <c r="E342" t="inlineStr">
        <is>
          <t>SALA</t>
        </is>
      </c>
      <c r="F342" t="inlineStr">
        <is>
          <t>Bergvik skog öst AB</t>
        </is>
      </c>
      <c r="G342" t="n">
        <v>4.6</v>
      </c>
      <c r="H342" t="n">
        <v>0</v>
      </c>
      <c r="I342" t="n">
        <v>0</v>
      </c>
      <c r="J342" t="n">
        <v>0</v>
      </c>
      <c r="K342" t="n">
        <v>0</v>
      </c>
      <c r="L342" t="n">
        <v>0</v>
      </c>
      <c r="M342" t="n">
        <v>0</v>
      </c>
      <c r="N342" t="n">
        <v>0</v>
      </c>
      <c r="O342" t="n">
        <v>0</v>
      </c>
      <c r="P342" t="n">
        <v>0</v>
      </c>
      <c r="Q342" t="n">
        <v>0</v>
      </c>
      <c r="R342" s="2" t="inlineStr"/>
    </row>
    <row r="343" ht="15" customHeight="1">
      <c r="A343" t="inlineStr">
        <is>
          <t>A 60241-2025</t>
        </is>
      </c>
      <c r="B343" s="1" t="n">
        <v>45994.58454861111</v>
      </c>
      <c r="C343" s="1" t="n">
        <v>46033</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47577-2025</t>
        </is>
      </c>
      <c r="B344" s="1" t="n">
        <v>45931.4047337963</v>
      </c>
      <c r="C344" s="1" t="n">
        <v>46033</v>
      </c>
      <c r="D344" t="inlineStr">
        <is>
          <t>VÄSTMANLANDS LÄN</t>
        </is>
      </c>
      <c r="E344" t="inlineStr">
        <is>
          <t>SALA</t>
        </is>
      </c>
      <c r="G344" t="n">
        <v>3.7</v>
      </c>
      <c r="H344" t="n">
        <v>0</v>
      </c>
      <c r="I344" t="n">
        <v>0</v>
      </c>
      <c r="J344" t="n">
        <v>0</v>
      </c>
      <c r="K344" t="n">
        <v>0</v>
      </c>
      <c r="L344" t="n">
        <v>0</v>
      </c>
      <c r="M344" t="n">
        <v>0</v>
      </c>
      <c r="N344" t="n">
        <v>0</v>
      </c>
      <c r="O344" t="n">
        <v>0</v>
      </c>
      <c r="P344" t="n">
        <v>0</v>
      </c>
      <c r="Q344" t="n">
        <v>0</v>
      </c>
      <c r="R344" s="2" t="inlineStr"/>
    </row>
    <row r="345" ht="15" customHeight="1">
      <c r="A345" t="inlineStr">
        <is>
          <t>A 16760-2024</t>
        </is>
      </c>
      <c r="B345" s="1" t="n">
        <v>45411</v>
      </c>
      <c r="C345" s="1" t="n">
        <v>46033</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31296-2025</t>
        </is>
      </c>
      <c r="B346" s="1" t="n">
        <v>45833.36765046296</v>
      </c>
      <c r="C346" s="1" t="n">
        <v>46033</v>
      </c>
      <c r="D346" t="inlineStr">
        <is>
          <t>VÄSTMANLANDS LÄN</t>
        </is>
      </c>
      <c r="E346" t="inlineStr">
        <is>
          <t>SALA</t>
        </is>
      </c>
      <c r="G346" t="n">
        <v>3.7</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46033</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31748-2025</t>
        </is>
      </c>
      <c r="B348" s="1" t="n">
        <v>45834</v>
      </c>
      <c r="C348" s="1" t="n">
        <v>46033</v>
      </c>
      <c r="D348" t="inlineStr">
        <is>
          <t>VÄSTMANLANDS LÄN</t>
        </is>
      </c>
      <c r="E348" t="inlineStr">
        <is>
          <t>SALA</t>
        </is>
      </c>
      <c r="G348" t="n">
        <v>2</v>
      </c>
      <c r="H348" t="n">
        <v>0</v>
      </c>
      <c r="I348" t="n">
        <v>0</v>
      </c>
      <c r="J348" t="n">
        <v>0</v>
      </c>
      <c r="K348" t="n">
        <v>0</v>
      </c>
      <c r="L348" t="n">
        <v>0</v>
      </c>
      <c r="M348" t="n">
        <v>0</v>
      </c>
      <c r="N348" t="n">
        <v>0</v>
      </c>
      <c r="O348" t="n">
        <v>0</v>
      </c>
      <c r="P348" t="n">
        <v>0</v>
      </c>
      <c r="Q348" t="n">
        <v>0</v>
      </c>
      <c r="R348" s="2" t="inlineStr"/>
    </row>
    <row r="349" ht="15" customHeight="1">
      <c r="A349" t="inlineStr">
        <is>
          <t>A 32210-2025</t>
        </is>
      </c>
      <c r="B349" s="1" t="n">
        <v>45835</v>
      </c>
      <c r="C349" s="1" t="n">
        <v>46033</v>
      </c>
      <c r="D349" t="inlineStr">
        <is>
          <t>VÄSTMANLANDS LÄN</t>
        </is>
      </c>
      <c r="E349" t="inlineStr">
        <is>
          <t>SALA</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6127-2025</t>
        </is>
      </c>
      <c r="B350" s="1" t="n">
        <v>45698</v>
      </c>
      <c r="C350" s="1" t="n">
        <v>46033</v>
      </c>
      <c r="D350" t="inlineStr">
        <is>
          <t>VÄSTMANLANDS LÄN</t>
        </is>
      </c>
      <c r="E350" t="inlineStr">
        <is>
          <t>SALA</t>
        </is>
      </c>
      <c r="F350" t="inlineStr">
        <is>
          <t>Bergvik skog öst AB</t>
        </is>
      </c>
      <c r="G350" t="n">
        <v>4.3</v>
      </c>
      <c r="H350" t="n">
        <v>0</v>
      </c>
      <c r="I350" t="n">
        <v>0</v>
      </c>
      <c r="J350" t="n">
        <v>0</v>
      </c>
      <c r="K350" t="n">
        <v>0</v>
      </c>
      <c r="L350" t="n">
        <v>0</v>
      </c>
      <c r="M350" t="n">
        <v>0</v>
      </c>
      <c r="N350" t="n">
        <v>0</v>
      </c>
      <c r="O350" t="n">
        <v>0</v>
      </c>
      <c r="P350" t="n">
        <v>0</v>
      </c>
      <c r="Q350" t="n">
        <v>0</v>
      </c>
      <c r="R350" s="2" t="inlineStr"/>
    </row>
    <row r="351" ht="15" customHeight="1">
      <c r="A351" t="inlineStr">
        <is>
          <t>A 31610-2025</t>
        </is>
      </c>
      <c r="B351" s="1" t="n">
        <v>45833.78650462963</v>
      </c>
      <c r="C351" s="1" t="n">
        <v>46033</v>
      </c>
      <c r="D351" t="inlineStr">
        <is>
          <t>VÄSTMANLANDS LÄN</t>
        </is>
      </c>
      <c r="E351" t="inlineStr">
        <is>
          <t>SALA</t>
        </is>
      </c>
      <c r="G351" t="n">
        <v>8</v>
      </c>
      <c r="H351" t="n">
        <v>0</v>
      </c>
      <c r="I351" t="n">
        <v>0</v>
      </c>
      <c r="J351" t="n">
        <v>0</v>
      </c>
      <c r="K351" t="n">
        <v>0</v>
      </c>
      <c r="L351" t="n">
        <v>0</v>
      </c>
      <c r="M351" t="n">
        <v>0</v>
      </c>
      <c r="N351" t="n">
        <v>0</v>
      </c>
      <c r="O351" t="n">
        <v>0</v>
      </c>
      <c r="P351" t="n">
        <v>0</v>
      </c>
      <c r="Q351" t="n">
        <v>0</v>
      </c>
      <c r="R351" s="2" t="inlineStr"/>
    </row>
    <row r="352" ht="15" customHeight="1">
      <c r="A352" t="inlineStr">
        <is>
          <t>A 32201-2025</t>
        </is>
      </c>
      <c r="B352" s="1" t="n">
        <v>45835</v>
      </c>
      <c r="C352" s="1" t="n">
        <v>46033</v>
      </c>
      <c r="D352" t="inlineStr">
        <is>
          <t>VÄSTMANLANDS LÄN</t>
        </is>
      </c>
      <c r="E352" t="inlineStr">
        <is>
          <t>SALA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31612-2025</t>
        </is>
      </c>
      <c r="B353" s="1" t="n">
        <v>45833.80056712963</v>
      </c>
      <c r="C353" s="1" t="n">
        <v>46033</v>
      </c>
      <c r="D353" t="inlineStr">
        <is>
          <t>VÄSTMANLANDS LÄN</t>
        </is>
      </c>
      <c r="E353" t="inlineStr">
        <is>
          <t>SALA</t>
        </is>
      </c>
      <c r="G353" t="n">
        <v>6.3</v>
      </c>
      <c r="H353" t="n">
        <v>0</v>
      </c>
      <c r="I353" t="n">
        <v>0</v>
      </c>
      <c r="J353" t="n">
        <v>0</v>
      </c>
      <c r="K353" t="n">
        <v>0</v>
      </c>
      <c r="L353" t="n">
        <v>0</v>
      </c>
      <c r="M353" t="n">
        <v>0</v>
      </c>
      <c r="N353" t="n">
        <v>0</v>
      </c>
      <c r="O353" t="n">
        <v>0</v>
      </c>
      <c r="P353" t="n">
        <v>0</v>
      </c>
      <c r="Q353" t="n">
        <v>0</v>
      </c>
      <c r="R353" s="2" t="inlineStr"/>
    </row>
    <row r="354" ht="15" customHeight="1">
      <c r="A354" t="inlineStr">
        <is>
          <t>A 32207-2025</t>
        </is>
      </c>
      <c r="B354" s="1" t="n">
        <v>45835</v>
      </c>
      <c r="C354" s="1" t="n">
        <v>46033</v>
      </c>
      <c r="D354" t="inlineStr">
        <is>
          <t>VÄSTMANLANDS LÄN</t>
        </is>
      </c>
      <c r="E354" t="inlineStr">
        <is>
          <t>SALA</t>
        </is>
      </c>
      <c r="F354" t="inlineStr">
        <is>
          <t>Bergvik skog öst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31762-2025</t>
        </is>
      </c>
      <c r="B355" s="1" t="n">
        <v>45834.49288194445</v>
      </c>
      <c r="C355" s="1" t="n">
        <v>46033</v>
      </c>
      <c r="D355" t="inlineStr">
        <is>
          <t>VÄSTMANLANDS LÄN</t>
        </is>
      </c>
      <c r="E355" t="inlineStr">
        <is>
          <t>SALA</t>
        </is>
      </c>
      <c r="G355" t="n">
        <v>5.9</v>
      </c>
      <c r="H355" t="n">
        <v>0</v>
      </c>
      <c r="I355" t="n">
        <v>0</v>
      </c>
      <c r="J355" t="n">
        <v>0</v>
      </c>
      <c r="K355" t="n">
        <v>0</v>
      </c>
      <c r="L355" t="n">
        <v>0</v>
      </c>
      <c r="M355" t="n">
        <v>0</v>
      </c>
      <c r="N355" t="n">
        <v>0</v>
      </c>
      <c r="O355" t="n">
        <v>0</v>
      </c>
      <c r="P355" t="n">
        <v>0</v>
      </c>
      <c r="Q355" t="n">
        <v>0</v>
      </c>
      <c r="R355" s="2" t="inlineStr"/>
    </row>
    <row r="356" ht="15" customHeight="1">
      <c r="A356" t="inlineStr">
        <is>
          <t>A 31771-2025</t>
        </is>
      </c>
      <c r="B356" s="1" t="n">
        <v>45834.50910879629</v>
      </c>
      <c r="C356" s="1" t="n">
        <v>46033</v>
      </c>
      <c r="D356" t="inlineStr">
        <is>
          <t>VÄSTMANLANDS LÄN</t>
        </is>
      </c>
      <c r="E356" t="inlineStr">
        <is>
          <t>SALA</t>
        </is>
      </c>
      <c r="G356" t="n">
        <v>5.1</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46033</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988-2025</t>
        </is>
      </c>
      <c r="B358" s="1" t="n">
        <v>45666.44038194444</v>
      </c>
      <c r="C358" s="1" t="n">
        <v>46033</v>
      </c>
      <c r="D358" t="inlineStr">
        <is>
          <t>VÄSTMANLANDS LÄN</t>
        </is>
      </c>
      <c r="E358" t="inlineStr">
        <is>
          <t>SALA</t>
        </is>
      </c>
      <c r="G358" t="n">
        <v>1.3</v>
      </c>
      <c r="H358" t="n">
        <v>0</v>
      </c>
      <c r="I358" t="n">
        <v>0</v>
      </c>
      <c r="J358" t="n">
        <v>0</v>
      </c>
      <c r="K358" t="n">
        <v>0</v>
      </c>
      <c r="L358" t="n">
        <v>0</v>
      </c>
      <c r="M358" t="n">
        <v>0</v>
      </c>
      <c r="N358" t="n">
        <v>0</v>
      </c>
      <c r="O358" t="n">
        <v>0</v>
      </c>
      <c r="P358" t="n">
        <v>0</v>
      </c>
      <c r="Q358" t="n">
        <v>0</v>
      </c>
      <c r="R358" s="2" t="inlineStr"/>
    </row>
    <row r="359" ht="15" customHeight="1">
      <c r="A359" t="inlineStr">
        <is>
          <t>A 32286-2025</t>
        </is>
      </c>
      <c r="B359" s="1" t="n">
        <v>45835</v>
      </c>
      <c r="C359" s="1" t="n">
        <v>46033</v>
      </c>
      <c r="D359" t="inlineStr">
        <is>
          <t>VÄSTMANLANDS LÄN</t>
        </is>
      </c>
      <c r="E359" t="inlineStr">
        <is>
          <t>SALA</t>
        </is>
      </c>
      <c r="G359" t="n">
        <v>6.4</v>
      </c>
      <c r="H359" t="n">
        <v>0</v>
      </c>
      <c r="I359" t="n">
        <v>0</v>
      </c>
      <c r="J359" t="n">
        <v>0</v>
      </c>
      <c r="K359" t="n">
        <v>0</v>
      </c>
      <c r="L359" t="n">
        <v>0</v>
      </c>
      <c r="M359" t="n">
        <v>0</v>
      </c>
      <c r="N359" t="n">
        <v>0</v>
      </c>
      <c r="O359" t="n">
        <v>0</v>
      </c>
      <c r="P359" t="n">
        <v>0</v>
      </c>
      <c r="Q359" t="n">
        <v>0</v>
      </c>
      <c r="R359" s="2" t="inlineStr"/>
    </row>
    <row r="360" ht="15" customHeight="1">
      <c r="A360" t="inlineStr">
        <is>
          <t>A 60328-2024</t>
        </is>
      </c>
      <c r="B360" s="1" t="n">
        <v>45643.38416666666</v>
      </c>
      <c r="C360" s="1" t="n">
        <v>46033</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60629-2025</t>
        </is>
      </c>
      <c r="B361" s="1" t="n">
        <v>45996.41972222222</v>
      </c>
      <c r="C361" s="1" t="n">
        <v>46033</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48057-2025</t>
        </is>
      </c>
      <c r="B362" s="1" t="n">
        <v>45932.67947916667</v>
      </c>
      <c r="C362" s="1" t="n">
        <v>46033</v>
      </c>
      <c r="D362" t="inlineStr">
        <is>
          <t>VÄSTMANLANDS LÄN</t>
        </is>
      </c>
      <c r="E362" t="inlineStr">
        <is>
          <t>SALA</t>
        </is>
      </c>
      <c r="G362" t="n">
        <v>4.3</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46033</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46033</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46033</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32902-2025</t>
        </is>
      </c>
      <c r="B366" s="1" t="n">
        <v>45839</v>
      </c>
      <c r="C366" s="1" t="n">
        <v>46033</v>
      </c>
      <c r="D366" t="inlineStr">
        <is>
          <t>VÄSTMANLANDS LÄN</t>
        </is>
      </c>
      <c r="E366" t="inlineStr">
        <is>
          <t>SALA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57371-2022</t>
        </is>
      </c>
      <c r="B367" s="1" t="n">
        <v>44896.43832175926</v>
      </c>
      <c r="C367" s="1" t="n">
        <v>46033</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22019-2021</t>
        </is>
      </c>
      <c r="B368" s="1" t="n">
        <v>44323</v>
      </c>
      <c r="C368" s="1" t="n">
        <v>46033</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48710-2025</t>
        </is>
      </c>
      <c r="B369" s="1" t="n">
        <v>45936.63184027778</v>
      </c>
      <c r="C369" s="1" t="n">
        <v>46033</v>
      </c>
      <c r="D369" t="inlineStr">
        <is>
          <t>VÄSTMANLANDS LÄN</t>
        </is>
      </c>
      <c r="E369" t="inlineStr">
        <is>
          <t>SALA</t>
        </is>
      </c>
      <c r="G369" t="n">
        <v>2.7</v>
      </c>
      <c r="H369" t="n">
        <v>0</v>
      </c>
      <c r="I369" t="n">
        <v>0</v>
      </c>
      <c r="J369" t="n">
        <v>0</v>
      </c>
      <c r="K369" t="n">
        <v>0</v>
      </c>
      <c r="L369" t="n">
        <v>0</v>
      </c>
      <c r="M369" t="n">
        <v>0</v>
      </c>
      <c r="N369" t="n">
        <v>0</v>
      </c>
      <c r="O369" t="n">
        <v>0</v>
      </c>
      <c r="P369" t="n">
        <v>0</v>
      </c>
      <c r="Q369" t="n">
        <v>0</v>
      </c>
      <c r="R369" s="2" t="inlineStr"/>
    </row>
    <row r="370" ht="15" customHeight="1">
      <c r="A370" t="inlineStr">
        <is>
          <t>A 55784-2024</t>
        </is>
      </c>
      <c r="B370" s="1" t="n">
        <v>45623</v>
      </c>
      <c r="C370" s="1" t="n">
        <v>46033</v>
      </c>
      <c r="D370" t="inlineStr">
        <is>
          <t>VÄSTMANLANDS LÄN</t>
        </is>
      </c>
      <c r="E370" t="inlineStr">
        <is>
          <t>SALA</t>
        </is>
      </c>
      <c r="F370" t="inlineStr">
        <is>
          <t>Bergvik skog öst AB</t>
        </is>
      </c>
      <c r="G370" t="n">
        <v>28.4</v>
      </c>
      <c r="H370" t="n">
        <v>0</v>
      </c>
      <c r="I370" t="n">
        <v>0</v>
      </c>
      <c r="J370" t="n">
        <v>0</v>
      </c>
      <c r="K370" t="n">
        <v>0</v>
      </c>
      <c r="L370" t="n">
        <v>0</v>
      </c>
      <c r="M370" t="n">
        <v>0</v>
      </c>
      <c r="N370" t="n">
        <v>0</v>
      </c>
      <c r="O370" t="n">
        <v>0</v>
      </c>
      <c r="P370" t="n">
        <v>0</v>
      </c>
      <c r="Q370" t="n">
        <v>0</v>
      </c>
      <c r="R370" s="2" t="inlineStr"/>
    </row>
    <row r="371" ht="15" customHeight="1">
      <c r="A371" t="inlineStr">
        <is>
          <t>A 16651-2021</t>
        </is>
      </c>
      <c r="B371" s="1" t="n">
        <v>44294.50096064815</v>
      </c>
      <c r="C371" s="1" t="n">
        <v>46033</v>
      </c>
      <c r="D371" t="inlineStr">
        <is>
          <t>VÄSTMANLANDS LÄN</t>
        </is>
      </c>
      <c r="E371" t="inlineStr">
        <is>
          <t>SALA</t>
        </is>
      </c>
      <c r="G371" t="n">
        <v>7.7</v>
      </c>
      <c r="H371" t="n">
        <v>0</v>
      </c>
      <c r="I371" t="n">
        <v>0</v>
      </c>
      <c r="J371" t="n">
        <v>0</v>
      </c>
      <c r="K371" t="n">
        <v>0</v>
      </c>
      <c r="L371" t="n">
        <v>0</v>
      </c>
      <c r="M371" t="n">
        <v>0</v>
      </c>
      <c r="N371" t="n">
        <v>0</v>
      </c>
      <c r="O371" t="n">
        <v>0</v>
      </c>
      <c r="P371" t="n">
        <v>0</v>
      </c>
      <c r="Q371" t="n">
        <v>0</v>
      </c>
      <c r="R371" s="2" t="inlineStr"/>
    </row>
    <row r="372" ht="15" customHeight="1">
      <c r="A372" t="inlineStr">
        <is>
          <t>A 48910-2025</t>
        </is>
      </c>
      <c r="B372" s="1" t="n">
        <v>45937.48649305556</v>
      </c>
      <c r="C372" s="1" t="n">
        <v>46033</v>
      </c>
      <c r="D372" t="inlineStr">
        <is>
          <t>VÄSTMANLANDS LÄN</t>
        </is>
      </c>
      <c r="E372" t="inlineStr">
        <is>
          <t>SALA</t>
        </is>
      </c>
      <c r="G372" t="n">
        <v>7.8</v>
      </c>
      <c r="H372" t="n">
        <v>0</v>
      </c>
      <c r="I372" t="n">
        <v>0</v>
      </c>
      <c r="J372" t="n">
        <v>0</v>
      </c>
      <c r="K372" t="n">
        <v>0</v>
      </c>
      <c r="L372" t="n">
        <v>0</v>
      </c>
      <c r="M372" t="n">
        <v>0</v>
      </c>
      <c r="N372" t="n">
        <v>0</v>
      </c>
      <c r="O372" t="n">
        <v>0</v>
      </c>
      <c r="P372" t="n">
        <v>0</v>
      </c>
      <c r="Q372" t="n">
        <v>0</v>
      </c>
      <c r="R372" s="2" t="inlineStr"/>
    </row>
    <row r="373" ht="15" customHeight="1">
      <c r="A373" t="inlineStr">
        <is>
          <t>A 19803-2024</t>
        </is>
      </c>
      <c r="B373" s="1" t="n">
        <v>45432</v>
      </c>
      <c r="C373" s="1" t="n">
        <v>46033</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49585-2025</t>
        </is>
      </c>
      <c r="B374" s="1" t="n">
        <v>45939.5043287037</v>
      </c>
      <c r="C374" s="1" t="n">
        <v>46033</v>
      </c>
      <c r="D374" t="inlineStr">
        <is>
          <t>VÄSTMANLANDS LÄN</t>
        </is>
      </c>
      <c r="E374" t="inlineStr">
        <is>
          <t>SALA</t>
        </is>
      </c>
      <c r="G374" t="n">
        <v>2.2</v>
      </c>
      <c r="H374" t="n">
        <v>0</v>
      </c>
      <c r="I374" t="n">
        <v>0</v>
      </c>
      <c r="J374" t="n">
        <v>0</v>
      </c>
      <c r="K374" t="n">
        <v>0</v>
      </c>
      <c r="L374" t="n">
        <v>0</v>
      </c>
      <c r="M374" t="n">
        <v>0</v>
      </c>
      <c r="N374" t="n">
        <v>0</v>
      </c>
      <c r="O374" t="n">
        <v>0</v>
      </c>
      <c r="P374" t="n">
        <v>0</v>
      </c>
      <c r="Q374" t="n">
        <v>0</v>
      </c>
      <c r="R374" s="2" t="inlineStr"/>
    </row>
    <row r="375" ht="15" customHeight="1">
      <c r="A375" t="inlineStr">
        <is>
          <t>A 7196-2025</t>
        </is>
      </c>
      <c r="B375" s="1" t="n">
        <v>45702</v>
      </c>
      <c r="C375" s="1" t="n">
        <v>46033</v>
      </c>
      <c r="D375" t="inlineStr">
        <is>
          <t>VÄSTMANLANDS LÄN</t>
        </is>
      </c>
      <c r="E375" t="inlineStr">
        <is>
          <t>SALA</t>
        </is>
      </c>
      <c r="G375" t="n">
        <v>1.3</v>
      </c>
      <c r="H375" t="n">
        <v>0</v>
      </c>
      <c r="I375" t="n">
        <v>0</v>
      </c>
      <c r="J375" t="n">
        <v>0</v>
      </c>
      <c r="K375" t="n">
        <v>0</v>
      </c>
      <c r="L375" t="n">
        <v>0</v>
      </c>
      <c r="M375" t="n">
        <v>0</v>
      </c>
      <c r="N375" t="n">
        <v>0</v>
      </c>
      <c r="O375" t="n">
        <v>0</v>
      </c>
      <c r="P375" t="n">
        <v>0</v>
      </c>
      <c r="Q375" t="n">
        <v>0</v>
      </c>
      <c r="R375" s="2" t="inlineStr"/>
    </row>
    <row r="376" ht="15" customHeight="1">
      <c r="A376" t="inlineStr">
        <is>
          <t>A 40597-2022</t>
        </is>
      </c>
      <c r="B376" s="1" t="n">
        <v>44823.84862268518</v>
      </c>
      <c r="C376" s="1" t="n">
        <v>46033</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49640-2025</t>
        </is>
      </c>
      <c r="B377" s="1" t="n">
        <v>45939.61459490741</v>
      </c>
      <c r="C377" s="1" t="n">
        <v>46033</v>
      </c>
      <c r="D377" t="inlineStr">
        <is>
          <t>VÄSTMANLANDS LÄN</t>
        </is>
      </c>
      <c r="E377" t="inlineStr">
        <is>
          <t>SALA</t>
        </is>
      </c>
      <c r="F377" t="inlineStr">
        <is>
          <t>Kommuner</t>
        </is>
      </c>
      <c r="G377" t="n">
        <v>18.8</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46033</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50128-2025</t>
        </is>
      </c>
      <c r="B379" s="1" t="n">
        <v>45943.55318287037</v>
      </c>
      <c r="C379" s="1" t="n">
        <v>46033</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23406-2024</t>
        </is>
      </c>
      <c r="B380" s="1" t="n">
        <v>45453.58296296297</v>
      </c>
      <c r="C380" s="1" t="n">
        <v>46033</v>
      </c>
      <c r="D380" t="inlineStr">
        <is>
          <t>VÄSTMANLANDS LÄN</t>
        </is>
      </c>
      <c r="E380" t="inlineStr">
        <is>
          <t>SALA</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50119-2025</t>
        </is>
      </c>
      <c r="B381" s="1" t="n">
        <v>45943.54883101852</v>
      </c>
      <c r="C381" s="1" t="n">
        <v>46033</v>
      </c>
      <c r="D381" t="inlineStr">
        <is>
          <t>VÄSTMANLANDS LÄN</t>
        </is>
      </c>
      <c r="E381" t="inlineStr">
        <is>
          <t>SALA</t>
        </is>
      </c>
      <c r="G381" t="n">
        <v>3.3</v>
      </c>
      <c r="H381" t="n">
        <v>0</v>
      </c>
      <c r="I381" t="n">
        <v>0</v>
      </c>
      <c r="J381" t="n">
        <v>0</v>
      </c>
      <c r="K381" t="n">
        <v>0</v>
      </c>
      <c r="L381" t="n">
        <v>0</v>
      </c>
      <c r="M381" t="n">
        <v>0</v>
      </c>
      <c r="N381" t="n">
        <v>0</v>
      </c>
      <c r="O381" t="n">
        <v>0</v>
      </c>
      <c r="P381" t="n">
        <v>0</v>
      </c>
      <c r="Q381" t="n">
        <v>0</v>
      </c>
      <c r="R381" s="2" t="inlineStr"/>
    </row>
    <row r="382" ht="15" customHeight="1">
      <c r="A382" t="inlineStr">
        <is>
          <t>A 16133-2025</t>
        </is>
      </c>
      <c r="B382" s="1" t="n">
        <v>45750</v>
      </c>
      <c r="C382" s="1" t="n">
        <v>46033</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50059-2025</t>
        </is>
      </c>
      <c r="B383" s="1" t="n">
        <v>45943.44125</v>
      </c>
      <c r="C383" s="1" t="n">
        <v>46033</v>
      </c>
      <c r="D383" t="inlineStr">
        <is>
          <t>VÄSTMANLANDS LÄN</t>
        </is>
      </c>
      <c r="E383" t="inlineStr">
        <is>
          <t>SALA</t>
        </is>
      </c>
      <c r="G383" t="n">
        <v>4.4</v>
      </c>
      <c r="H383" t="n">
        <v>0</v>
      </c>
      <c r="I383" t="n">
        <v>0</v>
      </c>
      <c r="J383" t="n">
        <v>0</v>
      </c>
      <c r="K383" t="n">
        <v>0</v>
      </c>
      <c r="L383" t="n">
        <v>0</v>
      </c>
      <c r="M383" t="n">
        <v>0</v>
      </c>
      <c r="N383" t="n">
        <v>0</v>
      </c>
      <c r="O383" t="n">
        <v>0</v>
      </c>
      <c r="P383" t="n">
        <v>0</v>
      </c>
      <c r="Q383" t="n">
        <v>0</v>
      </c>
      <c r="R383" s="2" t="inlineStr"/>
    </row>
    <row r="384" ht="15" customHeight="1">
      <c r="A384" t="inlineStr">
        <is>
          <t>A 15099-2025</t>
        </is>
      </c>
      <c r="B384" s="1" t="n">
        <v>45744.3434837963</v>
      </c>
      <c r="C384" s="1" t="n">
        <v>46033</v>
      </c>
      <c r="D384" t="inlineStr">
        <is>
          <t>VÄSTMANLANDS LÄN</t>
        </is>
      </c>
      <c r="E384" t="inlineStr">
        <is>
          <t>SALA</t>
        </is>
      </c>
      <c r="F384" t="inlineStr">
        <is>
          <t>Sveaskog</t>
        </is>
      </c>
      <c r="G384" t="n">
        <v>14.4</v>
      </c>
      <c r="H384" t="n">
        <v>0</v>
      </c>
      <c r="I384" t="n">
        <v>0</v>
      </c>
      <c r="J384" t="n">
        <v>0</v>
      </c>
      <c r="K384" t="n">
        <v>0</v>
      </c>
      <c r="L384" t="n">
        <v>0</v>
      </c>
      <c r="M384" t="n">
        <v>0</v>
      </c>
      <c r="N384" t="n">
        <v>0</v>
      </c>
      <c r="O384" t="n">
        <v>0</v>
      </c>
      <c r="P384" t="n">
        <v>0</v>
      </c>
      <c r="Q384" t="n">
        <v>0</v>
      </c>
      <c r="R384" s="2" t="inlineStr"/>
    </row>
    <row r="385" ht="15" customHeight="1">
      <c r="A385" t="inlineStr">
        <is>
          <t>A 34069-2025</t>
        </is>
      </c>
      <c r="B385" s="1" t="n">
        <v>45845.43560185185</v>
      </c>
      <c r="C385" s="1" t="n">
        <v>46033</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c r="U385">
        <f>HYPERLINK("https://klasma.github.io/Logging_1981/knärot/A 34069-2025 karta knärot.png", "A 34069-2025")</f>
        <v/>
      </c>
      <c r="V385">
        <f>HYPERLINK("https://klasma.github.io/Logging_1981/klagomål/A 34069-2025 FSC-klagomål.docx", "A 34069-2025")</f>
        <v/>
      </c>
      <c r="W385">
        <f>HYPERLINK("https://klasma.github.io/Logging_1981/klagomålsmail/A 34069-2025 FSC-klagomål mail.docx", "A 34069-2025")</f>
        <v/>
      </c>
      <c r="X385">
        <f>HYPERLINK("https://klasma.github.io/Logging_1981/tillsyn/A 34069-2025 tillsynsbegäran.docx", "A 34069-2025")</f>
        <v/>
      </c>
      <c r="Y385">
        <f>HYPERLINK("https://klasma.github.io/Logging_1981/tillsynsmail/A 34069-2025 tillsynsbegäran mail.docx", "A 34069-2025")</f>
        <v/>
      </c>
    </row>
    <row r="386" ht="15" customHeight="1">
      <c r="A386" t="inlineStr">
        <is>
          <t>A 50249-2025</t>
        </is>
      </c>
      <c r="B386" s="1" t="n">
        <v>45944.31508101852</v>
      </c>
      <c r="C386" s="1" t="n">
        <v>46033</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60036-2024</t>
        </is>
      </c>
      <c r="B387" s="1" t="n">
        <v>45642.46434027778</v>
      </c>
      <c r="C387" s="1" t="n">
        <v>46033</v>
      </c>
      <c r="D387" t="inlineStr">
        <is>
          <t>VÄSTMANLANDS LÄN</t>
        </is>
      </c>
      <c r="E387" t="inlineStr">
        <is>
          <t>SALA</t>
        </is>
      </c>
      <c r="G387" t="n">
        <v>2.5</v>
      </c>
      <c r="H387" t="n">
        <v>0</v>
      </c>
      <c r="I387" t="n">
        <v>0</v>
      </c>
      <c r="J387" t="n">
        <v>0</v>
      </c>
      <c r="K387" t="n">
        <v>0</v>
      </c>
      <c r="L387" t="n">
        <v>0</v>
      </c>
      <c r="M387" t="n">
        <v>0</v>
      </c>
      <c r="N387" t="n">
        <v>0</v>
      </c>
      <c r="O387" t="n">
        <v>0</v>
      </c>
      <c r="P387" t="n">
        <v>0</v>
      </c>
      <c r="Q387" t="n">
        <v>0</v>
      </c>
      <c r="R387" s="2" t="inlineStr"/>
    </row>
    <row r="388" ht="15" customHeight="1">
      <c r="A388" t="inlineStr">
        <is>
          <t>A 52827-2024</t>
        </is>
      </c>
      <c r="B388" s="1" t="n">
        <v>45610</v>
      </c>
      <c r="C388" s="1" t="n">
        <v>46033</v>
      </c>
      <c r="D388" t="inlineStr">
        <is>
          <t>VÄSTMANLANDS LÄN</t>
        </is>
      </c>
      <c r="E388" t="inlineStr">
        <is>
          <t>SALA</t>
        </is>
      </c>
      <c r="G388" t="n">
        <v>0.2</v>
      </c>
      <c r="H388" t="n">
        <v>0</v>
      </c>
      <c r="I388" t="n">
        <v>0</v>
      </c>
      <c r="J388" t="n">
        <v>0</v>
      </c>
      <c r="K388" t="n">
        <v>0</v>
      </c>
      <c r="L388" t="n">
        <v>0</v>
      </c>
      <c r="M388" t="n">
        <v>0</v>
      </c>
      <c r="N388" t="n">
        <v>0</v>
      </c>
      <c r="O388" t="n">
        <v>0</v>
      </c>
      <c r="P388" t="n">
        <v>0</v>
      </c>
      <c r="Q388" t="n">
        <v>0</v>
      </c>
      <c r="R388" s="2" t="inlineStr"/>
    </row>
    <row r="389" ht="15" customHeight="1">
      <c r="A389" t="inlineStr">
        <is>
          <t>A 15744-2025</t>
        </is>
      </c>
      <c r="B389" s="1" t="n">
        <v>45748</v>
      </c>
      <c r="C389" s="1" t="n">
        <v>46033</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16328-2025</t>
        </is>
      </c>
      <c r="B390" s="1" t="n">
        <v>45751</v>
      </c>
      <c r="C390" s="1" t="n">
        <v>46033</v>
      </c>
      <c r="D390" t="inlineStr">
        <is>
          <t>VÄSTMANLANDS LÄN</t>
        </is>
      </c>
      <c r="E390" t="inlineStr">
        <is>
          <t>SALA</t>
        </is>
      </c>
      <c r="G390" t="n">
        <v>2.9</v>
      </c>
      <c r="H390" t="n">
        <v>0</v>
      </c>
      <c r="I390" t="n">
        <v>0</v>
      </c>
      <c r="J390" t="n">
        <v>0</v>
      </c>
      <c r="K390" t="n">
        <v>0</v>
      </c>
      <c r="L390" t="n">
        <v>0</v>
      </c>
      <c r="M390" t="n">
        <v>0</v>
      </c>
      <c r="N390" t="n">
        <v>0</v>
      </c>
      <c r="O390" t="n">
        <v>0</v>
      </c>
      <c r="P390" t="n">
        <v>0</v>
      </c>
      <c r="Q390" t="n">
        <v>0</v>
      </c>
      <c r="R390" s="2" t="inlineStr"/>
    </row>
    <row r="391" ht="15" customHeight="1">
      <c r="A391" t="inlineStr">
        <is>
          <t>A 61522-2025</t>
        </is>
      </c>
      <c r="B391" s="1" t="n">
        <v>46001.68684027778</v>
      </c>
      <c r="C391" s="1" t="n">
        <v>46033</v>
      </c>
      <c r="D391" t="inlineStr">
        <is>
          <t>VÄSTMANLANDS LÄN</t>
        </is>
      </c>
      <c r="E391" t="inlineStr">
        <is>
          <t>SALA</t>
        </is>
      </c>
      <c r="G391" t="n">
        <v>5.7</v>
      </c>
      <c r="H391" t="n">
        <v>0</v>
      </c>
      <c r="I391" t="n">
        <v>0</v>
      </c>
      <c r="J391" t="n">
        <v>0</v>
      </c>
      <c r="K391" t="n">
        <v>0</v>
      </c>
      <c r="L391" t="n">
        <v>0</v>
      </c>
      <c r="M391" t="n">
        <v>0</v>
      </c>
      <c r="N391" t="n">
        <v>0</v>
      </c>
      <c r="O391" t="n">
        <v>0</v>
      </c>
      <c r="P391" t="n">
        <v>0</v>
      </c>
      <c r="Q391" t="n">
        <v>0</v>
      </c>
      <c r="R391" s="2" t="inlineStr"/>
    </row>
    <row r="392" ht="15" customHeight="1">
      <c r="A392" t="inlineStr">
        <is>
          <t>A 66908-2021</t>
        </is>
      </c>
      <c r="B392" s="1" t="n">
        <v>44522</v>
      </c>
      <c r="C392" s="1" t="n">
        <v>46033</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44552.92112268518</v>
      </c>
      <c r="C393" s="1" t="n">
        <v>46033</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3810-2023</t>
        </is>
      </c>
      <c r="B394" s="1" t="n">
        <v>44951.60454861111</v>
      </c>
      <c r="C394" s="1" t="n">
        <v>46033</v>
      </c>
      <c r="D394" t="inlineStr">
        <is>
          <t>VÄSTMANLANDS LÄN</t>
        </is>
      </c>
      <c r="E394" t="inlineStr">
        <is>
          <t>SALA</t>
        </is>
      </c>
      <c r="G394" t="n">
        <v>4.2</v>
      </c>
      <c r="H394" t="n">
        <v>0</v>
      </c>
      <c r="I394" t="n">
        <v>0</v>
      </c>
      <c r="J394" t="n">
        <v>0</v>
      </c>
      <c r="K394" t="n">
        <v>0</v>
      </c>
      <c r="L394" t="n">
        <v>0</v>
      </c>
      <c r="M394" t="n">
        <v>0</v>
      </c>
      <c r="N394" t="n">
        <v>0</v>
      </c>
      <c r="O394" t="n">
        <v>0</v>
      </c>
      <c r="P394" t="n">
        <v>0</v>
      </c>
      <c r="Q394" t="n">
        <v>0</v>
      </c>
      <c r="R394" s="2" t="inlineStr"/>
    </row>
    <row r="395" ht="15" customHeight="1">
      <c r="A395" t="inlineStr">
        <is>
          <t>A 12252-2023</t>
        </is>
      </c>
      <c r="B395" s="1" t="n">
        <v>44995</v>
      </c>
      <c r="C395" s="1" t="n">
        <v>46033</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35775-2025</t>
        </is>
      </c>
      <c r="B396" s="1" t="n">
        <v>45860</v>
      </c>
      <c r="C396" s="1" t="n">
        <v>46033</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35779-2025</t>
        </is>
      </c>
      <c r="B397" s="1" t="n">
        <v>45860.69495370371</v>
      </c>
      <c r="C397" s="1" t="n">
        <v>46033</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35776-2025</t>
        </is>
      </c>
      <c r="B398" s="1" t="n">
        <v>45860.69211805556</v>
      </c>
      <c r="C398" s="1" t="n">
        <v>46033</v>
      </c>
      <c r="D398" t="inlineStr">
        <is>
          <t>VÄSTMANLANDS LÄN</t>
        </is>
      </c>
      <c r="E398" t="inlineStr">
        <is>
          <t>SALA</t>
        </is>
      </c>
      <c r="G398" t="n">
        <v>14.2</v>
      </c>
      <c r="H398" t="n">
        <v>0</v>
      </c>
      <c r="I398" t="n">
        <v>0</v>
      </c>
      <c r="J398" t="n">
        <v>0</v>
      </c>
      <c r="K398" t="n">
        <v>0</v>
      </c>
      <c r="L398" t="n">
        <v>0</v>
      </c>
      <c r="M398" t="n">
        <v>0</v>
      </c>
      <c r="N398" t="n">
        <v>0</v>
      </c>
      <c r="O398" t="n">
        <v>0</v>
      </c>
      <c r="P398" t="n">
        <v>0</v>
      </c>
      <c r="Q398" t="n">
        <v>0</v>
      </c>
      <c r="R398" s="2" t="inlineStr"/>
    </row>
    <row r="399" ht="15" customHeight="1">
      <c r="A399" t="inlineStr">
        <is>
          <t>A 35715-2025</t>
        </is>
      </c>
      <c r="B399" s="1" t="n">
        <v>45860.42148148148</v>
      </c>
      <c r="C399" s="1" t="n">
        <v>46033</v>
      </c>
      <c r="D399" t="inlineStr">
        <is>
          <t>VÄSTMANLANDS LÄN</t>
        </is>
      </c>
      <c r="E399" t="inlineStr">
        <is>
          <t>SALA</t>
        </is>
      </c>
      <c r="G399" t="n">
        <v>3.8</v>
      </c>
      <c r="H399" t="n">
        <v>0</v>
      </c>
      <c r="I399" t="n">
        <v>0</v>
      </c>
      <c r="J399" t="n">
        <v>0</v>
      </c>
      <c r="K399" t="n">
        <v>0</v>
      </c>
      <c r="L399" t="n">
        <v>0</v>
      </c>
      <c r="M399" t="n">
        <v>0</v>
      </c>
      <c r="N399" t="n">
        <v>0</v>
      </c>
      <c r="O399" t="n">
        <v>0</v>
      </c>
      <c r="P399" t="n">
        <v>0</v>
      </c>
      <c r="Q399" t="n">
        <v>0</v>
      </c>
      <c r="R399" s="2" t="inlineStr"/>
    </row>
    <row r="400" ht="15" customHeight="1">
      <c r="A400" t="inlineStr">
        <is>
          <t>A 25260-2023</t>
        </is>
      </c>
      <c r="B400" s="1" t="n">
        <v>45086</v>
      </c>
      <c r="C400" s="1" t="n">
        <v>46033</v>
      </c>
      <c r="D400" t="inlineStr">
        <is>
          <t>VÄSTMANLANDS LÄN</t>
        </is>
      </c>
      <c r="E400" t="inlineStr">
        <is>
          <t>SALA</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35651-2025</t>
        </is>
      </c>
      <c r="B401" s="1" t="n">
        <v>45859.52435185185</v>
      </c>
      <c r="C401" s="1" t="n">
        <v>46033</v>
      </c>
      <c r="D401" t="inlineStr">
        <is>
          <t>VÄSTMANLANDS LÄN</t>
        </is>
      </c>
      <c r="E401" t="inlineStr">
        <is>
          <t>SALA</t>
        </is>
      </c>
      <c r="G401" t="n">
        <v>6.3</v>
      </c>
      <c r="H401" t="n">
        <v>0</v>
      </c>
      <c r="I401" t="n">
        <v>0</v>
      </c>
      <c r="J401" t="n">
        <v>0</v>
      </c>
      <c r="K401" t="n">
        <v>0</v>
      </c>
      <c r="L401" t="n">
        <v>0</v>
      </c>
      <c r="M401" t="n">
        <v>0</v>
      </c>
      <c r="N401" t="n">
        <v>0</v>
      </c>
      <c r="O401" t="n">
        <v>0</v>
      </c>
      <c r="P401" t="n">
        <v>0</v>
      </c>
      <c r="Q401" t="n">
        <v>0</v>
      </c>
      <c r="R401" s="2" t="inlineStr"/>
    </row>
    <row r="402" ht="15" customHeight="1">
      <c r="A402" t="inlineStr">
        <is>
          <t>A 35774-2025</t>
        </is>
      </c>
      <c r="B402" s="1" t="n">
        <v>45860.68780092592</v>
      </c>
      <c r="C402" s="1" t="n">
        <v>46033</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57404-2024</t>
        </is>
      </c>
      <c r="B403" s="1" t="n">
        <v>45629.71967592592</v>
      </c>
      <c r="C403" s="1" t="n">
        <v>46033</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13128-2023</t>
        </is>
      </c>
      <c r="B404" s="1" t="n">
        <v>45002</v>
      </c>
      <c r="C404" s="1" t="n">
        <v>46033</v>
      </c>
      <c r="D404" t="inlineStr">
        <is>
          <t>VÄSTMANLANDS LÄN</t>
        </is>
      </c>
      <c r="E404" t="inlineStr">
        <is>
          <t>SALA</t>
        </is>
      </c>
      <c r="G404" t="n">
        <v>7.9</v>
      </c>
      <c r="H404" t="n">
        <v>0</v>
      </c>
      <c r="I404" t="n">
        <v>0</v>
      </c>
      <c r="J404" t="n">
        <v>0</v>
      </c>
      <c r="K404" t="n">
        <v>0</v>
      </c>
      <c r="L404" t="n">
        <v>0</v>
      </c>
      <c r="M404" t="n">
        <v>0</v>
      </c>
      <c r="N404" t="n">
        <v>0</v>
      </c>
      <c r="O404" t="n">
        <v>0</v>
      </c>
      <c r="P404" t="n">
        <v>0</v>
      </c>
      <c r="Q404" t="n">
        <v>0</v>
      </c>
      <c r="R404" s="2" t="inlineStr"/>
    </row>
    <row r="405" ht="15" customHeight="1">
      <c r="A405" t="inlineStr">
        <is>
          <t>A 36060-2025</t>
        </is>
      </c>
      <c r="B405" s="1" t="n">
        <v>45866.39469907407</v>
      </c>
      <c r="C405" s="1" t="n">
        <v>46033</v>
      </c>
      <c r="D405" t="inlineStr">
        <is>
          <t>VÄSTMANLANDS LÄN</t>
        </is>
      </c>
      <c r="E405" t="inlineStr">
        <is>
          <t>SALA</t>
        </is>
      </c>
      <c r="F405" t="inlineStr">
        <is>
          <t>Kommuner</t>
        </is>
      </c>
      <c r="G405" t="n">
        <v>4.3</v>
      </c>
      <c r="H405" t="n">
        <v>0</v>
      </c>
      <c r="I405" t="n">
        <v>0</v>
      </c>
      <c r="J405" t="n">
        <v>0</v>
      </c>
      <c r="K405" t="n">
        <v>0</v>
      </c>
      <c r="L405" t="n">
        <v>0</v>
      </c>
      <c r="M405" t="n">
        <v>0</v>
      </c>
      <c r="N405" t="n">
        <v>0</v>
      </c>
      <c r="O405" t="n">
        <v>0</v>
      </c>
      <c r="P405" t="n">
        <v>0</v>
      </c>
      <c r="Q405" t="n">
        <v>0</v>
      </c>
      <c r="R405" s="2" t="inlineStr"/>
    </row>
    <row r="406" ht="15" customHeight="1">
      <c r="A406" t="inlineStr">
        <is>
          <t>A 36031-2025</t>
        </is>
      </c>
      <c r="B406" s="1" t="n">
        <v>45865.46111111111</v>
      </c>
      <c r="C406" s="1" t="n">
        <v>46033</v>
      </c>
      <c r="D406" t="inlineStr">
        <is>
          <t>VÄSTMANLANDS LÄN</t>
        </is>
      </c>
      <c r="E406" t="inlineStr">
        <is>
          <t>SALA</t>
        </is>
      </c>
      <c r="G406" t="n">
        <v>7.2</v>
      </c>
      <c r="H406" t="n">
        <v>0</v>
      </c>
      <c r="I406" t="n">
        <v>0</v>
      </c>
      <c r="J406" t="n">
        <v>0</v>
      </c>
      <c r="K406" t="n">
        <v>0</v>
      </c>
      <c r="L406" t="n">
        <v>0</v>
      </c>
      <c r="M406" t="n">
        <v>0</v>
      </c>
      <c r="N406" t="n">
        <v>0</v>
      </c>
      <c r="O406" t="n">
        <v>0</v>
      </c>
      <c r="P406" t="n">
        <v>0</v>
      </c>
      <c r="Q406" t="n">
        <v>0</v>
      </c>
      <c r="R406" s="2" t="inlineStr"/>
    </row>
    <row r="407" ht="15" customHeight="1">
      <c r="A407" t="inlineStr">
        <is>
          <t>A 36043-2025</t>
        </is>
      </c>
      <c r="B407" s="1" t="n">
        <v>45866.35333333333</v>
      </c>
      <c r="C407" s="1" t="n">
        <v>46033</v>
      </c>
      <c r="D407" t="inlineStr">
        <is>
          <t>VÄSTMANLANDS LÄN</t>
        </is>
      </c>
      <c r="E407" t="inlineStr">
        <is>
          <t>SALA</t>
        </is>
      </c>
      <c r="F407" t="inlineStr">
        <is>
          <t>Kommuner</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36032-2025</t>
        </is>
      </c>
      <c r="B408" s="1" t="n">
        <v>45865.48740740741</v>
      </c>
      <c r="C408" s="1" t="n">
        <v>46033</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36049-2025</t>
        </is>
      </c>
      <c r="B409" s="1" t="n">
        <v>45866.37065972222</v>
      </c>
      <c r="C409" s="1" t="n">
        <v>46033</v>
      </c>
      <c r="D409" t="inlineStr">
        <is>
          <t>VÄSTMANLANDS LÄN</t>
        </is>
      </c>
      <c r="E409" t="inlineStr">
        <is>
          <t>SALA</t>
        </is>
      </c>
      <c r="F409" t="inlineStr">
        <is>
          <t>Kommuner</t>
        </is>
      </c>
      <c r="G409" t="n">
        <v>1.9</v>
      </c>
      <c r="H409" t="n">
        <v>0</v>
      </c>
      <c r="I409" t="n">
        <v>0</v>
      </c>
      <c r="J409" t="n">
        <v>0</v>
      </c>
      <c r="K409" t="n">
        <v>0</v>
      </c>
      <c r="L409" t="n">
        <v>0</v>
      </c>
      <c r="M409" t="n">
        <v>0</v>
      </c>
      <c r="N409" t="n">
        <v>0</v>
      </c>
      <c r="O409" t="n">
        <v>0</v>
      </c>
      <c r="P409" t="n">
        <v>0</v>
      </c>
      <c r="Q409" t="n">
        <v>0</v>
      </c>
      <c r="R409" s="2" t="inlineStr"/>
    </row>
    <row r="410" ht="15" customHeight="1">
      <c r="A410" t="inlineStr">
        <is>
          <t>A 36045-2025</t>
        </is>
      </c>
      <c r="B410" s="1" t="n">
        <v>45866.36200231482</v>
      </c>
      <c r="C410" s="1" t="n">
        <v>46033</v>
      </c>
      <c r="D410" t="inlineStr">
        <is>
          <t>VÄSTMANLANDS LÄN</t>
        </is>
      </c>
      <c r="E410" t="inlineStr">
        <is>
          <t>SALA</t>
        </is>
      </c>
      <c r="F410" t="inlineStr">
        <is>
          <t>Kommuner</t>
        </is>
      </c>
      <c r="G410" t="n">
        <v>1.7</v>
      </c>
      <c r="H410" t="n">
        <v>0</v>
      </c>
      <c r="I410" t="n">
        <v>0</v>
      </c>
      <c r="J410" t="n">
        <v>0</v>
      </c>
      <c r="K410" t="n">
        <v>0</v>
      </c>
      <c r="L410" t="n">
        <v>0</v>
      </c>
      <c r="M410" t="n">
        <v>0</v>
      </c>
      <c r="N410" t="n">
        <v>0</v>
      </c>
      <c r="O410" t="n">
        <v>0</v>
      </c>
      <c r="P410" t="n">
        <v>0</v>
      </c>
      <c r="Q410" t="n">
        <v>0</v>
      </c>
      <c r="R410" s="2" t="inlineStr"/>
    </row>
    <row r="411" ht="15" customHeight="1">
      <c r="A411" t="inlineStr">
        <is>
          <t>A 24864-2024</t>
        </is>
      </c>
      <c r="B411" s="1" t="n">
        <v>45461.48888888889</v>
      </c>
      <c r="C411" s="1" t="n">
        <v>46033</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46033</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24755-2021</t>
        </is>
      </c>
      <c r="B413" s="1" t="n">
        <v>44340</v>
      </c>
      <c r="C413" s="1" t="n">
        <v>46033</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45834.63303240741</v>
      </c>
      <c r="C414" s="1" t="n">
        <v>46033</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46033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46033</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7664-2023</t>
        </is>
      </c>
      <c r="B417" s="1" t="n">
        <v>44972</v>
      </c>
      <c r="C417" s="1" t="n">
        <v>46033</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17985-2025</t>
        </is>
      </c>
      <c r="B418" s="1" t="n">
        <v>45761</v>
      </c>
      <c r="C418" s="1" t="n">
        <v>46033</v>
      </c>
      <c r="D418" t="inlineStr">
        <is>
          <t>VÄSTMANLANDS LÄN</t>
        </is>
      </c>
      <c r="E418" t="inlineStr">
        <is>
          <t>SALA</t>
        </is>
      </c>
      <c r="G418" t="n">
        <v>12.5</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46033</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53725-2025</t>
        </is>
      </c>
      <c r="B420" s="1" t="n">
        <v>45960.63394675926</v>
      </c>
      <c r="C420" s="1" t="n">
        <v>46033</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28696-2023</t>
        </is>
      </c>
      <c r="B421" s="1" t="n">
        <v>45103.71759259259</v>
      </c>
      <c r="C421" s="1" t="n">
        <v>46033</v>
      </c>
      <c r="D421" t="inlineStr">
        <is>
          <t>VÄSTMANLANDS LÄN</t>
        </is>
      </c>
      <c r="E421" t="inlineStr">
        <is>
          <t>SALA</t>
        </is>
      </c>
      <c r="F421" t="inlineStr">
        <is>
          <t>Kommuner</t>
        </is>
      </c>
      <c r="G421" t="n">
        <v>5.9</v>
      </c>
      <c r="H421" t="n">
        <v>0</v>
      </c>
      <c r="I421" t="n">
        <v>0</v>
      </c>
      <c r="J421" t="n">
        <v>0</v>
      </c>
      <c r="K421" t="n">
        <v>0</v>
      </c>
      <c r="L421" t="n">
        <v>0</v>
      </c>
      <c r="M421" t="n">
        <v>0</v>
      </c>
      <c r="N421" t="n">
        <v>0</v>
      </c>
      <c r="O421" t="n">
        <v>0</v>
      </c>
      <c r="P421" t="n">
        <v>0</v>
      </c>
      <c r="Q421" t="n">
        <v>0</v>
      </c>
      <c r="R421" s="2" t="inlineStr"/>
    </row>
    <row r="422" ht="15" customHeight="1">
      <c r="A422" t="inlineStr">
        <is>
          <t>A 37017-2025</t>
        </is>
      </c>
      <c r="B422" s="1" t="n">
        <v>45874</v>
      </c>
      <c r="C422" s="1" t="n">
        <v>46033</v>
      </c>
      <c r="D422" t="inlineStr">
        <is>
          <t>VÄSTMANLANDS LÄN</t>
        </is>
      </c>
      <c r="E422" t="inlineStr">
        <is>
          <t>SALA</t>
        </is>
      </c>
      <c r="G422" t="n">
        <v>11.1</v>
      </c>
      <c r="H422" t="n">
        <v>0</v>
      </c>
      <c r="I422" t="n">
        <v>0</v>
      </c>
      <c r="J422" t="n">
        <v>0</v>
      </c>
      <c r="K422" t="n">
        <v>0</v>
      </c>
      <c r="L422" t="n">
        <v>0</v>
      </c>
      <c r="M422" t="n">
        <v>0</v>
      </c>
      <c r="N422" t="n">
        <v>0</v>
      </c>
      <c r="O422" t="n">
        <v>0</v>
      </c>
      <c r="P422" t="n">
        <v>0</v>
      </c>
      <c r="Q422" t="n">
        <v>0</v>
      </c>
      <c r="R422" s="2" t="inlineStr"/>
    </row>
    <row r="423" ht="15" customHeight="1">
      <c r="A423" t="inlineStr">
        <is>
          <t>A 6691-2025</t>
        </is>
      </c>
      <c r="B423" s="1" t="n">
        <v>45700.50625</v>
      </c>
      <c r="C423" s="1" t="n">
        <v>46033</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1934-2023</t>
        </is>
      </c>
      <c r="B424" s="1" t="n">
        <v>44939.43024305555</v>
      </c>
      <c r="C424" s="1" t="n">
        <v>46033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35519-2024</t>
        </is>
      </c>
      <c r="B425" s="1" t="n">
        <v>45531</v>
      </c>
      <c r="C425" s="1" t="n">
        <v>46033</v>
      </c>
      <c r="D425" t="inlineStr">
        <is>
          <t>VÄSTMANLANDS LÄN</t>
        </is>
      </c>
      <c r="E425" t="inlineStr">
        <is>
          <t>SALA</t>
        </is>
      </c>
      <c r="G425" t="n">
        <v>1.8</v>
      </c>
      <c r="H425" t="n">
        <v>0</v>
      </c>
      <c r="I425" t="n">
        <v>0</v>
      </c>
      <c r="J425" t="n">
        <v>0</v>
      </c>
      <c r="K425" t="n">
        <v>0</v>
      </c>
      <c r="L425" t="n">
        <v>0</v>
      </c>
      <c r="M425" t="n">
        <v>0</v>
      </c>
      <c r="N425" t="n">
        <v>0</v>
      </c>
      <c r="O425" t="n">
        <v>0</v>
      </c>
      <c r="P425" t="n">
        <v>0</v>
      </c>
      <c r="Q425" t="n">
        <v>0</v>
      </c>
      <c r="R425" s="2" t="inlineStr"/>
    </row>
    <row r="426" ht="15" customHeight="1">
      <c r="A426" t="inlineStr">
        <is>
          <t>A 37246-2025</t>
        </is>
      </c>
      <c r="B426" s="1" t="n">
        <v>45876.39435185185</v>
      </c>
      <c r="C426" s="1" t="n">
        <v>46033</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38636-2024</t>
        </is>
      </c>
      <c r="B427" s="1" t="n">
        <v>45546</v>
      </c>
      <c r="C427" s="1" t="n">
        <v>46033</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37590-2025</t>
        </is>
      </c>
      <c r="B428" s="1" t="n">
        <v>45880.41138888889</v>
      </c>
      <c r="C428" s="1" t="n">
        <v>46033</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37593-2025</t>
        </is>
      </c>
      <c r="B429" s="1" t="n">
        <v>45880.41325231481</v>
      </c>
      <c r="C429" s="1" t="n">
        <v>46033</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50241-2023</t>
        </is>
      </c>
      <c r="B430" s="1" t="n">
        <v>45216</v>
      </c>
      <c r="C430" s="1" t="n">
        <v>46033</v>
      </c>
      <c r="D430" t="inlineStr">
        <is>
          <t>VÄSTMANLANDS LÄN</t>
        </is>
      </c>
      <c r="E430" t="inlineStr">
        <is>
          <t>SALA</t>
        </is>
      </c>
      <c r="G430" t="n">
        <v>1.9</v>
      </c>
      <c r="H430" t="n">
        <v>0</v>
      </c>
      <c r="I430" t="n">
        <v>0</v>
      </c>
      <c r="J430" t="n">
        <v>0</v>
      </c>
      <c r="K430" t="n">
        <v>0</v>
      </c>
      <c r="L430" t="n">
        <v>0</v>
      </c>
      <c r="M430" t="n">
        <v>0</v>
      </c>
      <c r="N430" t="n">
        <v>0</v>
      </c>
      <c r="O430" t="n">
        <v>0</v>
      </c>
      <c r="P430" t="n">
        <v>0</v>
      </c>
      <c r="Q430" t="n">
        <v>0</v>
      </c>
      <c r="R430" s="2" t="inlineStr"/>
    </row>
    <row r="431" ht="15" customHeight="1">
      <c r="A431" t="inlineStr">
        <is>
          <t>A 30971-2022</t>
        </is>
      </c>
      <c r="B431" s="1" t="n">
        <v>44768.46725694444</v>
      </c>
      <c r="C431" s="1" t="n">
        <v>46033</v>
      </c>
      <c r="D431" t="inlineStr">
        <is>
          <t>VÄSTMANLANDS LÄN</t>
        </is>
      </c>
      <c r="E431" t="inlineStr">
        <is>
          <t>SALA</t>
        </is>
      </c>
      <c r="G431" t="n">
        <v>2.4</v>
      </c>
      <c r="H431" t="n">
        <v>0</v>
      </c>
      <c r="I431" t="n">
        <v>0</v>
      </c>
      <c r="J431" t="n">
        <v>0</v>
      </c>
      <c r="K431" t="n">
        <v>0</v>
      </c>
      <c r="L431" t="n">
        <v>0</v>
      </c>
      <c r="M431" t="n">
        <v>0</v>
      </c>
      <c r="N431" t="n">
        <v>0</v>
      </c>
      <c r="O431" t="n">
        <v>0</v>
      </c>
      <c r="P431" t="n">
        <v>0</v>
      </c>
      <c r="Q431" t="n">
        <v>0</v>
      </c>
      <c r="R431" s="2" t="inlineStr"/>
    </row>
    <row r="432" ht="15" customHeight="1">
      <c r="A432" t="inlineStr">
        <is>
          <t>A 35637-2022</t>
        </is>
      </c>
      <c r="B432" s="1" t="n">
        <v>44799.55194444444</v>
      </c>
      <c r="C432" s="1" t="n">
        <v>46033</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19304-2025</t>
        </is>
      </c>
      <c r="B433" s="1" t="n">
        <v>45769</v>
      </c>
      <c r="C433" s="1" t="n">
        <v>46033</v>
      </c>
      <c r="D433" t="inlineStr">
        <is>
          <t>VÄSTMANLANDS LÄN</t>
        </is>
      </c>
      <c r="E433" t="inlineStr">
        <is>
          <t>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17722-2025</t>
        </is>
      </c>
      <c r="B434" s="1" t="n">
        <v>45758</v>
      </c>
      <c r="C434" s="1" t="n">
        <v>46033</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53744-2025</t>
        </is>
      </c>
      <c r="B435" s="1" t="n">
        <v>45960.64863425926</v>
      </c>
      <c r="C435" s="1" t="n">
        <v>46033</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27038-2023</t>
        </is>
      </c>
      <c r="B436" s="1" t="n">
        <v>45095</v>
      </c>
      <c r="C436" s="1" t="n">
        <v>46033</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23182-2022</t>
        </is>
      </c>
      <c r="B437" s="1" t="n">
        <v>44719.79707175926</v>
      </c>
      <c r="C437" s="1" t="n">
        <v>46033</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46033</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38294-2025</t>
        </is>
      </c>
      <c r="B439" s="1" t="n">
        <v>45883.44854166666</v>
      </c>
      <c r="C439" s="1" t="n">
        <v>46033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43359-2024</t>
        </is>
      </c>
      <c r="B440" s="1" t="n">
        <v>45568.57724537037</v>
      </c>
      <c r="C440" s="1" t="n">
        <v>46033</v>
      </c>
      <c r="D440" t="inlineStr">
        <is>
          <t>VÄSTMANLANDS LÄN</t>
        </is>
      </c>
      <c r="E440" t="inlineStr">
        <is>
          <t>SALA</t>
        </is>
      </c>
      <c r="G440" t="n">
        <v>1.6</v>
      </c>
      <c r="H440" t="n">
        <v>0</v>
      </c>
      <c r="I440" t="n">
        <v>0</v>
      </c>
      <c r="J440" t="n">
        <v>0</v>
      </c>
      <c r="K440" t="n">
        <v>0</v>
      </c>
      <c r="L440" t="n">
        <v>0</v>
      </c>
      <c r="M440" t="n">
        <v>0</v>
      </c>
      <c r="N440" t="n">
        <v>0</v>
      </c>
      <c r="O440" t="n">
        <v>0</v>
      </c>
      <c r="P440" t="n">
        <v>0</v>
      </c>
      <c r="Q440" t="n">
        <v>0</v>
      </c>
      <c r="R440" s="2" t="inlineStr"/>
    </row>
    <row r="441" ht="15" customHeight="1">
      <c r="A441" t="inlineStr">
        <is>
          <t>A 29972-2025</t>
        </is>
      </c>
      <c r="B441" s="1" t="n">
        <v>45826</v>
      </c>
      <c r="C441" s="1" t="n">
        <v>46033</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31859-2023</t>
        </is>
      </c>
      <c r="B442" s="1" t="n">
        <v>45118</v>
      </c>
      <c r="C442" s="1" t="n">
        <v>46033</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c r="U442">
        <f>HYPERLINK("https://klasma.github.io/Logging_1981/knärot/A 31859-2023 karta knärot.png", "A 31859-2023")</f>
        <v/>
      </c>
      <c r="V442">
        <f>HYPERLINK("https://klasma.github.io/Logging_1981/klagomål/A 31859-2023 FSC-klagomål.docx", "A 31859-2023")</f>
        <v/>
      </c>
      <c r="W442">
        <f>HYPERLINK("https://klasma.github.io/Logging_1981/klagomålsmail/A 31859-2023 FSC-klagomål mail.docx", "A 31859-2023")</f>
        <v/>
      </c>
      <c r="X442">
        <f>HYPERLINK("https://klasma.github.io/Logging_1981/tillsyn/A 31859-2023 tillsynsbegäran.docx", "A 31859-2023")</f>
        <v/>
      </c>
      <c r="Y442">
        <f>HYPERLINK("https://klasma.github.io/Logging_1981/tillsynsmail/A 31859-2023 tillsynsbegäran mail.docx", "A 31859-2023")</f>
        <v/>
      </c>
    </row>
    <row r="443" ht="15" customHeight="1">
      <c r="A443" t="inlineStr">
        <is>
          <t>A 7469-2025</t>
        </is>
      </c>
      <c r="B443" s="1" t="n">
        <v>45705</v>
      </c>
      <c r="C443" s="1" t="n">
        <v>46033</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60034-2024</t>
        </is>
      </c>
      <c r="B444" s="1" t="n">
        <v>45642.46261574074</v>
      </c>
      <c r="C444" s="1" t="n">
        <v>46033</v>
      </c>
      <c r="D444" t="inlineStr">
        <is>
          <t>VÄSTMANLANDS LÄN</t>
        </is>
      </c>
      <c r="E444" t="inlineStr">
        <is>
          <t>SALA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62523-2025</t>
        </is>
      </c>
      <c r="B445" s="1" t="n">
        <v>46007.61512731481</v>
      </c>
      <c r="C445" s="1" t="n">
        <v>46033</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46279-2021</t>
        </is>
      </c>
      <c r="B446" s="1" t="n">
        <v>44442.57797453704</v>
      </c>
      <c r="C446" s="1" t="n">
        <v>46033</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54344-2025</t>
        </is>
      </c>
      <c r="B447" s="1" t="n">
        <v>45965.36462962963</v>
      </c>
      <c r="C447" s="1" t="n">
        <v>46033</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54590-2025</t>
        </is>
      </c>
      <c r="B448" s="1" t="n">
        <v>45965.74199074074</v>
      </c>
      <c r="C448" s="1" t="n">
        <v>46033</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34867-2023</t>
        </is>
      </c>
      <c r="B449" s="1" t="n">
        <v>45142.33481481481</v>
      </c>
      <c r="C449" s="1" t="n">
        <v>46033</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11631-2023</t>
        </is>
      </c>
      <c r="B450" s="1" t="n">
        <v>44994.44001157407</v>
      </c>
      <c r="C450" s="1" t="n">
        <v>46033</v>
      </c>
      <c r="D450" t="inlineStr">
        <is>
          <t>VÄSTMANLANDS LÄN</t>
        </is>
      </c>
      <c r="E450" t="inlineStr">
        <is>
          <t>SALA</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54201-2025</t>
        </is>
      </c>
      <c r="B451" s="1" t="n">
        <v>45964.58055555556</v>
      </c>
      <c r="C451" s="1" t="n">
        <v>46033</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63055-2025</t>
        </is>
      </c>
      <c r="B452" s="1" t="n">
        <v>46009.63619212963</v>
      </c>
      <c r="C452" s="1" t="n">
        <v>46033</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63046-2025</t>
        </is>
      </c>
      <c r="B453" s="1" t="n">
        <v>46009.62373842593</v>
      </c>
      <c r="C453" s="1" t="n">
        <v>46033</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8775-2024</t>
        </is>
      </c>
      <c r="B454" s="1" t="n">
        <v>45356</v>
      </c>
      <c r="C454" s="1" t="n">
        <v>46033</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48710-2024</t>
        </is>
      </c>
      <c r="B455" s="1" t="n">
        <v>45593.53636574074</v>
      </c>
      <c r="C455" s="1" t="n">
        <v>46033</v>
      </c>
      <c r="D455" t="inlineStr">
        <is>
          <t>VÄSTMANLANDS LÄN</t>
        </is>
      </c>
      <c r="E455" t="inlineStr">
        <is>
          <t>SALA</t>
        </is>
      </c>
      <c r="G455" t="n">
        <v>6.5</v>
      </c>
      <c r="H455" t="n">
        <v>0</v>
      </c>
      <c r="I455" t="n">
        <v>0</v>
      </c>
      <c r="J455" t="n">
        <v>0</v>
      </c>
      <c r="K455" t="n">
        <v>0</v>
      </c>
      <c r="L455" t="n">
        <v>0</v>
      </c>
      <c r="M455" t="n">
        <v>0</v>
      </c>
      <c r="N455" t="n">
        <v>0</v>
      </c>
      <c r="O455" t="n">
        <v>0</v>
      </c>
      <c r="P455" t="n">
        <v>0</v>
      </c>
      <c r="Q455" t="n">
        <v>0</v>
      </c>
      <c r="R455" s="2" t="inlineStr"/>
    </row>
    <row r="456" ht="15" customHeight="1">
      <c r="A456" t="inlineStr">
        <is>
          <t>A 16404-2022</t>
        </is>
      </c>
      <c r="B456" s="1" t="n">
        <v>44671</v>
      </c>
      <c r="C456" s="1" t="n">
        <v>46033</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73673-2021</t>
        </is>
      </c>
      <c r="B457" s="1" t="n">
        <v>44552.46501157407</v>
      </c>
      <c r="C457" s="1" t="n">
        <v>46033</v>
      </c>
      <c r="D457" t="inlineStr">
        <is>
          <t>VÄSTMANLANDS LÄN</t>
        </is>
      </c>
      <c r="E457" t="inlineStr">
        <is>
          <t>SALA</t>
        </is>
      </c>
      <c r="G457" t="n">
        <v>11.4</v>
      </c>
      <c r="H457" t="n">
        <v>0</v>
      </c>
      <c r="I457" t="n">
        <v>0</v>
      </c>
      <c r="J457" t="n">
        <v>0</v>
      </c>
      <c r="K457" t="n">
        <v>0</v>
      </c>
      <c r="L457" t="n">
        <v>0</v>
      </c>
      <c r="M457" t="n">
        <v>0</v>
      </c>
      <c r="N457" t="n">
        <v>0</v>
      </c>
      <c r="O457" t="n">
        <v>0</v>
      </c>
      <c r="P457" t="n">
        <v>0</v>
      </c>
      <c r="Q457" t="n">
        <v>0</v>
      </c>
      <c r="R457" s="2" t="inlineStr"/>
    </row>
    <row r="458" ht="15" customHeight="1">
      <c r="A458" t="inlineStr">
        <is>
          <t>A 24248-2023</t>
        </is>
      </c>
      <c r="B458" s="1" t="n">
        <v>45079</v>
      </c>
      <c r="C458" s="1" t="n">
        <v>46033</v>
      </c>
      <c r="D458" t="inlineStr">
        <is>
          <t>VÄSTMANLANDS LÄN</t>
        </is>
      </c>
      <c r="E458" t="inlineStr">
        <is>
          <t>SALA</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46033</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63051-2025</t>
        </is>
      </c>
      <c r="B460" s="1" t="n">
        <v>46009.63134259259</v>
      </c>
      <c r="C460" s="1" t="n">
        <v>46033</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10559-2024</t>
        </is>
      </c>
      <c r="B461" s="1" t="n">
        <v>45366</v>
      </c>
      <c r="C461" s="1" t="n">
        <v>46033</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40214-2023</t>
        </is>
      </c>
      <c r="B462" s="1" t="n">
        <v>45169.45173611111</v>
      </c>
      <c r="C462" s="1" t="n">
        <v>46033</v>
      </c>
      <c r="D462" t="inlineStr">
        <is>
          <t>VÄSTMANLANDS LÄN</t>
        </is>
      </c>
      <c r="E462" t="inlineStr">
        <is>
          <t>SALA</t>
        </is>
      </c>
      <c r="G462" t="n">
        <v>5.5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46033</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18100-2023</t>
        </is>
      </c>
      <c r="B464" s="1" t="n">
        <v>45040</v>
      </c>
      <c r="C464" s="1" t="n">
        <v>46033</v>
      </c>
      <c r="D464" t="inlineStr">
        <is>
          <t>VÄSTMANLANDS LÄN</t>
        </is>
      </c>
      <c r="E464" t="inlineStr">
        <is>
          <t>SALA</t>
        </is>
      </c>
      <c r="G464" t="n">
        <v>1.8</v>
      </c>
      <c r="H464" t="n">
        <v>0</v>
      </c>
      <c r="I464" t="n">
        <v>0</v>
      </c>
      <c r="J464" t="n">
        <v>0</v>
      </c>
      <c r="K464" t="n">
        <v>0</v>
      </c>
      <c r="L464" t="n">
        <v>0</v>
      </c>
      <c r="M464" t="n">
        <v>0</v>
      </c>
      <c r="N464" t="n">
        <v>0</v>
      </c>
      <c r="O464" t="n">
        <v>0</v>
      </c>
      <c r="P464" t="n">
        <v>0</v>
      </c>
      <c r="Q464" t="n">
        <v>0</v>
      </c>
      <c r="R464" s="2" t="inlineStr"/>
    </row>
    <row r="465" ht="15" customHeight="1">
      <c r="A465" t="inlineStr">
        <is>
          <t>A 23374-2023</t>
        </is>
      </c>
      <c r="B465" s="1" t="n">
        <v>45076.4399537037</v>
      </c>
      <c r="C465" s="1" t="n">
        <v>46033</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19033-2025</t>
        </is>
      </c>
      <c r="B466" s="1" t="n">
        <v>45764.65796296296</v>
      </c>
      <c r="C466" s="1" t="n">
        <v>46033</v>
      </c>
      <c r="D466" t="inlineStr">
        <is>
          <t>VÄSTMANLANDS LÄN</t>
        </is>
      </c>
      <c r="E466" t="inlineStr">
        <is>
          <t>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6134-2024</t>
        </is>
      </c>
      <c r="B467" s="1" t="n">
        <v>45337</v>
      </c>
      <c r="C467" s="1" t="n">
        <v>46033</v>
      </c>
      <c r="D467" t="inlineStr">
        <is>
          <t>VÄSTMANLANDS LÄN</t>
        </is>
      </c>
      <c r="E467" t="inlineStr">
        <is>
          <t>SALA</t>
        </is>
      </c>
      <c r="G467" t="n">
        <v>1.8</v>
      </c>
      <c r="H467" t="n">
        <v>0</v>
      </c>
      <c r="I467" t="n">
        <v>0</v>
      </c>
      <c r="J467" t="n">
        <v>0</v>
      </c>
      <c r="K467" t="n">
        <v>0</v>
      </c>
      <c r="L467" t="n">
        <v>0</v>
      </c>
      <c r="M467" t="n">
        <v>0</v>
      </c>
      <c r="N467" t="n">
        <v>0</v>
      </c>
      <c r="O467" t="n">
        <v>0</v>
      </c>
      <c r="P467" t="n">
        <v>0</v>
      </c>
      <c r="Q467" t="n">
        <v>0</v>
      </c>
      <c r="R467" s="2" t="inlineStr"/>
    </row>
    <row r="468" ht="15" customHeight="1">
      <c r="A468" t="inlineStr">
        <is>
          <t>A 48117-2024</t>
        </is>
      </c>
      <c r="B468" s="1" t="n">
        <v>45589</v>
      </c>
      <c r="C468" s="1" t="n">
        <v>46033</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31082-2021</t>
        </is>
      </c>
      <c r="B469" s="1" t="n">
        <v>44368</v>
      </c>
      <c r="C469" s="1" t="n">
        <v>46033</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63353-2025</t>
        </is>
      </c>
      <c r="B470" s="1" t="n">
        <v>46010.66670138889</v>
      </c>
      <c r="C470" s="1" t="n">
        <v>46033</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31470-2021</t>
        </is>
      </c>
      <c r="B471" s="1" t="n">
        <v>44369</v>
      </c>
      <c r="C471" s="1" t="n">
        <v>46033</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24175-2024</t>
        </is>
      </c>
      <c r="B472" s="1" t="n">
        <v>45456</v>
      </c>
      <c r="C472" s="1" t="n">
        <v>46033</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28328-2023</t>
        </is>
      </c>
      <c r="B473" s="1" t="n">
        <v>45099.71063657408</v>
      </c>
      <c r="C473" s="1" t="n">
        <v>46033</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55997-2025</t>
        </is>
      </c>
      <c r="B474" s="1" t="n">
        <v>45973.56833333334</v>
      </c>
      <c r="C474" s="1" t="n">
        <v>46033</v>
      </c>
      <c r="D474" t="inlineStr">
        <is>
          <t>VÄSTMANLANDS LÄN</t>
        </is>
      </c>
      <c r="E474" t="inlineStr">
        <is>
          <t>SALA</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61715-2024</t>
        </is>
      </c>
      <c r="B475" s="1" t="n">
        <v>45648.89519675926</v>
      </c>
      <c r="C475" s="1" t="n">
        <v>46033</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46033</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55714-2025</t>
        </is>
      </c>
      <c r="B477" s="1" t="n">
        <v>45972.49131944445</v>
      </c>
      <c r="C477" s="1" t="n">
        <v>46033</v>
      </c>
      <c r="D477" t="inlineStr">
        <is>
          <t>VÄSTMANLANDS LÄN</t>
        </is>
      </c>
      <c r="E477" t="inlineStr">
        <is>
          <t>SALA</t>
        </is>
      </c>
      <c r="G477" t="n">
        <v>6.6</v>
      </c>
      <c r="H477" t="n">
        <v>0</v>
      </c>
      <c r="I477" t="n">
        <v>0</v>
      </c>
      <c r="J477" t="n">
        <v>0</v>
      </c>
      <c r="K477" t="n">
        <v>0</v>
      </c>
      <c r="L477" t="n">
        <v>0</v>
      </c>
      <c r="M477" t="n">
        <v>0</v>
      </c>
      <c r="N477" t="n">
        <v>0</v>
      </c>
      <c r="O477" t="n">
        <v>0</v>
      </c>
      <c r="P477" t="n">
        <v>0</v>
      </c>
      <c r="Q477" t="n">
        <v>0</v>
      </c>
      <c r="R477" s="2" t="inlineStr"/>
    </row>
    <row r="478" ht="15" customHeight="1">
      <c r="A478" t="inlineStr">
        <is>
          <t>A 63749-2025</t>
        </is>
      </c>
      <c r="B478" s="1" t="n">
        <v>46017.75243055556</v>
      </c>
      <c r="C478" s="1" t="n">
        <v>46033</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56593-2025</t>
        </is>
      </c>
      <c r="B479" s="1" t="n">
        <v>45975</v>
      </c>
      <c r="C479" s="1" t="n">
        <v>46033</v>
      </c>
      <c r="D479" t="inlineStr">
        <is>
          <t>VÄSTMANLANDS LÄN</t>
        </is>
      </c>
      <c r="E479" t="inlineStr">
        <is>
          <t>SALA</t>
        </is>
      </c>
      <c r="F479" t="inlineStr">
        <is>
          <t>Kyrkan</t>
        </is>
      </c>
      <c r="G479" t="n">
        <v>0.1</v>
      </c>
      <c r="H479" t="n">
        <v>0</v>
      </c>
      <c r="I479" t="n">
        <v>0</v>
      </c>
      <c r="J479" t="n">
        <v>0</v>
      </c>
      <c r="K479" t="n">
        <v>0</v>
      </c>
      <c r="L479" t="n">
        <v>0</v>
      </c>
      <c r="M479" t="n">
        <v>0</v>
      </c>
      <c r="N479" t="n">
        <v>0</v>
      </c>
      <c r="O479" t="n">
        <v>0</v>
      </c>
      <c r="P479" t="n">
        <v>0</v>
      </c>
      <c r="Q479" t="n">
        <v>0</v>
      </c>
      <c r="R479" s="2" t="inlineStr"/>
    </row>
    <row r="480" ht="15" customHeight="1">
      <c r="A480" t="inlineStr">
        <is>
          <t>A 63748-2025</t>
        </is>
      </c>
      <c r="B480" s="1" t="n">
        <v>46017.71640046296</v>
      </c>
      <c r="C480" s="1" t="n">
        <v>46033</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6132-2025</t>
        </is>
      </c>
      <c r="B481" s="1" t="n">
        <v>45698</v>
      </c>
      <c r="C481" s="1" t="n">
        <v>46033</v>
      </c>
      <c r="D481" t="inlineStr">
        <is>
          <t>VÄSTMANLANDS LÄN</t>
        </is>
      </c>
      <c r="E481" t="inlineStr">
        <is>
          <t>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44708.48194444444</v>
      </c>
      <c r="C482" s="1" t="n">
        <v>46033</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56645-2025</t>
        </is>
      </c>
      <c r="B483" s="1" t="n">
        <v>45975.63063657407</v>
      </c>
      <c r="C483" s="1" t="n">
        <v>46033</v>
      </c>
      <c r="D483" t="inlineStr">
        <is>
          <t>VÄSTMANLANDS LÄN</t>
        </is>
      </c>
      <c r="E483" t="inlineStr">
        <is>
          <t>SALA</t>
        </is>
      </c>
      <c r="F483" t="inlineStr">
        <is>
          <t>Bergvik skog öst AB</t>
        </is>
      </c>
      <c r="G483" t="n">
        <v>5.3</v>
      </c>
      <c r="H483" t="n">
        <v>0</v>
      </c>
      <c r="I483" t="n">
        <v>0</v>
      </c>
      <c r="J483" t="n">
        <v>0</v>
      </c>
      <c r="K483" t="n">
        <v>0</v>
      </c>
      <c r="L483" t="n">
        <v>0</v>
      </c>
      <c r="M483" t="n">
        <v>0</v>
      </c>
      <c r="N483" t="n">
        <v>0</v>
      </c>
      <c r="O483" t="n">
        <v>0</v>
      </c>
      <c r="P483" t="n">
        <v>0</v>
      </c>
      <c r="Q483" t="n">
        <v>0</v>
      </c>
      <c r="R483" s="2" t="inlineStr"/>
    </row>
    <row r="484" ht="15" customHeight="1">
      <c r="A484" t="inlineStr">
        <is>
          <t>A 56502-2025</t>
        </is>
      </c>
      <c r="B484" s="1" t="n">
        <v>45975</v>
      </c>
      <c r="C484" s="1" t="n">
        <v>46033</v>
      </c>
      <c r="D484" t="inlineStr">
        <is>
          <t>VÄSTMANLANDS LÄN</t>
        </is>
      </c>
      <c r="E484" t="inlineStr">
        <is>
          <t>SALA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11389-2024</t>
        </is>
      </c>
      <c r="B485" s="1" t="n">
        <v>45372.45016203704</v>
      </c>
      <c r="C485" s="1" t="n">
        <v>46033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56614-2025</t>
        </is>
      </c>
      <c r="B486" s="1" t="n">
        <v>45975.59288194445</v>
      </c>
      <c r="C486" s="1" t="n">
        <v>46033</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56611-2025</t>
        </is>
      </c>
      <c r="B487" s="1" t="n">
        <v>45975</v>
      </c>
      <c r="C487" s="1" t="n">
        <v>46033</v>
      </c>
      <c r="D487" t="inlineStr">
        <is>
          <t>VÄSTMANLANDS LÄN</t>
        </is>
      </c>
      <c r="E487" t="inlineStr">
        <is>
          <t>SALA</t>
        </is>
      </c>
      <c r="G487" t="n">
        <v>2.8</v>
      </c>
      <c r="H487" t="n">
        <v>0</v>
      </c>
      <c r="I487" t="n">
        <v>0</v>
      </c>
      <c r="J487" t="n">
        <v>0</v>
      </c>
      <c r="K487" t="n">
        <v>0</v>
      </c>
      <c r="L487" t="n">
        <v>0</v>
      </c>
      <c r="M487" t="n">
        <v>0</v>
      </c>
      <c r="N487" t="n">
        <v>0</v>
      </c>
      <c r="O487" t="n">
        <v>0</v>
      </c>
      <c r="P487" t="n">
        <v>0</v>
      </c>
      <c r="Q487" t="n">
        <v>0</v>
      </c>
      <c r="R487" s="2" t="inlineStr"/>
    </row>
    <row r="488" ht="15" customHeight="1">
      <c r="A488" t="inlineStr">
        <is>
          <t>A 2925-2024</t>
        </is>
      </c>
      <c r="B488" s="1" t="n">
        <v>45315.58909722222</v>
      </c>
      <c r="C488" s="1" t="n">
        <v>46033</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39439-2021</t>
        </is>
      </c>
      <c r="B489" s="1" t="n">
        <v>44414</v>
      </c>
      <c r="C489" s="1" t="n">
        <v>46033</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3332-2024</t>
        </is>
      </c>
      <c r="B490" s="1" t="n">
        <v>45317</v>
      </c>
      <c r="C490" s="1" t="n">
        <v>46033</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57014-2025</t>
        </is>
      </c>
      <c r="B491" s="1" t="n">
        <v>45978</v>
      </c>
      <c r="C491" s="1" t="n">
        <v>46033</v>
      </c>
      <c r="D491" t="inlineStr">
        <is>
          <t>VÄSTMANLANDS LÄN</t>
        </is>
      </c>
      <c r="E491" t="inlineStr">
        <is>
          <t>SALA</t>
        </is>
      </c>
      <c r="G491" t="n">
        <v>2.2</v>
      </c>
      <c r="H491" t="n">
        <v>0</v>
      </c>
      <c r="I491" t="n">
        <v>0</v>
      </c>
      <c r="J491" t="n">
        <v>0</v>
      </c>
      <c r="K491" t="n">
        <v>0</v>
      </c>
      <c r="L491" t="n">
        <v>0</v>
      </c>
      <c r="M491" t="n">
        <v>0</v>
      </c>
      <c r="N491" t="n">
        <v>0</v>
      </c>
      <c r="O491" t="n">
        <v>0</v>
      </c>
      <c r="P491" t="n">
        <v>0</v>
      </c>
      <c r="Q491" t="n">
        <v>0</v>
      </c>
      <c r="R491" s="2" t="inlineStr"/>
    </row>
    <row r="492" ht="15" customHeight="1">
      <c r="A492" t="inlineStr">
        <is>
          <t>A 2529-2022</t>
        </is>
      </c>
      <c r="B492" s="1" t="n">
        <v>44579.86452546297</v>
      </c>
      <c r="C492" s="1" t="n">
        <v>46033</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13471-2025</t>
        </is>
      </c>
      <c r="B493" s="1" t="n">
        <v>45736.40579861111</v>
      </c>
      <c r="C493" s="1" t="n">
        <v>46033</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15681-2025</t>
        </is>
      </c>
      <c r="B494" s="1" t="n">
        <v>45748.45454861111</v>
      </c>
      <c r="C494" s="1" t="n">
        <v>46033</v>
      </c>
      <c r="D494" t="inlineStr">
        <is>
          <t>VÄSTMANLANDS LÄN</t>
        </is>
      </c>
      <c r="E494" t="inlineStr">
        <is>
          <t>SALA</t>
        </is>
      </c>
      <c r="F494" t="inlineStr">
        <is>
          <t>Bergvik skog öst AB</t>
        </is>
      </c>
      <c r="G494" t="n">
        <v>4.3</v>
      </c>
      <c r="H494" t="n">
        <v>0</v>
      </c>
      <c r="I494" t="n">
        <v>0</v>
      </c>
      <c r="J494" t="n">
        <v>0</v>
      </c>
      <c r="K494" t="n">
        <v>0</v>
      </c>
      <c r="L494" t="n">
        <v>0</v>
      </c>
      <c r="M494" t="n">
        <v>0</v>
      </c>
      <c r="N494" t="n">
        <v>0</v>
      </c>
      <c r="O494" t="n">
        <v>0</v>
      </c>
      <c r="P494" t="n">
        <v>0</v>
      </c>
      <c r="Q494" t="n">
        <v>0</v>
      </c>
      <c r="R494" s="2" t="inlineStr"/>
    </row>
    <row r="495" ht="15" customHeight="1">
      <c r="A495" t="inlineStr">
        <is>
          <t>A 18431-2023</t>
        </is>
      </c>
      <c r="B495" s="1" t="n">
        <v>45042</v>
      </c>
      <c r="C495" s="1" t="n">
        <v>46033</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27424-2023</t>
        </is>
      </c>
      <c r="B496" s="1" t="n">
        <v>45097.37690972222</v>
      </c>
      <c r="C496" s="1" t="n">
        <v>46033</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58701-2021</t>
        </is>
      </c>
      <c r="B497" s="1" t="n">
        <v>44489.46454861111</v>
      </c>
      <c r="C497" s="1" t="n">
        <v>46033</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11244-2024</t>
        </is>
      </c>
      <c r="B498" s="1" t="n">
        <v>45371</v>
      </c>
      <c r="C498" s="1" t="n">
        <v>46033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57414-2025</t>
        </is>
      </c>
      <c r="B499" s="1" t="n">
        <v>45980.45003472222</v>
      </c>
      <c r="C499" s="1" t="n">
        <v>46033</v>
      </c>
      <c r="D499" t="inlineStr">
        <is>
          <t>VÄSTMANLANDS LÄN</t>
        </is>
      </c>
      <c r="E499" t="inlineStr">
        <is>
          <t>SALA</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57415-2025</t>
        </is>
      </c>
      <c r="B500" s="1" t="n">
        <v>45980.45099537037</v>
      </c>
      <c r="C500" s="1" t="n">
        <v>46033</v>
      </c>
      <c r="D500" t="inlineStr">
        <is>
          <t>VÄSTMANLANDS LÄN</t>
        </is>
      </c>
      <c r="E500" t="inlineStr">
        <is>
          <t>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57412-2025</t>
        </is>
      </c>
      <c r="B501" s="1" t="n">
        <v>45980.44883101852</v>
      </c>
      <c r="C501" s="1" t="n">
        <v>46033</v>
      </c>
      <c r="D501" t="inlineStr">
        <is>
          <t>VÄSTMANLANDS LÄN</t>
        </is>
      </c>
      <c r="E501" t="inlineStr">
        <is>
          <t>SALA</t>
        </is>
      </c>
      <c r="F501" t="inlineStr">
        <is>
          <t>Bergvik skog öst AB</t>
        </is>
      </c>
      <c r="G501" t="n">
        <v>4.5</v>
      </c>
      <c r="H501" t="n">
        <v>0</v>
      </c>
      <c r="I501" t="n">
        <v>0</v>
      </c>
      <c r="J501" t="n">
        <v>0</v>
      </c>
      <c r="K501" t="n">
        <v>0</v>
      </c>
      <c r="L501" t="n">
        <v>0</v>
      </c>
      <c r="M501" t="n">
        <v>0</v>
      </c>
      <c r="N501" t="n">
        <v>0</v>
      </c>
      <c r="O501" t="n">
        <v>0</v>
      </c>
      <c r="P501" t="n">
        <v>0</v>
      </c>
      <c r="Q501" t="n">
        <v>0</v>
      </c>
      <c r="R501" s="2" t="inlineStr"/>
    </row>
    <row r="502" ht="15" customHeight="1">
      <c r="A502" t="inlineStr">
        <is>
          <t>A 63269-2025</t>
        </is>
      </c>
      <c r="B502" s="1" t="n">
        <v>46010</v>
      </c>
      <c r="C502" s="1" t="n">
        <v>46033</v>
      </c>
      <c r="D502" t="inlineStr">
        <is>
          <t>VÄSTMANLANDS LÄN</t>
        </is>
      </c>
      <c r="E502" t="inlineStr">
        <is>
          <t>SALA</t>
        </is>
      </c>
      <c r="G502" t="n">
        <v>6.4</v>
      </c>
      <c r="H502" t="n">
        <v>0</v>
      </c>
      <c r="I502" t="n">
        <v>0</v>
      </c>
      <c r="J502" t="n">
        <v>0</v>
      </c>
      <c r="K502" t="n">
        <v>0</v>
      </c>
      <c r="L502" t="n">
        <v>0</v>
      </c>
      <c r="M502" t="n">
        <v>0</v>
      </c>
      <c r="N502" t="n">
        <v>0</v>
      </c>
      <c r="O502" t="n">
        <v>0</v>
      </c>
      <c r="P502" t="n">
        <v>0</v>
      </c>
      <c r="Q502" t="n">
        <v>0</v>
      </c>
      <c r="R502" s="2" t="inlineStr"/>
    </row>
    <row r="503" ht="15" customHeight="1">
      <c r="A503" t="inlineStr">
        <is>
          <t>A 12225-2023</t>
        </is>
      </c>
      <c r="B503" s="1" t="n">
        <v>44995</v>
      </c>
      <c r="C503" s="1" t="n">
        <v>46033</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61874-2021</t>
        </is>
      </c>
      <c r="B504" s="1" t="n">
        <v>44502</v>
      </c>
      <c r="C504" s="1" t="n">
        <v>46033</v>
      </c>
      <c r="D504" t="inlineStr">
        <is>
          <t>VÄSTMANLANDS LÄN</t>
        </is>
      </c>
      <c r="E504" t="inlineStr">
        <is>
          <t>SALA</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62651-2022</t>
        </is>
      </c>
      <c r="B505" s="1" t="n">
        <v>44917</v>
      </c>
      <c r="C505" s="1" t="n">
        <v>46033</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58359-2025</t>
        </is>
      </c>
      <c r="B506" s="1" t="n">
        <v>45985.51594907408</v>
      </c>
      <c r="C506" s="1" t="n">
        <v>46033</v>
      </c>
      <c r="D506" t="inlineStr">
        <is>
          <t>VÄSTMANLANDS LÄN</t>
        </is>
      </c>
      <c r="E506" t="inlineStr">
        <is>
          <t>SALA</t>
        </is>
      </c>
      <c r="G506" t="n">
        <v>3.7</v>
      </c>
      <c r="H506" t="n">
        <v>0</v>
      </c>
      <c r="I506" t="n">
        <v>0</v>
      </c>
      <c r="J506" t="n">
        <v>0</v>
      </c>
      <c r="K506" t="n">
        <v>0</v>
      </c>
      <c r="L506" t="n">
        <v>0</v>
      </c>
      <c r="M506" t="n">
        <v>0</v>
      </c>
      <c r="N506" t="n">
        <v>0</v>
      </c>
      <c r="O506" t="n">
        <v>0</v>
      </c>
      <c r="P506" t="n">
        <v>0</v>
      </c>
      <c r="Q506" t="n">
        <v>0</v>
      </c>
      <c r="R506" s="2" t="inlineStr"/>
    </row>
    <row r="507" ht="15" customHeight="1">
      <c r="A507" t="inlineStr">
        <is>
          <t>A 58364-2025</t>
        </is>
      </c>
      <c r="B507" s="1" t="n">
        <v>45985.5228125</v>
      </c>
      <c r="C507" s="1" t="n">
        <v>46033</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15968-2024</t>
        </is>
      </c>
      <c r="B508" s="1" t="n">
        <v>45405.56021990741</v>
      </c>
      <c r="C508" s="1" t="n">
        <v>46033</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60730-2023</t>
        </is>
      </c>
      <c r="B509" s="1" t="n">
        <v>45260</v>
      </c>
      <c r="C509" s="1" t="n">
        <v>46033</v>
      </c>
      <c r="D509" t="inlineStr">
        <is>
          <t>VÄSTMANLANDS LÄN</t>
        </is>
      </c>
      <c r="E509" t="inlineStr">
        <is>
          <t>SALA</t>
        </is>
      </c>
      <c r="G509" t="n">
        <v>1.3</v>
      </c>
      <c r="H509" t="n">
        <v>0</v>
      </c>
      <c r="I509" t="n">
        <v>0</v>
      </c>
      <c r="J509" t="n">
        <v>0</v>
      </c>
      <c r="K509" t="n">
        <v>0</v>
      </c>
      <c r="L509" t="n">
        <v>0</v>
      </c>
      <c r="M509" t="n">
        <v>0</v>
      </c>
      <c r="N509" t="n">
        <v>0</v>
      </c>
      <c r="O509" t="n">
        <v>0</v>
      </c>
      <c r="P509" t="n">
        <v>0</v>
      </c>
      <c r="Q509" t="n">
        <v>0</v>
      </c>
      <c r="R509" s="2" t="inlineStr"/>
    </row>
    <row r="510" ht="15" customHeight="1">
      <c r="A510" t="inlineStr">
        <is>
          <t>A 60731-2023</t>
        </is>
      </c>
      <c r="B510" s="1" t="n">
        <v>45260</v>
      </c>
      <c r="C510" s="1" t="n">
        <v>46033</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58282-2025</t>
        </is>
      </c>
      <c r="B511" s="1" t="n">
        <v>45985.44309027777</v>
      </c>
      <c r="C511" s="1" t="n">
        <v>46033</v>
      </c>
      <c r="D511" t="inlineStr">
        <is>
          <t>VÄSTMANLANDS LÄN</t>
        </is>
      </c>
      <c r="E511" t="inlineStr">
        <is>
          <t>SALA</t>
        </is>
      </c>
      <c r="G511" t="n">
        <v>8.9</v>
      </c>
      <c r="H511" t="n">
        <v>0</v>
      </c>
      <c r="I511" t="n">
        <v>0</v>
      </c>
      <c r="J511" t="n">
        <v>0</v>
      </c>
      <c r="K511" t="n">
        <v>0</v>
      </c>
      <c r="L511" t="n">
        <v>0</v>
      </c>
      <c r="M511" t="n">
        <v>0</v>
      </c>
      <c r="N511" t="n">
        <v>0</v>
      </c>
      <c r="O511" t="n">
        <v>0</v>
      </c>
      <c r="P511" t="n">
        <v>0</v>
      </c>
      <c r="Q511" t="n">
        <v>0</v>
      </c>
      <c r="R511" s="2" t="inlineStr"/>
    </row>
    <row r="512" ht="15" customHeight="1">
      <c r="A512" t="inlineStr">
        <is>
          <t>A 18461-2024</t>
        </is>
      </c>
      <c r="B512" s="1" t="n">
        <v>45425.47435185185</v>
      </c>
      <c r="C512" s="1" t="n">
        <v>46033</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55760-2025</t>
        </is>
      </c>
      <c r="B513" s="1" t="n">
        <v>45972</v>
      </c>
      <c r="C513" s="1" t="n">
        <v>46033</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4663-2022</t>
        </is>
      </c>
      <c r="B514" s="1" t="n">
        <v>44592.45429398148</v>
      </c>
      <c r="C514" s="1" t="n">
        <v>46033</v>
      </c>
      <c r="D514" t="inlineStr">
        <is>
          <t>VÄSTMANLANDS LÄN</t>
        </is>
      </c>
      <c r="E514" t="inlineStr">
        <is>
          <t>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58357-2025</t>
        </is>
      </c>
      <c r="B515" s="1" t="n">
        <v>45985.51518518518</v>
      </c>
      <c r="C515" s="1" t="n">
        <v>46033</v>
      </c>
      <c r="D515" t="inlineStr">
        <is>
          <t>VÄSTMANLANDS LÄN</t>
        </is>
      </c>
      <c r="E515" t="inlineStr">
        <is>
          <t>SALA</t>
        </is>
      </c>
      <c r="G515" t="n">
        <v>3</v>
      </c>
      <c r="H515" t="n">
        <v>0</v>
      </c>
      <c r="I515" t="n">
        <v>0</v>
      </c>
      <c r="J515" t="n">
        <v>0</v>
      </c>
      <c r="K515" t="n">
        <v>0</v>
      </c>
      <c r="L515" t="n">
        <v>0</v>
      </c>
      <c r="M515" t="n">
        <v>0</v>
      </c>
      <c r="N515" t="n">
        <v>0</v>
      </c>
      <c r="O515" t="n">
        <v>0</v>
      </c>
      <c r="P515" t="n">
        <v>0</v>
      </c>
      <c r="Q515" t="n">
        <v>0</v>
      </c>
      <c r="R515" s="2" t="inlineStr"/>
    </row>
    <row r="516" ht="15" customHeight="1">
      <c r="A516" t="inlineStr">
        <is>
          <t>A 58365-2025</t>
        </is>
      </c>
      <c r="B516" s="1" t="n">
        <v>45985.52288194445</v>
      </c>
      <c r="C516" s="1" t="n">
        <v>46033</v>
      </c>
      <c r="D516" t="inlineStr">
        <is>
          <t>VÄSTMANLANDS LÄN</t>
        </is>
      </c>
      <c r="E516" t="inlineStr">
        <is>
          <t>SALA</t>
        </is>
      </c>
      <c r="G516" t="n">
        <v>3.9</v>
      </c>
      <c r="H516" t="n">
        <v>0</v>
      </c>
      <c r="I516" t="n">
        <v>0</v>
      </c>
      <c r="J516" t="n">
        <v>0</v>
      </c>
      <c r="K516" t="n">
        <v>0</v>
      </c>
      <c r="L516" t="n">
        <v>0</v>
      </c>
      <c r="M516" t="n">
        <v>0</v>
      </c>
      <c r="N516" t="n">
        <v>0</v>
      </c>
      <c r="O516" t="n">
        <v>0</v>
      </c>
      <c r="P516" t="n">
        <v>0</v>
      </c>
      <c r="Q516" t="n">
        <v>0</v>
      </c>
      <c r="R516" s="2" t="inlineStr"/>
    </row>
    <row r="517" ht="15" customHeight="1">
      <c r="A517" t="inlineStr">
        <is>
          <t>A 6032-2025</t>
        </is>
      </c>
      <c r="B517" s="1" t="n">
        <v>45695.6371875</v>
      </c>
      <c r="C517" s="1" t="n">
        <v>46033</v>
      </c>
      <c r="D517" t="inlineStr">
        <is>
          <t>VÄSTMANLANDS LÄN</t>
        </is>
      </c>
      <c r="E517" t="inlineStr">
        <is>
          <t>SALA</t>
        </is>
      </c>
      <c r="F517" t="inlineStr">
        <is>
          <t>Bergvik skog öst AB</t>
        </is>
      </c>
      <c r="G517" t="n">
        <v>8.1</v>
      </c>
      <c r="H517" t="n">
        <v>0</v>
      </c>
      <c r="I517" t="n">
        <v>0</v>
      </c>
      <c r="J517" t="n">
        <v>0</v>
      </c>
      <c r="K517" t="n">
        <v>0</v>
      </c>
      <c r="L517" t="n">
        <v>0</v>
      </c>
      <c r="M517" t="n">
        <v>0</v>
      </c>
      <c r="N517" t="n">
        <v>0</v>
      </c>
      <c r="O517" t="n">
        <v>0</v>
      </c>
      <c r="P517" t="n">
        <v>0</v>
      </c>
      <c r="Q517" t="n">
        <v>0</v>
      </c>
      <c r="R517" s="2" t="inlineStr"/>
    </row>
    <row r="518" ht="15" customHeight="1">
      <c r="A518" t="inlineStr">
        <is>
          <t>A 2766-2024</t>
        </is>
      </c>
      <c r="B518" s="1" t="n">
        <v>45314.60950231482</v>
      </c>
      <c r="C518" s="1" t="n">
        <v>46033</v>
      </c>
      <c r="D518" t="inlineStr">
        <is>
          <t>VÄSTMANLANDS LÄN</t>
        </is>
      </c>
      <c r="E518" t="inlineStr">
        <is>
          <t>SALA</t>
        </is>
      </c>
      <c r="G518" t="n">
        <v>2.8</v>
      </c>
      <c r="H518" t="n">
        <v>0</v>
      </c>
      <c r="I518" t="n">
        <v>0</v>
      </c>
      <c r="J518" t="n">
        <v>0</v>
      </c>
      <c r="K518" t="n">
        <v>0</v>
      </c>
      <c r="L518" t="n">
        <v>0</v>
      </c>
      <c r="M518" t="n">
        <v>0</v>
      </c>
      <c r="N518" t="n">
        <v>0</v>
      </c>
      <c r="O518" t="n">
        <v>0</v>
      </c>
      <c r="P518" t="n">
        <v>0</v>
      </c>
      <c r="Q518" t="n">
        <v>0</v>
      </c>
      <c r="R518" s="2" t="inlineStr"/>
    </row>
    <row r="519" ht="15" customHeight="1">
      <c r="A519" t="inlineStr">
        <is>
          <t>A 6351-2023</t>
        </is>
      </c>
      <c r="B519" s="1" t="n">
        <v>44965</v>
      </c>
      <c r="C519" s="1" t="n">
        <v>46033</v>
      </c>
      <c r="D519" t="inlineStr">
        <is>
          <t>VÄSTMANLANDS LÄN</t>
        </is>
      </c>
      <c r="E519" t="inlineStr">
        <is>
          <t>SALA</t>
        </is>
      </c>
      <c r="F519" t="inlineStr">
        <is>
          <t>Kommuner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45187-2024</t>
        </is>
      </c>
      <c r="B520" s="1" t="n">
        <v>45575</v>
      </c>
      <c r="C520" s="1" t="n">
        <v>46033</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33527-2023</t>
        </is>
      </c>
      <c r="B521" s="1" t="n">
        <v>45131</v>
      </c>
      <c r="C521" s="1" t="n">
        <v>46033</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7377-2023</t>
        </is>
      </c>
      <c r="B522" s="1" t="n">
        <v>44971</v>
      </c>
      <c r="C522" s="1" t="n">
        <v>46033</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6308-2021</t>
        </is>
      </c>
      <c r="B523" s="1" t="n">
        <v>44235</v>
      </c>
      <c r="C523" s="1" t="n">
        <v>46033</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21159-2022</t>
        </is>
      </c>
      <c r="B524" s="1" t="n">
        <v>44704</v>
      </c>
      <c r="C524" s="1" t="n">
        <v>46033</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948-2026</t>
        </is>
      </c>
      <c r="B525" s="1" t="n">
        <v>46030.53986111111</v>
      </c>
      <c r="C525" s="1" t="n">
        <v>46033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56688-2024</t>
        </is>
      </c>
      <c r="B526" s="1" t="n">
        <v>45627.66478009259</v>
      </c>
      <c r="C526" s="1" t="n">
        <v>46033</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59385-2025</t>
        </is>
      </c>
      <c r="B527" s="1" t="n">
        <v>45989.45746527778</v>
      </c>
      <c r="C527" s="1" t="n">
        <v>46033</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59390-2025</t>
        </is>
      </c>
      <c r="B528" s="1" t="n">
        <v>45989.4640162037</v>
      </c>
      <c r="C528" s="1" t="n">
        <v>46033</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51247-2025</t>
        </is>
      </c>
      <c r="B529" s="1" t="n">
        <v>45947.86487268518</v>
      </c>
      <c r="C529" s="1" t="n">
        <v>46033</v>
      </c>
      <c r="D529" t="inlineStr">
        <is>
          <t>VÄSTMANLANDS LÄN</t>
        </is>
      </c>
      <c r="E529" t="inlineStr">
        <is>
          <t>SALA</t>
        </is>
      </c>
      <c r="G529" t="n">
        <v>10.4</v>
      </c>
      <c r="H529" t="n">
        <v>0</v>
      </c>
      <c r="I529" t="n">
        <v>0</v>
      </c>
      <c r="J529" t="n">
        <v>0</v>
      </c>
      <c r="K529" t="n">
        <v>0</v>
      </c>
      <c r="L529" t="n">
        <v>0</v>
      </c>
      <c r="M529" t="n">
        <v>0</v>
      </c>
      <c r="N529" t="n">
        <v>0</v>
      </c>
      <c r="O529" t="n">
        <v>0</v>
      </c>
      <c r="P529" t="n">
        <v>0</v>
      </c>
      <c r="Q529" t="n">
        <v>0</v>
      </c>
      <c r="R529" s="2" t="inlineStr"/>
    </row>
    <row r="530" ht="15" customHeight="1">
      <c r="A530" t="inlineStr">
        <is>
          <t>A 16159-2024</t>
        </is>
      </c>
      <c r="B530" s="1" t="n">
        <v>45406</v>
      </c>
      <c r="C530" s="1" t="n">
        <v>46033</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66307-2021</t>
        </is>
      </c>
      <c r="B531" s="1" t="n">
        <v>44518.48670138889</v>
      </c>
      <c r="C531" s="1" t="n">
        <v>46033</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27262-2024</t>
        </is>
      </c>
      <c r="B532" s="1" t="n">
        <v>45471</v>
      </c>
      <c r="C532" s="1" t="n">
        <v>46033</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10913-2025</t>
        </is>
      </c>
      <c r="B533" s="1" t="n">
        <v>45722.73423611111</v>
      </c>
      <c r="C533" s="1" t="n">
        <v>46033</v>
      </c>
      <c r="D533" t="inlineStr">
        <is>
          <t>VÄSTMANLANDS LÄN</t>
        </is>
      </c>
      <c r="E533" t="inlineStr">
        <is>
          <t>SALA</t>
        </is>
      </c>
      <c r="G533" t="n">
        <v>7.6</v>
      </c>
      <c r="H533" t="n">
        <v>0</v>
      </c>
      <c r="I533" t="n">
        <v>0</v>
      </c>
      <c r="J533" t="n">
        <v>0</v>
      </c>
      <c r="K533" t="n">
        <v>0</v>
      </c>
      <c r="L533" t="n">
        <v>0</v>
      </c>
      <c r="M533" t="n">
        <v>0</v>
      </c>
      <c r="N533" t="n">
        <v>0</v>
      </c>
      <c r="O533" t="n">
        <v>0</v>
      </c>
      <c r="P533" t="n">
        <v>0</v>
      </c>
      <c r="Q533" t="n">
        <v>0</v>
      </c>
      <c r="R533" s="2" t="inlineStr"/>
    </row>
    <row r="534" ht="15" customHeight="1">
      <c r="A534" t="inlineStr">
        <is>
          <t>A 914-2026</t>
        </is>
      </c>
      <c r="B534" s="1" t="n">
        <v>46030.47952546296</v>
      </c>
      <c r="C534" s="1" t="n">
        <v>46033</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910-2026</t>
        </is>
      </c>
      <c r="B535" s="1" t="n">
        <v>46030.4771412037</v>
      </c>
      <c r="C535" s="1" t="n">
        <v>46033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46033</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46033</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46033</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46033</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3551-2024</t>
        </is>
      </c>
      <c r="B540" s="1" t="n">
        <v>45320.61099537037</v>
      </c>
      <c r="C540" s="1" t="n">
        <v>46033</v>
      </c>
      <c r="D540" t="inlineStr">
        <is>
          <t>VÄSTMANLANDS LÄN</t>
        </is>
      </c>
      <c r="E540" t="inlineStr">
        <is>
          <t>SALA</t>
        </is>
      </c>
      <c r="F540" t="inlineStr">
        <is>
          <t>Kommuner</t>
        </is>
      </c>
      <c r="G540" t="n">
        <v>6</v>
      </c>
      <c r="H540" t="n">
        <v>0</v>
      </c>
      <c r="I540" t="n">
        <v>0</v>
      </c>
      <c r="J540" t="n">
        <v>0</v>
      </c>
      <c r="K540" t="n">
        <v>0</v>
      </c>
      <c r="L540" t="n">
        <v>0</v>
      </c>
      <c r="M540" t="n">
        <v>0</v>
      </c>
      <c r="N540" t="n">
        <v>0</v>
      </c>
      <c r="O540" t="n">
        <v>0</v>
      </c>
      <c r="P540" t="n">
        <v>0</v>
      </c>
      <c r="Q540" t="n">
        <v>0</v>
      </c>
      <c r="R540" s="2" t="inlineStr"/>
    </row>
    <row r="541" ht="15" customHeight="1">
      <c r="A541" t="inlineStr">
        <is>
          <t>A 22961-2023</t>
        </is>
      </c>
      <c r="B541" s="1" t="n">
        <v>45072</v>
      </c>
      <c r="C541" s="1" t="n">
        <v>46033</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22963-2023</t>
        </is>
      </c>
      <c r="B542" s="1" t="n">
        <v>45072</v>
      </c>
      <c r="C542" s="1" t="n">
        <v>46033</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54960-2024</t>
        </is>
      </c>
      <c r="B543" s="1" t="n">
        <v>45619.85208333333</v>
      </c>
      <c r="C543" s="1" t="n">
        <v>46033</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27228-2023</t>
        </is>
      </c>
      <c r="B544" s="1" t="n">
        <v>45096.59189814814</v>
      </c>
      <c r="C544" s="1" t="n">
        <v>46033</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26507-2023</t>
        </is>
      </c>
      <c r="B545" s="1" t="n">
        <v>45092</v>
      </c>
      <c r="C545" s="1" t="n">
        <v>46033</v>
      </c>
      <c r="D545" t="inlineStr">
        <is>
          <t>VÄSTMANLANDS LÄN</t>
        </is>
      </c>
      <c r="E545" t="inlineStr">
        <is>
          <t>SALA</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6183-2025</t>
        </is>
      </c>
      <c r="B546" s="1" t="n">
        <v>45698</v>
      </c>
      <c r="C546" s="1" t="n">
        <v>46033</v>
      </c>
      <c r="D546" t="inlineStr">
        <is>
          <t>VÄSTMANLANDS LÄN</t>
        </is>
      </c>
      <c r="E546" t="inlineStr">
        <is>
          <t>SALA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16543-2023</t>
        </is>
      </c>
      <c r="B547" s="1" t="n">
        <v>45029</v>
      </c>
      <c r="C547" s="1" t="n">
        <v>46033</v>
      </c>
      <c r="D547" t="inlineStr">
        <is>
          <t>VÄSTMANLANDS LÄN</t>
        </is>
      </c>
      <c r="E547" t="inlineStr">
        <is>
          <t>SALA</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43176-2023</t>
        </is>
      </c>
      <c r="B548" s="1" t="n">
        <v>45183</v>
      </c>
      <c r="C548" s="1" t="n">
        <v>46033</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37624-2024</t>
        </is>
      </c>
      <c r="B549" s="1" t="n">
        <v>45541</v>
      </c>
      <c r="C549" s="1" t="n">
        <v>46033</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57895-2024</t>
        </is>
      </c>
      <c r="B550" s="1" t="n">
        <v>45631</v>
      </c>
      <c r="C550" s="1" t="n">
        <v>46033</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46033</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14010-2021</t>
        </is>
      </c>
      <c r="B552" s="1" t="n">
        <v>44277.63396990741</v>
      </c>
      <c r="C552" s="1" t="n">
        <v>46033</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56687-2024</t>
        </is>
      </c>
      <c r="B553" s="1" t="n">
        <v>45627.63271990741</v>
      </c>
      <c r="C553" s="1" t="n">
        <v>46033</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54347-2024</t>
        </is>
      </c>
      <c r="B554" s="1" t="n">
        <v>45617.39325231482</v>
      </c>
      <c r="C554" s="1" t="n">
        <v>46033</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64693-2023</t>
        </is>
      </c>
      <c r="B555" s="1" t="n">
        <v>45281.63850694444</v>
      </c>
      <c r="C555" s="1" t="n">
        <v>46033</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64695-2023</t>
        </is>
      </c>
      <c r="B556" s="1" t="n">
        <v>45281.64099537037</v>
      </c>
      <c r="C556" s="1" t="n">
        <v>46033</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27486-2022</t>
        </is>
      </c>
      <c r="B557" s="1" t="n">
        <v>44742.60846064815</v>
      </c>
      <c r="C557" s="1" t="n">
        <v>46033</v>
      </c>
      <c r="D557" t="inlineStr">
        <is>
          <t>VÄSTMANLANDS LÄN</t>
        </is>
      </c>
      <c r="E557" t="inlineStr">
        <is>
          <t>SALA</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35003-2024</t>
        </is>
      </c>
      <c r="B558" s="1" t="n">
        <v>45527.56790509259</v>
      </c>
      <c r="C558" s="1" t="n">
        <v>46033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48688-2024</t>
        </is>
      </c>
      <c r="B559" s="1" t="n">
        <v>45593.50541666667</v>
      </c>
      <c r="C559" s="1" t="n">
        <v>46033</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15354-2021</t>
        </is>
      </c>
      <c r="B560" s="1" t="n">
        <v>44284</v>
      </c>
      <c r="C560" s="1" t="n">
        <v>46033</v>
      </c>
      <c r="D560" t="inlineStr">
        <is>
          <t>VÄSTMANLANDS LÄN</t>
        </is>
      </c>
      <c r="E560" t="inlineStr">
        <is>
          <t>SALA</t>
        </is>
      </c>
      <c r="F560" t="inlineStr">
        <is>
          <t>Kyrkan</t>
        </is>
      </c>
      <c r="G560" t="n">
        <v>8.5</v>
      </c>
      <c r="H560" t="n">
        <v>0</v>
      </c>
      <c r="I560" t="n">
        <v>0</v>
      </c>
      <c r="J560" t="n">
        <v>0</v>
      </c>
      <c r="K560" t="n">
        <v>0</v>
      </c>
      <c r="L560" t="n">
        <v>0</v>
      </c>
      <c r="M560" t="n">
        <v>0</v>
      </c>
      <c r="N560" t="n">
        <v>0</v>
      </c>
      <c r="O560" t="n">
        <v>0</v>
      </c>
      <c r="P560" t="n">
        <v>0</v>
      </c>
      <c r="Q560" t="n">
        <v>0</v>
      </c>
      <c r="R560" s="2" t="inlineStr"/>
    </row>
    <row r="561" ht="15" customHeight="1">
      <c r="A561" t="inlineStr">
        <is>
          <t>A 63933-2023</t>
        </is>
      </c>
      <c r="B561" s="1" t="n">
        <v>45278</v>
      </c>
      <c r="C561" s="1" t="n">
        <v>46033</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44746-2024</t>
        </is>
      </c>
      <c r="B562" s="1" t="n">
        <v>45574.59813657407</v>
      </c>
      <c r="C562" s="1" t="n">
        <v>46033</v>
      </c>
      <c r="D562" t="inlineStr">
        <is>
          <t>VÄSTMANLANDS LÄN</t>
        </is>
      </c>
      <c r="E562" t="inlineStr">
        <is>
          <t>SALA</t>
        </is>
      </c>
      <c r="G562" t="n">
        <v>6.7</v>
      </c>
      <c r="H562" t="n">
        <v>0</v>
      </c>
      <c r="I562" t="n">
        <v>0</v>
      </c>
      <c r="J562" t="n">
        <v>0</v>
      </c>
      <c r="K562" t="n">
        <v>0</v>
      </c>
      <c r="L562" t="n">
        <v>0</v>
      </c>
      <c r="M562" t="n">
        <v>0</v>
      </c>
      <c r="N562" t="n">
        <v>0</v>
      </c>
      <c r="O562" t="n">
        <v>0</v>
      </c>
      <c r="P562" t="n">
        <v>0</v>
      </c>
      <c r="Q562" t="n">
        <v>0</v>
      </c>
      <c r="R562" s="2" t="inlineStr"/>
    </row>
    <row r="563" ht="15" customHeight="1">
      <c r="A563" t="inlineStr">
        <is>
          <t>A 33273-2023</t>
        </is>
      </c>
      <c r="B563" s="1" t="n">
        <v>45127</v>
      </c>
      <c r="C563" s="1" t="n">
        <v>46033</v>
      </c>
      <c r="D563" t="inlineStr">
        <is>
          <t>VÄSTMANLANDS LÄN</t>
        </is>
      </c>
      <c r="E563" t="inlineStr">
        <is>
          <t>SALA</t>
        </is>
      </c>
      <c r="G563" t="n">
        <v>2.6</v>
      </c>
      <c r="H563" t="n">
        <v>0</v>
      </c>
      <c r="I563" t="n">
        <v>0</v>
      </c>
      <c r="J563" t="n">
        <v>0</v>
      </c>
      <c r="K563" t="n">
        <v>0</v>
      </c>
      <c r="L563" t="n">
        <v>0</v>
      </c>
      <c r="M563" t="n">
        <v>0</v>
      </c>
      <c r="N563" t="n">
        <v>0</v>
      </c>
      <c r="O563" t="n">
        <v>0</v>
      </c>
      <c r="P563" t="n">
        <v>0</v>
      </c>
      <c r="Q563" t="n">
        <v>0</v>
      </c>
      <c r="R563" s="2" t="inlineStr"/>
    </row>
    <row r="564" ht="15" customHeight="1">
      <c r="A564" t="inlineStr">
        <is>
          <t>A 11696-2025</t>
        </is>
      </c>
      <c r="B564" s="1" t="n">
        <v>45727</v>
      </c>
      <c r="C564" s="1" t="n">
        <v>46033</v>
      </c>
      <c r="D564" t="inlineStr">
        <is>
          <t>VÄSTMANLANDS LÄN</t>
        </is>
      </c>
      <c r="E564" t="inlineStr">
        <is>
          <t>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60545-2024</t>
        </is>
      </c>
      <c r="B565" s="1" t="n">
        <v>45643</v>
      </c>
      <c r="C565" s="1" t="n">
        <v>46033</v>
      </c>
      <c r="D565" t="inlineStr">
        <is>
          <t>VÄSTMANLANDS LÄN</t>
        </is>
      </c>
      <c r="E565" t="inlineStr">
        <is>
          <t>SALA</t>
        </is>
      </c>
      <c r="G565" t="n">
        <v>3.3</v>
      </c>
      <c r="H565" t="n">
        <v>0</v>
      </c>
      <c r="I565" t="n">
        <v>0</v>
      </c>
      <c r="J565" t="n">
        <v>0</v>
      </c>
      <c r="K565" t="n">
        <v>0</v>
      </c>
      <c r="L565" t="n">
        <v>0</v>
      </c>
      <c r="M565" t="n">
        <v>0</v>
      </c>
      <c r="N565" t="n">
        <v>0</v>
      </c>
      <c r="O565" t="n">
        <v>0</v>
      </c>
      <c r="P565" t="n">
        <v>0</v>
      </c>
      <c r="Q565" t="n">
        <v>0</v>
      </c>
      <c r="R565" s="2" t="inlineStr"/>
    </row>
    <row r="566" ht="15" customHeight="1">
      <c r="A566" t="inlineStr">
        <is>
          <t>A 60547-2024</t>
        </is>
      </c>
      <c r="B566" s="1" t="n">
        <v>45643</v>
      </c>
      <c r="C566" s="1" t="n">
        <v>46033</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1985-2022</t>
        </is>
      </c>
      <c r="B567" s="1" t="n">
        <v>44575</v>
      </c>
      <c r="C567" s="1" t="n">
        <v>46033</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27261-2024</t>
        </is>
      </c>
      <c r="B568" s="1" t="n">
        <v>45471</v>
      </c>
      <c r="C568" s="1" t="n">
        <v>46033</v>
      </c>
      <c r="D568" t="inlineStr">
        <is>
          <t>VÄSTMANLANDS LÄN</t>
        </is>
      </c>
      <c r="E568" t="inlineStr">
        <is>
          <t>SALA</t>
        </is>
      </c>
      <c r="G568" t="n">
        <v>6.1</v>
      </c>
      <c r="H568" t="n">
        <v>0</v>
      </c>
      <c r="I568" t="n">
        <v>0</v>
      </c>
      <c r="J568" t="n">
        <v>0</v>
      </c>
      <c r="K568" t="n">
        <v>0</v>
      </c>
      <c r="L568" t="n">
        <v>0</v>
      </c>
      <c r="M568" t="n">
        <v>0</v>
      </c>
      <c r="N568" t="n">
        <v>0</v>
      </c>
      <c r="O568" t="n">
        <v>0</v>
      </c>
      <c r="P568" t="n">
        <v>0</v>
      </c>
      <c r="Q568" t="n">
        <v>0</v>
      </c>
      <c r="R568" s="2" t="inlineStr"/>
    </row>
    <row r="569" ht="15" customHeight="1">
      <c r="A569" t="inlineStr">
        <is>
          <t>A 35976-2024</t>
        </is>
      </c>
      <c r="B569" s="1" t="n">
        <v>45533.49555555556</v>
      </c>
      <c r="C569" s="1" t="n">
        <v>46033</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55556-2023</t>
        </is>
      </c>
      <c r="B570" s="1" t="n">
        <v>45232</v>
      </c>
      <c r="C570" s="1" t="n">
        <v>46033</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57650-2024</t>
        </is>
      </c>
      <c r="B571" s="1" t="n">
        <v>45630</v>
      </c>
      <c r="C571" s="1" t="n">
        <v>46033</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46033</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46033</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2928-2024</t>
        </is>
      </c>
      <c r="B574" s="1" t="n">
        <v>45315.59041666667</v>
      </c>
      <c r="C574" s="1" t="n">
        <v>46033</v>
      </c>
      <c r="D574" t="inlineStr">
        <is>
          <t>VÄSTMANLANDS LÄN</t>
        </is>
      </c>
      <c r="E574" t="inlineStr">
        <is>
          <t>SALA</t>
        </is>
      </c>
      <c r="G574" t="n">
        <v>1.4</v>
      </c>
      <c r="H574" t="n">
        <v>0</v>
      </c>
      <c r="I574" t="n">
        <v>0</v>
      </c>
      <c r="J574" t="n">
        <v>0</v>
      </c>
      <c r="K574" t="n">
        <v>0</v>
      </c>
      <c r="L574" t="n">
        <v>0</v>
      </c>
      <c r="M574" t="n">
        <v>0</v>
      </c>
      <c r="N574" t="n">
        <v>0</v>
      </c>
      <c r="O574" t="n">
        <v>0</v>
      </c>
      <c r="P574" t="n">
        <v>0</v>
      </c>
      <c r="Q574" t="n">
        <v>0</v>
      </c>
      <c r="R574" s="2" t="inlineStr"/>
    </row>
    <row r="575" ht="15" customHeight="1">
      <c r="A575" t="inlineStr">
        <is>
          <t>A 73673-2021</t>
        </is>
      </c>
      <c r="B575" s="1" t="n">
        <v>44552.46501157407</v>
      </c>
      <c r="C575" s="1" t="n">
        <v>46033</v>
      </c>
      <c r="D575" t="inlineStr">
        <is>
          <t>VÄSTMANLANDS LÄN</t>
        </is>
      </c>
      <c r="E575" t="inlineStr">
        <is>
          <t>SALA</t>
        </is>
      </c>
      <c r="G575" t="n">
        <v>11.4</v>
      </c>
      <c r="H575" t="n">
        <v>0</v>
      </c>
      <c r="I575" t="n">
        <v>0</v>
      </c>
      <c r="J575" t="n">
        <v>0</v>
      </c>
      <c r="K575" t="n">
        <v>0</v>
      </c>
      <c r="L575" t="n">
        <v>0</v>
      </c>
      <c r="M575" t="n">
        <v>0</v>
      </c>
      <c r="N575" t="n">
        <v>0</v>
      </c>
      <c r="O575" t="n">
        <v>0</v>
      </c>
      <c r="P575" t="n">
        <v>0</v>
      </c>
      <c r="Q575" t="n">
        <v>0</v>
      </c>
      <c r="R575" s="2" t="inlineStr"/>
    </row>
    <row r="576" ht="15" customHeight="1">
      <c r="A576" t="inlineStr">
        <is>
          <t>A 40871-2021</t>
        </is>
      </c>
      <c r="B576" s="1" t="n">
        <v>44421</v>
      </c>
      <c r="C576" s="1" t="n">
        <v>46033</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14271-2025</t>
        </is>
      </c>
      <c r="B577" s="1" t="n">
        <v>45740.64129629629</v>
      </c>
      <c r="C577" s="1" t="n">
        <v>46033</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54199-2024</t>
        </is>
      </c>
      <c r="B578" s="1" t="n">
        <v>45616.64703703704</v>
      </c>
      <c r="C578" s="1" t="n">
        <v>46033</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6312-2025</t>
        </is>
      </c>
      <c r="B579" s="1" t="n">
        <v>45698</v>
      </c>
      <c r="C579" s="1" t="n">
        <v>46033</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44857-2023</t>
        </is>
      </c>
      <c r="B580" s="1" t="n">
        <v>45190.58479166667</v>
      </c>
      <c r="C580" s="1" t="n">
        <v>46033</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62654-2022</t>
        </is>
      </c>
      <c r="B581" s="1" t="n">
        <v>44917</v>
      </c>
      <c r="C581" s="1" t="n">
        <v>46033</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43188-2023</t>
        </is>
      </c>
      <c r="B582" s="1" t="n">
        <v>45183</v>
      </c>
      <c r="C582" s="1" t="n">
        <v>46033</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43205-2023</t>
        </is>
      </c>
      <c r="B583" s="1" t="n">
        <v>45183</v>
      </c>
      <c r="C583" s="1" t="n">
        <v>46033</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61892-2021</t>
        </is>
      </c>
      <c r="B584" s="1" t="n">
        <v>44502</v>
      </c>
      <c r="C584" s="1" t="n">
        <v>46033</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29213-2022</t>
        </is>
      </c>
      <c r="B585" s="1" t="n">
        <v>44750.57474537037</v>
      </c>
      <c r="C585" s="1" t="n">
        <v>46033</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59483-2022</t>
        </is>
      </c>
      <c r="B586" s="1" t="n">
        <v>44907.45679398148</v>
      </c>
      <c r="C586" s="1" t="n">
        <v>46033</v>
      </c>
      <c r="D586" t="inlineStr">
        <is>
          <t>VÄSTMANLANDS LÄN</t>
        </is>
      </c>
      <c r="E586" t="inlineStr">
        <is>
          <t>SALA</t>
        </is>
      </c>
      <c r="G586" t="n">
        <v>5.2</v>
      </c>
      <c r="H586" t="n">
        <v>0</v>
      </c>
      <c r="I586" t="n">
        <v>0</v>
      </c>
      <c r="J586" t="n">
        <v>0</v>
      </c>
      <c r="K586" t="n">
        <v>0</v>
      </c>
      <c r="L586" t="n">
        <v>0</v>
      </c>
      <c r="M586" t="n">
        <v>0</v>
      </c>
      <c r="N586" t="n">
        <v>0</v>
      </c>
      <c r="O586" t="n">
        <v>0</v>
      </c>
      <c r="P586" t="n">
        <v>0</v>
      </c>
      <c r="Q586" t="n">
        <v>0</v>
      </c>
      <c r="R586" s="2" t="inlineStr"/>
    </row>
    <row r="587" ht="15" customHeight="1">
      <c r="A587" t="inlineStr">
        <is>
          <t>A 16160-2024</t>
        </is>
      </c>
      <c r="B587" s="1" t="n">
        <v>45406</v>
      </c>
      <c r="C587" s="1" t="n">
        <v>46033</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39597-2022</t>
        </is>
      </c>
      <c r="B588" s="1" t="n">
        <v>44818</v>
      </c>
      <c r="C588" s="1" t="n">
        <v>46033</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22921-2023</t>
        </is>
      </c>
      <c r="B589" s="1" t="n">
        <v>45070</v>
      </c>
      <c r="C589" s="1" t="n">
        <v>46033</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36858-2023</t>
        </is>
      </c>
      <c r="B590" s="1" t="n">
        <v>45154.55184027777</v>
      </c>
      <c r="C590" s="1" t="n">
        <v>46033</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55024-2023</t>
        </is>
      </c>
      <c r="B591" s="1" t="n">
        <v>45229</v>
      </c>
      <c r="C591" s="1" t="n">
        <v>46033</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55032-2023</t>
        </is>
      </c>
      <c r="B592" s="1" t="n">
        <v>45229</v>
      </c>
      <c r="C592" s="1" t="n">
        <v>46033</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20352-2022</t>
        </is>
      </c>
      <c r="B593" s="1" t="n">
        <v>44699.37318287037</v>
      </c>
      <c r="C593" s="1" t="n">
        <v>46033</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5032-2025</t>
        </is>
      </c>
      <c r="B594" s="1" t="n">
        <v>45691</v>
      </c>
      <c r="C594" s="1" t="n">
        <v>46033</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17117-2023</t>
        </is>
      </c>
      <c r="B595" s="1" t="n">
        <v>45034</v>
      </c>
      <c r="C595" s="1" t="n">
        <v>46033</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19243-2025</t>
        </is>
      </c>
      <c r="B596" s="1" t="n">
        <v>45769</v>
      </c>
      <c r="C596" s="1" t="n">
        <v>46033</v>
      </c>
      <c r="D596" t="inlineStr">
        <is>
          <t>VÄSTMANLANDS LÄN</t>
        </is>
      </c>
      <c r="E596" t="inlineStr">
        <is>
          <t>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7166-2025</t>
        </is>
      </c>
      <c r="B597" s="1" t="n">
        <v>45702</v>
      </c>
      <c r="C597" s="1" t="n">
        <v>46033</v>
      </c>
      <c r="D597" t="inlineStr">
        <is>
          <t>VÄSTMANLANDS LÄN</t>
        </is>
      </c>
      <c r="E597" t="inlineStr">
        <is>
          <t>SALA</t>
        </is>
      </c>
      <c r="G597" t="n">
        <v>6.1</v>
      </c>
      <c r="H597" t="n">
        <v>0</v>
      </c>
      <c r="I597" t="n">
        <v>0</v>
      </c>
      <c r="J597" t="n">
        <v>0</v>
      </c>
      <c r="K597" t="n">
        <v>0</v>
      </c>
      <c r="L597" t="n">
        <v>0</v>
      </c>
      <c r="M597" t="n">
        <v>0</v>
      </c>
      <c r="N597" t="n">
        <v>0</v>
      </c>
      <c r="O597" t="n">
        <v>0</v>
      </c>
      <c r="P597" t="n">
        <v>0</v>
      </c>
      <c r="Q597" t="n">
        <v>0</v>
      </c>
      <c r="R597" s="2" t="inlineStr"/>
    </row>
    <row r="598" ht="15" customHeight="1">
      <c r="A598" t="inlineStr">
        <is>
          <t>A 36393-2023</t>
        </is>
      </c>
      <c r="B598" s="1" t="n">
        <v>45152</v>
      </c>
      <c r="C598" s="1" t="n">
        <v>46033</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26416-2023</t>
        </is>
      </c>
      <c r="B599" s="1" t="n">
        <v>45092.38087962963</v>
      </c>
      <c r="C599" s="1" t="n">
        <v>46033</v>
      </c>
      <c r="D599" t="inlineStr">
        <is>
          <t>VÄSTMANLANDS LÄN</t>
        </is>
      </c>
      <c r="E599" t="inlineStr">
        <is>
          <t>SALA</t>
        </is>
      </c>
      <c r="G599" t="n">
        <v>2.9</v>
      </c>
      <c r="H599" t="n">
        <v>0</v>
      </c>
      <c r="I599" t="n">
        <v>0</v>
      </c>
      <c r="J599" t="n">
        <v>0</v>
      </c>
      <c r="K599" t="n">
        <v>0</v>
      </c>
      <c r="L599" t="n">
        <v>0</v>
      </c>
      <c r="M599" t="n">
        <v>0</v>
      </c>
      <c r="N599" t="n">
        <v>0</v>
      </c>
      <c r="O599" t="n">
        <v>0</v>
      </c>
      <c r="P599" t="n">
        <v>0</v>
      </c>
      <c r="Q599" t="n">
        <v>0</v>
      </c>
      <c r="R599" s="2" t="inlineStr"/>
    </row>
    <row r="600" ht="15" customHeight="1">
      <c r="A600" t="inlineStr">
        <is>
          <t>A 28661-2024</t>
        </is>
      </c>
      <c r="B600" s="1" t="n">
        <v>45478</v>
      </c>
      <c r="C600" s="1" t="n">
        <v>46033</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27255-2023</t>
        </is>
      </c>
      <c r="B601" s="1" t="n">
        <v>45096</v>
      </c>
      <c r="C601" s="1" t="n">
        <v>46033</v>
      </c>
      <c r="D601" t="inlineStr">
        <is>
          <t>VÄSTMANLANDS LÄN</t>
        </is>
      </c>
      <c r="E601" t="inlineStr">
        <is>
          <t>SALA</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7197-2025</t>
        </is>
      </c>
      <c r="B602" s="1" t="n">
        <v>45702</v>
      </c>
      <c r="C602" s="1" t="n">
        <v>46033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13752-2025</t>
        </is>
      </c>
      <c r="B603" s="1" t="n">
        <v>45737.41416666667</v>
      </c>
      <c r="C603" s="1" t="n">
        <v>46033</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2927-2024</t>
        </is>
      </c>
      <c r="B604" s="1" t="n">
        <v>45315.58989583333</v>
      </c>
      <c r="C604" s="1" t="n">
        <v>46033</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26854-2024</t>
        </is>
      </c>
      <c r="B605" s="1" t="n">
        <v>45470</v>
      </c>
      <c r="C605" s="1" t="n">
        <v>46033</v>
      </c>
      <c r="D605" t="inlineStr">
        <is>
          <t>VÄSTMANLANDS LÄN</t>
        </is>
      </c>
      <c r="E605" t="inlineStr">
        <is>
          <t>SALA</t>
        </is>
      </c>
      <c r="G605" t="n">
        <v>1.4</v>
      </c>
      <c r="H605" t="n">
        <v>0</v>
      </c>
      <c r="I605" t="n">
        <v>0</v>
      </c>
      <c r="J605" t="n">
        <v>0</v>
      </c>
      <c r="K605" t="n">
        <v>0</v>
      </c>
      <c r="L605" t="n">
        <v>0</v>
      </c>
      <c r="M605" t="n">
        <v>0</v>
      </c>
      <c r="N605" t="n">
        <v>0</v>
      </c>
      <c r="O605" t="n">
        <v>0</v>
      </c>
      <c r="P605" t="n">
        <v>0</v>
      </c>
      <c r="Q605" t="n">
        <v>0</v>
      </c>
      <c r="R605" s="2" t="inlineStr"/>
    </row>
    <row r="606" ht="15" customHeight="1">
      <c r="A606" t="inlineStr">
        <is>
          <t>A 48570-2024</t>
        </is>
      </c>
      <c r="B606" s="1" t="n">
        <v>45591</v>
      </c>
      <c r="C606" s="1" t="n">
        <v>46033</v>
      </c>
      <c r="D606" t="inlineStr">
        <is>
          <t>VÄSTMANLANDS LÄN</t>
        </is>
      </c>
      <c r="E606" t="inlineStr">
        <is>
          <t>SALA</t>
        </is>
      </c>
      <c r="G606" t="n">
        <v>3</v>
      </c>
      <c r="H606" t="n">
        <v>0</v>
      </c>
      <c r="I606" t="n">
        <v>0</v>
      </c>
      <c r="J606" t="n">
        <v>0</v>
      </c>
      <c r="K606" t="n">
        <v>0</v>
      </c>
      <c r="L606" t="n">
        <v>0</v>
      </c>
      <c r="M606" t="n">
        <v>0</v>
      </c>
      <c r="N606" t="n">
        <v>0</v>
      </c>
      <c r="O606" t="n">
        <v>0</v>
      </c>
      <c r="P606" t="n">
        <v>0</v>
      </c>
      <c r="Q606" t="n">
        <v>0</v>
      </c>
      <c r="R606" s="2" t="inlineStr"/>
    </row>
    <row r="607" ht="15" customHeight="1">
      <c r="A607" t="inlineStr">
        <is>
          <t>A 10812-2021</t>
        </is>
      </c>
      <c r="B607" s="1" t="n">
        <v>44259</v>
      </c>
      <c r="C607" s="1" t="n">
        <v>46033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57883-2024</t>
        </is>
      </c>
      <c r="B608" s="1" t="n">
        <v>45630</v>
      </c>
      <c r="C608" s="1" t="n">
        <v>46033</v>
      </c>
      <c r="D608" t="inlineStr">
        <is>
          <t>VÄSTMANLANDS LÄN</t>
        </is>
      </c>
      <c r="E608" t="inlineStr">
        <is>
          <t>SALA</t>
        </is>
      </c>
      <c r="G608" t="n">
        <v>5.4</v>
      </c>
      <c r="H608" t="n">
        <v>0</v>
      </c>
      <c r="I608" t="n">
        <v>0</v>
      </c>
      <c r="J608" t="n">
        <v>0</v>
      </c>
      <c r="K608" t="n">
        <v>0</v>
      </c>
      <c r="L608" t="n">
        <v>0</v>
      </c>
      <c r="M608" t="n">
        <v>0</v>
      </c>
      <c r="N608" t="n">
        <v>0</v>
      </c>
      <c r="O608" t="n">
        <v>0</v>
      </c>
      <c r="P608" t="n">
        <v>0</v>
      </c>
      <c r="Q608" t="n">
        <v>0</v>
      </c>
      <c r="R608" s="2" t="inlineStr"/>
    </row>
    <row r="609" ht="15" customHeight="1">
      <c r="A609" t="inlineStr">
        <is>
          <t>A 16769-2024</t>
        </is>
      </c>
      <c r="B609" s="1" t="n">
        <v>45411.38738425926</v>
      </c>
      <c r="C609" s="1" t="n">
        <v>46033</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18877-2023</t>
        </is>
      </c>
      <c r="B610" s="1" t="n">
        <v>45044</v>
      </c>
      <c r="C610" s="1" t="n">
        <v>46033</v>
      </c>
      <c r="D610" t="inlineStr">
        <is>
          <t>VÄSTMANLANDS LÄN</t>
        </is>
      </c>
      <c r="E610" t="inlineStr">
        <is>
          <t>SALA</t>
        </is>
      </c>
      <c r="F610" t="inlineStr">
        <is>
          <t>Kommuner</t>
        </is>
      </c>
      <c r="G610" t="n">
        <v>4.4</v>
      </c>
      <c r="H610" t="n">
        <v>0</v>
      </c>
      <c r="I610" t="n">
        <v>0</v>
      </c>
      <c r="J610" t="n">
        <v>0</v>
      </c>
      <c r="K610" t="n">
        <v>0</v>
      </c>
      <c r="L610" t="n">
        <v>0</v>
      </c>
      <c r="M610" t="n">
        <v>0</v>
      </c>
      <c r="N610" t="n">
        <v>0</v>
      </c>
      <c r="O610" t="n">
        <v>0</v>
      </c>
      <c r="P610" t="n">
        <v>0</v>
      </c>
      <c r="Q610" t="n">
        <v>0</v>
      </c>
      <c r="R610" s="2" t="inlineStr"/>
    </row>
    <row r="611" ht="15" customHeight="1">
      <c r="A611" t="inlineStr">
        <is>
          <t>A 44544-2024</t>
        </is>
      </c>
      <c r="B611" s="1" t="n">
        <v>45574.46119212963</v>
      </c>
      <c r="C611" s="1" t="n">
        <v>46033</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60379-2022</t>
        </is>
      </c>
      <c r="B612" s="1" t="n">
        <v>44910</v>
      </c>
      <c r="C612" s="1" t="n">
        <v>46033</v>
      </c>
      <c r="D612" t="inlineStr">
        <is>
          <t>VÄSTMANLANDS LÄN</t>
        </is>
      </c>
      <c r="E612" t="inlineStr">
        <is>
          <t>SALA</t>
        </is>
      </c>
      <c r="F612" t="inlineStr">
        <is>
          <t>Kyrkan</t>
        </is>
      </c>
      <c r="G612" t="n">
        <v>2.5</v>
      </c>
      <c r="H612" t="n">
        <v>0</v>
      </c>
      <c r="I612" t="n">
        <v>0</v>
      </c>
      <c r="J612" t="n">
        <v>0</v>
      </c>
      <c r="K612" t="n">
        <v>0</v>
      </c>
      <c r="L612" t="n">
        <v>0</v>
      </c>
      <c r="M612" t="n">
        <v>0</v>
      </c>
      <c r="N612" t="n">
        <v>0</v>
      </c>
      <c r="O612" t="n">
        <v>0</v>
      </c>
      <c r="P612" t="n">
        <v>0</v>
      </c>
      <c r="Q612" t="n">
        <v>0</v>
      </c>
      <c r="R612" s="2" t="inlineStr"/>
    </row>
    <row r="613" ht="15" customHeight="1">
      <c r="A613" t="inlineStr">
        <is>
          <t>A 56547-2022</t>
        </is>
      </c>
      <c r="B613" s="1" t="n">
        <v>44893.48284722222</v>
      </c>
      <c r="C613" s="1" t="n">
        <v>46033</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29542-2023</t>
        </is>
      </c>
      <c r="B614" s="1" t="n">
        <v>45098</v>
      </c>
      <c r="C614" s="1" t="n">
        <v>46033</v>
      </c>
      <c r="D614" t="inlineStr">
        <is>
          <t>VÄSTMANLANDS LÄN</t>
        </is>
      </c>
      <c r="E614" t="inlineStr">
        <is>
          <t>SALA</t>
        </is>
      </c>
      <c r="G614" t="n">
        <v>4.8</v>
      </c>
      <c r="H614" t="n">
        <v>0</v>
      </c>
      <c r="I614" t="n">
        <v>0</v>
      </c>
      <c r="J614" t="n">
        <v>0</v>
      </c>
      <c r="K614" t="n">
        <v>0</v>
      </c>
      <c r="L614" t="n">
        <v>0</v>
      </c>
      <c r="M614" t="n">
        <v>0</v>
      </c>
      <c r="N614" t="n">
        <v>0</v>
      </c>
      <c r="O614" t="n">
        <v>0</v>
      </c>
      <c r="P614" t="n">
        <v>0</v>
      </c>
      <c r="Q614" t="n">
        <v>0</v>
      </c>
      <c r="R614" s="2" t="inlineStr"/>
    </row>
    <row r="615" ht="15" customHeight="1">
      <c r="A615" t="inlineStr">
        <is>
          <t>A 16638-2023</t>
        </is>
      </c>
      <c r="B615" s="1" t="n">
        <v>45027</v>
      </c>
      <c r="C615" s="1" t="n">
        <v>46033</v>
      </c>
      <c r="D615" t="inlineStr">
        <is>
          <t>VÄSTMANLANDS LÄN</t>
        </is>
      </c>
      <c r="E615" t="inlineStr">
        <is>
          <t>SALA</t>
        </is>
      </c>
      <c r="G615" t="n">
        <v>14.8</v>
      </c>
      <c r="H615" t="n">
        <v>0</v>
      </c>
      <c r="I615" t="n">
        <v>0</v>
      </c>
      <c r="J615" t="n">
        <v>0</v>
      </c>
      <c r="K615" t="n">
        <v>0</v>
      </c>
      <c r="L615" t="n">
        <v>0</v>
      </c>
      <c r="M615" t="n">
        <v>0</v>
      </c>
      <c r="N615" t="n">
        <v>0</v>
      </c>
      <c r="O615" t="n">
        <v>0</v>
      </c>
      <c r="P615" t="n">
        <v>0</v>
      </c>
      <c r="Q615" t="n">
        <v>0</v>
      </c>
      <c r="R615" s="2" t="inlineStr"/>
    </row>
    <row r="616" ht="15" customHeight="1">
      <c r="A616" t="inlineStr">
        <is>
          <t>A 37190-2024</t>
        </is>
      </c>
      <c r="B616" s="1" t="n">
        <v>45539</v>
      </c>
      <c r="C616" s="1" t="n">
        <v>46033</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46033</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46033</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22026-2021</t>
        </is>
      </c>
      <c r="B619" s="1" t="n">
        <v>44323</v>
      </c>
      <c r="C619" s="1" t="n">
        <v>46033</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68864-2021</t>
        </is>
      </c>
      <c r="B620" s="1" t="n">
        <v>44530</v>
      </c>
      <c r="C620" s="1" t="n">
        <v>46033</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19065-2022</t>
        </is>
      </c>
      <c r="B621" s="1" t="n">
        <v>44691.44309027777</v>
      </c>
      <c r="C621" s="1" t="n">
        <v>46033</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37612-2024</t>
        </is>
      </c>
      <c r="B622" s="1" t="n">
        <v>45541</v>
      </c>
      <c r="C622" s="1" t="n">
        <v>46033</v>
      </c>
      <c r="D622" t="inlineStr">
        <is>
          <t>VÄSTMANLANDS LÄN</t>
        </is>
      </c>
      <c r="E622" t="inlineStr">
        <is>
          <t>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37615-2024</t>
        </is>
      </c>
      <c r="B623" s="1" t="n">
        <v>45541.50673611111</v>
      </c>
      <c r="C623" s="1" t="n">
        <v>46033</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18158-2025</t>
        </is>
      </c>
      <c r="B624" s="1" t="n">
        <v>45761</v>
      </c>
      <c r="C624" s="1" t="n">
        <v>46033</v>
      </c>
      <c r="D624" t="inlineStr">
        <is>
          <t>VÄSTMANLANDS LÄN</t>
        </is>
      </c>
      <c r="E624" t="inlineStr">
        <is>
          <t>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9962-2025</t>
        </is>
      </c>
      <c r="B625" s="1" t="n">
        <v>45719.37072916667</v>
      </c>
      <c r="C625" s="1" t="n">
        <v>46033</v>
      </c>
      <c r="D625" t="inlineStr">
        <is>
          <t>VÄSTMANLANDS LÄN</t>
        </is>
      </c>
      <c r="E625" t="inlineStr">
        <is>
          <t>SALA</t>
        </is>
      </c>
      <c r="G625" t="n">
        <v>4.5</v>
      </c>
      <c r="H625" t="n">
        <v>0</v>
      </c>
      <c r="I625" t="n">
        <v>0</v>
      </c>
      <c r="J625" t="n">
        <v>0</v>
      </c>
      <c r="K625" t="n">
        <v>0</v>
      </c>
      <c r="L625" t="n">
        <v>0</v>
      </c>
      <c r="M625" t="n">
        <v>0</v>
      </c>
      <c r="N625" t="n">
        <v>0</v>
      </c>
      <c r="O625" t="n">
        <v>0</v>
      </c>
      <c r="P625" t="n">
        <v>0</v>
      </c>
      <c r="Q625" t="n">
        <v>0</v>
      </c>
      <c r="R625" s="2" t="inlineStr"/>
    </row>
    <row r="626" ht="15" customHeight="1">
      <c r="A626" t="inlineStr">
        <is>
          <t>A 37602-2024</t>
        </is>
      </c>
      <c r="B626" s="1" t="n">
        <v>45541</v>
      </c>
      <c r="C626" s="1" t="n">
        <v>46033</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18762-2024</t>
        </is>
      </c>
      <c r="B627" s="1" t="n">
        <v>45426.55240740741</v>
      </c>
      <c r="C627" s="1" t="n">
        <v>46033</v>
      </c>
      <c r="D627" t="inlineStr">
        <is>
          <t>VÄSTMANLANDS LÄN</t>
        </is>
      </c>
      <c r="E627" t="inlineStr">
        <is>
          <t>SALA</t>
        </is>
      </c>
      <c r="G627" t="n">
        <v>6.2</v>
      </c>
      <c r="H627" t="n">
        <v>0</v>
      </c>
      <c r="I627" t="n">
        <v>0</v>
      </c>
      <c r="J627" t="n">
        <v>0</v>
      </c>
      <c r="K627" t="n">
        <v>0</v>
      </c>
      <c r="L627" t="n">
        <v>0</v>
      </c>
      <c r="M627" t="n">
        <v>0</v>
      </c>
      <c r="N627" t="n">
        <v>0</v>
      </c>
      <c r="O627" t="n">
        <v>0</v>
      </c>
      <c r="P627" t="n">
        <v>0</v>
      </c>
      <c r="Q627" t="n">
        <v>0</v>
      </c>
      <c r="R627" s="2" t="inlineStr"/>
    </row>
    <row r="628" ht="15" customHeight="1">
      <c r="A628" t="inlineStr">
        <is>
          <t>A 39011-2023</t>
        </is>
      </c>
      <c r="B628" s="1" t="n">
        <v>45162</v>
      </c>
      <c r="C628" s="1" t="n">
        <v>46033</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46352-2023</t>
        </is>
      </c>
      <c r="B629" s="1" t="n">
        <v>45192</v>
      </c>
      <c r="C629" s="1" t="n">
        <v>46033</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43751-2021</t>
        </is>
      </c>
      <c r="B630" s="1" t="n">
        <v>44433</v>
      </c>
      <c r="C630" s="1" t="n">
        <v>46033</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1128-2025</t>
        </is>
      </c>
      <c r="B631" s="1" t="n">
        <v>45666.68469907407</v>
      </c>
      <c r="C631" s="1" t="n">
        <v>46033</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46033</v>
      </c>
      <c r="D632" t="inlineStr">
        <is>
          <t>VÄSTMANLANDS LÄN</t>
        </is>
      </c>
      <c r="E632" t="inlineStr">
        <is>
          <t>SALA</t>
        </is>
      </c>
      <c r="G632" t="n">
        <v>0.1</v>
      </c>
      <c r="H632" t="n">
        <v>0</v>
      </c>
      <c r="I632" t="n">
        <v>0</v>
      </c>
      <c r="J632" t="n">
        <v>0</v>
      </c>
      <c r="K632" t="n">
        <v>0</v>
      </c>
      <c r="L632" t="n">
        <v>0</v>
      </c>
      <c r="M632" t="n">
        <v>0</v>
      </c>
      <c r="N632" t="n">
        <v>0</v>
      </c>
      <c r="O632" t="n">
        <v>0</v>
      </c>
      <c r="P632" t="n">
        <v>0</v>
      </c>
      <c r="Q632" t="n">
        <v>0</v>
      </c>
      <c r="R632" s="2" t="inlineStr"/>
    </row>
    <row r="633" ht="15" customHeight="1">
      <c r="A633" t="inlineStr">
        <is>
          <t>A 56540-2024</t>
        </is>
      </c>
      <c r="B633" s="1" t="n">
        <v>45625</v>
      </c>
      <c r="C633" s="1" t="n">
        <v>46033</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6116-2023</t>
        </is>
      </c>
      <c r="B634" s="1" t="n">
        <v>44964</v>
      </c>
      <c r="C634" s="1" t="n">
        <v>46033</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46033</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10154-2021</t>
        </is>
      </c>
      <c r="B636" s="1" t="n">
        <v>44256</v>
      </c>
      <c r="C636" s="1" t="n">
        <v>46033</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56916-2022</t>
        </is>
      </c>
      <c r="B637" s="1" t="n">
        <v>44888</v>
      </c>
      <c r="C637" s="1" t="n">
        <v>46033</v>
      </c>
      <c r="D637" t="inlineStr">
        <is>
          <t>VÄSTMANLANDS LÄN</t>
        </is>
      </c>
      <c r="E637" t="inlineStr">
        <is>
          <t>SALA</t>
        </is>
      </c>
      <c r="G637" t="n">
        <v>1.7</v>
      </c>
      <c r="H637" t="n">
        <v>0</v>
      </c>
      <c r="I637" t="n">
        <v>0</v>
      </c>
      <c r="J637" t="n">
        <v>0</v>
      </c>
      <c r="K637" t="n">
        <v>0</v>
      </c>
      <c r="L637" t="n">
        <v>0</v>
      </c>
      <c r="M637" t="n">
        <v>0</v>
      </c>
      <c r="N637" t="n">
        <v>0</v>
      </c>
      <c r="O637" t="n">
        <v>0</v>
      </c>
      <c r="P637" t="n">
        <v>0</v>
      </c>
      <c r="Q637" t="n">
        <v>0</v>
      </c>
      <c r="R637" s="2" t="inlineStr"/>
    </row>
    <row r="638" ht="15" customHeight="1">
      <c r="A638" t="inlineStr">
        <is>
          <t>A 71471-2021</t>
        </is>
      </c>
      <c r="B638" s="1" t="n">
        <v>44540.53421296296</v>
      </c>
      <c r="C638" s="1" t="n">
        <v>46033</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13987-2023</t>
        </is>
      </c>
      <c r="B639" s="1" t="n">
        <v>45007</v>
      </c>
      <c r="C639" s="1" t="n">
        <v>46033</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13990-2023</t>
        </is>
      </c>
      <c r="B640" s="1" t="n">
        <v>45007</v>
      </c>
      <c r="C640" s="1" t="n">
        <v>46033</v>
      </c>
      <c r="D640" t="inlineStr">
        <is>
          <t>VÄSTMANLANDS LÄN</t>
        </is>
      </c>
      <c r="E640" t="inlineStr">
        <is>
          <t>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1993-2022</t>
        </is>
      </c>
      <c r="B641" s="1" t="n">
        <v>44575</v>
      </c>
      <c r="C641" s="1" t="n">
        <v>46033</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17051-2025</t>
        </is>
      </c>
      <c r="B642" s="1" t="n">
        <v>45755</v>
      </c>
      <c r="C642" s="1" t="n">
        <v>46033</v>
      </c>
      <c r="D642" t="inlineStr">
        <is>
          <t>VÄSTMANLANDS LÄN</t>
        </is>
      </c>
      <c r="E642" t="inlineStr">
        <is>
          <t>SALA</t>
        </is>
      </c>
      <c r="G642" t="n">
        <v>2.9</v>
      </c>
      <c r="H642" t="n">
        <v>0</v>
      </c>
      <c r="I642" t="n">
        <v>0</v>
      </c>
      <c r="J642" t="n">
        <v>0</v>
      </c>
      <c r="K642" t="n">
        <v>0</v>
      </c>
      <c r="L642" t="n">
        <v>0</v>
      </c>
      <c r="M642" t="n">
        <v>0</v>
      </c>
      <c r="N642" t="n">
        <v>0</v>
      </c>
      <c r="O642" t="n">
        <v>0</v>
      </c>
      <c r="P642" t="n">
        <v>0</v>
      </c>
      <c r="Q642" t="n">
        <v>0</v>
      </c>
      <c r="R642" s="2" t="inlineStr"/>
    </row>
    <row r="643" ht="15" customHeight="1">
      <c r="A643" t="inlineStr">
        <is>
          <t>A 43509-2021</t>
        </is>
      </c>
      <c r="B643" s="1" t="n">
        <v>44433</v>
      </c>
      <c r="C643" s="1" t="n">
        <v>46033</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54959-2024</t>
        </is>
      </c>
      <c r="B644" s="1" t="n">
        <v>45619</v>
      </c>
      <c r="C644" s="1" t="n">
        <v>46033</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56964-2023</t>
        </is>
      </c>
      <c r="B645" s="1" t="n">
        <v>45244.63140046296</v>
      </c>
      <c r="C645" s="1" t="n">
        <v>46033</v>
      </c>
      <c r="D645" t="inlineStr">
        <is>
          <t>VÄSTMANLANDS LÄN</t>
        </is>
      </c>
      <c r="E645" t="inlineStr">
        <is>
          <t>SALA</t>
        </is>
      </c>
      <c r="G645" t="n">
        <v>4.6</v>
      </c>
      <c r="H645" t="n">
        <v>0</v>
      </c>
      <c r="I645" t="n">
        <v>0</v>
      </c>
      <c r="J645" t="n">
        <v>0</v>
      </c>
      <c r="K645" t="n">
        <v>0</v>
      </c>
      <c r="L645" t="n">
        <v>0</v>
      </c>
      <c r="M645" t="n">
        <v>0</v>
      </c>
      <c r="N645" t="n">
        <v>0</v>
      </c>
      <c r="O645" t="n">
        <v>0</v>
      </c>
      <c r="P645" t="n">
        <v>0</v>
      </c>
      <c r="Q645" t="n">
        <v>0</v>
      </c>
      <c r="R645" s="2" t="inlineStr"/>
    </row>
    <row r="646" ht="15" customHeight="1">
      <c r="A646" t="inlineStr">
        <is>
          <t>A 37337-2024</t>
        </is>
      </c>
      <c r="B646" s="1" t="n">
        <v>45540</v>
      </c>
      <c r="C646" s="1" t="n">
        <v>46033</v>
      </c>
      <c r="D646" t="inlineStr">
        <is>
          <t>VÄSTMANLANDS LÄN</t>
        </is>
      </c>
      <c r="E646" t="inlineStr">
        <is>
          <t>SALA</t>
        </is>
      </c>
      <c r="G646" t="n">
        <v>6.5</v>
      </c>
      <c r="H646" t="n">
        <v>0</v>
      </c>
      <c r="I646" t="n">
        <v>0</v>
      </c>
      <c r="J646" t="n">
        <v>0</v>
      </c>
      <c r="K646" t="n">
        <v>0</v>
      </c>
      <c r="L646" t="n">
        <v>0</v>
      </c>
      <c r="M646" t="n">
        <v>0</v>
      </c>
      <c r="N646" t="n">
        <v>0</v>
      </c>
      <c r="O646" t="n">
        <v>0</v>
      </c>
      <c r="P646" t="n">
        <v>0</v>
      </c>
      <c r="Q646" t="n">
        <v>0</v>
      </c>
      <c r="R646" s="2" t="inlineStr"/>
    </row>
    <row r="647" ht="15" customHeight="1">
      <c r="A647" t="inlineStr">
        <is>
          <t>A 17120-2023</t>
        </is>
      </c>
      <c r="B647" s="1" t="n">
        <v>45034</v>
      </c>
      <c r="C647" s="1" t="n">
        <v>46033</v>
      </c>
      <c r="D647" t="inlineStr">
        <is>
          <t>VÄSTMANLANDS LÄN</t>
        </is>
      </c>
      <c r="E647" t="inlineStr">
        <is>
          <t>SALA</t>
        </is>
      </c>
      <c r="G647" t="n">
        <v>0.1</v>
      </c>
      <c r="H647" t="n">
        <v>0</v>
      </c>
      <c r="I647" t="n">
        <v>0</v>
      </c>
      <c r="J647" t="n">
        <v>0</v>
      </c>
      <c r="K647" t="n">
        <v>0</v>
      </c>
      <c r="L647" t="n">
        <v>0</v>
      </c>
      <c r="M647" t="n">
        <v>0</v>
      </c>
      <c r="N647" t="n">
        <v>0</v>
      </c>
      <c r="O647" t="n">
        <v>0</v>
      </c>
      <c r="P647" t="n">
        <v>0</v>
      </c>
      <c r="Q647" t="n">
        <v>0</v>
      </c>
      <c r="R647" s="2" t="inlineStr"/>
    </row>
    <row r="648" ht="15" customHeight="1">
      <c r="A648" t="inlineStr">
        <is>
          <t>A 34494-2023</t>
        </is>
      </c>
      <c r="B648" s="1" t="n">
        <v>45133</v>
      </c>
      <c r="C648" s="1" t="n">
        <v>46033</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10579-2022</t>
        </is>
      </c>
      <c r="B649" s="1" t="n">
        <v>44624</v>
      </c>
      <c r="C649" s="1" t="n">
        <v>46033</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9335-2022</t>
        </is>
      </c>
      <c r="B650" s="1" t="n">
        <v>44616.56579861111</v>
      </c>
      <c r="C650" s="1" t="n">
        <v>46033</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45313-2024</t>
        </is>
      </c>
      <c r="B651" s="1" t="n">
        <v>45576</v>
      </c>
      <c r="C651" s="1" t="n">
        <v>46033</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23119-2022</t>
        </is>
      </c>
      <c r="B652" s="1" t="n">
        <v>44719.56697916667</v>
      </c>
      <c r="C652" s="1" t="n">
        <v>46033</v>
      </c>
      <c r="D652" t="inlineStr">
        <is>
          <t>VÄSTMANLANDS LÄN</t>
        </is>
      </c>
      <c r="E652" t="inlineStr">
        <is>
          <t>SALA</t>
        </is>
      </c>
      <c r="G652" t="n">
        <v>7</v>
      </c>
      <c r="H652" t="n">
        <v>0</v>
      </c>
      <c r="I652" t="n">
        <v>0</v>
      </c>
      <c r="J652" t="n">
        <v>0</v>
      </c>
      <c r="K652" t="n">
        <v>0</v>
      </c>
      <c r="L652" t="n">
        <v>0</v>
      </c>
      <c r="M652" t="n">
        <v>0</v>
      </c>
      <c r="N652" t="n">
        <v>0</v>
      </c>
      <c r="O652" t="n">
        <v>0</v>
      </c>
      <c r="P652" t="n">
        <v>0</v>
      </c>
      <c r="Q652" t="n">
        <v>0</v>
      </c>
      <c r="R652" s="2" t="inlineStr"/>
    </row>
    <row r="653" ht="15" customHeight="1">
      <c r="A653" t="inlineStr">
        <is>
          <t>A 1196-2023</t>
        </is>
      </c>
      <c r="B653" s="1" t="n">
        <v>44935.82290509259</v>
      </c>
      <c r="C653" s="1" t="n">
        <v>46033</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52503-2024</t>
        </is>
      </c>
      <c r="B654" s="1" t="n">
        <v>45609.58806712963</v>
      </c>
      <c r="C654" s="1" t="n">
        <v>46033</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7953-2024</t>
        </is>
      </c>
      <c r="B655" s="1" t="n">
        <v>45350</v>
      </c>
      <c r="C655" s="1" t="n">
        <v>46033</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30028-2024</t>
        </is>
      </c>
      <c r="B656" s="1" t="n">
        <v>45485</v>
      </c>
      <c r="C656" s="1" t="n">
        <v>46033</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7950-2025</t>
        </is>
      </c>
      <c r="B657" s="1" t="n">
        <v>45707.41799768519</v>
      </c>
      <c r="C657" s="1" t="n">
        <v>46033</v>
      </c>
      <c r="D657" t="inlineStr">
        <is>
          <t>VÄSTMANLANDS LÄN</t>
        </is>
      </c>
      <c r="E657" t="inlineStr">
        <is>
          <t>SALA</t>
        </is>
      </c>
      <c r="G657" t="n">
        <v>3.2</v>
      </c>
      <c r="H657" t="n">
        <v>0</v>
      </c>
      <c r="I657" t="n">
        <v>0</v>
      </c>
      <c r="J657" t="n">
        <v>0</v>
      </c>
      <c r="K657" t="n">
        <v>0</v>
      </c>
      <c r="L657" t="n">
        <v>0</v>
      </c>
      <c r="M657" t="n">
        <v>0</v>
      </c>
      <c r="N657" t="n">
        <v>0</v>
      </c>
      <c r="O657" t="n">
        <v>0</v>
      </c>
      <c r="P657" t="n">
        <v>0</v>
      </c>
      <c r="Q657" t="n">
        <v>0</v>
      </c>
      <c r="R657" s="2" t="inlineStr"/>
    </row>
    <row r="658" ht="15" customHeight="1">
      <c r="A658" t="inlineStr">
        <is>
          <t>A 27657-2023</t>
        </is>
      </c>
      <c r="B658" s="1" t="n">
        <v>45097.76631944445</v>
      </c>
      <c r="C658" s="1" t="n">
        <v>46033</v>
      </c>
      <c r="D658" t="inlineStr">
        <is>
          <t>VÄSTMANLANDS LÄN</t>
        </is>
      </c>
      <c r="E658" t="inlineStr">
        <is>
          <t>SALA</t>
        </is>
      </c>
      <c r="G658" t="n">
        <v>0.1</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46033</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33309-2022</t>
        </is>
      </c>
      <c r="B660" s="1" t="n">
        <v>44788.40986111111</v>
      </c>
      <c r="C660" s="1" t="n">
        <v>46033</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47909-2022</t>
        </is>
      </c>
      <c r="B661" s="1" t="n">
        <v>44855</v>
      </c>
      <c r="C661" s="1" t="n">
        <v>46033</v>
      </c>
      <c r="D661" t="inlineStr">
        <is>
          <t>VÄSTMANLANDS LÄN</t>
        </is>
      </c>
      <c r="E661" t="inlineStr">
        <is>
          <t>SALA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15272-2025</t>
        </is>
      </c>
      <c r="B662" s="1" t="n">
        <v>45744</v>
      </c>
      <c r="C662" s="1" t="n">
        <v>46033</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11183-2023</t>
        </is>
      </c>
      <c r="B663" s="1" t="n">
        <v>44992.57782407408</v>
      </c>
      <c r="C663" s="1" t="n">
        <v>46033</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11190-2023</t>
        </is>
      </c>
      <c r="B664" s="1" t="n">
        <v>44992</v>
      </c>
      <c r="C664" s="1" t="n">
        <v>46033</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53838-2022</t>
        </is>
      </c>
      <c r="B665" s="1" t="n">
        <v>44880.59363425926</v>
      </c>
      <c r="C665" s="1" t="n">
        <v>46033</v>
      </c>
      <c r="D665" t="inlineStr">
        <is>
          <t>VÄSTMANLANDS LÄN</t>
        </is>
      </c>
      <c r="E665" t="inlineStr">
        <is>
          <t>SALA</t>
        </is>
      </c>
      <c r="G665" t="n">
        <v>3.9</v>
      </c>
      <c r="H665" t="n">
        <v>0</v>
      </c>
      <c r="I665" t="n">
        <v>0</v>
      </c>
      <c r="J665" t="n">
        <v>0</v>
      </c>
      <c r="K665" t="n">
        <v>0</v>
      </c>
      <c r="L665" t="n">
        <v>0</v>
      </c>
      <c r="M665" t="n">
        <v>0</v>
      </c>
      <c r="N665" t="n">
        <v>0</v>
      </c>
      <c r="O665" t="n">
        <v>0</v>
      </c>
      <c r="P665" t="n">
        <v>0</v>
      </c>
      <c r="Q665" t="n">
        <v>0</v>
      </c>
      <c r="R665" s="2" t="inlineStr"/>
    </row>
    <row r="666" ht="15" customHeight="1">
      <c r="A666" t="inlineStr">
        <is>
          <t>A 6088-2021</t>
        </is>
      </c>
      <c r="B666" s="1" t="n">
        <v>44232</v>
      </c>
      <c r="C666" s="1" t="n">
        <v>46033</v>
      </c>
      <c r="D666" t="inlineStr">
        <is>
          <t>VÄSTMANLANDS LÄN</t>
        </is>
      </c>
      <c r="E666" t="inlineStr">
        <is>
          <t>SALA</t>
        </is>
      </c>
      <c r="G666" t="n">
        <v>0.2</v>
      </c>
      <c r="H666" t="n">
        <v>0</v>
      </c>
      <c r="I666" t="n">
        <v>0</v>
      </c>
      <c r="J666" t="n">
        <v>0</v>
      </c>
      <c r="K666" t="n">
        <v>0</v>
      </c>
      <c r="L666" t="n">
        <v>0</v>
      </c>
      <c r="M666" t="n">
        <v>0</v>
      </c>
      <c r="N666" t="n">
        <v>0</v>
      </c>
      <c r="O666" t="n">
        <v>0</v>
      </c>
      <c r="P666" t="n">
        <v>0</v>
      </c>
      <c r="Q666" t="n">
        <v>0</v>
      </c>
      <c r="R666" s="2" t="inlineStr"/>
    </row>
    <row r="667" ht="15" customHeight="1">
      <c r="A667" t="inlineStr">
        <is>
          <t>A 53166-2024</t>
        </is>
      </c>
      <c r="B667" s="1" t="n">
        <v>45611</v>
      </c>
      <c r="C667" s="1" t="n">
        <v>46033</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28827-2022</t>
        </is>
      </c>
      <c r="B668" s="1" t="n">
        <v>44749.45561342593</v>
      </c>
      <c r="C668" s="1" t="n">
        <v>46033</v>
      </c>
      <c r="D668" t="inlineStr">
        <is>
          <t>VÄSTMANLANDS LÄN</t>
        </is>
      </c>
      <c r="E668" t="inlineStr">
        <is>
          <t>SALA</t>
        </is>
      </c>
      <c r="F668" t="inlineStr">
        <is>
          <t>Kommuner</t>
        </is>
      </c>
      <c r="G668" t="n">
        <v>11.9</v>
      </c>
      <c r="H668" t="n">
        <v>0</v>
      </c>
      <c r="I668" t="n">
        <v>0</v>
      </c>
      <c r="J668" t="n">
        <v>0</v>
      </c>
      <c r="K668" t="n">
        <v>0</v>
      </c>
      <c r="L668" t="n">
        <v>0</v>
      </c>
      <c r="M668" t="n">
        <v>0</v>
      </c>
      <c r="N668" t="n">
        <v>0</v>
      </c>
      <c r="O668" t="n">
        <v>0</v>
      </c>
      <c r="P668" t="n">
        <v>0</v>
      </c>
      <c r="Q668" t="n">
        <v>0</v>
      </c>
      <c r="R668" s="2" t="inlineStr"/>
    </row>
    <row r="669" ht="15" customHeight="1">
      <c r="A669" t="inlineStr">
        <is>
          <t>A 17866-2025</t>
        </is>
      </c>
      <c r="B669" s="1" t="n">
        <v>45758</v>
      </c>
      <c r="C669" s="1" t="n">
        <v>46033</v>
      </c>
      <c r="D669" t="inlineStr">
        <is>
          <t>VÄSTMANLANDS LÄN</t>
        </is>
      </c>
      <c r="E669" t="inlineStr">
        <is>
          <t>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54836-2024</t>
        </is>
      </c>
      <c r="B670" s="1" t="n">
        <v>45618</v>
      </c>
      <c r="C670" s="1" t="n">
        <v>46033</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64729-2023</t>
        </is>
      </c>
      <c r="B671" s="1" t="n">
        <v>45281</v>
      </c>
      <c r="C671" s="1" t="n">
        <v>46033</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10585-2022</t>
        </is>
      </c>
      <c r="B672" s="1" t="n">
        <v>44624</v>
      </c>
      <c r="C672" s="1" t="n">
        <v>46033</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22523-2023</t>
        </is>
      </c>
      <c r="B673" s="1" t="n">
        <v>45069</v>
      </c>
      <c r="C673" s="1" t="n">
        <v>46033</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31609-2024</t>
        </is>
      </c>
      <c r="B674" s="1" t="n">
        <v>45506</v>
      </c>
      <c r="C674" s="1" t="n">
        <v>46033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56057-2023</t>
        </is>
      </c>
      <c r="B675" s="1" t="n">
        <v>45233</v>
      </c>
      <c r="C675" s="1" t="n">
        <v>46033</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62635-2022</t>
        </is>
      </c>
      <c r="B676" s="1" t="n">
        <v>44917</v>
      </c>
      <c r="C676" s="1" t="n">
        <v>46033</v>
      </c>
      <c r="D676" t="inlineStr">
        <is>
          <t>VÄSTMANLANDS LÄN</t>
        </is>
      </c>
      <c r="E676" t="inlineStr">
        <is>
          <t>SALA</t>
        </is>
      </c>
      <c r="G676" t="n">
        <v>0.4</v>
      </c>
      <c r="H676" t="n">
        <v>0</v>
      </c>
      <c r="I676" t="n">
        <v>0</v>
      </c>
      <c r="J676" t="n">
        <v>0</v>
      </c>
      <c r="K676" t="n">
        <v>0</v>
      </c>
      <c r="L676" t="n">
        <v>0</v>
      </c>
      <c r="M676" t="n">
        <v>0</v>
      </c>
      <c r="N676" t="n">
        <v>0</v>
      </c>
      <c r="O676" t="n">
        <v>0</v>
      </c>
      <c r="P676" t="n">
        <v>0</v>
      </c>
      <c r="Q676" t="n">
        <v>0</v>
      </c>
      <c r="R676" s="2" t="inlineStr"/>
    </row>
    <row r="677" ht="15" customHeight="1">
      <c r="A677" t="inlineStr">
        <is>
          <t>A 4852-2023</t>
        </is>
      </c>
      <c r="B677" s="1" t="n">
        <v>44957.72496527778</v>
      </c>
      <c r="C677" s="1" t="n">
        <v>46033</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39714-2023</t>
        </is>
      </c>
      <c r="B678" s="1" t="n">
        <v>45167.62133101852</v>
      </c>
      <c r="C678" s="1" t="n">
        <v>46033</v>
      </c>
      <c r="D678" t="inlineStr">
        <is>
          <t>VÄSTMANLANDS LÄN</t>
        </is>
      </c>
      <c r="E678" t="inlineStr">
        <is>
          <t>SALA</t>
        </is>
      </c>
      <c r="G678" t="n">
        <v>1.3</v>
      </c>
      <c r="H678" t="n">
        <v>0</v>
      </c>
      <c r="I678" t="n">
        <v>0</v>
      </c>
      <c r="J678" t="n">
        <v>0</v>
      </c>
      <c r="K678" t="n">
        <v>0</v>
      </c>
      <c r="L678" t="n">
        <v>0</v>
      </c>
      <c r="M678" t="n">
        <v>0</v>
      </c>
      <c r="N678" t="n">
        <v>0</v>
      </c>
      <c r="O678" t="n">
        <v>0</v>
      </c>
      <c r="P678" t="n">
        <v>0</v>
      </c>
      <c r="Q678" t="n">
        <v>0</v>
      </c>
      <c r="R678" s="2" t="inlineStr"/>
    </row>
    <row r="679" ht="15" customHeight="1">
      <c r="A679" t="inlineStr">
        <is>
          <t>A 42984-2023</t>
        </is>
      </c>
      <c r="B679" s="1" t="n">
        <v>45179</v>
      </c>
      <c r="C679" s="1" t="n">
        <v>46033</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56535-2022</t>
        </is>
      </c>
      <c r="B680" s="1" t="n">
        <v>44893.47173611111</v>
      </c>
      <c r="C680" s="1" t="n">
        <v>46033</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60550-2024</t>
        </is>
      </c>
      <c r="B681" s="1" t="n">
        <v>45643</v>
      </c>
      <c r="C681" s="1" t="n">
        <v>46033</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13746-2025</t>
        </is>
      </c>
      <c r="B682" s="1" t="n">
        <v>45737.40944444444</v>
      </c>
      <c r="C682" s="1" t="n">
        <v>46033</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29230-2022</t>
        </is>
      </c>
      <c r="B683" s="1" t="n">
        <v>44750</v>
      </c>
      <c r="C683" s="1" t="n">
        <v>46033</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59175-2022</t>
        </is>
      </c>
      <c r="B684" s="1" t="n">
        <v>44904.48502314815</v>
      </c>
      <c r="C684" s="1" t="n">
        <v>46033</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19381-2025</t>
        </is>
      </c>
      <c r="B685" s="1" t="n">
        <v>45769</v>
      </c>
      <c r="C685" s="1" t="n">
        <v>46033</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42938-2023</t>
        </is>
      </c>
      <c r="B686" s="1" t="n">
        <v>45179</v>
      </c>
      <c r="C686" s="1" t="n">
        <v>46033</v>
      </c>
      <c r="D686" t="inlineStr">
        <is>
          <t>VÄSTMANLANDS LÄN</t>
        </is>
      </c>
      <c r="E686" t="inlineStr">
        <is>
          <t>SALA</t>
        </is>
      </c>
      <c r="G686" t="n">
        <v>10.9</v>
      </c>
      <c r="H686" t="n">
        <v>0</v>
      </c>
      <c r="I686" t="n">
        <v>0</v>
      </c>
      <c r="J686" t="n">
        <v>0</v>
      </c>
      <c r="K686" t="n">
        <v>0</v>
      </c>
      <c r="L686" t="n">
        <v>0</v>
      </c>
      <c r="M686" t="n">
        <v>0</v>
      </c>
      <c r="N686" t="n">
        <v>0</v>
      </c>
      <c r="O686" t="n">
        <v>0</v>
      </c>
      <c r="P686" t="n">
        <v>0</v>
      </c>
      <c r="Q686" t="n">
        <v>0</v>
      </c>
      <c r="R686" s="2" t="inlineStr"/>
    </row>
    <row r="687" ht="15" customHeight="1">
      <c r="A687" t="inlineStr">
        <is>
          <t>A 19222-2025</t>
        </is>
      </c>
      <c r="B687" s="1" t="n">
        <v>45769</v>
      </c>
      <c r="C687" s="1" t="n">
        <v>46033</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19241-2025</t>
        </is>
      </c>
      <c r="B688" s="1" t="n">
        <v>45769</v>
      </c>
      <c r="C688" s="1" t="n">
        <v>46033</v>
      </c>
      <c r="D688" t="inlineStr">
        <is>
          <t>VÄSTMANLANDS LÄN</t>
        </is>
      </c>
      <c r="E688" t="inlineStr">
        <is>
          <t>SALA</t>
        </is>
      </c>
      <c r="G688" t="n">
        <v>3.6</v>
      </c>
      <c r="H688" t="n">
        <v>0</v>
      </c>
      <c r="I688" t="n">
        <v>0</v>
      </c>
      <c r="J688" t="n">
        <v>0</v>
      </c>
      <c r="K688" t="n">
        <v>0</v>
      </c>
      <c r="L688" t="n">
        <v>0</v>
      </c>
      <c r="M688" t="n">
        <v>0</v>
      </c>
      <c r="N688" t="n">
        <v>0</v>
      </c>
      <c r="O688" t="n">
        <v>0</v>
      </c>
      <c r="P688" t="n">
        <v>0</v>
      </c>
      <c r="Q688" t="n">
        <v>0</v>
      </c>
      <c r="R688" s="2" t="inlineStr"/>
    </row>
    <row r="689" ht="15" customHeight="1">
      <c r="A689" t="inlineStr">
        <is>
          <t>A 60823-2024</t>
        </is>
      </c>
      <c r="B689" s="1" t="n">
        <v>45644</v>
      </c>
      <c r="C689" s="1" t="n">
        <v>46033</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61681-2024</t>
        </is>
      </c>
      <c r="B690" s="1" t="n">
        <v>45647</v>
      </c>
      <c r="C690" s="1" t="n">
        <v>46033</v>
      </c>
      <c r="D690" t="inlineStr">
        <is>
          <t>VÄSTMANLANDS LÄN</t>
        </is>
      </c>
      <c r="E690" t="inlineStr">
        <is>
          <t>SALA</t>
        </is>
      </c>
      <c r="F690" t="inlineStr">
        <is>
          <t>Kommuner</t>
        </is>
      </c>
      <c r="G690" t="n">
        <v>1</v>
      </c>
      <c r="H690" t="n">
        <v>0</v>
      </c>
      <c r="I690" t="n">
        <v>0</v>
      </c>
      <c r="J690" t="n">
        <v>0</v>
      </c>
      <c r="K690" t="n">
        <v>0</v>
      </c>
      <c r="L690" t="n">
        <v>0</v>
      </c>
      <c r="M690" t="n">
        <v>0</v>
      </c>
      <c r="N690" t="n">
        <v>0</v>
      </c>
      <c r="O690" t="n">
        <v>0</v>
      </c>
      <c r="P690" t="n">
        <v>0</v>
      </c>
      <c r="Q690" t="n">
        <v>0</v>
      </c>
      <c r="R690" s="2" t="inlineStr"/>
    </row>
    <row r="691" ht="15" customHeight="1">
      <c r="A691" t="inlineStr">
        <is>
          <t>A 49661-2024</t>
        </is>
      </c>
      <c r="B691" s="1" t="n">
        <v>45596</v>
      </c>
      <c r="C691" s="1" t="n">
        <v>46033</v>
      </c>
      <c r="D691" t="inlineStr">
        <is>
          <t>VÄSTMANLANDS LÄN</t>
        </is>
      </c>
      <c r="E691" t="inlineStr">
        <is>
          <t>SALA</t>
        </is>
      </c>
      <c r="G691" t="n">
        <v>6.7</v>
      </c>
      <c r="H691" t="n">
        <v>0</v>
      </c>
      <c r="I691" t="n">
        <v>0</v>
      </c>
      <c r="J691" t="n">
        <v>0</v>
      </c>
      <c r="K691" t="n">
        <v>0</v>
      </c>
      <c r="L691" t="n">
        <v>0</v>
      </c>
      <c r="M691" t="n">
        <v>0</v>
      </c>
      <c r="N691" t="n">
        <v>0</v>
      </c>
      <c r="O691" t="n">
        <v>0</v>
      </c>
      <c r="P691" t="n">
        <v>0</v>
      </c>
      <c r="Q691" t="n">
        <v>0</v>
      </c>
      <c r="R691" s="2" t="inlineStr"/>
    </row>
    <row r="692" ht="15" customHeight="1">
      <c r="A692" t="inlineStr">
        <is>
          <t>A 59297-2023</t>
        </is>
      </c>
      <c r="B692" s="1" t="n">
        <v>45253</v>
      </c>
      <c r="C692" s="1" t="n">
        <v>46033</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15965-2024</t>
        </is>
      </c>
      <c r="B693" s="1" t="n">
        <v>45405.55740740741</v>
      </c>
      <c r="C693" s="1" t="n">
        <v>46033</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23180-2022</t>
        </is>
      </c>
      <c r="B694" s="1" t="n">
        <v>44719.79344907407</v>
      </c>
      <c r="C694" s="1" t="n">
        <v>46033</v>
      </c>
      <c r="D694" t="inlineStr">
        <is>
          <t>VÄSTMANLANDS LÄN</t>
        </is>
      </c>
      <c r="E694" t="inlineStr">
        <is>
          <t>SALA</t>
        </is>
      </c>
      <c r="G694" t="n">
        <v>1.2</v>
      </c>
      <c r="H694" t="n">
        <v>0</v>
      </c>
      <c r="I694" t="n">
        <v>0</v>
      </c>
      <c r="J694" t="n">
        <v>0</v>
      </c>
      <c r="K694" t="n">
        <v>0</v>
      </c>
      <c r="L694" t="n">
        <v>0</v>
      </c>
      <c r="M694" t="n">
        <v>0</v>
      </c>
      <c r="N694" t="n">
        <v>0</v>
      </c>
      <c r="O694" t="n">
        <v>0</v>
      </c>
      <c r="P694" t="n">
        <v>0</v>
      </c>
      <c r="Q694" t="n">
        <v>0</v>
      </c>
      <c r="R694" s="2" t="inlineStr"/>
    </row>
    <row r="695" ht="15" customHeight="1">
      <c r="A695" t="inlineStr">
        <is>
          <t>A 21455-2023</t>
        </is>
      </c>
      <c r="B695" s="1" t="n">
        <v>45058</v>
      </c>
      <c r="C695" s="1" t="n">
        <v>46033</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21053-2022</t>
        </is>
      </c>
      <c r="B696" s="1" t="n">
        <v>44704</v>
      </c>
      <c r="C696" s="1" t="n">
        <v>46033</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11927-2025</t>
        </is>
      </c>
      <c r="B697" s="1" t="n">
        <v>45728.5137962963</v>
      </c>
      <c r="C697" s="1" t="n">
        <v>46033</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50876-2023</t>
        </is>
      </c>
      <c r="B698" s="1" t="n">
        <v>45211</v>
      </c>
      <c r="C698" s="1" t="n">
        <v>46033</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10255-2024</t>
        </is>
      </c>
      <c r="B699" s="1" t="n">
        <v>45365</v>
      </c>
      <c r="C699" s="1" t="n">
        <v>46033</v>
      </c>
      <c r="D699" t="inlineStr">
        <is>
          <t>VÄSTMANLANDS LÄN</t>
        </is>
      </c>
      <c r="E699" t="inlineStr">
        <is>
          <t>SALA</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62648-2022</t>
        </is>
      </c>
      <c r="B700" s="1" t="n">
        <v>44917</v>
      </c>
      <c r="C700" s="1" t="n">
        <v>46033</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56548-2024</t>
        </is>
      </c>
      <c r="B701" s="1" t="n">
        <v>45625</v>
      </c>
      <c r="C701" s="1" t="n">
        <v>46033</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5477-2024</t>
        </is>
      </c>
      <c r="B702" s="1" t="n">
        <v>45333.67833333334</v>
      </c>
      <c r="C702" s="1" t="n">
        <v>46033</v>
      </c>
      <c r="D702" t="inlineStr">
        <is>
          <t>VÄSTMANLANDS LÄN</t>
        </is>
      </c>
      <c r="E702" t="inlineStr">
        <is>
          <t>SALA</t>
        </is>
      </c>
      <c r="G702" t="n">
        <v>2.3</v>
      </c>
      <c r="H702" t="n">
        <v>0</v>
      </c>
      <c r="I702" t="n">
        <v>0</v>
      </c>
      <c r="J702" t="n">
        <v>0</v>
      </c>
      <c r="K702" t="n">
        <v>0</v>
      </c>
      <c r="L702" t="n">
        <v>0</v>
      </c>
      <c r="M702" t="n">
        <v>0</v>
      </c>
      <c r="N702" t="n">
        <v>0</v>
      </c>
      <c r="O702" t="n">
        <v>0</v>
      </c>
      <c r="P702" t="n">
        <v>0</v>
      </c>
      <c r="Q702" t="n">
        <v>0</v>
      </c>
      <c r="R702" s="2" t="inlineStr"/>
    </row>
    <row r="703" ht="15" customHeight="1">
      <c r="A703" t="inlineStr">
        <is>
          <t>A 39451-2022</t>
        </is>
      </c>
      <c r="B703" s="1" t="n">
        <v>44818.36606481481</v>
      </c>
      <c r="C703" s="1" t="n">
        <v>46033</v>
      </c>
      <c r="D703" t="inlineStr">
        <is>
          <t>VÄSTMANLANDS LÄN</t>
        </is>
      </c>
      <c r="E703" t="inlineStr">
        <is>
          <t>SALA</t>
        </is>
      </c>
      <c r="G703" t="n">
        <v>9.4</v>
      </c>
      <c r="H703" t="n">
        <v>0</v>
      </c>
      <c r="I703" t="n">
        <v>0</v>
      </c>
      <c r="J703" t="n">
        <v>0</v>
      </c>
      <c r="K703" t="n">
        <v>0</v>
      </c>
      <c r="L703" t="n">
        <v>0</v>
      </c>
      <c r="M703" t="n">
        <v>0</v>
      </c>
      <c r="N703" t="n">
        <v>0</v>
      </c>
      <c r="O703" t="n">
        <v>0</v>
      </c>
      <c r="P703" t="n">
        <v>0</v>
      </c>
      <c r="Q703" t="n">
        <v>0</v>
      </c>
      <c r="R703" s="2" t="inlineStr"/>
    </row>
    <row r="704" ht="15" customHeight="1">
      <c r="A704" t="inlineStr">
        <is>
          <t>A 7772-2023</t>
        </is>
      </c>
      <c r="B704" s="1" t="n">
        <v>44973.40076388889</v>
      </c>
      <c r="C704" s="1" t="n">
        <v>46033</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19751-2022</t>
        </is>
      </c>
      <c r="B705" s="1" t="n">
        <v>44694</v>
      </c>
      <c r="C705" s="1" t="n">
        <v>46033</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44713-2023</t>
        </is>
      </c>
      <c r="B706" s="1" t="n">
        <v>45184</v>
      </c>
      <c r="C706" s="1" t="n">
        <v>46033</v>
      </c>
      <c r="D706" t="inlineStr">
        <is>
          <t>VÄSTMANLANDS LÄN</t>
        </is>
      </c>
      <c r="E706" t="inlineStr">
        <is>
          <t>SALA</t>
        </is>
      </c>
      <c r="F706" t="inlineStr">
        <is>
          <t>Kyrkan</t>
        </is>
      </c>
      <c r="G706" t="n">
        <v>7.6</v>
      </c>
      <c r="H706" t="n">
        <v>0</v>
      </c>
      <c r="I706" t="n">
        <v>0</v>
      </c>
      <c r="J706" t="n">
        <v>0</v>
      </c>
      <c r="K706" t="n">
        <v>0</v>
      </c>
      <c r="L706" t="n">
        <v>0</v>
      </c>
      <c r="M706" t="n">
        <v>0</v>
      </c>
      <c r="N706" t="n">
        <v>0</v>
      </c>
      <c r="O706" t="n">
        <v>0</v>
      </c>
      <c r="P706" t="n">
        <v>0</v>
      </c>
      <c r="Q706" t="n">
        <v>0</v>
      </c>
      <c r="R706" s="2" t="inlineStr"/>
    </row>
    <row r="707" ht="15" customHeight="1">
      <c r="A707" t="inlineStr">
        <is>
          <t>A 18713-2025</t>
        </is>
      </c>
      <c r="B707" s="1" t="n">
        <v>45763</v>
      </c>
      <c r="C707" s="1" t="n">
        <v>46033</v>
      </c>
      <c r="D707" t="inlineStr">
        <is>
          <t>VÄSTMANLANDS LÄN</t>
        </is>
      </c>
      <c r="E707" t="inlineStr">
        <is>
          <t>SALA</t>
        </is>
      </c>
      <c r="F707" t="inlineStr">
        <is>
          <t>Bergvik skog öst AB</t>
        </is>
      </c>
      <c r="G707" t="n">
        <v>11.6</v>
      </c>
      <c r="H707" t="n">
        <v>0</v>
      </c>
      <c r="I707" t="n">
        <v>0</v>
      </c>
      <c r="J707" t="n">
        <v>0</v>
      </c>
      <c r="K707" t="n">
        <v>0</v>
      </c>
      <c r="L707" t="n">
        <v>0</v>
      </c>
      <c r="M707" t="n">
        <v>0</v>
      </c>
      <c r="N707" t="n">
        <v>0</v>
      </c>
      <c r="O707" t="n">
        <v>0</v>
      </c>
      <c r="P707" t="n">
        <v>0</v>
      </c>
      <c r="Q707" t="n">
        <v>0</v>
      </c>
      <c r="R707" s="2" t="inlineStr"/>
    </row>
    <row r="708" ht="15" customHeight="1">
      <c r="A708" t="inlineStr">
        <is>
          <t>A 47479-2024</t>
        </is>
      </c>
      <c r="B708" s="1" t="n">
        <v>45587</v>
      </c>
      <c r="C708" s="1" t="n">
        <v>46033</v>
      </c>
      <c r="D708" t="inlineStr">
        <is>
          <t>VÄSTMANLANDS LÄN</t>
        </is>
      </c>
      <c r="E708" t="inlineStr">
        <is>
          <t>SALA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69236-2021</t>
        </is>
      </c>
      <c r="B709" s="1" t="n">
        <v>44531.4047337963</v>
      </c>
      <c r="C709" s="1" t="n">
        <v>46033</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25541-2024</t>
        </is>
      </c>
      <c r="B710" s="1" t="n">
        <v>45463.56337962963</v>
      </c>
      <c r="C710" s="1" t="n">
        <v>46033</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5728-2022</t>
        </is>
      </c>
      <c r="B711" s="1" t="n">
        <v>44596.42082175926</v>
      </c>
      <c r="C711" s="1" t="n">
        <v>46033</v>
      </c>
      <c r="D711" t="inlineStr">
        <is>
          <t>VÄSTMANLANDS LÄN</t>
        </is>
      </c>
      <c r="E711" t="inlineStr">
        <is>
          <t>SALA</t>
        </is>
      </c>
      <c r="G711" t="n">
        <v>1.7</v>
      </c>
      <c r="H711" t="n">
        <v>0</v>
      </c>
      <c r="I711" t="n">
        <v>0</v>
      </c>
      <c r="J711" t="n">
        <v>0</v>
      </c>
      <c r="K711" t="n">
        <v>0</v>
      </c>
      <c r="L711" t="n">
        <v>0</v>
      </c>
      <c r="M711" t="n">
        <v>0</v>
      </c>
      <c r="N711" t="n">
        <v>0</v>
      </c>
      <c r="O711" t="n">
        <v>0</v>
      </c>
      <c r="P711" t="n">
        <v>0</v>
      </c>
      <c r="Q711" t="n">
        <v>0</v>
      </c>
      <c r="R711" s="2" t="inlineStr"/>
    </row>
    <row r="712" ht="15" customHeight="1">
      <c r="A712" t="inlineStr">
        <is>
          <t>A 10250-2025</t>
        </is>
      </c>
      <c r="B712" s="1" t="n">
        <v>45720.36165509259</v>
      </c>
      <c r="C712" s="1" t="n">
        <v>46033</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49512-2024</t>
        </is>
      </c>
      <c r="B713" s="1" t="n">
        <v>45591</v>
      </c>
      <c r="C713" s="1" t="n">
        <v>46033</v>
      </c>
      <c r="D713" t="inlineStr">
        <is>
          <t>VÄSTMANLANDS LÄN</t>
        </is>
      </c>
      <c r="E713" t="inlineStr">
        <is>
          <t>SALA</t>
        </is>
      </c>
      <c r="G713" t="n">
        <v>8.1</v>
      </c>
      <c r="H713" t="n">
        <v>0</v>
      </c>
      <c r="I713" t="n">
        <v>0</v>
      </c>
      <c r="J713" t="n">
        <v>0</v>
      </c>
      <c r="K713" t="n">
        <v>0</v>
      </c>
      <c r="L713" t="n">
        <v>0</v>
      </c>
      <c r="M713" t="n">
        <v>0</v>
      </c>
      <c r="N713" t="n">
        <v>0</v>
      </c>
      <c r="O713" t="n">
        <v>0</v>
      </c>
      <c r="P713" t="n">
        <v>0</v>
      </c>
      <c r="Q713" t="n">
        <v>0</v>
      </c>
      <c r="R713" s="2" t="inlineStr"/>
    </row>
    <row r="714" ht="15" customHeight="1">
      <c r="A714" t="inlineStr">
        <is>
          <t>A 42416-2022</t>
        </is>
      </c>
      <c r="B714" s="1" t="n">
        <v>44831</v>
      </c>
      <c r="C714" s="1" t="n">
        <v>46033</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6135-2023</t>
        </is>
      </c>
      <c r="B715" s="1" t="n">
        <v>44964.62628472222</v>
      </c>
      <c r="C715" s="1" t="n">
        <v>46033</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16693-2023</t>
        </is>
      </c>
      <c r="B716" s="1" t="n">
        <v>45028</v>
      </c>
      <c r="C716" s="1" t="n">
        <v>46033</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8285-2025</t>
        </is>
      </c>
      <c r="B717" s="1" t="n">
        <v>45708</v>
      </c>
      <c r="C717" s="1" t="n">
        <v>46033</v>
      </c>
      <c r="D717" t="inlineStr">
        <is>
          <t>VÄSTMANLANDS LÄN</t>
        </is>
      </c>
      <c r="E717" t="inlineStr">
        <is>
          <t>SALA</t>
        </is>
      </c>
      <c r="G717" t="n">
        <v>5.7</v>
      </c>
      <c r="H717" t="n">
        <v>0</v>
      </c>
      <c r="I717" t="n">
        <v>0</v>
      </c>
      <c r="J717" t="n">
        <v>0</v>
      </c>
      <c r="K717" t="n">
        <v>0</v>
      </c>
      <c r="L717" t="n">
        <v>0</v>
      </c>
      <c r="M717" t="n">
        <v>0</v>
      </c>
      <c r="N717" t="n">
        <v>0</v>
      </c>
      <c r="O717" t="n">
        <v>0</v>
      </c>
      <c r="P717" t="n">
        <v>0</v>
      </c>
      <c r="Q717" t="n">
        <v>0</v>
      </c>
      <c r="R717" s="2" t="inlineStr"/>
    </row>
    <row r="718" ht="15" customHeight="1">
      <c r="A718" t="inlineStr">
        <is>
          <t>A 15584-2021</t>
        </is>
      </c>
      <c r="B718" s="1" t="n">
        <v>44285</v>
      </c>
      <c r="C718" s="1" t="n">
        <v>46033</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18340-2025</t>
        </is>
      </c>
      <c r="B719" s="1" t="n">
        <v>45762</v>
      </c>
      <c r="C719" s="1" t="n">
        <v>46033</v>
      </c>
      <c r="D719" t="inlineStr">
        <is>
          <t>VÄSTMANLANDS LÄN</t>
        </is>
      </c>
      <c r="E719" t="inlineStr">
        <is>
          <t>SALA</t>
        </is>
      </c>
      <c r="G719" t="n">
        <v>2.1</v>
      </c>
      <c r="H719" t="n">
        <v>0</v>
      </c>
      <c r="I719" t="n">
        <v>0</v>
      </c>
      <c r="J719" t="n">
        <v>0</v>
      </c>
      <c r="K719" t="n">
        <v>0</v>
      </c>
      <c r="L719" t="n">
        <v>0</v>
      </c>
      <c r="M719" t="n">
        <v>0</v>
      </c>
      <c r="N719" t="n">
        <v>0</v>
      </c>
      <c r="O719" t="n">
        <v>0</v>
      </c>
      <c r="P719" t="n">
        <v>0</v>
      </c>
      <c r="Q719" t="n">
        <v>0</v>
      </c>
      <c r="R719" s="2" t="inlineStr"/>
    </row>
    <row r="720" ht="15" customHeight="1">
      <c r="A720" t="inlineStr">
        <is>
          <t>A 56706-2022</t>
        </is>
      </c>
      <c r="B720" s="1" t="n">
        <v>44893.78893518518</v>
      </c>
      <c r="C720" s="1" t="n">
        <v>46033</v>
      </c>
      <c r="D720" t="inlineStr">
        <is>
          <t>VÄSTMANLANDS LÄN</t>
        </is>
      </c>
      <c r="E720" t="inlineStr">
        <is>
          <t>SALA</t>
        </is>
      </c>
      <c r="G720" t="n">
        <v>4.5</v>
      </c>
      <c r="H720" t="n">
        <v>0</v>
      </c>
      <c r="I720" t="n">
        <v>0</v>
      </c>
      <c r="J720" t="n">
        <v>0</v>
      </c>
      <c r="K720" t="n">
        <v>0</v>
      </c>
      <c r="L720" t="n">
        <v>0</v>
      </c>
      <c r="M720" t="n">
        <v>0</v>
      </c>
      <c r="N720" t="n">
        <v>0</v>
      </c>
      <c r="O720" t="n">
        <v>0</v>
      </c>
      <c r="P720" t="n">
        <v>0</v>
      </c>
      <c r="Q720" t="n">
        <v>0</v>
      </c>
      <c r="R720" s="2" t="inlineStr"/>
    </row>
    <row r="721" ht="15" customHeight="1">
      <c r="A721" t="inlineStr">
        <is>
          <t>A 56707-2022</t>
        </is>
      </c>
      <c r="B721" s="1" t="n">
        <v>44893.79412037037</v>
      </c>
      <c r="C721" s="1" t="n">
        <v>46033</v>
      </c>
      <c r="D721" t="inlineStr">
        <is>
          <t>VÄSTMANLANDS LÄN</t>
        </is>
      </c>
      <c r="E721" t="inlineStr">
        <is>
          <t>SALA</t>
        </is>
      </c>
      <c r="G721" t="n">
        <v>1</v>
      </c>
      <c r="H721" t="n">
        <v>0</v>
      </c>
      <c r="I721" t="n">
        <v>0</v>
      </c>
      <c r="J721" t="n">
        <v>0</v>
      </c>
      <c r="K721" t="n">
        <v>0</v>
      </c>
      <c r="L721" t="n">
        <v>0</v>
      </c>
      <c r="M721" t="n">
        <v>0</v>
      </c>
      <c r="N721" t="n">
        <v>0</v>
      </c>
      <c r="O721" t="n">
        <v>0</v>
      </c>
      <c r="P721" t="n">
        <v>0</v>
      </c>
      <c r="Q721" t="n">
        <v>0</v>
      </c>
      <c r="R721" s="2" t="inlineStr"/>
    </row>
    <row r="722" ht="15" customHeight="1">
      <c r="A722" t="inlineStr">
        <is>
          <t>A 48571-2024</t>
        </is>
      </c>
      <c r="B722" s="1" t="n">
        <v>45591</v>
      </c>
      <c r="C722" s="1" t="n">
        <v>46033</v>
      </c>
      <c r="D722" t="inlineStr">
        <is>
          <t>VÄSTMANLANDS LÄN</t>
        </is>
      </c>
      <c r="E722" t="inlineStr">
        <is>
          <t>SALA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13188-2025</t>
        </is>
      </c>
      <c r="B723" s="1" t="n">
        <v>45735.39246527778</v>
      </c>
      <c r="C723" s="1" t="n">
        <v>46033</v>
      </c>
      <c r="D723" t="inlineStr">
        <is>
          <t>VÄSTMANLANDS LÄN</t>
        </is>
      </c>
      <c r="E723" t="inlineStr">
        <is>
          <t>SALA</t>
        </is>
      </c>
      <c r="F723" t="inlineStr">
        <is>
          <t>Naturvårdsverket</t>
        </is>
      </c>
      <c r="G723" t="n">
        <v>18.4</v>
      </c>
      <c r="H723" t="n">
        <v>0</v>
      </c>
      <c r="I723" t="n">
        <v>0</v>
      </c>
      <c r="J723" t="n">
        <v>0</v>
      </c>
      <c r="K723" t="n">
        <v>0</v>
      </c>
      <c r="L723" t="n">
        <v>0</v>
      </c>
      <c r="M723" t="n">
        <v>0</v>
      </c>
      <c r="N723" t="n">
        <v>0</v>
      </c>
      <c r="O723" t="n">
        <v>0</v>
      </c>
      <c r="P723" t="n">
        <v>0</v>
      </c>
      <c r="Q723" t="n">
        <v>0</v>
      </c>
      <c r="R723" s="2" t="inlineStr"/>
    </row>
    <row r="724" ht="15" customHeight="1">
      <c r="A724" t="inlineStr">
        <is>
          <t>A 23431-2024</t>
        </is>
      </c>
      <c r="B724" s="1" t="n">
        <v>45453</v>
      </c>
      <c r="C724" s="1" t="n">
        <v>46033</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21168-2025</t>
        </is>
      </c>
      <c r="B725" s="1" t="n">
        <v>45777</v>
      </c>
      <c r="C725" s="1" t="n">
        <v>46033</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21754-2025</t>
        </is>
      </c>
      <c r="B726" s="1" t="n">
        <v>45783.61837962963</v>
      </c>
      <c r="C726" s="1" t="n">
        <v>46033</v>
      </c>
      <c r="D726" t="inlineStr">
        <is>
          <t>VÄSTMANLANDS LÄN</t>
        </is>
      </c>
      <c r="E726" t="inlineStr">
        <is>
          <t>SALA</t>
        </is>
      </c>
      <c r="G726" t="n">
        <v>8.699999999999999</v>
      </c>
      <c r="H726" t="n">
        <v>0</v>
      </c>
      <c r="I726" t="n">
        <v>0</v>
      </c>
      <c r="J726" t="n">
        <v>0</v>
      </c>
      <c r="K726" t="n">
        <v>0</v>
      </c>
      <c r="L726" t="n">
        <v>0</v>
      </c>
      <c r="M726" t="n">
        <v>0</v>
      </c>
      <c r="N726" t="n">
        <v>0</v>
      </c>
      <c r="O726" t="n">
        <v>0</v>
      </c>
      <c r="P726" t="n">
        <v>0</v>
      </c>
      <c r="Q726" t="n">
        <v>0</v>
      </c>
      <c r="R726" s="2" t="inlineStr"/>
    </row>
    <row r="727">
      <c r="A727" t="inlineStr">
        <is>
          <t>A 21751-2025</t>
        </is>
      </c>
      <c r="B727" s="1" t="n">
        <v>45783.61372685185</v>
      </c>
      <c r="C727" s="1" t="n">
        <v>46033</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2026-01-11T10:51:20Z</dcterms:created>
  <dcterms:modified xmlns:dcterms="http://purl.org/dc/terms/" xmlns:xsi="http://www.w3.org/2001/XMLSchema-instance" xsi:type="dcterms:W3CDTF">2026-01-11T10:51:20Z</dcterms:modified>
</cp:coreProperties>
</file>