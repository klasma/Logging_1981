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45346</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45346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45346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45346</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45346</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45346</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45346</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45346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45346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45346</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45346</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45346</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56092-2023</t>
        </is>
      </c>
      <c r="B14" s="1" t="n">
        <v>45240</v>
      </c>
      <c r="C14" s="1" t="n">
        <v>45346</v>
      </c>
      <c r="D14" t="inlineStr">
        <is>
          <t>VÄSTMANLANDS LÄN</t>
        </is>
      </c>
      <c r="E14" t="inlineStr">
        <is>
          <t>SALA</t>
        </is>
      </c>
      <c r="G14" t="n">
        <v>11.6</v>
      </c>
      <c r="H14" t="n">
        <v>2</v>
      </c>
      <c r="I14" t="n">
        <v>1</v>
      </c>
      <c r="J14" t="n">
        <v>2</v>
      </c>
      <c r="K14" t="n">
        <v>1</v>
      </c>
      <c r="L14" t="n">
        <v>0</v>
      </c>
      <c r="M14" t="n">
        <v>0</v>
      </c>
      <c r="N14" t="n">
        <v>0</v>
      </c>
      <c r="O14" t="n">
        <v>3</v>
      </c>
      <c r="P14" t="n">
        <v>1</v>
      </c>
      <c r="Q14" t="n">
        <v>4</v>
      </c>
      <c r="R14" s="2" t="inlineStr">
        <is>
          <t>Knärot
Havsörn
Motaggsvamp
Vedticka</t>
        </is>
      </c>
      <c r="S14">
        <f>HYPERLINK("https://klasma.github.io/Logging_1981/artfynd/A 56092-2023 artfynd.xlsx", "A 56092-2023")</f>
        <v/>
      </c>
      <c r="T14">
        <f>HYPERLINK("https://klasma.github.io/Logging_1981/kartor/A 56092-2023 karta.png", "A 56092-2023")</f>
        <v/>
      </c>
      <c r="U14">
        <f>HYPERLINK("https://klasma.github.io/Logging_1981/knärot/A 56092-2023 karta knärot.png", "A 56092-2023")</f>
        <v/>
      </c>
      <c r="V14">
        <f>HYPERLINK("https://klasma.github.io/Logging_1981/klagomål/A 56092-2023 FSC-klagomål.docx", "A 56092-2023")</f>
        <v/>
      </c>
      <c r="W14">
        <f>HYPERLINK("https://klasma.github.io/Logging_1981/klagomålsmail/A 56092-2023 FSC-klagomål mail.docx", "A 56092-2023")</f>
        <v/>
      </c>
      <c r="X14">
        <f>HYPERLINK("https://klasma.github.io/Logging_1981/tillsyn/A 56092-2023 tillsynsbegäran.docx", "A 56092-2023")</f>
        <v/>
      </c>
      <c r="Y14">
        <f>HYPERLINK("https://klasma.github.io/Logging_1981/tillsynsmail/A 56092-2023 tillsynsbegäran mail.docx", "A 56092-2023")</f>
        <v/>
      </c>
      <c r="Z14">
        <f>HYPERLINK("https://klasma.github.io/Logging_1981/fåglar/A 56092-2023 prioriterade fågelarter.docx", "A 56092-2023")</f>
        <v/>
      </c>
    </row>
    <row r="15" ht="15" customHeight="1">
      <c r="A15" t="inlineStr">
        <is>
          <t>A 66088-2019</t>
        </is>
      </c>
      <c r="B15" s="1" t="n">
        <v>43807</v>
      </c>
      <c r="C15" s="1" t="n">
        <v>45346</v>
      </c>
      <c r="D15" t="inlineStr">
        <is>
          <t>VÄSTMANLANDS LÄN</t>
        </is>
      </c>
      <c r="E15" t="inlineStr">
        <is>
          <t>SALA</t>
        </is>
      </c>
      <c r="G15" t="n">
        <v>6.4</v>
      </c>
      <c r="H15" t="n">
        <v>0</v>
      </c>
      <c r="I15" t="n">
        <v>1</v>
      </c>
      <c r="J15" t="n">
        <v>2</v>
      </c>
      <c r="K15" t="n">
        <v>0</v>
      </c>
      <c r="L15" t="n">
        <v>0</v>
      </c>
      <c r="M15" t="n">
        <v>0</v>
      </c>
      <c r="N15" t="n">
        <v>0</v>
      </c>
      <c r="O15" t="n">
        <v>2</v>
      </c>
      <c r="P15" t="n">
        <v>0</v>
      </c>
      <c r="Q15" t="n">
        <v>3</v>
      </c>
      <c r="R15" s="2" t="inlineStr">
        <is>
          <t>Ullticka
Vedtrappmossa
Flagellkvastmossa</t>
        </is>
      </c>
      <c r="S15">
        <f>HYPERLINK("https://klasma.github.io/Logging_1981/artfynd/A 66088-2019 artfynd.xlsx", "A 66088-2019")</f>
        <v/>
      </c>
      <c r="T15">
        <f>HYPERLINK("https://klasma.github.io/Logging_1981/kartor/A 66088-2019 karta.png", "A 66088-2019")</f>
        <v/>
      </c>
      <c r="V15">
        <f>HYPERLINK("https://klasma.github.io/Logging_1981/klagomål/A 66088-2019 FSC-klagomål.docx", "A 66088-2019")</f>
        <v/>
      </c>
      <c r="W15">
        <f>HYPERLINK("https://klasma.github.io/Logging_1981/klagomålsmail/A 66088-2019 FSC-klagomål mail.docx", "A 66088-2019")</f>
        <v/>
      </c>
      <c r="X15">
        <f>HYPERLINK("https://klasma.github.io/Logging_1981/tillsyn/A 66088-2019 tillsynsbegäran.docx", "A 66088-2019")</f>
        <v/>
      </c>
      <c r="Y15">
        <f>HYPERLINK("https://klasma.github.io/Logging_1981/tillsynsmail/A 66088-2019 tillsynsbegäran mail.docx", "A 66088-2019")</f>
        <v/>
      </c>
    </row>
    <row r="16" ht="15" customHeight="1">
      <c r="A16" t="inlineStr">
        <is>
          <t>A 62768-2021</t>
        </is>
      </c>
      <c r="B16" s="1" t="n">
        <v>44504</v>
      </c>
      <c r="C16" s="1" t="n">
        <v>45346</v>
      </c>
      <c r="D16" t="inlineStr">
        <is>
          <t>VÄSTMANLANDS LÄN</t>
        </is>
      </c>
      <c r="E16" t="inlineStr">
        <is>
          <t>SALA</t>
        </is>
      </c>
      <c r="G16" t="n">
        <v>12.9</v>
      </c>
      <c r="H16" t="n">
        <v>1</v>
      </c>
      <c r="I16" t="n">
        <v>1</v>
      </c>
      <c r="J16" t="n">
        <v>1</v>
      </c>
      <c r="K16" t="n">
        <v>1</v>
      </c>
      <c r="L16" t="n">
        <v>0</v>
      </c>
      <c r="M16" t="n">
        <v>0</v>
      </c>
      <c r="N16" t="n">
        <v>0</v>
      </c>
      <c r="O16" t="n">
        <v>2</v>
      </c>
      <c r="P16" t="n">
        <v>1</v>
      </c>
      <c r="Q16" t="n">
        <v>3</v>
      </c>
      <c r="R16" s="2" t="inlineStr">
        <is>
          <t>Knärot
Vedtrappmossa
Grönpyrola</t>
        </is>
      </c>
      <c r="S16">
        <f>HYPERLINK("https://klasma.github.io/Logging_1981/artfynd/A 62768-2021 artfynd.xlsx", "A 62768-2021")</f>
        <v/>
      </c>
      <c r="T16">
        <f>HYPERLINK("https://klasma.github.io/Logging_1981/kartor/A 62768-2021 karta.png", "A 62768-2021")</f>
        <v/>
      </c>
      <c r="U16">
        <f>HYPERLINK("https://klasma.github.io/Logging_1981/knärot/A 62768-2021 karta knärot.png", "A 62768-2021")</f>
        <v/>
      </c>
      <c r="V16">
        <f>HYPERLINK("https://klasma.github.io/Logging_1981/klagomål/A 62768-2021 FSC-klagomål.docx", "A 62768-2021")</f>
        <v/>
      </c>
      <c r="W16">
        <f>HYPERLINK("https://klasma.github.io/Logging_1981/klagomålsmail/A 62768-2021 FSC-klagomål mail.docx", "A 62768-2021")</f>
        <v/>
      </c>
      <c r="X16">
        <f>HYPERLINK("https://klasma.github.io/Logging_1981/tillsyn/A 62768-2021 tillsynsbegäran.docx", "A 62768-2021")</f>
        <v/>
      </c>
      <c r="Y16">
        <f>HYPERLINK("https://klasma.github.io/Logging_1981/tillsynsmail/A 62768-2021 tillsynsbegäran mail.docx", "A 62768-2021")</f>
        <v/>
      </c>
    </row>
    <row r="17" ht="15" customHeight="1">
      <c r="A17" t="inlineStr">
        <is>
          <t>A 15991-2022</t>
        </is>
      </c>
      <c r="B17" s="1" t="n">
        <v>44664</v>
      </c>
      <c r="C17" s="1" t="n">
        <v>45346</v>
      </c>
      <c r="D17" t="inlineStr">
        <is>
          <t>VÄSTMANLANDS LÄN</t>
        </is>
      </c>
      <c r="E17" t="inlineStr">
        <is>
          <t>SALA</t>
        </is>
      </c>
      <c r="G17" t="n">
        <v>4.5</v>
      </c>
      <c r="H17" t="n">
        <v>2</v>
      </c>
      <c r="I17" t="n">
        <v>1</v>
      </c>
      <c r="J17" t="n">
        <v>0</v>
      </c>
      <c r="K17" t="n">
        <v>1</v>
      </c>
      <c r="L17" t="n">
        <v>0</v>
      </c>
      <c r="M17" t="n">
        <v>0</v>
      </c>
      <c r="N17" t="n">
        <v>0</v>
      </c>
      <c r="O17" t="n">
        <v>1</v>
      </c>
      <c r="P17" t="n">
        <v>1</v>
      </c>
      <c r="Q17" t="n">
        <v>3</v>
      </c>
      <c r="R17" s="2" t="inlineStr">
        <is>
          <t>Knärot
Blåmossa
Revlummer</t>
        </is>
      </c>
      <c r="S17">
        <f>HYPERLINK("https://klasma.github.io/Logging_1981/artfynd/A 15991-2022 artfynd.xlsx", "A 15991-2022")</f>
        <v/>
      </c>
      <c r="T17">
        <f>HYPERLINK("https://klasma.github.io/Logging_1981/kartor/A 15991-2022 karta.png", "A 15991-2022")</f>
        <v/>
      </c>
      <c r="U17">
        <f>HYPERLINK("https://klasma.github.io/Logging_1981/knärot/A 15991-2022 karta knärot.png", "A 15991-2022")</f>
        <v/>
      </c>
      <c r="V17">
        <f>HYPERLINK("https://klasma.github.io/Logging_1981/klagomål/A 15991-2022 FSC-klagomål.docx", "A 15991-2022")</f>
        <v/>
      </c>
      <c r="W17">
        <f>HYPERLINK("https://klasma.github.io/Logging_1981/klagomålsmail/A 15991-2022 FSC-klagomål mail.docx", "A 15991-2022")</f>
        <v/>
      </c>
      <c r="X17">
        <f>HYPERLINK("https://klasma.github.io/Logging_1981/tillsyn/A 15991-2022 tillsynsbegäran.docx", "A 15991-2022")</f>
        <v/>
      </c>
      <c r="Y17">
        <f>HYPERLINK("https://klasma.github.io/Logging_1981/tillsynsmail/A 15991-2022 tillsynsbegäran mail.docx", "A 15991-2022")</f>
        <v/>
      </c>
    </row>
    <row r="18" ht="15" customHeight="1">
      <c r="A18" t="inlineStr">
        <is>
          <t>A 3567-2024</t>
        </is>
      </c>
      <c r="B18" s="1" t="n">
        <v>45320</v>
      </c>
      <c r="C18" s="1" t="n">
        <v>45346</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45346</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45346</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45346</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45346</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45346</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45346</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45346</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45346</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45346</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45346</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45346</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45346</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45346</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45346</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45346</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45346</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45346</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45346</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45346</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45346</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45346</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45346</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45346</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45346</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45346</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45346</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45346</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45346</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45346</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45346</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45346</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45346</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45346</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45346</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45346</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45346</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45346</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45346</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45346</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45346</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45346</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45346</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45346</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45346</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45346</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45346</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45346</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45346</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45346</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45346</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45346</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45346</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45346</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45346</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45346</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45346</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45346</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45346</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45346</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45346</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45346</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45346</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45346</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45346</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45346</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45346</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45346</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45346</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45346</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45346</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45346</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45346</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45346</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45346</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45346</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45346</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45346</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45346</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45346</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45346</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45346</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45346</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45346</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45346</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45346</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45346</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45346</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45346</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45346</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45346</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45346</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45346</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45346</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45346</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45346</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45346</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45346</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45346</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45346</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45346</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45346</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45346</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45346</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45346</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45346</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45346</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45346</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45346</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45346</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45346</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45346</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45346</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45346</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45346</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45346</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45346</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45346</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45346</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45346</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45346</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45346</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45346</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45346</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45346</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45346</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45346</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45346</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45346</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45346</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45346</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45346</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45346</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45346</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45346</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45346</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45346</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45346</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45346</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45346</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45346</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45346</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45346</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45346</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45346</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45346</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45346</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45346</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45346</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45346</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45346</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45346</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45346</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45346</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45346</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45346</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45346</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45346</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45346</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45346</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45346</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45346</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45346</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45346</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45346</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45346</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45346</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45346</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45346</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45346</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45346</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45346</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45346</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45346</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45346</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45346</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45346</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45346</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45346</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45346</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45346</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45346</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45346</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45346</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45346</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45346</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45346</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45346</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45346</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45346</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45346</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45346</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45346</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45346</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45346</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45346</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45346</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45346</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45346</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45346</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45346</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45346</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45346</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45346</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45346</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45346</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45346</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45346</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45346</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45346</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45346</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45346</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45346</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45346</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45346</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45346</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45346</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45346</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45346</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45346</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45346</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45346</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45346</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45346</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45346</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45346</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45346</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45346</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45346</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45346</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45346</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45346</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45346</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45346</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45346</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45346</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45346</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45346</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45346</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45346</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45346</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45346</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45346</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45346</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45346</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45346</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45346</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45346</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45346</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45346</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45346</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45346</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45346</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45346</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45346</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45346</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45346</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45346</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45346</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45346</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45346</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45346</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45346</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45346</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45346</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45346</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45346</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45346</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45346</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45346</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45346</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45346</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45346</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45346</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45346</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45346</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45346</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45346</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45346</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45346</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45346</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45346</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45346</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45346</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45346</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45346</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45346</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45346</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45346</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45346</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45346</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45346</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45346</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45346</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45346</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45346</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45346</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45346</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45346</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45346</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45346</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45346</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45346</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45346</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45346</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45346</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45346</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45346</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45346</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45346</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45346</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45346</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45346</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45346</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45346</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45346</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45346</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45346</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45346</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45346</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45346</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45346</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45346</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45346</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45346</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45346</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45346</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45346</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45346</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45346</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45346</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45346</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45346</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45346</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45346</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45346</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45346</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45346</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45346</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45346</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45346</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45346</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45346</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45346</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45346</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45346</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45346</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45346</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45346</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45346</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45346</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45346</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45346</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45346</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45346</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45346</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45346</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45346</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45346</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45346</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45346</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45346</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45346</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45346</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45346</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45346</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45346</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45346</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45346</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45346</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45346</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45346</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45346</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45346</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45346</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45346</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45346</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45346</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45346</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45346</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45346</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45346</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45346</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45346</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45346</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45346</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45346</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45346</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45346</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45346</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45346</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45346</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45346</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45346</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45346</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45346</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45346</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45346</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45346</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45346</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45346</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45346</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45346</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45346</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45346</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45346</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45346</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45346</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45346</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45346</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45346</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45346</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45346</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45346</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45346</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45346</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45346</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45346</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45346</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45346</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45346</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45346</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45346</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45346</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45346</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45346</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45346</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45346</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45346</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45346</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45346</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45346</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45346</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45346</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45346</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45346</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45346</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45346</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45346</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45346</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45346</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45346</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45346</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45346</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45346</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45346</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45346</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45346</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45346</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45346</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45346</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45346</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45346</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45346</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45346</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45346</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45346</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45346</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45346</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45346</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45346</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45346</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45346</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45346</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45346</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45346</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45346</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45346</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45346</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45346</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45346</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45346</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45346</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45346</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45346</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45346</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45346</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45346</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45346</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45346</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45346</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45346</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45346</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45346</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45346</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45346</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45346</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45346</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45346</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45346</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45346</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45346</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45346</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45346</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45346</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45346</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45346</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45346</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45346</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45346</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45346</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45346</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45346</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45346</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45346</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45346</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45346</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45346</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45346</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45346</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45346</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45346</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45346</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45346</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45346</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45346</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45346</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45346</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45346</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45346</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45346</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45346</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45346</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45346</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45346</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45346</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45346</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45346</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45346</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45346</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45346</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45346</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45346</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45346</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45346</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45346</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45346</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45346</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45346</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45346</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45346</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45346</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45346</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45346</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45346</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45346</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45346</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45346</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45346</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45346</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45346</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45346</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45346</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45346</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45346</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45346</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45346</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45346</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45346</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45346</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45346</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45346</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45346</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45346</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45346</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45346</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45346</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45346</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45346</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45346</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45346</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45346</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45346</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45346</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45346</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45346</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45346</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45346</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45346</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45346</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45346</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45346</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45346</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45346</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45346</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45346</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45346</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45346</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45346</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45346</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45346</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45346</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45346</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45346</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45346</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45346</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45346</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45346</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45346</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45346</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45346</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45346</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45346</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45346</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45346</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45346</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45346</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45346</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45346</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45346</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45346</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45346</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45346</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45346</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45346</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45346</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45346</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45346</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45346</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45346</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45346</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45346</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45346</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45346</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45346</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45346</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45346</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45346</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45346</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45346</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45346</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45346</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45346</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45346</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45346</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45346</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45346</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45346</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45346</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45346</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45346</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45346</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45346</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45346</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45346</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45346</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45346</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45346</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45346</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45346</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45346</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45346</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45346</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45346</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45346</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45346</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45346</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45346</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45346</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45346</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45346</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45346</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45346</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45346</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45346</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45346</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45346</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45346</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45346</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45346</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45346</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45346</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45346</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45346</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45346</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45346</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45346</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45346</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45346</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45346</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45346</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45346</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45346</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45346</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45346</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45346</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45346</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45346</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45346</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45346</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45346</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45346</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45346</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45346</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45346</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45346</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45346</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45346</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45346</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45346</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45346</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45346</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45346</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45346</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45346</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45346</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45346</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45346</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45346</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45346</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45346</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45346</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45346</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45346</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45346</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45346</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45346</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45346</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45346</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45346</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45346</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45346</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45346</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45346</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45346</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45346</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45346</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45346</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45346</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45346</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45346</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45346</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45346</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45346</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45346</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45346</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45346</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45346</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45346</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45346</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45346</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45346</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45346</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45346</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45346</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45346</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45346</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45346</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45346</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45346</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45346</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45346</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45346</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45346</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45346</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45346</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45346</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45346</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45346</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45346</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45346</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45346</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45346</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45346</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45346</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45346</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45346</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45346</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45346</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45346</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45346</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45346</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45346</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45346</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45346</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45346</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45346</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45346</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45346</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45346</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45346</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45346</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45346</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45346</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45346</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45346</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45346</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45346</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45346</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45346</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45346</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45346</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45346</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45346</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45346</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45346</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45346</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45346</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45346</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45346</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45346</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45346</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45346</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45346</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45346</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45346</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45346</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45346</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45346</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45346</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45346</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45346</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45346</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45346</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45346</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45346</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45346</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45346</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45346</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45346</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45346</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45346</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45346</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45346</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45346</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45346</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45346</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45346</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45346</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45346</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45346</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45346</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45346</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45346</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45346</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45346</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45346</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45346</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45346</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45346</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45346</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45346</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45346</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45346</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45346</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45346</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45346</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45346</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45346</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45346</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45346</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45346</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45346</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45346</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45346</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45346</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45346</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45346</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45346</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45346</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45346</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45346</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45346</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45346</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45346</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45346</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45346</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45346</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45346</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45346</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45346</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45346</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45346</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45346</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45346</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45346</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45346</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45346</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45346</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45346</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45346</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45346</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45346</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45346</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45346</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45346</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45346</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45346</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45346</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45346</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45346</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45346</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45346</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45346</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45346</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45346</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45346</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45346</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45346</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45346</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3527-2024</t>
        </is>
      </c>
      <c r="B918" s="1" t="n">
        <v>45320</v>
      </c>
      <c r="C918" s="1" t="n">
        <v>45346</v>
      </c>
      <c r="D918" t="inlineStr">
        <is>
          <t>VÄSTMANLANDS LÄN</t>
        </is>
      </c>
      <c r="E918" t="inlineStr">
        <is>
          <t>SALA</t>
        </is>
      </c>
      <c r="G918" t="n">
        <v>1.7</v>
      </c>
      <c r="H918" t="n">
        <v>0</v>
      </c>
      <c r="I918" t="n">
        <v>0</v>
      </c>
      <c r="J918" t="n">
        <v>0</v>
      </c>
      <c r="K918" t="n">
        <v>0</v>
      </c>
      <c r="L918" t="n">
        <v>0</v>
      </c>
      <c r="M918" t="n">
        <v>0</v>
      </c>
      <c r="N918" t="n">
        <v>0</v>
      </c>
      <c r="O918" t="n">
        <v>0</v>
      </c>
      <c r="P918" t="n">
        <v>0</v>
      </c>
      <c r="Q918" t="n">
        <v>0</v>
      </c>
      <c r="R918" s="2" t="inlineStr"/>
    </row>
    <row r="919" ht="15" customHeight="1">
      <c r="A919" t="inlineStr">
        <is>
          <t>A 3525-2024</t>
        </is>
      </c>
      <c r="B919" s="1" t="n">
        <v>45320</v>
      </c>
      <c r="C919" s="1" t="n">
        <v>45346</v>
      </c>
      <c r="D919" t="inlineStr">
        <is>
          <t>VÄSTMANLANDS LÄN</t>
        </is>
      </c>
      <c r="E919" t="inlineStr">
        <is>
          <t>SALA</t>
        </is>
      </c>
      <c r="G919" t="n">
        <v>3.5</v>
      </c>
      <c r="H919" t="n">
        <v>0</v>
      </c>
      <c r="I919" t="n">
        <v>0</v>
      </c>
      <c r="J919" t="n">
        <v>0</v>
      </c>
      <c r="K919" t="n">
        <v>0</v>
      </c>
      <c r="L919" t="n">
        <v>0</v>
      </c>
      <c r="M919" t="n">
        <v>0</v>
      </c>
      <c r="N919" t="n">
        <v>0</v>
      </c>
      <c r="O919" t="n">
        <v>0</v>
      </c>
      <c r="P919" t="n">
        <v>0</v>
      </c>
      <c r="Q919" t="n">
        <v>0</v>
      </c>
      <c r="R919" s="2" t="inlineStr"/>
    </row>
    <row r="920" ht="15" customHeight="1">
      <c r="A920" t="inlineStr">
        <is>
          <t>A 3551-2024</t>
        </is>
      </c>
      <c r="B920" s="1" t="n">
        <v>45320</v>
      </c>
      <c r="C920" s="1" t="n">
        <v>45346</v>
      </c>
      <c r="D920" t="inlineStr">
        <is>
          <t>VÄSTMANLANDS LÄN</t>
        </is>
      </c>
      <c r="E920" t="inlineStr">
        <is>
          <t>SALA</t>
        </is>
      </c>
      <c r="F920" t="inlineStr">
        <is>
          <t>Kommuner</t>
        </is>
      </c>
      <c r="G920" t="n">
        <v>6</v>
      </c>
      <c r="H920" t="n">
        <v>0</v>
      </c>
      <c r="I920" t="n">
        <v>0</v>
      </c>
      <c r="J920" t="n">
        <v>0</v>
      </c>
      <c r="K920" t="n">
        <v>0</v>
      </c>
      <c r="L920" t="n">
        <v>0</v>
      </c>
      <c r="M920" t="n">
        <v>0</v>
      </c>
      <c r="N920" t="n">
        <v>0</v>
      </c>
      <c r="O920" t="n">
        <v>0</v>
      </c>
      <c r="P920" t="n">
        <v>0</v>
      </c>
      <c r="Q920" t="n">
        <v>0</v>
      </c>
      <c r="R920" s="2" t="inlineStr"/>
    </row>
    <row r="921" ht="15" customHeight="1">
      <c r="A921" t="inlineStr">
        <is>
          <t>A 3560-2024</t>
        </is>
      </c>
      <c r="B921" s="1" t="n">
        <v>45320</v>
      </c>
      <c r="C921" s="1" t="n">
        <v>45346</v>
      </c>
      <c r="D921" t="inlineStr">
        <is>
          <t>VÄSTMANLANDS LÄN</t>
        </is>
      </c>
      <c r="E921" t="inlineStr">
        <is>
          <t>SALA</t>
        </is>
      </c>
      <c r="F921" t="inlineStr">
        <is>
          <t>Kommuner</t>
        </is>
      </c>
      <c r="G921" t="n">
        <v>4.2</v>
      </c>
      <c r="H921" t="n">
        <v>0</v>
      </c>
      <c r="I921" t="n">
        <v>0</v>
      </c>
      <c r="J921" t="n">
        <v>0</v>
      </c>
      <c r="K921" t="n">
        <v>0</v>
      </c>
      <c r="L921" t="n">
        <v>0</v>
      </c>
      <c r="M921" t="n">
        <v>0</v>
      </c>
      <c r="N921" t="n">
        <v>0</v>
      </c>
      <c r="O921" t="n">
        <v>0</v>
      </c>
      <c r="P921" t="n">
        <v>0</v>
      </c>
      <c r="Q921" t="n">
        <v>0</v>
      </c>
      <c r="R921" s="2" t="inlineStr"/>
    </row>
    <row r="922" ht="15" customHeight="1">
      <c r="A922" t="inlineStr">
        <is>
          <t>A 3577-2024</t>
        </is>
      </c>
      <c r="B922" s="1" t="n">
        <v>45320</v>
      </c>
      <c r="C922" s="1" t="n">
        <v>45346</v>
      </c>
      <c r="D922" t="inlineStr">
        <is>
          <t>VÄSTMANLANDS LÄN</t>
        </is>
      </c>
      <c r="E922" t="inlineStr">
        <is>
          <t>SALA</t>
        </is>
      </c>
      <c r="F922" t="inlineStr">
        <is>
          <t>Kommuner</t>
        </is>
      </c>
      <c r="G922" t="n">
        <v>7.2</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45346</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45346</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45346</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45346</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45346</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45346</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45346</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45346</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45346</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6585-2024</t>
        </is>
      </c>
      <c r="B932" s="1" t="n">
        <v>45338</v>
      </c>
      <c r="C932" s="1" t="n">
        <v>45346</v>
      </c>
      <c r="D932" t="inlineStr">
        <is>
          <t>VÄSTMANLANDS LÄN</t>
        </is>
      </c>
      <c r="E932" t="inlineStr">
        <is>
          <t>SALA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6572-2024</t>
        </is>
      </c>
      <c r="B933" s="1" t="n">
        <v>45338</v>
      </c>
      <c r="C933" s="1" t="n">
        <v>45346</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6541-2024</t>
        </is>
      </c>
      <c r="B934" s="1" t="n">
        <v>45338</v>
      </c>
      <c r="C934" s="1" t="n">
        <v>45346</v>
      </c>
      <c r="D934" t="inlineStr">
        <is>
          <t>VÄSTMANLANDS LÄN</t>
        </is>
      </c>
      <c r="E934" t="inlineStr">
        <is>
          <t>SALA</t>
        </is>
      </c>
      <c r="G934" t="n">
        <v>0.8</v>
      </c>
      <c r="H934" t="n">
        <v>0</v>
      </c>
      <c r="I934" t="n">
        <v>0</v>
      </c>
      <c r="J934" t="n">
        <v>0</v>
      </c>
      <c r="K934" t="n">
        <v>0</v>
      </c>
      <c r="L934" t="n">
        <v>0</v>
      </c>
      <c r="M934" t="n">
        <v>0</v>
      </c>
      <c r="N934" t="n">
        <v>0</v>
      </c>
      <c r="O934" t="n">
        <v>0</v>
      </c>
      <c r="P934" t="n">
        <v>0</v>
      </c>
      <c r="Q934" t="n">
        <v>0</v>
      </c>
      <c r="R934" s="2" t="inlineStr"/>
    </row>
    <row r="935" ht="15" customHeight="1">
      <c r="A935" t="inlineStr">
        <is>
          <t>A 6538-2024</t>
        </is>
      </c>
      <c r="B935" s="1" t="n">
        <v>45338</v>
      </c>
      <c r="C935" s="1" t="n">
        <v>45346</v>
      </c>
      <c r="D935" t="inlineStr">
        <is>
          <t>VÄSTMANLANDS LÄN</t>
        </is>
      </c>
      <c r="E935" t="inlineStr">
        <is>
          <t>SALA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6601-2024</t>
        </is>
      </c>
      <c r="B936" s="1" t="n">
        <v>45338</v>
      </c>
      <c r="C936" s="1" t="n">
        <v>45346</v>
      </c>
      <c r="D936" t="inlineStr">
        <is>
          <t>VÄSTMANLANDS LÄN</t>
        </is>
      </c>
      <c r="E936" t="inlineStr">
        <is>
          <t>SALA</t>
        </is>
      </c>
      <c r="G936" t="n">
        <v>4</v>
      </c>
      <c r="H936" t="n">
        <v>0</v>
      </c>
      <c r="I936" t="n">
        <v>0</v>
      </c>
      <c r="J936" t="n">
        <v>0</v>
      </c>
      <c r="K936" t="n">
        <v>0</v>
      </c>
      <c r="L936" t="n">
        <v>0</v>
      </c>
      <c r="M936" t="n">
        <v>0</v>
      </c>
      <c r="N936" t="n">
        <v>0</v>
      </c>
      <c r="O936" t="n">
        <v>0</v>
      </c>
      <c r="P936" t="n">
        <v>0</v>
      </c>
      <c r="Q936" t="n">
        <v>0</v>
      </c>
      <c r="R936" s="2" t="inlineStr"/>
    </row>
    <row r="937">
      <c r="A937" t="inlineStr">
        <is>
          <t>A 6657-2024</t>
        </is>
      </c>
      <c r="B937" s="1" t="n">
        <v>45341</v>
      </c>
      <c r="C937" s="1" t="n">
        <v>45346</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2024-02-24T12:31:00Z</dcterms:created>
  <dcterms:modified xmlns:dcterms="http://purl.org/dc/terms/" xmlns:xsi="http://www.w3.org/2001/XMLSchema-instance" xsi:type="dcterms:W3CDTF">2024-02-24T12:31:01Z</dcterms:modified>
</cp:coreProperties>
</file>