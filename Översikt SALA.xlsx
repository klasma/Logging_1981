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46128</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46128</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46128</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46128</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46128</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3566-2024</t>
        </is>
      </c>
      <c r="B8" s="1" t="n">
        <v>45320.63596064815</v>
      </c>
      <c r="C8" s="1" t="n">
        <v>46128</v>
      </c>
      <c r="D8" t="inlineStr">
        <is>
          <t>VÄSTMANLANDS LÄN</t>
        </is>
      </c>
      <c r="E8" t="inlineStr">
        <is>
          <t>SALA</t>
        </is>
      </c>
      <c r="F8" t="inlineStr">
        <is>
          <t>Kommuner</t>
        </is>
      </c>
      <c r="G8" t="n">
        <v>4.3</v>
      </c>
      <c r="H8" t="n">
        <v>3</v>
      </c>
      <c r="I8" t="n">
        <v>1</v>
      </c>
      <c r="J8" t="n">
        <v>0</v>
      </c>
      <c r="K8" t="n">
        <v>2</v>
      </c>
      <c r="L8" t="n">
        <v>0</v>
      </c>
      <c r="M8" t="n">
        <v>0</v>
      </c>
      <c r="N8" t="n">
        <v>0</v>
      </c>
      <c r="O8" t="n">
        <v>2</v>
      </c>
      <c r="P8" t="n">
        <v>2</v>
      </c>
      <c r="Q8" t="n">
        <v>5</v>
      </c>
      <c r="R8" s="2" t="inlineStr">
        <is>
          <t>Knärot
Vågticka
Vedticka
Fläcknycklar
Mattlummer</t>
        </is>
      </c>
      <c r="S8">
        <f>HYPERLINK("https://klasma.github.io/Logging_1981/artfynd/A 3566-2024 artfynd.xlsx", "A 3566-2024")</f>
        <v/>
      </c>
      <c r="T8">
        <f>HYPERLINK("https://klasma.github.io/Logging_1981/kartor/A 3566-2024 karta.png", "A 3566-2024")</f>
        <v/>
      </c>
      <c r="U8">
        <f>HYPERLINK("https://klasma.github.io/Logging_1981/knärot/A 3566-2024 karta knärot.png", "A 3566-2024")</f>
        <v/>
      </c>
      <c r="V8">
        <f>HYPERLINK("https://klasma.github.io/Logging_1981/klagomål/A 3566-2024 FSC-klagomål.docx", "A 3566-2024")</f>
        <v/>
      </c>
      <c r="W8">
        <f>HYPERLINK("https://klasma.github.io/Logging_1981/klagomålsmail/A 3566-2024 FSC-klagomål mail.docx", "A 3566-2024")</f>
        <v/>
      </c>
      <c r="X8">
        <f>HYPERLINK("https://klasma.github.io/Logging_1981/tillsyn/A 3566-2024 tillsynsbegäran.docx", "A 3566-2024")</f>
        <v/>
      </c>
      <c r="Y8">
        <f>HYPERLINK("https://klasma.github.io/Logging_1981/tillsynsmail/A 3566-2024 tillsynsbegäran mail.docx", "A 3566-2024")</f>
        <v/>
      </c>
    </row>
    <row r="9" ht="15" customHeight="1">
      <c r="A9" t="inlineStr">
        <is>
          <t>A 1182-2022</t>
        </is>
      </c>
      <c r="B9" s="1" t="n">
        <v>44572</v>
      </c>
      <c r="C9" s="1" t="n">
        <v>46128</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7643-2026</t>
        </is>
      </c>
      <c r="B10" s="1" t="n">
        <v>46062.37700231482</v>
      </c>
      <c r="C10" s="1" t="n">
        <v>46128</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53009-2024</t>
        </is>
      </c>
      <c r="B11" s="1" t="n">
        <v>45610</v>
      </c>
      <c r="C11" s="1" t="n">
        <v>46128</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34752-2023</t>
        </is>
      </c>
      <c r="B12" s="1" t="n">
        <v>45141</v>
      </c>
      <c r="C12" s="1" t="n">
        <v>46128</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46128</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46128</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46128</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46128</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46128</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40895-2025</t>
        </is>
      </c>
      <c r="B18" s="1" t="n">
        <v>45897.61241898148</v>
      </c>
      <c r="C18" s="1" t="n">
        <v>46128</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46128</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46128</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34065-2025</t>
        </is>
      </c>
      <c r="B21" s="1" t="n">
        <v>45845.42806712963</v>
      </c>
      <c r="C21" s="1" t="n">
        <v>46128</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3567-2024</t>
        </is>
      </c>
      <c r="B22" s="1" t="n">
        <v>45320.63706018519</v>
      </c>
      <c r="C22" s="1" t="n">
        <v>46128</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47475-2024</t>
        </is>
      </c>
      <c r="B23" s="1" t="n">
        <v>45587.57552083334</v>
      </c>
      <c r="C23" s="1" t="n">
        <v>46128</v>
      </c>
      <c r="D23" t="inlineStr">
        <is>
          <t>VÄSTMANLANDS LÄN</t>
        </is>
      </c>
      <c r="E23" t="inlineStr">
        <is>
          <t>SALA</t>
        </is>
      </c>
      <c r="G23" t="n">
        <v>1.4</v>
      </c>
      <c r="H23" t="n">
        <v>1</v>
      </c>
      <c r="I23" t="n">
        <v>0</v>
      </c>
      <c r="J23" t="n">
        <v>0</v>
      </c>
      <c r="K23" t="n">
        <v>3</v>
      </c>
      <c r="L23" t="n">
        <v>0</v>
      </c>
      <c r="M23" t="n">
        <v>0</v>
      </c>
      <c r="N23" t="n">
        <v>0</v>
      </c>
      <c r="O23" t="n">
        <v>3</v>
      </c>
      <c r="P23" t="n">
        <v>3</v>
      </c>
      <c r="Q23" t="n">
        <v>3</v>
      </c>
      <c r="R23" s="2" t="inlineStr">
        <is>
          <t>Knärot
Luddig stiftdynlav
Rynkskinn</t>
        </is>
      </c>
      <c r="S23">
        <f>HYPERLINK("https://klasma.github.io/Logging_1981/artfynd/A 47475-2024 artfynd.xlsx", "A 47475-2024")</f>
        <v/>
      </c>
      <c r="T23">
        <f>HYPERLINK("https://klasma.github.io/Logging_1981/kartor/A 47475-2024 karta.png", "A 47475-2024")</f>
        <v/>
      </c>
      <c r="U23">
        <f>HYPERLINK("https://klasma.github.io/Logging_1981/knärot/A 47475-2024 karta knärot.png", "A 47475-2024")</f>
        <v/>
      </c>
      <c r="V23">
        <f>HYPERLINK("https://klasma.github.io/Logging_1981/klagomål/A 47475-2024 FSC-klagomål.docx", "A 47475-2024")</f>
        <v/>
      </c>
      <c r="W23">
        <f>HYPERLINK("https://klasma.github.io/Logging_1981/klagomålsmail/A 47475-2024 FSC-klagomål mail.docx", "A 47475-2024")</f>
        <v/>
      </c>
      <c r="X23">
        <f>HYPERLINK("https://klasma.github.io/Logging_1981/tillsyn/A 47475-2024 tillsynsbegäran.docx", "A 47475-2024")</f>
        <v/>
      </c>
      <c r="Y23">
        <f>HYPERLINK("https://klasma.github.io/Logging_1981/tillsynsmail/A 47475-2024 tillsynsbegäran mail.docx", "A 47475-2024")</f>
        <v/>
      </c>
    </row>
    <row r="24" ht="15" customHeight="1">
      <c r="A24" t="inlineStr">
        <is>
          <t>A 4264-2024</t>
        </is>
      </c>
      <c r="B24" s="1" t="n">
        <v>45324</v>
      </c>
      <c r="C24" s="1" t="n">
        <v>46128</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46128</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3930-2026</t>
        </is>
      </c>
      <c r="B26" s="1" t="n">
        <v>46043</v>
      </c>
      <c r="C26" s="1" t="n">
        <v>46128</v>
      </c>
      <c r="D26" t="inlineStr">
        <is>
          <t>VÄSTMANLANDS LÄN</t>
        </is>
      </c>
      <c r="E26" t="inlineStr">
        <is>
          <t>SALA</t>
        </is>
      </c>
      <c r="G26" t="n">
        <v>17.4</v>
      </c>
      <c r="H26" t="n">
        <v>1</v>
      </c>
      <c r="I26" t="n">
        <v>0</v>
      </c>
      <c r="J26" t="n">
        <v>2</v>
      </c>
      <c r="K26" t="n">
        <v>1</v>
      </c>
      <c r="L26" t="n">
        <v>0</v>
      </c>
      <c r="M26" t="n">
        <v>0</v>
      </c>
      <c r="N26" t="n">
        <v>0</v>
      </c>
      <c r="O26" t="n">
        <v>3</v>
      </c>
      <c r="P26" t="n">
        <v>1</v>
      </c>
      <c r="Q26" t="n">
        <v>3</v>
      </c>
      <c r="R26" s="2" t="inlineStr">
        <is>
          <t>Knärot
Gränsticka
Ullticka</t>
        </is>
      </c>
      <c r="S26">
        <f>HYPERLINK("https://klasma.github.io/Logging_1981/artfynd/A 3930-2026 artfynd.xlsx", "A 3930-2026")</f>
        <v/>
      </c>
      <c r="T26">
        <f>HYPERLINK("https://klasma.github.io/Logging_1981/kartor/A 3930-2026 karta.png", "A 3930-2026")</f>
        <v/>
      </c>
      <c r="U26">
        <f>HYPERLINK("https://klasma.github.io/Logging_1981/knärot/A 3930-2026 karta knärot.png", "A 3930-2026")</f>
        <v/>
      </c>
      <c r="V26">
        <f>HYPERLINK("https://klasma.github.io/Logging_1981/klagomål/A 3930-2026 FSC-klagomål.docx", "A 3930-2026")</f>
        <v/>
      </c>
      <c r="W26">
        <f>HYPERLINK("https://klasma.github.io/Logging_1981/klagomålsmail/A 3930-2026 FSC-klagomål mail.docx", "A 3930-2026")</f>
        <v/>
      </c>
      <c r="X26">
        <f>HYPERLINK("https://klasma.github.io/Logging_1981/tillsyn/A 3930-2026 tillsynsbegäran.docx", "A 3930-2026")</f>
        <v/>
      </c>
      <c r="Y26">
        <f>HYPERLINK("https://klasma.github.io/Logging_1981/tillsynsmail/A 3930-2026 tillsynsbegäran mail.docx", "A 3930-2026")</f>
        <v/>
      </c>
    </row>
    <row r="27" ht="15" customHeight="1">
      <c r="A27" t="inlineStr">
        <is>
          <t>A 52909-2022</t>
        </is>
      </c>
      <c r="B27" s="1" t="n">
        <v>44875</v>
      </c>
      <c r="C27" s="1" t="n">
        <v>46128</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73598-2021</t>
        </is>
      </c>
      <c r="B28" s="1" t="n">
        <v>44552</v>
      </c>
      <c r="C28" s="1" t="n">
        <v>46128</v>
      </c>
      <c r="D28" t="inlineStr">
        <is>
          <t>VÄSTMANLANDS LÄN</t>
        </is>
      </c>
      <c r="E28" t="inlineStr">
        <is>
          <t>SALA</t>
        </is>
      </c>
      <c r="G28" t="n">
        <v>1.3</v>
      </c>
      <c r="H28" t="n">
        <v>1</v>
      </c>
      <c r="I28" t="n">
        <v>1</v>
      </c>
      <c r="J28" t="n">
        <v>0</v>
      </c>
      <c r="K28" t="n">
        <v>0</v>
      </c>
      <c r="L28" t="n">
        <v>0</v>
      </c>
      <c r="M28" t="n">
        <v>0</v>
      </c>
      <c r="N28" t="n">
        <v>0</v>
      </c>
      <c r="O28" t="n">
        <v>0</v>
      </c>
      <c r="P28" t="n">
        <v>0</v>
      </c>
      <c r="Q28" t="n">
        <v>2</v>
      </c>
      <c r="R28" s="2" t="inlineStr">
        <is>
          <t>Kryddspindling
Blåsippa</t>
        </is>
      </c>
      <c r="S28">
        <f>HYPERLINK("https://klasma.github.io/Logging_1981/artfynd/A 73598-2021 artfynd.xlsx", "A 73598-2021")</f>
        <v/>
      </c>
      <c r="T28">
        <f>HYPERLINK("https://klasma.github.io/Logging_1981/kartor/A 73598-2021 karta.png", "A 73598-2021")</f>
        <v/>
      </c>
      <c r="V28">
        <f>HYPERLINK("https://klasma.github.io/Logging_1981/klagomål/A 73598-2021 FSC-klagomål.docx", "A 73598-2021")</f>
        <v/>
      </c>
      <c r="W28">
        <f>HYPERLINK("https://klasma.github.io/Logging_1981/klagomålsmail/A 73598-2021 FSC-klagomål mail.docx", "A 73598-2021")</f>
        <v/>
      </c>
      <c r="X28">
        <f>HYPERLINK("https://klasma.github.io/Logging_1981/tillsyn/A 73598-2021 tillsynsbegäran.docx", "A 73598-2021")</f>
        <v/>
      </c>
      <c r="Y28">
        <f>HYPERLINK("https://klasma.github.io/Logging_1981/tillsynsmail/A 73598-2021 tillsynsbegäran mail.docx", "A 73598-2021")</f>
        <v/>
      </c>
    </row>
    <row r="29" ht="15" customHeight="1">
      <c r="A29" t="inlineStr">
        <is>
          <t>A 13029-2023</t>
        </is>
      </c>
      <c r="B29" s="1" t="n">
        <v>45001</v>
      </c>
      <c r="C29" s="1" t="n">
        <v>46128</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11846-2024</t>
        </is>
      </c>
      <c r="B30" s="1" t="n">
        <v>45376.4047337963</v>
      </c>
      <c r="C30" s="1" t="n">
        <v>46128</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24872-2025</t>
        </is>
      </c>
      <c r="B31" s="1" t="n">
        <v>45799.49038194444</v>
      </c>
      <c r="C31" s="1" t="n">
        <v>46128</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53048-2025</t>
        </is>
      </c>
      <c r="B32" s="1" t="n">
        <v>45958.36018518519</v>
      </c>
      <c r="C32" s="1" t="n">
        <v>46128</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1500-2022</t>
        </is>
      </c>
      <c r="B33" s="1" t="n">
        <v>44573.54357638889</v>
      </c>
      <c r="C33" s="1" t="n">
        <v>46128</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59826-2025</t>
        </is>
      </c>
      <c r="B34" s="1" t="n">
        <v>45992.65416666667</v>
      </c>
      <c r="C34" s="1" t="n">
        <v>46128</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63584-2025</t>
        </is>
      </c>
      <c r="B35" s="1" t="n">
        <v>46013.77002314815</v>
      </c>
      <c r="C35" s="1" t="n">
        <v>46128</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15102-2025</t>
        </is>
      </c>
      <c r="B36" s="1" t="n">
        <v>45744.34585648148</v>
      </c>
      <c r="C36" s="1" t="n">
        <v>46128</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12444-2024</t>
        </is>
      </c>
      <c r="B37" s="1" t="n">
        <v>45379.46285879629</v>
      </c>
      <c r="C37" s="1" t="n">
        <v>46128</v>
      </c>
      <c r="D37" t="inlineStr">
        <is>
          <t>VÄSTMANLANDS LÄN</t>
        </is>
      </c>
      <c r="E37" t="inlineStr">
        <is>
          <t>SALA</t>
        </is>
      </c>
      <c r="G37" t="n">
        <v>5.5</v>
      </c>
      <c r="H37" t="n">
        <v>0</v>
      </c>
      <c r="I37" t="n">
        <v>1</v>
      </c>
      <c r="J37" t="n">
        <v>1</v>
      </c>
      <c r="K37" t="n">
        <v>0</v>
      </c>
      <c r="L37" t="n">
        <v>0</v>
      </c>
      <c r="M37" t="n">
        <v>0</v>
      </c>
      <c r="N37" t="n">
        <v>0</v>
      </c>
      <c r="O37" t="n">
        <v>1</v>
      </c>
      <c r="P37" t="n">
        <v>0</v>
      </c>
      <c r="Q37" t="n">
        <v>2</v>
      </c>
      <c r="R37" s="2" t="inlineStr">
        <is>
          <t>Ullticka
Stuplav</t>
        </is>
      </c>
      <c r="S37">
        <f>HYPERLINK("https://klasma.github.io/Logging_1981/artfynd/A 12444-2024 artfynd.xlsx", "A 12444-2024")</f>
        <v/>
      </c>
      <c r="T37">
        <f>HYPERLINK("https://klasma.github.io/Logging_1981/kartor/A 12444-2024 karta.png", "A 12444-2024")</f>
        <v/>
      </c>
      <c r="U37">
        <f>HYPERLINK("https://klasma.github.io/Logging_1981/knärot/A 12444-2024 karta knärot.png", "A 12444-2024")</f>
        <v/>
      </c>
      <c r="V37">
        <f>HYPERLINK("https://klasma.github.io/Logging_1981/klagomål/A 12444-2024 FSC-klagomål.docx", "A 12444-2024")</f>
        <v/>
      </c>
      <c r="W37">
        <f>HYPERLINK("https://klasma.github.io/Logging_1981/klagomålsmail/A 12444-2024 FSC-klagomål mail.docx", "A 12444-2024")</f>
        <v/>
      </c>
      <c r="X37">
        <f>HYPERLINK("https://klasma.github.io/Logging_1981/tillsyn/A 12444-2024 tillsynsbegäran.docx", "A 12444-2024")</f>
        <v/>
      </c>
      <c r="Y37">
        <f>HYPERLINK("https://klasma.github.io/Logging_1981/tillsynsmail/A 12444-2024 tillsynsbegäran mail.docx", "A 12444-2024")</f>
        <v/>
      </c>
    </row>
    <row r="38" ht="15" customHeight="1">
      <c r="A38" t="inlineStr">
        <is>
          <t>A 14485-2026</t>
        </is>
      </c>
      <c r="B38" s="1" t="n">
        <v>46100.59055555556</v>
      </c>
      <c r="C38" s="1" t="n">
        <v>46128</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44970-2021</t>
        </is>
      </c>
      <c r="B39" s="1" t="n">
        <v>44438.74399305556</v>
      </c>
      <c r="C39" s="1" t="n">
        <v>46128</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46128</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41270-2024</t>
        </is>
      </c>
      <c r="B41" s="1" t="n">
        <v>45559</v>
      </c>
      <c r="C41" s="1" t="n">
        <v>46128</v>
      </c>
      <c r="D41" t="inlineStr">
        <is>
          <t>VÄSTMANLANDS LÄN</t>
        </is>
      </c>
      <c r="E41" t="inlineStr">
        <is>
          <t>SALA</t>
        </is>
      </c>
      <c r="G41" t="n">
        <v>15.2</v>
      </c>
      <c r="H41" t="n">
        <v>1</v>
      </c>
      <c r="I41" t="n">
        <v>0</v>
      </c>
      <c r="J41" t="n">
        <v>1</v>
      </c>
      <c r="K41" t="n">
        <v>0</v>
      </c>
      <c r="L41" t="n">
        <v>0</v>
      </c>
      <c r="M41" t="n">
        <v>0</v>
      </c>
      <c r="N41" t="n">
        <v>0</v>
      </c>
      <c r="O41" t="n">
        <v>1</v>
      </c>
      <c r="P41" t="n">
        <v>0</v>
      </c>
      <c r="Q41" t="n">
        <v>1</v>
      </c>
      <c r="R41" s="2" t="inlineStr">
        <is>
          <t>Havsörn</t>
        </is>
      </c>
      <c r="S41">
        <f>HYPERLINK("https://klasma.github.io/Logging_1981/artfynd/A 41270-2024 artfynd.xlsx", "A 41270-2024")</f>
        <v/>
      </c>
      <c r="T41">
        <f>HYPERLINK("https://klasma.github.io/Logging_1981/kartor/A 41270-2024 karta.png", "A 41270-2024")</f>
        <v/>
      </c>
      <c r="V41">
        <f>HYPERLINK("https://klasma.github.io/Logging_1981/klagomål/A 41270-2024 FSC-klagomål.docx", "A 41270-2024")</f>
        <v/>
      </c>
      <c r="W41">
        <f>HYPERLINK("https://klasma.github.io/Logging_1981/klagomålsmail/A 41270-2024 FSC-klagomål mail.docx", "A 41270-2024")</f>
        <v/>
      </c>
      <c r="X41">
        <f>HYPERLINK("https://klasma.github.io/Logging_1981/tillsyn/A 41270-2024 tillsynsbegäran.docx", "A 41270-2024")</f>
        <v/>
      </c>
      <c r="Y41">
        <f>HYPERLINK("https://klasma.github.io/Logging_1981/tillsynsmail/A 41270-2024 tillsynsbegäran mail.docx", "A 41270-2024")</f>
        <v/>
      </c>
      <c r="Z41">
        <f>HYPERLINK("https://klasma.github.io/Logging_1981/fåglar/A 41270-2024 prioriterade fågelarter.docx", "A 41270-2024")</f>
        <v/>
      </c>
    </row>
    <row r="42" ht="15" customHeight="1">
      <c r="A42" t="inlineStr">
        <is>
          <t>A 38255-2025</t>
        </is>
      </c>
      <c r="B42" s="1" t="n">
        <v>45883.38020833334</v>
      </c>
      <c r="C42" s="1" t="n">
        <v>46128</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43068-2024</t>
        </is>
      </c>
      <c r="B43" s="1" t="n">
        <v>45567</v>
      </c>
      <c r="C43" s="1" t="n">
        <v>46128</v>
      </c>
      <c r="D43" t="inlineStr">
        <is>
          <t>VÄSTMANLANDS LÄN</t>
        </is>
      </c>
      <c r="E43" t="inlineStr">
        <is>
          <t>SALA</t>
        </is>
      </c>
      <c r="G43" t="n">
        <v>1.1</v>
      </c>
      <c r="H43" t="n">
        <v>0</v>
      </c>
      <c r="I43" t="n">
        <v>1</v>
      </c>
      <c r="J43" t="n">
        <v>0</v>
      </c>
      <c r="K43" t="n">
        <v>0</v>
      </c>
      <c r="L43" t="n">
        <v>0</v>
      </c>
      <c r="M43" t="n">
        <v>0</v>
      </c>
      <c r="N43" t="n">
        <v>0</v>
      </c>
      <c r="O43" t="n">
        <v>0</v>
      </c>
      <c r="P43" t="n">
        <v>0</v>
      </c>
      <c r="Q43" t="n">
        <v>1</v>
      </c>
      <c r="R43" s="2" t="inlineStr">
        <is>
          <t>Vedticka</t>
        </is>
      </c>
      <c r="S43">
        <f>HYPERLINK("https://klasma.github.io/Logging_1981/artfynd/A 43068-2024 artfynd.xlsx", "A 43068-2024")</f>
        <v/>
      </c>
      <c r="T43">
        <f>HYPERLINK("https://klasma.github.io/Logging_1981/kartor/A 43068-2024 karta.png", "A 43068-2024")</f>
        <v/>
      </c>
      <c r="V43">
        <f>HYPERLINK("https://klasma.github.io/Logging_1981/klagomål/A 43068-2024 FSC-klagomål.docx", "A 43068-2024")</f>
        <v/>
      </c>
      <c r="W43">
        <f>HYPERLINK("https://klasma.github.io/Logging_1981/klagomålsmail/A 43068-2024 FSC-klagomål mail.docx", "A 43068-2024")</f>
        <v/>
      </c>
      <c r="X43">
        <f>HYPERLINK("https://klasma.github.io/Logging_1981/tillsyn/A 43068-2024 tillsynsbegäran.docx", "A 43068-2024")</f>
        <v/>
      </c>
      <c r="Y43">
        <f>HYPERLINK("https://klasma.github.io/Logging_1981/tillsynsmail/A 43068-2024 tillsynsbegäran mail.docx", "A 43068-2024")</f>
        <v/>
      </c>
    </row>
    <row r="44" ht="15" customHeight="1">
      <c r="A44" t="inlineStr">
        <is>
          <t>A 60852-2024</t>
        </is>
      </c>
      <c r="B44" s="1" t="n">
        <v>45644</v>
      </c>
      <c r="C44" s="1" t="n">
        <v>46128</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7731-2023</t>
        </is>
      </c>
      <c r="B45" s="1" t="n">
        <v>44973</v>
      </c>
      <c r="C45" s="1" t="n">
        <v>46128</v>
      </c>
      <c r="D45" t="inlineStr">
        <is>
          <t>VÄSTMANLANDS LÄN</t>
        </is>
      </c>
      <c r="E45" t="inlineStr">
        <is>
          <t>SALA</t>
        </is>
      </c>
      <c r="F45" t="inlineStr">
        <is>
          <t>Bergvik skog öst AB</t>
        </is>
      </c>
      <c r="G45" t="n">
        <v>1.7</v>
      </c>
      <c r="H45" t="n">
        <v>1</v>
      </c>
      <c r="I45" t="n">
        <v>0</v>
      </c>
      <c r="J45" t="n">
        <v>1</v>
      </c>
      <c r="K45" t="n">
        <v>0</v>
      </c>
      <c r="L45" t="n">
        <v>0</v>
      </c>
      <c r="M45" t="n">
        <v>0</v>
      </c>
      <c r="N45" t="n">
        <v>0</v>
      </c>
      <c r="O45" t="n">
        <v>1</v>
      </c>
      <c r="P45" t="n">
        <v>0</v>
      </c>
      <c r="Q45" t="n">
        <v>1</v>
      </c>
      <c r="R45" s="2" t="inlineStr">
        <is>
          <t>Ävjepilört</t>
        </is>
      </c>
      <c r="S45">
        <f>HYPERLINK("https://klasma.github.io/Logging_1981/artfynd/A 7731-2023 artfynd.xlsx", "A 7731-2023")</f>
        <v/>
      </c>
      <c r="T45">
        <f>HYPERLINK("https://klasma.github.io/Logging_1981/kartor/A 7731-2023 karta.png", "A 7731-2023")</f>
        <v/>
      </c>
      <c r="V45">
        <f>HYPERLINK("https://klasma.github.io/Logging_1981/klagomål/A 7731-2023 FSC-klagomål.docx", "A 7731-2023")</f>
        <v/>
      </c>
      <c r="W45">
        <f>HYPERLINK("https://klasma.github.io/Logging_1981/klagomålsmail/A 7731-2023 FSC-klagomål mail.docx", "A 7731-2023")</f>
        <v/>
      </c>
      <c r="X45">
        <f>HYPERLINK("https://klasma.github.io/Logging_1981/tillsyn/A 7731-2023 tillsynsbegäran.docx", "A 7731-2023")</f>
        <v/>
      </c>
      <c r="Y45">
        <f>HYPERLINK("https://klasma.github.io/Logging_1981/tillsynsmail/A 7731-2023 tillsynsbegäran mail.docx", "A 7731-2023")</f>
        <v/>
      </c>
    </row>
    <row r="46" ht="15" customHeight="1">
      <c r="A46" t="inlineStr">
        <is>
          <t>A 12509-2023</t>
        </is>
      </c>
      <c r="B46" s="1" t="n">
        <v>44999.95988425926</v>
      </c>
      <c r="C46" s="1" t="n">
        <v>46128</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55550-2023</t>
        </is>
      </c>
      <c r="B47" s="1" t="n">
        <v>45232</v>
      </c>
      <c r="C47" s="1" t="n">
        <v>46128</v>
      </c>
      <c r="D47" t="inlineStr">
        <is>
          <t>VÄSTMANLANDS LÄN</t>
        </is>
      </c>
      <c r="E47" t="inlineStr">
        <is>
          <t>SALA</t>
        </is>
      </c>
      <c r="G47" t="n">
        <v>9.9</v>
      </c>
      <c r="H47" t="n">
        <v>1</v>
      </c>
      <c r="I47" t="n">
        <v>0</v>
      </c>
      <c r="J47" t="n">
        <v>0</v>
      </c>
      <c r="K47" t="n">
        <v>1</v>
      </c>
      <c r="L47" t="n">
        <v>0</v>
      </c>
      <c r="M47" t="n">
        <v>0</v>
      </c>
      <c r="N47" t="n">
        <v>0</v>
      </c>
      <c r="O47" t="n">
        <v>1</v>
      </c>
      <c r="P47" t="n">
        <v>1</v>
      </c>
      <c r="Q47" t="n">
        <v>1</v>
      </c>
      <c r="R47" s="2" t="inlineStr">
        <is>
          <t>Knärot</t>
        </is>
      </c>
      <c r="S47">
        <f>HYPERLINK("https://klasma.github.io/Logging_1981/artfynd/A 55550-2023 artfynd.xlsx", "A 55550-2023")</f>
        <v/>
      </c>
      <c r="T47">
        <f>HYPERLINK("https://klasma.github.io/Logging_1981/kartor/A 55550-2023 karta.png", "A 55550-2023")</f>
        <v/>
      </c>
      <c r="U47">
        <f>HYPERLINK("https://klasma.github.io/Logging_1981/knärot/A 55550-2023 karta knärot.png", "A 55550-2023")</f>
        <v/>
      </c>
      <c r="V47">
        <f>HYPERLINK("https://klasma.github.io/Logging_1981/klagomål/A 55550-2023 FSC-klagomål.docx", "A 55550-2023")</f>
        <v/>
      </c>
      <c r="W47">
        <f>HYPERLINK("https://klasma.github.io/Logging_1981/klagomålsmail/A 55550-2023 FSC-klagomål mail.docx", "A 55550-2023")</f>
        <v/>
      </c>
      <c r="X47">
        <f>HYPERLINK("https://klasma.github.io/Logging_1981/tillsyn/A 55550-2023 tillsynsbegäran.docx", "A 55550-2023")</f>
        <v/>
      </c>
      <c r="Y47">
        <f>HYPERLINK("https://klasma.github.io/Logging_1981/tillsynsmail/A 55550-2023 tillsynsbegäran mail.docx", "A 55550-2023")</f>
        <v/>
      </c>
    </row>
    <row r="48" ht="15" customHeight="1">
      <c r="A48" t="inlineStr">
        <is>
          <t>A 21738-2025</t>
        </is>
      </c>
      <c r="B48" s="1" t="n">
        <v>45783.59173611111</v>
      </c>
      <c r="C48" s="1" t="n">
        <v>46128</v>
      </c>
      <c r="D48" t="inlineStr">
        <is>
          <t>VÄSTMANLANDS LÄN</t>
        </is>
      </c>
      <c r="E48" t="inlineStr">
        <is>
          <t>SALA</t>
        </is>
      </c>
      <c r="G48" t="n">
        <v>2.1</v>
      </c>
      <c r="H48" t="n">
        <v>0</v>
      </c>
      <c r="I48" t="n">
        <v>0</v>
      </c>
      <c r="J48" t="n">
        <v>1</v>
      </c>
      <c r="K48" t="n">
        <v>0</v>
      </c>
      <c r="L48" t="n">
        <v>0</v>
      </c>
      <c r="M48" t="n">
        <v>0</v>
      </c>
      <c r="N48" t="n">
        <v>0</v>
      </c>
      <c r="O48" t="n">
        <v>1</v>
      </c>
      <c r="P48" t="n">
        <v>0</v>
      </c>
      <c r="Q48" t="n">
        <v>1</v>
      </c>
      <c r="R48" s="2" t="inlineStr">
        <is>
          <t>Motaggsvamp</t>
        </is>
      </c>
      <c r="S48">
        <f>HYPERLINK("https://klasma.github.io/Logging_1981/artfynd/A 21738-2025 artfynd.xlsx", "A 21738-2025")</f>
        <v/>
      </c>
      <c r="T48">
        <f>HYPERLINK("https://klasma.github.io/Logging_1981/kartor/A 21738-2025 karta.png", "A 21738-2025")</f>
        <v/>
      </c>
      <c r="V48">
        <f>HYPERLINK("https://klasma.github.io/Logging_1981/klagomål/A 21738-2025 FSC-klagomål.docx", "A 21738-2025")</f>
        <v/>
      </c>
      <c r="W48">
        <f>HYPERLINK("https://klasma.github.io/Logging_1981/klagomålsmail/A 21738-2025 FSC-klagomål mail.docx", "A 21738-2025")</f>
        <v/>
      </c>
      <c r="X48">
        <f>HYPERLINK("https://klasma.github.io/Logging_1981/tillsyn/A 21738-2025 tillsynsbegäran.docx", "A 21738-2025")</f>
        <v/>
      </c>
      <c r="Y48">
        <f>HYPERLINK("https://klasma.github.io/Logging_1981/tillsynsmail/A 21738-2025 tillsynsbegäran mail.docx", "A 21738-2025")</f>
        <v/>
      </c>
    </row>
    <row r="49" ht="15" customHeight="1">
      <c r="A49" t="inlineStr">
        <is>
          <t>A 22950-2025</t>
        </is>
      </c>
      <c r="B49" s="1" t="n">
        <v>45790.50728009259</v>
      </c>
      <c r="C49" s="1" t="n">
        <v>46128</v>
      </c>
      <c r="D49" t="inlineStr">
        <is>
          <t>VÄSTMANLANDS LÄN</t>
        </is>
      </c>
      <c r="E49" t="inlineStr">
        <is>
          <t>SALA</t>
        </is>
      </c>
      <c r="G49" t="n">
        <v>6.2</v>
      </c>
      <c r="H49" t="n">
        <v>1</v>
      </c>
      <c r="I49" t="n">
        <v>0</v>
      </c>
      <c r="J49" t="n">
        <v>1</v>
      </c>
      <c r="K49" t="n">
        <v>0</v>
      </c>
      <c r="L49" t="n">
        <v>0</v>
      </c>
      <c r="M49" t="n">
        <v>0</v>
      </c>
      <c r="N49" t="n">
        <v>0</v>
      </c>
      <c r="O49" t="n">
        <v>1</v>
      </c>
      <c r="P49" t="n">
        <v>0</v>
      </c>
      <c r="Q49" t="n">
        <v>1</v>
      </c>
      <c r="R49" s="2" t="inlineStr">
        <is>
          <t>Svartvit flugsnappare</t>
        </is>
      </c>
      <c r="S49">
        <f>HYPERLINK("https://klasma.github.io/Logging_1981/artfynd/A 22950-2025 artfynd.xlsx", "A 22950-2025")</f>
        <v/>
      </c>
      <c r="T49">
        <f>HYPERLINK("https://klasma.github.io/Logging_1981/kartor/A 22950-2025 karta.png", "A 22950-2025")</f>
        <v/>
      </c>
      <c r="V49">
        <f>HYPERLINK("https://klasma.github.io/Logging_1981/klagomål/A 22950-2025 FSC-klagomål.docx", "A 22950-2025")</f>
        <v/>
      </c>
      <c r="W49">
        <f>HYPERLINK("https://klasma.github.io/Logging_1981/klagomålsmail/A 22950-2025 FSC-klagomål mail.docx", "A 22950-2025")</f>
        <v/>
      </c>
      <c r="X49">
        <f>HYPERLINK("https://klasma.github.io/Logging_1981/tillsyn/A 22950-2025 tillsynsbegäran.docx", "A 22950-2025")</f>
        <v/>
      </c>
      <c r="Y49">
        <f>HYPERLINK("https://klasma.github.io/Logging_1981/tillsynsmail/A 22950-2025 tillsynsbegäran mail.docx", "A 22950-2025")</f>
        <v/>
      </c>
      <c r="Z49">
        <f>HYPERLINK("https://klasma.github.io/Logging_1981/fåglar/A 22950-2025 prioriterade fågelarter.docx", "A 22950-2025")</f>
        <v/>
      </c>
    </row>
    <row r="50" ht="15" customHeight="1">
      <c r="A50" t="inlineStr">
        <is>
          <t>A 14775-2023</t>
        </is>
      </c>
      <c r="B50" s="1" t="n">
        <v>45014</v>
      </c>
      <c r="C50" s="1" t="n">
        <v>46128</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14775-2023 artfynd.xlsx", "A 14775-2023")</f>
        <v/>
      </c>
      <c r="T50">
        <f>HYPERLINK("https://klasma.github.io/Logging_1981/kartor/A 14775-2023 karta.png", "A 14775-2023")</f>
        <v/>
      </c>
      <c r="U50">
        <f>HYPERLINK("https://klasma.github.io/Logging_1981/knärot/A 14775-2023 karta knärot.png", "A 14775-2023")</f>
        <v/>
      </c>
      <c r="V50">
        <f>HYPERLINK("https://klasma.github.io/Logging_1981/klagomål/A 14775-2023 FSC-klagomål.docx", "A 14775-2023")</f>
        <v/>
      </c>
      <c r="W50">
        <f>HYPERLINK("https://klasma.github.io/Logging_1981/klagomålsmail/A 14775-2023 FSC-klagomål mail.docx", "A 14775-2023")</f>
        <v/>
      </c>
      <c r="X50">
        <f>HYPERLINK("https://klasma.github.io/Logging_1981/tillsyn/A 14775-2023 tillsynsbegäran.docx", "A 14775-2023")</f>
        <v/>
      </c>
      <c r="Y50">
        <f>HYPERLINK("https://klasma.github.io/Logging_1981/tillsynsmail/A 14775-2023 tillsynsbegäran mail.docx", "A 14775-2023")</f>
        <v/>
      </c>
    </row>
    <row r="51" ht="15" customHeight="1">
      <c r="A51" t="inlineStr">
        <is>
          <t>A 19361-2025</t>
        </is>
      </c>
      <c r="B51" s="1" t="n">
        <v>45769.63357638889</v>
      </c>
      <c r="C51" s="1" t="n">
        <v>46128</v>
      </c>
      <c r="D51" t="inlineStr">
        <is>
          <t>VÄSTMANLANDS LÄN</t>
        </is>
      </c>
      <c r="E51" t="inlineStr">
        <is>
          <t>SALA</t>
        </is>
      </c>
      <c r="F51" t="inlineStr">
        <is>
          <t>Bergvik skog öst AB</t>
        </is>
      </c>
      <c r="G51" t="n">
        <v>8.9</v>
      </c>
      <c r="H51" t="n">
        <v>0</v>
      </c>
      <c r="I51" t="n">
        <v>0</v>
      </c>
      <c r="J51" t="n">
        <v>1</v>
      </c>
      <c r="K51" t="n">
        <v>0</v>
      </c>
      <c r="L51" t="n">
        <v>0</v>
      </c>
      <c r="M51" t="n">
        <v>0</v>
      </c>
      <c r="N51" t="n">
        <v>0</v>
      </c>
      <c r="O51" t="n">
        <v>1</v>
      </c>
      <c r="P51" t="n">
        <v>0</v>
      </c>
      <c r="Q51" t="n">
        <v>1</v>
      </c>
      <c r="R51" s="2" t="inlineStr">
        <is>
          <t>Garnlav</t>
        </is>
      </c>
      <c r="S51">
        <f>HYPERLINK("https://klasma.github.io/Logging_1981/artfynd/A 19361-2025 artfynd.xlsx", "A 19361-2025")</f>
        <v/>
      </c>
      <c r="T51">
        <f>HYPERLINK("https://klasma.github.io/Logging_1981/kartor/A 19361-2025 karta.png", "A 19361-2025")</f>
        <v/>
      </c>
      <c r="V51">
        <f>HYPERLINK("https://klasma.github.io/Logging_1981/klagomål/A 19361-2025 FSC-klagomål.docx", "A 19361-2025")</f>
        <v/>
      </c>
      <c r="W51">
        <f>HYPERLINK("https://klasma.github.io/Logging_1981/klagomålsmail/A 19361-2025 FSC-klagomål mail.docx", "A 19361-2025")</f>
        <v/>
      </c>
      <c r="X51">
        <f>HYPERLINK("https://klasma.github.io/Logging_1981/tillsyn/A 19361-2025 tillsynsbegäran.docx", "A 19361-2025")</f>
        <v/>
      </c>
      <c r="Y51">
        <f>HYPERLINK("https://klasma.github.io/Logging_1981/tillsynsmail/A 19361-2025 tillsynsbegäran mail.docx", "A 19361-2025")</f>
        <v/>
      </c>
    </row>
    <row r="52" ht="15" customHeight="1">
      <c r="A52" t="inlineStr">
        <is>
          <t>A 41570-2021</t>
        </is>
      </c>
      <c r="B52" s="1" t="n">
        <v>44425</v>
      </c>
      <c r="C52" s="1" t="n">
        <v>46128</v>
      </c>
      <c r="D52" t="inlineStr">
        <is>
          <t>VÄSTMANLANDS LÄN</t>
        </is>
      </c>
      <c r="E52" t="inlineStr">
        <is>
          <t>SALA</t>
        </is>
      </c>
      <c r="G52" t="n">
        <v>1.4</v>
      </c>
      <c r="H52" t="n">
        <v>0</v>
      </c>
      <c r="I52" t="n">
        <v>0</v>
      </c>
      <c r="J52" t="n">
        <v>1</v>
      </c>
      <c r="K52" t="n">
        <v>0</v>
      </c>
      <c r="L52" t="n">
        <v>0</v>
      </c>
      <c r="M52" t="n">
        <v>0</v>
      </c>
      <c r="N52" t="n">
        <v>0</v>
      </c>
      <c r="O52" t="n">
        <v>1</v>
      </c>
      <c r="P52" t="n">
        <v>0</v>
      </c>
      <c r="Q52" t="n">
        <v>1</v>
      </c>
      <c r="R52" s="2" t="inlineStr">
        <is>
          <t>Vedtrappmossa</t>
        </is>
      </c>
      <c r="S52">
        <f>HYPERLINK("https://klasma.github.io/Logging_1981/artfynd/A 41570-2021 artfynd.xlsx", "A 41570-2021")</f>
        <v/>
      </c>
      <c r="T52">
        <f>HYPERLINK("https://klasma.github.io/Logging_1981/kartor/A 41570-2021 karta.png", "A 41570-2021")</f>
        <v/>
      </c>
      <c r="V52">
        <f>HYPERLINK("https://klasma.github.io/Logging_1981/klagomål/A 41570-2021 FSC-klagomål.docx", "A 41570-2021")</f>
        <v/>
      </c>
      <c r="W52">
        <f>HYPERLINK("https://klasma.github.io/Logging_1981/klagomålsmail/A 41570-2021 FSC-klagomål mail.docx", "A 41570-2021")</f>
        <v/>
      </c>
      <c r="X52">
        <f>HYPERLINK("https://klasma.github.io/Logging_1981/tillsyn/A 41570-2021 tillsynsbegäran.docx", "A 41570-2021")</f>
        <v/>
      </c>
      <c r="Y52">
        <f>HYPERLINK("https://klasma.github.io/Logging_1981/tillsynsmail/A 41570-2021 tillsynsbegäran mail.docx", "A 41570-2021")</f>
        <v/>
      </c>
    </row>
    <row r="53" ht="15" customHeight="1">
      <c r="A53" t="inlineStr">
        <is>
          <t>A 48705-2025</t>
        </is>
      </c>
      <c r="B53" s="1" t="n">
        <v>45936.62290509259</v>
      </c>
      <c r="C53" s="1" t="n">
        <v>46128</v>
      </c>
      <c r="D53" t="inlineStr">
        <is>
          <t>VÄSTMANLANDS LÄN</t>
        </is>
      </c>
      <c r="E53" t="inlineStr">
        <is>
          <t>SALA</t>
        </is>
      </c>
      <c r="G53" t="n">
        <v>4.4</v>
      </c>
      <c r="H53" t="n">
        <v>1</v>
      </c>
      <c r="I53" t="n">
        <v>1</v>
      </c>
      <c r="J53" t="n">
        <v>0</v>
      </c>
      <c r="K53" t="n">
        <v>0</v>
      </c>
      <c r="L53" t="n">
        <v>0</v>
      </c>
      <c r="M53" t="n">
        <v>0</v>
      </c>
      <c r="N53" t="n">
        <v>0</v>
      </c>
      <c r="O53" t="n">
        <v>0</v>
      </c>
      <c r="P53" t="n">
        <v>0</v>
      </c>
      <c r="Q53" t="n">
        <v>1</v>
      </c>
      <c r="R53" s="2" t="inlineStr">
        <is>
          <t>Plattlummer</t>
        </is>
      </c>
      <c r="S53">
        <f>HYPERLINK("https://klasma.github.io/Logging_1981/artfynd/A 48705-2025 artfynd.xlsx", "A 48705-2025")</f>
        <v/>
      </c>
      <c r="T53">
        <f>HYPERLINK("https://klasma.github.io/Logging_1981/kartor/A 48705-2025 karta.png", "A 48705-2025")</f>
        <v/>
      </c>
      <c r="V53">
        <f>HYPERLINK("https://klasma.github.io/Logging_1981/klagomål/A 48705-2025 FSC-klagomål.docx", "A 48705-2025")</f>
        <v/>
      </c>
      <c r="W53">
        <f>HYPERLINK("https://klasma.github.io/Logging_1981/klagomålsmail/A 48705-2025 FSC-klagomål mail.docx", "A 48705-2025")</f>
        <v/>
      </c>
      <c r="X53">
        <f>HYPERLINK("https://klasma.github.io/Logging_1981/tillsyn/A 48705-2025 tillsynsbegäran.docx", "A 48705-2025")</f>
        <v/>
      </c>
      <c r="Y53">
        <f>HYPERLINK("https://klasma.github.io/Logging_1981/tillsynsmail/A 48705-2025 tillsynsbegäran mail.docx", "A 48705-2025")</f>
        <v/>
      </c>
    </row>
    <row r="54" ht="15" customHeight="1">
      <c r="A54" t="inlineStr">
        <is>
          <t>A 56704-2022</t>
        </is>
      </c>
      <c r="B54" s="1" t="n">
        <v>44893.78075231481</v>
      </c>
      <c r="C54" s="1" t="n">
        <v>46128</v>
      </c>
      <c r="D54" t="inlineStr">
        <is>
          <t>VÄSTMANLANDS LÄN</t>
        </is>
      </c>
      <c r="E54" t="inlineStr">
        <is>
          <t>SALA</t>
        </is>
      </c>
      <c r="G54" t="n">
        <v>3.2</v>
      </c>
      <c r="H54" t="n">
        <v>1</v>
      </c>
      <c r="I54" t="n">
        <v>0</v>
      </c>
      <c r="J54" t="n">
        <v>0</v>
      </c>
      <c r="K54" t="n">
        <v>1</v>
      </c>
      <c r="L54" t="n">
        <v>0</v>
      </c>
      <c r="M54" t="n">
        <v>0</v>
      </c>
      <c r="N54" t="n">
        <v>0</v>
      </c>
      <c r="O54" t="n">
        <v>1</v>
      </c>
      <c r="P54" t="n">
        <v>1</v>
      </c>
      <c r="Q54" t="n">
        <v>1</v>
      </c>
      <c r="R54" s="2" t="inlineStr">
        <is>
          <t>Knärot</t>
        </is>
      </c>
      <c r="S54">
        <f>HYPERLINK("https://klasma.github.io/Logging_1981/artfynd/A 56704-2022 artfynd.xlsx", "A 56704-2022")</f>
        <v/>
      </c>
      <c r="T54">
        <f>HYPERLINK("https://klasma.github.io/Logging_1981/kartor/A 56704-2022 karta.png", "A 56704-2022")</f>
        <v/>
      </c>
      <c r="U54">
        <f>HYPERLINK("https://klasma.github.io/Logging_1981/knärot/A 56704-2022 karta knärot.png", "A 56704-2022")</f>
        <v/>
      </c>
      <c r="V54">
        <f>HYPERLINK("https://klasma.github.io/Logging_1981/klagomål/A 56704-2022 FSC-klagomål.docx", "A 56704-2022")</f>
        <v/>
      </c>
      <c r="W54">
        <f>HYPERLINK("https://klasma.github.io/Logging_1981/klagomålsmail/A 56704-2022 FSC-klagomål mail.docx", "A 56704-2022")</f>
        <v/>
      </c>
      <c r="X54">
        <f>HYPERLINK("https://klasma.github.io/Logging_1981/tillsyn/A 56704-2022 tillsynsbegäran.docx", "A 56704-2022")</f>
        <v/>
      </c>
      <c r="Y54">
        <f>HYPERLINK("https://klasma.github.io/Logging_1981/tillsynsmail/A 56704-2022 tillsynsbegäran mail.docx", "A 56704-2022")</f>
        <v/>
      </c>
    </row>
    <row r="55" ht="15" customHeight="1">
      <c r="A55" t="inlineStr">
        <is>
          <t>A 50268-2025</t>
        </is>
      </c>
      <c r="B55" s="1" t="n">
        <v>45944.35162037037</v>
      </c>
      <c r="C55" s="1" t="n">
        <v>46128</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37166-2024</t>
        </is>
      </c>
      <c r="B56" s="1" t="n">
        <v>45539</v>
      </c>
      <c r="C56" s="1" t="n">
        <v>46128</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37166-2024 artfynd.xlsx", "A 37166-2024")</f>
        <v/>
      </c>
      <c r="T56">
        <f>HYPERLINK("https://klasma.github.io/Logging_1981/kartor/A 37166-2024 karta.png", "A 37166-2024")</f>
        <v/>
      </c>
      <c r="U56">
        <f>HYPERLINK("https://klasma.github.io/Logging_1981/knärot/A 37166-2024 karta knärot.png", "A 37166-2024")</f>
        <v/>
      </c>
      <c r="V56">
        <f>HYPERLINK("https://klasma.github.io/Logging_1981/klagomål/A 37166-2024 FSC-klagomål.docx", "A 37166-2024")</f>
        <v/>
      </c>
      <c r="W56">
        <f>HYPERLINK("https://klasma.github.io/Logging_1981/klagomålsmail/A 37166-2024 FSC-klagomål mail.docx", "A 37166-2024")</f>
        <v/>
      </c>
      <c r="X56">
        <f>HYPERLINK("https://klasma.github.io/Logging_1981/tillsyn/A 37166-2024 tillsynsbegäran.docx", "A 37166-2024")</f>
        <v/>
      </c>
      <c r="Y56">
        <f>HYPERLINK("https://klasma.github.io/Logging_1981/tillsynsmail/A 37166-2024 tillsynsbegäran mail.docx", "A 37166-2024")</f>
        <v/>
      </c>
    </row>
    <row r="57" ht="15" customHeight="1">
      <c r="A57" t="inlineStr">
        <is>
          <t>A 53052-2025</t>
        </is>
      </c>
      <c r="B57" s="1" t="n">
        <v>45958.36266203703</v>
      </c>
      <c r="C57" s="1" t="n">
        <v>46128</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32594-2025</t>
        </is>
      </c>
      <c r="B58" s="1" t="n">
        <v>45838</v>
      </c>
      <c r="C58" s="1" t="n">
        <v>46128</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22350-2024</t>
        </is>
      </c>
      <c r="B59" s="1" t="n">
        <v>45446</v>
      </c>
      <c r="C59" s="1" t="n">
        <v>46128</v>
      </c>
      <c r="D59" t="inlineStr">
        <is>
          <t>VÄSTMANLANDS LÄN</t>
        </is>
      </c>
      <c r="E59" t="inlineStr">
        <is>
          <t>SALA</t>
        </is>
      </c>
      <c r="G59" t="n">
        <v>1.2</v>
      </c>
      <c r="H59" t="n">
        <v>1</v>
      </c>
      <c r="I59" t="n">
        <v>0</v>
      </c>
      <c r="J59" t="n">
        <v>0</v>
      </c>
      <c r="K59" t="n">
        <v>0</v>
      </c>
      <c r="L59" t="n">
        <v>0</v>
      </c>
      <c r="M59" t="n">
        <v>0</v>
      </c>
      <c r="N59" t="n">
        <v>0</v>
      </c>
      <c r="O59" t="n">
        <v>0</v>
      </c>
      <c r="P59" t="n">
        <v>0</v>
      </c>
      <c r="Q59" t="n">
        <v>1</v>
      </c>
      <c r="R59" s="2" t="inlineStr">
        <is>
          <t>Blåsippa</t>
        </is>
      </c>
      <c r="S59">
        <f>HYPERLINK("https://klasma.github.io/Logging_1981/artfynd/A 22350-2024 artfynd.xlsx", "A 22350-2024")</f>
        <v/>
      </c>
      <c r="T59">
        <f>HYPERLINK("https://klasma.github.io/Logging_1981/kartor/A 22350-2024 karta.png", "A 22350-2024")</f>
        <v/>
      </c>
      <c r="V59">
        <f>HYPERLINK("https://klasma.github.io/Logging_1981/klagomål/A 22350-2024 FSC-klagomål.docx", "A 22350-2024")</f>
        <v/>
      </c>
      <c r="W59">
        <f>HYPERLINK("https://klasma.github.io/Logging_1981/klagomålsmail/A 22350-2024 FSC-klagomål mail.docx", "A 22350-2024")</f>
        <v/>
      </c>
      <c r="X59">
        <f>HYPERLINK("https://klasma.github.io/Logging_1981/tillsyn/A 22350-2024 tillsynsbegäran.docx", "A 22350-2024")</f>
        <v/>
      </c>
      <c r="Y59">
        <f>HYPERLINK("https://klasma.github.io/Logging_1981/tillsynsmail/A 22350-2024 tillsynsbegäran mail.docx", "A 22350-2024")</f>
        <v/>
      </c>
    </row>
    <row r="60" ht="15" customHeight="1">
      <c r="A60" t="inlineStr">
        <is>
          <t>A 55995-2025</t>
        </is>
      </c>
      <c r="B60" s="1" t="n">
        <v>45973.56733796297</v>
      </c>
      <c r="C60" s="1" t="n">
        <v>46128</v>
      </c>
      <c r="D60" t="inlineStr">
        <is>
          <t>VÄSTMANLANDS LÄN</t>
        </is>
      </c>
      <c r="E60" t="inlineStr">
        <is>
          <t>SALA</t>
        </is>
      </c>
      <c r="F60" t="inlineStr">
        <is>
          <t>Sveaskog</t>
        </is>
      </c>
      <c r="G60" t="n">
        <v>4.5</v>
      </c>
      <c r="H60" t="n">
        <v>1</v>
      </c>
      <c r="I60" t="n">
        <v>0</v>
      </c>
      <c r="J60" t="n">
        <v>0</v>
      </c>
      <c r="K60" t="n">
        <v>0</v>
      </c>
      <c r="L60" t="n">
        <v>0</v>
      </c>
      <c r="M60" t="n">
        <v>0</v>
      </c>
      <c r="N60" t="n">
        <v>0</v>
      </c>
      <c r="O60" t="n">
        <v>0</v>
      </c>
      <c r="P60" t="n">
        <v>0</v>
      </c>
      <c r="Q60" t="n">
        <v>1</v>
      </c>
      <c r="R60" s="2" t="inlineStr">
        <is>
          <t>Fläcknycklar</t>
        </is>
      </c>
      <c r="S60">
        <f>HYPERLINK("https://klasma.github.io/Logging_1981/artfynd/A 55995-2025 artfynd.xlsx", "A 55995-2025")</f>
        <v/>
      </c>
      <c r="T60">
        <f>HYPERLINK("https://klasma.github.io/Logging_1981/kartor/A 55995-2025 karta.png", "A 55995-2025")</f>
        <v/>
      </c>
      <c r="V60">
        <f>HYPERLINK("https://klasma.github.io/Logging_1981/klagomål/A 55995-2025 FSC-klagomål.docx", "A 55995-2025")</f>
        <v/>
      </c>
      <c r="W60">
        <f>HYPERLINK("https://klasma.github.io/Logging_1981/klagomålsmail/A 55995-2025 FSC-klagomål mail.docx", "A 55995-2025")</f>
        <v/>
      </c>
      <c r="X60">
        <f>HYPERLINK("https://klasma.github.io/Logging_1981/tillsyn/A 55995-2025 tillsynsbegäran.docx", "A 55995-2025")</f>
        <v/>
      </c>
      <c r="Y60">
        <f>HYPERLINK("https://klasma.github.io/Logging_1981/tillsynsmail/A 55995-2025 tillsynsbegäran mail.docx", "A 55995-2025")</f>
        <v/>
      </c>
    </row>
    <row r="61" ht="15" customHeight="1">
      <c r="A61" t="inlineStr">
        <is>
          <t>A 29985-2022</t>
        </is>
      </c>
      <c r="B61" s="1" t="n">
        <v>44756</v>
      </c>
      <c r="C61" s="1" t="n">
        <v>46128</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7919-2022</t>
        </is>
      </c>
      <c r="B62" s="1" t="n">
        <v>44608</v>
      </c>
      <c r="C62" s="1" t="n">
        <v>46128</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43175-2023</t>
        </is>
      </c>
      <c r="B63" s="1" t="n">
        <v>45183</v>
      </c>
      <c r="C63" s="1" t="n">
        <v>46128</v>
      </c>
      <c r="D63" t="inlineStr">
        <is>
          <t>VÄSTMANLANDS LÄN</t>
        </is>
      </c>
      <c r="E63" t="inlineStr">
        <is>
          <t>SALA</t>
        </is>
      </c>
      <c r="G63" t="n">
        <v>5.6</v>
      </c>
      <c r="H63" t="n">
        <v>0</v>
      </c>
      <c r="I63" t="n">
        <v>1</v>
      </c>
      <c r="J63" t="n">
        <v>0</v>
      </c>
      <c r="K63" t="n">
        <v>0</v>
      </c>
      <c r="L63" t="n">
        <v>0</v>
      </c>
      <c r="M63" t="n">
        <v>0</v>
      </c>
      <c r="N63" t="n">
        <v>0</v>
      </c>
      <c r="O63" t="n">
        <v>0</v>
      </c>
      <c r="P63" t="n">
        <v>0</v>
      </c>
      <c r="Q63" t="n">
        <v>1</v>
      </c>
      <c r="R63" s="2" t="inlineStr">
        <is>
          <t>Grönpyrola</t>
        </is>
      </c>
      <c r="S63">
        <f>HYPERLINK("https://klasma.github.io/Logging_1981/artfynd/A 43175-2023 artfynd.xlsx", "A 43175-2023")</f>
        <v/>
      </c>
      <c r="T63">
        <f>HYPERLINK("https://klasma.github.io/Logging_1981/kartor/A 43175-2023 karta.png", "A 43175-2023")</f>
        <v/>
      </c>
      <c r="V63">
        <f>HYPERLINK("https://klasma.github.io/Logging_1981/klagomål/A 43175-2023 FSC-klagomål.docx", "A 43175-2023")</f>
        <v/>
      </c>
      <c r="W63">
        <f>HYPERLINK("https://klasma.github.io/Logging_1981/klagomålsmail/A 43175-2023 FSC-klagomål mail.docx", "A 43175-2023")</f>
        <v/>
      </c>
      <c r="X63">
        <f>HYPERLINK("https://klasma.github.io/Logging_1981/tillsyn/A 43175-2023 tillsynsbegäran.docx", "A 43175-2023")</f>
        <v/>
      </c>
      <c r="Y63">
        <f>HYPERLINK("https://klasma.github.io/Logging_1981/tillsynsmail/A 43175-2023 tillsynsbegäran mail.docx", "A 43175-2023")</f>
        <v/>
      </c>
    </row>
    <row r="64" ht="15" customHeight="1">
      <c r="A64" t="inlineStr">
        <is>
          <t>A 29727-2023</t>
        </is>
      </c>
      <c r="B64" s="1" t="n">
        <v>45107</v>
      </c>
      <c r="C64" s="1" t="n">
        <v>46128</v>
      </c>
      <c r="D64" t="inlineStr">
        <is>
          <t>VÄSTMANLANDS LÄN</t>
        </is>
      </c>
      <c r="E64" t="inlineStr">
        <is>
          <t>SALA</t>
        </is>
      </c>
      <c r="G64" t="n">
        <v>1.9</v>
      </c>
      <c r="H64" t="n">
        <v>0</v>
      </c>
      <c r="I64" t="n">
        <v>0</v>
      </c>
      <c r="J64" t="n">
        <v>1</v>
      </c>
      <c r="K64" t="n">
        <v>0</v>
      </c>
      <c r="L64" t="n">
        <v>0</v>
      </c>
      <c r="M64" t="n">
        <v>0</v>
      </c>
      <c r="N64" t="n">
        <v>0</v>
      </c>
      <c r="O64" t="n">
        <v>1</v>
      </c>
      <c r="P64" t="n">
        <v>0</v>
      </c>
      <c r="Q64" t="n">
        <v>1</v>
      </c>
      <c r="R64" s="2" t="inlineStr">
        <is>
          <t>Vedtrappmossa</t>
        </is>
      </c>
      <c r="S64">
        <f>HYPERLINK("https://klasma.github.io/Logging_1981/artfynd/A 29727-2023 artfynd.xlsx", "A 29727-2023")</f>
        <v/>
      </c>
      <c r="T64">
        <f>HYPERLINK("https://klasma.github.io/Logging_1981/kartor/A 29727-2023 karta.png", "A 29727-2023")</f>
        <v/>
      </c>
      <c r="V64">
        <f>HYPERLINK("https://klasma.github.io/Logging_1981/klagomål/A 29727-2023 FSC-klagomål.docx", "A 29727-2023")</f>
        <v/>
      </c>
      <c r="W64">
        <f>HYPERLINK("https://klasma.github.io/Logging_1981/klagomålsmail/A 29727-2023 FSC-klagomål mail.docx", "A 29727-2023")</f>
        <v/>
      </c>
      <c r="X64">
        <f>HYPERLINK("https://klasma.github.io/Logging_1981/tillsyn/A 29727-2023 tillsynsbegäran.docx", "A 29727-2023")</f>
        <v/>
      </c>
      <c r="Y64">
        <f>HYPERLINK("https://klasma.github.io/Logging_1981/tillsynsmail/A 29727-2023 tillsynsbegäran mail.docx", "A 29727-2023")</f>
        <v/>
      </c>
    </row>
    <row r="65" ht="15" customHeight="1">
      <c r="A65" t="inlineStr">
        <is>
          <t>A 14487-2026</t>
        </is>
      </c>
      <c r="B65" s="1" t="n">
        <v>46100.59162037037</v>
      </c>
      <c r="C65" s="1" t="n">
        <v>46128</v>
      </c>
      <c r="D65" t="inlineStr">
        <is>
          <t>VÄSTMANLANDS LÄN</t>
        </is>
      </c>
      <c r="E65" t="inlineStr">
        <is>
          <t>SALA</t>
        </is>
      </c>
      <c r="F65" t="inlineStr">
        <is>
          <t>Sveaskog</t>
        </is>
      </c>
      <c r="G65" t="n">
        <v>6.7</v>
      </c>
      <c r="H65" t="n">
        <v>0</v>
      </c>
      <c r="I65" t="n">
        <v>0</v>
      </c>
      <c r="J65" t="n">
        <v>1</v>
      </c>
      <c r="K65" t="n">
        <v>0</v>
      </c>
      <c r="L65" t="n">
        <v>0</v>
      </c>
      <c r="M65" t="n">
        <v>0</v>
      </c>
      <c r="N65" t="n">
        <v>0</v>
      </c>
      <c r="O65" t="n">
        <v>1</v>
      </c>
      <c r="P65" t="n">
        <v>0</v>
      </c>
      <c r="Q65" t="n">
        <v>1</v>
      </c>
      <c r="R65" s="2" t="inlineStr">
        <is>
          <t>Motaggsvamp</t>
        </is>
      </c>
      <c r="S65">
        <f>HYPERLINK("https://klasma.github.io/Logging_1981/artfynd/A 14487-2026 artfynd.xlsx", "A 14487-2026")</f>
        <v/>
      </c>
      <c r="T65">
        <f>HYPERLINK("https://klasma.github.io/Logging_1981/kartor/A 14487-2026 karta.png", "A 14487-2026")</f>
        <v/>
      </c>
      <c r="V65">
        <f>HYPERLINK("https://klasma.github.io/Logging_1981/klagomål/A 14487-2026 FSC-klagomål.docx", "A 14487-2026")</f>
        <v/>
      </c>
      <c r="W65">
        <f>HYPERLINK("https://klasma.github.io/Logging_1981/klagomålsmail/A 14487-2026 FSC-klagomål mail.docx", "A 14487-2026")</f>
        <v/>
      </c>
      <c r="X65">
        <f>HYPERLINK("https://klasma.github.io/Logging_1981/tillsyn/A 14487-2026 tillsynsbegäran.docx", "A 14487-2026")</f>
        <v/>
      </c>
      <c r="Y65">
        <f>HYPERLINK("https://klasma.github.io/Logging_1981/tillsynsmail/A 14487-2026 tillsynsbegäran mail.docx", "A 14487-2026")</f>
        <v/>
      </c>
    </row>
    <row r="66" ht="15" customHeight="1">
      <c r="A66" t="inlineStr">
        <is>
          <t>A 14488-2026</t>
        </is>
      </c>
      <c r="B66" s="1" t="n">
        <v>46100.59216435185</v>
      </c>
      <c r="C66" s="1" t="n">
        <v>46128</v>
      </c>
      <c r="D66" t="inlineStr">
        <is>
          <t>VÄSTMANLANDS LÄN</t>
        </is>
      </c>
      <c r="E66" t="inlineStr">
        <is>
          <t>SALA</t>
        </is>
      </c>
      <c r="F66" t="inlineStr">
        <is>
          <t>Sveaskog</t>
        </is>
      </c>
      <c r="G66" t="n">
        <v>1.5</v>
      </c>
      <c r="H66" t="n">
        <v>1</v>
      </c>
      <c r="I66" t="n">
        <v>0</v>
      </c>
      <c r="J66" t="n">
        <v>0</v>
      </c>
      <c r="K66" t="n">
        <v>0</v>
      </c>
      <c r="L66" t="n">
        <v>0</v>
      </c>
      <c r="M66" t="n">
        <v>0</v>
      </c>
      <c r="N66" t="n">
        <v>0</v>
      </c>
      <c r="O66" t="n">
        <v>0</v>
      </c>
      <c r="P66" t="n">
        <v>0</v>
      </c>
      <c r="Q66" t="n">
        <v>1</v>
      </c>
      <c r="R66" s="2" t="inlineStr">
        <is>
          <t>Mattlummer</t>
        </is>
      </c>
      <c r="S66">
        <f>HYPERLINK("https://klasma.github.io/Logging_1981/artfynd/A 14488-2026 artfynd.xlsx", "A 14488-2026")</f>
        <v/>
      </c>
      <c r="T66">
        <f>HYPERLINK("https://klasma.github.io/Logging_1981/kartor/A 14488-2026 karta.png", "A 14488-2026")</f>
        <v/>
      </c>
      <c r="V66">
        <f>HYPERLINK("https://klasma.github.io/Logging_1981/klagomål/A 14488-2026 FSC-klagomål.docx", "A 14488-2026")</f>
        <v/>
      </c>
      <c r="W66">
        <f>HYPERLINK("https://klasma.github.io/Logging_1981/klagomålsmail/A 14488-2026 FSC-klagomål mail.docx", "A 14488-2026")</f>
        <v/>
      </c>
      <c r="X66">
        <f>HYPERLINK("https://klasma.github.io/Logging_1981/tillsyn/A 14488-2026 tillsynsbegäran.docx", "A 14488-2026")</f>
        <v/>
      </c>
      <c r="Y66">
        <f>HYPERLINK("https://klasma.github.io/Logging_1981/tillsynsmail/A 14488-2026 tillsynsbegäran mail.docx", "A 14488-2026")</f>
        <v/>
      </c>
    </row>
    <row r="67" ht="15" customHeight="1">
      <c r="A67" t="inlineStr">
        <is>
          <t>A 7672-2026</t>
        </is>
      </c>
      <c r="B67" s="1" t="n">
        <v>46062.42077546296</v>
      </c>
      <c r="C67" s="1" t="n">
        <v>46128</v>
      </c>
      <c r="D67" t="inlineStr">
        <is>
          <t>VÄSTMANLANDS LÄN</t>
        </is>
      </c>
      <c r="E67" t="inlineStr">
        <is>
          <t>SALA</t>
        </is>
      </c>
      <c r="G67" t="n">
        <v>2.9</v>
      </c>
      <c r="H67" t="n">
        <v>1</v>
      </c>
      <c r="I67" t="n">
        <v>0</v>
      </c>
      <c r="J67" t="n">
        <v>0</v>
      </c>
      <c r="K67" t="n">
        <v>0</v>
      </c>
      <c r="L67" t="n">
        <v>0</v>
      </c>
      <c r="M67" t="n">
        <v>0</v>
      </c>
      <c r="N67" t="n">
        <v>0</v>
      </c>
      <c r="O67" t="n">
        <v>0</v>
      </c>
      <c r="P67" t="n">
        <v>0</v>
      </c>
      <c r="Q67" t="n">
        <v>1</v>
      </c>
      <c r="R67" s="2" t="inlineStr">
        <is>
          <t>Nattviol</t>
        </is>
      </c>
      <c r="S67">
        <f>HYPERLINK("https://klasma.github.io/Logging_1981/artfynd/A 7672-2026 artfynd.xlsx", "A 7672-2026")</f>
        <v/>
      </c>
      <c r="T67">
        <f>HYPERLINK("https://klasma.github.io/Logging_1981/kartor/A 7672-2026 karta.png", "A 7672-2026")</f>
        <v/>
      </c>
      <c r="V67">
        <f>HYPERLINK("https://klasma.github.io/Logging_1981/klagomål/A 7672-2026 FSC-klagomål.docx", "A 7672-2026")</f>
        <v/>
      </c>
      <c r="W67">
        <f>HYPERLINK("https://klasma.github.io/Logging_1981/klagomålsmail/A 7672-2026 FSC-klagomål mail.docx", "A 7672-2026")</f>
        <v/>
      </c>
      <c r="X67">
        <f>HYPERLINK("https://klasma.github.io/Logging_1981/tillsyn/A 7672-2026 tillsynsbegäran.docx", "A 7672-2026")</f>
        <v/>
      </c>
      <c r="Y67">
        <f>HYPERLINK("https://klasma.github.io/Logging_1981/tillsynsmail/A 7672-2026 tillsynsbegäran mail.docx", "A 7672-2026")</f>
        <v/>
      </c>
    </row>
    <row r="68" ht="15" customHeight="1">
      <c r="A68" t="inlineStr">
        <is>
          <t>A 73124-2021</t>
        </is>
      </c>
      <c r="B68" s="1" t="n">
        <v>44550</v>
      </c>
      <c r="C68" s="1" t="n">
        <v>46128</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46128</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66561-2021</t>
        </is>
      </c>
      <c r="B70" s="1" t="n">
        <v>44519.41648148148</v>
      </c>
      <c r="C70" s="1" t="n">
        <v>46128</v>
      </c>
      <c r="D70" t="inlineStr">
        <is>
          <t>VÄSTMANLANDS LÄN</t>
        </is>
      </c>
      <c r="E70" t="inlineStr">
        <is>
          <t>SALA</t>
        </is>
      </c>
      <c r="G70" t="n">
        <v>0.3</v>
      </c>
      <c r="H70" t="n">
        <v>0</v>
      </c>
      <c r="I70" t="n">
        <v>0</v>
      </c>
      <c r="J70" t="n">
        <v>0</v>
      </c>
      <c r="K70" t="n">
        <v>0</v>
      </c>
      <c r="L70" t="n">
        <v>0</v>
      </c>
      <c r="M70" t="n">
        <v>0</v>
      </c>
      <c r="N70" t="n">
        <v>0</v>
      </c>
      <c r="O70" t="n">
        <v>0</v>
      </c>
      <c r="P70" t="n">
        <v>0</v>
      </c>
      <c r="Q70" t="n">
        <v>0</v>
      </c>
      <c r="R70" s="2" t="inlineStr"/>
    </row>
    <row r="71" ht="15" customHeight="1">
      <c r="A71" t="inlineStr">
        <is>
          <t>A 34110-2022</t>
        </is>
      </c>
      <c r="B71" s="1" t="n">
        <v>44791</v>
      </c>
      <c r="C71" s="1" t="n">
        <v>46128</v>
      </c>
      <c r="D71" t="inlineStr">
        <is>
          <t>VÄSTMANLANDS LÄN</t>
        </is>
      </c>
      <c r="E71" t="inlineStr">
        <is>
          <t>SALA</t>
        </is>
      </c>
      <c r="G71" t="n">
        <v>0.2</v>
      </c>
      <c r="H71" t="n">
        <v>0</v>
      </c>
      <c r="I71" t="n">
        <v>0</v>
      </c>
      <c r="J71" t="n">
        <v>0</v>
      </c>
      <c r="K71" t="n">
        <v>0</v>
      </c>
      <c r="L71" t="n">
        <v>0</v>
      </c>
      <c r="M71" t="n">
        <v>0</v>
      </c>
      <c r="N71" t="n">
        <v>0</v>
      </c>
      <c r="O71" t="n">
        <v>0</v>
      </c>
      <c r="P71" t="n">
        <v>0</v>
      </c>
      <c r="Q71" t="n">
        <v>0</v>
      </c>
      <c r="R71" s="2" t="inlineStr"/>
    </row>
    <row r="72" ht="15" customHeight="1">
      <c r="A72" t="inlineStr">
        <is>
          <t>A 43292-2021</t>
        </is>
      </c>
      <c r="B72" s="1" t="n">
        <v>44432</v>
      </c>
      <c r="C72" s="1" t="n">
        <v>46128</v>
      </c>
      <c r="D72" t="inlineStr">
        <is>
          <t>VÄSTMANLANDS LÄN</t>
        </is>
      </c>
      <c r="E72" t="inlineStr">
        <is>
          <t>SALA</t>
        </is>
      </c>
      <c r="G72" t="n">
        <v>15</v>
      </c>
      <c r="H72" t="n">
        <v>0</v>
      </c>
      <c r="I72" t="n">
        <v>0</v>
      </c>
      <c r="J72" t="n">
        <v>0</v>
      </c>
      <c r="K72" t="n">
        <v>0</v>
      </c>
      <c r="L72" t="n">
        <v>0</v>
      </c>
      <c r="M72" t="n">
        <v>0</v>
      </c>
      <c r="N72" t="n">
        <v>0</v>
      </c>
      <c r="O72" t="n">
        <v>0</v>
      </c>
      <c r="P72" t="n">
        <v>0</v>
      </c>
      <c r="Q72" t="n">
        <v>0</v>
      </c>
      <c r="R72" s="2" t="inlineStr"/>
    </row>
    <row r="73" ht="15" customHeight="1">
      <c r="A73" t="inlineStr">
        <is>
          <t>A 28999-2022</t>
        </is>
      </c>
      <c r="B73" s="1" t="n">
        <v>44749</v>
      </c>
      <c r="C73" s="1" t="n">
        <v>46128</v>
      </c>
      <c r="D73" t="inlineStr">
        <is>
          <t>VÄSTMANLANDS LÄN</t>
        </is>
      </c>
      <c r="E73" t="inlineStr">
        <is>
          <t>SALA</t>
        </is>
      </c>
      <c r="G73" t="n">
        <v>5.7</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46128</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46128</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46128</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46128</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46128</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46128</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73683-2021</t>
        </is>
      </c>
      <c r="B80" s="1" t="n">
        <v>44552.47971064815</v>
      </c>
      <c r="C80" s="1" t="n">
        <v>46128</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46128</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46128</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46128</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46128</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46128</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46128</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46128</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46128</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46128</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46128</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46128</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46128</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46128</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46128</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46128</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46128</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46128</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46128</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46128</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46128</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46128</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46128</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46128</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46128</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46128</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46128</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46128</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46128</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46128</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46128</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46128</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46128</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46128</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18259-2021</t>
        </is>
      </c>
      <c r="B114" s="1" t="n">
        <v>44305</v>
      </c>
      <c r="C114" s="1" t="n">
        <v>46128</v>
      </c>
      <c r="D114" t="inlineStr">
        <is>
          <t>VÄSTMANLANDS LÄN</t>
        </is>
      </c>
      <c r="E114" t="inlineStr">
        <is>
          <t>SALA</t>
        </is>
      </c>
      <c r="G114" t="n">
        <v>0</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46128</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46128</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46128</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46128</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46128</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46128</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46128</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46128</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46128</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46128</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46128</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46128</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31452-2021</t>
        </is>
      </c>
      <c r="B127" s="1" t="n">
        <v>44369</v>
      </c>
      <c r="C127" s="1" t="n">
        <v>46128</v>
      </c>
      <c r="D127" t="inlineStr">
        <is>
          <t>VÄSTMANLANDS LÄN</t>
        </is>
      </c>
      <c r="E127" t="inlineStr">
        <is>
          <t>SALA</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46128</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46128</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23181-2022</t>
        </is>
      </c>
      <c r="B130" s="1" t="n">
        <v>44719.79537037037</v>
      </c>
      <c r="C130" s="1" t="n">
        <v>46128</v>
      </c>
      <c r="D130" t="inlineStr">
        <is>
          <t>VÄSTMANLANDS LÄN</t>
        </is>
      </c>
      <c r="E130" t="inlineStr">
        <is>
          <t>SALA</t>
        </is>
      </c>
      <c r="G130" t="n">
        <v>0.8</v>
      </c>
      <c r="H130" t="n">
        <v>0</v>
      </c>
      <c r="I130" t="n">
        <v>0</v>
      </c>
      <c r="J130" t="n">
        <v>0</v>
      </c>
      <c r="K130" t="n">
        <v>0</v>
      </c>
      <c r="L130" t="n">
        <v>0</v>
      </c>
      <c r="M130" t="n">
        <v>0</v>
      </c>
      <c r="N130" t="n">
        <v>0</v>
      </c>
      <c r="O130" t="n">
        <v>0</v>
      </c>
      <c r="P130" t="n">
        <v>0</v>
      </c>
      <c r="Q130" t="n">
        <v>0</v>
      </c>
      <c r="R130" s="2" t="inlineStr"/>
    </row>
    <row r="131" ht="15" customHeight="1">
      <c r="A131" t="inlineStr">
        <is>
          <t>A 65860-2021</t>
        </is>
      </c>
      <c r="B131" s="1" t="n">
        <v>44517.38163194444</v>
      </c>
      <c r="C131" s="1" t="n">
        <v>46128</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51596-2022</t>
        </is>
      </c>
      <c r="B132" s="1" t="n">
        <v>44871</v>
      </c>
      <c r="C132" s="1" t="n">
        <v>46128</v>
      </c>
      <c r="D132" t="inlineStr">
        <is>
          <t>VÄSTMANLANDS LÄN</t>
        </is>
      </c>
      <c r="E132" t="inlineStr">
        <is>
          <t>SALA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46128</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66508-2021</t>
        </is>
      </c>
      <c r="B134" s="1" t="n">
        <v>44519.33401620371</v>
      </c>
      <c r="C134" s="1" t="n">
        <v>46128</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46128</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9050-2022</t>
        </is>
      </c>
      <c r="B136" s="1" t="n">
        <v>44615.45451388889</v>
      </c>
      <c r="C136" s="1" t="n">
        <v>46128</v>
      </c>
      <c r="D136" t="inlineStr">
        <is>
          <t>VÄSTMANLANDS LÄN</t>
        </is>
      </c>
      <c r="E136" t="inlineStr">
        <is>
          <t>SALA</t>
        </is>
      </c>
      <c r="G136" t="n">
        <v>3.1</v>
      </c>
      <c r="H136" t="n">
        <v>0</v>
      </c>
      <c r="I136" t="n">
        <v>0</v>
      </c>
      <c r="J136" t="n">
        <v>0</v>
      </c>
      <c r="K136" t="n">
        <v>0</v>
      </c>
      <c r="L136" t="n">
        <v>0</v>
      </c>
      <c r="M136" t="n">
        <v>0</v>
      </c>
      <c r="N136" t="n">
        <v>0</v>
      </c>
      <c r="O136" t="n">
        <v>0</v>
      </c>
      <c r="P136" t="n">
        <v>0</v>
      </c>
      <c r="Q136" t="n">
        <v>0</v>
      </c>
      <c r="R136" s="2" t="inlineStr"/>
    </row>
    <row r="137" ht="15" customHeight="1">
      <c r="A137" t="inlineStr">
        <is>
          <t>A 49254-2022</t>
        </is>
      </c>
      <c r="B137" s="1" t="n">
        <v>44861</v>
      </c>
      <c r="C137" s="1" t="n">
        <v>46128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46128</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46128</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46128</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46128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46128</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46128</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46128</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46128</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46128</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46128</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46128</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46128</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46128</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46128</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46128</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23180-2022</t>
        </is>
      </c>
      <c r="B153" s="1" t="n">
        <v>44719.79344907407</v>
      </c>
      <c r="C153" s="1" t="n">
        <v>46128</v>
      </c>
      <c r="D153" t="inlineStr">
        <is>
          <t>VÄSTMANLANDS LÄN</t>
        </is>
      </c>
      <c r="E153" t="inlineStr">
        <is>
          <t>SALA</t>
        </is>
      </c>
      <c r="G153" t="n">
        <v>1.2</v>
      </c>
      <c r="H153" t="n">
        <v>0</v>
      </c>
      <c r="I153" t="n">
        <v>0</v>
      </c>
      <c r="J153" t="n">
        <v>0</v>
      </c>
      <c r="K153" t="n">
        <v>0</v>
      </c>
      <c r="L153" t="n">
        <v>0</v>
      </c>
      <c r="M153" t="n">
        <v>0</v>
      </c>
      <c r="N153" t="n">
        <v>0</v>
      </c>
      <c r="O153" t="n">
        <v>0</v>
      </c>
      <c r="P153" t="n">
        <v>0</v>
      </c>
      <c r="Q153" t="n">
        <v>0</v>
      </c>
      <c r="R153" s="2" t="inlineStr"/>
    </row>
    <row r="154" ht="15" customHeight="1">
      <c r="A154" t="inlineStr">
        <is>
          <t>A 21053-2022</t>
        </is>
      </c>
      <c r="B154" s="1" t="n">
        <v>44704</v>
      </c>
      <c r="C154" s="1" t="n">
        <v>46128</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56949-2023</t>
        </is>
      </c>
      <c r="B155" s="1" t="n">
        <v>45244.61589120371</v>
      </c>
      <c r="C155" s="1" t="n">
        <v>46128</v>
      </c>
      <c r="D155" t="inlineStr">
        <is>
          <t>VÄSTMANLANDS LÄN</t>
        </is>
      </c>
      <c r="E155" t="inlineStr">
        <is>
          <t>SALA</t>
        </is>
      </c>
      <c r="G155" t="n">
        <v>4.7</v>
      </c>
      <c r="H155" t="n">
        <v>0</v>
      </c>
      <c r="I155" t="n">
        <v>0</v>
      </c>
      <c r="J155" t="n">
        <v>0</v>
      </c>
      <c r="K155" t="n">
        <v>0</v>
      </c>
      <c r="L155" t="n">
        <v>0</v>
      </c>
      <c r="M155" t="n">
        <v>0</v>
      </c>
      <c r="N155" t="n">
        <v>0</v>
      </c>
      <c r="O155" t="n">
        <v>0</v>
      </c>
      <c r="P155" t="n">
        <v>0</v>
      </c>
      <c r="Q155" t="n">
        <v>0</v>
      </c>
      <c r="R155" s="2" t="inlineStr"/>
    </row>
    <row r="156" ht="15" customHeight="1">
      <c r="A156" t="inlineStr">
        <is>
          <t>A 53628-2022</t>
        </is>
      </c>
      <c r="B156" s="1" t="n">
        <v>44879.87171296297</v>
      </c>
      <c r="C156" s="1" t="n">
        <v>46128</v>
      </c>
      <c r="D156" t="inlineStr">
        <is>
          <t>VÄSTMANLANDS LÄN</t>
        </is>
      </c>
      <c r="E156" t="inlineStr">
        <is>
          <t>SALA</t>
        </is>
      </c>
      <c r="G156" t="n">
        <v>2.7</v>
      </c>
      <c r="H156" t="n">
        <v>0</v>
      </c>
      <c r="I156" t="n">
        <v>0</v>
      </c>
      <c r="J156" t="n">
        <v>0</v>
      </c>
      <c r="K156" t="n">
        <v>0</v>
      </c>
      <c r="L156" t="n">
        <v>0</v>
      </c>
      <c r="M156" t="n">
        <v>0</v>
      </c>
      <c r="N156" t="n">
        <v>0</v>
      </c>
      <c r="O156" t="n">
        <v>0</v>
      </c>
      <c r="P156" t="n">
        <v>0</v>
      </c>
      <c r="Q156" t="n">
        <v>0</v>
      </c>
      <c r="R156" s="2" t="inlineStr"/>
    </row>
    <row r="157" ht="15" customHeight="1">
      <c r="A157" t="inlineStr">
        <is>
          <t>A 18340-2025</t>
        </is>
      </c>
      <c r="B157" s="1" t="n">
        <v>45762</v>
      </c>
      <c r="C157" s="1" t="n">
        <v>46128</v>
      </c>
      <c r="D157" t="inlineStr">
        <is>
          <t>VÄSTMANLANDS LÄN</t>
        </is>
      </c>
      <c r="E157" t="inlineStr">
        <is>
          <t>SALA</t>
        </is>
      </c>
      <c r="G157" t="n">
        <v>2.1</v>
      </c>
      <c r="H157" t="n">
        <v>0</v>
      </c>
      <c r="I157" t="n">
        <v>0</v>
      </c>
      <c r="J157" t="n">
        <v>0</v>
      </c>
      <c r="K157" t="n">
        <v>0</v>
      </c>
      <c r="L157" t="n">
        <v>0</v>
      </c>
      <c r="M157" t="n">
        <v>0</v>
      </c>
      <c r="N157" t="n">
        <v>0</v>
      </c>
      <c r="O157" t="n">
        <v>0</v>
      </c>
      <c r="P157" t="n">
        <v>0</v>
      </c>
      <c r="Q157" t="n">
        <v>0</v>
      </c>
      <c r="R157" s="2" t="inlineStr"/>
    </row>
    <row r="158" ht="15" customHeight="1">
      <c r="A158" t="inlineStr">
        <is>
          <t>A 23847-2022</t>
        </is>
      </c>
      <c r="B158" s="1" t="n">
        <v>44722</v>
      </c>
      <c r="C158" s="1" t="n">
        <v>46128</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40214-2023</t>
        </is>
      </c>
      <c r="B159" s="1" t="n">
        <v>45169.45173611111</v>
      </c>
      <c r="C159" s="1" t="n">
        <v>46128</v>
      </c>
      <c r="D159" t="inlineStr">
        <is>
          <t>VÄSTMANLANDS LÄN</t>
        </is>
      </c>
      <c r="E159" t="inlineStr">
        <is>
          <t>SALA</t>
        </is>
      </c>
      <c r="G159" t="n">
        <v>5.5</v>
      </c>
      <c r="H159" t="n">
        <v>0</v>
      </c>
      <c r="I159" t="n">
        <v>0</v>
      </c>
      <c r="J159" t="n">
        <v>0</v>
      </c>
      <c r="K159" t="n">
        <v>0</v>
      </c>
      <c r="L159" t="n">
        <v>0</v>
      </c>
      <c r="M159" t="n">
        <v>0</v>
      </c>
      <c r="N159" t="n">
        <v>0</v>
      </c>
      <c r="O159" t="n">
        <v>0</v>
      </c>
      <c r="P159" t="n">
        <v>0</v>
      </c>
      <c r="Q159" t="n">
        <v>0</v>
      </c>
      <c r="R159" s="2" t="inlineStr"/>
    </row>
    <row r="160" ht="15" customHeight="1">
      <c r="A160" t="inlineStr">
        <is>
          <t>A 16638-2023</t>
        </is>
      </c>
      <c r="B160" s="1" t="n">
        <v>45027</v>
      </c>
      <c r="C160" s="1" t="n">
        <v>46128</v>
      </c>
      <c r="D160" t="inlineStr">
        <is>
          <t>VÄSTMANLANDS LÄN</t>
        </is>
      </c>
      <c r="E160" t="inlineStr">
        <is>
          <t>SALA</t>
        </is>
      </c>
      <c r="G160" t="n">
        <v>14.8</v>
      </c>
      <c r="H160" t="n">
        <v>0</v>
      </c>
      <c r="I160" t="n">
        <v>0</v>
      </c>
      <c r="J160" t="n">
        <v>0</v>
      </c>
      <c r="K160" t="n">
        <v>0</v>
      </c>
      <c r="L160" t="n">
        <v>0</v>
      </c>
      <c r="M160" t="n">
        <v>0</v>
      </c>
      <c r="N160" t="n">
        <v>0</v>
      </c>
      <c r="O160" t="n">
        <v>0</v>
      </c>
      <c r="P160" t="n">
        <v>0</v>
      </c>
      <c r="Q160" t="n">
        <v>0</v>
      </c>
      <c r="R160" s="2" t="inlineStr"/>
    </row>
    <row r="161" ht="15" customHeight="1">
      <c r="A161" t="inlineStr">
        <is>
          <t>A 35016-2024</t>
        </is>
      </c>
      <c r="B161" s="1" t="n">
        <v>45527.59115740741</v>
      </c>
      <c r="C161" s="1" t="n">
        <v>46128</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30915-2021</t>
        </is>
      </c>
      <c r="B162" s="1" t="n">
        <v>44365</v>
      </c>
      <c r="C162" s="1" t="n">
        <v>46128</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30918-2021</t>
        </is>
      </c>
      <c r="B163" s="1" t="n">
        <v>44365.60569444444</v>
      </c>
      <c r="C163" s="1" t="n">
        <v>46128</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22562-2022</t>
        </is>
      </c>
      <c r="B164" s="1" t="n">
        <v>44713</v>
      </c>
      <c r="C164" s="1" t="n">
        <v>46128</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30904-2021</t>
        </is>
      </c>
      <c r="B165" s="1" t="n">
        <v>44365.5983449074</v>
      </c>
      <c r="C165" s="1" t="n">
        <v>46128</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37612-2024</t>
        </is>
      </c>
      <c r="B166" s="1" t="n">
        <v>45541</v>
      </c>
      <c r="C166" s="1" t="n">
        <v>46128</v>
      </c>
      <c r="D166" t="inlineStr">
        <is>
          <t>VÄSTMANLANDS LÄN</t>
        </is>
      </c>
      <c r="E166" t="inlineStr">
        <is>
          <t>SALA</t>
        </is>
      </c>
      <c r="G166" t="n">
        <v>2.2</v>
      </c>
      <c r="H166" t="n">
        <v>0</v>
      </c>
      <c r="I166" t="n">
        <v>0</v>
      </c>
      <c r="J166" t="n">
        <v>0</v>
      </c>
      <c r="K166" t="n">
        <v>0</v>
      </c>
      <c r="L166" t="n">
        <v>0</v>
      </c>
      <c r="M166" t="n">
        <v>0</v>
      </c>
      <c r="N166" t="n">
        <v>0</v>
      </c>
      <c r="O166" t="n">
        <v>0</v>
      </c>
      <c r="P166" t="n">
        <v>0</v>
      </c>
      <c r="Q166" t="n">
        <v>0</v>
      </c>
      <c r="R166" s="2" t="inlineStr"/>
    </row>
    <row r="167" ht="15" customHeight="1">
      <c r="A167" t="inlineStr">
        <is>
          <t>A 37615-2024</t>
        </is>
      </c>
      <c r="B167" s="1" t="n">
        <v>45541.50673611111</v>
      </c>
      <c r="C167" s="1" t="n">
        <v>46128</v>
      </c>
      <c r="D167" t="inlineStr">
        <is>
          <t>VÄSTMANLANDS LÄN</t>
        </is>
      </c>
      <c r="E167" t="inlineStr">
        <is>
          <t>SALA</t>
        </is>
      </c>
      <c r="G167" t="n">
        <v>1.1</v>
      </c>
      <c r="H167" t="n">
        <v>0</v>
      </c>
      <c r="I167" t="n">
        <v>0</v>
      </c>
      <c r="J167" t="n">
        <v>0</v>
      </c>
      <c r="K167" t="n">
        <v>0</v>
      </c>
      <c r="L167" t="n">
        <v>0</v>
      </c>
      <c r="M167" t="n">
        <v>0</v>
      </c>
      <c r="N167" t="n">
        <v>0</v>
      </c>
      <c r="O167" t="n">
        <v>0</v>
      </c>
      <c r="P167" t="n">
        <v>0</v>
      </c>
      <c r="Q167" t="n">
        <v>0</v>
      </c>
      <c r="R167" s="2" t="inlineStr"/>
    </row>
    <row r="168" ht="15" customHeight="1">
      <c r="A168" t="inlineStr">
        <is>
          <t>A 5728-2022</t>
        </is>
      </c>
      <c r="B168" s="1" t="n">
        <v>44596.42082175926</v>
      </c>
      <c r="C168" s="1" t="n">
        <v>46128</v>
      </c>
      <c r="D168" t="inlineStr">
        <is>
          <t>VÄSTMANLANDS LÄN</t>
        </is>
      </c>
      <c r="E168" t="inlineStr">
        <is>
          <t>SALA</t>
        </is>
      </c>
      <c r="G168" t="n">
        <v>1.7</v>
      </c>
      <c r="H168" t="n">
        <v>0</v>
      </c>
      <c r="I168" t="n">
        <v>0</v>
      </c>
      <c r="J168" t="n">
        <v>0</v>
      </c>
      <c r="K168" t="n">
        <v>0</v>
      </c>
      <c r="L168" t="n">
        <v>0</v>
      </c>
      <c r="M168" t="n">
        <v>0</v>
      </c>
      <c r="N168" t="n">
        <v>0</v>
      </c>
      <c r="O168" t="n">
        <v>0</v>
      </c>
      <c r="P168" t="n">
        <v>0</v>
      </c>
      <c r="Q168" t="n">
        <v>0</v>
      </c>
      <c r="R168" s="2" t="inlineStr"/>
    </row>
    <row r="169" ht="15" customHeight="1">
      <c r="A169" t="inlineStr">
        <is>
          <t>A 65353-2021</t>
        </is>
      </c>
      <c r="B169" s="1" t="n">
        <v>44515</v>
      </c>
      <c r="C169" s="1" t="n">
        <v>46128</v>
      </c>
      <c r="D169" t="inlineStr">
        <is>
          <t>VÄSTMANLANDS LÄN</t>
        </is>
      </c>
      <c r="E169" t="inlineStr">
        <is>
          <t>SALA</t>
        </is>
      </c>
      <c r="G169" t="n">
        <v>1.5</v>
      </c>
      <c r="H169" t="n">
        <v>0</v>
      </c>
      <c r="I169" t="n">
        <v>0</v>
      </c>
      <c r="J169" t="n">
        <v>0</v>
      </c>
      <c r="K169" t="n">
        <v>0</v>
      </c>
      <c r="L169" t="n">
        <v>0</v>
      </c>
      <c r="M169" t="n">
        <v>0</v>
      </c>
      <c r="N169" t="n">
        <v>0</v>
      </c>
      <c r="O169" t="n">
        <v>0</v>
      </c>
      <c r="P169" t="n">
        <v>0</v>
      </c>
      <c r="Q169" t="n">
        <v>0</v>
      </c>
      <c r="R169" s="2" t="inlineStr"/>
    </row>
    <row r="170" ht="15" customHeight="1">
      <c r="A170" t="inlineStr">
        <is>
          <t>A 19751-2022</t>
        </is>
      </c>
      <c r="B170" s="1" t="n">
        <v>44694</v>
      </c>
      <c r="C170" s="1" t="n">
        <v>46128</v>
      </c>
      <c r="D170" t="inlineStr">
        <is>
          <t>VÄSTMANLANDS LÄN</t>
        </is>
      </c>
      <c r="E170" t="inlineStr">
        <is>
          <t>SALA</t>
        </is>
      </c>
      <c r="G170" t="n">
        <v>2.7</v>
      </c>
      <c r="H170" t="n">
        <v>0</v>
      </c>
      <c r="I170" t="n">
        <v>0</v>
      </c>
      <c r="J170" t="n">
        <v>0</v>
      </c>
      <c r="K170" t="n">
        <v>0</v>
      </c>
      <c r="L170" t="n">
        <v>0</v>
      </c>
      <c r="M170" t="n">
        <v>0</v>
      </c>
      <c r="N170" t="n">
        <v>0</v>
      </c>
      <c r="O170" t="n">
        <v>0</v>
      </c>
      <c r="P170" t="n">
        <v>0</v>
      </c>
      <c r="Q170" t="n">
        <v>0</v>
      </c>
      <c r="R170" s="2" t="inlineStr"/>
    </row>
    <row r="171" ht="15" customHeight="1">
      <c r="A171" t="inlineStr">
        <is>
          <t>A 22575-2022</t>
        </is>
      </c>
      <c r="B171" s="1" t="n">
        <v>44713</v>
      </c>
      <c r="C171" s="1" t="n">
        <v>46128</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40094-2022</t>
        </is>
      </c>
      <c r="B172" s="1" t="n">
        <v>44819</v>
      </c>
      <c r="C172" s="1" t="n">
        <v>46128</v>
      </c>
      <c r="D172" t="inlineStr">
        <is>
          <t>VÄSTMANLANDS LÄN</t>
        </is>
      </c>
      <c r="E172" t="inlineStr">
        <is>
          <t>SALA</t>
        </is>
      </c>
      <c r="G172" t="n">
        <v>1.7</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46128</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46128</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46128</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53630-2022</t>
        </is>
      </c>
      <c r="B176" s="1" t="n">
        <v>44879.87533564815</v>
      </c>
      <c r="C176" s="1" t="n">
        <v>46128</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17117-2023</t>
        </is>
      </c>
      <c r="B177" s="1" t="n">
        <v>45034</v>
      </c>
      <c r="C177" s="1" t="n">
        <v>46128</v>
      </c>
      <c r="D177" t="inlineStr">
        <is>
          <t>VÄSTMANLANDS LÄN</t>
        </is>
      </c>
      <c r="E177" t="inlineStr">
        <is>
          <t>SALA</t>
        </is>
      </c>
      <c r="G177" t="n">
        <v>0.4</v>
      </c>
      <c r="H177" t="n">
        <v>0</v>
      </c>
      <c r="I177" t="n">
        <v>0</v>
      </c>
      <c r="J177" t="n">
        <v>0</v>
      </c>
      <c r="K177" t="n">
        <v>0</v>
      </c>
      <c r="L177" t="n">
        <v>0</v>
      </c>
      <c r="M177" t="n">
        <v>0</v>
      </c>
      <c r="N177" t="n">
        <v>0</v>
      </c>
      <c r="O177" t="n">
        <v>0</v>
      </c>
      <c r="P177" t="n">
        <v>0</v>
      </c>
      <c r="Q177" t="n">
        <v>0</v>
      </c>
      <c r="R177" s="2" t="inlineStr"/>
    </row>
    <row r="178" ht="15" customHeight="1">
      <c r="A178" t="inlineStr">
        <is>
          <t>A 59909-2024</t>
        </is>
      </c>
      <c r="B178" s="1" t="n">
        <v>45641</v>
      </c>
      <c r="C178" s="1" t="n">
        <v>46128</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72405-2021</t>
        </is>
      </c>
      <c r="B179" s="1" t="n">
        <v>44545</v>
      </c>
      <c r="C179" s="1" t="n">
        <v>46128</v>
      </c>
      <c r="D179" t="inlineStr">
        <is>
          <t>VÄSTMANLANDS LÄN</t>
        </is>
      </c>
      <c r="E179" t="inlineStr">
        <is>
          <t>SALA</t>
        </is>
      </c>
      <c r="G179" t="n">
        <v>1</v>
      </c>
      <c r="H179" t="n">
        <v>0</v>
      </c>
      <c r="I179" t="n">
        <v>0</v>
      </c>
      <c r="J179" t="n">
        <v>0</v>
      </c>
      <c r="K179" t="n">
        <v>0</v>
      </c>
      <c r="L179" t="n">
        <v>0</v>
      </c>
      <c r="M179" t="n">
        <v>0</v>
      </c>
      <c r="N179" t="n">
        <v>0</v>
      </c>
      <c r="O179" t="n">
        <v>0</v>
      </c>
      <c r="P179" t="n">
        <v>0</v>
      </c>
      <c r="Q179" t="n">
        <v>0</v>
      </c>
      <c r="R179" s="2" t="inlineStr"/>
    </row>
    <row r="180" ht="15" customHeight="1">
      <c r="A180" t="inlineStr">
        <is>
          <t>A 63290-2021</t>
        </is>
      </c>
      <c r="B180" s="1" t="n">
        <v>44505</v>
      </c>
      <c r="C180" s="1" t="n">
        <v>46128</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30028-2024</t>
        </is>
      </c>
      <c r="B181" s="1" t="n">
        <v>45485</v>
      </c>
      <c r="C181" s="1" t="n">
        <v>46128</v>
      </c>
      <c r="D181" t="inlineStr">
        <is>
          <t>VÄSTMANLANDS LÄN</t>
        </is>
      </c>
      <c r="E181" t="inlineStr">
        <is>
          <t>SALA</t>
        </is>
      </c>
      <c r="G181" t="n">
        <v>2.6</v>
      </c>
      <c r="H181" t="n">
        <v>0</v>
      </c>
      <c r="I181" t="n">
        <v>0</v>
      </c>
      <c r="J181" t="n">
        <v>0</v>
      </c>
      <c r="K181" t="n">
        <v>0</v>
      </c>
      <c r="L181" t="n">
        <v>0</v>
      </c>
      <c r="M181" t="n">
        <v>0</v>
      </c>
      <c r="N181" t="n">
        <v>0</v>
      </c>
      <c r="O181" t="n">
        <v>0</v>
      </c>
      <c r="P181" t="n">
        <v>0</v>
      </c>
      <c r="Q181" t="n">
        <v>0</v>
      </c>
      <c r="R181" s="2" t="inlineStr"/>
    </row>
    <row r="182" ht="15" customHeight="1">
      <c r="A182" t="inlineStr">
        <is>
          <t>A 33309-2022</t>
        </is>
      </c>
      <c r="B182" s="1" t="n">
        <v>44788.40986111111</v>
      </c>
      <c r="C182" s="1" t="n">
        <v>46128</v>
      </c>
      <c r="D182" t="inlineStr">
        <is>
          <t>VÄSTMANLANDS LÄN</t>
        </is>
      </c>
      <c r="E182" t="inlineStr">
        <is>
          <t>SALA</t>
        </is>
      </c>
      <c r="G182" t="n">
        <v>2.6</v>
      </c>
      <c r="H182" t="n">
        <v>0</v>
      </c>
      <c r="I182" t="n">
        <v>0</v>
      </c>
      <c r="J182" t="n">
        <v>0</v>
      </c>
      <c r="K182" t="n">
        <v>0</v>
      </c>
      <c r="L182" t="n">
        <v>0</v>
      </c>
      <c r="M182" t="n">
        <v>0</v>
      </c>
      <c r="N182" t="n">
        <v>0</v>
      </c>
      <c r="O182" t="n">
        <v>0</v>
      </c>
      <c r="P182" t="n">
        <v>0</v>
      </c>
      <c r="Q182" t="n">
        <v>0</v>
      </c>
      <c r="R182" s="2" t="inlineStr"/>
    </row>
    <row r="183" ht="15" customHeight="1">
      <c r="A183" t="inlineStr">
        <is>
          <t>A 73519-2021</t>
        </is>
      </c>
      <c r="B183" s="1" t="n">
        <v>44551</v>
      </c>
      <c r="C183" s="1" t="n">
        <v>46128</v>
      </c>
      <c r="D183" t="inlineStr">
        <is>
          <t>VÄSTMANLANDS LÄN</t>
        </is>
      </c>
      <c r="E183" t="inlineStr">
        <is>
          <t>SALA</t>
        </is>
      </c>
      <c r="G183" t="n">
        <v>0.3</v>
      </c>
      <c r="H183" t="n">
        <v>0</v>
      </c>
      <c r="I183" t="n">
        <v>0</v>
      </c>
      <c r="J183" t="n">
        <v>0</v>
      </c>
      <c r="K183" t="n">
        <v>0</v>
      </c>
      <c r="L183" t="n">
        <v>0</v>
      </c>
      <c r="M183" t="n">
        <v>0</v>
      </c>
      <c r="N183" t="n">
        <v>0</v>
      </c>
      <c r="O183" t="n">
        <v>0</v>
      </c>
      <c r="P183" t="n">
        <v>0</v>
      </c>
      <c r="Q183" t="n">
        <v>0</v>
      </c>
      <c r="R183" s="2" t="inlineStr"/>
    </row>
    <row r="184" ht="15" customHeight="1">
      <c r="A184" t="inlineStr">
        <is>
          <t>A 7377-2023</t>
        </is>
      </c>
      <c r="B184" s="1" t="n">
        <v>44971</v>
      </c>
      <c r="C184" s="1" t="n">
        <v>46128</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37881-2021</t>
        </is>
      </c>
      <c r="B185" s="1" t="n">
        <v>44403</v>
      </c>
      <c r="C185" s="1" t="n">
        <v>46128</v>
      </c>
      <c r="D185" t="inlineStr">
        <is>
          <t>VÄSTMANLANDS LÄN</t>
        </is>
      </c>
      <c r="E185" t="inlineStr">
        <is>
          <t>SALA</t>
        </is>
      </c>
      <c r="G185" t="n">
        <v>4.6</v>
      </c>
      <c r="H185" t="n">
        <v>0</v>
      </c>
      <c r="I185" t="n">
        <v>0</v>
      </c>
      <c r="J185" t="n">
        <v>0</v>
      </c>
      <c r="K185" t="n">
        <v>0</v>
      </c>
      <c r="L185" t="n">
        <v>0</v>
      </c>
      <c r="M185" t="n">
        <v>0</v>
      </c>
      <c r="N185" t="n">
        <v>0</v>
      </c>
      <c r="O185" t="n">
        <v>0</v>
      </c>
      <c r="P185" t="n">
        <v>0</v>
      </c>
      <c r="Q185" t="n">
        <v>0</v>
      </c>
      <c r="R185" s="2" t="inlineStr"/>
    </row>
    <row r="186" ht="15" customHeight="1">
      <c r="A186" t="inlineStr">
        <is>
          <t>A 72805-2021</t>
        </is>
      </c>
      <c r="B186" s="1" t="n">
        <v>44546</v>
      </c>
      <c r="C186" s="1" t="n">
        <v>46128</v>
      </c>
      <c r="D186" t="inlineStr">
        <is>
          <t>VÄSTMANLANDS LÄN</t>
        </is>
      </c>
      <c r="E186" t="inlineStr">
        <is>
          <t>SALA</t>
        </is>
      </c>
      <c r="G186" t="n">
        <v>7.8</v>
      </c>
      <c r="H186" t="n">
        <v>0</v>
      </c>
      <c r="I186" t="n">
        <v>0</v>
      </c>
      <c r="J186" t="n">
        <v>0</v>
      </c>
      <c r="K186" t="n">
        <v>0</v>
      </c>
      <c r="L186" t="n">
        <v>0</v>
      </c>
      <c r="M186" t="n">
        <v>0</v>
      </c>
      <c r="N186" t="n">
        <v>0</v>
      </c>
      <c r="O186" t="n">
        <v>0</v>
      </c>
      <c r="P186" t="n">
        <v>0</v>
      </c>
      <c r="Q186" t="n">
        <v>0</v>
      </c>
      <c r="R186" s="2" t="inlineStr"/>
    </row>
    <row r="187" ht="15" customHeight="1">
      <c r="A187" t="inlineStr">
        <is>
          <t>A 72808-2021</t>
        </is>
      </c>
      <c r="B187" s="1" t="n">
        <v>44546</v>
      </c>
      <c r="C187" s="1" t="n">
        <v>46128</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6312-2025</t>
        </is>
      </c>
      <c r="B188" s="1" t="n">
        <v>45698</v>
      </c>
      <c r="C188" s="1" t="n">
        <v>46128</v>
      </c>
      <c r="D188" t="inlineStr">
        <is>
          <t>VÄSTMANLANDS LÄN</t>
        </is>
      </c>
      <c r="E188" t="inlineStr">
        <is>
          <t>SALA</t>
        </is>
      </c>
      <c r="G188" t="n">
        <v>1.2</v>
      </c>
      <c r="H188" t="n">
        <v>0</v>
      </c>
      <c r="I188" t="n">
        <v>0</v>
      </c>
      <c r="J188" t="n">
        <v>0</v>
      </c>
      <c r="K188" t="n">
        <v>0</v>
      </c>
      <c r="L188" t="n">
        <v>0</v>
      </c>
      <c r="M188" t="n">
        <v>0</v>
      </c>
      <c r="N188" t="n">
        <v>0</v>
      </c>
      <c r="O188" t="n">
        <v>0</v>
      </c>
      <c r="P188" t="n">
        <v>0</v>
      </c>
      <c r="Q188" t="n">
        <v>0</v>
      </c>
      <c r="R188" s="2" t="inlineStr"/>
    </row>
    <row r="189" ht="15" customHeight="1">
      <c r="A189" t="inlineStr">
        <is>
          <t>A 45015-2022</t>
        </is>
      </c>
      <c r="B189" s="1" t="n">
        <v>44841.63766203704</v>
      </c>
      <c r="C189" s="1" t="n">
        <v>46128</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27229-2022</t>
        </is>
      </c>
      <c r="B190" s="1" t="n">
        <v>44741</v>
      </c>
      <c r="C190" s="1" t="n">
        <v>46128</v>
      </c>
      <c r="D190" t="inlineStr">
        <is>
          <t>VÄSTMANLANDS LÄN</t>
        </is>
      </c>
      <c r="E190" t="inlineStr">
        <is>
          <t>SALA</t>
        </is>
      </c>
      <c r="F190" t="inlineStr">
        <is>
          <t>Kommuner</t>
        </is>
      </c>
      <c r="G190" t="n">
        <v>1.4</v>
      </c>
      <c r="H190" t="n">
        <v>0</v>
      </c>
      <c r="I190" t="n">
        <v>0</v>
      </c>
      <c r="J190" t="n">
        <v>0</v>
      </c>
      <c r="K190" t="n">
        <v>0</v>
      </c>
      <c r="L190" t="n">
        <v>0</v>
      </c>
      <c r="M190" t="n">
        <v>0</v>
      </c>
      <c r="N190" t="n">
        <v>0</v>
      </c>
      <c r="O190" t="n">
        <v>0</v>
      </c>
      <c r="P190" t="n">
        <v>0</v>
      </c>
      <c r="Q190" t="n">
        <v>0</v>
      </c>
      <c r="R190" s="2" t="inlineStr"/>
    </row>
    <row r="191" ht="15" customHeight="1">
      <c r="A191" t="inlineStr">
        <is>
          <t>A 55035-2023</t>
        </is>
      </c>
      <c r="B191" s="1" t="n">
        <v>45229</v>
      </c>
      <c r="C191" s="1" t="n">
        <v>46128</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40113-2022</t>
        </is>
      </c>
      <c r="B192" s="1" t="n">
        <v>44819</v>
      </c>
      <c r="C192" s="1" t="n">
        <v>46128</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10168-2022</t>
        </is>
      </c>
      <c r="B193" s="1" t="n">
        <v>44622.37693287037</v>
      </c>
      <c r="C193" s="1" t="n">
        <v>46128</v>
      </c>
      <c r="D193" t="inlineStr">
        <is>
          <t>VÄSTMANLANDS LÄN</t>
        </is>
      </c>
      <c r="E193" t="inlineStr">
        <is>
          <t>SALA</t>
        </is>
      </c>
      <c r="G193" t="n">
        <v>2.1</v>
      </c>
      <c r="H193" t="n">
        <v>0</v>
      </c>
      <c r="I193" t="n">
        <v>0</v>
      </c>
      <c r="J193" t="n">
        <v>0</v>
      </c>
      <c r="K193" t="n">
        <v>0</v>
      </c>
      <c r="L193" t="n">
        <v>0</v>
      </c>
      <c r="M193" t="n">
        <v>0</v>
      </c>
      <c r="N193" t="n">
        <v>0</v>
      </c>
      <c r="O193" t="n">
        <v>0</v>
      </c>
      <c r="P193" t="n">
        <v>0</v>
      </c>
      <c r="Q193" t="n">
        <v>0</v>
      </c>
      <c r="R193" s="2" t="inlineStr"/>
    </row>
    <row r="194" ht="15" customHeight="1">
      <c r="A194" t="inlineStr">
        <is>
          <t>A 24755-2021</t>
        </is>
      </c>
      <c r="B194" s="1" t="n">
        <v>44340</v>
      </c>
      <c r="C194" s="1" t="n">
        <v>46128</v>
      </c>
      <c r="D194" t="inlineStr">
        <is>
          <t>VÄSTMANLANDS LÄN</t>
        </is>
      </c>
      <c r="E194" t="inlineStr">
        <is>
          <t>SALA</t>
        </is>
      </c>
      <c r="G194" t="n">
        <v>1.2</v>
      </c>
      <c r="H194" t="n">
        <v>0</v>
      </c>
      <c r="I194" t="n">
        <v>0</v>
      </c>
      <c r="J194" t="n">
        <v>0</v>
      </c>
      <c r="K194" t="n">
        <v>0</v>
      </c>
      <c r="L194" t="n">
        <v>0</v>
      </c>
      <c r="M194" t="n">
        <v>0</v>
      </c>
      <c r="N194" t="n">
        <v>0</v>
      </c>
      <c r="O194" t="n">
        <v>0</v>
      </c>
      <c r="P194" t="n">
        <v>0</v>
      </c>
      <c r="Q194" t="n">
        <v>0</v>
      </c>
      <c r="R194" s="2" t="inlineStr"/>
    </row>
    <row r="195" ht="15" customHeight="1">
      <c r="A195" t="inlineStr">
        <is>
          <t>A 34867-2023</t>
        </is>
      </c>
      <c r="B195" s="1" t="n">
        <v>45142.33481481481</v>
      </c>
      <c r="C195" s="1" t="n">
        <v>46128</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29233-2022</t>
        </is>
      </c>
      <c r="B196" s="1" t="n">
        <v>44750</v>
      </c>
      <c r="C196" s="1" t="n">
        <v>46128</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52500-2024</t>
        </is>
      </c>
      <c r="B197" s="1" t="n">
        <v>45609</v>
      </c>
      <c r="C197" s="1" t="n">
        <v>46128</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25748-2022</t>
        </is>
      </c>
      <c r="B198" s="1" t="n">
        <v>44732</v>
      </c>
      <c r="C198" s="1" t="n">
        <v>46128</v>
      </c>
      <c r="D198" t="inlineStr">
        <is>
          <t>VÄSTMANLANDS LÄN</t>
        </is>
      </c>
      <c r="E198" t="inlineStr">
        <is>
          <t>SALA</t>
        </is>
      </c>
      <c r="G198" t="n">
        <v>7.7</v>
      </c>
      <c r="H198" t="n">
        <v>0</v>
      </c>
      <c r="I198" t="n">
        <v>0</v>
      </c>
      <c r="J198" t="n">
        <v>0</v>
      </c>
      <c r="K198" t="n">
        <v>0</v>
      </c>
      <c r="L198" t="n">
        <v>0</v>
      </c>
      <c r="M198" t="n">
        <v>0</v>
      </c>
      <c r="N198" t="n">
        <v>0</v>
      </c>
      <c r="O198" t="n">
        <v>0</v>
      </c>
      <c r="P198" t="n">
        <v>0</v>
      </c>
      <c r="Q198" t="n">
        <v>0</v>
      </c>
      <c r="R198" s="2" t="inlineStr"/>
    </row>
    <row r="199" ht="15" customHeight="1">
      <c r="A199" t="inlineStr">
        <is>
          <t>A 57000-2021</t>
        </is>
      </c>
      <c r="B199" s="1" t="n">
        <v>44482.46760416667</v>
      </c>
      <c r="C199" s="1" t="n">
        <v>46128</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7950-2025</t>
        </is>
      </c>
      <c r="B200" s="1" t="n">
        <v>45707.41799768519</v>
      </c>
      <c r="C200" s="1" t="n">
        <v>46128</v>
      </c>
      <c r="D200" t="inlineStr">
        <is>
          <t>VÄSTMANLANDS LÄN</t>
        </is>
      </c>
      <c r="E200" t="inlineStr">
        <is>
          <t>SALA</t>
        </is>
      </c>
      <c r="G200" t="n">
        <v>3.2</v>
      </c>
      <c r="H200" t="n">
        <v>0</v>
      </c>
      <c r="I200" t="n">
        <v>0</v>
      </c>
      <c r="J200" t="n">
        <v>0</v>
      </c>
      <c r="K200" t="n">
        <v>0</v>
      </c>
      <c r="L200" t="n">
        <v>0</v>
      </c>
      <c r="M200" t="n">
        <v>0</v>
      </c>
      <c r="N200" t="n">
        <v>0</v>
      </c>
      <c r="O200" t="n">
        <v>0</v>
      </c>
      <c r="P200" t="n">
        <v>0</v>
      </c>
      <c r="Q200" t="n">
        <v>0</v>
      </c>
      <c r="R200" s="2" t="inlineStr"/>
    </row>
    <row r="201" ht="15" customHeight="1">
      <c r="A201" t="inlineStr">
        <is>
          <t>A 26579-2021</t>
        </is>
      </c>
      <c r="B201" s="1" t="n">
        <v>44348</v>
      </c>
      <c r="C201" s="1" t="n">
        <v>46128</v>
      </c>
      <c r="D201" t="inlineStr">
        <is>
          <t>VÄSTMANLANDS LÄN</t>
        </is>
      </c>
      <c r="E201" t="inlineStr">
        <is>
          <t>SALA</t>
        </is>
      </c>
      <c r="G201" t="n">
        <v>1.6</v>
      </c>
      <c r="H201" t="n">
        <v>0</v>
      </c>
      <c r="I201" t="n">
        <v>0</v>
      </c>
      <c r="J201" t="n">
        <v>0</v>
      </c>
      <c r="K201" t="n">
        <v>0</v>
      </c>
      <c r="L201" t="n">
        <v>0</v>
      </c>
      <c r="M201" t="n">
        <v>0</v>
      </c>
      <c r="N201" t="n">
        <v>0</v>
      </c>
      <c r="O201" t="n">
        <v>0</v>
      </c>
      <c r="P201" t="n">
        <v>0</v>
      </c>
      <c r="Q201" t="n">
        <v>0</v>
      </c>
      <c r="R201" s="2" t="inlineStr"/>
    </row>
    <row r="202" ht="15" customHeight="1">
      <c r="A202" t="inlineStr">
        <is>
          <t>A 49512-2024</t>
        </is>
      </c>
      <c r="B202" s="1" t="n">
        <v>45591</v>
      </c>
      <c r="C202" s="1" t="n">
        <v>46128</v>
      </c>
      <c r="D202" t="inlineStr">
        <is>
          <t>VÄSTMANLANDS LÄN</t>
        </is>
      </c>
      <c r="E202" t="inlineStr">
        <is>
          <t>SALA</t>
        </is>
      </c>
      <c r="G202" t="n">
        <v>8.1</v>
      </c>
      <c r="H202" t="n">
        <v>0</v>
      </c>
      <c r="I202" t="n">
        <v>0</v>
      </c>
      <c r="J202" t="n">
        <v>0</v>
      </c>
      <c r="K202" t="n">
        <v>0</v>
      </c>
      <c r="L202" t="n">
        <v>0</v>
      </c>
      <c r="M202" t="n">
        <v>0</v>
      </c>
      <c r="N202" t="n">
        <v>0</v>
      </c>
      <c r="O202" t="n">
        <v>0</v>
      </c>
      <c r="P202" t="n">
        <v>0</v>
      </c>
      <c r="Q202" t="n">
        <v>0</v>
      </c>
      <c r="R202" s="2" t="inlineStr"/>
    </row>
    <row r="203" ht="15" customHeight="1">
      <c r="A203" t="inlineStr">
        <is>
          <t>A 13128-2023</t>
        </is>
      </c>
      <c r="B203" s="1" t="n">
        <v>45002</v>
      </c>
      <c r="C203" s="1" t="n">
        <v>46128</v>
      </c>
      <c r="D203" t="inlineStr">
        <is>
          <t>VÄSTMANLANDS LÄN</t>
        </is>
      </c>
      <c r="E203" t="inlineStr">
        <is>
          <t>SALA</t>
        </is>
      </c>
      <c r="G203" t="n">
        <v>7.9</v>
      </c>
      <c r="H203" t="n">
        <v>0</v>
      </c>
      <c r="I203" t="n">
        <v>0</v>
      </c>
      <c r="J203" t="n">
        <v>0</v>
      </c>
      <c r="K203" t="n">
        <v>0</v>
      </c>
      <c r="L203" t="n">
        <v>0</v>
      </c>
      <c r="M203" t="n">
        <v>0</v>
      </c>
      <c r="N203" t="n">
        <v>0</v>
      </c>
      <c r="O203" t="n">
        <v>0</v>
      </c>
      <c r="P203" t="n">
        <v>0</v>
      </c>
      <c r="Q203" t="n">
        <v>0</v>
      </c>
      <c r="R203" s="2" t="inlineStr"/>
    </row>
    <row r="204" ht="15" customHeight="1">
      <c r="A204" t="inlineStr">
        <is>
          <t>A 16328-2025</t>
        </is>
      </c>
      <c r="B204" s="1" t="n">
        <v>45751</v>
      </c>
      <c r="C204" s="1" t="n">
        <v>46128</v>
      </c>
      <c r="D204" t="inlineStr">
        <is>
          <t>VÄSTMANLANDS LÄN</t>
        </is>
      </c>
      <c r="E204" t="inlineStr">
        <is>
          <t>SALA</t>
        </is>
      </c>
      <c r="G204" t="n">
        <v>2.9</v>
      </c>
      <c r="H204" t="n">
        <v>0</v>
      </c>
      <c r="I204" t="n">
        <v>0</v>
      </c>
      <c r="J204" t="n">
        <v>0</v>
      </c>
      <c r="K204" t="n">
        <v>0</v>
      </c>
      <c r="L204" t="n">
        <v>0</v>
      </c>
      <c r="M204" t="n">
        <v>0</v>
      </c>
      <c r="N204" t="n">
        <v>0</v>
      </c>
      <c r="O204" t="n">
        <v>0</v>
      </c>
      <c r="P204" t="n">
        <v>0</v>
      </c>
      <c r="Q204" t="n">
        <v>0</v>
      </c>
      <c r="R204" s="2" t="inlineStr"/>
    </row>
    <row r="205" ht="15" customHeight="1">
      <c r="A205" t="inlineStr">
        <is>
          <t>A 37958-2024</t>
        </is>
      </c>
      <c r="B205" s="1" t="n">
        <v>45544</v>
      </c>
      <c r="C205" s="1" t="n">
        <v>46128</v>
      </c>
      <c r="D205" t="inlineStr">
        <is>
          <t>VÄSTMANLANDS LÄN</t>
        </is>
      </c>
      <c r="E205" t="inlineStr">
        <is>
          <t>SALA</t>
        </is>
      </c>
      <c r="G205" t="n">
        <v>5.6</v>
      </c>
      <c r="H205" t="n">
        <v>0</v>
      </c>
      <c r="I205" t="n">
        <v>0</v>
      </c>
      <c r="J205" t="n">
        <v>0</v>
      </c>
      <c r="K205" t="n">
        <v>0</v>
      </c>
      <c r="L205" t="n">
        <v>0</v>
      </c>
      <c r="M205" t="n">
        <v>0</v>
      </c>
      <c r="N205" t="n">
        <v>0</v>
      </c>
      <c r="O205" t="n">
        <v>0</v>
      </c>
      <c r="P205" t="n">
        <v>0</v>
      </c>
      <c r="Q205" t="n">
        <v>0</v>
      </c>
      <c r="R205" s="2" t="inlineStr"/>
    </row>
    <row r="206" ht="15" customHeight="1">
      <c r="A206" t="inlineStr">
        <is>
          <t>A 18431-2023</t>
        </is>
      </c>
      <c r="B206" s="1" t="n">
        <v>45042</v>
      </c>
      <c r="C206" s="1" t="n">
        <v>46128</v>
      </c>
      <c r="D206" t="inlineStr">
        <is>
          <t>VÄSTMANLANDS LÄN</t>
        </is>
      </c>
      <c r="E206" t="inlineStr">
        <is>
          <t>SALA</t>
        </is>
      </c>
      <c r="G206" t="n">
        <v>1.9</v>
      </c>
      <c r="H206" t="n">
        <v>0</v>
      </c>
      <c r="I206" t="n">
        <v>0</v>
      </c>
      <c r="J206" t="n">
        <v>0</v>
      </c>
      <c r="K206" t="n">
        <v>0</v>
      </c>
      <c r="L206" t="n">
        <v>0</v>
      </c>
      <c r="M206" t="n">
        <v>0</v>
      </c>
      <c r="N206" t="n">
        <v>0</v>
      </c>
      <c r="O206" t="n">
        <v>0</v>
      </c>
      <c r="P206" t="n">
        <v>0</v>
      </c>
      <c r="Q206" t="n">
        <v>0</v>
      </c>
      <c r="R206" s="2" t="inlineStr"/>
    </row>
    <row r="207" ht="15" customHeight="1">
      <c r="A207" t="inlineStr">
        <is>
          <t>A 64932-2021</t>
        </is>
      </c>
      <c r="B207" s="1" t="n">
        <v>44512</v>
      </c>
      <c r="C207" s="1" t="n">
        <v>46128</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56688-2024</t>
        </is>
      </c>
      <c r="B208" s="1" t="n">
        <v>45627.66478009259</v>
      </c>
      <c r="C208" s="1" t="n">
        <v>46128</v>
      </c>
      <c r="D208" t="inlineStr">
        <is>
          <t>VÄSTMANLANDS LÄN</t>
        </is>
      </c>
      <c r="E208" t="inlineStr">
        <is>
          <t>SALA</t>
        </is>
      </c>
      <c r="G208" t="n">
        <v>0.9</v>
      </c>
      <c r="H208" t="n">
        <v>0</v>
      </c>
      <c r="I208" t="n">
        <v>0</v>
      </c>
      <c r="J208" t="n">
        <v>0</v>
      </c>
      <c r="K208" t="n">
        <v>0</v>
      </c>
      <c r="L208" t="n">
        <v>0</v>
      </c>
      <c r="M208" t="n">
        <v>0</v>
      </c>
      <c r="N208" t="n">
        <v>0</v>
      </c>
      <c r="O208" t="n">
        <v>0</v>
      </c>
      <c r="P208" t="n">
        <v>0</v>
      </c>
      <c r="Q208" t="n">
        <v>0</v>
      </c>
      <c r="R208" s="2" t="inlineStr"/>
    </row>
    <row r="209" ht="15" customHeight="1">
      <c r="A209" t="inlineStr">
        <is>
          <t>A 73673-2021</t>
        </is>
      </c>
      <c r="B209" s="1" t="n">
        <v>44552.46501157407</v>
      </c>
      <c r="C209" s="1" t="n">
        <v>46128</v>
      </c>
      <c r="D209" t="inlineStr">
        <is>
          <t>VÄSTMANLANDS LÄN</t>
        </is>
      </c>
      <c r="E209" t="inlineStr">
        <is>
          <t>SALA</t>
        </is>
      </c>
      <c r="G209" t="n">
        <v>11.4</v>
      </c>
      <c r="H209" t="n">
        <v>0</v>
      </c>
      <c r="I209" t="n">
        <v>0</v>
      </c>
      <c r="J209" t="n">
        <v>0</v>
      </c>
      <c r="K209" t="n">
        <v>0</v>
      </c>
      <c r="L209" t="n">
        <v>0</v>
      </c>
      <c r="M209" t="n">
        <v>0</v>
      </c>
      <c r="N209" t="n">
        <v>0</v>
      </c>
      <c r="O209" t="n">
        <v>0</v>
      </c>
      <c r="P209" t="n">
        <v>0</v>
      </c>
      <c r="Q209" t="n">
        <v>0</v>
      </c>
      <c r="R209" s="2" t="inlineStr"/>
    </row>
    <row r="210" ht="15" customHeight="1">
      <c r="A210" t="inlineStr">
        <is>
          <t>A 31609-2024</t>
        </is>
      </c>
      <c r="B210" s="1" t="n">
        <v>45506</v>
      </c>
      <c r="C210" s="1" t="n">
        <v>46128</v>
      </c>
      <c r="D210" t="inlineStr">
        <is>
          <t>VÄSTMANLANDS LÄN</t>
        </is>
      </c>
      <c r="E210" t="inlineStr">
        <is>
          <t>SALA</t>
        </is>
      </c>
      <c r="G210" t="n">
        <v>0.8</v>
      </c>
      <c r="H210" t="n">
        <v>0</v>
      </c>
      <c r="I210" t="n">
        <v>0</v>
      </c>
      <c r="J210" t="n">
        <v>0</v>
      </c>
      <c r="K210" t="n">
        <v>0</v>
      </c>
      <c r="L210" t="n">
        <v>0</v>
      </c>
      <c r="M210" t="n">
        <v>0</v>
      </c>
      <c r="N210" t="n">
        <v>0</v>
      </c>
      <c r="O210" t="n">
        <v>0</v>
      </c>
      <c r="P210" t="n">
        <v>0</v>
      </c>
      <c r="Q210" t="n">
        <v>0</v>
      </c>
      <c r="R210" s="2" t="inlineStr"/>
    </row>
    <row r="211" ht="15" customHeight="1">
      <c r="A211" t="inlineStr">
        <is>
          <t>A 38574-2025</t>
        </is>
      </c>
      <c r="B211" s="1" t="n">
        <v>45884.46390046296</v>
      </c>
      <c r="C211" s="1" t="n">
        <v>46128</v>
      </c>
      <c r="D211" t="inlineStr">
        <is>
          <t>VÄSTMANLANDS LÄN</t>
        </is>
      </c>
      <c r="E211" t="inlineStr">
        <is>
          <t>SALA</t>
        </is>
      </c>
      <c r="G211" t="n">
        <v>2.1</v>
      </c>
      <c r="H211" t="n">
        <v>0</v>
      </c>
      <c r="I211" t="n">
        <v>0</v>
      </c>
      <c r="J211" t="n">
        <v>0</v>
      </c>
      <c r="K211" t="n">
        <v>0</v>
      </c>
      <c r="L211" t="n">
        <v>0</v>
      </c>
      <c r="M211" t="n">
        <v>0</v>
      </c>
      <c r="N211" t="n">
        <v>0</v>
      </c>
      <c r="O211" t="n">
        <v>0</v>
      </c>
      <c r="P211" t="n">
        <v>0</v>
      </c>
      <c r="Q211" t="n">
        <v>0</v>
      </c>
      <c r="R211" s="2" t="inlineStr"/>
    </row>
    <row r="212" ht="15" customHeight="1">
      <c r="A212" t="inlineStr">
        <is>
          <t>A 38294-2025</t>
        </is>
      </c>
      <c r="B212" s="1" t="n">
        <v>45883.44854166666</v>
      </c>
      <c r="C212" s="1" t="n">
        <v>46128</v>
      </c>
      <c r="D212" t="inlineStr">
        <is>
          <t>VÄSTMANLANDS LÄN</t>
        </is>
      </c>
      <c r="E212" t="inlineStr">
        <is>
          <t>SALA</t>
        </is>
      </c>
      <c r="G212" t="n">
        <v>1.5</v>
      </c>
      <c r="H212" t="n">
        <v>0</v>
      </c>
      <c r="I212" t="n">
        <v>0</v>
      </c>
      <c r="J212" t="n">
        <v>0</v>
      </c>
      <c r="K212" t="n">
        <v>0</v>
      </c>
      <c r="L212" t="n">
        <v>0</v>
      </c>
      <c r="M212" t="n">
        <v>0</v>
      </c>
      <c r="N212" t="n">
        <v>0</v>
      </c>
      <c r="O212" t="n">
        <v>0</v>
      </c>
      <c r="P212" t="n">
        <v>0</v>
      </c>
      <c r="Q212" t="n">
        <v>0</v>
      </c>
      <c r="R212" s="2" t="inlineStr"/>
    </row>
    <row r="213" ht="15" customHeight="1">
      <c r="A213" t="inlineStr">
        <is>
          <t>A 27261-2024</t>
        </is>
      </c>
      <c r="B213" s="1" t="n">
        <v>45471</v>
      </c>
      <c r="C213" s="1" t="n">
        <v>46128</v>
      </c>
      <c r="D213" t="inlineStr">
        <is>
          <t>VÄSTMANLANDS LÄN</t>
        </is>
      </c>
      <c r="E213" t="inlineStr">
        <is>
          <t>SALA</t>
        </is>
      </c>
      <c r="G213" t="n">
        <v>6.1</v>
      </c>
      <c r="H213" t="n">
        <v>0</v>
      </c>
      <c r="I213" t="n">
        <v>0</v>
      </c>
      <c r="J213" t="n">
        <v>0</v>
      </c>
      <c r="K213" t="n">
        <v>0</v>
      </c>
      <c r="L213" t="n">
        <v>0</v>
      </c>
      <c r="M213" t="n">
        <v>0</v>
      </c>
      <c r="N213" t="n">
        <v>0</v>
      </c>
      <c r="O213" t="n">
        <v>0</v>
      </c>
      <c r="P213" t="n">
        <v>0</v>
      </c>
      <c r="Q213" t="n">
        <v>0</v>
      </c>
      <c r="R213" s="2" t="inlineStr"/>
    </row>
    <row r="214" ht="15" customHeight="1">
      <c r="A214" t="inlineStr">
        <is>
          <t>A 57650-2024</t>
        </is>
      </c>
      <c r="B214" s="1" t="n">
        <v>45630</v>
      </c>
      <c r="C214" s="1" t="n">
        <v>46128</v>
      </c>
      <c r="D214" t="inlineStr">
        <is>
          <t>VÄSTMANLANDS LÄN</t>
        </is>
      </c>
      <c r="E214" t="inlineStr">
        <is>
          <t>SALA</t>
        </is>
      </c>
      <c r="G214" t="n">
        <v>0.6</v>
      </c>
      <c r="H214" t="n">
        <v>0</v>
      </c>
      <c r="I214" t="n">
        <v>0</v>
      </c>
      <c r="J214" t="n">
        <v>0</v>
      </c>
      <c r="K214" t="n">
        <v>0</v>
      </c>
      <c r="L214" t="n">
        <v>0</v>
      </c>
      <c r="M214" t="n">
        <v>0</v>
      </c>
      <c r="N214" t="n">
        <v>0</v>
      </c>
      <c r="O214" t="n">
        <v>0</v>
      </c>
      <c r="P214" t="n">
        <v>0</v>
      </c>
      <c r="Q214" t="n">
        <v>0</v>
      </c>
      <c r="R214" s="2" t="inlineStr"/>
    </row>
    <row r="215" ht="15" customHeight="1">
      <c r="A215" t="inlineStr">
        <is>
          <t>A 18713-2025</t>
        </is>
      </c>
      <c r="B215" s="1" t="n">
        <v>45763</v>
      </c>
      <c r="C215" s="1" t="n">
        <v>46128</v>
      </c>
      <c r="D215" t="inlineStr">
        <is>
          <t>VÄSTMANLANDS LÄN</t>
        </is>
      </c>
      <c r="E215" t="inlineStr">
        <is>
          <t>SALA</t>
        </is>
      </c>
      <c r="F215" t="inlineStr">
        <is>
          <t>Bergvik skog öst AB</t>
        </is>
      </c>
      <c r="G215" t="n">
        <v>11.6</v>
      </c>
      <c r="H215" t="n">
        <v>0</v>
      </c>
      <c r="I215" t="n">
        <v>0</v>
      </c>
      <c r="J215" t="n">
        <v>0</v>
      </c>
      <c r="K215" t="n">
        <v>0</v>
      </c>
      <c r="L215" t="n">
        <v>0</v>
      </c>
      <c r="M215" t="n">
        <v>0</v>
      </c>
      <c r="N215" t="n">
        <v>0</v>
      </c>
      <c r="O215" t="n">
        <v>0</v>
      </c>
      <c r="P215" t="n">
        <v>0</v>
      </c>
      <c r="Q215" t="n">
        <v>0</v>
      </c>
      <c r="R215" s="2" t="inlineStr"/>
    </row>
    <row r="216" ht="15" customHeight="1">
      <c r="A216" t="inlineStr">
        <is>
          <t>A 54959-2024</t>
        </is>
      </c>
      <c r="B216" s="1" t="n">
        <v>45619</v>
      </c>
      <c r="C216" s="1" t="n">
        <v>46128</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10255-2024</t>
        </is>
      </c>
      <c r="B217" s="1" t="n">
        <v>45365</v>
      </c>
      <c r="C217" s="1" t="n">
        <v>46128</v>
      </c>
      <c r="D217" t="inlineStr">
        <is>
          <t>VÄSTMANLANDS LÄN</t>
        </is>
      </c>
      <c r="E217" t="inlineStr">
        <is>
          <t>SALA</t>
        </is>
      </c>
      <c r="F217" t="inlineStr">
        <is>
          <t>Kommuner</t>
        </is>
      </c>
      <c r="G217" t="n">
        <v>0.8</v>
      </c>
      <c r="H217" t="n">
        <v>0</v>
      </c>
      <c r="I217" t="n">
        <v>0</v>
      </c>
      <c r="J217" t="n">
        <v>0</v>
      </c>
      <c r="K217" t="n">
        <v>0</v>
      </c>
      <c r="L217" t="n">
        <v>0</v>
      </c>
      <c r="M217" t="n">
        <v>0</v>
      </c>
      <c r="N217" t="n">
        <v>0</v>
      </c>
      <c r="O217" t="n">
        <v>0</v>
      </c>
      <c r="P217" t="n">
        <v>0</v>
      </c>
      <c r="Q217" t="n">
        <v>0</v>
      </c>
      <c r="R217" s="2" t="inlineStr"/>
    </row>
    <row r="218" ht="15" customHeight="1">
      <c r="A218" t="inlineStr">
        <is>
          <t>A 27486-2022</t>
        </is>
      </c>
      <c r="B218" s="1" t="n">
        <v>44742.60846064815</v>
      </c>
      <c r="C218" s="1" t="n">
        <v>46128</v>
      </c>
      <c r="D218" t="inlineStr">
        <is>
          <t>VÄSTMANLANDS LÄN</t>
        </is>
      </c>
      <c r="E218" t="inlineStr">
        <is>
          <t>SALA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35410-2022</t>
        </is>
      </c>
      <c r="B219" s="1" t="n">
        <v>44798.62576388889</v>
      </c>
      <c r="C219" s="1" t="n">
        <v>46128</v>
      </c>
      <c r="D219" t="inlineStr">
        <is>
          <t>VÄSTMANLANDS LÄN</t>
        </is>
      </c>
      <c r="E219" t="inlineStr">
        <is>
          <t>SALA</t>
        </is>
      </c>
      <c r="G219" t="n">
        <v>1.6</v>
      </c>
      <c r="H219" t="n">
        <v>0</v>
      </c>
      <c r="I219" t="n">
        <v>0</v>
      </c>
      <c r="J219" t="n">
        <v>0</v>
      </c>
      <c r="K219" t="n">
        <v>0</v>
      </c>
      <c r="L219" t="n">
        <v>0</v>
      </c>
      <c r="M219" t="n">
        <v>0</v>
      </c>
      <c r="N219" t="n">
        <v>0</v>
      </c>
      <c r="O219" t="n">
        <v>0</v>
      </c>
      <c r="P219" t="n">
        <v>0</v>
      </c>
      <c r="Q219" t="n">
        <v>0</v>
      </c>
      <c r="R219" s="2" t="inlineStr"/>
    </row>
    <row r="220" ht="15" customHeight="1">
      <c r="A220" t="inlineStr">
        <is>
          <t>A 6134-2024</t>
        </is>
      </c>
      <c r="B220" s="1" t="n">
        <v>45337</v>
      </c>
      <c r="C220" s="1" t="n">
        <v>46128</v>
      </c>
      <c r="D220" t="inlineStr">
        <is>
          <t>VÄSTMANLANDS LÄN</t>
        </is>
      </c>
      <c r="E220" t="inlineStr">
        <is>
          <t>SALA</t>
        </is>
      </c>
      <c r="G220" t="n">
        <v>1.8</v>
      </c>
      <c r="H220" t="n">
        <v>0</v>
      </c>
      <c r="I220" t="n">
        <v>0</v>
      </c>
      <c r="J220" t="n">
        <v>0</v>
      </c>
      <c r="K220" t="n">
        <v>0</v>
      </c>
      <c r="L220" t="n">
        <v>0</v>
      </c>
      <c r="M220" t="n">
        <v>0</v>
      </c>
      <c r="N220" t="n">
        <v>0</v>
      </c>
      <c r="O220" t="n">
        <v>0</v>
      </c>
      <c r="P220" t="n">
        <v>0</v>
      </c>
      <c r="Q220" t="n">
        <v>0</v>
      </c>
      <c r="R220" s="2" t="inlineStr"/>
    </row>
    <row r="221" ht="15" customHeight="1">
      <c r="A221" t="inlineStr">
        <is>
          <t>A 28696-2023</t>
        </is>
      </c>
      <c r="B221" s="1" t="n">
        <v>45103.71759259259</v>
      </c>
      <c r="C221" s="1" t="n">
        <v>46128</v>
      </c>
      <c r="D221" t="inlineStr">
        <is>
          <t>VÄSTMANLANDS LÄN</t>
        </is>
      </c>
      <c r="E221" t="inlineStr">
        <is>
          <t>SALA</t>
        </is>
      </c>
      <c r="F221" t="inlineStr">
        <is>
          <t>Kommuner</t>
        </is>
      </c>
      <c r="G221" t="n">
        <v>5.9</v>
      </c>
      <c r="H221" t="n">
        <v>0</v>
      </c>
      <c r="I221" t="n">
        <v>0</v>
      </c>
      <c r="J221" t="n">
        <v>0</v>
      </c>
      <c r="K221" t="n">
        <v>0</v>
      </c>
      <c r="L221" t="n">
        <v>0</v>
      </c>
      <c r="M221" t="n">
        <v>0</v>
      </c>
      <c r="N221" t="n">
        <v>0</v>
      </c>
      <c r="O221" t="n">
        <v>0</v>
      </c>
      <c r="P221" t="n">
        <v>0</v>
      </c>
      <c r="Q221" t="n">
        <v>0</v>
      </c>
      <c r="R221" s="2" t="inlineStr"/>
    </row>
    <row r="222" ht="15" customHeight="1">
      <c r="A222" t="inlineStr">
        <is>
          <t>A 31072-2021</t>
        </is>
      </c>
      <c r="B222" s="1" t="n">
        <v>44368</v>
      </c>
      <c r="C222" s="1" t="n">
        <v>46128</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16543-2023</t>
        </is>
      </c>
      <c r="B223" s="1" t="n">
        <v>45029</v>
      </c>
      <c r="C223" s="1" t="n">
        <v>46128</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21159-2022</t>
        </is>
      </c>
      <c r="B224" s="1" t="n">
        <v>44704</v>
      </c>
      <c r="C224" s="1" t="n">
        <v>46128</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22523-2023</t>
        </is>
      </c>
      <c r="B225" s="1" t="n">
        <v>45069</v>
      </c>
      <c r="C225" s="1" t="n">
        <v>46128</v>
      </c>
      <c r="D225" t="inlineStr">
        <is>
          <t>VÄSTMANLANDS LÄN</t>
        </is>
      </c>
      <c r="E225" t="inlineStr">
        <is>
          <t>SALA</t>
        </is>
      </c>
      <c r="G225" t="n">
        <v>2.4</v>
      </c>
      <c r="H225" t="n">
        <v>0</v>
      </c>
      <c r="I225" t="n">
        <v>0</v>
      </c>
      <c r="J225" t="n">
        <v>0</v>
      </c>
      <c r="K225" t="n">
        <v>0</v>
      </c>
      <c r="L225" t="n">
        <v>0</v>
      </c>
      <c r="M225" t="n">
        <v>0</v>
      </c>
      <c r="N225" t="n">
        <v>0</v>
      </c>
      <c r="O225" t="n">
        <v>0</v>
      </c>
      <c r="P225" t="n">
        <v>0</v>
      </c>
      <c r="Q225" t="n">
        <v>0</v>
      </c>
      <c r="R225" s="2" t="inlineStr"/>
    </row>
    <row r="226" ht="15" customHeight="1">
      <c r="A226" t="inlineStr">
        <is>
          <t>A 39182-2025</t>
        </is>
      </c>
      <c r="B226" s="1" t="n">
        <v>45888.66204861111</v>
      </c>
      <c r="C226" s="1" t="n">
        <v>46128</v>
      </c>
      <c r="D226" t="inlineStr">
        <is>
          <t>VÄSTMANLANDS LÄN</t>
        </is>
      </c>
      <c r="E226" t="inlineStr">
        <is>
          <t>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4663-2022</t>
        </is>
      </c>
      <c r="B227" s="1" t="n">
        <v>44592.45429398148</v>
      </c>
      <c r="C227" s="1" t="n">
        <v>46128</v>
      </c>
      <c r="D227" t="inlineStr">
        <is>
          <t>VÄSTMANLANDS LÄN</t>
        </is>
      </c>
      <c r="E227" t="inlineStr">
        <is>
          <t>SALA</t>
        </is>
      </c>
      <c r="G227" t="n">
        <v>2.5</v>
      </c>
      <c r="H227" t="n">
        <v>0</v>
      </c>
      <c r="I227" t="n">
        <v>0</v>
      </c>
      <c r="J227" t="n">
        <v>0</v>
      </c>
      <c r="K227" t="n">
        <v>0</v>
      </c>
      <c r="L227" t="n">
        <v>0</v>
      </c>
      <c r="M227" t="n">
        <v>0</v>
      </c>
      <c r="N227" t="n">
        <v>0</v>
      </c>
      <c r="O227" t="n">
        <v>0</v>
      </c>
      <c r="P227" t="n">
        <v>0</v>
      </c>
      <c r="Q227" t="n">
        <v>0</v>
      </c>
      <c r="R227" s="2" t="inlineStr"/>
    </row>
    <row r="228" ht="15" customHeight="1">
      <c r="A228" t="inlineStr">
        <is>
          <t>A 41292-2021</t>
        </is>
      </c>
      <c r="B228" s="1" t="n">
        <v>44424</v>
      </c>
      <c r="C228" s="1" t="n">
        <v>46128</v>
      </c>
      <c r="D228" t="inlineStr">
        <is>
          <t>VÄSTMANLANDS LÄN</t>
        </is>
      </c>
      <c r="E228" t="inlineStr">
        <is>
          <t>SALA</t>
        </is>
      </c>
      <c r="G228" t="n">
        <v>0.3</v>
      </c>
      <c r="H228" t="n">
        <v>0</v>
      </c>
      <c r="I228" t="n">
        <v>0</v>
      </c>
      <c r="J228" t="n">
        <v>0</v>
      </c>
      <c r="K228" t="n">
        <v>0</v>
      </c>
      <c r="L228" t="n">
        <v>0</v>
      </c>
      <c r="M228" t="n">
        <v>0</v>
      </c>
      <c r="N228" t="n">
        <v>0</v>
      </c>
      <c r="O228" t="n">
        <v>0</v>
      </c>
      <c r="P228" t="n">
        <v>0</v>
      </c>
      <c r="Q228" t="n">
        <v>0</v>
      </c>
      <c r="R228" s="2" t="inlineStr"/>
    </row>
    <row r="229" ht="15" customHeight="1">
      <c r="A229" t="inlineStr">
        <is>
          <t>A 60328-2024</t>
        </is>
      </c>
      <c r="B229" s="1" t="n">
        <v>45643.38416666666</v>
      </c>
      <c r="C229" s="1" t="n">
        <v>46128</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6132-2025</t>
        </is>
      </c>
      <c r="B230" s="1" t="n">
        <v>45698</v>
      </c>
      <c r="C230" s="1" t="n">
        <v>46128</v>
      </c>
      <c r="D230" t="inlineStr">
        <is>
          <t>VÄSTMANLANDS LÄN</t>
        </is>
      </c>
      <c r="E230" t="inlineStr">
        <is>
          <t>SALA</t>
        </is>
      </c>
      <c r="F230" t="inlineStr">
        <is>
          <t>Bergvik skog öst AB</t>
        </is>
      </c>
      <c r="G230" t="n">
        <v>1.5</v>
      </c>
      <c r="H230" t="n">
        <v>0</v>
      </c>
      <c r="I230" t="n">
        <v>0</v>
      </c>
      <c r="J230" t="n">
        <v>0</v>
      </c>
      <c r="K230" t="n">
        <v>0</v>
      </c>
      <c r="L230" t="n">
        <v>0</v>
      </c>
      <c r="M230" t="n">
        <v>0</v>
      </c>
      <c r="N230" t="n">
        <v>0</v>
      </c>
      <c r="O230" t="n">
        <v>0</v>
      </c>
      <c r="P230" t="n">
        <v>0</v>
      </c>
      <c r="Q230" t="n">
        <v>0</v>
      </c>
      <c r="R230" s="2" t="inlineStr"/>
    </row>
    <row r="231" ht="15" customHeight="1">
      <c r="A231" t="inlineStr">
        <is>
          <t>A 31859-2023</t>
        </is>
      </c>
      <c r="B231" s="1" t="n">
        <v>45118</v>
      </c>
      <c r="C231" s="1" t="n">
        <v>46128</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c r="U231">
        <f>HYPERLINK("https://klasma.github.io/Logging_1981/knärot/A 31859-2023 karta knärot.png", "A 31859-2023")</f>
        <v/>
      </c>
      <c r="V231">
        <f>HYPERLINK("https://klasma.github.io/Logging_1981/klagomål/A 31859-2023 FSC-klagomål.docx", "A 31859-2023")</f>
        <v/>
      </c>
      <c r="W231">
        <f>HYPERLINK("https://klasma.github.io/Logging_1981/klagomålsmail/A 31859-2023 FSC-klagomål mail.docx", "A 31859-2023")</f>
        <v/>
      </c>
      <c r="X231">
        <f>HYPERLINK("https://klasma.github.io/Logging_1981/tillsyn/A 31859-2023 tillsynsbegäran.docx", "A 31859-2023")</f>
        <v/>
      </c>
      <c r="Y231">
        <f>HYPERLINK("https://klasma.github.io/Logging_1981/tillsynsmail/A 31859-2023 tillsynsbegäran mail.docx", "A 31859-2023")</f>
        <v/>
      </c>
    </row>
    <row r="232" ht="15" customHeight="1">
      <c r="A232" t="inlineStr">
        <is>
          <t>A 39597-2022</t>
        </is>
      </c>
      <c r="B232" s="1" t="n">
        <v>44818</v>
      </c>
      <c r="C232" s="1" t="n">
        <v>46128</v>
      </c>
      <c r="D232" t="inlineStr">
        <is>
          <t>VÄSTMANLANDS LÄN</t>
        </is>
      </c>
      <c r="E232" t="inlineStr">
        <is>
          <t>SALA</t>
        </is>
      </c>
      <c r="G232" t="n">
        <v>2.3</v>
      </c>
      <c r="H232" t="n">
        <v>0</v>
      </c>
      <c r="I232" t="n">
        <v>0</v>
      </c>
      <c r="J232" t="n">
        <v>0</v>
      </c>
      <c r="K232" t="n">
        <v>0</v>
      </c>
      <c r="L232" t="n">
        <v>0</v>
      </c>
      <c r="M232" t="n">
        <v>0</v>
      </c>
      <c r="N232" t="n">
        <v>0</v>
      </c>
      <c r="O232" t="n">
        <v>0</v>
      </c>
      <c r="P232" t="n">
        <v>0</v>
      </c>
      <c r="Q232" t="n">
        <v>0</v>
      </c>
      <c r="R232" s="2" t="inlineStr"/>
    </row>
    <row r="233" ht="15" customHeight="1">
      <c r="A233" t="inlineStr">
        <is>
          <t>A 33273-2023</t>
        </is>
      </c>
      <c r="B233" s="1" t="n">
        <v>45127</v>
      </c>
      <c r="C233" s="1" t="n">
        <v>46128</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46279-2021</t>
        </is>
      </c>
      <c r="B234" s="1" t="n">
        <v>44442.57797453704</v>
      </c>
      <c r="C234" s="1" t="n">
        <v>46128</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61681-2024</t>
        </is>
      </c>
      <c r="B235" s="1" t="n">
        <v>45647</v>
      </c>
      <c r="C235" s="1" t="n">
        <v>46128</v>
      </c>
      <c r="D235" t="inlineStr">
        <is>
          <t>VÄSTMANLANDS LÄN</t>
        </is>
      </c>
      <c r="E235" t="inlineStr">
        <is>
          <t>SALA</t>
        </is>
      </c>
      <c r="F235" t="inlineStr">
        <is>
          <t>Kommuner</t>
        </is>
      </c>
      <c r="G235" t="n">
        <v>1</v>
      </c>
      <c r="H235" t="n">
        <v>0</v>
      </c>
      <c r="I235" t="n">
        <v>0</v>
      </c>
      <c r="J235" t="n">
        <v>0</v>
      </c>
      <c r="K235" t="n">
        <v>0</v>
      </c>
      <c r="L235" t="n">
        <v>0</v>
      </c>
      <c r="M235" t="n">
        <v>0</v>
      </c>
      <c r="N235" t="n">
        <v>0</v>
      </c>
      <c r="O235" t="n">
        <v>0</v>
      </c>
      <c r="P235" t="n">
        <v>0</v>
      </c>
      <c r="Q235" t="n">
        <v>0</v>
      </c>
      <c r="R235" s="2" t="inlineStr"/>
    </row>
    <row r="236" ht="15" customHeight="1">
      <c r="A236" t="inlineStr">
        <is>
          <t>A 54960-2024</t>
        </is>
      </c>
      <c r="B236" s="1" t="n">
        <v>45619.85208333333</v>
      </c>
      <c r="C236" s="1" t="n">
        <v>46128</v>
      </c>
      <c r="D236" t="inlineStr">
        <is>
          <t>VÄSTMANLANDS LÄN</t>
        </is>
      </c>
      <c r="E236" t="inlineStr">
        <is>
          <t>SALA</t>
        </is>
      </c>
      <c r="G236" t="n">
        <v>2.6</v>
      </c>
      <c r="H236" t="n">
        <v>0</v>
      </c>
      <c r="I236" t="n">
        <v>0</v>
      </c>
      <c r="J236" t="n">
        <v>0</v>
      </c>
      <c r="K236" t="n">
        <v>0</v>
      </c>
      <c r="L236" t="n">
        <v>0</v>
      </c>
      <c r="M236" t="n">
        <v>0</v>
      </c>
      <c r="N236" t="n">
        <v>0</v>
      </c>
      <c r="O236" t="n">
        <v>0</v>
      </c>
      <c r="P236" t="n">
        <v>0</v>
      </c>
      <c r="Q236" t="n">
        <v>0</v>
      </c>
      <c r="R236" s="2" t="inlineStr"/>
    </row>
    <row r="237" ht="15" customHeight="1">
      <c r="A237" t="inlineStr">
        <is>
          <t>A 31082-2021</t>
        </is>
      </c>
      <c r="B237" s="1" t="n">
        <v>44368</v>
      </c>
      <c r="C237" s="1" t="n">
        <v>46128</v>
      </c>
      <c r="D237" t="inlineStr">
        <is>
          <t>VÄSTMANLANDS LÄN</t>
        </is>
      </c>
      <c r="E237" t="inlineStr">
        <is>
          <t>SALA</t>
        </is>
      </c>
      <c r="G237" t="n">
        <v>2</v>
      </c>
      <c r="H237" t="n">
        <v>0</v>
      </c>
      <c r="I237" t="n">
        <v>0</v>
      </c>
      <c r="J237" t="n">
        <v>0</v>
      </c>
      <c r="K237" t="n">
        <v>0</v>
      </c>
      <c r="L237" t="n">
        <v>0</v>
      </c>
      <c r="M237" t="n">
        <v>0</v>
      </c>
      <c r="N237" t="n">
        <v>0</v>
      </c>
      <c r="O237" t="n">
        <v>0</v>
      </c>
      <c r="P237" t="n">
        <v>0</v>
      </c>
      <c r="Q237" t="n">
        <v>0</v>
      </c>
      <c r="R237" s="2" t="inlineStr"/>
    </row>
    <row r="238" ht="15" customHeight="1">
      <c r="A238" t="inlineStr">
        <is>
          <t>A 31864-2025</t>
        </is>
      </c>
      <c r="B238" s="1" t="n">
        <v>45834.63819444444</v>
      </c>
      <c r="C238" s="1" t="n">
        <v>46128</v>
      </c>
      <c r="D238" t="inlineStr">
        <is>
          <t>VÄSTMANLANDS LÄN</t>
        </is>
      </c>
      <c r="E238" t="inlineStr">
        <is>
          <t>SALA</t>
        </is>
      </c>
      <c r="G238" t="n">
        <v>6.3</v>
      </c>
      <c r="H238" t="n">
        <v>0</v>
      </c>
      <c r="I238" t="n">
        <v>0</v>
      </c>
      <c r="J238" t="n">
        <v>0</v>
      </c>
      <c r="K238" t="n">
        <v>0</v>
      </c>
      <c r="L238" t="n">
        <v>0</v>
      </c>
      <c r="M238" t="n">
        <v>0</v>
      </c>
      <c r="N238" t="n">
        <v>0</v>
      </c>
      <c r="O238" t="n">
        <v>0</v>
      </c>
      <c r="P238" t="n">
        <v>0</v>
      </c>
      <c r="Q238" t="n">
        <v>0</v>
      </c>
      <c r="R238" s="2" t="inlineStr"/>
    </row>
    <row r="239" ht="15" customHeight="1">
      <c r="A239" t="inlineStr">
        <is>
          <t>A 20352-2022</t>
        </is>
      </c>
      <c r="B239" s="1" t="n">
        <v>44699.37318287037</v>
      </c>
      <c r="C239" s="1" t="n">
        <v>46128</v>
      </c>
      <c r="D239" t="inlineStr">
        <is>
          <t>VÄSTMANLANDS LÄN</t>
        </is>
      </c>
      <c r="E239" t="inlineStr">
        <is>
          <t>SALA</t>
        </is>
      </c>
      <c r="G239" t="n">
        <v>1.3</v>
      </c>
      <c r="H239" t="n">
        <v>0</v>
      </c>
      <c r="I239" t="n">
        <v>0</v>
      </c>
      <c r="J239" t="n">
        <v>0</v>
      </c>
      <c r="K239" t="n">
        <v>0</v>
      </c>
      <c r="L239" t="n">
        <v>0</v>
      </c>
      <c r="M239" t="n">
        <v>0</v>
      </c>
      <c r="N239" t="n">
        <v>0</v>
      </c>
      <c r="O239" t="n">
        <v>0</v>
      </c>
      <c r="P239" t="n">
        <v>0</v>
      </c>
      <c r="Q239" t="n">
        <v>0</v>
      </c>
      <c r="R239" s="2" t="inlineStr"/>
    </row>
    <row r="240" ht="15" customHeight="1">
      <c r="A240" t="inlineStr">
        <is>
          <t>A 52827-2024</t>
        </is>
      </c>
      <c r="B240" s="1" t="n">
        <v>45610</v>
      </c>
      <c r="C240" s="1" t="n">
        <v>46128</v>
      </c>
      <c r="D240" t="inlineStr">
        <is>
          <t>VÄSTMANLANDS LÄN</t>
        </is>
      </c>
      <c r="E240" t="inlineStr">
        <is>
          <t>SALA</t>
        </is>
      </c>
      <c r="G240" t="n">
        <v>0.2</v>
      </c>
      <c r="H240" t="n">
        <v>0</v>
      </c>
      <c r="I240" t="n">
        <v>0</v>
      </c>
      <c r="J240" t="n">
        <v>0</v>
      </c>
      <c r="K240" t="n">
        <v>0</v>
      </c>
      <c r="L240" t="n">
        <v>0</v>
      </c>
      <c r="M240" t="n">
        <v>0</v>
      </c>
      <c r="N240" t="n">
        <v>0</v>
      </c>
      <c r="O240" t="n">
        <v>0</v>
      </c>
      <c r="P240" t="n">
        <v>0</v>
      </c>
      <c r="Q240" t="n">
        <v>0</v>
      </c>
      <c r="R240" s="2" t="inlineStr"/>
    </row>
    <row r="241" ht="15" customHeight="1">
      <c r="A241" t="inlineStr">
        <is>
          <t>A 39167-2025</t>
        </is>
      </c>
      <c r="B241" s="1" t="n">
        <v>45888</v>
      </c>
      <c r="C241" s="1" t="n">
        <v>46128</v>
      </c>
      <c r="D241" t="inlineStr">
        <is>
          <t>VÄSTMANLANDS LÄN</t>
        </is>
      </c>
      <c r="E241" t="inlineStr">
        <is>
          <t>SALA</t>
        </is>
      </c>
      <c r="G241" t="n">
        <v>5.5</v>
      </c>
      <c r="H241" t="n">
        <v>0</v>
      </c>
      <c r="I241" t="n">
        <v>0</v>
      </c>
      <c r="J241" t="n">
        <v>0</v>
      </c>
      <c r="K241" t="n">
        <v>0</v>
      </c>
      <c r="L241" t="n">
        <v>0</v>
      </c>
      <c r="M241" t="n">
        <v>0</v>
      </c>
      <c r="N241" t="n">
        <v>0</v>
      </c>
      <c r="O241" t="n">
        <v>0</v>
      </c>
      <c r="P241" t="n">
        <v>0</v>
      </c>
      <c r="Q241" t="n">
        <v>0</v>
      </c>
      <c r="R241" s="2" t="inlineStr"/>
    </row>
    <row r="242" ht="15" customHeight="1">
      <c r="A242" t="inlineStr">
        <is>
          <t>A 25860-2024</t>
        </is>
      </c>
      <c r="B242" s="1" t="n">
        <v>45467.46278935186</v>
      </c>
      <c r="C242" s="1" t="n">
        <v>46128</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27657-2023</t>
        </is>
      </c>
      <c r="B243" s="1" t="n">
        <v>45097.76631944445</v>
      </c>
      <c r="C243" s="1" t="n">
        <v>46128</v>
      </c>
      <c r="D243" t="inlineStr">
        <is>
          <t>VÄSTMANLANDS LÄN</t>
        </is>
      </c>
      <c r="E243" t="inlineStr">
        <is>
          <t>SALA</t>
        </is>
      </c>
      <c r="G243" t="n">
        <v>0.1</v>
      </c>
      <c r="H243" t="n">
        <v>0</v>
      </c>
      <c r="I243" t="n">
        <v>0</v>
      </c>
      <c r="J243" t="n">
        <v>0</v>
      </c>
      <c r="K243" t="n">
        <v>0</v>
      </c>
      <c r="L243" t="n">
        <v>0</v>
      </c>
      <c r="M243" t="n">
        <v>0</v>
      </c>
      <c r="N243" t="n">
        <v>0</v>
      </c>
      <c r="O243" t="n">
        <v>0</v>
      </c>
      <c r="P243" t="n">
        <v>0</v>
      </c>
      <c r="Q243" t="n">
        <v>0</v>
      </c>
      <c r="R243" s="2" t="inlineStr"/>
    </row>
    <row r="244" ht="15" customHeight="1">
      <c r="A244" t="inlineStr">
        <is>
          <t>A 2766-2024</t>
        </is>
      </c>
      <c r="B244" s="1" t="n">
        <v>45314.60950231482</v>
      </c>
      <c r="C244" s="1" t="n">
        <v>46128</v>
      </c>
      <c r="D244" t="inlineStr">
        <is>
          <t>VÄSTMANLANDS LÄN</t>
        </is>
      </c>
      <c r="E244" t="inlineStr">
        <is>
          <t>SALA</t>
        </is>
      </c>
      <c r="G244" t="n">
        <v>2.8</v>
      </c>
      <c r="H244" t="n">
        <v>0</v>
      </c>
      <c r="I244" t="n">
        <v>0</v>
      </c>
      <c r="J244" t="n">
        <v>0</v>
      </c>
      <c r="K244" t="n">
        <v>0</v>
      </c>
      <c r="L244" t="n">
        <v>0</v>
      </c>
      <c r="M244" t="n">
        <v>0</v>
      </c>
      <c r="N244" t="n">
        <v>0</v>
      </c>
      <c r="O244" t="n">
        <v>0</v>
      </c>
      <c r="P244" t="n">
        <v>0</v>
      </c>
      <c r="Q244" t="n">
        <v>0</v>
      </c>
      <c r="R244" s="2" t="inlineStr"/>
    </row>
    <row r="245" ht="15" customHeight="1">
      <c r="A245" t="inlineStr">
        <is>
          <t>A 60550-2024</t>
        </is>
      </c>
      <c r="B245" s="1" t="n">
        <v>45643</v>
      </c>
      <c r="C245" s="1" t="n">
        <v>46128</v>
      </c>
      <c r="D245" t="inlineStr">
        <is>
          <t>VÄSTMANLANDS LÄN</t>
        </is>
      </c>
      <c r="E245" t="inlineStr">
        <is>
          <t>SALA</t>
        </is>
      </c>
      <c r="G245" t="n">
        <v>0.6</v>
      </c>
      <c r="H245" t="n">
        <v>0</v>
      </c>
      <c r="I245" t="n">
        <v>0</v>
      </c>
      <c r="J245" t="n">
        <v>0</v>
      </c>
      <c r="K245" t="n">
        <v>0</v>
      </c>
      <c r="L245" t="n">
        <v>0</v>
      </c>
      <c r="M245" t="n">
        <v>0</v>
      </c>
      <c r="N245" t="n">
        <v>0</v>
      </c>
      <c r="O245" t="n">
        <v>0</v>
      </c>
      <c r="P245" t="n">
        <v>0</v>
      </c>
      <c r="Q245" t="n">
        <v>0</v>
      </c>
      <c r="R245" s="2" t="inlineStr"/>
    </row>
    <row r="246" ht="15" customHeight="1">
      <c r="A246" t="inlineStr">
        <is>
          <t>A 53166-2024</t>
        </is>
      </c>
      <c r="B246" s="1" t="n">
        <v>45611</v>
      </c>
      <c r="C246" s="1" t="n">
        <v>46128</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14690-2025</t>
        </is>
      </c>
      <c r="B247" s="1" t="n">
        <v>45742.58212962963</v>
      </c>
      <c r="C247" s="1" t="n">
        <v>46128</v>
      </c>
      <c r="D247" t="inlineStr">
        <is>
          <t>VÄSTMANLANDS LÄN</t>
        </is>
      </c>
      <c r="E247" t="inlineStr">
        <is>
          <t>SALA</t>
        </is>
      </c>
      <c r="G247" t="n">
        <v>3.4</v>
      </c>
      <c r="H247" t="n">
        <v>0</v>
      </c>
      <c r="I247" t="n">
        <v>0</v>
      </c>
      <c r="J247" t="n">
        <v>0</v>
      </c>
      <c r="K247" t="n">
        <v>0</v>
      </c>
      <c r="L247" t="n">
        <v>0</v>
      </c>
      <c r="M247" t="n">
        <v>0</v>
      </c>
      <c r="N247" t="n">
        <v>0</v>
      </c>
      <c r="O247" t="n">
        <v>0</v>
      </c>
      <c r="P247" t="n">
        <v>0</v>
      </c>
      <c r="Q247" t="n">
        <v>0</v>
      </c>
      <c r="R247" s="2" t="inlineStr"/>
    </row>
    <row r="248" ht="15" customHeight="1">
      <c r="A248" t="inlineStr">
        <is>
          <t>A 11244-2024</t>
        </is>
      </c>
      <c r="B248" s="1" t="n">
        <v>45371</v>
      </c>
      <c r="C248" s="1" t="n">
        <v>46128</v>
      </c>
      <c r="D248" t="inlineStr">
        <is>
          <t>VÄSTMANLANDS LÄN</t>
        </is>
      </c>
      <c r="E248" t="inlineStr">
        <is>
          <t>SALA</t>
        </is>
      </c>
      <c r="G248" t="n">
        <v>1.2</v>
      </c>
      <c r="H248" t="n">
        <v>0</v>
      </c>
      <c r="I248" t="n">
        <v>0</v>
      </c>
      <c r="J248" t="n">
        <v>0</v>
      </c>
      <c r="K248" t="n">
        <v>0</v>
      </c>
      <c r="L248" t="n">
        <v>0</v>
      </c>
      <c r="M248" t="n">
        <v>0</v>
      </c>
      <c r="N248" t="n">
        <v>0</v>
      </c>
      <c r="O248" t="n">
        <v>0</v>
      </c>
      <c r="P248" t="n">
        <v>0</v>
      </c>
      <c r="Q248" t="n">
        <v>0</v>
      </c>
      <c r="R248" s="2" t="inlineStr"/>
    </row>
    <row r="249" ht="15" customHeight="1">
      <c r="A249" t="inlineStr">
        <is>
          <t>A 62654-2022</t>
        </is>
      </c>
      <c r="B249" s="1" t="n">
        <v>44917</v>
      </c>
      <c r="C249" s="1" t="n">
        <v>46128</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24175-2024</t>
        </is>
      </c>
      <c r="B250" s="1" t="n">
        <v>45456</v>
      </c>
      <c r="C250" s="1" t="n">
        <v>46128</v>
      </c>
      <c r="D250" t="inlineStr">
        <is>
          <t>VÄSTMANLANDS LÄN</t>
        </is>
      </c>
      <c r="E250" t="inlineStr">
        <is>
          <t>SALA</t>
        </is>
      </c>
      <c r="G250" t="n">
        <v>0.6</v>
      </c>
      <c r="H250" t="n">
        <v>0</v>
      </c>
      <c r="I250" t="n">
        <v>0</v>
      </c>
      <c r="J250" t="n">
        <v>0</v>
      </c>
      <c r="K250" t="n">
        <v>0</v>
      </c>
      <c r="L250" t="n">
        <v>0</v>
      </c>
      <c r="M250" t="n">
        <v>0</v>
      </c>
      <c r="N250" t="n">
        <v>0</v>
      </c>
      <c r="O250" t="n">
        <v>0</v>
      </c>
      <c r="P250" t="n">
        <v>0</v>
      </c>
      <c r="Q250" t="n">
        <v>0</v>
      </c>
      <c r="R250" s="2" t="inlineStr"/>
    </row>
    <row r="251" ht="15" customHeight="1">
      <c r="A251" t="inlineStr">
        <is>
          <t>A 6135-2023</t>
        </is>
      </c>
      <c r="B251" s="1" t="n">
        <v>44964.62628472222</v>
      </c>
      <c r="C251" s="1" t="n">
        <v>46128</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22026-2021</t>
        </is>
      </c>
      <c r="B252" s="1" t="n">
        <v>44323</v>
      </c>
      <c r="C252" s="1" t="n">
        <v>46128</v>
      </c>
      <c r="D252" t="inlineStr">
        <is>
          <t>VÄSTMANLANDS LÄN</t>
        </is>
      </c>
      <c r="E252" t="inlineStr">
        <is>
          <t>SALA</t>
        </is>
      </c>
      <c r="G252" t="n">
        <v>2.9</v>
      </c>
      <c r="H252" t="n">
        <v>0</v>
      </c>
      <c r="I252" t="n">
        <v>0</v>
      </c>
      <c r="J252" t="n">
        <v>0</v>
      </c>
      <c r="K252" t="n">
        <v>0</v>
      </c>
      <c r="L252" t="n">
        <v>0</v>
      </c>
      <c r="M252" t="n">
        <v>0</v>
      </c>
      <c r="N252" t="n">
        <v>0</v>
      </c>
      <c r="O252" t="n">
        <v>0</v>
      </c>
      <c r="P252" t="n">
        <v>0</v>
      </c>
      <c r="Q252" t="n">
        <v>0</v>
      </c>
      <c r="R252" s="2" t="inlineStr"/>
    </row>
    <row r="253" ht="15" customHeight="1">
      <c r="A253" t="inlineStr">
        <is>
          <t>A 53864-2022</t>
        </is>
      </c>
      <c r="B253" s="1" t="n">
        <v>44880.64016203704</v>
      </c>
      <c r="C253" s="1" t="n">
        <v>46128</v>
      </c>
      <c r="D253" t="inlineStr">
        <is>
          <t>VÄSTMANLANDS LÄN</t>
        </is>
      </c>
      <c r="E253" t="inlineStr">
        <is>
          <t>SALA</t>
        </is>
      </c>
      <c r="G253" t="n">
        <v>5.9</v>
      </c>
      <c r="H253" t="n">
        <v>0</v>
      </c>
      <c r="I253" t="n">
        <v>0</v>
      </c>
      <c r="J253" t="n">
        <v>0</v>
      </c>
      <c r="K253" t="n">
        <v>0</v>
      </c>
      <c r="L253" t="n">
        <v>0</v>
      </c>
      <c r="M253" t="n">
        <v>0</v>
      </c>
      <c r="N253" t="n">
        <v>0</v>
      </c>
      <c r="O253" t="n">
        <v>0</v>
      </c>
      <c r="P253" t="n">
        <v>0</v>
      </c>
      <c r="Q253" t="n">
        <v>0</v>
      </c>
      <c r="R253" s="2" t="inlineStr"/>
    </row>
    <row r="254" ht="15" customHeight="1">
      <c r="A254" t="inlineStr">
        <is>
          <t>A 52498-2022</t>
        </is>
      </c>
      <c r="B254" s="1" t="n">
        <v>44874.50152777778</v>
      </c>
      <c r="C254" s="1" t="n">
        <v>46128</v>
      </c>
      <c r="D254" t="inlineStr">
        <is>
          <t>VÄSTMANLANDS LÄN</t>
        </is>
      </c>
      <c r="E254" t="inlineStr">
        <is>
          <t>SALA</t>
        </is>
      </c>
      <c r="G254" t="n">
        <v>2.1</v>
      </c>
      <c r="H254" t="n">
        <v>0</v>
      </c>
      <c r="I254" t="n">
        <v>0</v>
      </c>
      <c r="J254" t="n">
        <v>0</v>
      </c>
      <c r="K254" t="n">
        <v>0</v>
      </c>
      <c r="L254" t="n">
        <v>0</v>
      </c>
      <c r="M254" t="n">
        <v>0</v>
      </c>
      <c r="N254" t="n">
        <v>0</v>
      </c>
      <c r="O254" t="n">
        <v>0</v>
      </c>
      <c r="P254" t="n">
        <v>0</v>
      </c>
      <c r="Q254" t="n">
        <v>0</v>
      </c>
      <c r="R254" s="2" t="inlineStr"/>
    </row>
    <row r="255" ht="15" customHeight="1">
      <c r="A255" t="inlineStr">
        <is>
          <t>A 62449-2023</t>
        </is>
      </c>
      <c r="B255" s="1" t="n">
        <v>45268.49008101852</v>
      </c>
      <c r="C255" s="1" t="n">
        <v>46128</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27255-2023</t>
        </is>
      </c>
      <c r="B256" s="1" t="n">
        <v>45096</v>
      </c>
      <c r="C256" s="1" t="n">
        <v>46128</v>
      </c>
      <c r="D256" t="inlineStr">
        <is>
          <t>VÄSTMANLANDS LÄN</t>
        </is>
      </c>
      <c r="E256" t="inlineStr">
        <is>
          <t>SALA</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54910-2023</t>
        </is>
      </c>
      <c r="B257" s="1" t="n">
        <v>45229</v>
      </c>
      <c r="C257" s="1" t="n">
        <v>46128</v>
      </c>
      <c r="D257" t="inlineStr">
        <is>
          <t>VÄSTMANLANDS LÄN</t>
        </is>
      </c>
      <c r="E257" t="inlineStr">
        <is>
          <t>SALA</t>
        </is>
      </c>
      <c r="G257" t="n">
        <v>2.4</v>
      </c>
      <c r="H257" t="n">
        <v>0</v>
      </c>
      <c r="I257" t="n">
        <v>0</v>
      </c>
      <c r="J257" t="n">
        <v>0</v>
      </c>
      <c r="K257" t="n">
        <v>0</v>
      </c>
      <c r="L257" t="n">
        <v>0</v>
      </c>
      <c r="M257" t="n">
        <v>0</v>
      </c>
      <c r="N257" t="n">
        <v>0</v>
      </c>
      <c r="O257" t="n">
        <v>0</v>
      </c>
      <c r="P257" t="n">
        <v>0</v>
      </c>
      <c r="Q257" t="n">
        <v>0</v>
      </c>
      <c r="R257" s="2" t="inlineStr"/>
    </row>
    <row r="258" ht="15" customHeight="1">
      <c r="A258" t="inlineStr">
        <is>
          <t>A 19222-2025</t>
        </is>
      </c>
      <c r="B258" s="1" t="n">
        <v>45769</v>
      </c>
      <c r="C258" s="1" t="n">
        <v>46128</v>
      </c>
      <c r="D258" t="inlineStr">
        <is>
          <t>VÄSTMANLANDS LÄN</t>
        </is>
      </c>
      <c r="E258" t="inlineStr">
        <is>
          <t>SALA</t>
        </is>
      </c>
      <c r="G258" t="n">
        <v>1.8</v>
      </c>
      <c r="H258" t="n">
        <v>0</v>
      </c>
      <c r="I258" t="n">
        <v>0</v>
      </c>
      <c r="J258" t="n">
        <v>0</v>
      </c>
      <c r="K258" t="n">
        <v>0</v>
      </c>
      <c r="L258" t="n">
        <v>0</v>
      </c>
      <c r="M258" t="n">
        <v>0</v>
      </c>
      <c r="N258" t="n">
        <v>0</v>
      </c>
      <c r="O258" t="n">
        <v>0</v>
      </c>
      <c r="P258" t="n">
        <v>0</v>
      </c>
      <c r="Q258" t="n">
        <v>0</v>
      </c>
      <c r="R258" s="2" t="inlineStr"/>
    </row>
    <row r="259" ht="15" customHeight="1">
      <c r="A259" t="inlineStr">
        <is>
          <t>A 19241-2025</t>
        </is>
      </c>
      <c r="B259" s="1" t="n">
        <v>45769</v>
      </c>
      <c r="C259" s="1" t="n">
        <v>46128</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60034-2024</t>
        </is>
      </c>
      <c r="B260" s="1" t="n">
        <v>45642.46261574074</v>
      </c>
      <c r="C260" s="1" t="n">
        <v>46128</v>
      </c>
      <c r="D260" t="inlineStr">
        <is>
          <t>VÄSTMANLANDS LÄN</t>
        </is>
      </c>
      <c r="E260" t="inlineStr">
        <is>
          <t>SALA</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3810-2023</t>
        </is>
      </c>
      <c r="B261" s="1" t="n">
        <v>44951.60454861111</v>
      </c>
      <c r="C261" s="1" t="n">
        <v>46128</v>
      </c>
      <c r="D261" t="inlineStr">
        <is>
          <t>VÄSTMANLANDS LÄN</t>
        </is>
      </c>
      <c r="E261" t="inlineStr">
        <is>
          <t>SALA</t>
        </is>
      </c>
      <c r="G261" t="n">
        <v>4.2</v>
      </c>
      <c r="H261" t="n">
        <v>0</v>
      </c>
      <c r="I261" t="n">
        <v>0</v>
      </c>
      <c r="J261" t="n">
        <v>0</v>
      </c>
      <c r="K261" t="n">
        <v>0</v>
      </c>
      <c r="L261" t="n">
        <v>0</v>
      </c>
      <c r="M261" t="n">
        <v>0</v>
      </c>
      <c r="N261" t="n">
        <v>0</v>
      </c>
      <c r="O261" t="n">
        <v>0</v>
      </c>
      <c r="P261" t="n">
        <v>0</v>
      </c>
      <c r="Q261" t="n">
        <v>0</v>
      </c>
      <c r="R261" s="2" t="inlineStr"/>
    </row>
    <row r="262" ht="15" customHeight="1">
      <c r="A262" t="inlineStr">
        <is>
          <t>A 26416-2023</t>
        </is>
      </c>
      <c r="B262" s="1" t="n">
        <v>45092.38087962963</v>
      </c>
      <c r="C262" s="1" t="n">
        <v>46128</v>
      </c>
      <c r="D262" t="inlineStr">
        <is>
          <t>VÄSTMANLANDS LÄN</t>
        </is>
      </c>
      <c r="E262" t="inlineStr">
        <is>
          <t>SALA</t>
        </is>
      </c>
      <c r="G262" t="n">
        <v>2.9</v>
      </c>
      <c r="H262" t="n">
        <v>0</v>
      </c>
      <c r="I262" t="n">
        <v>0</v>
      </c>
      <c r="J262" t="n">
        <v>0</v>
      </c>
      <c r="K262" t="n">
        <v>0</v>
      </c>
      <c r="L262" t="n">
        <v>0</v>
      </c>
      <c r="M262" t="n">
        <v>0</v>
      </c>
      <c r="N262" t="n">
        <v>0</v>
      </c>
      <c r="O262" t="n">
        <v>0</v>
      </c>
      <c r="P262" t="n">
        <v>0</v>
      </c>
      <c r="Q262" t="n">
        <v>0</v>
      </c>
      <c r="R262" s="2" t="inlineStr"/>
    </row>
    <row r="263" ht="15" customHeight="1">
      <c r="A263" t="inlineStr">
        <is>
          <t>A 52503-2024</t>
        </is>
      </c>
      <c r="B263" s="1" t="n">
        <v>45609.58806712963</v>
      </c>
      <c r="C263" s="1" t="n">
        <v>46128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40556-2025</t>
        </is>
      </c>
      <c r="B264" s="1" t="n">
        <v>45896.44944444444</v>
      </c>
      <c r="C264" s="1" t="n">
        <v>46128</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2521-2025</t>
        </is>
      </c>
      <c r="B265" s="1" t="n">
        <v>45674</v>
      </c>
      <c r="C265" s="1" t="n">
        <v>46128</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40559-2025</t>
        </is>
      </c>
      <c r="B266" s="1" t="n">
        <v>45896.45037037037</v>
      </c>
      <c r="C266" s="1" t="n">
        <v>46128</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26692-2023</t>
        </is>
      </c>
      <c r="B267" s="1" t="n">
        <v>45093.360625</v>
      </c>
      <c r="C267" s="1" t="n">
        <v>46128</v>
      </c>
      <c r="D267" t="inlineStr">
        <is>
          <t>VÄSTMANLANDS LÄN</t>
        </is>
      </c>
      <c r="E267" t="inlineStr">
        <is>
          <t>SALA</t>
        </is>
      </c>
      <c r="G267" t="n">
        <v>1.8</v>
      </c>
      <c r="H267" t="n">
        <v>0</v>
      </c>
      <c r="I267" t="n">
        <v>0</v>
      </c>
      <c r="J267" t="n">
        <v>0</v>
      </c>
      <c r="K267" t="n">
        <v>0</v>
      </c>
      <c r="L267" t="n">
        <v>0</v>
      </c>
      <c r="M267" t="n">
        <v>0</v>
      </c>
      <c r="N267" t="n">
        <v>0</v>
      </c>
      <c r="O267" t="n">
        <v>0</v>
      </c>
      <c r="P267" t="n">
        <v>0</v>
      </c>
      <c r="Q267" t="n">
        <v>0</v>
      </c>
      <c r="R267" s="2" t="inlineStr"/>
    </row>
    <row r="268" ht="15" customHeight="1">
      <c r="A268" t="inlineStr">
        <is>
          <t>A 15681-2025</t>
        </is>
      </c>
      <c r="B268" s="1" t="n">
        <v>45748.45454861111</v>
      </c>
      <c r="C268" s="1" t="n">
        <v>46128</v>
      </c>
      <c r="D268" t="inlineStr">
        <is>
          <t>VÄSTMANLANDS LÄN</t>
        </is>
      </c>
      <c r="E268" t="inlineStr">
        <is>
          <t>SALA</t>
        </is>
      </c>
      <c r="F268" t="inlineStr">
        <is>
          <t>Bergvik skog öst AB</t>
        </is>
      </c>
      <c r="G268" t="n">
        <v>4.3</v>
      </c>
      <c r="H268" t="n">
        <v>0</v>
      </c>
      <c r="I268" t="n">
        <v>0</v>
      </c>
      <c r="J268" t="n">
        <v>0</v>
      </c>
      <c r="K268" t="n">
        <v>0</v>
      </c>
      <c r="L268" t="n">
        <v>0</v>
      </c>
      <c r="M268" t="n">
        <v>0</v>
      </c>
      <c r="N268" t="n">
        <v>0</v>
      </c>
      <c r="O268" t="n">
        <v>0</v>
      </c>
      <c r="P268" t="n">
        <v>0</v>
      </c>
      <c r="Q268" t="n">
        <v>0</v>
      </c>
      <c r="R268" s="2" t="inlineStr"/>
    </row>
    <row r="269" ht="15" customHeight="1">
      <c r="A269" t="inlineStr">
        <is>
          <t>A 40620-2025</t>
        </is>
      </c>
      <c r="B269" s="1" t="n">
        <v>45896.58609953704</v>
      </c>
      <c r="C269" s="1" t="n">
        <v>46128</v>
      </c>
      <c r="D269" t="inlineStr">
        <is>
          <t>VÄSTMANLANDS LÄN</t>
        </is>
      </c>
      <c r="E269" t="inlineStr">
        <is>
          <t>SALA</t>
        </is>
      </c>
      <c r="G269" t="n">
        <v>6.7</v>
      </c>
      <c r="H269" t="n">
        <v>0</v>
      </c>
      <c r="I269" t="n">
        <v>0</v>
      </c>
      <c r="J269" t="n">
        <v>0</v>
      </c>
      <c r="K269" t="n">
        <v>0</v>
      </c>
      <c r="L269" t="n">
        <v>0</v>
      </c>
      <c r="M269" t="n">
        <v>0</v>
      </c>
      <c r="N269" t="n">
        <v>0</v>
      </c>
      <c r="O269" t="n">
        <v>0</v>
      </c>
      <c r="P269" t="n">
        <v>0</v>
      </c>
      <c r="Q269" t="n">
        <v>0</v>
      </c>
      <c r="R269" s="2" t="inlineStr"/>
    </row>
    <row r="270" ht="15" customHeight="1">
      <c r="A270" t="inlineStr">
        <is>
          <t>A 31000-2022</t>
        </is>
      </c>
      <c r="B270" s="1" t="n">
        <v>44768</v>
      </c>
      <c r="C270" s="1" t="n">
        <v>46128</v>
      </c>
      <c r="D270" t="inlineStr">
        <is>
          <t>VÄSTMANLANDS LÄN</t>
        </is>
      </c>
      <c r="E270" t="inlineStr">
        <is>
          <t>SALA</t>
        </is>
      </c>
      <c r="G270" t="n">
        <v>5.7</v>
      </c>
      <c r="H270" t="n">
        <v>0</v>
      </c>
      <c r="I270" t="n">
        <v>0</v>
      </c>
      <c r="J270" t="n">
        <v>0</v>
      </c>
      <c r="K270" t="n">
        <v>0</v>
      </c>
      <c r="L270" t="n">
        <v>0</v>
      </c>
      <c r="M270" t="n">
        <v>0</v>
      </c>
      <c r="N270" t="n">
        <v>0</v>
      </c>
      <c r="O270" t="n">
        <v>0</v>
      </c>
      <c r="P270" t="n">
        <v>0</v>
      </c>
      <c r="Q270" t="n">
        <v>0</v>
      </c>
      <c r="R270" s="2" t="inlineStr"/>
    </row>
    <row r="271" ht="15" customHeight="1">
      <c r="A271" t="inlineStr">
        <is>
          <t>A 31950-2023</t>
        </is>
      </c>
      <c r="B271" s="1" t="n">
        <v>45107</v>
      </c>
      <c r="C271" s="1" t="n">
        <v>46128</v>
      </c>
      <c r="D271" t="inlineStr">
        <is>
          <t>VÄSTMANLANDS LÄN</t>
        </is>
      </c>
      <c r="E271" t="inlineStr">
        <is>
          <t>SALA</t>
        </is>
      </c>
      <c r="G271" t="n">
        <v>0.1</v>
      </c>
      <c r="H271" t="n">
        <v>0</v>
      </c>
      <c r="I271" t="n">
        <v>0</v>
      </c>
      <c r="J271" t="n">
        <v>0</v>
      </c>
      <c r="K271" t="n">
        <v>0</v>
      </c>
      <c r="L271" t="n">
        <v>0</v>
      </c>
      <c r="M271" t="n">
        <v>0</v>
      </c>
      <c r="N271" t="n">
        <v>0</v>
      </c>
      <c r="O271" t="n">
        <v>0</v>
      </c>
      <c r="P271" t="n">
        <v>0</v>
      </c>
      <c r="Q271" t="n">
        <v>0</v>
      </c>
      <c r="R271" s="2" t="inlineStr"/>
    </row>
    <row r="272" ht="15" customHeight="1">
      <c r="A272" t="inlineStr">
        <is>
          <t>A 16693-2023</t>
        </is>
      </c>
      <c r="B272" s="1" t="n">
        <v>45028</v>
      </c>
      <c r="C272" s="1" t="n">
        <v>46128</v>
      </c>
      <c r="D272" t="inlineStr">
        <is>
          <t>VÄSTMANLANDS LÄN</t>
        </is>
      </c>
      <c r="E272" t="inlineStr">
        <is>
          <t>SALA</t>
        </is>
      </c>
      <c r="G272" t="n">
        <v>1.5</v>
      </c>
      <c r="H272" t="n">
        <v>0</v>
      </c>
      <c r="I272" t="n">
        <v>0</v>
      </c>
      <c r="J272" t="n">
        <v>0</v>
      </c>
      <c r="K272" t="n">
        <v>0</v>
      </c>
      <c r="L272" t="n">
        <v>0</v>
      </c>
      <c r="M272" t="n">
        <v>0</v>
      </c>
      <c r="N272" t="n">
        <v>0</v>
      </c>
      <c r="O272" t="n">
        <v>0</v>
      </c>
      <c r="P272" t="n">
        <v>0</v>
      </c>
      <c r="Q272" t="n">
        <v>0</v>
      </c>
      <c r="R272" s="2" t="inlineStr"/>
    </row>
    <row r="273" ht="15" customHeight="1">
      <c r="A273" t="inlineStr">
        <is>
          <t>A 23182-2022</t>
        </is>
      </c>
      <c r="B273" s="1" t="n">
        <v>44719.79707175926</v>
      </c>
      <c r="C273" s="1" t="n">
        <v>46128</v>
      </c>
      <c r="D273" t="inlineStr">
        <is>
          <t>VÄSTMANLANDS LÄN</t>
        </is>
      </c>
      <c r="E273" t="inlineStr">
        <is>
          <t>SALA</t>
        </is>
      </c>
      <c r="G273" t="n">
        <v>1.2</v>
      </c>
      <c r="H273" t="n">
        <v>0</v>
      </c>
      <c r="I273" t="n">
        <v>0</v>
      </c>
      <c r="J273" t="n">
        <v>0</v>
      </c>
      <c r="K273" t="n">
        <v>0</v>
      </c>
      <c r="L273" t="n">
        <v>0</v>
      </c>
      <c r="M273" t="n">
        <v>0</v>
      </c>
      <c r="N273" t="n">
        <v>0</v>
      </c>
      <c r="O273" t="n">
        <v>0</v>
      </c>
      <c r="P273" t="n">
        <v>0</v>
      </c>
      <c r="Q273" t="n">
        <v>0</v>
      </c>
      <c r="R273" s="2" t="inlineStr"/>
    </row>
    <row r="274" ht="15" customHeight="1">
      <c r="A274" t="inlineStr">
        <is>
          <t>A 41230-2025</t>
        </is>
      </c>
      <c r="B274" s="1" t="n">
        <v>45898</v>
      </c>
      <c r="C274" s="1" t="n">
        <v>46128</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2925-2024</t>
        </is>
      </c>
      <c r="B275" s="1" t="n">
        <v>45315.58909722222</v>
      </c>
      <c r="C275" s="1" t="n">
        <v>46128</v>
      </c>
      <c r="D275" t="inlineStr">
        <is>
          <t>VÄSTMANLANDS LÄN</t>
        </is>
      </c>
      <c r="E275" t="inlineStr">
        <is>
          <t>SALA</t>
        </is>
      </c>
      <c r="G275" t="n">
        <v>1.3</v>
      </c>
      <c r="H275" t="n">
        <v>0</v>
      </c>
      <c r="I275" t="n">
        <v>0</v>
      </c>
      <c r="J275" t="n">
        <v>0</v>
      </c>
      <c r="K275" t="n">
        <v>0</v>
      </c>
      <c r="L275" t="n">
        <v>0</v>
      </c>
      <c r="M275" t="n">
        <v>0</v>
      </c>
      <c r="N275" t="n">
        <v>0</v>
      </c>
      <c r="O275" t="n">
        <v>0</v>
      </c>
      <c r="P275" t="n">
        <v>0</v>
      </c>
      <c r="Q275" t="n">
        <v>0</v>
      </c>
      <c r="R275" s="2" t="inlineStr"/>
    </row>
    <row r="276" ht="15" customHeight="1">
      <c r="A276" t="inlineStr">
        <is>
          <t>A 57371-2022</t>
        </is>
      </c>
      <c r="B276" s="1" t="n">
        <v>44896.43832175926</v>
      </c>
      <c r="C276" s="1" t="n">
        <v>46128</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44746-2024</t>
        </is>
      </c>
      <c r="B277" s="1" t="n">
        <v>45574.59813657407</v>
      </c>
      <c r="C277" s="1" t="n">
        <v>46128</v>
      </c>
      <c r="D277" t="inlineStr">
        <is>
          <t>VÄSTMANLANDS LÄN</t>
        </is>
      </c>
      <c r="E277" t="inlineStr">
        <is>
          <t>SALA</t>
        </is>
      </c>
      <c r="G277" t="n">
        <v>6.7</v>
      </c>
      <c r="H277" t="n">
        <v>0</v>
      </c>
      <c r="I277" t="n">
        <v>0</v>
      </c>
      <c r="J277" t="n">
        <v>0</v>
      </c>
      <c r="K277" t="n">
        <v>0</v>
      </c>
      <c r="L277" t="n">
        <v>0</v>
      </c>
      <c r="M277" t="n">
        <v>0</v>
      </c>
      <c r="N277" t="n">
        <v>0</v>
      </c>
      <c r="O277" t="n">
        <v>0</v>
      </c>
      <c r="P277" t="n">
        <v>0</v>
      </c>
      <c r="Q277" t="n">
        <v>0</v>
      </c>
      <c r="R277" s="2" t="inlineStr"/>
    </row>
    <row r="278" ht="15" customHeight="1">
      <c r="A278" t="inlineStr">
        <is>
          <t>A 44713-2023</t>
        </is>
      </c>
      <c r="B278" s="1" t="n">
        <v>45184</v>
      </c>
      <c r="C278" s="1" t="n">
        <v>46128</v>
      </c>
      <c r="D278" t="inlineStr">
        <is>
          <t>VÄSTMANLANDS LÄN</t>
        </is>
      </c>
      <c r="E278" t="inlineStr">
        <is>
          <t>SALA</t>
        </is>
      </c>
      <c r="F278" t="inlineStr">
        <is>
          <t>Kyrkan</t>
        </is>
      </c>
      <c r="G278" t="n">
        <v>7.6</v>
      </c>
      <c r="H278" t="n">
        <v>0</v>
      </c>
      <c r="I278" t="n">
        <v>0</v>
      </c>
      <c r="J278" t="n">
        <v>0</v>
      </c>
      <c r="K278" t="n">
        <v>0</v>
      </c>
      <c r="L278" t="n">
        <v>0</v>
      </c>
      <c r="M278" t="n">
        <v>0</v>
      </c>
      <c r="N278" t="n">
        <v>0</v>
      </c>
      <c r="O278" t="n">
        <v>0</v>
      </c>
      <c r="P278" t="n">
        <v>0</v>
      </c>
      <c r="Q278" t="n">
        <v>0</v>
      </c>
      <c r="R278" s="2" t="inlineStr"/>
    </row>
    <row r="279" ht="15" customHeight="1">
      <c r="A279" t="inlineStr">
        <is>
          <t>A 23431-2024</t>
        </is>
      </c>
      <c r="B279" s="1" t="n">
        <v>45453</v>
      </c>
      <c r="C279" s="1" t="n">
        <v>46128</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41431-2025</t>
        </is>
      </c>
      <c r="B280" s="1" t="n">
        <v>45901.39347222223</v>
      </c>
      <c r="C280" s="1" t="n">
        <v>46128</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41414-2025</t>
        </is>
      </c>
      <c r="B281" s="1" t="n">
        <v>45901.360625</v>
      </c>
      <c r="C281" s="1" t="n">
        <v>46128</v>
      </c>
      <c r="D281" t="inlineStr">
        <is>
          <t>VÄSTMANLANDS LÄN</t>
        </is>
      </c>
      <c r="E281" t="inlineStr">
        <is>
          <t>SALA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53164-2024</t>
        </is>
      </c>
      <c r="B282" s="1" t="n">
        <v>45611.64887731482</v>
      </c>
      <c r="C282" s="1" t="n">
        <v>46128</v>
      </c>
      <c r="D282" t="inlineStr">
        <is>
          <t>VÄSTMANLANDS LÄN</t>
        </is>
      </c>
      <c r="E282" t="inlineStr">
        <is>
          <t>SALA</t>
        </is>
      </c>
      <c r="G282" t="n">
        <v>2.6</v>
      </c>
      <c r="H282" t="n">
        <v>0</v>
      </c>
      <c r="I282" t="n">
        <v>0</v>
      </c>
      <c r="J282" t="n">
        <v>0</v>
      </c>
      <c r="K282" t="n">
        <v>0</v>
      </c>
      <c r="L282" t="n">
        <v>0</v>
      </c>
      <c r="M282" t="n">
        <v>0</v>
      </c>
      <c r="N282" t="n">
        <v>0</v>
      </c>
      <c r="O282" t="n">
        <v>0</v>
      </c>
      <c r="P282" t="n">
        <v>0</v>
      </c>
      <c r="Q282" t="n">
        <v>0</v>
      </c>
      <c r="R282" s="2" t="inlineStr"/>
    </row>
    <row r="283" ht="15" customHeight="1">
      <c r="A283" t="inlineStr">
        <is>
          <t>A 56548-2024</t>
        </is>
      </c>
      <c r="B283" s="1" t="n">
        <v>45625</v>
      </c>
      <c r="C283" s="1" t="n">
        <v>46128</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47086-2022</t>
        </is>
      </c>
      <c r="B284" s="1" t="n">
        <v>44852</v>
      </c>
      <c r="C284" s="1" t="n">
        <v>46128</v>
      </c>
      <c r="D284" t="inlineStr">
        <is>
          <t>VÄSTMANLANDS LÄN</t>
        </is>
      </c>
      <c r="E284" t="inlineStr">
        <is>
          <t>SALA</t>
        </is>
      </c>
      <c r="G284" t="n">
        <v>12.5</v>
      </c>
      <c r="H284" t="n">
        <v>0</v>
      </c>
      <c r="I284" t="n">
        <v>0</v>
      </c>
      <c r="J284" t="n">
        <v>0</v>
      </c>
      <c r="K284" t="n">
        <v>0</v>
      </c>
      <c r="L284" t="n">
        <v>0</v>
      </c>
      <c r="M284" t="n">
        <v>0</v>
      </c>
      <c r="N284" t="n">
        <v>0</v>
      </c>
      <c r="O284" t="n">
        <v>0</v>
      </c>
      <c r="P284" t="n">
        <v>0</v>
      </c>
      <c r="Q284" t="n">
        <v>0</v>
      </c>
      <c r="R284" s="2" t="inlineStr"/>
    </row>
    <row r="285" ht="15" customHeight="1">
      <c r="A285" t="inlineStr">
        <is>
          <t>A 16160-2024</t>
        </is>
      </c>
      <c r="B285" s="1" t="n">
        <v>45406</v>
      </c>
      <c r="C285" s="1" t="n">
        <v>46128</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21168-2025</t>
        </is>
      </c>
      <c r="B286" s="1" t="n">
        <v>45777</v>
      </c>
      <c r="C286" s="1" t="n">
        <v>46128</v>
      </c>
      <c r="D286" t="inlineStr">
        <is>
          <t>VÄSTMANLANDS LÄN</t>
        </is>
      </c>
      <c r="E286" t="inlineStr">
        <is>
          <t>SALA</t>
        </is>
      </c>
      <c r="G286" t="n">
        <v>4.5</v>
      </c>
      <c r="H286" t="n">
        <v>0</v>
      </c>
      <c r="I286" t="n">
        <v>0</v>
      </c>
      <c r="J286" t="n">
        <v>0</v>
      </c>
      <c r="K286" t="n">
        <v>0</v>
      </c>
      <c r="L286" t="n">
        <v>0</v>
      </c>
      <c r="M286" t="n">
        <v>0</v>
      </c>
      <c r="N286" t="n">
        <v>0</v>
      </c>
      <c r="O286" t="n">
        <v>0</v>
      </c>
      <c r="P286" t="n">
        <v>0</v>
      </c>
      <c r="Q286" t="n">
        <v>0</v>
      </c>
      <c r="R286" s="2" t="inlineStr"/>
    </row>
    <row r="287" ht="15" customHeight="1">
      <c r="A287" t="inlineStr">
        <is>
          <t>A 61717-2024</t>
        </is>
      </c>
      <c r="B287" s="1" t="n">
        <v>45648</v>
      </c>
      <c r="C287" s="1" t="n">
        <v>46128</v>
      </c>
      <c r="D287" t="inlineStr">
        <is>
          <t>VÄSTMANLANDS LÄN</t>
        </is>
      </c>
      <c r="E287" t="inlineStr">
        <is>
          <t>SALA</t>
        </is>
      </c>
      <c r="G287" t="n">
        <v>3.7</v>
      </c>
      <c r="H287" t="n">
        <v>0</v>
      </c>
      <c r="I287" t="n">
        <v>0</v>
      </c>
      <c r="J287" t="n">
        <v>0</v>
      </c>
      <c r="K287" t="n">
        <v>0</v>
      </c>
      <c r="L287" t="n">
        <v>0</v>
      </c>
      <c r="M287" t="n">
        <v>0</v>
      </c>
      <c r="N287" t="n">
        <v>0</v>
      </c>
      <c r="O287" t="n">
        <v>0</v>
      </c>
      <c r="P287" t="n">
        <v>0</v>
      </c>
      <c r="Q287" t="n">
        <v>0</v>
      </c>
      <c r="R287" s="2" t="inlineStr"/>
    </row>
    <row r="288" ht="15" customHeight="1">
      <c r="A288" t="inlineStr">
        <is>
          <t>A 40597-2022</t>
        </is>
      </c>
      <c r="B288" s="1" t="n">
        <v>44823.84862268518</v>
      </c>
      <c r="C288" s="1" t="n">
        <v>46128</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21751-2025</t>
        </is>
      </c>
      <c r="B289" s="1" t="n">
        <v>45783.61372685185</v>
      </c>
      <c r="C289" s="1" t="n">
        <v>46128</v>
      </c>
      <c r="D289" t="inlineStr">
        <is>
          <t>VÄSTMANLANDS LÄN</t>
        </is>
      </c>
      <c r="E289" t="inlineStr">
        <is>
          <t>SALA</t>
        </is>
      </c>
      <c r="G289" t="n">
        <v>1</v>
      </c>
      <c r="H289" t="n">
        <v>0</v>
      </c>
      <c r="I289" t="n">
        <v>0</v>
      </c>
      <c r="J289" t="n">
        <v>0</v>
      </c>
      <c r="K289" t="n">
        <v>0</v>
      </c>
      <c r="L289" t="n">
        <v>0</v>
      </c>
      <c r="M289" t="n">
        <v>0</v>
      </c>
      <c r="N289" t="n">
        <v>0</v>
      </c>
      <c r="O289" t="n">
        <v>0</v>
      </c>
      <c r="P289" t="n">
        <v>0</v>
      </c>
      <c r="Q289" t="n">
        <v>0</v>
      </c>
      <c r="R289" s="2" t="inlineStr"/>
    </row>
    <row r="290" ht="15" customHeight="1">
      <c r="A290" t="inlineStr">
        <is>
          <t>A 988-2025</t>
        </is>
      </c>
      <c r="B290" s="1" t="n">
        <v>45666.44038194444</v>
      </c>
      <c r="C290" s="1" t="n">
        <v>46128</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5032-2025</t>
        </is>
      </c>
      <c r="B291" s="1" t="n">
        <v>45691</v>
      </c>
      <c r="C291" s="1" t="n">
        <v>46128</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21754-2025</t>
        </is>
      </c>
      <c r="B292" s="1" t="n">
        <v>45783.61837962963</v>
      </c>
      <c r="C292" s="1" t="n">
        <v>46128</v>
      </c>
      <c r="D292" t="inlineStr">
        <is>
          <t>VÄSTMANLANDS LÄN</t>
        </is>
      </c>
      <c r="E292" t="inlineStr">
        <is>
          <t>SALA</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21968-2024</t>
        </is>
      </c>
      <c r="B293" s="1" t="n">
        <v>45443</v>
      </c>
      <c r="C293" s="1" t="n">
        <v>46128</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7196-2025</t>
        </is>
      </c>
      <c r="B294" s="1" t="n">
        <v>45702</v>
      </c>
      <c r="C294" s="1" t="n">
        <v>46128</v>
      </c>
      <c r="D294" t="inlineStr">
        <is>
          <t>VÄSTMANLANDS LÄN</t>
        </is>
      </c>
      <c r="E294" t="inlineStr">
        <is>
          <t>SALA</t>
        </is>
      </c>
      <c r="G294" t="n">
        <v>1.3</v>
      </c>
      <c r="H294" t="n">
        <v>0</v>
      </c>
      <c r="I294" t="n">
        <v>0</v>
      </c>
      <c r="J294" t="n">
        <v>0</v>
      </c>
      <c r="K294" t="n">
        <v>0</v>
      </c>
      <c r="L294" t="n">
        <v>0</v>
      </c>
      <c r="M294" t="n">
        <v>0</v>
      </c>
      <c r="N294" t="n">
        <v>0</v>
      </c>
      <c r="O294" t="n">
        <v>0</v>
      </c>
      <c r="P294" t="n">
        <v>0</v>
      </c>
      <c r="Q294" t="n">
        <v>0</v>
      </c>
      <c r="R294" s="2" t="inlineStr"/>
    </row>
    <row r="295" ht="15" customHeight="1">
      <c r="A295" t="inlineStr">
        <is>
          <t>A 37587-2024</t>
        </is>
      </c>
      <c r="B295" s="1" t="n">
        <v>45541</v>
      </c>
      <c r="C295" s="1" t="n">
        <v>46128</v>
      </c>
      <c r="D295" t="inlineStr">
        <is>
          <t>VÄSTMANLANDS LÄN</t>
        </is>
      </c>
      <c r="E295" t="inlineStr">
        <is>
          <t>SALA</t>
        </is>
      </c>
      <c r="G295" t="n">
        <v>1.2</v>
      </c>
      <c r="H295" t="n">
        <v>0</v>
      </c>
      <c r="I295" t="n">
        <v>0</v>
      </c>
      <c r="J295" t="n">
        <v>0</v>
      </c>
      <c r="K295" t="n">
        <v>0</v>
      </c>
      <c r="L295" t="n">
        <v>0</v>
      </c>
      <c r="M295" t="n">
        <v>0</v>
      </c>
      <c r="N295" t="n">
        <v>0</v>
      </c>
      <c r="O295" t="n">
        <v>0</v>
      </c>
      <c r="P295" t="n">
        <v>0</v>
      </c>
      <c r="Q295" t="n">
        <v>0</v>
      </c>
      <c r="R295" s="2" t="inlineStr"/>
    </row>
    <row r="296" ht="15" customHeight="1">
      <c r="A296" t="inlineStr">
        <is>
          <t>A 66908-2021</t>
        </is>
      </c>
      <c r="B296" s="1" t="n">
        <v>44522</v>
      </c>
      <c r="C296" s="1" t="n">
        <v>46128</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11696-2025</t>
        </is>
      </c>
      <c r="B297" s="1" t="n">
        <v>45727</v>
      </c>
      <c r="C297" s="1" t="n">
        <v>46128</v>
      </c>
      <c r="D297" t="inlineStr">
        <is>
          <t>VÄSTMANLANDS LÄN</t>
        </is>
      </c>
      <c r="E297" t="inlineStr">
        <is>
          <t>SALA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22353-2025</t>
        </is>
      </c>
      <c r="B298" s="1" t="n">
        <v>45786</v>
      </c>
      <c r="C298" s="1" t="n">
        <v>46128</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42421-2025</t>
        </is>
      </c>
      <c r="B299" s="1" t="n">
        <v>45905.40067129629</v>
      </c>
      <c r="C299" s="1" t="n">
        <v>46128</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64724-2023</t>
        </is>
      </c>
      <c r="B300" s="1" t="n">
        <v>45281.7602662037</v>
      </c>
      <c r="C300" s="1" t="n">
        <v>46128</v>
      </c>
      <c r="D300" t="inlineStr">
        <is>
          <t>VÄSTMANLANDS LÄN</t>
        </is>
      </c>
      <c r="E300" t="inlineStr">
        <is>
          <t>SALA</t>
        </is>
      </c>
      <c r="G300" t="n">
        <v>2.3</v>
      </c>
      <c r="H300" t="n">
        <v>0</v>
      </c>
      <c r="I300" t="n">
        <v>0</v>
      </c>
      <c r="J300" t="n">
        <v>0</v>
      </c>
      <c r="K300" t="n">
        <v>0</v>
      </c>
      <c r="L300" t="n">
        <v>0</v>
      </c>
      <c r="M300" t="n">
        <v>0</v>
      </c>
      <c r="N300" t="n">
        <v>0</v>
      </c>
      <c r="O300" t="n">
        <v>0</v>
      </c>
      <c r="P300" t="n">
        <v>0</v>
      </c>
      <c r="Q300" t="n">
        <v>0</v>
      </c>
      <c r="R300" s="2" t="inlineStr"/>
    </row>
    <row r="301" ht="15" customHeight="1">
      <c r="A301" t="inlineStr">
        <is>
          <t>A 22370-2025</t>
        </is>
      </c>
      <c r="B301" s="1" t="n">
        <v>45786</v>
      </c>
      <c r="C301" s="1" t="n">
        <v>46128</v>
      </c>
      <c r="D301" t="inlineStr">
        <is>
          <t>VÄSTMANLANDS LÄN</t>
        </is>
      </c>
      <c r="E301" t="inlineStr">
        <is>
          <t>SALA</t>
        </is>
      </c>
      <c r="G301" t="n">
        <v>3.2</v>
      </c>
      <c r="H301" t="n">
        <v>0</v>
      </c>
      <c r="I301" t="n">
        <v>0</v>
      </c>
      <c r="J301" t="n">
        <v>0</v>
      </c>
      <c r="K301" t="n">
        <v>0</v>
      </c>
      <c r="L301" t="n">
        <v>0</v>
      </c>
      <c r="M301" t="n">
        <v>0</v>
      </c>
      <c r="N301" t="n">
        <v>0</v>
      </c>
      <c r="O301" t="n">
        <v>0</v>
      </c>
      <c r="P301" t="n">
        <v>0</v>
      </c>
      <c r="Q301" t="n">
        <v>0</v>
      </c>
      <c r="R301" s="2" t="inlineStr"/>
    </row>
    <row r="302" ht="15" customHeight="1">
      <c r="A302" t="inlineStr">
        <is>
          <t>A 22383-2025</t>
        </is>
      </c>
      <c r="B302" s="1" t="n">
        <v>45786</v>
      </c>
      <c r="C302" s="1" t="n">
        <v>46128</v>
      </c>
      <c r="D302" t="inlineStr">
        <is>
          <t>VÄSTMANLANDS LÄN</t>
        </is>
      </c>
      <c r="E302" t="inlineStr">
        <is>
          <t>SALA</t>
        </is>
      </c>
      <c r="G302" t="n">
        <v>2.2</v>
      </c>
      <c r="H302" t="n">
        <v>0</v>
      </c>
      <c r="I302" t="n">
        <v>0</v>
      </c>
      <c r="J302" t="n">
        <v>0</v>
      </c>
      <c r="K302" t="n">
        <v>0</v>
      </c>
      <c r="L302" t="n">
        <v>0</v>
      </c>
      <c r="M302" t="n">
        <v>0</v>
      </c>
      <c r="N302" t="n">
        <v>0</v>
      </c>
      <c r="O302" t="n">
        <v>0</v>
      </c>
      <c r="P302" t="n">
        <v>0</v>
      </c>
      <c r="Q302" t="n">
        <v>0</v>
      </c>
      <c r="R302" s="2" t="inlineStr"/>
    </row>
    <row r="303" ht="15" customHeight="1">
      <c r="A303" t="inlineStr">
        <is>
          <t>A 43509-2021</t>
        </is>
      </c>
      <c r="B303" s="1" t="n">
        <v>44433</v>
      </c>
      <c r="C303" s="1" t="n">
        <v>46128</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43028-2025</t>
        </is>
      </c>
      <c r="B304" s="1" t="n">
        <v>45909.53472222222</v>
      </c>
      <c r="C304" s="1" t="n">
        <v>46128</v>
      </c>
      <c r="D304" t="inlineStr">
        <is>
          <t>VÄSTMANLANDS LÄN</t>
        </is>
      </c>
      <c r="E304" t="inlineStr">
        <is>
          <t>SALA</t>
        </is>
      </c>
      <c r="G304" t="n">
        <v>3.8</v>
      </c>
      <c r="H304" t="n">
        <v>0</v>
      </c>
      <c r="I304" t="n">
        <v>0</v>
      </c>
      <c r="J304" t="n">
        <v>0</v>
      </c>
      <c r="K304" t="n">
        <v>0</v>
      </c>
      <c r="L304" t="n">
        <v>0</v>
      </c>
      <c r="M304" t="n">
        <v>0</v>
      </c>
      <c r="N304" t="n">
        <v>0</v>
      </c>
      <c r="O304" t="n">
        <v>0</v>
      </c>
      <c r="P304" t="n">
        <v>0</v>
      </c>
      <c r="Q304" t="n">
        <v>0</v>
      </c>
      <c r="R304" s="2" t="inlineStr"/>
    </row>
    <row r="305" ht="15" customHeight="1">
      <c r="A305" t="inlineStr">
        <is>
          <t>A 6183-2025</t>
        </is>
      </c>
      <c r="B305" s="1" t="n">
        <v>45698</v>
      </c>
      <c r="C305" s="1" t="n">
        <v>46128</v>
      </c>
      <c r="D305" t="inlineStr">
        <is>
          <t>VÄSTMANLANDS LÄN</t>
        </is>
      </c>
      <c r="E305" t="inlineStr">
        <is>
          <t>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43328-2025</t>
        </is>
      </c>
      <c r="B306" s="1" t="n">
        <v>45910</v>
      </c>
      <c r="C306" s="1" t="n">
        <v>46128</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13746-2025</t>
        </is>
      </c>
      <c r="B307" s="1" t="n">
        <v>45737.40944444444</v>
      </c>
      <c r="C307" s="1" t="n">
        <v>46128</v>
      </c>
      <c r="D307" t="inlineStr">
        <is>
          <t>VÄSTMANLANDS LÄN</t>
        </is>
      </c>
      <c r="E307" t="inlineStr">
        <is>
          <t>SALA</t>
        </is>
      </c>
      <c r="G307" t="n">
        <v>2.1</v>
      </c>
      <c r="H307" t="n">
        <v>0</v>
      </c>
      <c r="I307" t="n">
        <v>0</v>
      </c>
      <c r="J307" t="n">
        <v>0</v>
      </c>
      <c r="K307" t="n">
        <v>0</v>
      </c>
      <c r="L307" t="n">
        <v>0</v>
      </c>
      <c r="M307" t="n">
        <v>0</v>
      </c>
      <c r="N307" t="n">
        <v>0</v>
      </c>
      <c r="O307" t="n">
        <v>0</v>
      </c>
      <c r="P307" t="n">
        <v>0</v>
      </c>
      <c r="Q307" t="n">
        <v>0</v>
      </c>
      <c r="R307" s="2" t="inlineStr"/>
    </row>
    <row r="308" ht="15" customHeight="1">
      <c r="A308" t="inlineStr">
        <is>
          <t>A 43031-2025</t>
        </is>
      </c>
      <c r="B308" s="1" t="n">
        <v>45909.53856481481</v>
      </c>
      <c r="C308" s="1" t="n">
        <v>46128</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17495-2024</t>
        </is>
      </c>
      <c r="B309" s="1" t="n">
        <v>45415</v>
      </c>
      <c r="C309" s="1" t="n">
        <v>46128</v>
      </c>
      <c r="D309" t="inlineStr">
        <is>
          <t>VÄSTMANLANDS LÄN</t>
        </is>
      </c>
      <c r="E309" t="inlineStr">
        <is>
          <t>SALA</t>
        </is>
      </c>
      <c r="G309" t="n">
        <v>3.1</v>
      </c>
      <c r="H309" t="n">
        <v>0</v>
      </c>
      <c r="I309" t="n">
        <v>0</v>
      </c>
      <c r="J309" t="n">
        <v>0</v>
      </c>
      <c r="K309" t="n">
        <v>0</v>
      </c>
      <c r="L309" t="n">
        <v>0</v>
      </c>
      <c r="M309" t="n">
        <v>0</v>
      </c>
      <c r="N309" t="n">
        <v>0</v>
      </c>
      <c r="O309" t="n">
        <v>0</v>
      </c>
      <c r="P309" t="n">
        <v>0</v>
      </c>
      <c r="Q309" t="n">
        <v>0</v>
      </c>
      <c r="R309" s="2" t="inlineStr"/>
    </row>
    <row r="310" ht="15" customHeight="1">
      <c r="A310" t="inlineStr">
        <is>
          <t>A 37263-2025</t>
        </is>
      </c>
      <c r="B310" s="1" t="n">
        <v>45876.4584837963</v>
      </c>
      <c r="C310" s="1" t="n">
        <v>46128</v>
      </c>
      <c r="D310" t="inlineStr">
        <is>
          <t>VÄSTMANLANDS LÄN</t>
        </is>
      </c>
      <c r="E310" t="inlineStr">
        <is>
          <t>SALA</t>
        </is>
      </c>
      <c r="G310" t="n">
        <v>2.3</v>
      </c>
      <c r="H310" t="n">
        <v>0</v>
      </c>
      <c r="I310" t="n">
        <v>0</v>
      </c>
      <c r="J310" t="n">
        <v>0</v>
      </c>
      <c r="K310" t="n">
        <v>0</v>
      </c>
      <c r="L310" t="n">
        <v>0</v>
      </c>
      <c r="M310" t="n">
        <v>0</v>
      </c>
      <c r="N310" t="n">
        <v>0</v>
      </c>
      <c r="O310" t="n">
        <v>0</v>
      </c>
      <c r="P310" t="n">
        <v>0</v>
      </c>
      <c r="Q310" t="n">
        <v>0</v>
      </c>
      <c r="R310" s="2" t="inlineStr"/>
    </row>
    <row r="311" ht="15" customHeight="1">
      <c r="A311" t="inlineStr">
        <is>
          <t>A 40554-2025</t>
        </is>
      </c>
      <c r="B311" s="1" t="n">
        <v>45896.44506944445</v>
      </c>
      <c r="C311" s="1" t="n">
        <v>46128</v>
      </c>
      <c r="D311" t="inlineStr">
        <is>
          <t>VÄSTMANLANDS LÄN</t>
        </is>
      </c>
      <c r="E311" t="inlineStr">
        <is>
          <t>SALA</t>
        </is>
      </c>
      <c r="G311" t="n">
        <v>0.9</v>
      </c>
      <c r="H311" t="n">
        <v>0</v>
      </c>
      <c r="I311" t="n">
        <v>0</v>
      </c>
      <c r="J311" t="n">
        <v>0</v>
      </c>
      <c r="K311" t="n">
        <v>0</v>
      </c>
      <c r="L311" t="n">
        <v>0</v>
      </c>
      <c r="M311" t="n">
        <v>0</v>
      </c>
      <c r="N311" t="n">
        <v>0</v>
      </c>
      <c r="O311" t="n">
        <v>0</v>
      </c>
      <c r="P311" t="n">
        <v>0</v>
      </c>
      <c r="Q311" t="n">
        <v>0</v>
      </c>
      <c r="R311" s="2" t="inlineStr"/>
    </row>
    <row r="312" ht="15" customHeight="1">
      <c r="A312" t="inlineStr">
        <is>
          <t>A 7176-2023</t>
        </is>
      </c>
      <c r="B312" s="1" t="n">
        <v>44970</v>
      </c>
      <c r="C312" s="1" t="n">
        <v>46128</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25897-2024</t>
        </is>
      </c>
      <c r="B313" s="1" t="n">
        <v>45467.54435185185</v>
      </c>
      <c r="C313" s="1" t="n">
        <v>46128</v>
      </c>
      <c r="D313" t="inlineStr">
        <is>
          <t>VÄSTMANLANDS LÄN</t>
        </is>
      </c>
      <c r="E313" t="inlineStr">
        <is>
          <t>SALA</t>
        </is>
      </c>
      <c r="G313" t="n">
        <v>9.9</v>
      </c>
      <c r="H313" t="n">
        <v>0</v>
      </c>
      <c r="I313" t="n">
        <v>0</v>
      </c>
      <c r="J313" t="n">
        <v>0</v>
      </c>
      <c r="K313" t="n">
        <v>0</v>
      </c>
      <c r="L313" t="n">
        <v>0</v>
      </c>
      <c r="M313" t="n">
        <v>0</v>
      </c>
      <c r="N313" t="n">
        <v>0</v>
      </c>
      <c r="O313" t="n">
        <v>0</v>
      </c>
      <c r="P313" t="n">
        <v>0</v>
      </c>
      <c r="Q313" t="n">
        <v>0</v>
      </c>
      <c r="R313" s="2" t="inlineStr"/>
    </row>
    <row r="314" ht="15" customHeight="1">
      <c r="A314" t="inlineStr">
        <is>
          <t>A 43129-2025</t>
        </is>
      </c>
      <c r="B314" s="1" t="n">
        <v>45909</v>
      </c>
      <c r="C314" s="1" t="n">
        <v>46128</v>
      </c>
      <c r="D314" t="inlineStr">
        <is>
          <t>VÄSTMANLANDS LÄN</t>
        </is>
      </c>
      <c r="E314" t="inlineStr">
        <is>
          <t>SALA</t>
        </is>
      </c>
      <c r="G314" t="n">
        <v>2.4</v>
      </c>
      <c r="H314" t="n">
        <v>0</v>
      </c>
      <c r="I314" t="n">
        <v>0</v>
      </c>
      <c r="J314" t="n">
        <v>0</v>
      </c>
      <c r="K314" t="n">
        <v>0</v>
      </c>
      <c r="L314" t="n">
        <v>0</v>
      </c>
      <c r="M314" t="n">
        <v>0</v>
      </c>
      <c r="N314" t="n">
        <v>0</v>
      </c>
      <c r="O314" t="n">
        <v>0</v>
      </c>
      <c r="P314" t="n">
        <v>0</v>
      </c>
      <c r="Q314" t="n">
        <v>0</v>
      </c>
      <c r="R314" s="2" t="inlineStr"/>
    </row>
    <row r="315" ht="15" customHeight="1">
      <c r="A315" t="inlineStr">
        <is>
          <t>A 43130-2025</t>
        </is>
      </c>
      <c r="B315" s="1" t="n">
        <v>45909</v>
      </c>
      <c r="C315" s="1" t="n">
        <v>46128</v>
      </c>
      <c r="D315" t="inlineStr">
        <is>
          <t>VÄSTMANLANDS LÄN</t>
        </is>
      </c>
      <c r="E315" t="inlineStr">
        <is>
          <t>SALA</t>
        </is>
      </c>
      <c r="G315" t="n">
        <v>0.9</v>
      </c>
      <c r="H315" t="n">
        <v>0</v>
      </c>
      <c r="I315" t="n">
        <v>0</v>
      </c>
      <c r="J315" t="n">
        <v>0</v>
      </c>
      <c r="K315" t="n">
        <v>0</v>
      </c>
      <c r="L315" t="n">
        <v>0</v>
      </c>
      <c r="M315" t="n">
        <v>0</v>
      </c>
      <c r="N315" t="n">
        <v>0</v>
      </c>
      <c r="O315" t="n">
        <v>0</v>
      </c>
      <c r="P315" t="n">
        <v>0</v>
      </c>
      <c r="Q315" t="n">
        <v>0</v>
      </c>
      <c r="R315" s="2" t="inlineStr"/>
    </row>
    <row r="316" ht="15" customHeight="1">
      <c r="A316" t="inlineStr">
        <is>
          <t>A 43128-2025</t>
        </is>
      </c>
      <c r="B316" s="1" t="n">
        <v>45909</v>
      </c>
      <c r="C316" s="1" t="n">
        <v>46128</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23222-2023</t>
        </is>
      </c>
      <c r="B317" s="1" t="n">
        <v>45075</v>
      </c>
      <c r="C317" s="1" t="n">
        <v>46128</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23224-2023</t>
        </is>
      </c>
      <c r="B318" s="1" t="n">
        <v>45075.65040509259</v>
      </c>
      <c r="C318" s="1" t="n">
        <v>46128</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22624-2025</t>
        </is>
      </c>
      <c r="B319" s="1" t="n">
        <v>45789.43327546296</v>
      </c>
      <c r="C319" s="1" t="n">
        <v>46128</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43127-2025</t>
        </is>
      </c>
      <c r="B320" s="1" t="n">
        <v>45909</v>
      </c>
      <c r="C320" s="1" t="n">
        <v>46128</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50479-2022</t>
        </is>
      </c>
      <c r="B321" s="1" t="n">
        <v>44861</v>
      </c>
      <c r="C321" s="1" t="n">
        <v>46128</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31405-2024</t>
        </is>
      </c>
      <c r="B322" s="1" t="n">
        <v>45505.5490625</v>
      </c>
      <c r="C322" s="1" t="n">
        <v>46128</v>
      </c>
      <c r="D322" t="inlineStr">
        <is>
          <t>VÄSTMANLANDS LÄN</t>
        </is>
      </c>
      <c r="E322" t="inlineStr">
        <is>
          <t>SALA</t>
        </is>
      </c>
      <c r="G322" t="n">
        <v>5.2</v>
      </c>
      <c r="H322" t="n">
        <v>0</v>
      </c>
      <c r="I322" t="n">
        <v>0</v>
      </c>
      <c r="J322" t="n">
        <v>0</v>
      </c>
      <c r="K322" t="n">
        <v>0</v>
      </c>
      <c r="L322" t="n">
        <v>0</v>
      </c>
      <c r="M322" t="n">
        <v>0</v>
      </c>
      <c r="N322" t="n">
        <v>0</v>
      </c>
      <c r="O322" t="n">
        <v>0</v>
      </c>
      <c r="P322" t="n">
        <v>0</v>
      </c>
      <c r="Q322" t="n">
        <v>0</v>
      </c>
      <c r="R322" s="2" t="inlineStr"/>
    </row>
    <row r="323" ht="15" customHeight="1">
      <c r="A323" t="inlineStr">
        <is>
          <t>A 40871-2021</t>
        </is>
      </c>
      <c r="B323" s="1" t="n">
        <v>44421</v>
      </c>
      <c r="C323" s="1" t="n">
        <v>46128</v>
      </c>
      <c r="D323" t="inlineStr">
        <is>
          <t>VÄSTMANLANDS LÄN</t>
        </is>
      </c>
      <c r="E323" t="inlineStr">
        <is>
          <t>SALA</t>
        </is>
      </c>
      <c r="G323" t="n">
        <v>1.4</v>
      </c>
      <c r="H323" t="n">
        <v>0</v>
      </c>
      <c r="I323" t="n">
        <v>0</v>
      </c>
      <c r="J323" t="n">
        <v>0</v>
      </c>
      <c r="K323" t="n">
        <v>0</v>
      </c>
      <c r="L323" t="n">
        <v>0</v>
      </c>
      <c r="M323" t="n">
        <v>0</v>
      </c>
      <c r="N323" t="n">
        <v>0</v>
      </c>
      <c r="O323" t="n">
        <v>0</v>
      </c>
      <c r="P323" t="n">
        <v>0</v>
      </c>
      <c r="Q323" t="n">
        <v>0</v>
      </c>
      <c r="R323" s="2" t="inlineStr"/>
    </row>
    <row r="324" ht="15" customHeight="1">
      <c r="A324" t="inlineStr">
        <is>
          <t>A 22616-2025</t>
        </is>
      </c>
      <c r="B324" s="1" t="n">
        <v>45789.42752314815</v>
      </c>
      <c r="C324" s="1" t="n">
        <v>46128</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43600-2024</t>
        </is>
      </c>
      <c r="B325" s="1" t="n">
        <v>45569</v>
      </c>
      <c r="C325" s="1" t="n">
        <v>46128</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19803-2024</t>
        </is>
      </c>
      <c r="B326" s="1" t="n">
        <v>45432</v>
      </c>
      <c r="C326" s="1" t="n">
        <v>46128</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13130-2025</t>
        </is>
      </c>
      <c r="B327" s="1" t="n">
        <v>45734</v>
      </c>
      <c r="C327" s="1" t="n">
        <v>46128</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14919-2025</t>
        </is>
      </c>
      <c r="B328" s="1" t="n">
        <v>45743.54256944444</v>
      </c>
      <c r="C328" s="1" t="n">
        <v>46128</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14920-2025</t>
        </is>
      </c>
      <c r="B329" s="1" t="n">
        <v>45743</v>
      </c>
      <c r="C329" s="1" t="n">
        <v>46128</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44100-2025</t>
        </is>
      </c>
      <c r="B330" s="1" t="n">
        <v>45915.56707175926</v>
      </c>
      <c r="C330" s="1" t="n">
        <v>46128</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13855-2023</t>
        </is>
      </c>
      <c r="B331" s="1" t="n">
        <v>45007</v>
      </c>
      <c r="C331" s="1" t="n">
        <v>46128</v>
      </c>
      <c r="D331" t="inlineStr">
        <is>
          <t>VÄSTMANLANDS LÄN</t>
        </is>
      </c>
      <c r="E331" t="inlineStr">
        <is>
          <t>SALA</t>
        </is>
      </c>
      <c r="G331" t="n">
        <v>2.9</v>
      </c>
      <c r="H331" t="n">
        <v>0</v>
      </c>
      <c r="I331" t="n">
        <v>0</v>
      </c>
      <c r="J331" t="n">
        <v>0</v>
      </c>
      <c r="K331" t="n">
        <v>0</v>
      </c>
      <c r="L331" t="n">
        <v>0</v>
      </c>
      <c r="M331" t="n">
        <v>0</v>
      </c>
      <c r="N331" t="n">
        <v>0</v>
      </c>
      <c r="O331" t="n">
        <v>0</v>
      </c>
      <c r="P331" t="n">
        <v>0</v>
      </c>
      <c r="Q331" t="n">
        <v>0</v>
      </c>
      <c r="R331" s="2" t="inlineStr"/>
    </row>
    <row r="332" ht="15" customHeight="1">
      <c r="A332" t="inlineStr">
        <is>
          <t>A 44486-2025</t>
        </is>
      </c>
      <c r="B332" s="1" t="n">
        <v>45916.65517361111</v>
      </c>
      <c r="C332" s="1" t="n">
        <v>46128</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44524-2025</t>
        </is>
      </c>
      <c r="B333" s="1" t="n">
        <v>45916.72920138889</v>
      </c>
      <c r="C333" s="1" t="n">
        <v>46128</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18877-2023</t>
        </is>
      </c>
      <c r="B334" s="1" t="n">
        <v>45044</v>
      </c>
      <c r="C334" s="1" t="n">
        <v>46128</v>
      </c>
      <c r="D334" t="inlineStr">
        <is>
          <t>VÄSTMANLANDS LÄN</t>
        </is>
      </c>
      <c r="E334" t="inlineStr">
        <is>
          <t>SALA</t>
        </is>
      </c>
      <c r="F334" t="inlineStr">
        <is>
          <t>Kommuner</t>
        </is>
      </c>
      <c r="G334" t="n">
        <v>4.4</v>
      </c>
      <c r="H334" t="n">
        <v>0</v>
      </c>
      <c r="I334" t="n">
        <v>0</v>
      </c>
      <c r="J334" t="n">
        <v>0</v>
      </c>
      <c r="K334" t="n">
        <v>0</v>
      </c>
      <c r="L334" t="n">
        <v>0</v>
      </c>
      <c r="M334" t="n">
        <v>0</v>
      </c>
      <c r="N334" t="n">
        <v>0</v>
      </c>
      <c r="O334" t="n">
        <v>0</v>
      </c>
      <c r="P334" t="n">
        <v>0</v>
      </c>
      <c r="Q334" t="n">
        <v>0</v>
      </c>
      <c r="R334" s="2" t="inlineStr"/>
    </row>
    <row r="335" ht="15" customHeight="1">
      <c r="A335" t="inlineStr">
        <is>
          <t>A 55556-2023</t>
        </is>
      </c>
      <c r="B335" s="1" t="n">
        <v>45232</v>
      </c>
      <c r="C335" s="1" t="n">
        <v>46128</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34494-2023</t>
        </is>
      </c>
      <c r="B336" s="1" t="n">
        <v>45133</v>
      </c>
      <c r="C336" s="1" t="n">
        <v>46128</v>
      </c>
      <c r="D336" t="inlineStr">
        <is>
          <t>VÄSTMANLANDS LÄN</t>
        </is>
      </c>
      <c r="E336" t="inlineStr">
        <is>
          <t>SALA</t>
        </is>
      </c>
      <c r="G336" t="n">
        <v>0.8</v>
      </c>
      <c r="H336" t="n">
        <v>0</v>
      </c>
      <c r="I336" t="n">
        <v>0</v>
      </c>
      <c r="J336" t="n">
        <v>0</v>
      </c>
      <c r="K336" t="n">
        <v>0</v>
      </c>
      <c r="L336" t="n">
        <v>0</v>
      </c>
      <c r="M336" t="n">
        <v>0</v>
      </c>
      <c r="N336" t="n">
        <v>0</v>
      </c>
      <c r="O336" t="n">
        <v>0</v>
      </c>
      <c r="P336" t="n">
        <v>0</v>
      </c>
      <c r="Q336" t="n">
        <v>0</v>
      </c>
      <c r="R336" s="2" t="inlineStr"/>
    </row>
    <row r="337" ht="15" customHeight="1">
      <c r="A337" t="inlineStr">
        <is>
          <t>A 43122-2025</t>
        </is>
      </c>
      <c r="B337" s="1" t="n">
        <v>45909</v>
      </c>
      <c r="C337" s="1" t="n">
        <v>46128</v>
      </c>
      <c r="D337" t="inlineStr">
        <is>
          <t>VÄSTMANLANDS LÄN</t>
        </is>
      </c>
      <c r="E337" t="inlineStr">
        <is>
          <t>SALA</t>
        </is>
      </c>
      <c r="G337" t="n">
        <v>3.2</v>
      </c>
      <c r="H337" t="n">
        <v>0</v>
      </c>
      <c r="I337" t="n">
        <v>0</v>
      </c>
      <c r="J337" t="n">
        <v>0</v>
      </c>
      <c r="K337" t="n">
        <v>0</v>
      </c>
      <c r="L337" t="n">
        <v>0</v>
      </c>
      <c r="M337" t="n">
        <v>0</v>
      </c>
      <c r="N337" t="n">
        <v>0</v>
      </c>
      <c r="O337" t="n">
        <v>0</v>
      </c>
      <c r="P337" t="n">
        <v>0</v>
      </c>
      <c r="Q337" t="n">
        <v>0</v>
      </c>
      <c r="R337" s="2" t="inlineStr"/>
    </row>
    <row r="338" ht="15" customHeight="1">
      <c r="A338" t="inlineStr">
        <is>
          <t>A 13752-2025</t>
        </is>
      </c>
      <c r="B338" s="1" t="n">
        <v>45737.41416666667</v>
      </c>
      <c r="C338" s="1" t="n">
        <v>46128</v>
      </c>
      <c r="D338" t="inlineStr">
        <is>
          <t>VÄSTMANLANDS LÄN</t>
        </is>
      </c>
      <c r="E338" t="inlineStr">
        <is>
          <t>SALA</t>
        </is>
      </c>
      <c r="G338" t="n">
        <v>0.4</v>
      </c>
      <c r="H338" t="n">
        <v>0</v>
      </c>
      <c r="I338" t="n">
        <v>0</v>
      </c>
      <c r="J338" t="n">
        <v>0</v>
      </c>
      <c r="K338" t="n">
        <v>0</v>
      </c>
      <c r="L338" t="n">
        <v>0</v>
      </c>
      <c r="M338" t="n">
        <v>0</v>
      </c>
      <c r="N338" t="n">
        <v>0</v>
      </c>
      <c r="O338" t="n">
        <v>0</v>
      </c>
      <c r="P338" t="n">
        <v>0</v>
      </c>
      <c r="Q338" t="n">
        <v>0</v>
      </c>
      <c r="R338" s="2" t="inlineStr"/>
    </row>
    <row r="339" ht="15" customHeight="1">
      <c r="A339" t="inlineStr">
        <is>
          <t>A 24169-2025</t>
        </is>
      </c>
      <c r="B339" s="1" t="n">
        <v>45796</v>
      </c>
      <c r="C339" s="1" t="n">
        <v>46128</v>
      </c>
      <c r="D339" t="inlineStr">
        <is>
          <t>VÄSTMANLANDS LÄN</t>
        </is>
      </c>
      <c r="E339" t="inlineStr">
        <is>
          <t>SALA</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22126-2025</t>
        </is>
      </c>
      <c r="B340" s="1" t="n">
        <v>45785</v>
      </c>
      <c r="C340" s="1" t="n">
        <v>46128</v>
      </c>
      <c r="D340" t="inlineStr">
        <is>
          <t>VÄSTMANLANDS LÄN</t>
        </is>
      </c>
      <c r="E340" t="inlineStr">
        <is>
          <t>SALA</t>
        </is>
      </c>
      <c r="G340" t="n">
        <v>10.6</v>
      </c>
      <c r="H340" t="n">
        <v>0</v>
      </c>
      <c r="I340" t="n">
        <v>0</v>
      </c>
      <c r="J340" t="n">
        <v>0</v>
      </c>
      <c r="K340" t="n">
        <v>0</v>
      </c>
      <c r="L340" t="n">
        <v>0</v>
      </c>
      <c r="M340" t="n">
        <v>0</v>
      </c>
      <c r="N340" t="n">
        <v>0</v>
      </c>
      <c r="O340" t="n">
        <v>0</v>
      </c>
      <c r="P340" t="n">
        <v>0</v>
      </c>
      <c r="Q340" t="n">
        <v>0</v>
      </c>
      <c r="R340" s="2" t="inlineStr"/>
    </row>
    <row r="341" ht="15" customHeight="1">
      <c r="A341" t="inlineStr">
        <is>
          <t>A 23810-2025</t>
        </is>
      </c>
      <c r="B341" s="1" t="n">
        <v>45793.56989583333</v>
      </c>
      <c r="C341" s="1" t="n">
        <v>46128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19398-2025</t>
        </is>
      </c>
      <c r="B342" s="1" t="n">
        <v>45769</v>
      </c>
      <c r="C342" s="1" t="n">
        <v>46128</v>
      </c>
      <c r="D342" t="inlineStr">
        <is>
          <t>VÄSTMANLANDS LÄN</t>
        </is>
      </c>
      <c r="E342" t="inlineStr">
        <is>
          <t>SALA</t>
        </is>
      </c>
      <c r="G342" t="n">
        <v>0.4</v>
      </c>
      <c r="H342" t="n">
        <v>0</v>
      </c>
      <c r="I342" t="n">
        <v>0</v>
      </c>
      <c r="J342" t="n">
        <v>0</v>
      </c>
      <c r="K342" t="n">
        <v>0</v>
      </c>
      <c r="L342" t="n">
        <v>0</v>
      </c>
      <c r="M342" t="n">
        <v>0</v>
      </c>
      <c r="N342" t="n">
        <v>0</v>
      </c>
      <c r="O342" t="n">
        <v>0</v>
      </c>
      <c r="P342" t="n">
        <v>0</v>
      </c>
      <c r="Q342" t="n">
        <v>0</v>
      </c>
      <c r="R342" s="2" t="inlineStr"/>
    </row>
    <row r="343" ht="15" customHeight="1">
      <c r="A343" t="inlineStr">
        <is>
          <t>A 24944-2023</t>
        </is>
      </c>
      <c r="B343" s="1" t="n">
        <v>45085</v>
      </c>
      <c r="C343" s="1" t="n">
        <v>46128</v>
      </c>
      <c r="D343" t="inlineStr">
        <is>
          <t>VÄSTMANLANDS LÄN</t>
        </is>
      </c>
      <c r="E343" t="inlineStr">
        <is>
          <t>SALA</t>
        </is>
      </c>
      <c r="G343" t="n">
        <v>3.8</v>
      </c>
      <c r="H343" t="n">
        <v>0</v>
      </c>
      <c r="I343" t="n">
        <v>0</v>
      </c>
      <c r="J343" t="n">
        <v>0</v>
      </c>
      <c r="K343" t="n">
        <v>0</v>
      </c>
      <c r="L343" t="n">
        <v>0</v>
      </c>
      <c r="M343" t="n">
        <v>0</v>
      </c>
      <c r="N343" t="n">
        <v>0</v>
      </c>
      <c r="O343" t="n">
        <v>0</v>
      </c>
      <c r="P343" t="n">
        <v>0</v>
      </c>
      <c r="Q343" t="n">
        <v>0</v>
      </c>
      <c r="R343" s="2" t="inlineStr"/>
    </row>
    <row r="344" ht="15" customHeight="1">
      <c r="A344" t="inlineStr">
        <is>
          <t>A 22921-2023</t>
        </is>
      </c>
      <c r="B344" s="1" t="n">
        <v>45070</v>
      </c>
      <c r="C344" s="1" t="n">
        <v>46128</v>
      </c>
      <c r="D344" t="inlineStr">
        <is>
          <t>VÄSTMANLANDS LÄN</t>
        </is>
      </c>
      <c r="E344" t="inlineStr">
        <is>
          <t>SALA</t>
        </is>
      </c>
      <c r="G344" t="n">
        <v>1.3</v>
      </c>
      <c r="H344" t="n">
        <v>0</v>
      </c>
      <c r="I344" t="n">
        <v>0</v>
      </c>
      <c r="J344" t="n">
        <v>0</v>
      </c>
      <c r="K344" t="n">
        <v>0</v>
      </c>
      <c r="L344" t="n">
        <v>0</v>
      </c>
      <c r="M344" t="n">
        <v>0</v>
      </c>
      <c r="N344" t="n">
        <v>0</v>
      </c>
      <c r="O344" t="n">
        <v>0</v>
      </c>
      <c r="P344" t="n">
        <v>0</v>
      </c>
      <c r="Q344" t="n">
        <v>0</v>
      </c>
      <c r="R344" s="2" t="inlineStr"/>
    </row>
    <row r="345" ht="15" customHeight="1">
      <c r="A345" t="inlineStr">
        <is>
          <t>A 23804-2025</t>
        </is>
      </c>
      <c r="B345" s="1" t="n">
        <v>45793.55995370371</v>
      </c>
      <c r="C345" s="1" t="n">
        <v>46128</v>
      </c>
      <c r="D345" t="inlineStr">
        <is>
          <t>VÄSTMANLANDS LÄN</t>
        </is>
      </c>
      <c r="E345" t="inlineStr">
        <is>
          <t>SALA</t>
        </is>
      </c>
      <c r="G345" t="n">
        <v>1.9</v>
      </c>
      <c r="H345" t="n">
        <v>0</v>
      </c>
      <c r="I345" t="n">
        <v>0</v>
      </c>
      <c r="J345" t="n">
        <v>0</v>
      </c>
      <c r="K345" t="n">
        <v>0</v>
      </c>
      <c r="L345" t="n">
        <v>0</v>
      </c>
      <c r="M345" t="n">
        <v>0</v>
      </c>
      <c r="N345" t="n">
        <v>0</v>
      </c>
      <c r="O345" t="n">
        <v>0</v>
      </c>
      <c r="P345" t="n">
        <v>0</v>
      </c>
      <c r="Q345" t="n">
        <v>0</v>
      </c>
      <c r="R345" s="2" t="inlineStr"/>
    </row>
    <row r="346" ht="15" customHeight="1">
      <c r="A346" t="inlineStr">
        <is>
          <t>A 16133-2025</t>
        </is>
      </c>
      <c r="B346" s="1" t="n">
        <v>45750</v>
      </c>
      <c r="C346" s="1" t="n">
        <v>46128</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11210-2025</t>
        </is>
      </c>
      <c r="B347" s="1" t="n">
        <v>45726</v>
      </c>
      <c r="C347" s="1" t="n">
        <v>46128</v>
      </c>
      <c r="D347" t="inlineStr">
        <is>
          <t>VÄSTMANLANDS LÄN</t>
        </is>
      </c>
      <c r="E347" t="inlineStr">
        <is>
          <t>SALA</t>
        </is>
      </c>
      <c r="G347" t="n">
        <v>4.1</v>
      </c>
      <c r="H347" t="n">
        <v>0</v>
      </c>
      <c r="I347" t="n">
        <v>0</v>
      </c>
      <c r="J347" t="n">
        <v>0</v>
      </c>
      <c r="K347" t="n">
        <v>0</v>
      </c>
      <c r="L347" t="n">
        <v>0</v>
      </c>
      <c r="M347" t="n">
        <v>0</v>
      </c>
      <c r="N347" t="n">
        <v>0</v>
      </c>
      <c r="O347" t="n">
        <v>0</v>
      </c>
      <c r="P347" t="n">
        <v>0</v>
      </c>
      <c r="Q347" t="n">
        <v>0</v>
      </c>
      <c r="R347" s="2" t="inlineStr"/>
    </row>
    <row r="348" ht="15" customHeight="1">
      <c r="A348" t="inlineStr">
        <is>
          <t>A 19297-2025</t>
        </is>
      </c>
      <c r="B348" s="1" t="n">
        <v>45769.56261574074</v>
      </c>
      <c r="C348" s="1" t="n">
        <v>46128</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45371-2025</t>
        </is>
      </c>
      <c r="B349" s="1" t="n">
        <v>45922.39001157408</v>
      </c>
      <c r="C349" s="1" t="n">
        <v>46128</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45177-2025</t>
        </is>
      </c>
      <c r="B350" s="1" t="n">
        <v>45919.52444444445</v>
      </c>
      <c r="C350" s="1" t="n">
        <v>46128</v>
      </c>
      <c r="D350" t="inlineStr">
        <is>
          <t>VÄSTMANLANDS LÄN</t>
        </is>
      </c>
      <c r="E350" t="inlineStr">
        <is>
          <t>SALA</t>
        </is>
      </c>
      <c r="G350" t="n">
        <v>2.4</v>
      </c>
      <c r="H350" t="n">
        <v>0</v>
      </c>
      <c r="I350" t="n">
        <v>0</v>
      </c>
      <c r="J350" t="n">
        <v>0</v>
      </c>
      <c r="K350" t="n">
        <v>0</v>
      </c>
      <c r="L350" t="n">
        <v>0</v>
      </c>
      <c r="M350" t="n">
        <v>0</v>
      </c>
      <c r="N350" t="n">
        <v>0</v>
      </c>
      <c r="O350" t="n">
        <v>0</v>
      </c>
      <c r="P350" t="n">
        <v>0</v>
      </c>
      <c r="Q350" t="n">
        <v>0</v>
      </c>
      <c r="R350" s="2" t="inlineStr"/>
    </row>
    <row r="351" ht="15" customHeight="1">
      <c r="A351" t="inlineStr">
        <is>
          <t>A 24460-2025</t>
        </is>
      </c>
      <c r="B351" s="1" t="n">
        <v>45798</v>
      </c>
      <c r="C351" s="1" t="n">
        <v>46128</v>
      </c>
      <c r="D351" t="inlineStr">
        <is>
          <t>VÄSTMANLANDS LÄN</t>
        </is>
      </c>
      <c r="E351" t="inlineStr">
        <is>
          <t>SALA</t>
        </is>
      </c>
      <c r="F351" t="inlineStr">
        <is>
          <t>Bergvik skog öst AB</t>
        </is>
      </c>
      <c r="G351" t="n">
        <v>2.6</v>
      </c>
      <c r="H351" t="n">
        <v>0</v>
      </c>
      <c r="I351" t="n">
        <v>0</v>
      </c>
      <c r="J351" t="n">
        <v>0</v>
      </c>
      <c r="K351" t="n">
        <v>0</v>
      </c>
      <c r="L351" t="n">
        <v>0</v>
      </c>
      <c r="M351" t="n">
        <v>0</v>
      </c>
      <c r="N351" t="n">
        <v>0</v>
      </c>
      <c r="O351" t="n">
        <v>0</v>
      </c>
      <c r="P351" t="n">
        <v>0</v>
      </c>
      <c r="Q351" t="n">
        <v>0</v>
      </c>
      <c r="R351" s="2" t="inlineStr"/>
    </row>
    <row r="352" ht="15" customHeight="1">
      <c r="A352" t="inlineStr">
        <is>
          <t>A 6127-2025</t>
        </is>
      </c>
      <c r="B352" s="1" t="n">
        <v>45698</v>
      </c>
      <c r="C352" s="1" t="n">
        <v>46128</v>
      </c>
      <c r="D352" t="inlineStr">
        <is>
          <t>VÄSTMANLANDS LÄN</t>
        </is>
      </c>
      <c r="E352" t="inlineStr">
        <is>
          <t>SALA</t>
        </is>
      </c>
      <c r="F352" t="inlineStr">
        <is>
          <t>Bergvik skog öst AB</t>
        </is>
      </c>
      <c r="G352" t="n">
        <v>4.3</v>
      </c>
      <c r="H352" t="n">
        <v>0</v>
      </c>
      <c r="I352" t="n">
        <v>0</v>
      </c>
      <c r="J352" t="n">
        <v>0</v>
      </c>
      <c r="K352" t="n">
        <v>0</v>
      </c>
      <c r="L352" t="n">
        <v>0</v>
      </c>
      <c r="M352" t="n">
        <v>0</v>
      </c>
      <c r="N352" t="n">
        <v>0</v>
      </c>
      <c r="O352" t="n">
        <v>0</v>
      </c>
      <c r="P352" t="n">
        <v>0</v>
      </c>
      <c r="Q352" t="n">
        <v>0</v>
      </c>
      <c r="R352" s="2" t="inlineStr"/>
    </row>
    <row r="353" ht="15" customHeight="1">
      <c r="A353" t="inlineStr">
        <is>
          <t>A 15272-2025</t>
        </is>
      </c>
      <c r="B353" s="1" t="n">
        <v>45744</v>
      </c>
      <c r="C353" s="1" t="n">
        <v>46128</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24248-2023</t>
        </is>
      </c>
      <c r="B354" s="1" t="n">
        <v>45079</v>
      </c>
      <c r="C354" s="1" t="n">
        <v>46128</v>
      </c>
      <c r="D354" t="inlineStr">
        <is>
          <t>VÄSTMANLANDS LÄN</t>
        </is>
      </c>
      <c r="E354" t="inlineStr">
        <is>
          <t>SALA</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55065-2024</t>
        </is>
      </c>
      <c r="B355" s="1" t="n">
        <v>45618</v>
      </c>
      <c r="C355" s="1" t="n">
        <v>46128</v>
      </c>
      <c r="D355" t="inlineStr">
        <is>
          <t>VÄSTMANLANDS LÄN</t>
        </is>
      </c>
      <c r="E355" t="inlineStr">
        <is>
          <t>SALA</t>
        </is>
      </c>
      <c r="G355" t="n">
        <v>3.5</v>
      </c>
      <c r="H355" t="n">
        <v>0</v>
      </c>
      <c r="I355" t="n">
        <v>0</v>
      </c>
      <c r="J355" t="n">
        <v>0</v>
      </c>
      <c r="K355" t="n">
        <v>0</v>
      </c>
      <c r="L355" t="n">
        <v>0</v>
      </c>
      <c r="M355" t="n">
        <v>0</v>
      </c>
      <c r="N355" t="n">
        <v>0</v>
      </c>
      <c r="O355" t="n">
        <v>0</v>
      </c>
      <c r="P355" t="n">
        <v>0</v>
      </c>
      <c r="Q355" t="n">
        <v>0</v>
      </c>
      <c r="R355" s="2" t="inlineStr"/>
    </row>
    <row r="356" ht="15" customHeight="1">
      <c r="A356" t="inlineStr">
        <is>
          <t>A 24864-2024</t>
        </is>
      </c>
      <c r="B356" s="1" t="n">
        <v>45461.48888888889</v>
      </c>
      <c r="C356" s="1" t="n">
        <v>46128</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24463-2025</t>
        </is>
      </c>
      <c r="B357" s="1" t="n">
        <v>45798</v>
      </c>
      <c r="C357" s="1" t="n">
        <v>46128</v>
      </c>
      <c r="D357" t="inlineStr">
        <is>
          <t>VÄSTMANLANDS LÄN</t>
        </is>
      </c>
      <c r="E357" t="inlineStr">
        <is>
          <t>SALA</t>
        </is>
      </c>
      <c r="F357" t="inlineStr">
        <is>
          <t>Bergvik skog öst AB</t>
        </is>
      </c>
      <c r="G357" t="n">
        <v>1.5</v>
      </c>
      <c r="H357" t="n">
        <v>0</v>
      </c>
      <c r="I357" t="n">
        <v>0</v>
      </c>
      <c r="J357" t="n">
        <v>0</v>
      </c>
      <c r="K357" t="n">
        <v>0</v>
      </c>
      <c r="L357" t="n">
        <v>0</v>
      </c>
      <c r="M357" t="n">
        <v>0</v>
      </c>
      <c r="N357" t="n">
        <v>0</v>
      </c>
      <c r="O357" t="n">
        <v>0</v>
      </c>
      <c r="P357" t="n">
        <v>0</v>
      </c>
      <c r="Q357" t="n">
        <v>0</v>
      </c>
      <c r="R357" s="2" t="inlineStr"/>
    </row>
    <row r="358" ht="15" customHeight="1">
      <c r="A358" t="inlineStr">
        <is>
          <t>A 38195-2021</t>
        </is>
      </c>
      <c r="B358" s="1" t="n">
        <v>44405</v>
      </c>
      <c r="C358" s="1" t="n">
        <v>46128</v>
      </c>
      <c r="D358" t="inlineStr">
        <is>
          <t>VÄSTMANLANDS LÄN</t>
        </is>
      </c>
      <c r="E358" t="inlineStr">
        <is>
          <t>SALA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27228-2023</t>
        </is>
      </c>
      <c r="B359" s="1" t="n">
        <v>45096.59189814814</v>
      </c>
      <c r="C359" s="1" t="n">
        <v>46128</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45914-2025</t>
        </is>
      </c>
      <c r="B360" s="1" t="n">
        <v>45923.82582175926</v>
      </c>
      <c r="C360" s="1" t="n">
        <v>46128</v>
      </c>
      <c r="D360" t="inlineStr">
        <is>
          <t>VÄSTMANLANDS LÄN</t>
        </is>
      </c>
      <c r="E360" t="inlineStr">
        <is>
          <t>SALA</t>
        </is>
      </c>
      <c r="F360" t="inlineStr">
        <is>
          <t>Kommuner</t>
        </is>
      </c>
      <c r="G360" t="n">
        <v>18.2</v>
      </c>
      <c r="H360" t="n">
        <v>0</v>
      </c>
      <c r="I360" t="n">
        <v>0</v>
      </c>
      <c r="J360" t="n">
        <v>0</v>
      </c>
      <c r="K360" t="n">
        <v>0</v>
      </c>
      <c r="L360" t="n">
        <v>0</v>
      </c>
      <c r="M360" t="n">
        <v>0</v>
      </c>
      <c r="N360" t="n">
        <v>0</v>
      </c>
      <c r="O360" t="n">
        <v>0</v>
      </c>
      <c r="P360" t="n">
        <v>0</v>
      </c>
      <c r="Q360" t="n">
        <v>0</v>
      </c>
      <c r="R360" s="2" t="inlineStr"/>
    </row>
    <row r="361" ht="15" customHeight="1">
      <c r="A361" t="inlineStr">
        <is>
          <t>A 1118-2024</t>
        </is>
      </c>
      <c r="B361" s="1" t="n">
        <v>45302</v>
      </c>
      <c r="C361" s="1" t="n">
        <v>46128</v>
      </c>
      <c r="D361" t="inlineStr">
        <is>
          <t>VÄSTMANLANDS LÄN</t>
        </is>
      </c>
      <c r="E361" t="inlineStr">
        <is>
          <t>SALA</t>
        </is>
      </c>
      <c r="G361" t="n">
        <v>1.9</v>
      </c>
      <c r="H361" t="n">
        <v>0</v>
      </c>
      <c r="I361" t="n">
        <v>0</v>
      </c>
      <c r="J361" t="n">
        <v>0</v>
      </c>
      <c r="K361" t="n">
        <v>0</v>
      </c>
      <c r="L361" t="n">
        <v>0</v>
      </c>
      <c r="M361" t="n">
        <v>0</v>
      </c>
      <c r="N361" t="n">
        <v>0</v>
      </c>
      <c r="O361" t="n">
        <v>0</v>
      </c>
      <c r="P361" t="n">
        <v>0</v>
      </c>
      <c r="Q361" t="n">
        <v>0</v>
      </c>
      <c r="R361" s="2" t="inlineStr"/>
    </row>
    <row r="362" ht="15" customHeight="1">
      <c r="A362" t="inlineStr">
        <is>
          <t>A 63933-2023</t>
        </is>
      </c>
      <c r="B362" s="1" t="n">
        <v>45278</v>
      </c>
      <c r="C362" s="1" t="n">
        <v>46128</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45909-2025</t>
        </is>
      </c>
      <c r="B363" s="1" t="n">
        <v>45923.75078703704</v>
      </c>
      <c r="C363" s="1" t="n">
        <v>46128</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53838-2022</t>
        </is>
      </c>
      <c r="B364" s="1" t="n">
        <v>44880.59363425926</v>
      </c>
      <c r="C364" s="1" t="n">
        <v>46128</v>
      </c>
      <c r="D364" t="inlineStr">
        <is>
          <t>VÄSTMANLANDS LÄN</t>
        </is>
      </c>
      <c r="E364" t="inlineStr">
        <is>
          <t>SALA</t>
        </is>
      </c>
      <c r="G364" t="n">
        <v>3.9</v>
      </c>
      <c r="H364" t="n">
        <v>0</v>
      </c>
      <c r="I364" t="n">
        <v>0</v>
      </c>
      <c r="J364" t="n">
        <v>0</v>
      </c>
      <c r="K364" t="n">
        <v>0</v>
      </c>
      <c r="L364" t="n">
        <v>0</v>
      </c>
      <c r="M364" t="n">
        <v>0</v>
      </c>
      <c r="N364" t="n">
        <v>0</v>
      </c>
      <c r="O364" t="n">
        <v>0</v>
      </c>
      <c r="P364" t="n">
        <v>0</v>
      </c>
      <c r="Q364" t="n">
        <v>0</v>
      </c>
      <c r="R364" s="2" t="inlineStr"/>
    </row>
    <row r="365" ht="15" customHeight="1">
      <c r="A365" t="inlineStr">
        <is>
          <t>A 46597-2025</t>
        </is>
      </c>
      <c r="B365" s="1" t="n">
        <v>45926.40113425926</v>
      </c>
      <c r="C365" s="1" t="n">
        <v>46128</v>
      </c>
      <c r="D365" t="inlineStr">
        <is>
          <t>VÄSTMANLANDS LÄN</t>
        </is>
      </c>
      <c r="E365" t="inlineStr">
        <is>
          <t>SALA</t>
        </is>
      </c>
      <c r="G365" t="n">
        <v>3.4</v>
      </c>
      <c r="H365" t="n">
        <v>0</v>
      </c>
      <c r="I365" t="n">
        <v>0</v>
      </c>
      <c r="J365" t="n">
        <v>0</v>
      </c>
      <c r="K365" t="n">
        <v>0</v>
      </c>
      <c r="L365" t="n">
        <v>0</v>
      </c>
      <c r="M365" t="n">
        <v>0</v>
      </c>
      <c r="N365" t="n">
        <v>0</v>
      </c>
      <c r="O365" t="n">
        <v>0</v>
      </c>
      <c r="P365" t="n">
        <v>0</v>
      </c>
      <c r="Q365" t="n">
        <v>0</v>
      </c>
      <c r="R365" s="2" t="inlineStr"/>
    </row>
    <row r="366" ht="15" customHeight="1">
      <c r="A366" t="inlineStr">
        <is>
          <t>A 24907-2025</t>
        </is>
      </c>
      <c r="B366" s="1" t="n">
        <v>45799</v>
      </c>
      <c r="C366" s="1" t="n">
        <v>46128</v>
      </c>
      <c r="D366" t="inlineStr">
        <is>
          <t>VÄSTMANLANDS LÄN</t>
        </is>
      </c>
      <c r="E366" t="inlineStr">
        <is>
          <t>SALA</t>
        </is>
      </c>
      <c r="G366" t="n">
        <v>3.5</v>
      </c>
      <c r="H366" t="n">
        <v>0</v>
      </c>
      <c r="I366" t="n">
        <v>0</v>
      </c>
      <c r="J366" t="n">
        <v>0</v>
      </c>
      <c r="K366" t="n">
        <v>0</v>
      </c>
      <c r="L366" t="n">
        <v>0</v>
      </c>
      <c r="M366" t="n">
        <v>0</v>
      </c>
      <c r="N366" t="n">
        <v>0</v>
      </c>
      <c r="O366" t="n">
        <v>0</v>
      </c>
      <c r="P366" t="n">
        <v>0</v>
      </c>
      <c r="Q366" t="n">
        <v>0</v>
      </c>
      <c r="R366" s="2" t="inlineStr"/>
    </row>
    <row r="367" ht="15" customHeight="1">
      <c r="A367" t="inlineStr">
        <is>
          <t>A 24910-2025</t>
        </is>
      </c>
      <c r="B367" s="1" t="n">
        <v>45799.53775462963</v>
      </c>
      <c r="C367" s="1" t="n">
        <v>46128</v>
      </c>
      <c r="D367" t="inlineStr">
        <is>
          <t>VÄSTMANLANDS LÄN</t>
        </is>
      </c>
      <c r="E367" t="inlineStr">
        <is>
          <t>SALA</t>
        </is>
      </c>
      <c r="G367" t="n">
        <v>3.5</v>
      </c>
      <c r="H367" t="n">
        <v>0</v>
      </c>
      <c r="I367" t="n">
        <v>0</v>
      </c>
      <c r="J367" t="n">
        <v>0</v>
      </c>
      <c r="K367" t="n">
        <v>0</v>
      </c>
      <c r="L367" t="n">
        <v>0</v>
      </c>
      <c r="M367" t="n">
        <v>0</v>
      </c>
      <c r="N367" t="n">
        <v>0</v>
      </c>
      <c r="O367" t="n">
        <v>0</v>
      </c>
      <c r="P367" t="n">
        <v>0</v>
      </c>
      <c r="Q367" t="n">
        <v>0</v>
      </c>
      <c r="R367" s="2" t="inlineStr"/>
    </row>
    <row r="368" ht="15" customHeight="1">
      <c r="A368" t="inlineStr">
        <is>
          <t>A 25260-2023</t>
        </is>
      </c>
      <c r="B368" s="1" t="n">
        <v>45086</v>
      </c>
      <c r="C368" s="1" t="n">
        <v>46128</v>
      </c>
      <c r="D368" t="inlineStr">
        <is>
          <t>VÄSTMANLANDS LÄN</t>
        </is>
      </c>
      <c r="E368" t="inlineStr">
        <is>
          <t>SALA</t>
        </is>
      </c>
      <c r="F368" t="inlineStr">
        <is>
          <t>Sveaskog</t>
        </is>
      </c>
      <c r="G368" t="n">
        <v>3.2</v>
      </c>
      <c r="H368" t="n">
        <v>0</v>
      </c>
      <c r="I368" t="n">
        <v>0</v>
      </c>
      <c r="J368" t="n">
        <v>0</v>
      </c>
      <c r="K368" t="n">
        <v>0</v>
      </c>
      <c r="L368" t="n">
        <v>0</v>
      </c>
      <c r="M368" t="n">
        <v>0</v>
      </c>
      <c r="N368" t="n">
        <v>0</v>
      </c>
      <c r="O368" t="n">
        <v>0</v>
      </c>
      <c r="P368" t="n">
        <v>0</v>
      </c>
      <c r="Q368" t="n">
        <v>0</v>
      </c>
      <c r="R368" s="2" t="inlineStr"/>
    </row>
    <row r="369" ht="15" customHeight="1">
      <c r="A369" t="inlineStr">
        <is>
          <t>A 16769-2024</t>
        </is>
      </c>
      <c r="B369" s="1" t="n">
        <v>45411.38738425926</v>
      </c>
      <c r="C369" s="1" t="n">
        <v>46128</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10909-2024</t>
        </is>
      </c>
      <c r="B370" s="1" t="n">
        <v>45370</v>
      </c>
      <c r="C370" s="1" t="n">
        <v>46128</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60249-2023</t>
        </is>
      </c>
      <c r="B371" s="1" t="n">
        <v>45258</v>
      </c>
      <c r="C371" s="1" t="n">
        <v>46128</v>
      </c>
      <c r="D371" t="inlineStr">
        <is>
          <t>VÄSTMANLANDS LÄN</t>
        </is>
      </c>
      <c r="E371" t="inlineStr">
        <is>
          <t>SALA</t>
        </is>
      </c>
      <c r="G371" t="n">
        <v>2</v>
      </c>
      <c r="H371" t="n">
        <v>0</v>
      </c>
      <c r="I371" t="n">
        <v>0</v>
      </c>
      <c r="J371" t="n">
        <v>0</v>
      </c>
      <c r="K371" t="n">
        <v>0</v>
      </c>
      <c r="L371" t="n">
        <v>0</v>
      </c>
      <c r="M371" t="n">
        <v>0</v>
      </c>
      <c r="N371" t="n">
        <v>0</v>
      </c>
      <c r="O371" t="n">
        <v>0</v>
      </c>
      <c r="P371" t="n">
        <v>0</v>
      </c>
      <c r="Q371" t="n">
        <v>0</v>
      </c>
      <c r="R371" s="2" t="inlineStr"/>
    </row>
    <row r="372" ht="15" customHeight="1">
      <c r="A372" t="inlineStr">
        <is>
          <t>A 14271-2025</t>
        </is>
      </c>
      <c r="B372" s="1" t="n">
        <v>45740.64129629629</v>
      </c>
      <c r="C372" s="1" t="n">
        <v>46128</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69232-2021</t>
        </is>
      </c>
      <c r="B373" s="1" t="n">
        <v>44531.39696759259</v>
      </c>
      <c r="C373" s="1" t="n">
        <v>46128</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46661-2025</t>
        </is>
      </c>
      <c r="B374" s="1" t="n">
        <v>45926</v>
      </c>
      <c r="C374" s="1" t="n">
        <v>46128</v>
      </c>
      <c r="D374" t="inlineStr">
        <is>
          <t>VÄSTMANLANDS LÄN</t>
        </is>
      </c>
      <c r="E374" t="inlineStr">
        <is>
          <t>SALA</t>
        </is>
      </c>
      <c r="G374" t="n">
        <v>0.8</v>
      </c>
      <c r="H374" t="n">
        <v>0</v>
      </c>
      <c r="I374" t="n">
        <v>0</v>
      </c>
      <c r="J374" t="n">
        <v>0</v>
      </c>
      <c r="K374" t="n">
        <v>0</v>
      </c>
      <c r="L374" t="n">
        <v>0</v>
      </c>
      <c r="M374" t="n">
        <v>0</v>
      </c>
      <c r="N374" t="n">
        <v>0</v>
      </c>
      <c r="O374" t="n">
        <v>0</v>
      </c>
      <c r="P374" t="n">
        <v>0</v>
      </c>
      <c r="Q374" t="n">
        <v>0</v>
      </c>
      <c r="R374" s="2" t="inlineStr"/>
    </row>
    <row r="375" ht="15" customHeight="1">
      <c r="A375" t="inlineStr">
        <is>
          <t>A 28328-2023</t>
        </is>
      </c>
      <c r="B375" s="1" t="n">
        <v>45099.71063657408</v>
      </c>
      <c r="C375" s="1" t="n">
        <v>46128</v>
      </c>
      <c r="D375" t="inlineStr">
        <is>
          <t>VÄSTMANLANDS LÄN</t>
        </is>
      </c>
      <c r="E375" t="inlineStr">
        <is>
          <t>SALA</t>
        </is>
      </c>
      <c r="G375" t="n">
        <v>1.8</v>
      </c>
      <c r="H375" t="n">
        <v>0</v>
      </c>
      <c r="I375" t="n">
        <v>0</v>
      </c>
      <c r="J375" t="n">
        <v>0</v>
      </c>
      <c r="K375" t="n">
        <v>0</v>
      </c>
      <c r="L375" t="n">
        <v>0</v>
      </c>
      <c r="M375" t="n">
        <v>0</v>
      </c>
      <c r="N375" t="n">
        <v>0</v>
      </c>
      <c r="O375" t="n">
        <v>0</v>
      </c>
      <c r="P375" t="n">
        <v>0</v>
      </c>
      <c r="Q375" t="n">
        <v>0</v>
      </c>
      <c r="R375" s="2" t="inlineStr"/>
    </row>
    <row r="376" ht="15" customHeight="1">
      <c r="A376" t="inlineStr">
        <is>
          <t>A 40085-2024</t>
        </is>
      </c>
      <c r="B376" s="1" t="n">
        <v>45554</v>
      </c>
      <c r="C376" s="1" t="n">
        <v>46128</v>
      </c>
      <c r="D376" t="inlineStr">
        <is>
          <t>VÄSTMANLANDS LÄN</t>
        </is>
      </c>
      <c r="E376" t="inlineStr">
        <is>
          <t>SALA</t>
        </is>
      </c>
      <c r="G376" t="n">
        <v>2.8</v>
      </c>
      <c r="H376" t="n">
        <v>0</v>
      </c>
      <c r="I376" t="n">
        <v>0</v>
      </c>
      <c r="J376" t="n">
        <v>0</v>
      </c>
      <c r="K376" t="n">
        <v>0</v>
      </c>
      <c r="L376" t="n">
        <v>0</v>
      </c>
      <c r="M376" t="n">
        <v>0</v>
      </c>
      <c r="N376" t="n">
        <v>0</v>
      </c>
      <c r="O376" t="n">
        <v>0</v>
      </c>
      <c r="P376" t="n">
        <v>0</v>
      </c>
      <c r="Q376" t="n">
        <v>0</v>
      </c>
      <c r="R376" s="2" t="inlineStr"/>
    </row>
    <row r="377" ht="15" customHeight="1">
      <c r="A377" t="inlineStr">
        <is>
          <t>A 46915-2025</t>
        </is>
      </c>
      <c r="B377" s="1" t="n">
        <v>45929.42114583333</v>
      </c>
      <c r="C377" s="1" t="n">
        <v>46128</v>
      </c>
      <c r="D377" t="inlineStr">
        <is>
          <t>VÄSTMANLANDS LÄN</t>
        </is>
      </c>
      <c r="E377" t="inlineStr">
        <is>
          <t>SALA</t>
        </is>
      </c>
      <c r="G377" t="n">
        <v>1.5</v>
      </c>
      <c r="H377" t="n">
        <v>0</v>
      </c>
      <c r="I377" t="n">
        <v>0</v>
      </c>
      <c r="J377" t="n">
        <v>0</v>
      </c>
      <c r="K377" t="n">
        <v>0</v>
      </c>
      <c r="L377" t="n">
        <v>0</v>
      </c>
      <c r="M377" t="n">
        <v>0</v>
      </c>
      <c r="N377" t="n">
        <v>0</v>
      </c>
      <c r="O377" t="n">
        <v>0</v>
      </c>
      <c r="P377" t="n">
        <v>0</v>
      </c>
      <c r="Q377" t="n">
        <v>0</v>
      </c>
      <c r="R377" s="2" t="inlineStr"/>
    </row>
    <row r="378" ht="15" customHeight="1">
      <c r="A378" t="inlineStr">
        <is>
          <t>A 37190-2024</t>
        </is>
      </c>
      <c r="B378" s="1" t="n">
        <v>45539</v>
      </c>
      <c r="C378" s="1" t="n">
        <v>46128</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18158-2025</t>
        </is>
      </c>
      <c r="B379" s="1" t="n">
        <v>45761</v>
      </c>
      <c r="C379" s="1" t="n">
        <v>46128</v>
      </c>
      <c r="D379" t="inlineStr">
        <is>
          <t>VÄSTMANLANDS LÄN</t>
        </is>
      </c>
      <c r="E379" t="inlineStr">
        <is>
          <t>SALA</t>
        </is>
      </c>
      <c r="F379" t="inlineStr">
        <is>
          <t>Bergvik skog öst AB</t>
        </is>
      </c>
      <c r="G379" t="n">
        <v>1.6</v>
      </c>
      <c r="H379" t="n">
        <v>0</v>
      </c>
      <c r="I379" t="n">
        <v>0</v>
      </c>
      <c r="J379" t="n">
        <v>0</v>
      </c>
      <c r="K379" t="n">
        <v>0</v>
      </c>
      <c r="L379" t="n">
        <v>0</v>
      </c>
      <c r="M379" t="n">
        <v>0</v>
      </c>
      <c r="N379" t="n">
        <v>0</v>
      </c>
      <c r="O379" t="n">
        <v>0</v>
      </c>
      <c r="P379" t="n">
        <v>0</v>
      </c>
      <c r="Q379" t="n">
        <v>0</v>
      </c>
      <c r="R379" s="2" t="inlineStr"/>
    </row>
    <row r="380" ht="15" customHeight="1">
      <c r="A380" t="inlineStr">
        <is>
          <t>A 49661-2024</t>
        </is>
      </c>
      <c r="B380" s="1" t="n">
        <v>45596</v>
      </c>
      <c r="C380" s="1" t="n">
        <v>46128</v>
      </c>
      <c r="D380" t="inlineStr">
        <is>
          <t>VÄSTMANLANDS LÄN</t>
        </is>
      </c>
      <c r="E380" t="inlineStr">
        <is>
          <t>SALA</t>
        </is>
      </c>
      <c r="G380" t="n">
        <v>6.7</v>
      </c>
      <c r="H380" t="n">
        <v>0</v>
      </c>
      <c r="I380" t="n">
        <v>0</v>
      </c>
      <c r="J380" t="n">
        <v>0</v>
      </c>
      <c r="K380" t="n">
        <v>0</v>
      </c>
      <c r="L380" t="n">
        <v>0</v>
      </c>
      <c r="M380" t="n">
        <v>0</v>
      </c>
      <c r="N380" t="n">
        <v>0</v>
      </c>
      <c r="O380" t="n">
        <v>0</v>
      </c>
      <c r="P380" t="n">
        <v>0</v>
      </c>
      <c r="Q380" t="n">
        <v>0</v>
      </c>
      <c r="R380" s="2" t="inlineStr"/>
    </row>
    <row r="381" ht="15" customHeight="1">
      <c r="A381" t="inlineStr">
        <is>
          <t>A 48057-2025</t>
        </is>
      </c>
      <c r="B381" s="1" t="n">
        <v>45932.67947916667</v>
      </c>
      <c r="C381" s="1" t="n">
        <v>46128</v>
      </c>
      <c r="D381" t="inlineStr">
        <is>
          <t>VÄSTMANLANDS LÄN</t>
        </is>
      </c>
      <c r="E381" t="inlineStr">
        <is>
          <t>SALA</t>
        </is>
      </c>
      <c r="G381" t="n">
        <v>4.3</v>
      </c>
      <c r="H381" t="n">
        <v>0</v>
      </c>
      <c r="I381" t="n">
        <v>0</v>
      </c>
      <c r="J381" t="n">
        <v>0</v>
      </c>
      <c r="K381" t="n">
        <v>0</v>
      </c>
      <c r="L381" t="n">
        <v>0</v>
      </c>
      <c r="M381" t="n">
        <v>0</v>
      </c>
      <c r="N381" t="n">
        <v>0</v>
      </c>
      <c r="O381" t="n">
        <v>0</v>
      </c>
      <c r="P381" t="n">
        <v>0</v>
      </c>
      <c r="Q381" t="n">
        <v>0</v>
      </c>
      <c r="R381" s="2" t="inlineStr"/>
    </row>
    <row r="382" ht="15" customHeight="1">
      <c r="A382" t="inlineStr">
        <is>
          <t>A 47577-2025</t>
        </is>
      </c>
      <c r="B382" s="1" t="n">
        <v>45931.4047337963</v>
      </c>
      <c r="C382" s="1" t="n">
        <v>46128</v>
      </c>
      <c r="D382" t="inlineStr">
        <is>
          <t>VÄSTMANLANDS LÄN</t>
        </is>
      </c>
      <c r="E382" t="inlineStr">
        <is>
          <t>SALA</t>
        </is>
      </c>
      <c r="G382" t="n">
        <v>3.7</v>
      </c>
      <c r="H382" t="n">
        <v>0</v>
      </c>
      <c r="I382" t="n">
        <v>0</v>
      </c>
      <c r="J382" t="n">
        <v>0</v>
      </c>
      <c r="K382" t="n">
        <v>0</v>
      </c>
      <c r="L382" t="n">
        <v>0</v>
      </c>
      <c r="M382" t="n">
        <v>0</v>
      </c>
      <c r="N382" t="n">
        <v>0</v>
      </c>
      <c r="O382" t="n">
        <v>0</v>
      </c>
      <c r="P382" t="n">
        <v>0</v>
      </c>
      <c r="Q382" t="n">
        <v>0</v>
      </c>
      <c r="R382" s="2" t="inlineStr"/>
    </row>
    <row r="383" ht="15" customHeight="1">
      <c r="A383" t="inlineStr">
        <is>
          <t>A 26661-2025</t>
        </is>
      </c>
      <c r="B383" s="1" t="n">
        <v>45810</v>
      </c>
      <c r="C383" s="1" t="n">
        <v>46128</v>
      </c>
      <c r="D383" t="inlineStr">
        <is>
          <t>VÄSTMANLANDS LÄN</t>
        </is>
      </c>
      <c r="E383" t="inlineStr">
        <is>
          <t>SALA</t>
        </is>
      </c>
      <c r="G383" t="n">
        <v>3.5</v>
      </c>
      <c r="H383" t="n">
        <v>0</v>
      </c>
      <c r="I383" t="n">
        <v>0</v>
      </c>
      <c r="J383" t="n">
        <v>0</v>
      </c>
      <c r="K383" t="n">
        <v>0</v>
      </c>
      <c r="L383" t="n">
        <v>0</v>
      </c>
      <c r="M383" t="n">
        <v>0</v>
      </c>
      <c r="N383" t="n">
        <v>0</v>
      </c>
      <c r="O383" t="n">
        <v>0</v>
      </c>
      <c r="P383" t="n">
        <v>0</v>
      </c>
      <c r="Q383" t="n">
        <v>0</v>
      </c>
      <c r="R383" s="2" t="inlineStr"/>
    </row>
    <row r="384" ht="15" customHeight="1">
      <c r="A384" t="inlineStr">
        <is>
          <t>A 35519-2024</t>
        </is>
      </c>
      <c r="B384" s="1" t="n">
        <v>45531</v>
      </c>
      <c r="C384" s="1" t="n">
        <v>46128</v>
      </c>
      <c r="D384" t="inlineStr">
        <is>
          <t>VÄSTMANLANDS LÄN</t>
        </is>
      </c>
      <c r="E384" t="inlineStr">
        <is>
          <t>SALA</t>
        </is>
      </c>
      <c r="G384" t="n">
        <v>1.8</v>
      </c>
      <c r="H384" t="n">
        <v>0</v>
      </c>
      <c r="I384" t="n">
        <v>0</v>
      </c>
      <c r="J384" t="n">
        <v>0</v>
      </c>
      <c r="K384" t="n">
        <v>0</v>
      </c>
      <c r="L384" t="n">
        <v>0</v>
      </c>
      <c r="M384" t="n">
        <v>0</v>
      </c>
      <c r="N384" t="n">
        <v>0</v>
      </c>
      <c r="O384" t="n">
        <v>0</v>
      </c>
      <c r="P384" t="n">
        <v>0</v>
      </c>
      <c r="Q384" t="n">
        <v>0</v>
      </c>
      <c r="R384" s="2" t="inlineStr"/>
    </row>
    <row r="385" ht="15" customHeight="1">
      <c r="A385" t="inlineStr">
        <is>
          <t>A 54347-2024</t>
        </is>
      </c>
      <c r="B385" s="1" t="n">
        <v>45617.39325231482</v>
      </c>
      <c r="C385" s="1" t="n">
        <v>46128</v>
      </c>
      <c r="D385" t="inlineStr">
        <is>
          <t>VÄSTMANLANDS LÄN</t>
        </is>
      </c>
      <c r="E385" t="inlineStr">
        <is>
          <t>SALA</t>
        </is>
      </c>
      <c r="G385" t="n">
        <v>2</v>
      </c>
      <c r="H385" t="n">
        <v>0</v>
      </c>
      <c r="I385" t="n">
        <v>0</v>
      </c>
      <c r="J385" t="n">
        <v>0</v>
      </c>
      <c r="K385" t="n">
        <v>0</v>
      </c>
      <c r="L385" t="n">
        <v>0</v>
      </c>
      <c r="M385" t="n">
        <v>0</v>
      </c>
      <c r="N385" t="n">
        <v>0</v>
      </c>
      <c r="O385" t="n">
        <v>0</v>
      </c>
      <c r="P385" t="n">
        <v>0</v>
      </c>
      <c r="Q385" t="n">
        <v>0</v>
      </c>
      <c r="R385" s="2" t="inlineStr"/>
    </row>
    <row r="386" ht="15" customHeight="1">
      <c r="A386" t="inlineStr">
        <is>
          <t>A 13022-2023</t>
        </is>
      </c>
      <c r="B386" s="1" t="n">
        <v>45002.33291666667</v>
      </c>
      <c r="C386" s="1" t="n">
        <v>46128</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39439-2021</t>
        </is>
      </c>
      <c r="B387" s="1" t="n">
        <v>44414</v>
      </c>
      <c r="C387" s="1" t="n">
        <v>46128</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35003-2024</t>
        </is>
      </c>
      <c r="B388" s="1" t="n">
        <v>45527.56790509259</v>
      </c>
      <c r="C388" s="1" t="n">
        <v>46128</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48710-2025</t>
        </is>
      </c>
      <c r="B389" s="1" t="n">
        <v>45936.63184027778</v>
      </c>
      <c r="C389" s="1" t="n">
        <v>46128</v>
      </c>
      <c r="D389" t="inlineStr">
        <is>
          <t>VÄSTMANLANDS LÄN</t>
        </is>
      </c>
      <c r="E389" t="inlineStr">
        <is>
          <t>SALA</t>
        </is>
      </c>
      <c r="G389" t="n">
        <v>2.7</v>
      </c>
      <c r="H389" t="n">
        <v>0</v>
      </c>
      <c r="I389" t="n">
        <v>0</v>
      </c>
      <c r="J389" t="n">
        <v>0</v>
      </c>
      <c r="K389" t="n">
        <v>0</v>
      </c>
      <c r="L389" t="n">
        <v>0</v>
      </c>
      <c r="M389" t="n">
        <v>0</v>
      </c>
      <c r="N389" t="n">
        <v>0</v>
      </c>
      <c r="O389" t="n">
        <v>0</v>
      </c>
      <c r="P389" t="n">
        <v>0</v>
      </c>
      <c r="Q389" t="n">
        <v>0</v>
      </c>
      <c r="R389" s="2" t="inlineStr"/>
    </row>
    <row r="390" ht="15" customHeight="1">
      <c r="A390" t="inlineStr">
        <is>
          <t>A 66307-2021</t>
        </is>
      </c>
      <c r="B390" s="1" t="n">
        <v>44518.48670138889</v>
      </c>
      <c r="C390" s="1" t="n">
        <v>46128</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6030-2024</t>
        </is>
      </c>
      <c r="B391" s="1" t="n">
        <v>45336.62782407407</v>
      </c>
      <c r="C391" s="1" t="n">
        <v>46128</v>
      </c>
      <c r="D391" t="inlineStr">
        <is>
          <t>VÄSTMANLANDS LÄN</t>
        </is>
      </c>
      <c r="E391" t="inlineStr">
        <is>
          <t>SALA</t>
        </is>
      </c>
      <c r="G391" t="n">
        <v>3.9</v>
      </c>
      <c r="H391" t="n">
        <v>0</v>
      </c>
      <c r="I391" t="n">
        <v>0</v>
      </c>
      <c r="J391" t="n">
        <v>0</v>
      </c>
      <c r="K391" t="n">
        <v>0</v>
      </c>
      <c r="L391" t="n">
        <v>0</v>
      </c>
      <c r="M391" t="n">
        <v>0</v>
      </c>
      <c r="N391" t="n">
        <v>0</v>
      </c>
      <c r="O391" t="n">
        <v>0</v>
      </c>
      <c r="P391" t="n">
        <v>0</v>
      </c>
      <c r="Q391" t="n">
        <v>0</v>
      </c>
      <c r="R391" s="2" t="inlineStr"/>
    </row>
    <row r="392" ht="15" customHeight="1">
      <c r="A392" t="inlineStr">
        <is>
          <t>A 26761-2023</t>
        </is>
      </c>
      <c r="B392" s="1" t="n">
        <v>45093</v>
      </c>
      <c r="C392" s="1" t="n">
        <v>46128</v>
      </c>
      <c r="D392" t="inlineStr">
        <is>
          <t>VÄSTMANLANDS LÄN</t>
        </is>
      </c>
      <c r="E392" t="inlineStr">
        <is>
          <t>SALA</t>
        </is>
      </c>
      <c r="G392" t="n">
        <v>4.3</v>
      </c>
      <c r="H392" t="n">
        <v>0</v>
      </c>
      <c r="I392" t="n">
        <v>0</v>
      </c>
      <c r="J392" t="n">
        <v>0</v>
      </c>
      <c r="K392" t="n">
        <v>0</v>
      </c>
      <c r="L392" t="n">
        <v>0</v>
      </c>
      <c r="M392" t="n">
        <v>0</v>
      </c>
      <c r="N392" t="n">
        <v>0</v>
      </c>
      <c r="O392" t="n">
        <v>0</v>
      </c>
      <c r="P392" t="n">
        <v>0</v>
      </c>
      <c r="Q392" t="n">
        <v>0</v>
      </c>
      <c r="R392" s="2" t="inlineStr"/>
    </row>
    <row r="393" ht="15" customHeight="1">
      <c r="A393" t="inlineStr">
        <is>
          <t>A 61892-2021</t>
        </is>
      </c>
      <c r="B393" s="1" t="n">
        <v>44502</v>
      </c>
      <c r="C393" s="1" t="n">
        <v>46128</v>
      </c>
      <c r="D393" t="inlineStr">
        <is>
          <t>VÄSTMANLANDS LÄN</t>
        </is>
      </c>
      <c r="E393" t="inlineStr">
        <is>
          <t>SALA</t>
        </is>
      </c>
      <c r="G393" t="n">
        <v>1.4</v>
      </c>
      <c r="H393" t="n">
        <v>0</v>
      </c>
      <c r="I393" t="n">
        <v>0</v>
      </c>
      <c r="J393" t="n">
        <v>0</v>
      </c>
      <c r="K393" t="n">
        <v>0</v>
      </c>
      <c r="L393" t="n">
        <v>0</v>
      </c>
      <c r="M393" t="n">
        <v>0</v>
      </c>
      <c r="N393" t="n">
        <v>0</v>
      </c>
      <c r="O393" t="n">
        <v>0</v>
      </c>
      <c r="P393" t="n">
        <v>0</v>
      </c>
      <c r="Q393" t="n">
        <v>0</v>
      </c>
      <c r="R393" s="2" t="inlineStr"/>
    </row>
    <row r="394" ht="15" customHeight="1">
      <c r="A394" t="inlineStr">
        <is>
          <t>A 28193-2025</t>
        </is>
      </c>
      <c r="B394" s="1" t="n">
        <v>45818.425625</v>
      </c>
      <c r="C394" s="1" t="n">
        <v>46128</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27981-2025</t>
        </is>
      </c>
      <c r="B395" s="1" t="n">
        <v>45817.57471064815</v>
      </c>
      <c r="C395" s="1" t="n">
        <v>46128</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7772-2023</t>
        </is>
      </c>
      <c r="B396" s="1" t="n">
        <v>44973.40076388889</v>
      </c>
      <c r="C396" s="1" t="n">
        <v>46128</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28278-2025</t>
        </is>
      </c>
      <c r="B397" s="1" t="n">
        <v>45818.58454861111</v>
      </c>
      <c r="C397" s="1" t="n">
        <v>46128</v>
      </c>
      <c r="D397" t="inlineStr">
        <is>
          <t>VÄSTMANLANDS LÄN</t>
        </is>
      </c>
      <c r="E397" t="inlineStr">
        <is>
          <t>SALA</t>
        </is>
      </c>
      <c r="G397" t="n">
        <v>7.6</v>
      </c>
      <c r="H397" t="n">
        <v>0</v>
      </c>
      <c r="I397" t="n">
        <v>0</v>
      </c>
      <c r="J397" t="n">
        <v>0</v>
      </c>
      <c r="K397" t="n">
        <v>0</v>
      </c>
      <c r="L397" t="n">
        <v>0</v>
      </c>
      <c r="M397" t="n">
        <v>0</v>
      </c>
      <c r="N397" t="n">
        <v>0</v>
      </c>
      <c r="O397" t="n">
        <v>0</v>
      </c>
      <c r="P397" t="n">
        <v>0</v>
      </c>
      <c r="Q397" t="n">
        <v>0</v>
      </c>
      <c r="R397" s="2" t="inlineStr"/>
    </row>
    <row r="398" ht="15" customHeight="1">
      <c r="A398" t="inlineStr">
        <is>
          <t>A 27989-2025</t>
        </is>
      </c>
      <c r="B398" s="1" t="n">
        <v>45817.58716435185</v>
      </c>
      <c r="C398" s="1" t="n">
        <v>46128</v>
      </c>
      <c r="D398" t="inlineStr">
        <is>
          <t>VÄSTMANLANDS LÄN</t>
        </is>
      </c>
      <c r="E398" t="inlineStr">
        <is>
          <t>SALA</t>
        </is>
      </c>
      <c r="G398" t="n">
        <v>1.9</v>
      </c>
      <c r="H398" t="n">
        <v>0</v>
      </c>
      <c r="I398" t="n">
        <v>0</v>
      </c>
      <c r="J398" t="n">
        <v>0</v>
      </c>
      <c r="K398" t="n">
        <v>0</v>
      </c>
      <c r="L398" t="n">
        <v>0</v>
      </c>
      <c r="M398" t="n">
        <v>0</v>
      </c>
      <c r="N398" t="n">
        <v>0</v>
      </c>
      <c r="O398" t="n">
        <v>0</v>
      </c>
      <c r="P398" t="n">
        <v>0</v>
      </c>
      <c r="Q398" t="n">
        <v>0</v>
      </c>
      <c r="R398" s="2" t="inlineStr"/>
    </row>
    <row r="399" ht="15" customHeight="1">
      <c r="A399" t="inlineStr">
        <is>
          <t>A 28284-2025</t>
        </is>
      </c>
      <c r="B399" s="1" t="n">
        <v>45818.58893518519</v>
      </c>
      <c r="C399" s="1" t="n">
        <v>46128</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42416-2022</t>
        </is>
      </c>
      <c r="B400" s="1" t="n">
        <v>44831</v>
      </c>
      <c r="C400" s="1" t="n">
        <v>46128</v>
      </c>
      <c r="D400" t="inlineStr">
        <is>
          <t>VÄSTMANLANDS LÄN</t>
        </is>
      </c>
      <c r="E400" t="inlineStr">
        <is>
          <t>SALA</t>
        </is>
      </c>
      <c r="G400" t="n">
        <v>2.2</v>
      </c>
      <c r="H400" t="n">
        <v>0</v>
      </c>
      <c r="I400" t="n">
        <v>0</v>
      </c>
      <c r="J400" t="n">
        <v>0</v>
      </c>
      <c r="K400" t="n">
        <v>0</v>
      </c>
      <c r="L400" t="n">
        <v>0</v>
      </c>
      <c r="M400" t="n">
        <v>0</v>
      </c>
      <c r="N400" t="n">
        <v>0</v>
      </c>
      <c r="O400" t="n">
        <v>0</v>
      </c>
      <c r="P400" t="n">
        <v>0</v>
      </c>
      <c r="Q400" t="n">
        <v>0</v>
      </c>
      <c r="R400" s="2" t="inlineStr"/>
    </row>
    <row r="401" ht="15" customHeight="1">
      <c r="A401" t="inlineStr">
        <is>
          <t>A 19381-2025</t>
        </is>
      </c>
      <c r="B401" s="1" t="n">
        <v>45769</v>
      </c>
      <c r="C401" s="1" t="n">
        <v>46128</v>
      </c>
      <c r="D401" t="inlineStr">
        <is>
          <t>VÄSTMANLANDS LÄN</t>
        </is>
      </c>
      <c r="E401" t="inlineStr">
        <is>
          <t>SALA</t>
        </is>
      </c>
      <c r="G401" t="n">
        <v>0.6</v>
      </c>
      <c r="H401" t="n">
        <v>0</v>
      </c>
      <c r="I401" t="n">
        <v>0</v>
      </c>
      <c r="J401" t="n">
        <v>0</v>
      </c>
      <c r="K401" t="n">
        <v>0</v>
      </c>
      <c r="L401" t="n">
        <v>0</v>
      </c>
      <c r="M401" t="n">
        <v>0</v>
      </c>
      <c r="N401" t="n">
        <v>0</v>
      </c>
      <c r="O401" t="n">
        <v>0</v>
      </c>
      <c r="P401" t="n">
        <v>0</v>
      </c>
      <c r="Q401" t="n">
        <v>0</v>
      </c>
      <c r="R401" s="2" t="inlineStr"/>
    </row>
    <row r="402" ht="15" customHeight="1">
      <c r="A402" t="inlineStr">
        <is>
          <t>A 48910-2025</t>
        </is>
      </c>
      <c r="B402" s="1" t="n">
        <v>45937.48649305556</v>
      </c>
      <c r="C402" s="1" t="n">
        <v>46128</v>
      </c>
      <c r="D402" t="inlineStr">
        <is>
          <t>VÄSTMANLANDS LÄN</t>
        </is>
      </c>
      <c r="E402" t="inlineStr">
        <is>
          <t>SALA</t>
        </is>
      </c>
      <c r="G402" t="n">
        <v>7.8</v>
      </c>
      <c r="H402" t="n">
        <v>0</v>
      </c>
      <c r="I402" t="n">
        <v>0</v>
      </c>
      <c r="J402" t="n">
        <v>0</v>
      </c>
      <c r="K402" t="n">
        <v>0</v>
      </c>
      <c r="L402" t="n">
        <v>0</v>
      </c>
      <c r="M402" t="n">
        <v>0</v>
      </c>
      <c r="N402" t="n">
        <v>0</v>
      </c>
      <c r="O402" t="n">
        <v>0</v>
      </c>
      <c r="P402" t="n">
        <v>0</v>
      </c>
      <c r="Q402" t="n">
        <v>0</v>
      </c>
      <c r="R402" s="2" t="inlineStr"/>
    </row>
    <row r="403" ht="15" customHeight="1">
      <c r="A403" t="inlineStr">
        <is>
          <t>A 48688-2024</t>
        </is>
      </c>
      <c r="B403" s="1" t="n">
        <v>45593.50541666667</v>
      </c>
      <c r="C403" s="1" t="n">
        <v>46128</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28632-2025</t>
        </is>
      </c>
      <c r="B404" s="1" t="n">
        <v>45819.62344907408</v>
      </c>
      <c r="C404" s="1" t="n">
        <v>46128</v>
      </c>
      <c r="D404" t="inlineStr">
        <is>
          <t>VÄSTMANLANDS LÄN</t>
        </is>
      </c>
      <c r="E404" t="inlineStr">
        <is>
          <t>SALA</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49640-2025</t>
        </is>
      </c>
      <c r="B405" s="1" t="n">
        <v>45939.61459490741</v>
      </c>
      <c r="C405" s="1" t="n">
        <v>46128</v>
      </c>
      <c r="D405" t="inlineStr">
        <is>
          <t>VÄSTMANLANDS LÄN</t>
        </is>
      </c>
      <c r="E405" t="inlineStr">
        <is>
          <t>SALA</t>
        </is>
      </c>
      <c r="F405" t="inlineStr">
        <is>
          <t>Kommuner</t>
        </is>
      </c>
      <c r="G405" t="n">
        <v>18.8</v>
      </c>
      <c r="H405" t="n">
        <v>0</v>
      </c>
      <c r="I405" t="n">
        <v>0</v>
      </c>
      <c r="J405" t="n">
        <v>0</v>
      </c>
      <c r="K405" t="n">
        <v>0</v>
      </c>
      <c r="L405" t="n">
        <v>0</v>
      </c>
      <c r="M405" t="n">
        <v>0</v>
      </c>
      <c r="N405" t="n">
        <v>0</v>
      </c>
      <c r="O405" t="n">
        <v>0</v>
      </c>
      <c r="P405" t="n">
        <v>0</v>
      </c>
      <c r="Q405" t="n">
        <v>0</v>
      </c>
      <c r="R405" s="2" t="inlineStr"/>
    </row>
    <row r="406" ht="15" customHeight="1">
      <c r="A406" t="inlineStr">
        <is>
          <t>A 28628-2025</t>
        </is>
      </c>
      <c r="B406" s="1" t="n">
        <v>45819.62158564815</v>
      </c>
      <c r="C406" s="1" t="n">
        <v>46128</v>
      </c>
      <c r="D406" t="inlineStr">
        <is>
          <t>VÄSTMANLANDS LÄN</t>
        </is>
      </c>
      <c r="E406" t="inlineStr">
        <is>
          <t>SALA</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28630-2025</t>
        </is>
      </c>
      <c r="B407" s="1" t="n">
        <v>45819.62274305556</v>
      </c>
      <c r="C407" s="1" t="n">
        <v>46128</v>
      </c>
      <c r="D407" t="inlineStr">
        <is>
          <t>VÄSTMANLANDS LÄN</t>
        </is>
      </c>
      <c r="E407" t="inlineStr">
        <is>
          <t>SALA</t>
        </is>
      </c>
      <c r="F407" t="inlineStr">
        <is>
          <t>Sveaskog</t>
        </is>
      </c>
      <c r="G407" t="n">
        <v>9</v>
      </c>
      <c r="H407" t="n">
        <v>0</v>
      </c>
      <c r="I407" t="n">
        <v>0</v>
      </c>
      <c r="J407" t="n">
        <v>0</v>
      </c>
      <c r="K407" t="n">
        <v>0</v>
      </c>
      <c r="L407" t="n">
        <v>0</v>
      </c>
      <c r="M407" t="n">
        <v>0</v>
      </c>
      <c r="N407" t="n">
        <v>0</v>
      </c>
      <c r="O407" t="n">
        <v>0</v>
      </c>
      <c r="P407" t="n">
        <v>0</v>
      </c>
      <c r="Q407" t="n">
        <v>0</v>
      </c>
      <c r="R407" s="2" t="inlineStr"/>
    </row>
    <row r="408" ht="15" customHeight="1">
      <c r="A408" t="inlineStr">
        <is>
          <t>A 28837-2025</t>
        </is>
      </c>
      <c r="B408" s="1" t="n">
        <v>45820.56243055555</v>
      </c>
      <c r="C408" s="1" t="n">
        <v>46128</v>
      </c>
      <c r="D408" t="inlineStr">
        <is>
          <t>VÄSTMANLANDS LÄN</t>
        </is>
      </c>
      <c r="E408" t="inlineStr">
        <is>
          <t>SALA</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28849-2025</t>
        </is>
      </c>
      <c r="B409" s="1" t="n">
        <v>45820</v>
      </c>
      <c r="C409" s="1" t="n">
        <v>46128</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11389-2024</t>
        </is>
      </c>
      <c r="B410" s="1" t="n">
        <v>45372.45016203704</v>
      </c>
      <c r="C410" s="1" t="n">
        <v>46128</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56706-2022</t>
        </is>
      </c>
      <c r="B411" s="1" t="n">
        <v>44893.78893518518</v>
      </c>
      <c r="C411" s="1" t="n">
        <v>46128</v>
      </c>
      <c r="D411" t="inlineStr">
        <is>
          <t>VÄSTMANLANDS LÄN</t>
        </is>
      </c>
      <c r="E411" t="inlineStr">
        <is>
          <t>SALA</t>
        </is>
      </c>
      <c r="G411" t="n">
        <v>4.5</v>
      </c>
      <c r="H411" t="n">
        <v>0</v>
      </c>
      <c r="I411" t="n">
        <v>0</v>
      </c>
      <c r="J411" t="n">
        <v>0</v>
      </c>
      <c r="K411" t="n">
        <v>0</v>
      </c>
      <c r="L411" t="n">
        <v>0</v>
      </c>
      <c r="M411" t="n">
        <v>0</v>
      </c>
      <c r="N411" t="n">
        <v>0</v>
      </c>
      <c r="O411" t="n">
        <v>0</v>
      </c>
      <c r="P411" t="n">
        <v>0</v>
      </c>
      <c r="Q411" t="n">
        <v>0</v>
      </c>
      <c r="R411" s="2" t="inlineStr"/>
    </row>
    <row r="412" ht="15" customHeight="1">
      <c r="A412" t="inlineStr">
        <is>
          <t>A 56707-2022</t>
        </is>
      </c>
      <c r="B412" s="1" t="n">
        <v>44893.79412037037</v>
      </c>
      <c r="C412" s="1" t="n">
        <v>46128</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49585-2025</t>
        </is>
      </c>
      <c r="B413" s="1" t="n">
        <v>45939.5043287037</v>
      </c>
      <c r="C413" s="1" t="n">
        <v>46128</v>
      </c>
      <c r="D413" t="inlineStr">
        <is>
          <t>VÄSTMANLANDS LÄN</t>
        </is>
      </c>
      <c r="E413" t="inlineStr">
        <is>
          <t>SALA</t>
        </is>
      </c>
      <c r="G413" t="n">
        <v>2.2</v>
      </c>
      <c r="H413" t="n">
        <v>0</v>
      </c>
      <c r="I413" t="n">
        <v>0</v>
      </c>
      <c r="J413" t="n">
        <v>0</v>
      </c>
      <c r="K413" t="n">
        <v>0</v>
      </c>
      <c r="L413" t="n">
        <v>0</v>
      </c>
      <c r="M413" t="n">
        <v>0</v>
      </c>
      <c r="N413" t="n">
        <v>0</v>
      </c>
      <c r="O413" t="n">
        <v>0</v>
      </c>
      <c r="P413" t="n">
        <v>0</v>
      </c>
      <c r="Q413" t="n">
        <v>0</v>
      </c>
      <c r="R413" s="2" t="inlineStr"/>
    </row>
    <row r="414" ht="15" customHeight="1">
      <c r="A414" t="inlineStr">
        <is>
          <t>A 30971-2022</t>
        </is>
      </c>
      <c r="B414" s="1" t="n">
        <v>44768.46725694444</v>
      </c>
      <c r="C414" s="1" t="n">
        <v>46128</v>
      </c>
      <c r="D414" t="inlineStr">
        <is>
          <t>VÄSTMANLANDS LÄN</t>
        </is>
      </c>
      <c r="E414" t="inlineStr">
        <is>
          <t>SALA</t>
        </is>
      </c>
      <c r="G414" t="n">
        <v>2.4</v>
      </c>
      <c r="H414" t="n">
        <v>0</v>
      </c>
      <c r="I414" t="n">
        <v>0</v>
      </c>
      <c r="J414" t="n">
        <v>0</v>
      </c>
      <c r="K414" t="n">
        <v>0</v>
      </c>
      <c r="L414" t="n">
        <v>0</v>
      </c>
      <c r="M414" t="n">
        <v>0</v>
      </c>
      <c r="N414" t="n">
        <v>0</v>
      </c>
      <c r="O414" t="n">
        <v>0</v>
      </c>
      <c r="P414" t="n">
        <v>0</v>
      </c>
      <c r="Q414" t="n">
        <v>0</v>
      </c>
      <c r="R414" s="2" t="inlineStr"/>
    </row>
    <row r="415" ht="15" customHeight="1">
      <c r="A415" t="inlineStr">
        <is>
          <t>A 29085-2025</t>
        </is>
      </c>
      <c r="B415" s="1" t="n">
        <v>45821</v>
      </c>
      <c r="C415" s="1" t="n">
        <v>46128</v>
      </c>
      <c r="D415" t="inlineStr">
        <is>
          <t>VÄSTMANLANDS LÄN</t>
        </is>
      </c>
      <c r="E415" t="inlineStr">
        <is>
          <t>SALA</t>
        </is>
      </c>
      <c r="G415" t="n">
        <v>3.5</v>
      </c>
      <c r="H415" t="n">
        <v>0</v>
      </c>
      <c r="I415" t="n">
        <v>0</v>
      </c>
      <c r="J415" t="n">
        <v>0</v>
      </c>
      <c r="K415" t="n">
        <v>0</v>
      </c>
      <c r="L415" t="n">
        <v>0</v>
      </c>
      <c r="M415" t="n">
        <v>0</v>
      </c>
      <c r="N415" t="n">
        <v>0</v>
      </c>
      <c r="O415" t="n">
        <v>0</v>
      </c>
      <c r="P415" t="n">
        <v>0</v>
      </c>
      <c r="Q415" t="n">
        <v>0</v>
      </c>
      <c r="R415" s="2" t="inlineStr"/>
    </row>
    <row r="416" ht="15" customHeight="1">
      <c r="A416" t="inlineStr">
        <is>
          <t>A 50128-2025</t>
        </is>
      </c>
      <c r="B416" s="1" t="n">
        <v>45943.55318287037</v>
      </c>
      <c r="C416" s="1" t="n">
        <v>46128</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45187-2024</t>
        </is>
      </c>
      <c r="B417" s="1" t="n">
        <v>45575</v>
      </c>
      <c r="C417" s="1" t="n">
        <v>46128</v>
      </c>
      <c r="D417" t="inlineStr">
        <is>
          <t>VÄSTMANLANDS LÄN</t>
        </is>
      </c>
      <c r="E417" t="inlineStr">
        <is>
          <t>SALA</t>
        </is>
      </c>
      <c r="G417" t="n">
        <v>0.7</v>
      </c>
      <c r="H417" t="n">
        <v>0</v>
      </c>
      <c r="I417" t="n">
        <v>0</v>
      </c>
      <c r="J417" t="n">
        <v>0</v>
      </c>
      <c r="K417" t="n">
        <v>0</v>
      </c>
      <c r="L417" t="n">
        <v>0</v>
      </c>
      <c r="M417" t="n">
        <v>0</v>
      </c>
      <c r="N417" t="n">
        <v>0</v>
      </c>
      <c r="O417" t="n">
        <v>0</v>
      </c>
      <c r="P417" t="n">
        <v>0</v>
      </c>
      <c r="Q417" t="n">
        <v>0</v>
      </c>
      <c r="R417" s="2" t="inlineStr"/>
    </row>
    <row r="418" ht="15" customHeight="1">
      <c r="A418" t="inlineStr">
        <is>
          <t>A 60541-2024</t>
        </is>
      </c>
      <c r="B418" s="1" t="n">
        <v>45643</v>
      </c>
      <c r="C418" s="1" t="n">
        <v>46128</v>
      </c>
      <c r="D418" t="inlineStr">
        <is>
          <t>VÄSTMANLANDS LÄN</t>
        </is>
      </c>
      <c r="E418" t="inlineStr">
        <is>
          <t>SALA</t>
        </is>
      </c>
      <c r="G418" t="n">
        <v>10.6</v>
      </c>
      <c r="H418" t="n">
        <v>0</v>
      </c>
      <c r="I418" t="n">
        <v>0</v>
      </c>
      <c r="J418" t="n">
        <v>0</v>
      </c>
      <c r="K418" t="n">
        <v>0</v>
      </c>
      <c r="L418" t="n">
        <v>0</v>
      </c>
      <c r="M418" t="n">
        <v>0</v>
      </c>
      <c r="N418" t="n">
        <v>0</v>
      </c>
      <c r="O418" t="n">
        <v>0</v>
      </c>
      <c r="P418" t="n">
        <v>0</v>
      </c>
      <c r="Q418" t="n">
        <v>0</v>
      </c>
      <c r="R418" s="2" t="inlineStr"/>
    </row>
    <row r="419" ht="15" customHeight="1">
      <c r="A419" t="inlineStr">
        <is>
          <t>A 15968-2024</t>
        </is>
      </c>
      <c r="B419" s="1" t="n">
        <v>45405.56021990741</v>
      </c>
      <c r="C419" s="1" t="n">
        <v>46128</v>
      </c>
      <c r="D419" t="inlineStr">
        <is>
          <t>VÄSTMANLANDS LÄN</t>
        </is>
      </c>
      <c r="E419" t="inlineStr">
        <is>
          <t>SALA</t>
        </is>
      </c>
      <c r="G419" t="n">
        <v>0.7</v>
      </c>
      <c r="H419" t="n">
        <v>0</v>
      </c>
      <c r="I419" t="n">
        <v>0</v>
      </c>
      <c r="J419" t="n">
        <v>0</v>
      </c>
      <c r="K419" t="n">
        <v>0</v>
      </c>
      <c r="L419" t="n">
        <v>0</v>
      </c>
      <c r="M419" t="n">
        <v>0</v>
      </c>
      <c r="N419" t="n">
        <v>0</v>
      </c>
      <c r="O419" t="n">
        <v>0</v>
      </c>
      <c r="P419" t="n">
        <v>0</v>
      </c>
      <c r="Q419" t="n">
        <v>0</v>
      </c>
      <c r="R419" s="2" t="inlineStr"/>
    </row>
    <row r="420" ht="15" customHeight="1">
      <c r="A420" t="inlineStr">
        <is>
          <t>A 29826-2025</t>
        </is>
      </c>
      <c r="B420" s="1" t="n">
        <v>45825.85761574074</v>
      </c>
      <c r="C420" s="1" t="n">
        <v>46128</v>
      </c>
      <c r="D420" t="inlineStr">
        <is>
          <t>VÄSTMANLANDS LÄN</t>
        </is>
      </c>
      <c r="E420" t="inlineStr">
        <is>
          <t>SALA</t>
        </is>
      </c>
      <c r="G420" t="n">
        <v>1.9</v>
      </c>
      <c r="H420" t="n">
        <v>0</v>
      </c>
      <c r="I420" t="n">
        <v>0</v>
      </c>
      <c r="J420" t="n">
        <v>0</v>
      </c>
      <c r="K420" t="n">
        <v>0</v>
      </c>
      <c r="L420" t="n">
        <v>0</v>
      </c>
      <c r="M420" t="n">
        <v>0</v>
      </c>
      <c r="N420" t="n">
        <v>0</v>
      </c>
      <c r="O420" t="n">
        <v>0</v>
      </c>
      <c r="P420" t="n">
        <v>0</v>
      </c>
      <c r="Q420" t="n">
        <v>0</v>
      </c>
      <c r="R420" s="2" t="inlineStr"/>
    </row>
    <row r="421" ht="15" customHeight="1">
      <c r="A421" t="inlineStr">
        <is>
          <t>A 3733-2023</t>
        </is>
      </c>
      <c r="B421" s="1" t="n">
        <v>44951.42501157407</v>
      </c>
      <c r="C421" s="1" t="n">
        <v>46128</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50249-2025</t>
        </is>
      </c>
      <c r="B422" s="1" t="n">
        <v>45944.31508101852</v>
      </c>
      <c r="C422" s="1" t="n">
        <v>46128</v>
      </c>
      <c r="D422" t="inlineStr">
        <is>
          <t>VÄSTMANLANDS LÄN</t>
        </is>
      </c>
      <c r="E422" t="inlineStr">
        <is>
          <t>SALA</t>
        </is>
      </c>
      <c r="G422" t="n">
        <v>2.3</v>
      </c>
      <c r="H422" t="n">
        <v>0</v>
      </c>
      <c r="I422" t="n">
        <v>0</v>
      </c>
      <c r="J422" t="n">
        <v>0</v>
      </c>
      <c r="K422" t="n">
        <v>0</v>
      </c>
      <c r="L422" t="n">
        <v>0</v>
      </c>
      <c r="M422" t="n">
        <v>0</v>
      </c>
      <c r="N422" t="n">
        <v>0</v>
      </c>
      <c r="O422" t="n">
        <v>0</v>
      </c>
      <c r="P422" t="n">
        <v>0</v>
      </c>
      <c r="Q422" t="n">
        <v>0</v>
      </c>
      <c r="R422" s="2" t="inlineStr"/>
    </row>
    <row r="423" ht="15" customHeight="1">
      <c r="A423" t="inlineStr">
        <is>
          <t>A 50119-2025</t>
        </is>
      </c>
      <c r="B423" s="1" t="n">
        <v>45943.54883101852</v>
      </c>
      <c r="C423" s="1" t="n">
        <v>46128</v>
      </c>
      <c r="D423" t="inlineStr">
        <is>
          <t>VÄSTMANLANDS LÄN</t>
        </is>
      </c>
      <c r="E423" t="inlineStr">
        <is>
          <t>SALA</t>
        </is>
      </c>
      <c r="G423" t="n">
        <v>3.3</v>
      </c>
      <c r="H423" t="n">
        <v>0</v>
      </c>
      <c r="I423" t="n">
        <v>0</v>
      </c>
      <c r="J423" t="n">
        <v>0</v>
      </c>
      <c r="K423" t="n">
        <v>0</v>
      </c>
      <c r="L423" t="n">
        <v>0</v>
      </c>
      <c r="M423" t="n">
        <v>0</v>
      </c>
      <c r="N423" t="n">
        <v>0</v>
      </c>
      <c r="O423" t="n">
        <v>0</v>
      </c>
      <c r="P423" t="n">
        <v>0</v>
      </c>
      <c r="Q423" t="n">
        <v>0</v>
      </c>
      <c r="R423" s="2" t="inlineStr"/>
    </row>
    <row r="424" ht="15" customHeight="1">
      <c r="A424" t="inlineStr">
        <is>
          <t>A 50059-2025</t>
        </is>
      </c>
      <c r="B424" s="1" t="n">
        <v>45943.44125</v>
      </c>
      <c r="C424" s="1" t="n">
        <v>46128</v>
      </c>
      <c r="D424" t="inlineStr">
        <is>
          <t>VÄSTMANLANDS LÄN</t>
        </is>
      </c>
      <c r="E424" t="inlineStr">
        <is>
          <t>SALA</t>
        </is>
      </c>
      <c r="G424" t="n">
        <v>4.4</v>
      </c>
      <c r="H424" t="n">
        <v>0</v>
      </c>
      <c r="I424" t="n">
        <v>0</v>
      </c>
      <c r="J424" t="n">
        <v>0</v>
      </c>
      <c r="K424" t="n">
        <v>0</v>
      </c>
      <c r="L424" t="n">
        <v>0</v>
      </c>
      <c r="M424" t="n">
        <v>0</v>
      </c>
      <c r="N424" t="n">
        <v>0</v>
      </c>
      <c r="O424" t="n">
        <v>0</v>
      </c>
      <c r="P424" t="n">
        <v>0</v>
      </c>
      <c r="Q424" t="n">
        <v>0</v>
      </c>
      <c r="R424" s="2" t="inlineStr"/>
    </row>
    <row r="425" ht="15" customHeight="1">
      <c r="A425" t="inlineStr">
        <is>
          <t>A 29691-2025</t>
        </is>
      </c>
      <c r="B425" s="1" t="n">
        <v>45825.53645833334</v>
      </c>
      <c r="C425" s="1" t="n">
        <v>46128</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44544-2024</t>
        </is>
      </c>
      <c r="B426" s="1" t="n">
        <v>45574.46119212963</v>
      </c>
      <c r="C426" s="1" t="n">
        <v>46128</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64729-2023</t>
        </is>
      </c>
      <c r="B427" s="1" t="n">
        <v>45281</v>
      </c>
      <c r="C427" s="1" t="n">
        <v>46128</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68864-2021</t>
        </is>
      </c>
      <c r="B428" s="1" t="n">
        <v>44530</v>
      </c>
      <c r="C428" s="1" t="n">
        <v>46128</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30874-2025</t>
        </is>
      </c>
      <c r="B429" s="1" t="n">
        <v>45832.34430555555</v>
      </c>
      <c r="C429" s="1" t="n">
        <v>46128</v>
      </c>
      <c r="D429" t="inlineStr">
        <is>
          <t>VÄSTMANLANDS LÄN</t>
        </is>
      </c>
      <c r="E429" t="inlineStr">
        <is>
          <t>SALA</t>
        </is>
      </c>
      <c r="G429" t="n">
        <v>8.4</v>
      </c>
      <c r="H429" t="n">
        <v>0</v>
      </c>
      <c r="I429" t="n">
        <v>0</v>
      </c>
      <c r="J429" t="n">
        <v>0</v>
      </c>
      <c r="K429" t="n">
        <v>0</v>
      </c>
      <c r="L429" t="n">
        <v>0</v>
      </c>
      <c r="M429" t="n">
        <v>0</v>
      </c>
      <c r="N429" t="n">
        <v>0</v>
      </c>
      <c r="O429" t="n">
        <v>0</v>
      </c>
      <c r="P429" t="n">
        <v>0</v>
      </c>
      <c r="Q429" t="n">
        <v>0</v>
      </c>
      <c r="R429" s="2" t="inlineStr"/>
    </row>
    <row r="430" ht="15" customHeight="1">
      <c r="A430" t="inlineStr">
        <is>
          <t>A 30899-2025</t>
        </is>
      </c>
      <c r="B430" s="1" t="n">
        <v>45832.35767361111</v>
      </c>
      <c r="C430" s="1" t="n">
        <v>46128</v>
      </c>
      <c r="D430" t="inlineStr">
        <is>
          <t>VÄSTMANLANDS LÄN</t>
        </is>
      </c>
      <c r="E430" t="inlineStr">
        <is>
          <t>SALA</t>
        </is>
      </c>
      <c r="G430" t="n">
        <v>3.1</v>
      </c>
      <c r="H430" t="n">
        <v>0</v>
      </c>
      <c r="I430" t="n">
        <v>0</v>
      </c>
      <c r="J430" t="n">
        <v>0</v>
      </c>
      <c r="K430" t="n">
        <v>0</v>
      </c>
      <c r="L430" t="n">
        <v>0</v>
      </c>
      <c r="M430" t="n">
        <v>0</v>
      </c>
      <c r="N430" t="n">
        <v>0</v>
      </c>
      <c r="O430" t="n">
        <v>0</v>
      </c>
      <c r="P430" t="n">
        <v>0</v>
      </c>
      <c r="Q430" t="n">
        <v>0</v>
      </c>
      <c r="R430" s="2" t="inlineStr"/>
    </row>
    <row r="431" ht="15" customHeight="1">
      <c r="A431" t="inlineStr">
        <is>
          <t>A 30866-2025</t>
        </is>
      </c>
      <c r="B431" s="1" t="n">
        <v>45832.3246875</v>
      </c>
      <c r="C431" s="1" t="n">
        <v>46128</v>
      </c>
      <c r="D431" t="inlineStr">
        <is>
          <t>VÄSTMANLANDS LÄN</t>
        </is>
      </c>
      <c r="E431" t="inlineStr">
        <is>
          <t>SALA</t>
        </is>
      </c>
      <c r="G431" t="n">
        <v>14.3</v>
      </c>
      <c r="H431" t="n">
        <v>0</v>
      </c>
      <c r="I431" t="n">
        <v>0</v>
      </c>
      <c r="J431" t="n">
        <v>0</v>
      </c>
      <c r="K431" t="n">
        <v>0</v>
      </c>
      <c r="L431" t="n">
        <v>0</v>
      </c>
      <c r="M431" t="n">
        <v>0</v>
      </c>
      <c r="N431" t="n">
        <v>0</v>
      </c>
      <c r="O431" t="n">
        <v>0</v>
      </c>
      <c r="P431" t="n">
        <v>0</v>
      </c>
      <c r="Q431" t="n">
        <v>0</v>
      </c>
      <c r="R431" s="2" t="inlineStr"/>
    </row>
    <row r="432" ht="15" customHeight="1">
      <c r="A432" t="inlineStr">
        <is>
          <t>A 31065-2025</t>
        </is>
      </c>
      <c r="B432" s="1" t="n">
        <v>45832.57571759259</v>
      </c>
      <c r="C432" s="1" t="n">
        <v>46128</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31612-2025</t>
        </is>
      </c>
      <c r="B433" s="1" t="n">
        <v>45833.80056712963</v>
      </c>
      <c r="C433" s="1" t="n">
        <v>46128</v>
      </c>
      <c r="D433" t="inlineStr">
        <is>
          <t>VÄSTMANLANDS LÄN</t>
        </is>
      </c>
      <c r="E433" t="inlineStr">
        <is>
          <t>SALA</t>
        </is>
      </c>
      <c r="G433" t="n">
        <v>6.3</v>
      </c>
      <c r="H433" t="n">
        <v>0</v>
      </c>
      <c r="I433" t="n">
        <v>0</v>
      </c>
      <c r="J433" t="n">
        <v>0</v>
      </c>
      <c r="K433" t="n">
        <v>0</v>
      </c>
      <c r="L433" t="n">
        <v>0</v>
      </c>
      <c r="M433" t="n">
        <v>0</v>
      </c>
      <c r="N433" t="n">
        <v>0</v>
      </c>
      <c r="O433" t="n">
        <v>0</v>
      </c>
      <c r="P433" t="n">
        <v>0</v>
      </c>
      <c r="Q433" t="n">
        <v>0</v>
      </c>
      <c r="R433" s="2" t="inlineStr"/>
    </row>
    <row r="434" ht="15" customHeight="1">
      <c r="A434" t="inlineStr">
        <is>
          <t>A 64925-2023</t>
        </is>
      </c>
      <c r="B434" s="1" t="n">
        <v>45282</v>
      </c>
      <c r="C434" s="1" t="n">
        <v>46128</v>
      </c>
      <c r="D434" t="inlineStr">
        <is>
          <t>VÄSTMANLANDS LÄN</t>
        </is>
      </c>
      <c r="E434" t="inlineStr">
        <is>
          <t>SALA</t>
        </is>
      </c>
      <c r="G434" t="n">
        <v>2.5</v>
      </c>
      <c r="H434" t="n">
        <v>0</v>
      </c>
      <c r="I434" t="n">
        <v>0</v>
      </c>
      <c r="J434" t="n">
        <v>0</v>
      </c>
      <c r="K434" t="n">
        <v>0</v>
      </c>
      <c r="L434" t="n">
        <v>0</v>
      </c>
      <c r="M434" t="n">
        <v>0</v>
      </c>
      <c r="N434" t="n">
        <v>0</v>
      </c>
      <c r="O434" t="n">
        <v>0</v>
      </c>
      <c r="P434" t="n">
        <v>0</v>
      </c>
      <c r="Q434" t="n">
        <v>0</v>
      </c>
      <c r="R434" s="2" t="inlineStr"/>
    </row>
    <row r="435" ht="15" customHeight="1">
      <c r="A435" t="inlineStr">
        <is>
          <t>A 48570-2024</t>
        </is>
      </c>
      <c r="B435" s="1" t="n">
        <v>45591</v>
      </c>
      <c r="C435" s="1" t="n">
        <v>46128</v>
      </c>
      <c r="D435" t="inlineStr">
        <is>
          <t>VÄSTMANLANDS LÄN</t>
        </is>
      </c>
      <c r="E435" t="inlineStr">
        <is>
          <t>SALA</t>
        </is>
      </c>
      <c r="G435" t="n">
        <v>3</v>
      </c>
      <c r="H435" t="n">
        <v>0</v>
      </c>
      <c r="I435" t="n">
        <v>0</v>
      </c>
      <c r="J435" t="n">
        <v>0</v>
      </c>
      <c r="K435" t="n">
        <v>0</v>
      </c>
      <c r="L435" t="n">
        <v>0</v>
      </c>
      <c r="M435" t="n">
        <v>0</v>
      </c>
      <c r="N435" t="n">
        <v>0</v>
      </c>
      <c r="O435" t="n">
        <v>0</v>
      </c>
      <c r="P435" t="n">
        <v>0</v>
      </c>
      <c r="Q435" t="n">
        <v>0</v>
      </c>
      <c r="R435" s="2" t="inlineStr"/>
    </row>
    <row r="436" ht="15" customHeight="1">
      <c r="A436" t="inlineStr">
        <is>
          <t>A 31748-2025</t>
        </is>
      </c>
      <c r="B436" s="1" t="n">
        <v>45834</v>
      </c>
      <c r="C436" s="1" t="n">
        <v>46128</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31288-2025</t>
        </is>
      </c>
      <c r="B437" s="1" t="n">
        <v>45833</v>
      </c>
      <c r="C437" s="1" t="n">
        <v>46128</v>
      </c>
      <c r="D437" t="inlineStr">
        <is>
          <t>VÄSTMANLANDS LÄN</t>
        </is>
      </c>
      <c r="E437" t="inlineStr">
        <is>
          <t>SALA</t>
        </is>
      </c>
      <c r="G437" t="n">
        <v>3.1</v>
      </c>
      <c r="H437" t="n">
        <v>0</v>
      </c>
      <c r="I437" t="n">
        <v>0</v>
      </c>
      <c r="J437" t="n">
        <v>0</v>
      </c>
      <c r="K437" t="n">
        <v>0</v>
      </c>
      <c r="L437" t="n">
        <v>0</v>
      </c>
      <c r="M437" t="n">
        <v>0</v>
      </c>
      <c r="N437" t="n">
        <v>0</v>
      </c>
      <c r="O437" t="n">
        <v>0</v>
      </c>
      <c r="P437" t="n">
        <v>0</v>
      </c>
      <c r="Q437" t="n">
        <v>0</v>
      </c>
      <c r="R437" s="2" t="inlineStr"/>
    </row>
    <row r="438" ht="15" customHeight="1">
      <c r="A438" t="inlineStr">
        <is>
          <t>A 31771-2025</t>
        </is>
      </c>
      <c r="B438" s="1" t="n">
        <v>45834.50910879629</v>
      </c>
      <c r="C438" s="1" t="n">
        <v>46128</v>
      </c>
      <c r="D438" t="inlineStr">
        <is>
          <t>VÄSTMANLANDS LÄN</t>
        </is>
      </c>
      <c r="E438" t="inlineStr">
        <is>
          <t>SALA</t>
        </is>
      </c>
      <c r="G438" t="n">
        <v>5.1</v>
      </c>
      <c r="H438" t="n">
        <v>0</v>
      </c>
      <c r="I438" t="n">
        <v>0</v>
      </c>
      <c r="J438" t="n">
        <v>0</v>
      </c>
      <c r="K438" t="n">
        <v>0</v>
      </c>
      <c r="L438" t="n">
        <v>0</v>
      </c>
      <c r="M438" t="n">
        <v>0</v>
      </c>
      <c r="N438" t="n">
        <v>0</v>
      </c>
      <c r="O438" t="n">
        <v>0</v>
      </c>
      <c r="P438" t="n">
        <v>0</v>
      </c>
      <c r="Q438" t="n">
        <v>0</v>
      </c>
      <c r="R438" s="2" t="inlineStr"/>
    </row>
    <row r="439" ht="15" customHeight="1">
      <c r="A439" t="inlineStr">
        <is>
          <t>A 51626-2025</t>
        </is>
      </c>
      <c r="B439" s="1" t="n">
        <v>45951.41769675926</v>
      </c>
      <c r="C439" s="1" t="n">
        <v>46128</v>
      </c>
      <c r="D439" t="inlineStr">
        <is>
          <t>VÄSTMANLANDS LÄN</t>
        </is>
      </c>
      <c r="E439" t="inlineStr">
        <is>
          <t>SALA</t>
        </is>
      </c>
      <c r="G439" t="n">
        <v>2.6</v>
      </c>
      <c r="H439" t="n">
        <v>0</v>
      </c>
      <c r="I439" t="n">
        <v>0</v>
      </c>
      <c r="J439" t="n">
        <v>0</v>
      </c>
      <c r="K439" t="n">
        <v>0</v>
      </c>
      <c r="L439" t="n">
        <v>0</v>
      </c>
      <c r="M439" t="n">
        <v>0</v>
      </c>
      <c r="N439" t="n">
        <v>0</v>
      </c>
      <c r="O439" t="n">
        <v>0</v>
      </c>
      <c r="P439" t="n">
        <v>0</v>
      </c>
      <c r="Q439" t="n">
        <v>0</v>
      </c>
      <c r="R439" s="2" t="inlineStr"/>
    </row>
    <row r="440" ht="15" customHeight="1">
      <c r="A440" t="inlineStr">
        <is>
          <t>A 51690-2025</t>
        </is>
      </c>
      <c r="B440" s="1" t="n">
        <v>45951.53462962963</v>
      </c>
      <c r="C440" s="1" t="n">
        <v>46128</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31554-2025</t>
        </is>
      </c>
      <c r="B441" s="1" t="n">
        <v>45833</v>
      </c>
      <c r="C441" s="1" t="n">
        <v>46128</v>
      </c>
      <c r="D441" t="inlineStr">
        <is>
          <t>VÄSTMANLANDS LÄN</t>
        </is>
      </c>
      <c r="E441" t="inlineStr">
        <is>
          <t>SALA</t>
        </is>
      </c>
      <c r="G441" t="n">
        <v>1.5</v>
      </c>
      <c r="H441" t="n">
        <v>0</v>
      </c>
      <c r="I441" t="n">
        <v>0</v>
      </c>
      <c r="J441" t="n">
        <v>0</v>
      </c>
      <c r="K441" t="n">
        <v>0</v>
      </c>
      <c r="L441" t="n">
        <v>0</v>
      </c>
      <c r="M441" t="n">
        <v>0</v>
      </c>
      <c r="N441" t="n">
        <v>0</v>
      </c>
      <c r="O441" t="n">
        <v>0</v>
      </c>
      <c r="P441" t="n">
        <v>0</v>
      </c>
      <c r="Q441" t="n">
        <v>0</v>
      </c>
      <c r="R441" s="2" t="inlineStr"/>
    </row>
    <row r="442" ht="15" customHeight="1">
      <c r="A442" t="inlineStr">
        <is>
          <t>A 31762-2025</t>
        </is>
      </c>
      <c r="B442" s="1" t="n">
        <v>45834.49288194445</v>
      </c>
      <c r="C442" s="1" t="n">
        <v>46128</v>
      </c>
      <c r="D442" t="inlineStr">
        <is>
          <t>VÄSTMANLANDS LÄN</t>
        </is>
      </c>
      <c r="E442" t="inlineStr">
        <is>
          <t>SALA</t>
        </is>
      </c>
      <c r="G442" t="n">
        <v>5.9</v>
      </c>
      <c r="H442" t="n">
        <v>0</v>
      </c>
      <c r="I442" t="n">
        <v>0</v>
      </c>
      <c r="J442" t="n">
        <v>0</v>
      </c>
      <c r="K442" t="n">
        <v>0</v>
      </c>
      <c r="L442" t="n">
        <v>0</v>
      </c>
      <c r="M442" t="n">
        <v>0</v>
      </c>
      <c r="N442" t="n">
        <v>0</v>
      </c>
      <c r="O442" t="n">
        <v>0</v>
      </c>
      <c r="P442" t="n">
        <v>0</v>
      </c>
      <c r="Q442" t="n">
        <v>0</v>
      </c>
      <c r="R442" s="2" t="inlineStr"/>
    </row>
    <row r="443" ht="15" customHeight="1">
      <c r="A443" t="inlineStr">
        <is>
          <t>A 31608-2025</t>
        </is>
      </c>
      <c r="B443" s="1" t="n">
        <v>45833</v>
      </c>
      <c r="C443" s="1" t="n">
        <v>46128</v>
      </c>
      <c r="D443" t="inlineStr">
        <is>
          <t>VÄSTMANLANDS LÄN</t>
        </is>
      </c>
      <c r="E443" t="inlineStr">
        <is>
          <t>SALA</t>
        </is>
      </c>
      <c r="G443" t="n">
        <v>6.1</v>
      </c>
      <c r="H443" t="n">
        <v>0</v>
      </c>
      <c r="I443" t="n">
        <v>0</v>
      </c>
      <c r="J443" t="n">
        <v>0</v>
      </c>
      <c r="K443" t="n">
        <v>0</v>
      </c>
      <c r="L443" t="n">
        <v>0</v>
      </c>
      <c r="M443" t="n">
        <v>0</v>
      </c>
      <c r="N443" t="n">
        <v>0</v>
      </c>
      <c r="O443" t="n">
        <v>0</v>
      </c>
      <c r="P443" t="n">
        <v>0</v>
      </c>
      <c r="Q443" t="n">
        <v>0</v>
      </c>
      <c r="R443" s="2" t="inlineStr"/>
    </row>
    <row r="444" ht="15" customHeight="1">
      <c r="A444" t="inlineStr">
        <is>
          <t>A 61517-2024</t>
        </is>
      </c>
      <c r="B444" s="1" t="n">
        <v>45645</v>
      </c>
      <c r="C444" s="1" t="n">
        <v>46128</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31610-2025</t>
        </is>
      </c>
      <c r="B445" s="1" t="n">
        <v>45833.78650462963</v>
      </c>
      <c r="C445" s="1" t="n">
        <v>46128</v>
      </c>
      <c r="D445" t="inlineStr">
        <is>
          <t>VÄSTMANLANDS LÄN</t>
        </is>
      </c>
      <c r="E445" t="inlineStr">
        <is>
          <t>SALA</t>
        </is>
      </c>
      <c r="G445" t="n">
        <v>8</v>
      </c>
      <c r="H445" t="n">
        <v>0</v>
      </c>
      <c r="I445" t="n">
        <v>0</v>
      </c>
      <c r="J445" t="n">
        <v>0</v>
      </c>
      <c r="K445" t="n">
        <v>0</v>
      </c>
      <c r="L445" t="n">
        <v>0</v>
      </c>
      <c r="M445" t="n">
        <v>0</v>
      </c>
      <c r="N445" t="n">
        <v>0</v>
      </c>
      <c r="O445" t="n">
        <v>0</v>
      </c>
      <c r="P445" t="n">
        <v>0</v>
      </c>
      <c r="Q445" t="n">
        <v>0</v>
      </c>
      <c r="R445" s="2" t="inlineStr"/>
    </row>
    <row r="446" ht="15" customHeight="1">
      <c r="A446" t="inlineStr">
        <is>
          <t>A 51809-2025</t>
        </is>
      </c>
      <c r="B446" s="1" t="n">
        <v>45951.80116898148</v>
      </c>
      <c r="C446" s="1" t="n">
        <v>46128</v>
      </c>
      <c r="D446" t="inlineStr">
        <is>
          <t>VÄSTMANLANDS LÄN</t>
        </is>
      </c>
      <c r="E446" t="inlineStr">
        <is>
          <t>SALA</t>
        </is>
      </c>
      <c r="F446" t="inlineStr">
        <is>
          <t>Kommuner</t>
        </is>
      </c>
      <c r="G446" t="n">
        <v>3.5</v>
      </c>
      <c r="H446" t="n">
        <v>0</v>
      </c>
      <c r="I446" t="n">
        <v>0</v>
      </c>
      <c r="J446" t="n">
        <v>0</v>
      </c>
      <c r="K446" t="n">
        <v>0</v>
      </c>
      <c r="L446" t="n">
        <v>0</v>
      </c>
      <c r="M446" t="n">
        <v>0</v>
      </c>
      <c r="N446" t="n">
        <v>0</v>
      </c>
      <c r="O446" t="n">
        <v>0</v>
      </c>
      <c r="P446" t="n">
        <v>0</v>
      </c>
      <c r="Q446" t="n">
        <v>0</v>
      </c>
      <c r="R446" s="2" t="inlineStr"/>
    </row>
    <row r="447" ht="15" customHeight="1">
      <c r="A447" t="inlineStr">
        <is>
          <t>A 31296-2025</t>
        </is>
      </c>
      <c r="B447" s="1" t="n">
        <v>45833.36765046296</v>
      </c>
      <c r="C447" s="1" t="n">
        <v>46128</v>
      </c>
      <c r="D447" t="inlineStr">
        <is>
          <t>VÄSTMANLANDS LÄN</t>
        </is>
      </c>
      <c r="E447" t="inlineStr">
        <is>
          <t>SALA</t>
        </is>
      </c>
      <c r="G447" t="n">
        <v>3.7</v>
      </c>
      <c r="H447" t="n">
        <v>0</v>
      </c>
      <c r="I447" t="n">
        <v>0</v>
      </c>
      <c r="J447" t="n">
        <v>0</v>
      </c>
      <c r="K447" t="n">
        <v>0</v>
      </c>
      <c r="L447" t="n">
        <v>0</v>
      </c>
      <c r="M447" t="n">
        <v>0</v>
      </c>
      <c r="N447" t="n">
        <v>0</v>
      </c>
      <c r="O447" t="n">
        <v>0</v>
      </c>
      <c r="P447" t="n">
        <v>0</v>
      </c>
      <c r="Q447" t="n">
        <v>0</v>
      </c>
      <c r="R447" s="2" t="inlineStr"/>
    </row>
    <row r="448" ht="15" customHeight="1">
      <c r="A448" t="inlineStr">
        <is>
          <t>A 16760-2024</t>
        </is>
      </c>
      <c r="B448" s="1" t="n">
        <v>45411</v>
      </c>
      <c r="C448" s="1" t="n">
        <v>46128</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31573-2025</t>
        </is>
      </c>
      <c r="B449" s="1" t="n">
        <v>45833</v>
      </c>
      <c r="C449" s="1" t="n">
        <v>46128</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51803-2025</t>
        </is>
      </c>
      <c r="B450" s="1" t="n">
        <v>45951.76818287037</v>
      </c>
      <c r="C450" s="1" t="n">
        <v>46128</v>
      </c>
      <c r="D450" t="inlineStr">
        <is>
          <t>VÄSTMANLANDS LÄN</t>
        </is>
      </c>
      <c r="E450" t="inlineStr">
        <is>
          <t>SALA</t>
        </is>
      </c>
      <c r="F450" t="inlineStr">
        <is>
          <t>Kommuner</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51805-2025</t>
        </is>
      </c>
      <c r="B451" s="1" t="n">
        <v>45951.78359953704</v>
      </c>
      <c r="C451" s="1" t="n">
        <v>46128</v>
      </c>
      <c r="D451" t="inlineStr">
        <is>
          <t>VÄSTMANLANDS LÄN</t>
        </is>
      </c>
      <c r="E451" t="inlineStr">
        <is>
          <t>SALA</t>
        </is>
      </c>
      <c r="F451" t="inlineStr">
        <is>
          <t>Kommuner</t>
        </is>
      </c>
      <c r="G451" t="n">
        <v>1.3</v>
      </c>
      <c r="H451" t="n">
        <v>0</v>
      </c>
      <c r="I451" t="n">
        <v>0</v>
      </c>
      <c r="J451" t="n">
        <v>0</v>
      </c>
      <c r="K451" t="n">
        <v>0</v>
      </c>
      <c r="L451" t="n">
        <v>0</v>
      </c>
      <c r="M451" t="n">
        <v>0</v>
      </c>
      <c r="N451" t="n">
        <v>0</v>
      </c>
      <c r="O451" t="n">
        <v>0</v>
      </c>
      <c r="P451" t="n">
        <v>0</v>
      </c>
      <c r="Q451" t="n">
        <v>0</v>
      </c>
      <c r="R451" s="2" t="inlineStr"/>
    </row>
    <row r="452" ht="15" customHeight="1">
      <c r="A452" t="inlineStr">
        <is>
          <t>A 51804-2025</t>
        </is>
      </c>
      <c r="B452" s="1" t="n">
        <v>45951.77697916667</v>
      </c>
      <c r="C452" s="1" t="n">
        <v>46128</v>
      </c>
      <c r="D452" t="inlineStr">
        <is>
          <t>VÄSTMANLANDS LÄN</t>
        </is>
      </c>
      <c r="E452" t="inlineStr">
        <is>
          <t>SALA</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51808-2025</t>
        </is>
      </c>
      <c r="B453" s="1" t="n">
        <v>45951.79302083333</v>
      </c>
      <c r="C453" s="1" t="n">
        <v>46128</v>
      </c>
      <c r="D453" t="inlineStr">
        <is>
          <t>VÄSTMANLANDS LÄN</t>
        </is>
      </c>
      <c r="E453" t="inlineStr">
        <is>
          <t>SALA</t>
        </is>
      </c>
      <c r="F453" t="inlineStr">
        <is>
          <t>Kommuner</t>
        </is>
      </c>
      <c r="G453" t="n">
        <v>3</v>
      </c>
      <c r="H453" t="n">
        <v>0</v>
      </c>
      <c r="I453" t="n">
        <v>0</v>
      </c>
      <c r="J453" t="n">
        <v>0</v>
      </c>
      <c r="K453" t="n">
        <v>0</v>
      </c>
      <c r="L453" t="n">
        <v>0</v>
      </c>
      <c r="M453" t="n">
        <v>0</v>
      </c>
      <c r="N453" t="n">
        <v>0</v>
      </c>
      <c r="O453" t="n">
        <v>0</v>
      </c>
      <c r="P453" t="n">
        <v>0</v>
      </c>
      <c r="Q453" t="n">
        <v>0</v>
      </c>
      <c r="R453" s="2" t="inlineStr"/>
    </row>
    <row r="454" ht="15" customHeight="1">
      <c r="A454" t="inlineStr">
        <is>
          <t>A 54603-2024</t>
        </is>
      </c>
      <c r="B454" s="1" t="n">
        <v>45617.68224537037</v>
      </c>
      <c r="C454" s="1" t="n">
        <v>46128</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32201-2025</t>
        </is>
      </c>
      <c r="B455" s="1" t="n">
        <v>45835</v>
      </c>
      <c r="C455" s="1" t="n">
        <v>46128</v>
      </c>
      <c r="D455" t="inlineStr">
        <is>
          <t>VÄSTMANLANDS LÄN</t>
        </is>
      </c>
      <c r="E455" t="inlineStr">
        <is>
          <t>SALA</t>
        </is>
      </c>
      <c r="F455" t="inlineStr">
        <is>
          <t>Bergvik skog öst AB</t>
        </is>
      </c>
      <c r="G455" t="n">
        <v>1.8</v>
      </c>
      <c r="H455" t="n">
        <v>0</v>
      </c>
      <c r="I455" t="n">
        <v>0</v>
      </c>
      <c r="J455" t="n">
        <v>0</v>
      </c>
      <c r="K455" t="n">
        <v>0</v>
      </c>
      <c r="L455" t="n">
        <v>0</v>
      </c>
      <c r="M455" t="n">
        <v>0</v>
      </c>
      <c r="N455" t="n">
        <v>0</v>
      </c>
      <c r="O455" t="n">
        <v>0</v>
      </c>
      <c r="P455" t="n">
        <v>0</v>
      </c>
      <c r="Q455" t="n">
        <v>0</v>
      </c>
      <c r="R455" s="2" t="inlineStr"/>
    </row>
    <row r="456" ht="15" customHeight="1">
      <c r="A456" t="inlineStr">
        <is>
          <t>A 2900-2023</t>
        </is>
      </c>
      <c r="B456" s="1" t="n">
        <v>44943</v>
      </c>
      <c r="C456" s="1" t="n">
        <v>46128</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51764-2025</t>
        </is>
      </c>
      <c r="B457" s="1" t="n">
        <v>45951.63636574074</v>
      </c>
      <c r="C457" s="1" t="n">
        <v>46128</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32205-2025</t>
        </is>
      </c>
      <c r="B458" s="1" t="n">
        <v>45835</v>
      </c>
      <c r="C458" s="1" t="n">
        <v>46128</v>
      </c>
      <c r="D458" t="inlineStr">
        <is>
          <t>VÄSTMANLANDS LÄN</t>
        </is>
      </c>
      <c r="E458" t="inlineStr">
        <is>
          <t>SALA</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60730-2023</t>
        </is>
      </c>
      <c r="B459" s="1" t="n">
        <v>45260</v>
      </c>
      <c r="C459" s="1" t="n">
        <v>46128</v>
      </c>
      <c r="D459" t="inlineStr">
        <is>
          <t>VÄSTMANLANDS LÄN</t>
        </is>
      </c>
      <c r="E459" t="inlineStr">
        <is>
          <t>SALA</t>
        </is>
      </c>
      <c r="G459" t="n">
        <v>1.3</v>
      </c>
      <c r="H459" t="n">
        <v>0</v>
      </c>
      <c r="I459" t="n">
        <v>0</v>
      </c>
      <c r="J459" t="n">
        <v>0</v>
      </c>
      <c r="K459" t="n">
        <v>0</v>
      </c>
      <c r="L459" t="n">
        <v>0</v>
      </c>
      <c r="M459" t="n">
        <v>0</v>
      </c>
      <c r="N459" t="n">
        <v>0</v>
      </c>
      <c r="O459" t="n">
        <v>0</v>
      </c>
      <c r="P459" t="n">
        <v>0</v>
      </c>
      <c r="Q459" t="n">
        <v>0</v>
      </c>
      <c r="R459" s="2" t="inlineStr"/>
    </row>
    <row r="460" ht="15" customHeight="1">
      <c r="A460" t="inlineStr">
        <is>
          <t>A 60731-2023</t>
        </is>
      </c>
      <c r="B460" s="1" t="n">
        <v>45260</v>
      </c>
      <c r="C460" s="1" t="n">
        <v>46128</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18762-2024</t>
        </is>
      </c>
      <c r="B461" s="1" t="n">
        <v>45426.55240740741</v>
      </c>
      <c r="C461" s="1" t="n">
        <v>46128</v>
      </c>
      <c r="D461" t="inlineStr">
        <is>
          <t>VÄSTMANLANDS LÄN</t>
        </is>
      </c>
      <c r="E461" t="inlineStr">
        <is>
          <t>SALA</t>
        </is>
      </c>
      <c r="G461" t="n">
        <v>6.2</v>
      </c>
      <c r="H461" t="n">
        <v>0</v>
      </c>
      <c r="I461" t="n">
        <v>0</v>
      </c>
      <c r="J461" t="n">
        <v>0</v>
      </c>
      <c r="K461" t="n">
        <v>0</v>
      </c>
      <c r="L461" t="n">
        <v>0</v>
      </c>
      <c r="M461" t="n">
        <v>0</v>
      </c>
      <c r="N461" t="n">
        <v>0</v>
      </c>
      <c r="O461" t="n">
        <v>0</v>
      </c>
      <c r="P461" t="n">
        <v>0</v>
      </c>
      <c r="Q461" t="n">
        <v>0</v>
      </c>
      <c r="R461" s="2" t="inlineStr"/>
    </row>
    <row r="462" ht="15" customHeight="1">
      <c r="A462" t="inlineStr">
        <is>
          <t>A 17120-2023</t>
        </is>
      </c>
      <c r="B462" s="1" t="n">
        <v>45034</v>
      </c>
      <c r="C462" s="1" t="n">
        <v>46128</v>
      </c>
      <c r="D462" t="inlineStr">
        <is>
          <t>VÄSTMANLANDS LÄN</t>
        </is>
      </c>
      <c r="E462" t="inlineStr">
        <is>
          <t>SALA</t>
        </is>
      </c>
      <c r="G462" t="n">
        <v>0.1</v>
      </c>
      <c r="H462" t="n">
        <v>0</v>
      </c>
      <c r="I462" t="n">
        <v>0</v>
      </c>
      <c r="J462" t="n">
        <v>0</v>
      </c>
      <c r="K462" t="n">
        <v>0</v>
      </c>
      <c r="L462" t="n">
        <v>0</v>
      </c>
      <c r="M462" t="n">
        <v>0</v>
      </c>
      <c r="N462" t="n">
        <v>0</v>
      </c>
      <c r="O462" t="n">
        <v>0</v>
      </c>
      <c r="P462" t="n">
        <v>0</v>
      </c>
      <c r="Q462" t="n">
        <v>0</v>
      </c>
      <c r="R462" s="2" t="inlineStr"/>
    </row>
    <row r="463" ht="15" customHeight="1">
      <c r="A463" t="inlineStr">
        <is>
          <t>A 42938-2023</t>
        </is>
      </c>
      <c r="B463" s="1" t="n">
        <v>45179</v>
      </c>
      <c r="C463" s="1" t="n">
        <v>46128</v>
      </c>
      <c r="D463" t="inlineStr">
        <is>
          <t>VÄSTMANLANDS LÄN</t>
        </is>
      </c>
      <c r="E463" t="inlineStr">
        <is>
          <t>SALA</t>
        </is>
      </c>
      <c r="G463" t="n">
        <v>10.9</v>
      </c>
      <c r="H463" t="n">
        <v>0</v>
      </c>
      <c r="I463" t="n">
        <v>0</v>
      </c>
      <c r="J463" t="n">
        <v>0</v>
      </c>
      <c r="K463" t="n">
        <v>0</v>
      </c>
      <c r="L463" t="n">
        <v>0</v>
      </c>
      <c r="M463" t="n">
        <v>0</v>
      </c>
      <c r="N463" t="n">
        <v>0</v>
      </c>
      <c r="O463" t="n">
        <v>0</v>
      </c>
      <c r="P463" t="n">
        <v>0</v>
      </c>
      <c r="Q463" t="n">
        <v>0</v>
      </c>
      <c r="R463" s="2" t="inlineStr"/>
    </row>
    <row r="464" ht="15" customHeight="1">
      <c r="A464" t="inlineStr">
        <is>
          <t>A 42984-2023</t>
        </is>
      </c>
      <c r="B464" s="1" t="n">
        <v>45179</v>
      </c>
      <c r="C464" s="1" t="n">
        <v>46128</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15972-2024</t>
        </is>
      </c>
      <c r="B465" s="1" t="n">
        <v>45405.56498842593</v>
      </c>
      <c r="C465" s="1" t="n">
        <v>46128</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32210-2025</t>
        </is>
      </c>
      <c r="B466" s="1" t="n">
        <v>45835</v>
      </c>
      <c r="C466" s="1" t="n">
        <v>46128</v>
      </c>
      <c r="D466" t="inlineStr">
        <is>
          <t>VÄSTMANLANDS LÄN</t>
        </is>
      </c>
      <c r="E466" t="inlineStr">
        <is>
          <t>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39714-2023</t>
        </is>
      </c>
      <c r="B467" s="1" t="n">
        <v>45167.62133101852</v>
      </c>
      <c r="C467" s="1" t="n">
        <v>46128</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32286-2025</t>
        </is>
      </c>
      <c r="B468" s="1" t="n">
        <v>45835</v>
      </c>
      <c r="C468" s="1" t="n">
        <v>46128</v>
      </c>
      <c r="D468" t="inlineStr">
        <is>
          <t>VÄSTMANLANDS LÄN</t>
        </is>
      </c>
      <c r="E468" t="inlineStr">
        <is>
          <t>SALA</t>
        </is>
      </c>
      <c r="G468" t="n">
        <v>6.4</v>
      </c>
      <c r="H468" t="n">
        <v>0</v>
      </c>
      <c r="I468" t="n">
        <v>0</v>
      </c>
      <c r="J468" t="n">
        <v>0</v>
      </c>
      <c r="K468" t="n">
        <v>0</v>
      </c>
      <c r="L468" t="n">
        <v>0</v>
      </c>
      <c r="M468" t="n">
        <v>0</v>
      </c>
      <c r="N468" t="n">
        <v>0</v>
      </c>
      <c r="O468" t="n">
        <v>0</v>
      </c>
      <c r="P468" t="n">
        <v>0</v>
      </c>
      <c r="Q468" t="n">
        <v>0</v>
      </c>
      <c r="R468" s="2" t="inlineStr"/>
    </row>
    <row r="469" ht="15" customHeight="1">
      <c r="A469" t="inlineStr">
        <is>
          <t>A 33527-2023</t>
        </is>
      </c>
      <c r="B469" s="1" t="n">
        <v>45131</v>
      </c>
      <c r="C469" s="1" t="n">
        <v>46128</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32207-2025</t>
        </is>
      </c>
      <c r="B470" s="1" t="n">
        <v>45835</v>
      </c>
      <c r="C470" s="1" t="n">
        <v>46128</v>
      </c>
      <c r="D470" t="inlineStr">
        <is>
          <t>VÄSTMANLANDS LÄN</t>
        </is>
      </c>
      <c r="E470" t="inlineStr">
        <is>
          <t>SALA</t>
        </is>
      </c>
      <c r="F470" t="inlineStr">
        <is>
          <t>Bergvik skog öst AB</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53744-2025</t>
        </is>
      </c>
      <c r="B471" s="1" t="n">
        <v>45960.64863425926</v>
      </c>
      <c r="C471" s="1" t="n">
        <v>46128</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10913-2025</t>
        </is>
      </c>
      <c r="B472" s="1" t="n">
        <v>45722.73423611111</v>
      </c>
      <c r="C472" s="1" t="n">
        <v>46128</v>
      </c>
      <c r="D472" t="inlineStr">
        <is>
          <t>VÄSTMANLANDS LÄN</t>
        </is>
      </c>
      <c r="E472" t="inlineStr">
        <is>
          <t>SALA</t>
        </is>
      </c>
      <c r="G472" t="n">
        <v>7.6</v>
      </c>
      <c r="H472" t="n">
        <v>0</v>
      </c>
      <c r="I472" t="n">
        <v>0</v>
      </c>
      <c r="J472" t="n">
        <v>0</v>
      </c>
      <c r="K472" t="n">
        <v>0</v>
      </c>
      <c r="L472" t="n">
        <v>0</v>
      </c>
      <c r="M472" t="n">
        <v>0</v>
      </c>
      <c r="N472" t="n">
        <v>0</v>
      </c>
      <c r="O472" t="n">
        <v>0</v>
      </c>
      <c r="P472" t="n">
        <v>0</v>
      </c>
      <c r="Q472" t="n">
        <v>0</v>
      </c>
      <c r="R472" s="2" t="inlineStr"/>
    </row>
    <row r="473" ht="15" customHeight="1">
      <c r="A473" t="inlineStr">
        <is>
          <t>A 58107-2021</t>
        </is>
      </c>
      <c r="B473" s="1" t="n">
        <v>44487</v>
      </c>
      <c r="C473" s="1" t="n">
        <v>46128</v>
      </c>
      <c r="D473" t="inlineStr">
        <is>
          <t>VÄSTMANLANDS LÄN</t>
        </is>
      </c>
      <c r="E473" t="inlineStr">
        <is>
          <t>SALA</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53725-2025</t>
        </is>
      </c>
      <c r="B474" s="1" t="n">
        <v>45960.63394675926</v>
      </c>
      <c r="C474" s="1" t="n">
        <v>46128</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32902-2025</t>
        </is>
      </c>
      <c r="B475" s="1" t="n">
        <v>45839</v>
      </c>
      <c r="C475" s="1" t="n">
        <v>46128</v>
      </c>
      <c r="D475" t="inlineStr">
        <is>
          <t>VÄSTMANLANDS LÄN</t>
        </is>
      </c>
      <c r="E475" t="inlineStr">
        <is>
          <t>SALA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2927-2024</t>
        </is>
      </c>
      <c r="B476" s="1" t="n">
        <v>45315.58989583333</v>
      </c>
      <c r="C476" s="1" t="n">
        <v>46128</v>
      </c>
      <c r="D476" t="inlineStr">
        <is>
          <t>VÄSTMANLANDS LÄN</t>
        </is>
      </c>
      <c r="E476" t="inlineStr">
        <is>
          <t>SALA</t>
        </is>
      </c>
      <c r="G476" t="n">
        <v>2.5</v>
      </c>
      <c r="H476" t="n">
        <v>0</v>
      </c>
      <c r="I476" t="n">
        <v>0</v>
      </c>
      <c r="J476" t="n">
        <v>0</v>
      </c>
      <c r="K476" t="n">
        <v>0</v>
      </c>
      <c r="L476" t="n">
        <v>0</v>
      </c>
      <c r="M476" t="n">
        <v>0</v>
      </c>
      <c r="N476" t="n">
        <v>0</v>
      </c>
      <c r="O476" t="n">
        <v>0</v>
      </c>
      <c r="P476" t="n">
        <v>0</v>
      </c>
      <c r="Q476" t="n">
        <v>0</v>
      </c>
      <c r="R476" s="2" t="inlineStr"/>
    </row>
    <row r="477" ht="15" customHeight="1">
      <c r="A477" t="inlineStr">
        <is>
          <t>A 53724-2025</t>
        </is>
      </c>
      <c r="B477" s="1" t="n">
        <v>45960.63174768518</v>
      </c>
      <c r="C477" s="1" t="n">
        <v>46128</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37183-2024</t>
        </is>
      </c>
      <c r="B478" s="1" t="n">
        <v>45539</v>
      </c>
      <c r="C478" s="1" t="n">
        <v>46128</v>
      </c>
      <c r="D478" t="inlineStr">
        <is>
          <t>VÄSTMANLANDS LÄN</t>
        </is>
      </c>
      <c r="E478" t="inlineStr">
        <is>
          <t>SALA</t>
        </is>
      </c>
      <c r="G478" t="n">
        <v>1.2</v>
      </c>
      <c r="H478" t="n">
        <v>0</v>
      </c>
      <c r="I478" t="n">
        <v>0</v>
      </c>
      <c r="J478" t="n">
        <v>0</v>
      </c>
      <c r="K478" t="n">
        <v>0</v>
      </c>
      <c r="L478" t="n">
        <v>0</v>
      </c>
      <c r="M478" t="n">
        <v>0</v>
      </c>
      <c r="N478" t="n">
        <v>0</v>
      </c>
      <c r="O478" t="n">
        <v>0</v>
      </c>
      <c r="P478" t="n">
        <v>0</v>
      </c>
      <c r="Q478" t="n">
        <v>0</v>
      </c>
      <c r="R478" s="2" t="inlineStr"/>
    </row>
    <row r="479" ht="15" customHeight="1">
      <c r="A479" t="inlineStr">
        <is>
          <t>A 38636-2024</t>
        </is>
      </c>
      <c r="B479" s="1" t="n">
        <v>45546</v>
      </c>
      <c r="C479" s="1" t="n">
        <v>46128</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54199-2024</t>
        </is>
      </c>
      <c r="B480" s="1" t="n">
        <v>45616.64703703704</v>
      </c>
      <c r="C480" s="1" t="n">
        <v>46128</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54201-2025</t>
        </is>
      </c>
      <c r="B481" s="1" t="n">
        <v>45964.58055555556</v>
      </c>
      <c r="C481" s="1" t="n">
        <v>46128</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60548-2024</t>
        </is>
      </c>
      <c r="B482" s="1" t="n">
        <v>45643.80978009259</v>
      </c>
      <c r="C482" s="1" t="n">
        <v>46128</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34069-2025</t>
        </is>
      </c>
      <c r="B483" s="1" t="n">
        <v>45845.43560185185</v>
      </c>
      <c r="C483" s="1" t="n">
        <v>46128</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c r="U483">
        <f>HYPERLINK("https://klasma.github.io/Logging_1981/knärot/A 34069-2025 karta knärot.png", "A 34069-2025")</f>
        <v/>
      </c>
      <c r="V483">
        <f>HYPERLINK("https://klasma.github.io/Logging_1981/klagomål/A 34069-2025 FSC-klagomål.docx", "A 34069-2025")</f>
        <v/>
      </c>
      <c r="W483">
        <f>HYPERLINK("https://klasma.github.io/Logging_1981/klagomålsmail/A 34069-2025 FSC-klagomål mail.docx", "A 34069-2025")</f>
        <v/>
      </c>
      <c r="X483">
        <f>HYPERLINK("https://klasma.github.io/Logging_1981/tillsyn/A 34069-2025 tillsynsbegäran.docx", "A 34069-2025")</f>
        <v/>
      </c>
      <c r="Y483">
        <f>HYPERLINK("https://klasma.github.io/Logging_1981/tillsynsmail/A 34069-2025 tillsynsbegäran mail.docx", "A 34069-2025")</f>
        <v/>
      </c>
    </row>
    <row r="484" ht="15" customHeight="1">
      <c r="A484" t="inlineStr">
        <is>
          <t>A 54344-2025</t>
        </is>
      </c>
      <c r="B484" s="1" t="n">
        <v>45965.36462962963</v>
      </c>
      <c r="C484" s="1" t="n">
        <v>46128</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57895-2024</t>
        </is>
      </c>
      <c r="B485" s="1" t="n">
        <v>45631</v>
      </c>
      <c r="C485" s="1" t="n">
        <v>46128</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54590-2025</t>
        </is>
      </c>
      <c r="B486" s="1" t="n">
        <v>45965.74199074074</v>
      </c>
      <c r="C486" s="1" t="n">
        <v>46128</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31597-2024</t>
        </is>
      </c>
      <c r="B487" s="1" t="n">
        <v>45506</v>
      </c>
      <c r="C487" s="1" t="n">
        <v>46128</v>
      </c>
      <c r="D487" t="inlineStr">
        <is>
          <t>VÄSTMANLANDS LÄN</t>
        </is>
      </c>
      <c r="E487" t="inlineStr">
        <is>
          <t>SALA</t>
        </is>
      </c>
      <c r="G487" t="n">
        <v>2.4</v>
      </c>
      <c r="H487" t="n">
        <v>0</v>
      </c>
      <c r="I487" t="n">
        <v>0</v>
      </c>
      <c r="J487" t="n">
        <v>0</v>
      </c>
      <c r="K487" t="n">
        <v>0</v>
      </c>
      <c r="L487" t="n">
        <v>0</v>
      </c>
      <c r="M487" t="n">
        <v>0</v>
      </c>
      <c r="N487" t="n">
        <v>0</v>
      </c>
      <c r="O487" t="n">
        <v>0</v>
      </c>
      <c r="P487" t="n">
        <v>0</v>
      </c>
      <c r="Q487" t="n">
        <v>0</v>
      </c>
      <c r="R487" s="2" t="inlineStr"/>
    </row>
    <row r="488" ht="15" customHeight="1">
      <c r="A488" t="inlineStr">
        <is>
          <t>A 15744-2025</t>
        </is>
      </c>
      <c r="B488" s="1" t="n">
        <v>45748</v>
      </c>
      <c r="C488" s="1" t="n">
        <v>46128</v>
      </c>
      <c r="D488" t="inlineStr">
        <is>
          <t>VÄSTMANLANDS LÄN</t>
        </is>
      </c>
      <c r="E488" t="inlineStr">
        <is>
          <t>SALA</t>
        </is>
      </c>
      <c r="G488" t="n">
        <v>1.6</v>
      </c>
      <c r="H488" t="n">
        <v>0</v>
      </c>
      <c r="I488" t="n">
        <v>0</v>
      </c>
      <c r="J488" t="n">
        <v>0</v>
      </c>
      <c r="K488" t="n">
        <v>0</v>
      </c>
      <c r="L488" t="n">
        <v>0</v>
      </c>
      <c r="M488" t="n">
        <v>0</v>
      </c>
      <c r="N488" t="n">
        <v>0</v>
      </c>
      <c r="O488" t="n">
        <v>0</v>
      </c>
      <c r="P488" t="n">
        <v>0</v>
      </c>
      <c r="Q488" t="n">
        <v>0</v>
      </c>
      <c r="R488" s="2" t="inlineStr"/>
    </row>
    <row r="489" ht="15" customHeight="1">
      <c r="A489" t="inlineStr">
        <is>
          <t>A 17458-2024</t>
        </is>
      </c>
      <c r="B489" s="1" t="n">
        <v>45415</v>
      </c>
      <c r="C489" s="1" t="n">
        <v>46128</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56543-2024</t>
        </is>
      </c>
      <c r="B490" s="1" t="n">
        <v>45625</v>
      </c>
      <c r="C490" s="1" t="n">
        <v>46128</v>
      </c>
      <c r="D490" t="inlineStr">
        <is>
          <t>VÄSTMANLANDS LÄN</t>
        </is>
      </c>
      <c r="E490" t="inlineStr">
        <is>
          <t>SALA</t>
        </is>
      </c>
      <c r="G490" t="n">
        <v>0.7</v>
      </c>
      <c r="H490" t="n">
        <v>0</v>
      </c>
      <c r="I490" t="n">
        <v>0</v>
      </c>
      <c r="J490" t="n">
        <v>0</v>
      </c>
      <c r="K490" t="n">
        <v>0</v>
      </c>
      <c r="L490" t="n">
        <v>0</v>
      </c>
      <c r="M490" t="n">
        <v>0</v>
      </c>
      <c r="N490" t="n">
        <v>0</v>
      </c>
      <c r="O490" t="n">
        <v>0</v>
      </c>
      <c r="P490" t="n">
        <v>0</v>
      </c>
      <c r="Q490" t="n">
        <v>0</v>
      </c>
      <c r="R490" s="2" t="inlineStr"/>
    </row>
    <row r="491" ht="15" customHeight="1">
      <c r="A491" t="inlineStr">
        <is>
          <t>A 54893-2025</t>
        </is>
      </c>
      <c r="B491" s="1" t="n">
        <v>45967.36383101852</v>
      </c>
      <c r="C491" s="1" t="n">
        <v>46128</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28661-2024</t>
        </is>
      </c>
      <c r="B492" s="1" t="n">
        <v>45478</v>
      </c>
      <c r="C492" s="1" t="n">
        <v>46128</v>
      </c>
      <c r="D492" t="inlineStr">
        <is>
          <t>VÄSTMANLANDS LÄN</t>
        </is>
      </c>
      <c r="E492" t="inlineStr">
        <is>
          <t>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2529-2022</t>
        </is>
      </c>
      <c r="B493" s="1" t="n">
        <v>44579.86452546297</v>
      </c>
      <c r="C493" s="1" t="n">
        <v>46128</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56540-2024</t>
        </is>
      </c>
      <c r="B494" s="1" t="n">
        <v>45625</v>
      </c>
      <c r="C494" s="1" t="n">
        <v>46128</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31599-2024</t>
        </is>
      </c>
      <c r="B495" s="1" t="n">
        <v>45506</v>
      </c>
      <c r="C495" s="1" t="n">
        <v>46128</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31601-2024</t>
        </is>
      </c>
      <c r="B496" s="1" t="n">
        <v>45506</v>
      </c>
      <c r="C496" s="1" t="n">
        <v>46128</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31608-2024</t>
        </is>
      </c>
      <c r="B497" s="1" t="n">
        <v>45506</v>
      </c>
      <c r="C497" s="1" t="n">
        <v>46128</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19033-2025</t>
        </is>
      </c>
      <c r="B498" s="1" t="n">
        <v>45764.65796296296</v>
      </c>
      <c r="C498" s="1" t="n">
        <v>46128</v>
      </c>
      <c r="D498" t="inlineStr">
        <is>
          <t>VÄSTMANLANDS LÄN</t>
        </is>
      </c>
      <c r="E498" t="inlineStr">
        <is>
          <t>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31612-2024</t>
        </is>
      </c>
      <c r="B499" s="1" t="n">
        <v>45506</v>
      </c>
      <c r="C499" s="1" t="n">
        <v>46128</v>
      </c>
      <c r="D499" t="inlineStr">
        <is>
          <t>VÄSTMANLANDS LÄN</t>
        </is>
      </c>
      <c r="E499" t="inlineStr">
        <is>
          <t>SALA</t>
        </is>
      </c>
      <c r="G499" t="n">
        <v>3.2</v>
      </c>
      <c r="H499" t="n">
        <v>0</v>
      </c>
      <c r="I499" t="n">
        <v>0</v>
      </c>
      <c r="J499" t="n">
        <v>0</v>
      </c>
      <c r="K499" t="n">
        <v>0</v>
      </c>
      <c r="L499" t="n">
        <v>0</v>
      </c>
      <c r="M499" t="n">
        <v>0</v>
      </c>
      <c r="N499" t="n">
        <v>0</v>
      </c>
      <c r="O499" t="n">
        <v>0</v>
      </c>
      <c r="P499" t="n">
        <v>0</v>
      </c>
      <c r="Q499" t="n">
        <v>0</v>
      </c>
      <c r="R499" s="2" t="inlineStr"/>
    </row>
    <row r="500" ht="15" customHeight="1">
      <c r="A500" t="inlineStr">
        <is>
          <t>A 10579-2022</t>
        </is>
      </c>
      <c r="B500" s="1" t="n">
        <v>44624</v>
      </c>
      <c r="C500" s="1" t="n">
        <v>46128</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64693-2023</t>
        </is>
      </c>
      <c r="B501" s="1" t="n">
        <v>45281.63850694444</v>
      </c>
      <c r="C501" s="1" t="n">
        <v>46128</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64695-2023</t>
        </is>
      </c>
      <c r="B502" s="1" t="n">
        <v>45281.64099537037</v>
      </c>
      <c r="C502" s="1" t="n">
        <v>46128</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35715-2025</t>
        </is>
      </c>
      <c r="B503" s="1" t="n">
        <v>45860.42148148148</v>
      </c>
      <c r="C503" s="1" t="n">
        <v>46128</v>
      </c>
      <c r="D503" t="inlineStr">
        <is>
          <t>VÄSTMANLANDS LÄN</t>
        </is>
      </c>
      <c r="E503" t="inlineStr">
        <is>
          <t>SALA</t>
        </is>
      </c>
      <c r="G503" t="n">
        <v>3.8</v>
      </c>
      <c r="H503" t="n">
        <v>0</v>
      </c>
      <c r="I503" t="n">
        <v>0</v>
      </c>
      <c r="J503" t="n">
        <v>0</v>
      </c>
      <c r="K503" t="n">
        <v>0</v>
      </c>
      <c r="L503" t="n">
        <v>0</v>
      </c>
      <c r="M503" t="n">
        <v>0</v>
      </c>
      <c r="N503" t="n">
        <v>0</v>
      </c>
      <c r="O503" t="n">
        <v>0</v>
      </c>
      <c r="P503" t="n">
        <v>0</v>
      </c>
      <c r="Q503" t="n">
        <v>0</v>
      </c>
      <c r="R503" s="2" t="inlineStr"/>
    </row>
    <row r="504" ht="15" customHeight="1">
      <c r="A504" t="inlineStr">
        <is>
          <t>A 35651-2025</t>
        </is>
      </c>
      <c r="B504" s="1" t="n">
        <v>45859.52435185185</v>
      </c>
      <c r="C504" s="1" t="n">
        <v>46128</v>
      </c>
      <c r="D504" t="inlineStr">
        <is>
          <t>VÄSTMANLANDS LÄN</t>
        </is>
      </c>
      <c r="E504" t="inlineStr">
        <is>
          <t>SALA</t>
        </is>
      </c>
      <c r="G504" t="n">
        <v>6.3</v>
      </c>
      <c r="H504" t="n">
        <v>0</v>
      </c>
      <c r="I504" t="n">
        <v>0</v>
      </c>
      <c r="J504" t="n">
        <v>0</v>
      </c>
      <c r="K504" t="n">
        <v>0</v>
      </c>
      <c r="L504" t="n">
        <v>0</v>
      </c>
      <c r="M504" t="n">
        <v>0</v>
      </c>
      <c r="N504" t="n">
        <v>0</v>
      </c>
      <c r="O504" t="n">
        <v>0</v>
      </c>
      <c r="P504" t="n">
        <v>0</v>
      </c>
      <c r="Q504" t="n">
        <v>0</v>
      </c>
      <c r="R504" s="2" t="inlineStr"/>
    </row>
    <row r="505" ht="15" customHeight="1">
      <c r="A505" t="inlineStr">
        <is>
          <t>A 55997-2025</t>
        </is>
      </c>
      <c r="B505" s="1" t="n">
        <v>45973.56833333334</v>
      </c>
      <c r="C505" s="1" t="n">
        <v>46128</v>
      </c>
      <c r="D505" t="inlineStr">
        <is>
          <t>VÄSTMANLANDS LÄN</t>
        </is>
      </c>
      <c r="E505" t="inlineStr">
        <is>
          <t>SALA</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35775-2025</t>
        </is>
      </c>
      <c r="B506" s="1" t="n">
        <v>45860</v>
      </c>
      <c r="C506" s="1" t="n">
        <v>46128</v>
      </c>
      <c r="D506" t="inlineStr">
        <is>
          <t>VÄSTMANLANDS LÄN</t>
        </is>
      </c>
      <c r="E506" t="inlineStr">
        <is>
          <t>SALA</t>
        </is>
      </c>
      <c r="G506" t="n">
        <v>2.6</v>
      </c>
      <c r="H506" t="n">
        <v>0</v>
      </c>
      <c r="I506" t="n">
        <v>0</v>
      </c>
      <c r="J506" t="n">
        <v>0</v>
      </c>
      <c r="K506" t="n">
        <v>0</v>
      </c>
      <c r="L506" t="n">
        <v>0</v>
      </c>
      <c r="M506" t="n">
        <v>0</v>
      </c>
      <c r="N506" t="n">
        <v>0</v>
      </c>
      <c r="O506" t="n">
        <v>0</v>
      </c>
      <c r="P506" t="n">
        <v>0</v>
      </c>
      <c r="Q506" t="n">
        <v>0</v>
      </c>
      <c r="R506" s="2" t="inlineStr"/>
    </row>
    <row r="507" ht="15" customHeight="1">
      <c r="A507" t="inlineStr">
        <is>
          <t>A 35774-2025</t>
        </is>
      </c>
      <c r="B507" s="1" t="n">
        <v>45860.68780092592</v>
      </c>
      <c r="C507" s="1" t="n">
        <v>46128</v>
      </c>
      <c r="D507" t="inlineStr">
        <is>
          <t>VÄSTMANLANDS LÄN</t>
        </is>
      </c>
      <c r="E507" t="inlineStr">
        <is>
          <t>SALA</t>
        </is>
      </c>
      <c r="G507" t="n">
        <v>6.5</v>
      </c>
      <c r="H507" t="n">
        <v>0</v>
      </c>
      <c r="I507" t="n">
        <v>0</v>
      </c>
      <c r="J507" t="n">
        <v>0</v>
      </c>
      <c r="K507" t="n">
        <v>0</v>
      </c>
      <c r="L507" t="n">
        <v>0</v>
      </c>
      <c r="M507" t="n">
        <v>0</v>
      </c>
      <c r="N507" t="n">
        <v>0</v>
      </c>
      <c r="O507" t="n">
        <v>0</v>
      </c>
      <c r="P507" t="n">
        <v>0</v>
      </c>
      <c r="Q507" t="n">
        <v>0</v>
      </c>
      <c r="R507" s="2" t="inlineStr"/>
    </row>
    <row r="508" ht="15" customHeight="1">
      <c r="A508" t="inlineStr">
        <is>
          <t>A 35776-2025</t>
        </is>
      </c>
      <c r="B508" s="1" t="n">
        <v>45860.69211805556</v>
      </c>
      <c r="C508" s="1" t="n">
        <v>46128</v>
      </c>
      <c r="D508" t="inlineStr">
        <is>
          <t>VÄSTMANLANDS LÄN</t>
        </is>
      </c>
      <c r="E508" t="inlineStr">
        <is>
          <t>SALA</t>
        </is>
      </c>
      <c r="G508" t="n">
        <v>14.2</v>
      </c>
      <c r="H508" t="n">
        <v>0</v>
      </c>
      <c r="I508" t="n">
        <v>0</v>
      </c>
      <c r="J508" t="n">
        <v>0</v>
      </c>
      <c r="K508" t="n">
        <v>0</v>
      </c>
      <c r="L508" t="n">
        <v>0</v>
      </c>
      <c r="M508" t="n">
        <v>0</v>
      </c>
      <c r="N508" t="n">
        <v>0</v>
      </c>
      <c r="O508" t="n">
        <v>0</v>
      </c>
      <c r="P508" t="n">
        <v>0</v>
      </c>
      <c r="Q508" t="n">
        <v>0</v>
      </c>
      <c r="R508" s="2" t="inlineStr"/>
    </row>
    <row r="509" ht="15" customHeight="1">
      <c r="A509" t="inlineStr">
        <is>
          <t>A 35779-2025</t>
        </is>
      </c>
      <c r="B509" s="1" t="n">
        <v>45860.69495370371</v>
      </c>
      <c r="C509" s="1" t="n">
        <v>46128</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55714-2025</t>
        </is>
      </c>
      <c r="B510" s="1" t="n">
        <v>45972.49131944445</v>
      </c>
      <c r="C510" s="1" t="n">
        <v>46128</v>
      </c>
      <c r="D510" t="inlineStr">
        <is>
          <t>VÄSTMANLANDS LÄN</t>
        </is>
      </c>
      <c r="E510" t="inlineStr">
        <is>
          <t>SALA</t>
        </is>
      </c>
      <c r="G510" t="n">
        <v>6.6</v>
      </c>
      <c r="H510" t="n">
        <v>0</v>
      </c>
      <c r="I510" t="n">
        <v>0</v>
      </c>
      <c r="J510" t="n">
        <v>0</v>
      </c>
      <c r="K510" t="n">
        <v>0</v>
      </c>
      <c r="L510" t="n">
        <v>0</v>
      </c>
      <c r="M510" t="n">
        <v>0</v>
      </c>
      <c r="N510" t="n">
        <v>0</v>
      </c>
      <c r="O510" t="n">
        <v>0</v>
      </c>
      <c r="P510" t="n">
        <v>0</v>
      </c>
      <c r="Q510" t="n">
        <v>0</v>
      </c>
      <c r="R510" s="2" t="inlineStr"/>
    </row>
    <row r="511" ht="15" customHeight="1">
      <c r="A511" t="inlineStr">
        <is>
          <t>A 36049-2025</t>
        </is>
      </c>
      <c r="B511" s="1" t="n">
        <v>45866.37065972222</v>
      </c>
      <c r="C511" s="1" t="n">
        <v>46128</v>
      </c>
      <c r="D511" t="inlineStr">
        <is>
          <t>VÄSTMANLANDS LÄN</t>
        </is>
      </c>
      <c r="E511" t="inlineStr">
        <is>
          <t>SALA</t>
        </is>
      </c>
      <c r="F511" t="inlineStr">
        <is>
          <t>Kommuner</t>
        </is>
      </c>
      <c r="G511" t="n">
        <v>1.9</v>
      </c>
      <c r="H511" t="n">
        <v>0</v>
      </c>
      <c r="I511" t="n">
        <v>0</v>
      </c>
      <c r="J511" t="n">
        <v>0</v>
      </c>
      <c r="K511" t="n">
        <v>0</v>
      </c>
      <c r="L511" t="n">
        <v>0</v>
      </c>
      <c r="M511" t="n">
        <v>0</v>
      </c>
      <c r="N511" t="n">
        <v>0</v>
      </c>
      <c r="O511" t="n">
        <v>0</v>
      </c>
      <c r="P511" t="n">
        <v>0</v>
      </c>
      <c r="Q511" t="n">
        <v>0</v>
      </c>
      <c r="R511" s="2" t="inlineStr"/>
    </row>
    <row r="512" ht="15" customHeight="1">
      <c r="A512" t="inlineStr">
        <is>
          <t>A 56614-2025</t>
        </is>
      </c>
      <c r="B512" s="1" t="n">
        <v>45975.59288194445</v>
      </c>
      <c r="C512" s="1" t="n">
        <v>46128</v>
      </c>
      <c r="D512" t="inlineStr">
        <is>
          <t>VÄSTMANLANDS LÄN</t>
        </is>
      </c>
      <c r="E512" t="inlineStr">
        <is>
          <t>SALA</t>
        </is>
      </c>
      <c r="G512" t="n">
        <v>1.4</v>
      </c>
      <c r="H512" t="n">
        <v>0</v>
      </c>
      <c r="I512" t="n">
        <v>0</v>
      </c>
      <c r="J512" t="n">
        <v>0</v>
      </c>
      <c r="K512" t="n">
        <v>0</v>
      </c>
      <c r="L512" t="n">
        <v>0</v>
      </c>
      <c r="M512" t="n">
        <v>0</v>
      </c>
      <c r="N512" t="n">
        <v>0</v>
      </c>
      <c r="O512" t="n">
        <v>0</v>
      </c>
      <c r="P512" t="n">
        <v>0</v>
      </c>
      <c r="Q512" t="n">
        <v>0</v>
      </c>
      <c r="R512" s="2" t="inlineStr"/>
    </row>
    <row r="513" ht="15" customHeight="1">
      <c r="A513" t="inlineStr">
        <is>
          <t>A 56611-2025</t>
        </is>
      </c>
      <c r="B513" s="1" t="n">
        <v>45975</v>
      </c>
      <c r="C513" s="1" t="n">
        <v>46128</v>
      </c>
      <c r="D513" t="inlineStr">
        <is>
          <t>VÄSTMANLANDS LÄN</t>
        </is>
      </c>
      <c r="E513" t="inlineStr">
        <is>
          <t>SALA</t>
        </is>
      </c>
      <c r="G513" t="n">
        <v>2.8</v>
      </c>
      <c r="H513" t="n">
        <v>0</v>
      </c>
      <c r="I513" t="n">
        <v>0</v>
      </c>
      <c r="J513" t="n">
        <v>0</v>
      </c>
      <c r="K513" t="n">
        <v>0</v>
      </c>
      <c r="L513" t="n">
        <v>0</v>
      </c>
      <c r="M513" t="n">
        <v>0</v>
      </c>
      <c r="N513" t="n">
        <v>0</v>
      </c>
      <c r="O513" t="n">
        <v>0</v>
      </c>
      <c r="P513" t="n">
        <v>0</v>
      </c>
      <c r="Q513" t="n">
        <v>0</v>
      </c>
      <c r="R513" s="2" t="inlineStr"/>
    </row>
    <row r="514" ht="15" customHeight="1">
      <c r="A514" t="inlineStr">
        <is>
          <t>A 36031-2025</t>
        </is>
      </c>
      <c r="B514" s="1" t="n">
        <v>45865.46111111111</v>
      </c>
      <c r="C514" s="1" t="n">
        <v>46128</v>
      </c>
      <c r="D514" t="inlineStr">
        <is>
          <t>VÄSTMANLANDS LÄN</t>
        </is>
      </c>
      <c r="E514" t="inlineStr">
        <is>
          <t>SALA</t>
        </is>
      </c>
      <c r="G514" t="n">
        <v>7.2</v>
      </c>
      <c r="H514" t="n">
        <v>0</v>
      </c>
      <c r="I514" t="n">
        <v>0</v>
      </c>
      <c r="J514" t="n">
        <v>0</v>
      </c>
      <c r="K514" t="n">
        <v>0</v>
      </c>
      <c r="L514" t="n">
        <v>0</v>
      </c>
      <c r="M514" t="n">
        <v>0</v>
      </c>
      <c r="N514" t="n">
        <v>0</v>
      </c>
      <c r="O514" t="n">
        <v>0</v>
      </c>
      <c r="P514" t="n">
        <v>0</v>
      </c>
      <c r="Q514" t="n">
        <v>0</v>
      </c>
      <c r="R514" s="2" t="inlineStr"/>
    </row>
    <row r="515" ht="15" customHeight="1">
      <c r="A515" t="inlineStr">
        <is>
          <t>A 36060-2025</t>
        </is>
      </c>
      <c r="B515" s="1" t="n">
        <v>45866.39469907407</v>
      </c>
      <c r="C515" s="1" t="n">
        <v>46128</v>
      </c>
      <c r="D515" t="inlineStr">
        <is>
          <t>VÄSTMANLANDS LÄN</t>
        </is>
      </c>
      <c r="E515" t="inlineStr">
        <is>
          <t>SALA</t>
        </is>
      </c>
      <c r="F515" t="inlineStr">
        <is>
          <t>Kommuner</t>
        </is>
      </c>
      <c r="G515" t="n">
        <v>4.3</v>
      </c>
      <c r="H515" t="n">
        <v>0</v>
      </c>
      <c r="I515" t="n">
        <v>0</v>
      </c>
      <c r="J515" t="n">
        <v>0</v>
      </c>
      <c r="K515" t="n">
        <v>0</v>
      </c>
      <c r="L515" t="n">
        <v>0</v>
      </c>
      <c r="M515" t="n">
        <v>0</v>
      </c>
      <c r="N515" t="n">
        <v>0</v>
      </c>
      <c r="O515" t="n">
        <v>0</v>
      </c>
      <c r="P515" t="n">
        <v>0</v>
      </c>
      <c r="Q515" t="n">
        <v>0</v>
      </c>
      <c r="R515" s="2" t="inlineStr"/>
    </row>
    <row r="516" ht="15" customHeight="1">
      <c r="A516" t="inlineStr">
        <is>
          <t>A 55784-2024</t>
        </is>
      </c>
      <c r="B516" s="1" t="n">
        <v>45623</v>
      </c>
      <c r="C516" s="1" t="n">
        <v>46128</v>
      </c>
      <c r="D516" t="inlineStr">
        <is>
          <t>VÄSTMANLANDS LÄN</t>
        </is>
      </c>
      <c r="E516" t="inlineStr">
        <is>
          <t>SALA</t>
        </is>
      </c>
      <c r="F516" t="inlineStr">
        <is>
          <t>Bergvik skog öst AB</t>
        </is>
      </c>
      <c r="G516" t="n">
        <v>28.4</v>
      </c>
      <c r="H516" t="n">
        <v>0</v>
      </c>
      <c r="I516" t="n">
        <v>0</v>
      </c>
      <c r="J516" t="n">
        <v>0</v>
      </c>
      <c r="K516" t="n">
        <v>0</v>
      </c>
      <c r="L516" t="n">
        <v>0</v>
      </c>
      <c r="M516" t="n">
        <v>0</v>
      </c>
      <c r="N516" t="n">
        <v>0</v>
      </c>
      <c r="O516" t="n">
        <v>0</v>
      </c>
      <c r="P516" t="n">
        <v>0</v>
      </c>
      <c r="Q516" t="n">
        <v>0</v>
      </c>
      <c r="R516" s="2" t="inlineStr"/>
    </row>
    <row r="517" ht="15" customHeight="1">
      <c r="A517" t="inlineStr">
        <is>
          <t>A 36032-2025</t>
        </is>
      </c>
      <c r="B517" s="1" t="n">
        <v>45865.48740740741</v>
      </c>
      <c r="C517" s="1" t="n">
        <v>46128</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36043-2025</t>
        </is>
      </c>
      <c r="B518" s="1" t="n">
        <v>45866.35333333333</v>
      </c>
      <c r="C518" s="1" t="n">
        <v>46128</v>
      </c>
      <c r="D518" t="inlineStr">
        <is>
          <t>VÄSTMANLANDS LÄN</t>
        </is>
      </c>
      <c r="E518" t="inlineStr">
        <is>
          <t>SALA</t>
        </is>
      </c>
      <c r="F518" t="inlineStr">
        <is>
          <t>Kommuner</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36045-2025</t>
        </is>
      </c>
      <c r="B519" s="1" t="n">
        <v>45866.36200231482</v>
      </c>
      <c r="C519" s="1" t="n">
        <v>46128</v>
      </c>
      <c r="D519" t="inlineStr">
        <is>
          <t>VÄSTMANLANDS LÄN</t>
        </is>
      </c>
      <c r="E519" t="inlineStr">
        <is>
          <t>SALA</t>
        </is>
      </c>
      <c r="F519" t="inlineStr">
        <is>
          <t>Kommuner</t>
        </is>
      </c>
      <c r="G519" t="n">
        <v>1.7</v>
      </c>
      <c r="H519" t="n">
        <v>0</v>
      </c>
      <c r="I519" t="n">
        <v>0</v>
      </c>
      <c r="J519" t="n">
        <v>0</v>
      </c>
      <c r="K519" t="n">
        <v>0</v>
      </c>
      <c r="L519" t="n">
        <v>0</v>
      </c>
      <c r="M519" t="n">
        <v>0</v>
      </c>
      <c r="N519" t="n">
        <v>0</v>
      </c>
      <c r="O519" t="n">
        <v>0</v>
      </c>
      <c r="P519" t="n">
        <v>0</v>
      </c>
      <c r="Q519" t="n">
        <v>0</v>
      </c>
      <c r="R519" s="2" t="inlineStr"/>
    </row>
    <row r="520" ht="15" customHeight="1">
      <c r="A520" t="inlineStr">
        <is>
          <t>A 57014-2025</t>
        </is>
      </c>
      <c r="B520" s="1" t="n">
        <v>45978</v>
      </c>
      <c r="C520" s="1" t="n">
        <v>46128</v>
      </c>
      <c r="D520" t="inlineStr">
        <is>
          <t>VÄSTMANLANDS LÄN</t>
        </is>
      </c>
      <c r="E520" t="inlineStr">
        <is>
          <t>SALA</t>
        </is>
      </c>
      <c r="G520" t="n">
        <v>2.2</v>
      </c>
      <c r="H520" t="n">
        <v>0</v>
      </c>
      <c r="I520" t="n">
        <v>0</v>
      </c>
      <c r="J520" t="n">
        <v>0</v>
      </c>
      <c r="K520" t="n">
        <v>0</v>
      </c>
      <c r="L520" t="n">
        <v>0</v>
      </c>
      <c r="M520" t="n">
        <v>0</v>
      </c>
      <c r="N520" t="n">
        <v>0</v>
      </c>
      <c r="O520" t="n">
        <v>0</v>
      </c>
      <c r="P520" t="n">
        <v>0</v>
      </c>
      <c r="Q520" t="n">
        <v>0</v>
      </c>
      <c r="R520" s="2" t="inlineStr"/>
    </row>
    <row r="521" ht="15" customHeight="1">
      <c r="A521" t="inlineStr">
        <is>
          <t>A 56502-2025</t>
        </is>
      </c>
      <c r="B521" s="1" t="n">
        <v>45975</v>
      </c>
      <c r="C521" s="1" t="n">
        <v>46128</v>
      </c>
      <c r="D521" t="inlineStr">
        <is>
          <t>VÄSTMANLANDS LÄN</t>
        </is>
      </c>
      <c r="E521" t="inlineStr">
        <is>
          <t>SALA</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56593-2025</t>
        </is>
      </c>
      <c r="B522" s="1" t="n">
        <v>45975</v>
      </c>
      <c r="C522" s="1" t="n">
        <v>46128</v>
      </c>
      <c r="D522" t="inlineStr">
        <is>
          <t>VÄSTMANLANDS LÄN</t>
        </is>
      </c>
      <c r="E522" t="inlineStr">
        <is>
          <t>SALA</t>
        </is>
      </c>
      <c r="F522" t="inlineStr">
        <is>
          <t>Kyrkan</t>
        </is>
      </c>
      <c r="G522" t="n">
        <v>0.1</v>
      </c>
      <c r="H522" t="n">
        <v>0</v>
      </c>
      <c r="I522" t="n">
        <v>0</v>
      </c>
      <c r="J522" t="n">
        <v>0</v>
      </c>
      <c r="K522" t="n">
        <v>0</v>
      </c>
      <c r="L522" t="n">
        <v>0</v>
      </c>
      <c r="M522" t="n">
        <v>0</v>
      </c>
      <c r="N522" t="n">
        <v>0</v>
      </c>
      <c r="O522" t="n">
        <v>0</v>
      </c>
      <c r="P522" t="n">
        <v>0</v>
      </c>
      <c r="Q522" t="n">
        <v>0</v>
      </c>
      <c r="R522" s="2" t="inlineStr"/>
    </row>
    <row r="523" ht="15" customHeight="1">
      <c r="A523" t="inlineStr">
        <is>
          <t>A 56645-2025</t>
        </is>
      </c>
      <c r="B523" s="1" t="n">
        <v>45975.63063657407</v>
      </c>
      <c r="C523" s="1" t="n">
        <v>46128</v>
      </c>
      <c r="D523" t="inlineStr">
        <is>
          <t>VÄSTMANLANDS LÄN</t>
        </is>
      </c>
      <c r="E523" t="inlineStr">
        <is>
          <t>SALA</t>
        </is>
      </c>
      <c r="F523" t="inlineStr">
        <is>
          <t>Bergvik skog öst AB</t>
        </is>
      </c>
      <c r="G523" t="n">
        <v>5.3</v>
      </c>
      <c r="H523" t="n">
        <v>0</v>
      </c>
      <c r="I523" t="n">
        <v>0</v>
      </c>
      <c r="J523" t="n">
        <v>0</v>
      </c>
      <c r="K523" t="n">
        <v>0</v>
      </c>
      <c r="L523" t="n">
        <v>0</v>
      </c>
      <c r="M523" t="n">
        <v>0</v>
      </c>
      <c r="N523" t="n">
        <v>0</v>
      </c>
      <c r="O523" t="n">
        <v>0</v>
      </c>
      <c r="P523" t="n">
        <v>0</v>
      </c>
      <c r="Q523" t="n">
        <v>0</v>
      </c>
      <c r="R523" s="2" t="inlineStr"/>
    </row>
    <row r="524" ht="15" customHeight="1">
      <c r="A524" t="inlineStr">
        <is>
          <t>A 29542-2023</t>
        </is>
      </c>
      <c r="B524" s="1" t="n">
        <v>45098</v>
      </c>
      <c r="C524" s="1" t="n">
        <v>46128</v>
      </c>
      <c r="D524" t="inlineStr">
        <is>
          <t>VÄSTMANLANDS LÄN</t>
        </is>
      </c>
      <c r="E524" t="inlineStr">
        <is>
          <t>SALA</t>
        </is>
      </c>
      <c r="G524" t="n">
        <v>4.8</v>
      </c>
      <c r="H524" t="n">
        <v>0</v>
      </c>
      <c r="I524" t="n">
        <v>0</v>
      </c>
      <c r="J524" t="n">
        <v>0</v>
      </c>
      <c r="K524" t="n">
        <v>0</v>
      </c>
      <c r="L524" t="n">
        <v>0</v>
      </c>
      <c r="M524" t="n">
        <v>0</v>
      </c>
      <c r="N524" t="n">
        <v>0</v>
      </c>
      <c r="O524" t="n">
        <v>0</v>
      </c>
      <c r="P524" t="n">
        <v>0</v>
      </c>
      <c r="Q524" t="n">
        <v>0</v>
      </c>
      <c r="R524" s="2" t="inlineStr"/>
    </row>
    <row r="525" ht="15" customHeight="1">
      <c r="A525" t="inlineStr">
        <is>
          <t>A 27038-2023</t>
        </is>
      </c>
      <c r="B525" s="1" t="n">
        <v>45095</v>
      </c>
      <c r="C525" s="1" t="n">
        <v>46128</v>
      </c>
      <c r="D525" t="inlineStr">
        <is>
          <t>VÄSTMANLANDS LÄN</t>
        </is>
      </c>
      <c r="E525" t="inlineStr">
        <is>
          <t>SALA</t>
        </is>
      </c>
      <c r="G525" t="n">
        <v>0.8</v>
      </c>
      <c r="H525" t="n">
        <v>0</v>
      </c>
      <c r="I525" t="n">
        <v>0</v>
      </c>
      <c r="J525" t="n">
        <v>0</v>
      </c>
      <c r="K525" t="n">
        <v>0</v>
      </c>
      <c r="L525" t="n">
        <v>0</v>
      </c>
      <c r="M525" t="n">
        <v>0</v>
      </c>
      <c r="N525" t="n">
        <v>0</v>
      </c>
      <c r="O525" t="n">
        <v>0</v>
      </c>
      <c r="P525" t="n">
        <v>0</v>
      </c>
      <c r="Q525" t="n">
        <v>0</v>
      </c>
      <c r="R525" s="2" t="inlineStr"/>
    </row>
    <row r="526" ht="15" customHeight="1">
      <c r="A526" t="inlineStr">
        <is>
          <t>A 17985-2025</t>
        </is>
      </c>
      <c r="B526" s="1" t="n">
        <v>45761</v>
      </c>
      <c r="C526" s="1" t="n">
        <v>46128</v>
      </c>
      <c r="D526" t="inlineStr">
        <is>
          <t>VÄSTMANLANDS LÄN</t>
        </is>
      </c>
      <c r="E526" t="inlineStr">
        <is>
          <t>SALA</t>
        </is>
      </c>
      <c r="G526" t="n">
        <v>12.5</v>
      </c>
      <c r="H526" t="n">
        <v>0</v>
      </c>
      <c r="I526" t="n">
        <v>0</v>
      </c>
      <c r="J526" t="n">
        <v>0</v>
      </c>
      <c r="K526" t="n">
        <v>0</v>
      </c>
      <c r="L526" t="n">
        <v>0</v>
      </c>
      <c r="M526" t="n">
        <v>0</v>
      </c>
      <c r="N526" t="n">
        <v>0</v>
      </c>
      <c r="O526" t="n">
        <v>0</v>
      </c>
      <c r="P526" t="n">
        <v>0</v>
      </c>
      <c r="Q526" t="n">
        <v>0</v>
      </c>
      <c r="R526" s="2" t="inlineStr"/>
    </row>
    <row r="527" ht="15" customHeight="1">
      <c r="A527" t="inlineStr">
        <is>
          <t>A 31869-2025</t>
        </is>
      </c>
      <c r="B527" s="1" t="n">
        <v>45834.64555555556</v>
      </c>
      <c r="C527" s="1" t="n">
        <v>46128</v>
      </c>
      <c r="D527" t="inlineStr">
        <is>
          <t>VÄSTMANLANDS LÄN</t>
        </is>
      </c>
      <c r="E527" t="inlineStr">
        <is>
          <t>SALA</t>
        </is>
      </c>
      <c r="G527" t="n">
        <v>17.5</v>
      </c>
      <c r="H527" t="n">
        <v>0</v>
      </c>
      <c r="I527" t="n">
        <v>0</v>
      </c>
      <c r="J527" t="n">
        <v>0</v>
      </c>
      <c r="K527" t="n">
        <v>0</v>
      </c>
      <c r="L527" t="n">
        <v>0</v>
      </c>
      <c r="M527" t="n">
        <v>0</v>
      </c>
      <c r="N527" t="n">
        <v>0</v>
      </c>
      <c r="O527" t="n">
        <v>0</v>
      </c>
      <c r="P527" t="n">
        <v>0</v>
      </c>
      <c r="Q527" t="n">
        <v>0</v>
      </c>
      <c r="R527" s="2" t="inlineStr"/>
    </row>
    <row r="528" ht="15" customHeight="1">
      <c r="A528" t="inlineStr">
        <is>
          <t>A 31863-2025</t>
        </is>
      </c>
      <c r="B528" s="1" t="n">
        <v>45834.63303240741</v>
      </c>
      <c r="C528" s="1" t="n">
        <v>46128</v>
      </c>
      <c r="D528" t="inlineStr">
        <is>
          <t>VÄSTMANLANDS LÄN</t>
        </is>
      </c>
      <c r="E528" t="inlineStr">
        <is>
          <t>SALA</t>
        </is>
      </c>
      <c r="G528" t="n">
        <v>2.5</v>
      </c>
      <c r="H528" t="n">
        <v>0</v>
      </c>
      <c r="I528" t="n">
        <v>0</v>
      </c>
      <c r="J528" t="n">
        <v>0</v>
      </c>
      <c r="K528" t="n">
        <v>0</v>
      </c>
      <c r="L528" t="n">
        <v>0</v>
      </c>
      <c r="M528" t="n">
        <v>0</v>
      </c>
      <c r="N528" t="n">
        <v>0</v>
      </c>
      <c r="O528" t="n">
        <v>0</v>
      </c>
      <c r="P528" t="n">
        <v>0</v>
      </c>
      <c r="Q528" t="n">
        <v>0</v>
      </c>
      <c r="R528" s="2" t="inlineStr"/>
    </row>
    <row r="529" ht="15" customHeight="1">
      <c r="A529" t="inlineStr">
        <is>
          <t>A 17766-2025</t>
        </is>
      </c>
      <c r="B529" s="1" t="n">
        <v>45758</v>
      </c>
      <c r="C529" s="1" t="n">
        <v>46128</v>
      </c>
      <c r="D529" t="inlineStr">
        <is>
          <t>VÄSTMANLANDS LÄN</t>
        </is>
      </c>
      <c r="E529" t="inlineStr">
        <is>
          <t>SALA</t>
        </is>
      </c>
      <c r="G529" t="n">
        <v>16.5</v>
      </c>
      <c r="H529" t="n">
        <v>0</v>
      </c>
      <c r="I529" t="n">
        <v>0</v>
      </c>
      <c r="J529" t="n">
        <v>0</v>
      </c>
      <c r="K529" t="n">
        <v>0</v>
      </c>
      <c r="L529" t="n">
        <v>0</v>
      </c>
      <c r="M529" t="n">
        <v>0</v>
      </c>
      <c r="N529" t="n">
        <v>0</v>
      </c>
      <c r="O529" t="n">
        <v>0</v>
      </c>
      <c r="P529" t="n">
        <v>0</v>
      </c>
      <c r="Q529" t="n">
        <v>0</v>
      </c>
      <c r="R529" s="2" t="inlineStr"/>
    </row>
    <row r="530" ht="15" customHeight="1">
      <c r="A530" t="inlineStr">
        <is>
          <t>A 7664-2023</t>
        </is>
      </c>
      <c r="B530" s="1" t="n">
        <v>44972</v>
      </c>
      <c r="C530" s="1" t="n">
        <v>46128</v>
      </c>
      <c r="D530" t="inlineStr">
        <is>
          <t>VÄSTMANLANDS LÄN</t>
        </is>
      </c>
      <c r="E530" t="inlineStr">
        <is>
          <t>SALA</t>
        </is>
      </c>
      <c r="G530" t="n">
        <v>1.4</v>
      </c>
      <c r="H530" t="n">
        <v>0</v>
      </c>
      <c r="I530" t="n">
        <v>0</v>
      </c>
      <c r="J530" t="n">
        <v>0</v>
      </c>
      <c r="K530" t="n">
        <v>0</v>
      </c>
      <c r="L530" t="n">
        <v>0</v>
      </c>
      <c r="M530" t="n">
        <v>0</v>
      </c>
      <c r="N530" t="n">
        <v>0</v>
      </c>
      <c r="O530" t="n">
        <v>0</v>
      </c>
      <c r="P530" t="n">
        <v>0</v>
      </c>
      <c r="Q530" t="n">
        <v>0</v>
      </c>
      <c r="R530" s="2" t="inlineStr"/>
    </row>
    <row r="531" ht="15" customHeight="1">
      <c r="A531" t="inlineStr">
        <is>
          <t>A 3546-2025</t>
        </is>
      </c>
      <c r="B531" s="1" t="n">
        <v>45680</v>
      </c>
      <c r="C531" s="1" t="n">
        <v>46128</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57412-2025</t>
        </is>
      </c>
      <c r="B532" s="1" t="n">
        <v>45980.44883101852</v>
      </c>
      <c r="C532" s="1" t="n">
        <v>46128</v>
      </c>
      <c r="D532" t="inlineStr">
        <is>
          <t>VÄSTMANLANDS LÄN</t>
        </is>
      </c>
      <c r="E532" t="inlineStr">
        <is>
          <t>SALA</t>
        </is>
      </c>
      <c r="F532" t="inlineStr">
        <is>
          <t>Bergvik skog öst AB</t>
        </is>
      </c>
      <c r="G532" t="n">
        <v>4.5</v>
      </c>
      <c r="H532" t="n">
        <v>0</v>
      </c>
      <c r="I532" t="n">
        <v>0</v>
      </c>
      <c r="J532" t="n">
        <v>0</v>
      </c>
      <c r="K532" t="n">
        <v>0</v>
      </c>
      <c r="L532" t="n">
        <v>0</v>
      </c>
      <c r="M532" t="n">
        <v>0</v>
      </c>
      <c r="N532" t="n">
        <v>0</v>
      </c>
      <c r="O532" t="n">
        <v>0</v>
      </c>
      <c r="P532" t="n">
        <v>0</v>
      </c>
      <c r="Q532" t="n">
        <v>0</v>
      </c>
      <c r="R532" s="2" t="inlineStr"/>
    </row>
    <row r="533" ht="15" customHeight="1">
      <c r="A533" t="inlineStr">
        <is>
          <t>A 17051-2025</t>
        </is>
      </c>
      <c r="B533" s="1" t="n">
        <v>45755</v>
      </c>
      <c r="C533" s="1" t="n">
        <v>46128</v>
      </c>
      <c r="D533" t="inlineStr">
        <is>
          <t>VÄSTMANLANDS LÄN</t>
        </is>
      </c>
      <c r="E533" t="inlineStr">
        <is>
          <t>SALA</t>
        </is>
      </c>
      <c r="G533" t="n">
        <v>2.9</v>
      </c>
      <c r="H533" t="n">
        <v>0</v>
      </c>
      <c r="I533" t="n">
        <v>0</v>
      </c>
      <c r="J533" t="n">
        <v>0</v>
      </c>
      <c r="K533" t="n">
        <v>0</v>
      </c>
      <c r="L533" t="n">
        <v>0</v>
      </c>
      <c r="M533" t="n">
        <v>0</v>
      </c>
      <c r="N533" t="n">
        <v>0</v>
      </c>
      <c r="O533" t="n">
        <v>0</v>
      </c>
      <c r="P533" t="n">
        <v>0</v>
      </c>
      <c r="Q533" t="n">
        <v>0</v>
      </c>
      <c r="R533" s="2" t="inlineStr"/>
    </row>
    <row r="534" ht="15" customHeight="1">
      <c r="A534" t="inlineStr">
        <is>
          <t>A 57414-2025</t>
        </is>
      </c>
      <c r="B534" s="1" t="n">
        <v>45980.45003472222</v>
      </c>
      <c r="C534" s="1" t="n">
        <v>46128</v>
      </c>
      <c r="D534" t="inlineStr">
        <is>
          <t>VÄSTMANLANDS LÄN</t>
        </is>
      </c>
      <c r="E534" t="inlineStr">
        <is>
          <t>SALA</t>
        </is>
      </c>
      <c r="F534" t="inlineStr">
        <is>
          <t>Bergvik skog öst AB</t>
        </is>
      </c>
      <c r="G534" t="n">
        <v>2</v>
      </c>
      <c r="H534" t="n">
        <v>0</v>
      </c>
      <c r="I534" t="n">
        <v>0</v>
      </c>
      <c r="J534" t="n">
        <v>0</v>
      </c>
      <c r="K534" t="n">
        <v>0</v>
      </c>
      <c r="L534" t="n">
        <v>0</v>
      </c>
      <c r="M534" t="n">
        <v>0</v>
      </c>
      <c r="N534" t="n">
        <v>0</v>
      </c>
      <c r="O534" t="n">
        <v>0</v>
      </c>
      <c r="P534" t="n">
        <v>0</v>
      </c>
      <c r="Q534" t="n">
        <v>0</v>
      </c>
      <c r="R534" s="2" t="inlineStr"/>
    </row>
    <row r="535" ht="15" customHeight="1">
      <c r="A535" t="inlineStr">
        <is>
          <t>A 57415-2025</t>
        </is>
      </c>
      <c r="B535" s="1" t="n">
        <v>45980.45099537037</v>
      </c>
      <c r="C535" s="1" t="n">
        <v>46128</v>
      </c>
      <c r="D535" t="inlineStr">
        <is>
          <t>VÄSTMANLANDS LÄN</t>
        </is>
      </c>
      <c r="E535" t="inlineStr">
        <is>
          <t>SALA</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35976-2024</t>
        </is>
      </c>
      <c r="B536" s="1" t="n">
        <v>45533.49555555556</v>
      </c>
      <c r="C536" s="1" t="n">
        <v>46128</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8285-2025</t>
        </is>
      </c>
      <c r="B537" s="1" t="n">
        <v>45708</v>
      </c>
      <c r="C537" s="1" t="n">
        <v>46128</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37017-2025</t>
        </is>
      </c>
      <c r="B538" s="1" t="n">
        <v>45874</v>
      </c>
      <c r="C538" s="1" t="n">
        <v>46128</v>
      </c>
      <c r="D538" t="inlineStr">
        <is>
          <t>VÄSTMANLANDS LÄN</t>
        </is>
      </c>
      <c r="E538" t="inlineStr">
        <is>
          <t>SALA</t>
        </is>
      </c>
      <c r="G538" t="n">
        <v>11.1</v>
      </c>
      <c r="H538" t="n">
        <v>0</v>
      </c>
      <c r="I538" t="n">
        <v>0</v>
      </c>
      <c r="J538" t="n">
        <v>0</v>
      </c>
      <c r="K538" t="n">
        <v>0</v>
      </c>
      <c r="L538" t="n">
        <v>0</v>
      </c>
      <c r="M538" t="n">
        <v>0</v>
      </c>
      <c r="N538" t="n">
        <v>0</v>
      </c>
      <c r="O538" t="n">
        <v>0</v>
      </c>
      <c r="P538" t="n">
        <v>0</v>
      </c>
      <c r="Q538" t="n">
        <v>0</v>
      </c>
      <c r="R538" s="2" t="inlineStr"/>
    </row>
    <row r="539" ht="15" customHeight="1">
      <c r="A539" t="inlineStr">
        <is>
          <t>A 37103-2025</t>
        </is>
      </c>
      <c r="B539" s="1" t="n">
        <v>45875.47743055555</v>
      </c>
      <c r="C539" s="1" t="n">
        <v>46128</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37246-2025</t>
        </is>
      </c>
      <c r="B540" s="1" t="n">
        <v>45876.39435185185</v>
      </c>
      <c r="C540" s="1" t="n">
        <v>46128</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58357-2025</t>
        </is>
      </c>
      <c r="B541" s="1" t="n">
        <v>45985.51518518518</v>
      </c>
      <c r="C541" s="1" t="n">
        <v>46128</v>
      </c>
      <c r="D541" t="inlineStr">
        <is>
          <t>VÄSTMANLANDS LÄN</t>
        </is>
      </c>
      <c r="E541" t="inlineStr">
        <is>
          <t>SALA</t>
        </is>
      </c>
      <c r="G541" t="n">
        <v>3</v>
      </c>
      <c r="H541" t="n">
        <v>0</v>
      </c>
      <c r="I541" t="n">
        <v>0</v>
      </c>
      <c r="J541" t="n">
        <v>0</v>
      </c>
      <c r="K541" t="n">
        <v>0</v>
      </c>
      <c r="L541" t="n">
        <v>0</v>
      </c>
      <c r="M541" t="n">
        <v>0</v>
      </c>
      <c r="N541" t="n">
        <v>0</v>
      </c>
      <c r="O541" t="n">
        <v>0</v>
      </c>
      <c r="P541" t="n">
        <v>0</v>
      </c>
      <c r="Q541" t="n">
        <v>0</v>
      </c>
      <c r="R541" s="2" t="inlineStr"/>
    </row>
    <row r="542" ht="15" customHeight="1">
      <c r="A542" t="inlineStr">
        <is>
          <t>A 22019-2021</t>
        </is>
      </c>
      <c r="B542" s="1" t="n">
        <v>44323</v>
      </c>
      <c r="C542" s="1" t="n">
        <v>46128</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55760-2025</t>
        </is>
      </c>
      <c r="B543" s="1" t="n">
        <v>45972</v>
      </c>
      <c r="C543" s="1" t="n">
        <v>46128</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58365-2025</t>
        </is>
      </c>
      <c r="B544" s="1" t="n">
        <v>45985.52288194445</v>
      </c>
      <c r="C544" s="1" t="n">
        <v>46128</v>
      </c>
      <c r="D544" t="inlineStr">
        <is>
          <t>VÄSTMANLANDS LÄN</t>
        </is>
      </c>
      <c r="E544" t="inlineStr">
        <is>
          <t>SALA</t>
        </is>
      </c>
      <c r="G544" t="n">
        <v>3.9</v>
      </c>
      <c r="H544" t="n">
        <v>0</v>
      </c>
      <c r="I544" t="n">
        <v>0</v>
      </c>
      <c r="J544" t="n">
        <v>0</v>
      </c>
      <c r="K544" t="n">
        <v>0</v>
      </c>
      <c r="L544" t="n">
        <v>0</v>
      </c>
      <c r="M544" t="n">
        <v>0</v>
      </c>
      <c r="N544" t="n">
        <v>0</v>
      </c>
      <c r="O544" t="n">
        <v>0</v>
      </c>
      <c r="P544" t="n">
        <v>0</v>
      </c>
      <c r="Q544" t="n">
        <v>0</v>
      </c>
      <c r="R544" s="2" t="inlineStr"/>
    </row>
    <row r="545" ht="15" customHeight="1">
      <c r="A545" t="inlineStr">
        <is>
          <t>A 57404-2024</t>
        </is>
      </c>
      <c r="B545" s="1" t="n">
        <v>45629.71967592592</v>
      </c>
      <c r="C545" s="1" t="n">
        <v>46128</v>
      </c>
      <c r="D545" t="inlineStr">
        <is>
          <t>VÄSTMANLANDS LÄN</t>
        </is>
      </c>
      <c r="E545" t="inlineStr">
        <is>
          <t>SALA</t>
        </is>
      </c>
      <c r="G545" t="n">
        <v>0.3</v>
      </c>
      <c r="H545" t="n">
        <v>0</v>
      </c>
      <c r="I545" t="n">
        <v>0</v>
      </c>
      <c r="J545" t="n">
        <v>0</v>
      </c>
      <c r="K545" t="n">
        <v>0</v>
      </c>
      <c r="L545" t="n">
        <v>0</v>
      </c>
      <c r="M545" t="n">
        <v>0</v>
      </c>
      <c r="N545" t="n">
        <v>0</v>
      </c>
      <c r="O545" t="n">
        <v>0</v>
      </c>
      <c r="P545" t="n">
        <v>0</v>
      </c>
      <c r="Q545" t="n">
        <v>0</v>
      </c>
      <c r="R545" s="2" t="inlineStr"/>
    </row>
    <row r="546" ht="15" customHeight="1">
      <c r="A546" t="inlineStr">
        <is>
          <t>A 58282-2025</t>
        </is>
      </c>
      <c r="B546" s="1" t="n">
        <v>45985.44309027777</v>
      </c>
      <c r="C546" s="1" t="n">
        <v>46128</v>
      </c>
      <c r="D546" t="inlineStr">
        <is>
          <t>VÄSTMANLANDS LÄN</t>
        </is>
      </c>
      <c r="E546" t="inlineStr">
        <is>
          <t>SALA</t>
        </is>
      </c>
      <c r="G546" t="n">
        <v>8.9</v>
      </c>
      <c r="H546" t="n">
        <v>0</v>
      </c>
      <c r="I546" t="n">
        <v>0</v>
      </c>
      <c r="J546" t="n">
        <v>0</v>
      </c>
      <c r="K546" t="n">
        <v>0</v>
      </c>
      <c r="L546" t="n">
        <v>0</v>
      </c>
      <c r="M546" t="n">
        <v>0</v>
      </c>
      <c r="N546" t="n">
        <v>0</v>
      </c>
      <c r="O546" t="n">
        <v>0</v>
      </c>
      <c r="P546" t="n">
        <v>0</v>
      </c>
      <c r="Q546" t="n">
        <v>0</v>
      </c>
      <c r="R546" s="2" t="inlineStr"/>
    </row>
    <row r="547" ht="15" customHeight="1">
      <c r="A547" t="inlineStr">
        <is>
          <t>A 58359-2025</t>
        </is>
      </c>
      <c r="B547" s="1" t="n">
        <v>45985.51594907408</v>
      </c>
      <c r="C547" s="1" t="n">
        <v>46128</v>
      </c>
      <c r="D547" t="inlineStr">
        <is>
          <t>VÄSTMANLANDS LÄN</t>
        </is>
      </c>
      <c r="E547" t="inlineStr">
        <is>
          <t>SALA</t>
        </is>
      </c>
      <c r="G547" t="n">
        <v>3.7</v>
      </c>
      <c r="H547" t="n">
        <v>0</v>
      </c>
      <c r="I547" t="n">
        <v>0</v>
      </c>
      <c r="J547" t="n">
        <v>0</v>
      </c>
      <c r="K547" t="n">
        <v>0</v>
      </c>
      <c r="L547" t="n">
        <v>0</v>
      </c>
      <c r="M547" t="n">
        <v>0</v>
      </c>
      <c r="N547" t="n">
        <v>0</v>
      </c>
      <c r="O547" t="n">
        <v>0</v>
      </c>
      <c r="P547" t="n">
        <v>0</v>
      </c>
      <c r="Q547" t="n">
        <v>0</v>
      </c>
      <c r="R547" s="2" t="inlineStr"/>
    </row>
    <row r="548" ht="15" customHeight="1">
      <c r="A548" t="inlineStr">
        <is>
          <t>A 58364-2025</t>
        </is>
      </c>
      <c r="B548" s="1" t="n">
        <v>45985.5228125</v>
      </c>
      <c r="C548" s="1" t="n">
        <v>46128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21777-2022</t>
        </is>
      </c>
      <c r="B549" s="1" t="n">
        <v>44708.48194444444</v>
      </c>
      <c r="C549" s="1" t="n">
        <v>46128</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37590-2025</t>
        </is>
      </c>
      <c r="B550" s="1" t="n">
        <v>45880.41138888889</v>
      </c>
      <c r="C550" s="1" t="n">
        <v>46128</v>
      </c>
      <c r="D550" t="inlineStr">
        <is>
          <t>VÄSTMANLANDS LÄN</t>
        </is>
      </c>
      <c r="E550" t="inlineStr">
        <is>
          <t>SALA</t>
        </is>
      </c>
      <c r="G550" t="n">
        <v>2.2</v>
      </c>
      <c r="H550" t="n">
        <v>0</v>
      </c>
      <c r="I550" t="n">
        <v>0</v>
      </c>
      <c r="J550" t="n">
        <v>0</v>
      </c>
      <c r="K550" t="n">
        <v>0</v>
      </c>
      <c r="L550" t="n">
        <v>0</v>
      </c>
      <c r="M550" t="n">
        <v>0</v>
      </c>
      <c r="N550" t="n">
        <v>0</v>
      </c>
      <c r="O550" t="n">
        <v>0</v>
      </c>
      <c r="P550" t="n">
        <v>0</v>
      </c>
      <c r="Q550" t="n">
        <v>0</v>
      </c>
      <c r="R550" s="2" t="inlineStr"/>
    </row>
    <row r="551" ht="15" customHeight="1">
      <c r="A551" t="inlineStr">
        <is>
          <t>A 37593-2025</t>
        </is>
      </c>
      <c r="B551" s="1" t="n">
        <v>45880.41325231481</v>
      </c>
      <c r="C551" s="1" t="n">
        <v>46128</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17866-2025</t>
        </is>
      </c>
      <c r="B552" s="1" t="n">
        <v>45758</v>
      </c>
      <c r="C552" s="1" t="n">
        <v>46128</v>
      </c>
      <c r="D552" t="inlineStr">
        <is>
          <t>VÄSTMANLANDS LÄN</t>
        </is>
      </c>
      <c r="E552" t="inlineStr">
        <is>
          <t>SALA</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33732-2023</t>
        </is>
      </c>
      <c r="B553" s="1" t="n">
        <v>45133.32409722222</v>
      </c>
      <c r="C553" s="1" t="n">
        <v>46128</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7166-2025</t>
        </is>
      </c>
      <c r="B554" s="1" t="n">
        <v>45702</v>
      </c>
      <c r="C554" s="1" t="n">
        <v>46128</v>
      </c>
      <c r="D554" t="inlineStr">
        <is>
          <t>VÄSTMANLANDS LÄN</t>
        </is>
      </c>
      <c r="E554" t="inlineStr">
        <is>
          <t>SALA</t>
        </is>
      </c>
      <c r="G554" t="n">
        <v>6.1</v>
      </c>
      <c r="H554" t="n">
        <v>0</v>
      </c>
      <c r="I554" t="n">
        <v>0</v>
      </c>
      <c r="J554" t="n">
        <v>0</v>
      </c>
      <c r="K554" t="n">
        <v>0</v>
      </c>
      <c r="L554" t="n">
        <v>0</v>
      </c>
      <c r="M554" t="n">
        <v>0</v>
      </c>
      <c r="N554" t="n">
        <v>0</v>
      </c>
      <c r="O554" t="n">
        <v>0</v>
      </c>
      <c r="P554" t="n">
        <v>0</v>
      </c>
      <c r="Q554" t="n">
        <v>0</v>
      </c>
      <c r="R554" s="2" t="inlineStr"/>
    </row>
    <row r="555" ht="15" customHeight="1">
      <c r="A555" t="inlineStr">
        <is>
          <t>A 51247-2025</t>
        </is>
      </c>
      <c r="B555" s="1" t="n">
        <v>45947.86487268518</v>
      </c>
      <c r="C555" s="1" t="n">
        <v>46128</v>
      </c>
      <c r="D555" t="inlineStr">
        <is>
          <t>VÄSTMANLANDS LÄN</t>
        </is>
      </c>
      <c r="E555" t="inlineStr">
        <is>
          <t>SALA</t>
        </is>
      </c>
      <c r="G555" t="n">
        <v>10.4</v>
      </c>
      <c r="H555" t="n">
        <v>0</v>
      </c>
      <c r="I555" t="n">
        <v>0</v>
      </c>
      <c r="J555" t="n">
        <v>0</v>
      </c>
      <c r="K555" t="n">
        <v>0</v>
      </c>
      <c r="L555" t="n">
        <v>0</v>
      </c>
      <c r="M555" t="n">
        <v>0</v>
      </c>
      <c r="N555" t="n">
        <v>0</v>
      </c>
      <c r="O555" t="n">
        <v>0</v>
      </c>
      <c r="P555" t="n">
        <v>0</v>
      </c>
      <c r="Q555" t="n">
        <v>0</v>
      </c>
      <c r="R555" s="2" t="inlineStr"/>
    </row>
    <row r="556" ht="15" customHeight="1">
      <c r="A556" t="inlineStr">
        <is>
          <t>A 43359-2024</t>
        </is>
      </c>
      <c r="B556" s="1" t="n">
        <v>45568.57724537037</v>
      </c>
      <c r="C556" s="1" t="n">
        <v>46128</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44857-2023</t>
        </is>
      </c>
      <c r="B557" s="1" t="n">
        <v>45190.58479166667</v>
      </c>
      <c r="C557" s="1" t="n">
        <v>46128</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46352-2023</t>
        </is>
      </c>
      <c r="B558" s="1" t="n">
        <v>45192</v>
      </c>
      <c r="C558" s="1" t="n">
        <v>46128</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29972-2025</t>
        </is>
      </c>
      <c r="B559" s="1" t="n">
        <v>45826</v>
      </c>
      <c r="C559" s="1" t="n">
        <v>46128</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22397-2022</t>
        </is>
      </c>
      <c r="B560" s="1" t="n">
        <v>44713</v>
      </c>
      <c r="C560" s="1" t="n">
        <v>46128</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27424-2023</t>
        </is>
      </c>
      <c r="B561" s="1" t="n">
        <v>45097.37690972222</v>
      </c>
      <c r="C561" s="1" t="n">
        <v>46128</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7469-2025</t>
        </is>
      </c>
      <c r="B562" s="1" t="n">
        <v>45705</v>
      </c>
      <c r="C562" s="1" t="n">
        <v>46128</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6691-2025</t>
        </is>
      </c>
      <c r="B563" s="1" t="n">
        <v>45700.50625</v>
      </c>
      <c r="C563" s="1" t="n">
        <v>46128</v>
      </c>
      <c r="D563" t="inlineStr">
        <is>
          <t>VÄSTMANLANDS LÄN</t>
        </is>
      </c>
      <c r="E563" t="inlineStr">
        <is>
          <t>SALA</t>
        </is>
      </c>
      <c r="G563" t="n">
        <v>2.1</v>
      </c>
      <c r="H563" t="n">
        <v>0</v>
      </c>
      <c r="I563" t="n">
        <v>0</v>
      </c>
      <c r="J563" t="n">
        <v>0</v>
      </c>
      <c r="K563" t="n">
        <v>0</v>
      </c>
      <c r="L563" t="n">
        <v>0</v>
      </c>
      <c r="M563" t="n">
        <v>0</v>
      </c>
      <c r="N563" t="n">
        <v>0</v>
      </c>
      <c r="O563" t="n">
        <v>0</v>
      </c>
      <c r="P563" t="n">
        <v>0</v>
      </c>
      <c r="Q563" t="n">
        <v>0</v>
      </c>
      <c r="R563" s="2" t="inlineStr"/>
    </row>
    <row r="564" ht="15" customHeight="1">
      <c r="A564" t="inlineStr">
        <is>
          <t>A 60036-2024</t>
        </is>
      </c>
      <c r="B564" s="1" t="n">
        <v>45642.46434027778</v>
      </c>
      <c r="C564" s="1" t="n">
        <v>46128</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59817-2025</t>
        </is>
      </c>
      <c r="B565" s="1" t="n">
        <v>45992.63711805556</v>
      </c>
      <c r="C565" s="1" t="n">
        <v>46128</v>
      </c>
      <c r="D565" t="inlineStr">
        <is>
          <t>VÄSTMANLANDS LÄN</t>
        </is>
      </c>
      <c r="E565" t="inlineStr">
        <is>
          <t>SALA</t>
        </is>
      </c>
      <c r="G565" t="n">
        <v>6.9</v>
      </c>
      <c r="H565" t="n">
        <v>0</v>
      </c>
      <c r="I565" t="n">
        <v>0</v>
      </c>
      <c r="J565" t="n">
        <v>0</v>
      </c>
      <c r="K565" t="n">
        <v>0</v>
      </c>
      <c r="L565" t="n">
        <v>0</v>
      </c>
      <c r="M565" t="n">
        <v>0</v>
      </c>
      <c r="N565" t="n">
        <v>0</v>
      </c>
      <c r="O565" t="n">
        <v>0</v>
      </c>
      <c r="P565" t="n">
        <v>0</v>
      </c>
      <c r="Q565" t="n">
        <v>0</v>
      </c>
      <c r="R565" s="2" t="inlineStr"/>
    </row>
    <row r="566" ht="15" customHeight="1">
      <c r="A566" t="inlineStr">
        <is>
          <t>A 59390-2025</t>
        </is>
      </c>
      <c r="B566" s="1" t="n">
        <v>45989.4640162037</v>
      </c>
      <c r="C566" s="1" t="n">
        <v>46128</v>
      </c>
      <c r="D566" t="inlineStr">
        <is>
          <t>VÄSTMANLANDS LÄN</t>
        </is>
      </c>
      <c r="E566" t="inlineStr">
        <is>
          <t>SALA</t>
        </is>
      </c>
      <c r="G566" t="n">
        <v>1.8</v>
      </c>
      <c r="H566" t="n">
        <v>0</v>
      </c>
      <c r="I566" t="n">
        <v>0</v>
      </c>
      <c r="J566" t="n">
        <v>0</v>
      </c>
      <c r="K566" t="n">
        <v>0</v>
      </c>
      <c r="L566" t="n">
        <v>0</v>
      </c>
      <c r="M566" t="n">
        <v>0</v>
      </c>
      <c r="N566" t="n">
        <v>0</v>
      </c>
      <c r="O566" t="n">
        <v>0</v>
      </c>
      <c r="P566" t="n">
        <v>0</v>
      </c>
      <c r="Q566" t="n">
        <v>0</v>
      </c>
      <c r="R566" s="2" t="inlineStr"/>
    </row>
    <row r="567" ht="15" customHeight="1">
      <c r="A567" t="inlineStr">
        <is>
          <t>A 59385-2025</t>
        </is>
      </c>
      <c r="B567" s="1" t="n">
        <v>45989.45746527778</v>
      </c>
      <c r="C567" s="1" t="n">
        <v>46128</v>
      </c>
      <c r="D567" t="inlineStr">
        <is>
          <t>VÄSTMANLANDS LÄN</t>
        </is>
      </c>
      <c r="E567" t="inlineStr">
        <is>
          <t>SALA</t>
        </is>
      </c>
      <c r="G567" t="n">
        <v>0.4</v>
      </c>
      <c r="H567" t="n">
        <v>0</v>
      </c>
      <c r="I567" t="n">
        <v>0</v>
      </c>
      <c r="J567" t="n">
        <v>0</v>
      </c>
      <c r="K567" t="n">
        <v>0</v>
      </c>
      <c r="L567" t="n">
        <v>0</v>
      </c>
      <c r="M567" t="n">
        <v>0</v>
      </c>
      <c r="N567" t="n">
        <v>0</v>
      </c>
      <c r="O567" t="n">
        <v>0</v>
      </c>
      <c r="P567" t="n">
        <v>0</v>
      </c>
      <c r="Q567" t="n">
        <v>0</v>
      </c>
      <c r="R567" s="2" t="inlineStr"/>
    </row>
    <row r="568" ht="15" customHeight="1">
      <c r="A568" t="inlineStr">
        <is>
          <t>A 60017-2025</t>
        </is>
      </c>
      <c r="B568" s="1" t="n">
        <v>45993.59998842593</v>
      </c>
      <c r="C568" s="1" t="n">
        <v>46128</v>
      </c>
      <c r="D568" t="inlineStr">
        <is>
          <t>VÄSTMANLANDS LÄN</t>
        </is>
      </c>
      <c r="E568" t="inlineStr">
        <is>
          <t>SALA</t>
        </is>
      </c>
      <c r="G568" t="n">
        <v>4.4</v>
      </c>
      <c r="H568" t="n">
        <v>0</v>
      </c>
      <c r="I568" t="n">
        <v>0</v>
      </c>
      <c r="J568" t="n">
        <v>0</v>
      </c>
      <c r="K568" t="n">
        <v>0</v>
      </c>
      <c r="L568" t="n">
        <v>0</v>
      </c>
      <c r="M568" t="n">
        <v>0</v>
      </c>
      <c r="N568" t="n">
        <v>0</v>
      </c>
      <c r="O568" t="n">
        <v>0</v>
      </c>
      <c r="P568" t="n">
        <v>0</v>
      </c>
      <c r="Q568" t="n">
        <v>0</v>
      </c>
      <c r="R568" s="2" t="inlineStr"/>
    </row>
    <row r="569" ht="15" customHeight="1">
      <c r="A569" t="inlineStr">
        <is>
          <t>A 43188-2023</t>
        </is>
      </c>
      <c r="B569" s="1" t="n">
        <v>45183</v>
      </c>
      <c r="C569" s="1" t="n">
        <v>46128</v>
      </c>
      <c r="D569" t="inlineStr">
        <is>
          <t>VÄSTMANLANDS LÄN</t>
        </is>
      </c>
      <c r="E569" t="inlineStr">
        <is>
          <t>SALA</t>
        </is>
      </c>
      <c r="G569" t="n">
        <v>1.2</v>
      </c>
      <c r="H569" t="n">
        <v>0</v>
      </c>
      <c r="I569" t="n">
        <v>0</v>
      </c>
      <c r="J569" t="n">
        <v>0</v>
      </c>
      <c r="K569" t="n">
        <v>0</v>
      </c>
      <c r="L569" t="n">
        <v>0</v>
      </c>
      <c r="M569" t="n">
        <v>0</v>
      </c>
      <c r="N569" t="n">
        <v>0</v>
      </c>
      <c r="O569" t="n">
        <v>0</v>
      </c>
      <c r="P569" t="n">
        <v>0</v>
      </c>
      <c r="Q569" t="n">
        <v>0</v>
      </c>
      <c r="R569" s="2" t="inlineStr"/>
    </row>
    <row r="570" ht="15" customHeight="1">
      <c r="A570" t="inlineStr">
        <is>
          <t>A 43205-2023</t>
        </is>
      </c>
      <c r="B570" s="1" t="n">
        <v>45183</v>
      </c>
      <c r="C570" s="1" t="n">
        <v>46128</v>
      </c>
      <c r="D570" t="inlineStr">
        <is>
          <t>VÄSTMANLANDS LÄN</t>
        </is>
      </c>
      <c r="E570" t="inlineStr">
        <is>
          <t>SALA</t>
        </is>
      </c>
      <c r="G570" t="n">
        <v>2.1</v>
      </c>
      <c r="H570" t="n">
        <v>0</v>
      </c>
      <c r="I570" t="n">
        <v>0</v>
      </c>
      <c r="J570" t="n">
        <v>0</v>
      </c>
      <c r="K570" t="n">
        <v>0</v>
      </c>
      <c r="L570" t="n">
        <v>0</v>
      </c>
      <c r="M570" t="n">
        <v>0</v>
      </c>
      <c r="N570" t="n">
        <v>0</v>
      </c>
      <c r="O570" t="n">
        <v>0</v>
      </c>
      <c r="P570" t="n">
        <v>0</v>
      </c>
      <c r="Q570" t="n">
        <v>0</v>
      </c>
      <c r="R570" s="2" t="inlineStr"/>
    </row>
    <row r="571" ht="15" customHeight="1">
      <c r="A571" t="inlineStr">
        <is>
          <t>A 28827-2022</t>
        </is>
      </c>
      <c r="B571" s="1" t="n">
        <v>44749.45561342593</v>
      </c>
      <c r="C571" s="1" t="n">
        <v>46128</v>
      </c>
      <c r="D571" t="inlineStr">
        <is>
          <t>VÄSTMANLANDS LÄN</t>
        </is>
      </c>
      <c r="E571" t="inlineStr">
        <is>
          <t>SALA</t>
        </is>
      </c>
      <c r="F571" t="inlineStr">
        <is>
          <t>Kommuner</t>
        </is>
      </c>
      <c r="G571" t="n">
        <v>11.9</v>
      </c>
      <c r="H571" t="n">
        <v>0</v>
      </c>
      <c r="I571" t="n">
        <v>0</v>
      </c>
      <c r="J571" t="n">
        <v>0</v>
      </c>
      <c r="K571" t="n">
        <v>0</v>
      </c>
      <c r="L571" t="n">
        <v>0</v>
      </c>
      <c r="M571" t="n">
        <v>0</v>
      </c>
      <c r="N571" t="n">
        <v>0</v>
      </c>
      <c r="O571" t="n">
        <v>0</v>
      </c>
      <c r="P571" t="n">
        <v>0</v>
      </c>
      <c r="Q571" t="n">
        <v>0</v>
      </c>
      <c r="R571" s="2" t="inlineStr"/>
    </row>
    <row r="572" ht="15" customHeight="1">
      <c r="A572" t="inlineStr">
        <is>
          <t>A 60258-2025</t>
        </is>
      </c>
      <c r="B572" s="1" t="n">
        <v>45994.6064699074</v>
      </c>
      <c r="C572" s="1" t="n">
        <v>46128</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15756-2025</t>
        </is>
      </c>
      <c r="B573" s="1" t="n">
        <v>45748.56810185185</v>
      </c>
      <c r="C573" s="1" t="n">
        <v>46128</v>
      </c>
      <c r="D573" t="inlineStr">
        <is>
          <t>VÄSTMANLANDS LÄN</t>
        </is>
      </c>
      <c r="E573" t="inlineStr">
        <is>
          <t>SALA</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60241-2025</t>
        </is>
      </c>
      <c r="B574" s="1" t="n">
        <v>45994.58454861111</v>
      </c>
      <c r="C574" s="1" t="n">
        <v>46128</v>
      </c>
      <c r="D574" t="inlineStr">
        <is>
          <t>VÄSTMANLANDS LÄN</t>
        </is>
      </c>
      <c r="E574" t="inlineStr">
        <is>
          <t>SALA</t>
        </is>
      </c>
      <c r="G574" t="n">
        <v>1.6</v>
      </c>
      <c r="H574" t="n">
        <v>0</v>
      </c>
      <c r="I574" t="n">
        <v>0</v>
      </c>
      <c r="J574" t="n">
        <v>0</v>
      </c>
      <c r="K574" t="n">
        <v>0</v>
      </c>
      <c r="L574" t="n">
        <v>0</v>
      </c>
      <c r="M574" t="n">
        <v>0</v>
      </c>
      <c r="N574" t="n">
        <v>0</v>
      </c>
      <c r="O574" t="n">
        <v>0</v>
      </c>
      <c r="P574" t="n">
        <v>0</v>
      </c>
      <c r="Q574" t="n">
        <v>0</v>
      </c>
      <c r="R574" s="2" t="inlineStr"/>
    </row>
    <row r="575" ht="15" customHeight="1">
      <c r="A575" t="inlineStr">
        <is>
          <t>A 59870-2025</t>
        </is>
      </c>
      <c r="B575" s="1" t="n">
        <v>45992.92226851852</v>
      </c>
      <c r="C575" s="1" t="n">
        <v>46128</v>
      </c>
      <c r="D575" t="inlineStr">
        <is>
          <t>VÄSTMANLANDS LÄN</t>
        </is>
      </c>
      <c r="E575" t="inlineStr">
        <is>
          <t>SALA</t>
        </is>
      </c>
      <c r="G575" t="n">
        <v>3.4</v>
      </c>
      <c r="H575" t="n">
        <v>0</v>
      </c>
      <c r="I575" t="n">
        <v>0</v>
      </c>
      <c r="J575" t="n">
        <v>0</v>
      </c>
      <c r="K575" t="n">
        <v>0</v>
      </c>
      <c r="L575" t="n">
        <v>0</v>
      </c>
      <c r="M575" t="n">
        <v>0</v>
      </c>
      <c r="N575" t="n">
        <v>0</v>
      </c>
      <c r="O575" t="n">
        <v>0</v>
      </c>
      <c r="P575" t="n">
        <v>0</v>
      </c>
      <c r="Q575" t="n">
        <v>0</v>
      </c>
      <c r="R575" s="2" t="inlineStr"/>
    </row>
    <row r="576" ht="15" customHeight="1">
      <c r="A576" t="inlineStr">
        <is>
          <t>A 19243-2025</t>
        </is>
      </c>
      <c r="B576" s="1" t="n">
        <v>45769</v>
      </c>
      <c r="C576" s="1" t="n">
        <v>46128</v>
      </c>
      <c r="D576" t="inlineStr">
        <is>
          <t>VÄSTMANLANDS LÄN</t>
        </is>
      </c>
      <c r="E576" t="inlineStr">
        <is>
          <t>SALA</t>
        </is>
      </c>
      <c r="F576" t="inlineStr">
        <is>
          <t>Bergvik skog öst AB</t>
        </is>
      </c>
      <c r="G576" t="n">
        <v>1.5</v>
      </c>
      <c r="H576" t="n">
        <v>0</v>
      </c>
      <c r="I576" t="n">
        <v>0</v>
      </c>
      <c r="J576" t="n">
        <v>0</v>
      </c>
      <c r="K576" t="n">
        <v>0</v>
      </c>
      <c r="L576" t="n">
        <v>0</v>
      </c>
      <c r="M576" t="n">
        <v>0</v>
      </c>
      <c r="N576" t="n">
        <v>0</v>
      </c>
      <c r="O576" t="n">
        <v>0</v>
      </c>
      <c r="P576" t="n">
        <v>0</v>
      </c>
      <c r="Q576" t="n">
        <v>0</v>
      </c>
      <c r="R576" s="2" t="inlineStr"/>
    </row>
    <row r="577" ht="15" customHeight="1">
      <c r="A577" t="inlineStr">
        <is>
          <t>A 60259-2025</t>
        </is>
      </c>
      <c r="B577" s="1" t="n">
        <v>45994.60913194445</v>
      </c>
      <c r="C577" s="1" t="n">
        <v>46128</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60246-2025</t>
        </is>
      </c>
      <c r="B578" s="1" t="n">
        <v>45994.58931712963</v>
      </c>
      <c r="C578" s="1" t="n">
        <v>46128</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60254-2025</t>
        </is>
      </c>
      <c r="B579" s="1" t="n">
        <v>45994.60146990741</v>
      </c>
      <c r="C579" s="1" t="n">
        <v>46128</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59297-2023</t>
        </is>
      </c>
      <c r="B580" s="1" t="n">
        <v>45253</v>
      </c>
      <c r="C580" s="1" t="n">
        <v>46128</v>
      </c>
      <c r="D580" t="inlineStr">
        <is>
          <t>VÄSTMANLANDS LÄN</t>
        </is>
      </c>
      <c r="E580" t="inlineStr">
        <is>
          <t>SALA</t>
        </is>
      </c>
      <c r="G580" t="n">
        <v>2</v>
      </c>
      <c r="H580" t="n">
        <v>0</v>
      </c>
      <c r="I580" t="n">
        <v>0</v>
      </c>
      <c r="J580" t="n">
        <v>0</v>
      </c>
      <c r="K580" t="n">
        <v>0</v>
      </c>
      <c r="L580" t="n">
        <v>0</v>
      </c>
      <c r="M580" t="n">
        <v>0</v>
      </c>
      <c r="N580" t="n">
        <v>0</v>
      </c>
      <c r="O580" t="n">
        <v>0</v>
      </c>
      <c r="P580" t="n">
        <v>0</v>
      </c>
      <c r="Q580" t="n">
        <v>0</v>
      </c>
      <c r="R580" s="2" t="inlineStr"/>
    </row>
    <row r="581" ht="15" customHeight="1">
      <c r="A581" t="inlineStr">
        <is>
          <t>A 59926-2025</t>
        </is>
      </c>
      <c r="B581" s="1" t="n">
        <v>45993.39221064815</v>
      </c>
      <c r="C581" s="1" t="n">
        <v>46128</v>
      </c>
      <c r="D581" t="inlineStr">
        <is>
          <t>VÄSTMANLANDS LÄN</t>
        </is>
      </c>
      <c r="E581" t="inlineStr">
        <is>
          <t>SALA</t>
        </is>
      </c>
      <c r="G581" t="n">
        <v>7.1</v>
      </c>
      <c r="H581" t="n">
        <v>0</v>
      </c>
      <c r="I581" t="n">
        <v>0</v>
      </c>
      <c r="J581" t="n">
        <v>0</v>
      </c>
      <c r="K581" t="n">
        <v>0</v>
      </c>
      <c r="L581" t="n">
        <v>0</v>
      </c>
      <c r="M581" t="n">
        <v>0</v>
      </c>
      <c r="N581" t="n">
        <v>0</v>
      </c>
      <c r="O581" t="n">
        <v>0</v>
      </c>
      <c r="P581" t="n">
        <v>0</v>
      </c>
      <c r="Q581" t="n">
        <v>0</v>
      </c>
      <c r="R581" s="2" t="inlineStr"/>
    </row>
    <row r="582" ht="15" customHeight="1">
      <c r="A582" t="inlineStr">
        <is>
          <t>A 6136-2025</t>
        </is>
      </c>
      <c r="B582" s="1" t="n">
        <v>45698.37601851852</v>
      </c>
      <c r="C582" s="1" t="n">
        <v>46128</v>
      </c>
      <c r="D582" t="inlineStr">
        <is>
          <t>VÄSTMANLANDS LÄN</t>
        </is>
      </c>
      <c r="E582" t="inlineStr">
        <is>
          <t>SALA</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6190-2025</t>
        </is>
      </c>
      <c r="B583" s="1" t="n">
        <v>45698</v>
      </c>
      <c r="C583" s="1" t="n">
        <v>46128</v>
      </c>
      <c r="D583" t="inlineStr">
        <is>
          <t>VÄSTMANLANDS LÄN</t>
        </is>
      </c>
      <c r="E583" t="inlineStr">
        <is>
          <t>SALA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28863-2022</t>
        </is>
      </c>
      <c r="B584" s="1" t="n">
        <v>44749.50649305555</v>
      </c>
      <c r="C584" s="1" t="n">
        <v>46128</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60629-2025</t>
        </is>
      </c>
      <c r="B585" s="1" t="n">
        <v>45996.41972222222</v>
      </c>
      <c r="C585" s="1" t="n">
        <v>46128</v>
      </c>
      <c r="D585" t="inlineStr">
        <is>
          <t>VÄSTMANLANDS LÄN</t>
        </is>
      </c>
      <c r="E585" t="inlineStr">
        <is>
          <t>SALA</t>
        </is>
      </c>
      <c r="G585" t="n">
        <v>4.3</v>
      </c>
      <c r="H585" t="n">
        <v>0</v>
      </c>
      <c r="I585" t="n">
        <v>0</v>
      </c>
      <c r="J585" t="n">
        <v>0</v>
      </c>
      <c r="K585" t="n">
        <v>0</v>
      </c>
      <c r="L585" t="n">
        <v>0</v>
      </c>
      <c r="M585" t="n">
        <v>0</v>
      </c>
      <c r="N585" t="n">
        <v>0</v>
      </c>
      <c r="O585" t="n">
        <v>0</v>
      </c>
      <c r="P585" t="n">
        <v>0</v>
      </c>
      <c r="Q585" t="n">
        <v>0</v>
      </c>
      <c r="R585" s="2" t="inlineStr"/>
    </row>
    <row r="586" ht="15" customHeight="1">
      <c r="A586" t="inlineStr">
        <is>
          <t>A 25541-2024</t>
        </is>
      </c>
      <c r="B586" s="1" t="n">
        <v>45463.56337962963</v>
      </c>
      <c r="C586" s="1" t="n">
        <v>46128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71471-2021</t>
        </is>
      </c>
      <c r="B587" s="1" t="n">
        <v>44540.53421296296</v>
      </c>
      <c r="C587" s="1" t="n">
        <v>46128</v>
      </c>
      <c r="D587" t="inlineStr">
        <is>
          <t>VÄSTMANLANDS LÄN</t>
        </is>
      </c>
      <c r="E587" t="inlineStr">
        <is>
          <t>SALA</t>
        </is>
      </c>
      <c r="G587" t="n">
        <v>13</v>
      </c>
      <c r="H587" t="n">
        <v>0</v>
      </c>
      <c r="I587" t="n">
        <v>0</v>
      </c>
      <c r="J587" t="n">
        <v>0</v>
      </c>
      <c r="K587" t="n">
        <v>0</v>
      </c>
      <c r="L587" t="n">
        <v>0</v>
      </c>
      <c r="M587" t="n">
        <v>0</v>
      </c>
      <c r="N587" t="n">
        <v>0</v>
      </c>
      <c r="O587" t="n">
        <v>0</v>
      </c>
      <c r="P587" t="n">
        <v>0</v>
      </c>
      <c r="Q587" t="n">
        <v>0</v>
      </c>
      <c r="R587" s="2" t="inlineStr"/>
    </row>
    <row r="588" ht="15" customHeight="1">
      <c r="A588" t="inlineStr">
        <is>
          <t>A 8775-2024</t>
        </is>
      </c>
      <c r="B588" s="1" t="n">
        <v>45356</v>
      </c>
      <c r="C588" s="1" t="n">
        <v>46128</v>
      </c>
      <c r="D588" t="inlineStr">
        <is>
          <t>VÄSTMANLANDS LÄN</t>
        </is>
      </c>
      <c r="E588" t="inlineStr">
        <is>
          <t>SALA</t>
        </is>
      </c>
      <c r="G588" t="n">
        <v>0.6</v>
      </c>
      <c r="H588" t="n">
        <v>0</v>
      </c>
      <c r="I588" t="n">
        <v>0</v>
      </c>
      <c r="J588" t="n">
        <v>0</v>
      </c>
      <c r="K588" t="n">
        <v>0</v>
      </c>
      <c r="L588" t="n">
        <v>0</v>
      </c>
      <c r="M588" t="n">
        <v>0</v>
      </c>
      <c r="N588" t="n">
        <v>0</v>
      </c>
      <c r="O588" t="n">
        <v>0</v>
      </c>
      <c r="P588" t="n">
        <v>0</v>
      </c>
      <c r="Q588" t="n">
        <v>0</v>
      </c>
      <c r="R588" s="2" t="inlineStr"/>
    </row>
    <row r="589" ht="15" customHeight="1">
      <c r="A589" t="inlineStr">
        <is>
          <t>A 29213-2022</t>
        </is>
      </c>
      <c r="B589" s="1" t="n">
        <v>44750.57474537037</v>
      </c>
      <c r="C589" s="1" t="n">
        <v>46128</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56964-2023</t>
        </is>
      </c>
      <c r="B590" s="1" t="n">
        <v>45244.63140046296</v>
      </c>
      <c r="C590" s="1" t="n">
        <v>46128</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39011-2023</t>
        </is>
      </c>
      <c r="B591" s="1" t="n">
        <v>45162</v>
      </c>
      <c r="C591" s="1" t="n">
        <v>46128</v>
      </c>
      <c r="D591" t="inlineStr">
        <is>
          <t>VÄSTMANLANDS LÄN</t>
        </is>
      </c>
      <c r="E591" t="inlineStr">
        <is>
          <t>SALA</t>
        </is>
      </c>
      <c r="G591" t="n">
        <v>1.6</v>
      </c>
      <c r="H591" t="n">
        <v>0</v>
      </c>
      <c r="I591" t="n">
        <v>0</v>
      </c>
      <c r="J591" t="n">
        <v>0</v>
      </c>
      <c r="K591" t="n">
        <v>0</v>
      </c>
      <c r="L591" t="n">
        <v>0</v>
      </c>
      <c r="M591" t="n">
        <v>0</v>
      </c>
      <c r="N591" t="n">
        <v>0</v>
      </c>
      <c r="O591" t="n">
        <v>0</v>
      </c>
      <c r="P591" t="n">
        <v>0</v>
      </c>
      <c r="Q591" t="n">
        <v>0</v>
      </c>
      <c r="R591" s="2" t="inlineStr"/>
    </row>
    <row r="592" ht="15" customHeight="1">
      <c r="A592" t="inlineStr">
        <is>
          <t>A 1555-2024</t>
        </is>
      </c>
      <c r="B592" s="1" t="n">
        <v>45306</v>
      </c>
      <c r="C592" s="1" t="n">
        <v>46128</v>
      </c>
      <c r="D592" t="inlineStr">
        <is>
          <t>VÄSTMANLANDS LÄN</t>
        </is>
      </c>
      <c r="E592" t="inlineStr">
        <is>
          <t>SALA</t>
        </is>
      </c>
      <c r="G592" t="n">
        <v>1.3</v>
      </c>
      <c r="H592" t="n">
        <v>0</v>
      </c>
      <c r="I592" t="n">
        <v>0</v>
      </c>
      <c r="J592" t="n">
        <v>0</v>
      </c>
      <c r="K592" t="n">
        <v>0</v>
      </c>
      <c r="L592" t="n">
        <v>0</v>
      </c>
      <c r="M592" t="n">
        <v>0</v>
      </c>
      <c r="N592" t="n">
        <v>0</v>
      </c>
      <c r="O592" t="n">
        <v>0</v>
      </c>
      <c r="P592" t="n">
        <v>0</v>
      </c>
      <c r="Q592" t="n">
        <v>0</v>
      </c>
      <c r="R592" s="2" t="inlineStr"/>
    </row>
    <row r="593" ht="15" customHeight="1">
      <c r="A593" t="inlineStr">
        <is>
          <t>A 13188-2025</t>
        </is>
      </c>
      <c r="B593" s="1" t="n">
        <v>45735.39246527778</v>
      </c>
      <c r="C593" s="1" t="n">
        <v>46128</v>
      </c>
      <c r="D593" t="inlineStr">
        <is>
          <t>VÄSTMANLANDS LÄN</t>
        </is>
      </c>
      <c r="E593" t="inlineStr">
        <is>
          <t>SALA</t>
        </is>
      </c>
      <c r="F593" t="inlineStr">
        <is>
          <t>Naturvårdsverket</t>
        </is>
      </c>
      <c r="G593" t="n">
        <v>18.4</v>
      </c>
      <c r="H593" t="n">
        <v>0</v>
      </c>
      <c r="I593" t="n">
        <v>0</v>
      </c>
      <c r="J593" t="n">
        <v>0</v>
      </c>
      <c r="K593" t="n">
        <v>0</v>
      </c>
      <c r="L593" t="n">
        <v>0</v>
      </c>
      <c r="M593" t="n">
        <v>0</v>
      </c>
      <c r="N593" t="n">
        <v>0</v>
      </c>
      <c r="O593" t="n">
        <v>0</v>
      </c>
      <c r="P593" t="n">
        <v>0</v>
      </c>
      <c r="Q593" t="n">
        <v>0</v>
      </c>
      <c r="R593" s="2" t="inlineStr"/>
    </row>
    <row r="594" ht="15" customHeight="1">
      <c r="A594" t="inlineStr">
        <is>
          <t>A 61522-2025</t>
        </is>
      </c>
      <c r="B594" s="1" t="n">
        <v>46001.68684027778</v>
      </c>
      <c r="C594" s="1" t="n">
        <v>46128</v>
      </c>
      <c r="D594" t="inlineStr">
        <is>
          <t>VÄSTMANLANDS LÄN</t>
        </is>
      </c>
      <c r="E594" t="inlineStr">
        <is>
          <t>SALA</t>
        </is>
      </c>
      <c r="G594" t="n">
        <v>5.7</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44893.48284722222</v>
      </c>
      <c r="C595" s="1" t="n">
        <v>46128</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7197-2025</t>
        </is>
      </c>
      <c r="B596" s="1" t="n">
        <v>45702</v>
      </c>
      <c r="C596" s="1" t="n">
        <v>46128</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15099-2025</t>
        </is>
      </c>
      <c r="B597" s="1" t="n">
        <v>45744.3434837963</v>
      </c>
      <c r="C597" s="1" t="n">
        <v>46128</v>
      </c>
      <c r="D597" t="inlineStr">
        <is>
          <t>VÄSTMANLANDS LÄN</t>
        </is>
      </c>
      <c r="E597" t="inlineStr">
        <is>
          <t>SALA</t>
        </is>
      </c>
      <c r="F597" t="inlineStr">
        <is>
          <t>Sveaskog</t>
        </is>
      </c>
      <c r="G597" t="n">
        <v>14.4</v>
      </c>
      <c r="H597" t="n">
        <v>0</v>
      </c>
      <c r="I597" t="n">
        <v>0</v>
      </c>
      <c r="J597" t="n">
        <v>0</v>
      </c>
      <c r="K597" t="n">
        <v>0</v>
      </c>
      <c r="L597" t="n">
        <v>0</v>
      </c>
      <c r="M597" t="n">
        <v>0</v>
      </c>
      <c r="N597" t="n">
        <v>0</v>
      </c>
      <c r="O597" t="n">
        <v>0</v>
      </c>
      <c r="P597" t="n">
        <v>0</v>
      </c>
      <c r="Q597" t="n">
        <v>0</v>
      </c>
      <c r="R597" s="2" t="inlineStr"/>
    </row>
    <row r="598" ht="15" customHeight="1">
      <c r="A598" t="inlineStr">
        <is>
          <t>A 2928-2024</t>
        </is>
      </c>
      <c r="B598" s="1" t="n">
        <v>45315.59041666667</v>
      </c>
      <c r="C598" s="1" t="n">
        <v>46128</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62523-2025</t>
        </is>
      </c>
      <c r="B599" s="1" t="n">
        <v>46007.61512731481</v>
      </c>
      <c r="C599" s="1" t="n">
        <v>46128</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56916-2022</t>
        </is>
      </c>
      <c r="B600" s="1" t="n">
        <v>44888</v>
      </c>
      <c r="C600" s="1" t="n">
        <v>46128</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9962-2025</t>
        </is>
      </c>
      <c r="B601" s="1" t="n">
        <v>45719.37072916667</v>
      </c>
      <c r="C601" s="1" t="n">
        <v>46128</v>
      </c>
      <c r="D601" t="inlineStr">
        <is>
          <t>VÄSTMANLANDS LÄN</t>
        </is>
      </c>
      <c r="E601" t="inlineStr">
        <is>
          <t>SALA</t>
        </is>
      </c>
      <c r="G601" t="n">
        <v>4.5</v>
      </c>
      <c r="H601" t="n">
        <v>0</v>
      </c>
      <c r="I601" t="n">
        <v>0</v>
      </c>
      <c r="J601" t="n">
        <v>0</v>
      </c>
      <c r="K601" t="n">
        <v>0</v>
      </c>
      <c r="L601" t="n">
        <v>0</v>
      </c>
      <c r="M601" t="n">
        <v>0</v>
      </c>
      <c r="N601" t="n">
        <v>0</v>
      </c>
      <c r="O601" t="n">
        <v>0</v>
      </c>
      <c r="P601" t="n">
        <v>0</v>
      </c>
      <c r="Q601" t="n">
        <v>0</v>
      </c>
      <c r="R601" s="2" t="inlineStr"/>
    </row>
    <row r="602" ht="15" customHeight="1">
      <c r="A602" t="inlineStr">
        <is>
          <t>A 14024-2025</t>
        </is>
      </c>
      <c r="B602" s="1" t="n">
        <v>45740.34650462963</v>
      </c>
      <c r="C602" s="1" t="n">
        <v>46128</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3551-2024</t>
        </is>
      </c>
      <c r="B603" s="1" t="n">
        <v>45320.61099537037</v>
      </c>
      <c r="C603" s="1" t="n">
        <v>46128</v>
      </c>
      <c r="D603" t="inlineStr">
        <is>
          <t>VÄSTMANLANDS LÄN</t>
        </is>
      </c>
      <c r="E603" t="inlineStr">
        <is>
          <t>SALA</t>
        </is>
      </c>
      <c r="F603" t="inlineStr">
        <is>
          <t>Kommuner</t>
        </is>
      </c>
      <c r="G603" t="n">
        <v>6</v>
      </c>
      <c r="H603" t="n">
        <v>0</v>
      </c>
      <c r="I603" t="n">
        <v>0</v>
      </c>
      <c r="J603" t="n">
        <v>0</v>
      </c>
      <c r="K603" t="n">
        <v>0</v>
      </c>
      <c r="L603" t="n">
        <v>0</v>
      </c>
      <c r="M603" t="n">
        <v>0</v>
      </c>
      <c r="N603" t="n">
        <v>0</v>
      </c>
      <c r="O603" t="n">
        <v>0</v>
      </c>
      <c r="P603" t="n">
        <v>0</v>
      </c>
      <c r="Q603" t="n">
        <v>0</v>
      </c>
      <c r="R603" s="2" t="inlineStr"/>
    </row>
    <row r="604" ht="15" customHeight="1">
      <c r="A604" t="inlineStr">
        <is>
          <t>A 63055-2025</t>
        </is>
      </c>
      <c r="B604" s="1" t="n">
        <v>46009.63619212963</v>
      </c>
      <c r="C604" s="1" t="n">
        <v>46128</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63353-2025</t>
        </is>
      </c>
      <c r="B605" s="1" t="n">
        <v>46010.66670138889</v>
      </c>
      <c r="C605" s="1" t="n">
        <v>46128</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46128</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63051-2025</t>
        </is>
      </c>
      <c r="B607" s="1" t="n">
        <v>46009.63134259259</v>
      </c>
      <c r="C607" s="1" t="n">
        <v>46128</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63046-2025</t>
        </is>
      </c>
      <c r="B608" s="1" t="n">
        <v>46009.62373842593</v>
      </c>
      <c r="C608" s="1" t="n">
        <v>46128</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63269-2025</t>
        </is>
      </c>
      <c r="B609" s="1" t="n">
        <v>46010</v>
      </c>
      <c r="C609" s="1" t="n">
        <v>46128</v>
      </c>
      <c r="D609" t="inlineStr">
        <is>
          <t>VÄSTMANLANDS LÄN</t>
        </is>
      </c>
      <c r="E609" t="inlineStr">
        <is>
          <t>SALA</t>
        </is>
      </c>
      <c r="G609" t="n">
        <v>6.4</v>
      </c>
      <c r="H609" t="n">
        <v>0</v>
      </c>
      <c r="I609" t="n">
        <v>0</v>
      </c>
      <c r="J609" t="n">
        <v>0</v>
      </c>
      <c r="K609" t="n">
        <v>0</v>
      </c>
      <c r="L609" t="n">
        <v>0</v>
      </c>
      <c r="M609" t="n">
        <v>0</v>
      </c>
      <c r="N609" t="n">
        <v>0</v>
      </c>
      <c r="O609" t="n">
        <v>0</v>
      </c>
      <c r="P609" t="n">
        <v>0</v>
      </c>
      <c r="Q609" t="n">
        <v>0</v>
      </c>
      <c r="R609" s="2" t="inlineStr"/>
    </row>
    <row r="610" ht="15" customHeight="1">
      <c r="A610" t="inlineStr">
        <is>
          <t>A 19304-2025</t>
        </is>
      </c>
      <c r="B610" s="1" t="n">
        <v>45769</v>
      </c>
      <c r="C610" s="1" t="n">
        <v>46128</v>
      </c>
      <c r="D610" t="inlineStr">
        <is>
          <t>VÄSTMANLANDS LÄN</t>
        </is>
      </c>
      <c r="E610" t="inlineStr">
        <is>
          <t>SALA</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56057-2023</t>
        </is>
      </c>
      <c r="B611" s="1" t="n">
        <v>45233</v>
      </c>
      <c r="C611" s="1" t="n">
        <v>46128</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17722-2025</t>
        </is>
      </c>
      <c r="B612" s="1" t="n">
        <v>45758</v>
      </c>
      <c r="C612" s="1" t="n">
        <v>46128</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55024-2023</t>
        </is>
      </c>
      <c r="B613" s="1" t="n">
        <v>45229</v>
      </c>
      <c r="C613" s="1" t="n">
        <v>46128</v>
      </c>
      <c r="D613" t="inlineStr">
        <is>
          <t>VÄSTMANLANDS LÄN</t>
        </is>
      </c>
      <c r="E613" t="inlineStr">
        <is>
          <t>SALA</t>
        </is>
      </c>
      <c r="G613" t="n">
        <v>0.9</v>
      </c>
      <c r="H613" t="n">
        <v>0</v>
      </c>
      <c r="I613" t="n">
        <v>0</v>
      </c>
      <c r="J613" t="n">
        <v>0</v>
      </c>
      <c r="K613" t="n">
        <v>0</v>
      </c>
      <c r="L613" t="n">
        <v>0</v>
      </c>
      <c r="M613" t="n">
        <v>0</v>
      </c>
      <c r="N613" t="n">
        <v>0</v>
      </c>
      <c r="O613" t="n">
        <v>0</v>
      </c>
      <c r="P613" t="n">
        <v>0</v>
      </c>
      <c r="Q613" t="n">
        <v>0</v>
      </c>
      <c r="R613" s="2" t="inlineStr"/>
    </row>
    <row r="614" ht="15" customHeight="1">
      <c r="A614" t="inlineStr">
        <is>
          <t>A 55032-2023</t>
        </is>
      </c>
      <c r="B614" s="1" t="n">
        <v>45229</v>
      </c>
      <c r="C614" s="1" t="n">
        <v>46128</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63749-2025</t>
        </is>
      </c>
      <c r="B615" s="1" t="n">
        <v>46017.75243055556</v>
      </c>
      <c r="C615" s="1" t="n">
        <v>46128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29248-2022</t>
        </is>
      </c>
      <c r="B616" s="1" t="n">
        <v>44750</v>
      </c>
      <c r="C616" s="1" t="n">
        <v>46128</v>
      </c>
      <c r="D616" t="inlineStr">
        <is>
          <t>VÄSTMANLANDS LÄN</t>
        </is>
      </c>
      <c r="E616" t="inlineStr">
        <is>
          <t>SALA</t>
        </is>
      </c>
      <c r="G616" t="n">
        <v>1.6</v>
      </c>
      <c r="H616" t="n">
        <v>0</v>
      </c>
      <c r="I616" t="n">
        <v>0</v>
      </c>
      <c r="J616" t="n">
        <v>0</v>
      </c>
      <c r="K616" t="n">
        <v>0</v>
      </c>
      <c r="L616" t="n">
        <v>0</v>
      </c>
      <c r="M616" t="n">
        <v>0</v>
      </c>
      <c r="N616" t="n">
        <v>0</v>
      </c>
      <c r="O616" t="n">
        <v>0</v>
      </c>
      <c r="P616" t="n">
        <v>0</v>
      </c>
      <c r="Q616" t="n">
        <v>0</v>
      </c>
      <c r="R616" s="2" t="inlineStr"/>
    </row>
    <row r="617" ht="15" customHeight="1">
      <c r="A617" t="inlineStr">
        <is>
          <t>A 59175-2022</t>
        </is>
      </c>
      <c r="B617" s="1" t="n">
        <v>44904.48502314815</v>
      </c>
      <c r="C617" s="1" t="n">
        <v>46128</v>
      </c>
      <c r="D617" t="inlineStr">
        <is>
          <t>VÄSTMANLANDS LÄN</t>
        </is>
      </c>
      <c r="E617" t="inlineStr">
        <is>
          <t>SALA</t>
        </is>
      </c>
      <c r="G617" t="n">
        <v>2.1</v>
      </c>
      <c r="H617" t="n">
        <v>0</v>
      </c>
      <c r="I617" t="n">
        <v>0</v>
      </c>
      <c r="J617" t="n">
        <v>0</v>
      </c>
      <c r="K617" t="n">
        <v>0</v>
      </c>
      <c r="L617" t="n">
        <v>0</v>
      </c>
      <c r="M617" t="n">
        <v>0</v>
      </c>
      <c r="N617" t="n">
        <v>0</v>
      </c>
      <c r="O617" t="n">
        <v>0</v>
      </c>
      <c r="P617" t="n">
        <v>0</v>
      </c>
      <c r="Q617" t="n">
        <v>0</v>
      </c>
      <c r="R617" s="2" t="inlineStr"/>
    </row>
    <row r="618" ht="15" customHeight="1">
      <c r="A618" t="inlineStr">
        <is>
          <t>A 39451-2022</t>
        </is>
      </c>
      <c r="B618" s="1" t="n">
        <v>44818.36606481481</v>
      </c>
      <c r="C618" s="1" t="n">
        <v>46128</v>
      </c>
      <c r="D618" t="inlineStr">
        <is>
          <t>VÄSTMANLANDS LÄN</t>
        </is>
      </c>
      <c r="E618" t="inlineStr">
        <is>
          <t>SALA</t>
        </is>
      </c>
      <c r="G618" t="n">
        <v>9.4</v>
      </c>
      <c r="H618" t="n">
        <v>0</v>
      </c>
      <c r="I618" t="n">
        <v>0</v>
      </c>
      <c r="J618" t="n">
        <v>0</v>
      </c>
      <c r="K618" t="n">
        <v>0</v>
      </c>
      <c r="L618" t="n">
        <v>0</v>
      </c>
      <c r="M618" t="n">
        <v>0</v>
      </c>
      <c r="N618" t="n">
        <v>0</v>
      </c>
      <c r="O618" t="n">
        <v>0</v>
      </c>
      <c r="P618" t="n">
        <v>0</v>
      </c>
      <c r="Q618" t="n">
        <v>0</v>
      </c>
      <c r="R618" s="2" t="inlineStr"/>
    </row>
    <row r="619" ht="15" customHeight="1">
      <c r="A619" t="inlineStr">
        <is>
          <t>A 63748-2025</t>
        </is>
      </c>
      <c r="B619" s="1" t="n">
        <v>46017.71640046296</v>
      </c>
      <c r="C619" s="1" t="n">
        <v>46128</v>
      </c>
      <c r="D619" t="inlineStr">
        <is>
          <t>VÄSTMANLANDS LÄN</t>
        </is>
      </c>
      <c r="E619" t="inlineStr">
        <is>
          <t>SALA</t>
        </is>
      </c>
      <c r="G619" t="n">
        <v>1.6</v>
      </c>
      <c r="H619" t="n">
        <v>0</v>
      </c>
      <c r="I619" t="n">
        <v>0</v>
      </c>
      <c r="J619" t="n">
        <v>0</v>
      </c>
      <c r="K619" t="n">
        <v>0</v>
      </c>
      <c r="L619" t="n">
        <v>0</v>
      </c>
      <c r="M619" t="n">
        <v>0</v>
      </c>
      <c r="N619" t="n">
        <v>0</v>
      </c>
      <c r="O619" t="n">
        <v>0</v>
      </c>
      <c r="P619" t="n">
        <v>0</v>
      </c>
      <c r="Q619" t="n">
        <v>0</v>
      </c>
      <c r="R619" s="2" t="inlineStr"/>
    </row>
    <row r="620" ht="15" customHeight="1">
      <c r="A620" t="inlineStr">
        <is>
          <t>A 45313-2024</t>
        </is>
      </c>
      <c r="B620" s="1" t="n">
        <v>45576</v>
      </c>
      <c r="C620" s="1" t="n">
        <v>46128</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11631-2023</t>
        </is>
      </c>
      <c r="B621" s="1" t="n">
        <v>44994.44001157407</v>
      </c>
      <c r="C621" s="1" t="n">
        <v>46128</v>
      </c>
      <c r="D621" t="inlineStr">
        <is>
          <t>VÄSTMANLANDS LÄN</t>
        </is>
      </c>
      <c r="E621" t="inlineStr">
        <is>
          <t>SALA</t>
        </is>
      </c>
      <c r="F621" t="inlineStr">
        <is>
          <t>Kommuner</t>
        </is>
      </c>
      <c r="G621" t="n">
        <v>1.9</v>
      </c>
      <c r="H621" t="n">
        <v>0</v>
      </c>
      <c r="I621" t="n">
        <v>0</v>
      </c>
      <c r="J621" t="n">
        <v>0</v>
      </c>
      <c r="K621" t="n">
        <v>0</v>
      </c>
      <c r="L621" t="n">
        <v>0</v>
      </c>
      <c r="M621" t="n">
        <v>0</v>
      </c>
      <c r="N621" t="n">
        <v>0</v>
      </c>
      <c r="O621" t="n">
        <v>0</v>
      </c>
      <c r="P621" t="n">
        <v>0</v>
      </c>
      <c r="Q621" t="n">
        <v>0</v>
      </c>
      <c r="R621" s="2" t="inlineStr"/>
    </row>
    <row r="622" ht="15" customHeight="1">
      <c r="A622" t="inlineStr">
        <is>
          <t>A 56535-2022</t>
        </is>
      </c>
      <c r="B622" s="1" t="n">
        <v>44893.47173611111</v>
      </c>
      <c r="C622" s="1" t="n">
        <v>46128</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47909-2022</t>
        </is>
      </c>
      <c r="B623" s="1" t="n">
        <v>44855</v>
      </c>
      <c r="C623" s="1" t="n">
        <v>46128</v>
      </c>
      <c r="D623" t="inlineStr">
        <is>
          <t>VÄSTMANLANDS LÄN</t>
        </is>
      </c>
      <c r="E623" t="inlineStr">
        <is>
          <t>SALA</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52630-2022</t>
        </is>
      </c>
      <c r="B624" s="1" t="n">
        <v>44874</v>
      </c>
      <c r="C624" s="1" t="n">
        <v>46128</v>
      </c>
      <c r="D624" t="inlineStr">
        <is>
          <t>VÄSTMANLANDS LÄN</t>
        </is>
      </c>
      <c r="E624" t="inlineStr">
        <is>
          <t>SALA</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56687-2024</t>
        </is>
      </c>
      <c r="B625" s="1" t="n">
        <v>45627.63271990741</v>
      </c>
      <c r="C625" s="1" t="n">
        <v>46128</v>
      </c>
      <c r="D625" t="inlineStr">
        <is>
          <t>VÄSTMANLANDS LÄN</t>
        </is>
      </c>
      <c r="E625" t="inlineStr">
        <is>
          <t>SALA</t>
        </is>
      </c>
      <c r="G625" t="n">
        <v>1.2</v>
      </c>
      <c r="H625" t="n">
        <v>0</v>
      </c>
      <c r="I625" t="n">
        <v>0</v>
      </c>
      <c r="J625" t="n">
        <v>0</v>
      </c>
      <c r="K625" t="n">
        <v>0</v>
      </c>
      <c r="L625" t="n">
        <v>0</v>
      </c>
      <c r="M625" t="n">
        <v>0</v>
      </c>
      <c r="N625" t="n">
        <v>0</v>
      </c>
      <c r="O625" t="n">
        <v>0</v>
      </c>
      <c r="P625" t="n">
        <v>0</v>
      </c>
      <c r="Q625" t="n">
        <v>0</v>
      </c>
      <c r="R625" s="2" t="inlineStr"/>
    </row>
    <row r="626" ht="15" customHeight="1">
      <c r="A626" t="inlineStr">
        <is>
          <t>A 62648-2022</t>
        </is>
      </c>
      <c r="B626" s="1" t="n">
        <v>44917</v>
      </c>
      <c r="C626" s="1" t="n">
        <v>46128</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1934-2023</t>
        </is>
      </c>
      <c r="B627" s="1" t="n">
        <v>44939.43024305555</v>
      </c>
      <c r="C627" s="1" t="n">
        <v>46128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11927-2025</t>
        </is>
      </c>
      <c r="B628" s="1" t="n">
        <v>45728.5137962963</v>
      </c>
      <c r="C628" s="1" t="n">
        <v>46128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60823-2024</t>
        </is>
      </c>
      <c r="B629" s="1" t="n">
        <v>45644</v>
      </c>
      <c r="C629" s="1" t="n">
        <v>46128</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61715-2024</t>
        </is>
      </c>
      <c r="B630" s="1" t="n">
        <v>45648.89519675926</v>
      </c>
      <c r="C630" s="1" t="n">
        <v>46128</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910-2026</t>
        </is>
      </c>
      <c r="B631" s="1" t="n">
        <v>46030.4771412037</v>
      </c>
      <c r="C631" s="1" t="n">
        <v>46128</v>
      </c>
      <c r="D631" t="inlineStr">
        <is>
          <t>VÄSTMANLANDS LÄN</t>
        </is>
      </c>
      <c r="E631" t="inlineStr">
        <is>
          <t>SALA</t>
        </is>
      </c>
      <c r="G631" t="n">
        <v>1.4</v>
      </c>
      <c r="H631" t="n">
        <v>0</v>
      </c>
      <c r="I631" t="n">
        <v>0</v>
      </c>
      <c r="J631" t="n">
        <v>0</v>
      </c>
      <c r="K631" t="n">
        <v>0</v>
      </c>
      <c r="L631" t="n">
        <v>0</v>
      </c>
      <c r="M631" t="n">
        <v>0</v>
      </c>
      <c r="N631" t="n">
        <v>0</v>
      </c>
      <c r="O631" t="n">
        <v>0</v>
      </c>
      <c r="P631" t="n">
        <v>0</v>
      </c>
      <c r="Q631" t="n">
        <v>0</v>
      </c>
      <c r="R631" s="2" t="inlineStr"/>
    </row>
    <row r="632" ht="15" customHeight="1">
      <c r="A632" t="inlineStr">
        <is>
          <t>A 96-2024</t>
        </is>
      </c>
      <c r="B632" s="1" t="n">
        <v>45293.85872685185</v>
      </c>
      <c r="C632" s="1" t="n">
        <v>46128</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914-2026</t>
        </is>
      </c>
      <c r="B633" s="1" t="n">
        <v>46030.47952546296</v>
      </c>
      <c r="C633" s="1" t="n">
        <v>46128</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948-2026</t>
        </is>
      </c>
      <c r="B634" s="1" t="n">
        <v>46030.53986111111</v>
      </c>
      <c r="C634" s="1" t="n">
        <v>46128</v>
      </c>
      <c r="D634" t="inlineStr">
        <is>
          <t>VÄSTMANLANDS LÄN</t>
        </is>
      </c>
      <c r="E634" t="inlineStr">
        <is>
          <t>SALA</t>
        </is>
      </c>
      <c r="G634" t="n">
        <v>0.8</v>
      </c>
      <c r="H634" t="n">
        <v>0</v>
      </c>
      <c r="I634" t="n">
        <v>0</v>
      </c>
      <c r="J634" t="n">
        <v>0</v>
      </c>
      <c r="K634" t="n">
        <v>0</v>
      </c>
      <c r="L634" t="n">
        <v>0</v>
      </c>
      <c r="M634" t="n">
        <v>0</v>
      </c>
      <c r="N634" t="n">
        <v>0</v>
      </c>
      <c r="O634" t="n">
        <v>0</v>
      </c>
      <c r="P634" t="n">
        <v>0</v>
      </c>
      <c r="Q634" t="n">
        <v>0</v>
      </c>
      <c r="R634" s="2" t="inlineStr"/>
    </row>
    <row r="635" ht="15" customHeight="1">
      <c r="A635" t="inlineStr">
        <is>
          <t>A 23374-2023</t>
        </is>
      </c>
      <c r="B635" s="1" t="n">
        <v>45076.4399537037</v>
      </c>
      <c r="C635" s="1" t="n">
        <v>46128</v>
      </c>
      <c r="D635" t="inlineStr">
        <is>
          <t>VÄSTMANLANDS LÄN</t>
        </is>
      </c>
      <c r="E635" t="inlineStr">
        <is>
          <t>SALA</t>
        </is>
      </c>
      <c r="G635" t="n">
        <v>0.7</v>
      </c>
      <c r="H635" t="n">
        <v>0</v>
      </c>
      <c r="I635" t="n">
        <v>0</v>
      </c>
      <c r="J635" t="n">
        <v>0</v>
      </c>
      <c r="K635" t="n">
        <v>0</v>
      </c>
      <c r="L635" t="n">
        <v>0</v>
      </c>
      <c r="M635" t="n">
        <v>0</v>
      </c>
      <c r="N635" t="n">
        <v>0</v>
      </c>
      <c r="O635" t="n">
        <v>0</v>
      </c>
      <c r="P635" t="n">
        <v>0</v>
      </c>
      <c r="Q635" t="n">
        <v>0</v>
      </c>
      <c r="R635" s="2" t="inlineStr"/>
    </row>
    <row r="636" ht="15" customHeight="1">
      <c r="A636" t="inlineStr">
        <is>
          <t>A 16404-2022</t>
        </is>
      </c>
      <c r="B636" s="1" t="n">
        <v>44671</v>
      </c>
      <c r="C636" s="1" t="n">
        <v>46128</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61874-2021</t>
        </is>
      </c>
      <c r="B637" s="1" t="n">
        <v>44502</v>
      </c>
      <c r="C637" s="1" t="n">
        <v>46128</v>
      </c>
      <c r="D637" t="inlineStr">
        <is>
          <t>VÄSTMANLANDS LÄN</t>
        </is>
      </c>
      <c r="E637" t="inlineStr">
        <is>
          <t>SALA</t>
        </is>
      </c>
      <c r="F637" t="inlineStr">
        <is>
          <t>Kyrkan</t>
        </is>
      </c>
      <c r="G637" t="n">
        <v>1.3</v>
      </c>
      <c r="H637" t="n">
        <v>0</v>
      </c>
      <c r="I637" t="n">
        <v>0</v>
      </c>
      <c r="J637" t="n">
        <v>0</v>
      </c>
      <c r="K637" t="n">
        <v>0</v>
      </c>
      <c r="L637" t="n">
        <v>0</v>
      </c>
      <c r="M637" t="n">
        <v>0</v>
      </c>
      <c r="N637" t="n">
        <v>0</v>
      </c>
      <c r="O637" t="n">
        <v>0</v>
      </c>
      <c r="P637" t="n">
        <v>0</v>
      </c>
      <c r="Q637" t="n">
        <v>0</v>
      </c>
      <c r="R637" s="2" t="inlineStr"/>
    </row>
    <row r="638" ht="15" customHeight="1">
      <c r="A638" t="inlineStr">
        <is>
          <t>A 6097-2022</t>
        </is>
      </c>
      <c r="B638" s="1" t="n">
        <v>44599</v>
      </c>
      <c r="C638" s="1" t="n">
        <v>46128</v>
      </c>
      <c r="D638" t="inlineStr">
        <is>
          <t>VÄSTMANLANDS LÄN</t>
        </is>
      </c>
      <c r="E638" t="inlineStr">
        <is>
          <t>SALA</t>
        </is>
      </c>
      <c r="G638" t="n">
        <v>0.6</v>
      </c>
      <c r="H638" t="n">
        <v>0</v>
      </c>
      <c r="I638" t="n">
        <v>0</v>
      </c>
      <c r="J638" t="n">
        <v>0</v>
      </c>
      <c r="K638" t="n">
        <v>0</v>
      </c>
      <c r="L638" t="n">
        <v>0</v>
      </c>
      <c r="M638" t="n">
        <v>0</v>
      </c>
      <c r="N638" t="n">
        <v>0</v>
      </c>
      <c r="O638" t="n">
        <v>0</v>
      </c>
      <c r="P638" t="n">
        <v>0</v>
      </c>
      <c r="Q638" t="n">
        <v>0</v>
      </c>
      <c r="R638" s="2" t="inlineStr"/>
    </row>
    <row r="639" ht="15" customHeight="1">
      <c r="A639" t="inlineStr">
        <is>
          <t>A 9856-2022</t>
        </is>
      </c>
      <c r="B639" s="1" t="n">
        <v>44620</v>
      </c>
      <c r="C639" s="1" t="n">
        <v>46128</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16159-2024</t>
        </is>
      </c>
      <c r="B640" s="1" t="n">
        <v>45406</v>
      </c>
      <c r="C640" s="1" t="n">
        <v>46128</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1705-2026</t>
        </is>
      </c>
      <c r="B641" s="1" t="n">
        <v>46034.59930555556</v>
      </c>
      <c r="C641" s="1" t="n">
        <v>46128</v>
      </c>
      <c r="D641" t="inlineStr">
        <is>
          <t>VÄSTMANLANDS LÄN</t>
        </is>
      </c>
      <c r="E641" t="inlineStr">
        <is>
          <t>SALA</t>
        </is>
      </c>
      <c r="G641" t="n">
        <v>0.4</v>
      </c>
      <c r="H641" t="n">
        <v>0</v>
      </c>
      <c r="I641" t="n">
        <v>0</v>
      </c>
      <c r="J641" t="n">
        <v>0</v>
      </c>
      <c r="K641" t="n">
        <v>0</v>
      </c>
      <c r="L641" t="n">
        <v>0</v>
      </c>
      <c r="M641" t="n">
        <v>0</v>
      </c>
      <c r="N641" t="n">
        <v>0</v>
      </c>
      <c r="O641" t="n">
        <v>0</v>
      </c>
      <c r="P641" t="n">
        <v>0</v>
      </c>
      <c r="Q641" t="n">
        <v>0</v>
      </c>
      <c r="R641" s="2" t="inlineStr"/>
    </row>
    <row r="642" ht="15" customHeight="1">
      <c r="A642" t="inlineStr">
        <is>
          <t>A 50241-2023</t>
        </is>
      </c>
      <c r="B642" s="1" t="n">
        <v>45216</v>
      </c>
      <c r="C642" s="1" t="n">
        <v>46128</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3332-2024</t>
        </is>
      </c>
      <c r="B643" s="1" t="n">
        <v>45317</v>
      </c>
      <c r="C643" s="1" t="n">
        <v>46128</v>
      </c>
      <c r="D643" t="inlineStr">
        <is>
          <t>VÄSTMANLANDS LÄN</t>
        </is>
      </c>
      <c r="E643" t="inlineStr">
        <is>
          <t>SALA</t>
        </is>
      </c>
      <c r="G643" t="n">
        <v>2</v>
      </c>
      <c r="H643" t="n">
        <v>0</v>
      </c>
      <c r="I643" t="n">
        <v>0</v>
      </c>
      <c r="J643" t="n">
        <v>0</v>
      </c>
      <c r="K643" t="n">
        <v>0</v>
      </c>
      <c r="L643" t="n">
        <v>0</v>
      </c>
      <c r="M643" t="n">
        <v>0</v>
      </c>
      <c r="N643" t="n">
        <v>0</v>
      </c>
      <c r="O643" t="n">
        <v>0</v>
      </c>
      <c r="P643" t="n">
        <v>0</v>
      </c>
      <c r="Q643" t="n">
        <v>0</v>
      </c>
      <c r="R643" s="2" t="inlineStr"/>
    </row>
    <row r="644" ht="15" customHeight="1">
      <c r="A644" t="inlineStr">
        <is>
          <t>A 10559-2024</t>
        </is>
      </c>
      <c r="B644" s="1" t="n">
        <v>45366</v>
      </c>
      <c r="C644" s="1" t="n">
        <v>46128</v>
      </c>
      <c r="D644" t="inlineStr">
        <is>
          <t>VÄSTMANLANDS LÄN</t>
        </is>
      </c>
      <c r="E644" t="inlineStr">
        <is>
          <t>SALA</t>
        </is>
      </c>
      <c r="G644" t="n">
        <v>0.3</v>
      </c>
      <c r="H644" t="n">
        <v>0</v>
      </c>
      <c r="I644" t="n">
        <v>0</v>
      </c>
      <c r="J644" t="n">
        <v>0</v>
      </c>
      <c r="K644" t="n">
        <v>0</v>
      </c>
      <c r="L644" t="n">
        <v>0</v>
      </c>
      <c r="M644" t="n">
        <v>0</v>
      </c>
      <c r="N644" t="n">
        <v>0</v>
      </c>
      <c r="O644" t="n">
        <v>0</v>
      </c>
      <c r="P644" t="n">
        <v>0</v>
      </c>
      <c r="Q644" t="n">
        <v>0</v>
      </c>
      <c r="R644" s="2" t="inlineStr"/>
    </row>
    <row r="645" ht="15" customHeight="1">
      <c r="A645" t="inlineStr">
        <is>
          <t>A 35637-2022</t>
        </is>
      </c>
      <c r="B645" s="1" t="n">
        <v>44799.55194444444</v>
      </c>
      <c r="C645" s="1" t="n">
        <v>46128</v>
      </c>
      <c r="D645" t="inlineStr">
        <is>
          <t>VÄSTMANLANDS LÄN</t>
        </is>
      </c>
      <c r="E645" t="inlineStr">
        <is>
          <t>SALA</t>
        </is>
      </c>
      <c r="G645" t="n">
        <v>1</v>
      </c>
      <c r="H645" t="n">
        <v>0</v>
      </c>
      <c r="I645" t="n">
        <v>0</v>
      </c>
      <c r="J645" t="n">
        <v>0</v>
      </c>
      <c r="K645" t="n">
        <v>0</v>
      </c>
      <c r="L645" t="n">
        <v>0</v>
      </c>
      <c r="M645" t="n">
        <v>0</v>
      </c>
      <c r="N645" t="n">
        <v>0</v>
      </c>
      <c r="O645" t="n">
        <v>0</v>
      </c>
      <c r="P645" t="n">
        <v>0</v>
      </c>
      <c r="Q645" t="n">
        <v>0</v>
      </c>
      <c r="R645" s="2" t="inlineStr"/>
    </row>
    <row r="646" ht="15" customHeight="1">
      <c r="A646" t="inlineStr">
        <is>
          <t>A 60545-2024</t>
        </is>
      </c>
      <c r="B646" s="1" t="n">
        <v>45643</v>
      </c>
      <c r="C646" s="1" t="n">
        <v>46128</v>
      </c>
      <c r="D646" t="inlineStr">
        <is>
          <t>VÄSTMANLANDS LÄN</t>
        </is>
      </c>
      <c r="E646" t="inlineStr">
        <is>
          <t>SALA</t>
        </is>
      </c>
      <c r="G646" t="n">
        <v>3.3</v>
      </c>
      <c r="H646" t="n">
        <v>0</v>
      </c>
      <c r="I646" t="n">
        <v>0</v>
      </c>
      <c r="J646" t="n">
        <v>0</v>
      </c>
      <c r="K646" t="n">
        <v>0</v>
      </c>
      <c r="L646" t="n">
        <v>0</v>
      </c>
      <c r="M646" t="n">
        <v>0</v>
      </c>
      <c r="N646" t="n">
        <v>0</v>
      </c>
      <c r="O646" t="n">
        <v>0</v>
      </c>
      <c r="P646" t="n">
        <v>0</v>
      </c>
      <c r="Q646" t="n">
        <v>0</v>
      </c>
      <c r="R646" s="2" t="inlineStr"/>
    </row>
    <row r="647" ht="15" customHeight="1">
      <c r="A647" t="inlineStr">
        <is>
          <t>A 60547-2024</t>
        </is>
      </c>
      <c r="B647" s="1" t="n">
        <v>45643</v>
      </c>
      <c r="C647" s="1" t="n">
        <v>46128</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15965-2024</t>
        </is>
      </c>
      <c r="B648" s="1" t="n">
        <v>45405.55740740741</v>
      </c>
      <c r="C648" s="1" t="n">
        <v>46128</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57883-2024</t>
        </is>
      </c>
      <c r="B649" s="1" t="n">
        <v>45630</v>
      </c>
      <c r="C649" s="1" t="n">
        <v>46128</v>
      </c>
      <c r="D649" t="inlineStr">
        <is>
          <t>VÄSTMANLANDS LÄN</t>
        </is>
      </c>
      <c r="E649" t="inlineStr">
        <is>
          <t>SALA</t>
        </is>
      </c>
      <c r="G649" t="n">
        <v>5.4</v>
      </c>
      <c r="H649" t="n">
        <v>0</v>
      </c>
      <c r="I649" t="n">
        <v>0</v>
      </c>
      <c r="J649" t="n">
        <v>0</v>
      </c>
      <c r="K649" t="n">
        <v>0</v>
      </c>
      <c r="L649" t="n">
        <v>0</v>
      </c>
      <c r="M649" t="n">
        <v>0</v>
      </c>
      <c r="N649" t="n">
        <v>0</v>
      </c>
      <c r="O649" t="n">
        <v>0</v>
      </c>
      <c r="P649" t="n">
        <v>0</v>
      </c>
      <c r="Q649" t="n">
        <v>0</v>
      </c>
      <c r="R649" s="2" t="inlineStr"/>
    </row>
    <row r="650" ht="15" customHeight="1">
      <c r="A650" t="inlineStr">
        <is>
          <t>A 50876-2023</t>
        </is>
      </c>
      <c r="B650" s="1" t="n">
        <v>45211</v>
      </c>
      <c r="C650" s="1" t="n">
        <v>46128</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1196-2023</t>
        </is>
      </c>
      <c r="B651" s="1" t="n">
        <v>44935.82290509259</v>
      </c>
      <c r="C651" s="1" t="n">
        <v>46128</v>
      </c>
      <c r="D651" t="inlineStr">
        <is>
          <t>VÄSTMANLANDS LÄN</t>
        </is>
      </c>
      <c r="E651" t="inlineStr">
        <is>
          <t>SALA</t>
        </is>
      </c>
      <c r="G651" t="n">
        <v>4.1</v>
      </c>
      <c r="H651" t="n">
        <v>0</v>
      </c>
      <c r="I651" t="n">
        <v>0</v>
      </c>
      <c r="J651" t="n">
        <v>0</v>
      </c>
      <c r="K651" t="n">
        <v>0</v>
      </c>
      <c r="L651" t="n">
        <v>0</v>
      </c>
      <c r="M651" t="n">
        <v>0</v>
      </c>
      <c r="N651" t="n">
        <v>0</v>
      </c>
      <c r="O651" t="n">
        <v>0</v>
      </c>
      <c r="P651" t="n">
        <v>0</v>
      </c>
      <c r="Q651" t="n">
        <v>0</v>
      </c>
      <c r="R651" s="2" t="inlineStr"/>
    </row>
    <row r="652" ht="15" customHeight="1">
      <c r="A652" t="inlineStr">
        <is>
          <t>A 37624-2024</t>
        </is>
      </c>
      <c r="B652" s="1" t="n">
        <v>45541</v>
      </c>
      <c r="C652" s="1" t="n">
        <v>46128</v>
      </c>
      <c r="D652" t="inlineStr">
        <is>
          <t>VÄSTMANLANDS LÄN</t>
        </is>
      </c>
      <c r="E652" t="inlineStr">
        <is>
          <t>SALA</t>
        </is>
      </c>
      <c r="G652" t="n">
        <v>0.7</v>
      </c>
      <c r="H652" t="n">
        <v>0</v>
      </c>
      <c r="I652" t="n">
        <v>0</v>
      </c>
      <c r="J652" t="n">
        <v>0</v>
      </c>
      <c r="K652" t="n">
        <v>0</v>
      </c>
      <c r="L652" t="n">
        <v>0</v>
      </c>
      <c r="M652" t="n">
        <v>0</v>
      </c>
      <c r="N652" t="n">
        <v>0</v>
      </c>
      <c r="O652" t="n">
        <v>0</v>
      </c>
      <c r="P652" t="n">
        <v>0</v>
      </c>
      <c r="Q652" t="n">
        <v>0</v>
      </c>
      <c r="R652" s="2" t="inlineStr"/>
    </row>
    <row r="653" ht="15" customHeight="1">
      <c r="A653" t="inlineStr">
        <is>
          <t>A 40398-2021</t>
        </is>
      </c>
      <c r="B653" s="1" t="n">
        <v>44419</v>
      </c>
      <c r="C653" s="1" t="n">
        <v>46128</v>
      </c>
      <c r="D653" t="inlineStr">
        <is>
          <t>VÄSTMANLANDS LÄN</t>
        </is>
      </c>
      <c r="E653" t="inlineStr">
        <is>
          <t>SALA</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46128</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27262-2024</t>
        </is>
      </c>
      <c r="B655" s="1" t="n">
        <v>45471</v>
      </c>
      <c r="C655" s="1" t="n">
        <v>46128</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23119-2022</t>
        </is>
      </c>
      <c r="B656" s="1" t="n">
        <v>44719.56697916667</v>
      </c>
      <c r="C656" s="1" t="n">
        <v>46128</v>
      </c>
      <c r="D656" t="inlineStr">
        <is>
          <t>VÄSTMANLANDS LÄN</t>
        </is>
      </c>
      <c r="E656" t="inlineStr">
        <is>
          <t>SALA</t>
        </is>
      </c>
      <c r="G656" t="n">
        <v>7</v>
      </c>
      <c r="H656" t="n">
        <v>0</v>
      </c>
      <c r="I656" t="n">
        <v>0</v>
      </c>
      <c r="J656" t="n">
        <v>0</v>
      </c>
      <c r="K656" t="n">
        <v>0</v>
      </c>
      <c r="L656" t="n">
        <v>0</v>
      </c>
      <c r="M656" t="n">
        <v>0</v>
      </c>
      <c r="N656" t="n">
        <v>0</v>
      </c>
      <c r="O656" t="n">
        <v>0</v>
      </c>
      <c r="P656" t="n">
        <v>0</v>
      </c>
      <c r="Q656" t="n">
        <v>0</v>
      </c>
      <c r="R656" s="2" t="inlineStr"/>
    </row>
    <row r="657" ht="15" customHeight="1">
      <c r="A657" t="inlineStr">
        <is>
          <t>A 43751-2021</t>
        </is>
      </c>
      <c r="B657" s="1" t="n">
        <v>44433</v>
      </c>
      <c r="C657" s="1" t="n">
        <v>46128</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59483-2022</t>
        </is>
      </c>
      <c r="B658" s="1" t="n">
        <v>44907.45679398148</v>
      </c>
      <c r="C658" s="1" t="n">
        <v>46128</v>
      </c>
      <c r="D658" t="inlineStr">
        <is>
          <t>VÄSTMANLANDS LÄN</t>
        </is>
      </c>
      <c r="E658" t="inlineStr">
        <is>
          <t>SALA</t>
        </is>
      </c>
      <c r="G658" t="n">
        <v>5.2</v>
      </c>
      <c r="H658" t="n">
        <v>0</v>
      </c>
      <c r="I658" t="n">
        <v>0</v>
      </c>
      <c r="J658" t="n">
        <v>0</v>
      </c>
      <c r="K658" t="n">
        <v>0</v>
      </c>
      <c r="L658" t="n">
        <v>0</v>
      </c>
      <c r="M658" t="n">
        <v>0</v>
      </c>
      <c r="N658" t="n">
        <v>0</v>
      </c>
      <c r="O658" t="n">
        <v>0</v>
      </c>
      <c r="P658" t="n">
        <v>0</v>
      </c>
      <c r="Q658" t="n">
        <v>0</v>
      </c>
      <c r="R658" s="2" t="inlineStr"/>
    </row>
    <row r="659" ht="15" customHeight="1">
      <c r="A659" t="inlineStr">
        <is>
          <t>A 62651-2022</t>
        </is>
      </c>
      <c r="B659" s="1" t="n">
        <v>44917</v>
      </c>
      <c r="C659" s="1" t="n">
        <v>46128</v>
      </c>
      <c r="D659" t="inlineStr">
        <is>
          <t>VÄSTMANLANDS LÄN</t>
        </is>
      </c>
      <c r="E659" t="inlineStr">
        <is>
          <t>SALA</t>
        </is>
      </c>
      <c r="G659" t="n">
        <v>0.4</v>
      </c>
      <c r="H659" t="n">
        <v>0</v>
      </c>
      <c r="I659" t="n">
        <v>0</v>
      </c>
      <c r="J659" t="n">
        <v>0</v>
      </c>
      <c r="K659" t="n">
        <v>0</v>
      </c>
      <c r="L659" t="n">
        <v>0</v>
      </c>
      <c r="M659" t="n">
        <v>0</v>
      </c>
      <c r="N659" t="n">
        <v>0</v>
      </c>
      <c r="O659" t="n">
        <v>0</v>
      </c>
      <c r="P659" t="n">
        <v>0</v>
      </c>
      <c r="Q659" t="n">
        <v>0</v>
      </c>
      <c r="R659" s="2" t="inlineStr"/>
    </row>
    <row r="660" ht="15" customHeight="1">
      <c r="A660" t="inlineStr">
        <is>
          <t>A 54836-2024</t>
        </is>
      </c>
      <c r="B660" s="1" t="n">
        <v>45618</v>
      </c>
      <c r="C660" s="1" t="n">
        <v>46128</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73673-2021</t>
        </is>
      </c>
      <c r="B661" s="1" t="n">
        <v>44552.46501157407</v>
      </c>
      <c r="C661" s="1" t="n">
        <v>46128</v>
      </c>
      <c r="D661" t="inlineStr">
        <is>
          <t>VÄSTMANLANDS LÄN</t>
        </is>
      </c>
      <c r="E661" t="inlineStr">
        <is>
          <t>SALA</t>
        </is>
      </c>
      <c r="G661" t="n">
        <v>11.4</v>
      </c>
      <c r="H661" t="n">
        <v>0</v>
      </c>
      <c r="I661" t="n">
        <v>0</v>
      </c>
      <c r="J661" t="n">
        <v>0</v>
      </c>
      <c r="K661" t="n">
        <v>0</v>
      </c>
      <c r="L661" t="n">
        <v>0</v>
      </c>
      <c r="M661" t="n">
        <v>0</v>
      </c>
      <c r="N661" t="n">
        <v>0</v>
      </c>
      <c r="O661" t="n">
        <v>0</v>
      </c>
      <c r="P661" t="n">
        <v>0</v>
      </c>
      <c r="Q661" t="n">
        <v>0</v>
      </c>
      <c r="R661" s="2" t="inlineStr"/>
    </row>
    <row r="662" ht="15" customHeight="1">
      <c r="A662" t="inlineStr">
        <is>
          <t>A 13987-2023</t>
        </is>
      </c>
      <c r="B662" s="1" t="n">
        <v>45007</v>
      </c>
      <c r="C662" s="1" t="n">
        <v>46128</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46128</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4853-2023</t>
        </is>
      </c>
      <c r="B664" s="1" t="n">
        <v>44957.73234953704</v>
      </c>
      <c r="C664" s="1" t="n">
        <v>46128</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51464-2024</t>
        </is>
      </c>
      <c r="B665" s="1" t="n">
        <v>45604.49768518518</v>
      </c>
      <c r="C665" s="1" t="n">
        <v>46128</v>
      </c>
      <c r="D665" t="inlineStr">
        <is>
          <t>VÄSTMANLANDS LÄN</t>
        </is>
      </c>
      <c r="E665" t="inlineStr">
        <is>
          <t>SALA</t>
        </is>
      </c>
      <c r="G665" t="n">
        <v>3.9</v>
      </c>
      <c r="H665" t="n">
        <v>0</v>
      </c>
      <c r="I665" t="n">
        <v>0</v>
      </c>
      <c r="J665" t="n">
        <v>0</v>
      </c>
      <c r="K665" t="n">
        <v>0</v>
      </c>
      <c r="L665" t="n">
        <v>0</v>
      </c>
      <c r="M665" t="n">
        <v>0</v>
      </c>
      <c r="N665" t="n">
        <v>0</v>
      </c>
      <c r="O665" t="n">
        <v>0</v>
      </c>
      <c r="P665" t="n">
        <v>0</v>
      </c>
      <c r="Q665" t="n">
        <v>0</v>
      </c>
      <c r="R665" s="2" t="inlineStr"/>
    </row>
    <row r="666" ht="15" customHeight="1">
      <c r="A666" t="inlineStr">
        <is>
          <t>A 1993-2022</t>
        </is>
      </c>
      <c r="B666" s="1" t="n">
        <v>44575</v>
      </c>
      <c r="C666" s="1" t="n">
        <v>46128</v>
      </c>
      <c r="D666" t="inlineStr">
        <is>
          <t>VÄSTMANLANDS LÄN</t>
        </is>
      </c>
      <c r="E666" t="inlineStr">
        <is>
          <t>SALA</t>
        </is>
      </c>
      <c r="G666" t="n">
        <v>1.6</v>
      </c>
      <c r="H666" t="n">
        <v>0</v>
      </c>
      <c r="I666" t="n">
        <v>0</v>
      </c>
      <c r="J666" t="n">
        <v>0</v>
      </c>
      <c r="K666" t="n">
        <v>0</v>
      </c>
      <c r="L666" t="n">
        <v>0</v>
      </c>
      <c r="M666" t="n">
        <v>0</v>
      </c>
      <c r="N666" t="n">
        <v>0</v>
      </c>
      <c r="O666" t="n">
        <v>0</v>
      </c>
      <c r="P666" t="n">
        <v>0</v>
      </c>
      <c r="Q666" t="n">
        <v>0</v>
      </c>
      <c r="R666" s="2" t="inlineStr"/>
    </row>
    <row r="667" ht="15" customHeight="1">
      <c r="A667" t="inlineStr">
        <is>
          <t>A 1128-2025</t>
        </is>
      </c>
      <c r="B667" s="1" t="n">
        <v>45666.68469907407</v>
      </c>
      <c r="C667" s="1" t="n">
        <v>46128</v>
      </c>
      <c r="D667" t="inlineStr">
        <is>
          <t>VÄSTMANLANDS LÄN</t>
        </is>
      </c>
      <c r="E667" t="inlineStr">
        <is>
          <t>SALA</t>
        </is>
      </c>
      <c r="G667" t="n">
        <v>2.5</v>
      </c>
      <c r="H667" t="n">
        <v>0</v>
      </c>
      <c r="I667" t="n">
        <v>0</v>
      </c>
      <c r="J667" t="n">
        <v>0</v>
      </c>
      <c r="K667" t="n">
        <v>0</v>
      </c>
      <c r="L667" t="n">
        <v>0</v>
      </c>
      <c r="M667" t="n">
        <v>0</v>
      </c>
      <c r="N667" t="n">
        <v>0</v>
      </c>
      <c r="O667" t="n">
        <v>0</v>
      </c>
      <c r="P667" t="n">
        <v>0</v>
      </c>
      <c r="Q667" t="n">
        <v>0</v>
      </c>
      <c r="R667" s="2" t="inlineStr"/>
    </row>
    <row r="668" ht="15" customHeight="1">
      <c r="A668" t="inlineStr">
        <is>
          <t>A 43176-2023</t>
        </is>
      </c>
      <c r="B668" s="1" t="n">
        <v>45183</v>
      </c>
      <c r="C668" s="1" t="n">
        <v>46128</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73835-2021</t>
        </is>
      </c>
      <c r="B669" s="1" t="n">
        <v>44552.92112268518</v>
      </c>
      <c r="C669" s="1" t="n">
        <v>46128</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1793-2023</t>
        </is>
      </c>
      <c r="B670" s="1" t="n">
        <v>44937</v>
      </c>
      <c r="C670" s="1" t="n">
        <v>46128</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60379-2022</t>
        </is>
      </c>
      <c r="B671" s="1" t="n">
        <v>44910</v>
      </c>
      <c r="C671" s="1" t="n">
        <v>46128</v>
      </c>
      <c r="D671" t="inlineStr">
        <is>
          <t>VÄSTMANLANDS LÄN</t>
        </is>
      </c>
      <c r="E671" t="inlineStr">
        <is>
          <t>SALA</t>
        </is>
      </c>
      <c r="F671" t="inlineStr">
        <is>
          <t>Kyrkan</t>
        </is>
      </c>
      <c r="G671" t="n">
        <v>2.5</v>
      </c>
      <c r="H671" t="n">
        <v>0</v>
      </c>
      <c r="I671" t="n">
        <v>0</v>
      </c>
      <c r="J671" t="n">
        <v>0</v>
      </c>
      <c r="K671" t="n">
        <v>0</v>
      </c>
      <c r="L671" t="n">
        <v>0</v>
      </c>
      <c r="M671" t="n">
        <v>0</v>
      </c>
      <c r="N671" t="n">
        <v>0</v>
      </c>
      <c r="O671" t="n">
        <v>0</v>
      </c>
      <c r="P671" t="n">
        <v>0</v>
      </c>
      <c r="Q671" t="n">
        <v>0</v>
      </c>
      <c r="R671" s="2" t="inlineStr"/>
    </row>
    <row r="672" ht="15" customHeight="1">
      <c r="A672" t="inlineStr">
        <is>
          <t>A 1638-2023</t>
        </is>
      </c>
      <c r="B672" s="1" t="n">
        <v>44937</v>
      </c>
      <c r="C672" s="1" t="n">
        <v>46128</v>
      </c>
      <c r="D672" t="inlineStr">
        <is>
          <t>VÄSTMANLANDS LÄN</t>
        </is>
      </c>
      <c r="E672" t="inlineStr">
        <is>
          <t>SALA</t>
        </is>
      </c>
      <c r="G672" t="n">
        <v>3.1</v>
      </c>
      <c r="H672" t="n">
        <v>0</v>
      </c>
      <c r="I672" t="n">
        <v>0</v>
      </c>
      <c r="J672" t="n">
        <v>0</v>
      </c>
      <c r="K672" t="n">
        <v>0</v>
      </c>
      <c r="L672" t="n">
        <v>0</v>
      </c>
      <c r="M672" t="n">
        <v>0</v>
      </c>
      <c r="N672" t="n">
        <v>0</v>
      </c>
      <c r="O672" t="n">
        <v>0</v>
      </c>
      <c r="P672" t="n">
        <v>0</v>
      </c>
      <c r="Q672" t="n">
        <v>0</v>
      </c>
      <c r="R672" s="2" t="inlineStr"/>
    </row>
    <row r="673" ht="15" customHeight="1">
      <c r="A673" t="inlineStr">
        <is>
          <t>A 4681-2026</t>
        </is>
      </c>
      <c r="B673" s="1" t="n">
        <v>46048.43016203704</v>
      </c>
      <c r="C673" s="1" t="n">
        <v>46128</v>
      </c>
      <c r="D673" t="inlineStr">
        <is>
          <t>VÄSTMANLANDS LÄN</t>
        </is>
      </c>
      <c r="E673" t="inlineStr">
        <is>
          <t>SALA</t>
        </is>
      </c>
      <c r="G673" t="n">
        <v>2.5</v>
      </c>
      <c r="H673" t="n">
        <v>0</v>
      </c>
      <c r="I673" t="n">
        <v>0</v>
      </c>
      <c r="J673" t="n">
        <v>0</v>
      </c>
      <c r="K673" t="n">
        <v>0</v>
      </c>
      <c r="L673" t="n">
        <v>0</v>
      </c>
      <c r="M673" t="n">
        <v>0</v>
      </c>
      <c r="N673" t="n">
        <v>0</v>
      </c>
      <c r="O673" t="n">
        <v>0</v>
      </c>
      <c r="P673" t="n">
        <v>0</v>
      </c>
      <c r="Q673" t="n">
        <v>0</v>
      </c>
      <c r="R673" s="2" t="inlineStr"/>
    </row>
    <row r="674" ht="15" customHeight="1">
      <c r="A674" t="inlineStr">
        <is>
          <t>A 7953-2024</t>
        </is>
      </c>
      <c r="B674" s="1" t="n">
        <v>45350</v>
      </c>
      <c r="C674" s="1" t="n">
        <v>46128</v>
      </c>
      <c r="D674" t="inlineStr">
        <is>
          <t>VÄSTMANLANDS LÄN</t>
        </is>
      </c>
      <c r="E674" t="inlineStr">
        <is>
          <t>SALA</t>
        </is>
      </c>
      <c r="G674" t="n">
        <v>2.6</v>
      </c>
      <c r="H674" t="n">
        <v>0</v>
      </c>
      <c r="I674" t="n">
        <v>0</v>
      </c>
      <c r="J674" t="n">
        <v>0</v>
      </c>
      <c r="K674" t="n">
        <v>0</v>
      </c>
      <c r="L674" t="n">
        <v>0</v>
      </c>
      <c r="M674" t="n">
        <v>0</v>
      </c>
      <c r="N674" t="n">
        <v>0</v>
      </c>
      <c r="O674" t="n">
        <v>0</v>
      </c>
      <c r="P674" t="n">
        <v>0</v>
      </c>
      <c r="Q674" t="n">
        <v>0</v>
      </c>
      <c r="R674" s="2" t="inlineStr"/>
    </row>
    <row r="675" ht="15" customHeight="1">
      <c r="A675" t="inlineStr">
        <is>
          <t>A 4664-2026</t>
        </is>
      </c>
      <c r="B675" s="1" t="n">
        <v>46048.41061342593</v>
      </c>
      <c r="C675" s="1" t="n">
        <v>46128</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5477-2024</t>
        </is>
      </c>
      <c r="B676" s="1" t="n">
        <v>45333.67833333334</v>
      </c>
      <c r="C676" s="1" t="n">
        <v>46128</v>
      </c>
      <c r="D676" t="inlineStr">
        <is>
          <t>VÄSTMANLANDS LÄN</t>
        </is>
      </c>
      <c r="E676" t="inlineStr">
        <is>
          <t>SALA</t>
        </is>
      </c>
      <c r="G676" t="n">
        <v>2.3</v>
      </c>
      <c r="H676" t="n">
        <v>0</v>
      </c>
      <c r="I676" t="n">
        <v>0</v>
      </c>
      <c r="J676" t="n">
        <v>0</v>
      </c>
      <c r="K676" t="n">
        <v>0</v>
      </c>
      <c r="L676" t="n">
        <v>0</v>
      </c>
      <c r="M676" t="n">
        <v>0</v>
      </c>
      <c r="N676" t="n">
        <v>0</v>
      </c>
      <c r="O676" t="n">
        <v>0</v>
      </c>
      <c r="P676" t="n">
        <v>0</v>
      </c>
      <c r="Q676" t="n">
        <v>0</v>
      </c>
      <c r="R676" s="2" t="inlineStr"/>
    </row>
    <row r="677" ht="15" customHeight="1">
      <c r="A677" t="inlineStr">
        <is>
          <t>A 12497-2026</t>
        </is>
      </c>
      <c r="B677" s="1" t="n">
        <v>46090.57240740741</v>
      </c>
      <c r="C677" s="1" t="n">
        <v>46128</v>
      </c>
      <c r="D677" t="inlineStr">
        <is>
          <t>VÄSTMANLANDS LÄN</t>
        </is>
      </c>
      <c r="E677" t="inlineStr">
        <is>
          <t>SALA</t>
        </is>
      </c>
      <c r="G677" t="n">
        <v>1.3</v>
      </c>
      <c r="H677" t="n">
        <v>0</v>
      </c>
      <c r="I677" t="n">
        <v>0</v>
      </c>
      <c r="J677" t="n">
        <v>0</v>
      </c>
      <c r="K677" t="n">
        <v>0</v>
      </c>
      <c r="L677" t="n">
        <v>0</v>
      </c>
      <c r="M677" t="n">
        <v>0</v>
      </c>
      <c r="N677" t="n">
        <v>0</v>
      </c>
      <c r="O677" t="n">
        <v>0</v>
      </c>
      <c r="P677" t="n">
        <v>0</v>
      </c>
      <c r="Q677" t="n">
        <v>0</v>
      </c>
      <c r="R677" s="2" t="inlineStr"/>
    </row>
    <row r="678" ht="15" customHeight="1">
      <c r="A678" t="inlineStr">
        <is>
          <t>A 4712-2026</t>
        </is>
      </c>
      <c r="B678" s="1" t="n">
        <v>46048.46082175926</v>
      </c>
      <c r="C678" s="1" t="n">
        <v>46128</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42447-2022</t>
        </is>
      </c>
      <c r="B679" s="1" t="n">
        <v>44831</v>
      </c>
      <c r="C679" s="1" t="n">
        <v>46128</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11183-2023</t>
        </is>
      </c>
      <c r="B680" s="1" t="n">
        <v>44992.57782407408</v>
      </c>
      <c r="C680" s="1" t="n">
        <v>46128</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11190-2023</t>
        </is>
      </c>
      <c r="B681" s="1" t="n">
        <v>44992</v>
      </c>
      <c r="C681" s="1" t="n">
        <v>46128</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26507-2023</t>
        </is>
      </c>
      <c r="B682" s="1" t="n">
        <v>45092</v>
      </c>
      <c r="C682" s="1" t="n">
        <v>46128</v>
      </c>
      <c r="D682" t="inlineStr">
        <is>
          <t>VÄSTMANLANDS LÄN</t>
        </is>
      </c>
      <c r="E682" t="inlineStr">
        <is>
          <t>SALA</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4624-2026</t>
        </is>
      </c>
      <c r="B683" s="1" t="n">
        <v>46048.38107638889</v>
      </c>
      <c r="C683" s="1" t="n">
        <v>46128</v>
      </c>
      <c r="D683" t="inlineStr">
        <is>
          <t>VÄSTMANLANDS LÄN</t>
        </is>
      </c>
      <c r="E683" t="inlineStr">
        <is>
          <t>SALA</t>
        </is>
      </c>
      <c r="G683" t="n">
        <v>12.3</v>
      </c>
      <c r="H683" t="n">
        <v>0</v>
      </c>
      <c r="I683" t="n">
        <v>0</v>
      </c>
      <c r="J683" t="n">
        <v>0</v>
      </c>
      <c r="K683" t="n">
        <v>0</v>
      </c>
      <c r="L683" t="n">
        <v>0</v>
      </c>
      <c r="M683" t="n">
        <v>0</v>
      </c>
      <c r="N683" t="n">
        <v>0</v>
      </c>
      <c r="O683" t="n">
        <v>0</v>
      </c>
      <c r="P683" t="n">
        <v>0</v>
      </c>
      <c r="Q683" t="n">
        <v>0</v>
      </c>
      <c r="R683" s="2" t="inlineStr"/>
    </row>
    <row r="684" ht="15" customHeight="1">
      <c r="A684" t="inlineStr">
        <is>
          <t>A 31950-2023</t>
        </is>
      </c>
      <c r="B684" s="1" t="n">
        <v>45107</v>
      </c>
      <c r="C684" s="1" t="n">
        <v>46128</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6032-2025</t>
        </is>
      </c>
      <c r="B685" s="1" t="n">
        <v>45695.6371875</v>
      </c>
      <c r="C685" s="1" t="n">
        <v>46128</v>
      </c>
      <c r="D685" t="inlineStr">
        <is>
          <t>VÄSTMANLANDS LÄN</t>
        </is>
      </c>
      <c r="E685" t="inlineStr">
        <is>
          <t>SALA</t>
        </is>
      </c>
      <c r="F685" t="inlineStr">
        <is>
          <t>Bergvik skog öst AB</t>
        </is>
      </c>
      <c r="G685" t="n">
        <v>8.1</v>
      </c>
      <c r="H685" t="n">
        <v>0</v>
      </c>
      <c r="I685" t="n">
        <v>0</v>
      </c>
      <c r="J685" t="n">
        <v>0</v>
      </c>
      <c r="K685" t="n">
        <v>0</v>
      </c>
      <c r="L685" t="n">
        <v>0</v>
      </c>
      <c r="M685" t="n">
        <v>0</v>
      </c>
      <c r="N685" t="n">
        <v>0</v>
      </c>
      <c r="O685" t="n">
        <v>0</v>
      </c>
      <c r="P685" t="n">
        <v>0</v>
      </c>
      <c r="Q685" t="n">
        <v>0</v>
      </c>
      <c r="R685" s="2" t="inlineStr"/>
    </row>
    <row r="686" ht="15" customHeight="1">
      <c r="A686" t="inlineStr">
        <is>
          <t>A 4214-2026</t>
        </is>
      </c>
      <c r="B686" s="1" t="n">
        <v>46044.76459490741</v>
      </c>
      <c r="C686" s="1" t="n">
        <v>46128</v>
      </c>
      <c r="D686" t="inlineStr">
        <is>
          <t>VÄSTMANLANDS LÄN</t>
        </is>
      </c>
      <c r="E686" t="inlineStr">
        <is>
          <t>SALA</t>
        </is>
      </c>
      <c r="G686" t="n">
        <v>1.7</v>
      </c>
      <c r="H686" t="n">
        <v>0</v>
      </c>
      <c r="I686" t="n">
        <v>0</v>
      </c>
      <c r="J686" t="n">
        <v>0</v>
      </c>
      <c r="K686" t="n">
        <v>0</v>
      </c>
      <c r="L686" t="n">
        <v>0</v>
      </c>
      <c r="M686" t="n">
        <v>0</v>
      </c>
      <c r="N686" t="n">
        <v>0</v>
      </c>
      <c r="O686" t="n">
        <v>0</v>
      </c>
      <c r="P686" t="n">
        <v>0</v>
      </c>
      <c r="Q686" t="n">
        <v>0</v>
      </c>
      <c r="R686" s="2" t="inlineStr"/>
    </row>
    <row r="687" ht="15" customHeight="1">
      <c r="A687" t="inlineStr">
        <is>
          <t>A 4683-2026</t>
        </is>
      </c>
      <c r="B687" s="1" t="n">
        <v>46048.43489583334</v>
      </c>
      <c r="C687" s="1" t="n">
        <v>46128</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48710-2024</t>
        </is>
      </c>
      <c r="B688" s="1" t="n">
        <v>45593.53636574074</v>
      </c>
      <c r="C688" s="1" t="n">
        <v>46128</v>
      </c>
      <c r="D688" t="inlineStr">
        <is>
          <t>VÄSTMANLANDS LÄN</t>
        </is>
      </c>
      <c r="E688" t="inlineStr">
        <is>
          <t>SALA</t>
        </is>
      </c>
      <c r="G688" t="n">
        <v>6.5</v>
      </c>
      <c r="H688" t="n">
        <v>0</v>
      </c>
      <c r="I688" t="n">
        <v>0</v>
      </c>
      <c r="J688" t="n">
        <v>0</v>
      </c>
      <c r="K688" t="n">
        <v>0</v>
      </c>
      <c r="L688" t="n">
        <v>0</v>
      </c>
      <c r="M688" t="n">
        <v>0</v>
      </c>
      <c r="N688" t="n">
        <v>0</v>
      </c>
      <c r="O688" t="n">
        <v>0</v>
      </c>
      <c r="P688" t="n">
        <v>0</v>
      </c>
      <c r="Q688" t="n">
        <v>0</v>
      </c>
      <c r="R688" s="2" t="inlineStr"/>
    </row>
    <row r="689" ht="15" customHeight="1">
      <c r="A689" t="inlineStr">
        <is>
          <t>A 34814-2021</t>
        </is>
      </c>
      <c r="B689" s="1" t="n">
        <v>44383</v>
      </c>
      <c r="C689" s="1" t="n">
        <v>46128</v>
      </c>
      <c r="D689" t="inlineStr">
        <is>
          <t>VÄSTMANLANDS LÄN</t>
        </is>
      </c>
      <c r="E689" t="inlineStr">
        <is>
          <t>SALA</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23406-2024</t>
        </is>
      </c>
      <c r="B690" s="1" t="n">
        <v>45453.58296296297</v>
      </c>
      <c r="C690" s="1" t="n">
        <v>46128</v>
      </c>
      <c r="D690" t="inlineStr">
        <is>
          <t>VÄSTMANLANDS LÄN</t>
        </is>
      </c>
      <c r="E690" t="inlineStr">
        <is>
          <t>SALA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12246-2023</t>
        </is>
      </c>
      <c r="B691" s="1" t="n">
        <v>44995</v>
      </c>
      <c r="C691" s="1" t="n">
        <v>46128</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48571-2024</t>
        </is>
      </c>
      <c r="B692" s="1" t="n">
        <v>45591</v>
      </c>
      <c r="C692" s="1" t="n">
        <v>46128</v>
      </c>
      <c r="D692" t="inlineStr">
        <is>
          <t>VÄSTMANLANDS LÄN</t>
        </is>
      </c>
      <c r="E692" t="inlineStr">
        <is>
          <t>SALA</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54118-2023</t>
        </is>
      </c>
      <c r="B693" s="1" t="n">
        <v>45232</v>
      </c>
      <c r="C693" s="1" t="n">
        <v>46128</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35462-2024</t>
        </is>
      </c>
      <c r="B694" s="1" t="n">
        <v>45531</v>
      </c>
      <c r="C694" s="1" t="n">
        <v>46128</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43362-2023</t>
        </is>
      </c>
      <c r="B695" s="1" t="n">
        <v>45183</v>
      </c>
      <c r="C695" s="1" t="n">
        <v>46128</v>
      </c>
      <c r="D695" t="inlineStr">
        <is>
          <t>VÄSTMANLANDS LÄN</t>
        </is>
      </c>
      <c r="E695" t="inlineStr">
        <is>
          <t>SALA</t>
        </is>
      </c>
      <c r="G695" t="n">
        <v>2</v>
      </c>
      <c r="H695" t="n">
        <v>0</v>
      </c>
      <c r="I695" t="n">
        <v>0</v>
      </c>
      <c r="J695" t="n">
        <v>0</v>
      </c>
      <c r="K695" t="n">
        <v>0</v>
      </c>
      <c r="L695" t="n">
        <v>0</v>
      </c>
      <c r="M695" t="n">
        <v>0</v>
      </c>
      <c r="N695" t="n">
        <v>0</v>
      </c>
      <c r="O695" t="n">
        <v>0</v>
      </c>
      <c r="P695" t="n">
        <v>0</v>
      </c>
      <c r="Q695" t="n">
        <v>0</v>
      </c>
      <c r="R695" s="2" t="inlineStr"/>
    </row>
    <row r="696" ht="15" customHeight="1">
      <c r="A696" t="inlineStr">
        <is>
          <t>A 5418-2026</t>
        </is>
      </c>
      <c r="B696" s="1" t="n">
        <v>46050.53740740741</v>
      </c>
      <c r="C696" s="1" t="n">
        <v>46128</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5525-2026</t>
        </is>
      </c>
      <c r="B697" s="1" t="n">
        <v>46050.65055555556</v>
      </c>
      <c r="C697" s="1" t="n">
        <v>46128</v>
      </c>
      <c r="D697" t="inlineStr">
        <is>
          <t>VÄSTMANLANDS LÄN</t>
        </is>
      </c>
      <c r="E697" t="inlineStr">
        <is>
          <t>SALA</t>
        </is>
      </c>
      <c r="G697" t="n">
        <v>13.1</v>
      </c>
      <c r="H697" t="n">
        <v>0</v>
      </c>
      <c r="I697" t="n">
        <v>0</v>
      </c>
      <c r="J697" t="n">
        <v>0</v>
      </c>
      <c r="K697" t="n">
        <v>0</v>
      </c>
      <c r="L697" t="n">
        <v>0</v>
      </c>
      <c r="M697" t="n">
        <v>0</v>
      </c>
      <c r="N697" t="n">
        <v>0</v>
      </c>
      <c r="O697" t="n">
        <v>0</v>
      </c>
      <c r="P697" t="n">
        <v>0</v>
      </c>
      <c r="Q697" t="n">
        <v>0</v>
      </c>
      <c r="R697" s="2" t="inlineStr"/>
    </row>
    <row r="698" ht="15" customHeight="1">
      <c r="A698" t="inlineStr">
        <is>
          <t>A 16767-2024</t>
        </is>
      </c>
      <c r="B698" s="1" t="n">
        <v>45411.38171296296</v>
      </c>
      <c r="C698" s="1" t="n">
        <v>46128</v>
      </c>
      <c r="D698" t="inlineStr">
        <is>
          <t>VÄSTMANLANDS LÄN</t>
        </is>
      </c>
      <c r="E698" t="inlineStr">
        <is>
          <t>SALA</t>
        </is>
      </c>
      <c r="G698" t="n">
        <v>2.5</v>
      </c>
      <c r="H698" t="n">
        <v>0</v>
      </c>
      <c r="I698" t="n">
        <v>0</v>
      </c>
      <c r="J698" t="n">
        <v>0</v>
      </c>
      <c r="K698" t="n">
        <v>0</v>
      </c>
      <c r="L698" t="n">
        <v>0</v>
      </c>
      <c r="M698" t="n">
        <v>0</v>
      </c>
      <c r="N698" t="n">
        <v>0</v>
      </c>
      <c r="O698" t="n">
        <v>0</v>
      </c>
      <c r="P698" t="n">
        <v>0</v>
      </c>
      <c r="Q698" t="n">
        <v>0</v>
      </c>
      <c r="R698" s="2" t="inlineStr"/>
    </row>
    <row r="699" ht="15" customHeight="1">
      <c r="A699" t="inlineStr">
        <is>
          <t>A 5219-2026</t>
        </is>
      </c>
      <c r="B699" s="1" t="n">
        <v>46049.76225694444</v>
      </c>
      <c r="C699" s="1" t="n">
        <v>46128</v>
      </c>
      <c r="D699" t="inlineStr">
        <is>
          <t>VÄSTMANLANDS LÄN</t>
        </is>
      </c>
      <c r="E699" t="inlineStr">
        <is>
          <t>SALA</t>
        </is>
      </c>
      <c r="G699" t="n">
        <v>1.9</v>
      </c>
      <c r="H699" t="n">
        <v>0</v>
      </c>
      <c r="I699" t="n">
        <v>0</v>
      </c>
      <c r="J699" t="n">
        <v>0</v>
      </c>
      <c r="K699" t="n">
        <v>0</v>
      </c>
      <c r="L699" t="n">
        <v>0</v>
      </c>
      <c r="M699" t="n">
        <v>0</v>
      </c>
      <c r="N699" t="n">
        <v>0</v>
      </c>
      <c r="O699" t="n">
        <v>0</v>
      </c>
      <c r="P699" t="n">
        <v>0</v>
      </c>
      <c r="Q699" t="n">
        <v>0</v>
      </c>
      <c r="R699" s="2" t="inlineStr"/>
    </row>
    <row r="700" ht="15" customHeight="1">
      <c r="A700" t="inlineStr">
        <is>
          <t>A 31470-2021</t>
        </is>
      </c>
      <c r="B700" s="1" t="n">
        <v>44369</v>
      </c>
      <c r="C700" s="1" t="n">
        <v>46128</v>
      </c>
      <c r="D700" t="inlineStr">
        <is>
          <t>VÄSTMANLANDS LÄN</t>
        </is>
      </c>
      <c r="E700" t="inlineStr">
        <is>
          <t>SALA</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36393-2023</t>
        </is>
      </c>
      <c r="B701" s="1" t="n">
        <v>45152</v>
      </c>
      <c r="C701" s="1" t="n">
        <v>46128</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18461-2024</t>
        </is>
      </c>
      <c r="B702" s="1" t="n">
        <v>45425.47435185185</v>
      </c>
      <c r="C702" s="1" t="n">
        <v>46128</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45790-2023</t>
        </is>
      </c>
      <c r="B703" s="1" t="n">
        <v>45195.45958333334</v>
      </c>
      <c r="C703" s="1" t="n">
        <v>46128</v>
      </c>
      <c r="D703" t="inlineStr">
        <is>
          <t>VÄSTMANLANDS LÄN</t>
        </is>
      </c>
      <c r="E703" t="inlineStr">
        <is>
          <t>SALA</t>
        </is>
      </c>
      <c r="G703" t="n">
        <v>5.7</v>
      </c>
      <c r="H703" t="n">
        <v>0</v>
      </c>
      <c r="I703" t="n">
        <v>0</v>
      </c>
      <c r="J703" t="n">
        <v>0</v>
      </c>
      <c r="K703" t="n">
        <v>0</v>
      </c>
      <c r="L703" t="n">
        <v>0</v>
      </c>
      <c r="M703" t="n">
        <v>0</v>
      </c>
      <c r="N703" t="n">
        <v>0</v>
      </c>
      <c r="O703" t="n">
        <v>0</v>
      </c>
      <c r="P703" t="n">
        <v>0</v>
      </c>
      <c r="Q703" t="n">
        <v>0</v>
      </c>
      <c r="R703" s="2" t="inlineStr"/>
    </row>
    <row r="704" ht="15" customHeight="1">
      <c r="A704" t="inlineStr">
        <is>
          <t>A 29230-2022</t>
        </is>
      </c>
      <c r="B704" s="1" t="n">
        <v>44750</v>
      </c>
      <c r="C704" s="1" t="n">
        <v>46128</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9335-2022</t>
        </is>
      </c>
      <c r="B705" s="1" t="n">
        <v>44616.56579861111</v>
      </c>
      <c r="C705" s="1" t="n">
        <v>46128</v>
      </c>
      <c r="D705" t="inlineStr">
        <is>
          <t>VÄSTMANLANDS LÄN</t>
        </is>
      </c>
      <c r="E705" t="inlineStr">
        <is>
          <t>SALA</t>
        </is>
      </c>
      <c r="G705" t="n">
        <v>1.5</v>
      </c>
      <c r="H705" t="n">
        <v>0</v>
      </c>
      <c r="I705" t="n">
        <v>0</v>
      </c>
      <c r="J705" t="n">
        <v>0</v>
      </c>
      <c r="K705" t="n">
        <v>0</v>
      </c>
      <c r="L705" t="n">
        <v>0</v>
      </c>
      <c r="M705" t="n">
        <v>0</v>
      </c>
      <c r="N705" t="n">
        <v>0</v>
      </c>
      <c r="O705" t="n">
        <v>0</v>
      </c>
      <c r="P705" t="n">
        <v>0</v>
      </c>
      <c r="Q705" t="n">
        <v>0</v>
      </c>
      <c r="R705" s="2" t="inlineStr"/>
    </row>
    <row r="706" ht="15" customHeight="1">
      <c r="A706" t="inlineStr">
        <is>
          <t>A 13033-2026</t>
        </is>
      </c>
      <c r="B706" s="1" t="n">
        <v>46092.91247685185</v>
      </c>
      <c r="C706" s="1" t="n">
        <v>46128</v>
      </c>
      <c r="D706" t="inlineStr">
        <is>
          <t>VÄSTMANLANDS LÄN</t>
        </is>
      </c>
      <c r="E706" t="inlineStr">
        <is>
          <t>SALA</t>
        </is>
      </c>
      <c r="G706" t="n">
        <v>11.7</v>
      </c>
      <c r="H706" t="n">
        <v>0</v>
      </c>
      <c r="I706" t="n">
        <v>0</v>
      </c>
      <c r="J706" t="n">
        <v>0</v>
      </c>
      <c r="K706" t="n">
        <v>0</v>
      </c>
      <c r="L706" t="n">
        <v>0</v>
      </c>
      <c r="M706" t="n">
        <v>0</v>
      </c>
      <c r="N706" t="n">
        <v>0</v>
      </c>
      <c r="O706" t="n">
        <v>0</v>
      </c>
      <c r="P706" t="n">
        <v>0</v>
      </c>
      <c r="Q706" t="n">
        <v>0</v>
      </c>
      <c r="R706" s="2" t="inlineStr"/>
    </row>
    <row r="707" ht="15" customHeight="1">
      <c r="A707" t="inlineStr">
        <is>
          <t>A 5894-2026</t>
        </is>
      </c>
      <c r="B707" s="1" t="n">
        <v>46052.42412037037</v>
      </c>
      <c r="C707" s="1" t="n">
        <v>46128</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47479-2024</t>
        </is>
      </c>
      <c r="B708" s="1" t="n">
        <v>45587</v>
      </c>
      <c r="C708" s="1" t="n">
        <v>46128</v>
      </c>
      <c r="D708" t="inlineStr">
        <is>
          <t>VÄSTMANLANDS LÄN</t>
        </is>
      </c>
      <c r="E708" t="inlineStr">
        <is>
          <t>SALA</t>
        </is>
      </c>
      <c r="F708" t="inlineStr">
        <is>
          <t>Kommuner</t>
        </is>
      </c>
      <c r="G708" t="n">
        <v>0.8</v>
      </c>
      <c r="H708" t="n">
        <v>0</v>
      </c>
      <c r="I708" t="n">
        <v>0</v>
      </c>
      <c r="J708" t="n">
        <v>0</v>
      </c>
      <c r="K708" t="n">
        <v>0</v>
      </c>
      <c r="L708" t="n">
        <v>0</v>
      </c>
      <c r="M708" t="n">
        <v>0</v>
      </c>
      <c r="N708" t="n">
        <v>0</v>
      </c>
      <c r="O708" t="n">
        <v>0</v>
      </c>
      <c r="P708" t="n">
        <v>0</v>
      </c>
      <c r="Q708" t="n">
        <v>0</v>
      </c>
      <c r="R708" s="2" t="inlineStr"/>
    </row>
    <row r="709" ht="15" customHeight="1">
      <c r="A709" t="inlineStr">
        <is>
          <t>A 13032-2026</t>
        </is>
      </c>
      <c r="B709" s="1" t="n">
        <v>46092.90436342593</v>
      </c>
      <c r="C709" s="1" t="n">
        <v>46128</v>
      </c>
      <c r="D709" t="inlineStr">
        <is>
          <t>VÄSTMANLANDS LÄN</t>
        </is>
      </c>
      <c r="E709" t="inlineStr">
        <is>
          <t>SALA</t>
        </is>
      </c>
      <c r="G709" t="n">
        <v>3.4</v>
      </c>
      <c r="H709" t="n">
        <v>0</v>
      </c>
      <c r="I709" t="n">
        <v>0</v>
      </c>
      <c r="J709" t="n">
        <v>0</v>
      </c>
      <c r="K709" t="n">
        <v>0</v>
      </c>
      <c r="L709" t="n">
        <v>0</v>
      </c>
      <c r="M709" t="n">
        <v>0</v>
      </c>
      <c r="N709" t="n">
        <v>0</v>
      </c>
      <c r="O709" t="n">
        <v>0</v>
      </c>
      <c r="P709" t="n">
        <v>0</v>
      </c>
      <c r="Q709" t="n">
        <v>0</v>
      </c>
      <c r="R709" s="2" t="inlineStr"/>
    </row>
    <row r="710" ht="15" customHeight="1">
      <c r="A710" t="inlineStr">
        <is>
          <t>A 19065-2022</t>
        </is>
      </c>
      <c r="B710" s="1" t="n">
        <v>44691.44309027777</v>
      </c>
      <c r="C710" s="1" t="n">
        <v>46128</v>
      </c>
      <c r="D710" t="inlineStr">
        <is>
          <t>VÄSTMANLANDS LÄN</t>
        </is>
      </c>
      <c r="E710" t="inlineStr">
        <is>
          <t>SALA</t>
        </is>
      </c>
      <c r="G710" t="n">
        <v>3.4</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46128</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46128</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14000-2026</t>
        </is>
      </c>
      <c r="B713" s="1" t="n">
        <v>46098.64246527778</v>
      </c>
      <c r="C713" s="1" t="n">
        <v>46128</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10585-2022</t>
        </is>
      </c>
      <c r="B714" s="1" t="n">
        <v>44624</v>
      </c>
      <c r="C714" s="1" t="n">
        <v>46128</v>
      </c>
      <c r="D714" t="inlineStr">
        <is>
          <t>VÄSTMANLANDS LÄN</t>
        </is>
      </c>
      <c r="E714" t="inlineStr">
        <is>
          <t>SALA</t>
        </is>
      </c>
      <c r="G714" t="n">
        <v>2</v>
      </c>
      <c r="H714" t="n">
        <v>0</v>
      </c>
      <c r="I714" t="n">
        <v>0</v>
      </c>
      <c r="J714" t="n">
        <v>0</v>
      </c>
      <c r="K714" t="n">
        <v>0</v>
      </c>
      <c r="L714" t="n">
        <v>0</v>
      </c>
      <c r="M714" t="n">
        <v>0</v>
      </c>
      <c r="N714" t="n">
        <v>0</v>
      </c>
      <c r="O714" t="n">
        <v>0</v>
      </c>
      <c r="P714" t="n">
        <v>0</v>
      </c>
      <c r="Q714" t="n">
        <v>0</v>
      </c>
      <c r="R714" s="2" t="inlineStr"/>
    </row>
    <row r="715" ht="15" customHeight="1">
      <c r="A715" t="inlineStr">
        <is>
          <t>A 69236-2021</t>
        </is>
      </c>
      <c r="B715" s="1" t="n">
        <v>44531.4047337963</v>
      </c>
      <c r="C715" s="1" t="n">
        <v>46128</v>
      </c>
      <c r="D715" t="inlineStr">
        <is>
          <t>VÄSTMANLANDS LÄN</t>
        </is>
      </c>
      <c r="E715" t="inlineStr">
        <is>
          <t>SALA</t>
        </is>
      </c>
      <c r="G715" t="n">
        <v>2.8</v>
      </c>
      <c r="H715" t="n">
        <v>0</v>
      </c>
      <c r="I715" t="n">
        <v>0</v>
      </c>
      <c r="J715" t="n">
        <v>0</v>
      </c>
      <c r="K715" t="n">
        <v>0</v>
      </c>
      <c r="L715" t="n">
        <v>0</v>
      </c>
      <c r="M715" t="n">
        <v>0</v>
      </c>
      <c r="N715" t="n">
        <v>0</v>
      </c>
      <c r="O715" t="n">
        <v>0</v>
      </c>
      <c r="P715" t="n">
        <v>0</v>
      </c>
      <c r="Q715" t="n">
        <v>0</v>
      </c>
      <c r="R715" s="2" t="inlineStr"/>
    </row>
    <row r="716" ht="15" customHeight="1">
      <c r="A716" t="inlineStr">
        <is>
          <t>A 13996-2026</t>
        </is>
      </c>
      <c r="B716" s="1" t="n">
        <v>46098.63159722222</v>
      </c>
      <c r="C716" s="1" t="n">
        <v>46128</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48117-2024</t>
        </is>
      </c>
      <c r="B717" s="1" t="n">
        <v>45589</v>
      </c>
      <c r="C717" s="1" t="n">
        <v>46128</v>
      </c>
      <c r="D717" t="inlineStr">
        <is>
          <t>VÄSTMANLANDS LÄN</t>
        </is>
      </c>
      <c r="E717" t="inlineStr">
        <is>
          <t>SALA</t>
        </is>
      </c>
      <c r="G717" t="n">
        <v>0.5</v>
      </c>
      <c r="H717" t="n">
        <v>0</v>
      </c>
      <c r="I717" t="n">
        <v>0</v>
      </c>
      <c r="J717" t="n">
        <v>0</v>
      </c>
      <c r="K717" t="n">
        <v>0</v>
      </c>
      <c r="L717" t="n">
        <v>0</v>
      </c>
      <c r="M717" t="n">
        <v>0</v>
      </c>
      <c r="N717" t="n">
        <v>0</v>
      </c>
      <c r="O717" t="n">
        <v>0</v>
      </c>
      <c r="P717" t="n">
        <v>0</v>
      </c>
      <c r="Q717" t="n">
        <v>0</v>
      </c>
      <c r="R717" s="2" t="inlineStr"/>
    </row>
    <row r="718" ht="15" customHeight="1">
      <c r="A718" t="inlineStr">
        <is>
          <t>A 6021-2026</t>
        </is>
      </c>
      <c r="B718" s="1" t="n">
        <v>46050</v>
      </c>
      <c r="C718" s="1" t="n">
        <v>46128</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12225-2023</t>
        </is>
      </c>
      <c r="B719" s="1" t="n">
        <v>44995</v>
      </c>
      <c r="C719" s="1" t="n">
        <v>46128</v>
      </c>
      <c r="D719" t="inlineStr">
        <is>
          <t>VÄSTMANLANDS LÄN</t>
        </is>
      </c>
      <c r="E719" t="inlineStr">
        <is>
          <t>SALA</t>
        </is>
      </c>
      <c r="G719" t="n">
        <v>0.9</v>
      </c>
      <c r="H719" t="n">
        <v>0</v>
      </c>
      <c r="I719" t="n">
        <v>0</v>
      </c>
      <c r="J719" t="n">
        <v>0</v>
      </c>
      <c r="K719" t="n">
        <v>0</v>
      </c>
      <c r="L719" t="n">
        <v>0</v>
      </c>
      <c r="M719" t="n">
        <v>0</v>
      </c>
      <c r="N719" t="n">
        <v>0</v>
      </c>
      <c r="O719" t="n">
        <v>0</v>
      </c>
      <c r="P719" t="n">
        <v>0</v>
      </c>
      <c r="Q719" t="n">
        <v>0</v>
      </c>
      <c r="R719" s="2" t="inlineStr"/>
    </row>
    <row r="720" ht="15" customHeight="1">
      <c r="A720" t="inlineStr">
        <is>
          <t>A 12252-2023</t>
        </is>
      </c>
      <c r="B720" s="1" t="n">
        <v>44995</v>
      </c>
      <c r="C720" s="1" t="n">
        <v>46128</v>
      </c>
      <c r="D720" t="inlineStr">
        <is>
          <t>VÄSTMANLANDS LÄN</t>
        </is>
      </c>
      <c r="E720" t="inlineStr">
        <is>
          <t>SALA</t>
        </is>
      </c>
      <c r="G720" t="n">
        <v>2.6</v>
      </c>
      <c r="H720" t="n">
        <v>0</v>
      </c>
      <c r="I720" t="n">
        <v>0</v>
      </c>
      <c r="J720" t="n">
        <v>0</v>
      </c>
      <c r="K720" t="n">
        <v>0</v>
      </c>
      <c r="L720" t="n">
        <v>0</v>
      </c>
      <c r="M720" t="n">
        <v>0</v>
      </c>
      <c r="N720" t="n">
        <v>0</v>
      </c>
      <c r="O720" t="n">
        <v>0</v>
      </c>
      <c r="P720" t="n">
        <v>0</v>
      </c>
      <c r="Q720" t="n">
        <v>0</v>
      </c>
      <c r="R720" s="2" t="inlineStr"/>
    </row>
    <row r="721" ht="15" customHeight="1">
      <c r="A721" t="inlineStr">
        <is>
          <t>A 6116-2023</t>
        </is>
      </c>
      <c r="B721" s="1" t="n">
        <v>44964</v>
      </c>
      <c r="C721" s="1" t="n">
        <v>46128</v>
      </c>
      <c r="D721" t="inlineStr">
        <is>
          <t>VÄSTMANLANDS LÄN</t>
        </is>
      </c>
      <c r="E721" t="inlineStr">
        <is>
          <t>SALA</t>
        </is>
      </c>
      <c r="G721" t="n">
        <v>1.9</v>
      </c>
      <c r="H721" t="n">
        <v>0</v>
      </c>
      <c r="I721" t="n">
        <v>0</v>
      </c>
      <c r="J721" t="n">
        <v>0</v>
      </c>
      <c r="K721" t="n">
        <v>0</v>
      </c>
      <c r="L721" t="n">
        <v>0</v>
      </c>
      <c r="M721" t="n">
        <v>0</v>
      </c>
      <c r="N721" t="n">
        <v>0</v>
      </c>
      <c r="O721" t="n">
        <v>0</v>
      </c>
      <c r="P721" t="n">
        <v>0</v>
      </c>
      <c r="Q721" t="n">
        <v>0</v>
      </c>
      <c r="R721" s="2" t="inlineStr"/>
    </row>
    <row r="722" ht="15" customHeight="1">
      <c r="A722" t="inlineStr">
        <is>
          <t>A 18100-2023</t>
        </is>
      </c>
      <c r="B722" s="1" t="n">
        <v>45040</v>
      </c>
      <c r="C722" s="1" t="n">
        <v>46128</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7327-2026</t>
        </is>
      </c>
      <c r="B723" s="1" t="n">
        <v>46058.68371527778</v>
      </c>
      <c r="C723" s="1" t="n">
        <v>46128</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7332-2026</t>
        </is>
      </c>
      <c r="B724" s="1" t="n">
        <v>46058.68884259259</v>
      </c>
      <c r="C724" s="1" t="n">
        <v>46128</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14490-2026</t>
        </is>
      </c>
      <c r="B725" s="1" t="n">
        <v>46100.59277777778</v>
      </c>
      <c r="C725" s="1" t="n">
        <v>46128</v>
      </c>
      <c r="D725" t="inlineStr">
        <is>
          <t>VÄSTMANLANDS LÄN</t>
        </is>
      </c>
      <c r="E725" t="inlineStr">
        <is>
          <t>SALA</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13471-2025</t>
        </is>
      </c>
      <c r="B726" s="1" t="n">
        <v>45736.40579861111</v>
      </c>
      <c r="C726" s="1" t="n">
        <v>46128</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26854-2024</t>
        </is>
      </c>
      <c r="B727" s="1" t="n">
        <v>45470</v>
      </c>
      <c r="C727" s="1" t="n">
        <v>46128</v>
      </c>
      <c r="D727" t="inlineStr">
        <is>
          <t>VÄSTMANLANDS LÄN</t>
        </is>
      </c>
      <c r="E727" t="inlineStr">
        <is>
          <t>SALA</t>
        </is>
      </c>
      <c r="G727" t="n">
        <v>1.4</v>
      </c>
      <c r="H727" t="n">
        <v>0</v>
      </c>
      <c r="I727" t="n">
        <v>0</v>
      </c>
      <c r="J727" t="n">
        <v>0</v>
      </c>
      <c r="K727" t="n">
        <v>0</v>
      </c>
      <c r="L727" t="n">
        <v>0</v>
      </c>
      <c r="M727" t="n">
        <v>0</v>
      </c>
      <c r="N727" t="n">
        <v>0</v>
      </c>
      <c r="O727" t="n">
        <v>0</v>
      </c>
      <c r="P727" t="n">
        <v>0</v>
      </c>
      <c r="Q727" t="n">
        <v>0</v>
      </c>
      <c r="R727" s="2" t="inlineStr"/>
    </row>
    <row r="728" ht="15" customHeight="1">
      <c r="A728" t="inlineStr">
        <is>
          <t>A 37602-2024</t>
        </is>
      </c>
      <c r="B728" s="1" t="n">
        <v>45541</v>
      </c>
      <c r="C728" s="1" t="n">
        <v>46128</v>
      </c>
      <c r="D728" t="inlineStr">
        <is>
          <t>VÄSTMANLANDS LÄN</t>
        </is>
      </c>
      <c r="E728" t="inlineStr">
        <is>
          <t>SALA</t>
        </is>
      </c>
      <c r="G728" t="n">
        <v>1.5</v>
      </c>
      <c r="H728" t="n">
        <v>0</v>
      </c>
      <c r="I728" t="n">
        <v>0</v>
      </c>
      <c r="J728" t="n">
        <v>0</v>
      </c>
      <c r="K728" t="n">
        <v>0</v>
      </c>
      <c r="L728" t="n">
        <v>0</v>
      </c>
      <c r="M728" t="n">
        <v>0</v>
      </c>
      <c r="N728" t="n">
        <v>0</v>
      </c>
      <c r="O728" t="n">
        <v>0</v>
      </c>
      <c r="P728" t="n">
        <v>0</v>
      </c>
      <c r="Q728" t="n">
        <v>0</v>
      </c>
      <c r="R728" s="2" t="inlineStr"/>
    </row>
    <row r="729" ht="15" customHeight="1">
      <c r="A729" t="inlineStr">
        <is>
          <t>A 7324-2026</t>
        </is>
      </c>
      <c r="B729" s="1" t="n">
        <v>46058.68023148148</v>
      </c>
      <c r="C729" s="1" t="n">
        <v>46128</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1985-2022</t>
        </is>
      </c>
      <c r="B730" s="1" t="n">
        <v>44575</v>
      </c>
      <c r="C730" s="1" t="n">
        <v>46128</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21455-2023</t>
        </is>
      </c>
      <c r="B731" s="1" t="n">
        <v>45058</v>
      </c>
      <c r="C731" s="1" t="n">
        <v>46128</v>
      </c>
      <c r="D731" t="inlineStr">
        <is>
          <t>VÄSTMANLANDS LÄN</t>
        </is>
      </c>
      <c r="E731" t="inlineStr">
        <is>
          <t>SALA</t>
        </is>
      </c>
      <c r="G731" t="n">
        <v>6.4</v>
      </c>
      <c r="H731" t="n">
        <v>0</v>
      </c>
      <c r="I731" t="n">
        <v>0</v>
      </c>
      <c r="J731" t="n">
        <v>0</v>
      </c>
      <c r="K731" t="n">
        <v>0</v>
      </c>
      <c r="L731" t="n">
        <v>0</v>
      </c>
      <c r="M731" t="n">
        <v>0</v>
      </c>
      <c r="N731" t="n">
        <v>0</v>
      </c>
      <c r="O731" t="n">
        <v>0</v>
      </c>
      <c r="P731" t="n">
        <v>0</v>
      </c>
      <c r="Q731" t="n">
        <v>0</v>
      </c>
      <c r="R731" s="2" t="inlineStr"/>
    </row>
    <row r="732" ht="15" customHeight="1">
      <c r="A732" t="inlineStr">
        <is>
          <t>A 4797-2023</t>
        </is>
      </c>
      <c r="B732" s="1" t="n">
        <v>44957</v>
      </c>
      <c r="C732" s="1" t="n">
        <v>46128</v>
      </c>
      <c r="D732" t="inlineStr">
        <is>
          <t>VÄSTMANLANDS LÄN</t>
        </is>
      </c>
      <c r="E732" t="inlineStr">
        <is>
          <t>SALA</t>
        </is>
      </c>
      <c r="G732" t="n">
        <v>5.7</v>
      </c>
      <c r="H732" t="n">
        <v>0</v>
      </c>
      <c r="I732" t="n">
        <v>0</v>
      </c>
      <c r="J732" t="n">
        <v>0</v>
      </c>
      <c r="K732" t="n">
        <v>0</v>
      </c>
      <c r="L732" t="n">
        <v>0</v>
      </c>
      <c r="M732" t="n">
        <v>0</v>
      </c>
      <c r="N732" t="n">
        <v>0</v>
      </c>
      <c r="O732" t="n">
        <v>0</v>
      </c>
      <c r="P732" t="n">
        <v>0</v>
      </c>
      <c r="Q732" t="n">
        <v>0</v>
      </c>
      <c r="R732" s="2" t="inlineStr"/>
    </row>
    <row r="733" ht="15" customHeight="1">
      <c r="A733" t="inlineStr">
        <is>
          <t>A 4852-2023</t>
        </is>
      </c>
      <c r="B733" s="1" t="n">
        <v>44957.72496527778</v>
      </c>
      <c r="C733" s="1" t="n">
        <v>46128</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36858-2023</t>
        </is>
      </c>
      <c r="B734" s="1" t="n">
        <v>45154.55184027777</v>
      </c>
      <c r="C734" s="1" t="n">
        <v>46128</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14481-2026</t>
        </is>
      </c>
      <c r="B735" s="1" t="n">
        <v>46100.58707175926</v>
      </c>
      <c r="C735" s="1" t="n">
        <v>46128</v>
      </c>
      <c r="D735" t="inlineStr">
        <is>
          <t>VÄSTMANLANDS LÄN</t>
        </is>
      </c>
      <c r="E735" t="inlineStr">
        <is>
          <t>SALA</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14482-2026</t>
        </is>
      </c>
      <c r="B736" s="1" t="n">
        <v>46100.588125</v>
      </c>
      <c r="C736" s="1" t="n">
        <v>46128</v>
      </c>
      <c r="D736" t="inlineStr">
        <is>
          <t>VÄSTMANLANDS LÄN</t>
        </is>
      </c>
      <c r="E736" t="inlineStr">
        <is>
          <t>SALA</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14484-2026</t>
        </is>
      </c>
      <c r="B737" s="1" t="n">
        <v>46100.5887962963</v>
      </c>
      <c r="C737" s="1" t="n">
        <v>46128</v>
      </c>
      <c r="D737" t="inlineStr">
        <is>
          <t>VÄSTMANLANDS LÄN</t>
        </is>
      </c>
      <c r="E737" t="inlineStr">
        <is>
          <t>SALA</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58701-2021</t>
        </is>
      </c>
      <c r="B738" s="1" t="n">
        <v>44489.46454861111</v>
      </c>
      <c r="C738" s="1" t="n">
        <v>46128</v>
      </c>
      <c r="D738" t="inlineStr">
        <is>
          <t>VÄSTMANLANDS LÄN</t>
        </is>
      </c>
      <c r="E738" t="inlineStr">
        <is>
          <t>SALA</t>
        </is>
      </c>
      <c r="G738" t="n">
        <v>0.7</v>
      </c>
      <c r="H738" t="n">
        <v>0</v>
      </c>
      <c r="I738" t="n">
        <v>0</v>
      </c>
      <c r="J738" t="n">
        <v>0</v>
      </c>
      <c r="K738" t="n">
        <v>0</v>
      </c>
      <c r="L738" t="n">
        <v>0</v>
      </c>
      <c r="M738" t="n">
        <v>0</v>
      </c>
      <c r="N738" t="n">
        <v>0</v>
      </c>
      <c r="O738" t="n">
        <v>0</v>
      </c>
      <c r="P738" t="n">
        <v>0</v>
      </c>
      <c r="Q738" t="n">
        <v>0</v>
      </c>
      <c r="R738" s="2" t="inlineStr"/>
    </row>
    <row r="739" ht="15" customHeight="1">
      <c r="A739" t="inlineStr">
        <is>
          <t>A 7329-2026</t>
        </is>
      </c>
      <c r="B739" s="1" t="n">
        <v>46058.68678240741</v>
      </c>
      <c r="C739" s="1" t="n">
        <v>46128</v>
      </c>
      <c r="D739" t="inlineStr">
        <is>
          <t>VÄSTMANLANDS LÄN</t>
        </is>
      </c>
      <c r="E739" t="inlineStr">
        <is>
          <t>SALA</t>
        </is>
      </c>
      <c r="G739" t="n">
        <v>3.1</v>
      </c>
      <c r="H739" t="n">
        <v>0</v>
      </c>
      <c r="I739" t="n">
        <v>0</v>
      </c>
      <c r="J739" t="n">
        <v>0</v>
      </c>
      <c r="K739" t="n">
        <v>0</v>
      </c>
      <c r="L739" t="n">
        <v>0</v>
      </c>
      <c r="M739" t="n">
        <v>0</v>
      </c>
      <c r="N739" t="n">
        <v>0</v>
      </c>
      <c r="O739" t="n">
        <v>0</v>
      </c>
      <c r="P739" t="n">
        <v>0</v>
      </c>
      <c r="Q739" t="n">
        <v>0</v>
      </c>
      <c r="R739" s="2" t="inlineStr"/>
    </row>
    <row r="740" ht="15" customHeight="1">
      <c r="A740" t="inlineStr">
        <is>
          <t>A 7850-2026</t>
        </is>
      </c>
      <c r="B740" s="1" t="n">
        <v>46062.66236111111</v>
      </c>
      <c r="C740" s="1" t="n">
        <v>46128</v>
      </c>
      <c r="D740" t="inlineStr">
        <is>
          <t>VÄSTMANLANDS LÄN</t>
        </is>
      </c>
      <c r="E740" t="inlineStr">
        <is>
          <t>SALA</t>
        </is>
      </c>
      <c r="G740" t="n">
        <v>2.3</v>
      </c>
      <c r="H740" t="n">
        <v>0</v>
      </c>
      <c r="I740" t="n">
        <v>0</v>
      </c>
      <c r="J740" t="n">
        <v>0</v>
      </c>
      <c r="K740" t="n">
        <v>0</v>
      </c>
      <c r="L740" t="n">
        <v>0</v>
      </c>
      <c r="M740" t="n">
        <v>0</v>
      </c>
      <c r="N740" t="n">
        <v>0</v>
      </c>
      <c r="O740" t="n">
        <v>0</v>
      </c>
      <c r="P740" t="n">
        <v>0</v>
      </c>
      <c r="Q740" t="n">
        <v>0</v>
      </c>
      <c r="R740" s="2" t="inlineStr"/>
    </row>
    <row r="741" ht="15" customHeight="1">
      <c r="A741" t="inlineStr">
        <is>
          <t>A 37337-2024</t>
        </is>
      </c>
      <c r="B741" s="1" t="n">
        <v>45540</v>
      </c>
      <c r="C741" s="1" t="n">
        <v>46128</v>
      </c>
      <c r="D741" t="inlineStr">
        <is>
          <t>VÄSTMANLANDS LÄN</t>
        </is>
      </c>
      <c r="E741" t="inlineStr">
        <is>
          <t>SALA</t>
        </is>
      </c>
      <c r="G741" t="n">
        <v>6.5</v>
      </c>
      <c r="H741" t="n">
        <v>0</v>
      </c>
      <c r="I741" t="n">
        <v>0</v>
      </c>
      <c r="J741" t="n">
        <v>0</v>
      </c>
      <c r="K741" t="n">
        <v>0</v>
      </c>
      <c r="L741" t="n">
        <v>0</v>
      </c>
      <c r="M741" t="n">
        <v>0</v>
      </c>
      <c r="N741" t="n">
        <v>0</v>
      </c>
      <c r="O741" t="n">
        <v>0</v>
      </c>
      <c r="P741" t="n">
        <v>0</v>
      </c>
      <c r="Q741" t="n">
        <v>0</v>
      </c>
      <c r="R741" s="2" t="inlineStr"/>
    </row>
    <row r="742" ht="15" customHeight="1">
      <c r="A742" t="inlineStr">
        <is>
          <t>A 7654-2026</t>
        </is>
      </c>
      <c r="B742" s="1" t="n">
        <v>46062.38828703704</v>
      </c>
      <c r="C742" s="1" t="n">
        <v>46128</v>
      </c>
      <c r="D742" t="inlineStr">
        <is>
          <t>VÄSTMANLANDS LÄN</t>
        </is>
      </c>
      <c r="E742" t="inlineStr">
        <is>
          <t>SALA</t>
        </is>
      </c>
      <c r="G742" t="n">
        <v>4.5</v>
      </c>
      <c r="H742" t="n">
        <v>0</v>
      </c>
      <c r="I742" t="n">
        <v>0</v>
      </c>
      <c r="J742" t="n">
        <v>0</v>
      </c>
      <c r="K742" t="n">
        <v>0</v>
      </c>
      <c r="L742" t="n">
        <v>0</v>
      </c>
      <c r="M742" t="n">
        <v>0</v>
      </c>
      <c r="N742" t="n">
        <v>0</v>
      </c>
      <c r="O742" t="n">
        <v>0</v>
      </c>
      <c r="P742" t="n">
        <v>0</v>
      </c>
      <c r="Q742" t="n">
        <v>0</v>
      </c>
      <c r="R742" s="2" t="inlineStr"/>
    </row>
    <row r="743" ht="15" customHeight="1">
      <c r="A743" t="inlineStr">
        <is>
          <t>A 7597-2026</t>
        </is>
      </c>
      <c r="B743" s="1" t="n">
        <v>46061.91765046296</v>
      </c>
      <c r="C743" s="1" t="n">
        <v>46128</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11617-2026</t>
        </is>
      </c>
      <c r="B744" s="1" t="n">
        <v>46084</v>
      </c>
      <c r="C744" s="1" t="n">
        <v>46128</v>
      </c>
      <c r="D744" t="inlineStr">
        <is>
          <t>VÄSTMANLANDS LÄN</t>
        </is>
      </c>
      <c r="E744" t="inlineStr">
        <is>
          <t>SALA</t>
        </is>
      </c>
      <c r="F744" t="inlineStr">
        <is>
          <t>Kyrkan</t>
        </is>
      </c>
      <c r="G744" t="n">
        <v>3.7</v>
      </c>
      <c r="H744" t="n">
        <v>0</v>
      </c>
      <c r="I744" t="n">
        <v>0</v>
      </c>
      <c r="J744" t="n">
        <v>0</v>
      </c>
      <c r="K744" t="n">
        <v>0</v>
      </c>
      <c r="L744" t="n">
        <v>0</v>
      </c>
      <c r="M744" t="n">
        <v>0</v>
      </c>
      <c r="N744" t="n">
        <v>0</v>
      </c>
      <c r="O744" t="n">
        <v>0</v>
      </c>
      <c r="P744" t="n">
        <v>0</v>
      </c>
      <c r="Q744" t="n">
        <v>0</v>
      </c>
      <c r="R744" s="2" t="inlineStr"/>
    </row>
    <row r="745" ht="15" customHeight="1">
      <c r="A745" t="inlineStr">
        <is>
          <t>A 7611-2026</t>
        </is>
      </c>
      <c r="B745" s="1" t="n">
        <v>46062.32387731481</v>
      </c>
      <c r="C745" s="1" t="n">
        <v>46128</v>
      </c>
      <c r="D745" t="inlineStr">
        <is>
          <t>VÄSTMANLANDS LÄN</t>
        </is>
      </c>
      <c r="E745" t="inlineStr">
        <is>
          <t>SALA</t>
        </is>
      </c>
      <c r="G745" t="n">
        <v>1.9</v>
      </c>
      <c r="H745" t="n">
        <v>0</v>
      </c>
      <c r="I745" t="n">
        <v>0</v>
      </c>
      <c r="J745" t="n">
        <v>0</v>
      </c>
      <c r="K745" t="n">
        <v>0</v>
      </c>
      <c r="L745" t="n">
        <v>0</v>
      </c>
      <c r="M745" t="n">
        <v>0</v>
      </c>
      <c r="N745" t="n">
        <v>0</v>
      </c>
      <c r="O745" t="n">
        <v>0</v>
      </c>
      <c r="P745" t="n">
        <v>0</v>
      </c>
      <c r="Q745" t="n">
        <v>0</v>
      </c>
      <c r="R745" s="2" t="inlineStr"/>
    </row>
    <row r="746" ht="15" customHeight="1">
      <c r="A746" t="inlineStr">
        <is>
          <t>A 7676-2026</t>
        </is>
      </c>
      <c r="B746" s="1" t="n">
        <v>46062.42498842593</v>
      </c>
      <c r="C746" s="1" t="n">
        <v>46128</v>
      </c>
      <c r="D746" t="inlineStr">
        <is>
          <t>VÄSTMANLANDS LÄN</t>
        </is>
      </c>
      <c r="E746" t="inlineStr">
        <is>
          <t>SALA</t>
        </is>
      </c>
      <c r="G746" t="n">
        <v>2.1</v>
      </c>
      <c r="H746" t="n">
        <v>0</v>
      </c>
      <c r="I746" t="n">
        <v>0</v>
      </c>
      <c r="J746" t="n">
        <v>0</v>
      </c>
      <c r="K746" t="n">
        <v>0</v>
      </c>
      <c r="L746" t="n">
        <v>0</v>
      </c>
      <c r="M746" t="n">
        <v>0</v>
      </c>
      <c r="N746" t="n">
        <v>0</v>
      </c>
      <c r="O746" t="n">
        <v>0</v>
      </c>
      <c r="P746" t="n">
        <v>0</v>
      </c>
      <c r="Q746" t="n">
        <v>0</v>
      </c>
      <c r="R746" s="2" t="inlineStr"/>
    </row>
    <row r="747" ht="15" customHeight="1">
      <c r="A747" t="inlineStr">
        <is>
          <t>A 7680-2026</t>
        </is>
      </c>
      <c r="B747" s="1" t="n">
        <v>46062.43087962963</v>
      </c>
      <c r="C747" s="1" t="n">
        <v>46128</v>
      </c>
      <c r="D747" t="inlineStr">
        <is>
          <t>VÄSTMANLANDS LÄN</t>
        </is>
      </c>
      <c r="E747" t="inlineStr">
        <is>
          <t>SALA</t>
        </is>
      </c>
      <c r="G747" t="n">
        <v>2.7</v>
      </c>
      <c r="H747" t="n">
        <v>0</v>
      </c>
      <c r="I747" t="n">
        <v>0</v>
      </c>
      <c r="J747" t="n">
        <v>0</v>
      </c>
      <c r="K747" t="n">
        <v>0</v>
      </c>
      <c r="L747" t="n">
        <v>0</v>
      </c>
      <c r="M747" t="n">
        <v>0</v>
      </c>
      <c r="N747" t="n">
        <v>0</v>
      </c>
      <c r="O747" t="n">
        <v>0</v>
      </c>
      <c r="P747" t="n">
        <v>0</v>
      </c>
      <c r="Q747" t="n">
        <v>0</v>
      </c>
      <c r="R747" s="2" t="inlineStr"/>
    </row>
    <row r="748" ht="15" customHeight="1">
      <c r="A748" t="inlineStr">
        <is>
          <t>A 7584-2026</t>
        </is>
      </c>
      <c r="B748" s="1" t="n">
        <v>46061.81653935185</v>
      </c>
      <c r="C748" s="1" t="n">
        <v>46128</v>
      </c>
      <c r="D748" t="inlineStr">
        <is>
          <t>VÄSTMANLANDS LÄN</t>
        </is>
      </c>
      <c r="E748" t="inlineStr">
        <is>
          <t>SALA</t>
        </is>
      </c>
      <c r="G748" t="n">
        <v>16.7</v>
      </c>
      <c r="H748" t="n">
        <v>0</v>
      </c>
      <c r="I748" t="n">
        <v>0</v>
      </c>
      <c r="J748" t="n">
        <v>0</v>
      </c>
      <c r="K748" t="n">
        <v>0</v>
      </c>
      <c r="L748" t="n">
        <v>0</v>
      </c>
      <c r="M748" t="n">
        <v>0</v>
      </c>
      <c r="N748" t="n">
        <v>0</v>
      </c>
      <c r="O748" t="n">
        <v>0</v>
      </c>
      <c r="P748" t="n">
        <v>0</v>
      </c>
      <c r="Q748" t="n">
        <v>0</v>
      </c>
      <c r="R748" s="2" t="inlineStr"/>
    </row>
    <row r="749" ht="15" customHeight="1">
      <c r="A749" t="inlineStr">
        <is>
          <t>A 7590-2026</t>
        </is>
      </c>
      <c r="B749" s="1" t="n">
        <v>46061.85252314815</v>
      </c>
      <c r="C749" s="1" t="n">
        <v>46128</v>
      </c>
      <c r="D749" t="inlineStr">
        <is>
          <t>VÄSTMANLANDS LÄN</t>
        </is>
      </c>
      <c r="E749" t="inlineStr">
        <is>
          <t>SALA</t>
        </is>
      </c>
      <c r="G749" t="n">
        <v>1.9</v>
      </c>
      <c r="H749" t="n">
        <v>0</v>
      </c>
      <c r="I749" t="n">
        <v>0</v>
      </c>
      <c r="J749" t="n">
        <v>0</v>
      </c>
      <c r="K749" t="n">
        <v>0</v>
      </c>
      <c r="L749" t="n">
        <v>0</v>
      </c>
      <c r="M749" t="n">
        <v>0</v>
      </c>
      <c r="N749" t="n">
        <v>0</v>
      </c>
      <c r="O749" t="n">
        <v>0</v>
      </c>
      <c r="P749" t="n">
        <v>0</v>
      </c>
      <c r="Q749" t="n">
        <v>0</v>
      </c>
      <c r="R749" s="2" t="inlineStr"/>
    </row>
    <row r="750" ht="15" customHeight="1">
      <c r="A750" t="inlineStr">
        <is>
          <t>A 7596-2026</t>
        </is>
      </c>
      <c r="B750" s="1" t="n">
        <v>46061.90922453703</v>
      </c>
      <c r="C750" s="1" t="n">
        <v>46128</v>
      </c>
      <c r="D750" t="inlineStr">
        <is>
          <t>VÄSTMANLANDS LÄN</t>
        </is>
      </c>
      <c r="E750" t="inlineStr">
        <is>
          <t>SALA</t>
        </is>
      </c>
      <c r="G750" t="n">
        <v>3.1</v>
      </c>
      <c r="H750" t="n">
        <v>0</v>
      </c>
      <c r="I750" t="n">
        <v>0</v>
      </c>
      <c r="J750" t="n">
        <v>0</v>
      </c>
      <c r="K750" t="n">
        <v>0</v>
      </c>
      <c r="L750" t="n">
        <v>0</v>
      </c>
      <c r="M750" t="n">
        <v>0</v>
      </c>
      <c r="N750" t="n">
        <v>0</v>
      </c>
      <c r="O750" t="n">
        <v>0</v>
      </c>
      <c r="P750" t="n">
        <v>0</v>
      </c>
      <c r="Q750" t="n">
        <v>0</v>
      </c>
      <c r="R750" s="2" t="inlineStr"/>
    </row>
    <row r="751" ht="15" customHeight="1">
      <c r="A751" t="inlineStr">
        <is>
          <t>A 7661-2026</t>
        </is>
      </c>
      <c r="B751" s="1" t="n">
        <v>46062.39614583334</v>
      </c>
      <c r="C751" s="1" t="n">
        <v>46128</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7588-2026</t>
        </is>
      </c>
      <c r="B752" s="1" t="n">
        <v>46061.83528935185</v>
      </c>
      <c r="C752" s="1" t="n">
        <v>46128</v>
      </c>
      <c r="D752" t="inlineStr">
        <is>
          <t>VÄSTMANLANDS LÄN</t>
        </is>
      </c>
      <c r="E752" t="inlineStr">
        <is>
          <t>SALA</t>
        </is>
      </c>
      <c r="G752" t="n">
        <v>2.8</v>
      </c>
      <c r="H752" t="n">
        <v>0</v>
      </c>
      <c r="I752" t="n">
        <v>0</v>
      </c>
      <c r="J752" t="n">
        <v>0</v>
      </c>
      <c r="K752" t="n">
        <v>0</v>
      </c>
      <c r="L752" t="n">
        <v>0</v>
      </c>
      <c r="M752" t="n">
        <v>0</v>
      </c>
      <c r="N752" t="n">
        <v>0</v>
      </c>
      <c r="O752" t="n">
        <v>0</v>
      </c>
      <c r="P752" t="n">
        <v>0</v>
      </c>
      <c r="Q752" t="n">
        <v>0</v>
      </c>
      <c r="R752" s="2" t="inlineStr"/>
    </row>
    <row r="753" ht="15" customHeight="1">
      <c r="A753" t="inlineStr">
        <is>
          <t>A 7595-2026</t>
        </is>
      </c>
      <c r="B753" s="1" t="n">
        <v>46061.90009259259</v>
      </c>
      <c r="C753" s="1" t="n">
        <v>46128</v>
      </c>
      <c r="D753" t="inlineStr">
        <is>
          <t>VÄSTMANLANDS LÄN</t>
        </is>
      </c>
      <c r="E753" t="inlineStr">
        <is>
          <t>SALA</t>
        </is>
      </c>
      <c r="G753" t="n">
        <v>1.2</v>
      </c>
      <c r="H753" t="n">
        <v>0</v>
      </c>
      <c r="I753" t="n">
        <v>0</v>
      </c>
      <c r="J753" t="n">
        <v>0</v>
      </c>
      <c r="K753" t="n">
        <v>0</v>
      </c>
      <c r="L753" t="n">
        <v>0</v>
      </c>
      <c r="M753" t="n">
        <v>0</v>
      </c>
      <c r="N753" t="n">
        <v>0</v>
      </c>
      <c r="O753" t="n">
        <v>0</v>
      </c>
      <c r="P753" t="n">
        <v>0</v>
      </c>
      <c r="Q753" t="n">
        <v>0</v>
      </c>
      <c r="R753" s="2" t="inlineStr"/>
    </row>
    <row r="754" ht="15" customHeight="1">
      <c r="A754" t="inlineStr">
        <is>
          <t>A 7593-2026</t>
        </is>
      </c>
      <c r="B754" s="1" t="n">
        <v>46061.88057870371</v>
      </c>
      <c r="C754" s="1" t="n">
        <v>46128</v>
      </c>
      <c r="D754" t="inlineStr">
        <is>
          <t>VÄSTMANLANDS LÄN</t>
        </is>
      </c>
      <c r="E754" t="inlineStr">
        <is>
          <t>SALA</t>
        </is>
      </c>
      <c r="G754" t="n">
        <v>7.5</v>
      </c>
      <c r="H754" t="n">
        <v>0</v>
      </c>
      <c r="I754" t="n">
        <v>0</v>
      </c>
      <c r="J754" t="n">
        <v>0</v>
      </c>
      <c r="K754" t="n">
        <v>0</v>
      </c>
      <c r="L754" t="n">
        <v>0</v>
      </c>
      <c r="M754" t="n">
        <v>0</v>
      </c>
      <c r="N754" t="n">
        <v>0</v>
      </c>
      <c r="O754" t="n">
        <v>0</v>
      </c>
      <c r="P754" t="n">
        <v>0</v>
      </c>
      <c r="Q754" t="n">
        <v>0</v>
      </c>
      <c r="R754" s="2" t="inlineStr"/>
    </row>
    <row r="755" ht="15" customHeight="1">
      <c r="A755" t="inlineStr">
        <is>
          <t>A 10250-2025</t>
        </is>
      </c>
      <c r="B755" s="1" t="n">
        <v>45720.36165509259</v>
      </c>
      <c r="C755" s="1" t="n">
        <v>46128</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row>
    <row r="756" ht="15" customHeight="1">
      <c r="A756" t="inlineStr">
        <is>
          <t>A 15630-2026</t>
        </is>
      </c>
      <c r="B756" s="1" t="n">
        <v>46106.62283564815</v>
      </c>
      <c r="C756" s="1" t="n">
        <v>46128</v>
      </c>
      <c r="D756" t="inlineStr">
        <is>
          <t>VÄSTMANLANDS LÄN</t>
        </is>
      </c>
      <c r="E756" t="inlineStr">
        <is>
          <t>SALA</t>
        </is>
      </c>
      <c r="G756" t="n">
        <v>1.1</v>
      </c>
      <c r="H756" t="n">
        <v>0</v>
      </c>
      <c r="I756" t="n">
        <v>0</v>
      </c>
      <c r="J756" t="n">
        <v>0</v>
      </c>
      <c r="K756" t="n">
        <v>0</v>
      </c>
      <c r="L756" t="n">
        <v>0</v>
      </c>
      <c r="M756" t="n">
        <v>0</v>
      </c>
      <c r="N756" t="n">
        <v>0</v>
      </c>
      <c r="O756" t="n">
        <v>0</v>
      </c>
      <c r="P756" t="n">
        <v>0</v>
      </c>
      <c r="Q756" t="n">
        <v>0</v>
      </c>
      <c r="R756" s="2" t="inlineStr"/>
    </row>
    <row r="757" ht="15" customHeight="1">
      <c r="A757" t="inlineStr">
        <is>
          <t>A 15823-2026</t>
        </is>
      </c>
      <c r="B757" s="1" t="n">
        <v>46107.54096064815</v>
      </c>
      <c r="C757" s="1" t="n">
        <v>46128</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16354-2026</t>
        </is>
      </c>
      <c r="B758" s="1" t="n">
        <v>46111.5968287037</v>
      </c>
      <c r="C758" s="1" t="n">
        <v>46128</v>
      </c>
      <c r="D758" t="inlineStr">
        <is>
          <t>VÄSTMANLANDS LÄN</t>
        </is>
      </c>
      <c r="E758" t="inlineStr">
        <is>
          <t>SALA</t>
        </is>
      </c>
      <c r="G758" t="n">
        <v>5.2</v>
      </c>
      <c r="H758" t="n">
        <v>0</v>
      </c>
      <c r="I758" t="n">
        <v>0</v>
      </c>
      <c r="J758" t="n">
        <v>0</v>
      </c>
      <c r="K758" t="n">
        <v>0</v>
      </c>
      <c r="L758" t="n">
        <v>0</v>
      </c>
      <c r="M758" t="n">
        <v>0</v>
      </c>
      <c r="N758" t="n">
        <v>0</v>
      </c>
      <c r="O758" t="n">
        <v>0</v>
      </c>
      <c r="P758" t="n">
        <v>0</v>
      </c>
      <c r="Q758" t="n">
        <v>0</v>
      </c>
      <c r="R758" s="2" t="inlineStr"/>
    </row>
    <row r="759" ht="15" customHeight="1">
      <c r="A759" t="inlineStr">
        <is>
          <t>A 16598-2026</t>
        </is>
      </c>
      <c r="B759" s="1" t="n">
        <v>46112.59598379629</v>
      </c>
      <c r="C759" s="1" t="n">
        <v>46128</v>
      </c>
      <c r="D759" t="inlineStr">
        <is>
          <t>VÄSTMANLANDS LÄN</t>
        </is>
      </c>
      <c r="E759" t="inlineStr">
        <is>
          <t>SALA</t>
        </is>
      </c>
      <c r="G759" t="n">
        <v>1.5</v>
      </c>
      <c r="H759" t="n">
        <v>0</v>
      </c>
      <c r="I759" t="n">
        <v>0</v>
      </c>
      <c r="J759" t="n">
        <v>0</v>
      </c>
      <c r="K759" t="n">
        <v>0</v>
      </c>
      <c r="L759" t="n">
        <v>0</v>
      </c>
      <c r="M759" t="n">
        <v>0</v>
      </c>
      <c r="N759" t="n">
        <v>0</v>
      </c>
      <c r="O759" t="n">
        <v>0</v>
      </c>
      <c r="P759" t="n">
        <v>0</v>
      </c>
      <c r="Q759" t="n">
        <v>0</v>
      </c>
      <c r="R759" s="2" t="inlineStr"/>
    </row>
    <row r="760" ht="15" customHeight="1">
      <c r="A760" t="inlineStr">
        <is>
          <t>A 16367-2026</t>
        </is>
      </c>
      <c r="B760" s="1" t="n">
        <v>46111.61380787037</v>
      </c>
      <c r="C760" s="1" t="n">
        <v>46128</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16369-2026</t>
        </is>
      </c>
      <c r="B761" s="1" t="n">
        <v>46111</v>
      </c>
      <c r="C761" s="1" t="n">
        <v>46128</v>
      </c>
      <c r="D761" t="inlineStr">
        <is>
          <t>VÄSTMANLANDS LÄN</t>
        </is>
      </c>
      <c r="E761" t="inlineStr">
        <is>
          <t>SALA</t>
        </is>
      </c>
      <c r="G761" t="n">
        <v>1.4</v>
      </c>
      <c r="H761" t="n">
        <v>0</v>
      </c>
      <c r="I761" t="n">
        <v>0</v>
      </c>
      <c r="J761" t="n">
        <v>0</v>
      </c>
      <c r="K761" t="n">
        <v>0</v>
      </c>
      <c r="L761" t="n">
        <v>0</v>
      </c>
      <c r="M761" t="n">
        <v>0</v>
      </c>
      <c r="N761" t="n">
        <v>0</v>
      </c>
      <c r="O761" t="n">
        <v>0</v>
      </c>
      <c r="P761" t="n">
        <v>0</v>
      </c>
      <c r="Q761" t="n">
        <v>0</v>
      </c>
      <c r="R761" s="2" t="inlineStr"/>
    </row>
    <row r="762" ht="15" customHeight="1">
      <c r="A762" t="inlineStr">
        <is>
          <t>A 16364-2026</t>
        </is>
      </c>
      <c r="B762" s="1" t="n">
        <v>46111.6115625</v>
      </c>
      <c r="C762" s="1" t="n">
        <v>46128</v>
      </c>
      <c r="D762" t="inlineStr">
        <is>
          <t>VÄSTMANLANDS LÄN</t>
        </is>
      </c>
      <c r="E762" t="inlineStr">
        <is>
          <t>SALA</t>
        </is>
      </c>
      <c r="G762" t="n">
        <v>4.7</v>
      </c>
      <c r="H762" t="n">
        <v>0</v>
      </c>
      <c r="I762" t="n">
        <v>0</v>
      </c>
      <c r="J762" t="n">
        <v>0</v>
      </c>
      <c r="K762" t="n">
        <v>0</v>
      </c>
      <c r="L762" t="n">
        <v>0</v>
      </c>
      <c r="M762" t="n">
        <v>0</v>
      </c>
      <c r="N762" t="n">
        <v>0</v>
      </c>
      <c r="O762" t="n">
        <v>0</v>
      </c>
      <c r="P762" t="n">
        <v>0</v>
      </c>
      <c r="Q762" t="n">
        <v>0</v>
      </c>
      <c r="R762" s="2" t="inlineStr"/>
    </row>
    <row r="763" ht="15" customHeight="1">
      <c r="A763" t="inlineStr">
        <is>
          <t>A 10245-2026</t>
        </is>
      </c>
      <c r="B763" s="1" t="n">
        <v>46076.55144675926</v>
      </c>
      <c r="C763" s="1" t="n">
        <v>46128</v>
      </c>
      <c r="D763" t="inlineStr">
        <is>
          <t>VÄSTMANLANDS LÄN</t>
        </is>
      </c>
      <c r="E763" t="inlineStr">
        <is>
          <t>SALA</t>
        </is>
      </c>
      <c r="G763" t="n">
        <v>1.4</v>
      </c>
      <c r="H763" t="n">
        <v>0</v>
      </c>
      <c r="I763" t="n">
        <v>0</v>
      </c>
      <c r="J763" t="n">
        <v>0</v>
      </c>
      <c r="K763" t="n">
        <v>0</v>
      </c>
      <c r="L763" t="n">
        <v>0</v>
      </c>
      <c r="M763" t="n">
        <v>0</v>
      </c>
      <c r="N763" t="n">
        <v>0</v>
      </c>
      <c r="O763" t="n">
        <v>0</v>
      </c>
      <c r="P763" t="n">
        <v>0</v>
      </c>
      <c r="Q763" t="n">
        <v>0</v>
      </c>
      <c r="R763" s="2" t="inlineStr"/>
    </row>
    <row r="764" ht="15" customHeight="1">
      <c r="A764" t="inlineStr">
        <is>
          <t>A 10252-2026</t>
        </is>
      </c>
      <c r="B764" s="1" t="n">
        <v>46076.55700231482</v>
      </c>
      <c r="C764" s="1" t="n">
        <v>46128</v>
      </c>
      <c r="D764" t="inlineStr">
        <is>
          <t>VÄSTMANLANDS LÄN</t>
        </is>
      </c>
      <c r="E764" t="inlineStr">
        <is>
          <t>SALA</t>
        </is>
      </c>
      <c r="G764" t="n">
        <v>1.4</v>
      </c>
      <c r="H764" t="n">
        <v>0</v>
      </c>
      <c r="I764" t="n">
        <v>0</v>
      </c>
      <c r="J764" t="n">
        <v>0</v>
      </c>
      <c r="K764" t="n">
        <v>0</v>
      </c>
      <c r="L764" t="n">
        <v>0</v>
      </c>
      <c r="M764" t="n">
        <v>0</v>
      </c>
      <c r="N764" t="n">
        <v>0</v>
      </c>
      <c r="O764" t="n">
        <v>0</v>
      </c>
      <c r="P764" t="n">
        <v>0</v>
      </c>
      <c r="Q764" t="n">
        <v>0</v>
      </c>
      <c r="R764" s="2" t="inlineStr"/>
    </row>
    <row r="765" ht="15" customHeight="1">
      <c r="A765" t="inlineStr">
        <is>
          <t>A 10239-2026</t>
        </is>
      </c>
      <c r="B765" s="1" t="n">
        <v>46076.54824074074</v>
      </c>
      <c r="C765" s="1" t="n">
        <v>46128</v>
      </c>
      <c r="D765" t="inlineStr">
        <is>
          <t>VÄSTMANLANDS LÄN</t>
        </is>
      </c>
      <c r="E765" t="inlineStr">
        <is>
          <t>SALA</t>
        </is>
      </c>
      <c r="G765" t="n">
        <v>1.1</v>
      </c>
      <c r="H765" t="n">
        <v>0</v>
      </c>
      <c r="I765" t="n">
        <v>0</v>
      </c>
      <c r="J765" t="n">
        <v>0</v>
      </c>
      <c r="K765" t="n">
        <v>0</v>
      </c>
      <c r="L765" t="n">
        <v>0</v>
      </c>
      <c r="M765" t="n">
        <v>0</v>
      </c>
      <c r="N765" t="n">
        <v>0</v>
      </c>
      <c r="O765" t="n">
        <v>0</v>
      </c>
      <c r="P765" t="n">
        <v>0</v>
      </c>
      <c r="Q765" t="n">
        <v>0</v>
      </c>
      <c r="R765" s="2" t="inlineStr"/>
    </row>
    <row r="766" ht="15" customHeight="1">
      <c r="A766" t="inlineStr">
        <is>
          <t>A 13639-2026</t>
        </is>
      </c>
      <c r="B766" s="1" t="n">
        <v>46097</v>
      </c>
      <c r="C766" s="1" t="n">
        <v>46128</v>
      </c>
      <c r="D766" t="inlineStr">
        <is>
          <t>VÄSTMANLANDS LÄN</t>
        </is>
      </c>
      <c r="E766" t="inlineStr">
        <is>
          <t>SALA</t>
        </is>
      </c>
      <c r="G766" t="n">
        <v>1.4</v>
      </c>
      <c r="H766" t="n">
        <v>0</v>
      </c>
      <c r="I766" t="n">
        <v>0</v>
      </c>
      <c r="J766" t="n">
        <v>0</v>
      </c>
      <c r="K766" t="n">
        <v>0</v>
      </c>
      <c r="L766" t="n">
        <v>0</v>
      </c>
      <c r="M766" t="n">
        <v>0</v>
      </c>
      <c r="N766" t="n">
        <v>0</v>
      </c>
      <c r="O766" t="n">
        <v>0</v>
      </c>
      <c r="P766" t="n">
        <v>0</v>
      </c>
      <c r="Q766" t="n">
        <v>0</v>
      </c>
      <c r="R766" s="2" t="inlineStr"/>
    </row>
    <row r="767" ht="15" customHeight="1">
      <c r="A767" t="inlineStr">
        <is>
          <t>A 18592-2026</t>
        </is>
      </c>
      <c r="B767" s="1" t="n">
        <v>46127.64232638889</v>
      </c>
      <c r="C767" s="1" t="n">
        <v>46128</v>
      </c>
      <c r="D767" t="inlineStr">
        <is>
          <t>VÄSTMANLANDS LÄN</t>
        </is>
      </c>
      <c r="E767" t="inlineStr">
        <is>
          <t>SALA</t>
        </is>
      </c>
      <c r="G767" t="n">
        <v>1.4</v>
      </c>
      <c r="H767" t="n">
        <v>0</v>
      </c>
      <c r="I767" t="n">
        <v>0</v>
      </c>
      <c r="J767" t="n">
        <v>0</v>
      </c>
      <c r="K767" t="n">
        <v>0</v>
      </c>
      <c r="L767" t="n">
        <v>0</v>
      </c>
      <c r="M767" t="n">
        <v>0</v>
      </c>
      <c r="N767" t="n">
        <v>0</v>
      </c>
      <c r="O767" t="n">
        <v>0</v>
      </c>
      <c r="P767" t="n">
        <v>0</v>
      </c>
      <c r="Q767" t="n">
        <v>0</v>
      </c>
      <c r="R767" s="2" t="inlineStr"/>
    </row>
    <row r="768" ht="15" customHeight="1">
      <c r="A768" t="inlineStr">
        <is>
          <t>A 18382-2026</t>
        </is>
      </c>
      <c r="B768" s="1" t="n">
        <v>46126.63601851852</v>
      </c>
      <c r="C768" s="1" t="n">
        <v>46128</v>
      </c>
      <c r="D768" t="inlineStr">
        <is>
          <t>VÄSTMANLANDS LÄN</t>
        </is>
      </c>
      <c r="E768" t="inlineStr">
        <is>
          <t>SALA</t>
        </is>
      </c>
      <c r="G768" t="n">
        <v>0.7</v>
      </c>
      <c r="H768" t="n">
        <v>0</v>
      </c>
      <c r="I768" t="n">
        <v>0</v>
      </c>
      <c r="J768" t="n">
        <v>0</v>
      </c>
      <c r="K768" t="n">
        <v>0</v>
      </c>
      <c r="L768" t="n">
        <v>0</v>
      </c>
      <c r="M768" t="n">
        <v>0</v>
      </c>
      <c r="N768" t="n">
        <v>0</v>
      </c>
      <c r="O768" t="n">
        <v>0</v>
      </c>
      <c r="P768" t="n">
        <v>0</v>
      </c>
      <c r="Q768" t="n">
        <v>0</v>
      </c>
      <c r="R768" s="2" t="inlineStr"/>
    </row>
    <row r="769">
      <c r="A769" t="inlineStr">
        <is>
          <t>A 12144-2026</t>
        </is>
      </c>
      <c r="B769" s="1" t="n">
        <v>46086.58008101852</v>
      </c>
      <c r="C769" s="1" t="n">
        <v>46128</v>
      </c>
      <c r="D769" t="inlineStr">
        <is>
          <t>VÄSTMANLANDS LÄN</t>
        </is>
      </c>
      <c r="E769" t="inlineStr">
        <is>
          <t>SALA</t>
        </is>
      </c>
      <c r="G769" t="n">
        <v>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2026-04-16T10:23:25Z</dcterms:created>
  <dcterms:modified xmlns:dcterms="http://purl.org/dc/terms/" xmlns:xsi="http://www.w3.org/2001/XMLSchema-instance" xsi:type="dcterms:W3CDTF">2026-04-16T10:23:26Z</dcterms:modified>
</cp:coreProperties>
</file>