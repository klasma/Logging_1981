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46129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46129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46129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46129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46129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1182-2022</t>
        </is>
      </c>
      <c r="B8" s="1" t="n">
        <v>44572</v>
      </c>
      <c r="C8" s="1" t="n">
        <v>46129</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3566-2024</t>
        </is>
      </c>
      <c r="B9" s="1" t="n">
        <v>45320.63596064815</v>
      </c>
      <c r="C9" s="1" t="n">
        <v>46129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46129</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27488-2023</t>
        </is>
      </c>
      <c r="B11" s="1" t="n">
        <v>45097</v>
      </c>
      <c r="C11" s="1" t="n">
        <v>46129</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46129</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46129</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46129</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46129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46129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46129</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46129</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46129</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46129</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46129</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3930-2026</t>
        </is>
      </c>
      <c r="B22" s="1" t="n">
        <v>46043</v>
      </c>
      <c r="C22" s="1" t="n">
        <v>46129</v>
      </c>
      <c r="D22" t="inlineStr">
        <is>
          <t>VÄSTMANLANDS LÄN</t>
        </is>
      </c>
      <c r="E22" t="inlineStr">
        <is>
          <t>SALA</t>
        </is>
      </c>
      <c r="G22" t="n">
        <v>17.4</v>
      </c>
      <c r="H22" t="n">
        <v>1</v>
      </c>
      <c r="I22" t="n">
        <v>0</v>
      </c>
      <c r="J22" t="n">
        <v>2</v>
      </c>
      <c r="K22" t="n">
        <v>1</v>
      </c>
      <c r="L22" t="n">
        <v>0</v>
      </c>
      <c r="M22" t="n">
        <v>0</v>
      </c>
      <c r="N22" t="n">
        <v>0</v>
      </c>
      <c r="O22" t="n">
        <v>3</v>
      </c>
      <c r="P22" t="n">
        <v>1</v>
      </c>
      <c r="Q22" t="n">
        <v>3</v>
      </c>
      <c r="R22" s="2" t="inlineStr">
        <is>
          <t>Knärot
Gränsticka
Ullticka</t>
        </is>
      </c>
      <c r="S22">
        <f>HYPERLINK("https://klasma.github.io/Logging_1981/artfynd/A 3930-2026 artfynd.xlsx", "A 3930-2026")</f>
        <v/>
      </c>
      <c r="T22">
        <f>HYPERLINK("https://klasma.github.io/Logging_1981/kartor/A 3930-2026 karta.png", "A 3930-2026")</f>
        <v/>
      </c>
      <c r="U22">
        <f>HYPERLINK("https://klasma.github.io/Logging_1981/knärot/A 3930-2026 karta knärot.png", "A 3930-2026")</f>
        <v/>
      </c>
      <c r="V22">
        <f>HYPERLINK("https://klasma.github.io/Logging_1981/klagomål/A 3930-2026 FSC-klagomål.docx", "A 3930-2026")</f>
        <v/>
      </c>
      <c r="W22">
        <f>HYPERLINK("https://klasma.github.io/Logging_1981/klagomålsmail/A 3930-2026 FSC-klagomål mail.docx", "A 3930-2026")</f>
        <v/>
      </c>
      <c r="X22">
        <f>HYPERLINK("https://klasma.github.io/Logging_1981/tillsyn/A 3930-2026 tillsynsbegäran.docx", "A 3930-2026")</f>
        <v/>
      </c>
      <c r="Y22">
        <f>HYPERLINK("https://klasma.github.io/Logging_1981/tillsynsmail/A 3930-2026 tillsynsbegäran mail.docx", "A 3930-2026")</f>
        <v/>
      </c>
    </row>
    <row r="23" ht="15" customHeight="1">
      <c r="A23" t="inlineStr">
        <is>
          <t>A 3567-2024</t>
        </is>
      </c>
      <c r="B23" s="1" t="n">
        <v>45320.63706018519</v>
      </c>
      <c r="C23" s="1" t="n">
        <v>46129</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46129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46129</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46129</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46129</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46129</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46129</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59826-2025</t>
        </is>
      </c>
      <c r="B30" s="1" t="n">
        <v>45992.65416666667</v>
      </c>
      <c r="C30" s="1" t="n">
        <v>46129</v>
      </c>
      <c r="D30" t="inlineStr">
        <is>
          <t>VÄSTMANLANDS LÄN</t>
        </is>
      </c>
      <c r="E30" t="inlineStr">
        <is>
          <t>SALA</t>
        </is>
      </c>
      <c r="G30" t="n">
        <v>2.7</v>
      </c>
      <c r="H30" t="n">
        <v>0</v>
      </c>
      <c r="I30" t="n">
        <v>1</v>
      </c>
      <c r="J30" t="n">
        <v>1</v>
      </c>
      <c r="K30" t="n">
        <v>0</v>
      </c>
      <c r="L30" t="n">
        <v>0</v>
      </c>
      <c r="M30" t="n">
        <v>0</v>
      </c>
      <c r="N30" t="n">
        <v>0</v>
      </c>
      <c r="O30" t="n">
        <v>1</v>
      </c>
      <c r="P30" t="n">
        <v>0</v>
      </c>
      <c r="Q30" t="n">
        <v>2</v>
      </c>
      <c r="R30" s="2" t="inlineStr">
        <is>
          <t>Motaggsvamp
Gullgröppa</t>
        </is>
      </c>
      <c r="S30">
        <f>HYPERLINK("https://klasma.github.io/Logging_1981/artfynd/A 59826-2025 artfynd.xlsx", "A 59826-2025")</f>
        <v/>
      </c>
      <c r="T30">
        <f>HYPERLINK("https://klasma.github.io/Logging_1981/kartor/A 59826-2025 karta.png", "A 59826-2025")</f>
        <v/>
      </c>
      <c r="V30">
        <f>HYPERLINK("https://klasma.github.io/Logging_1981/klagomål/A 59826-2025 FSC-klagomål.docx", "A 59826-2025")</f>
        <v/>
      </c>
      <c r="W30">
        <f>HYPERLINK("https://klasma.github.io/Logging_1981/klagomålsmail/A 59826-2025 FSC-klagomål mail.docx", "A 59826-2025")</f>
        <v/>
      </c>
      <c r="X30">
        <f>HYPERLINK("https://klasma.github.io/Logging_1981/tillsyn/A 59826-2025 tillsynsbegäran.docx", "A 59826-2025")</f>
        <v/>
      </c>
      <c r="Y30">
        <f>HYPERLINK("https://klasma.github.io/Logging_1981/tillsynsmail/A 59826-2025 tillsynsbegäran mail.docx", "A 59826-2025")</f>
        <v/>
      </c>
    </row>
    <row r="31" ht="15" customHeight="1">
      <c r="A31" t="inlineStr">
        <is>
          <t>A 13029-2023</t>
        </is>
      </c>
      <c r="B31" s="1" t="n">
        <v>45001</v>
      </c>
      <c r="C31" s="1" t="n">
        <v>46129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46129</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1500-2022</t>
        </is>
      </c>
      <c r="B33" s="1" t="n">
        <v>44573.54357638889</v>
      </c>
      <c r="C33" s="1" t="n">
        <v>46129</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63584-2025</t>
        </is>
      </c>
      <c r="B34" s="1" t="n">
        <v>46013.77002314815</v>
      </c>
      <c r="C34" s="1" t="n">
        <v>46129</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15102-2025</t>
        </is>
      </c>
      <c r="B35" s="1" t="n">
        <v>45744.34585648148</v>
      </c>
      <c r="C35" s="1" t="n">
        <v>46129</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14485-2026</t>
        </is>
      </c>
      <c r="B36" s="1" t="n">
        <v>46100.59055555556</v>
      </c>
      <c r="C36" s="1" t="n">
        <v>46129</v>
      </c>
      <c r="D36" t="inlineStr">
        <is>
          <t>VÄSTMANLANDS LÄN</t>
        </is>
      </c>
      <c r="E36" t="inlineStr">
        <is>
          <t>SALA</t>
        </is>
      </c>
      <c r="F36" t="inlineStr">
        <is>
          <t>Sveaskog</t>
        </is>
      </c>
      <c r="G36" t="n">
        <v>13.6</v>
      </c>
      <c r="H36" t="n">
        <v>1</v>
      </c>
      <c r="I36" t="n">
        <v>0</v>
      </c>
      <c r="J36" t="n">
        <v>2</v>
      </c>
      <c r="K36" t="n">
        <v>0</v>
      </c>
      <c r="L36" t="n">
        <v>0</v>
      </c>
      <c r="M36" t="n">
        <v>0</v>
      </c>
      <c r="N36" t="n">
        <v>0</v>
      </c>
      <c r="O36" t="n">
        <v>2</v>
      </c>
      <c r="P36" t="n">
        <v>0</v>
      </c>
      <c r="Q36" t="n">
        <v>2</v>
      </c>
      <c r="R36" s="2" t="inlineStr">
        <is>
          <t>Motaggsvamp
Talltita</t>
        </is>
      </c>
      <c r="S36">
        <f>HYPERLINK("https://klasma.github.io/Logging_1981/artfynd/A 14485-2026 artfynd.xlsx", "A 14485-2026")</f>
        <v/>
      </c>
      <c r="T36">
        <f>HYPERLINK("https://klasma.github.io/Logging_1981/kartor/A 14485-2026 karta.png", "A 14485-2026")</f>
        <v/>
      </c>
      <c r="V36">
        <f>HYPERLINK("https://klasma.github.io/Logging_1981/klagomål/A 14485-2026 FSC-klagomål.docx", "A 14485-2026")</f>
        <v/>
      </c>
      <c r="W36">
        <f>HYPERLINK("https://klasma.github.io/Logging_1981/klagomålsmail/A 14485-2026 FSC-klagomål mail.docx", "A 14485-2026")</f>
        <v/>
      </c>
      <c r="X36">
        <f>HYPERLINK("https://klasma.github.io/Logging_1981/tillsyn/A 14485-2026 tillsynsbegäran.docx", "A 14485-2026")</f>
        <v/>
      </c>
      <c r="Y36">
        <f>HYPERLINK("https://klasma.github.io/Logging_1981/tillsynsmail/A 14485-2026 tillsynsbegäran mail.docx", "A 14485-2026")</f>
        <v/>
      </c>
      <c r="Z36">
        <f>HYPERLINK("https://klasma.github.io/Logging_1981/fåglar/A 14485-2026 prioriterade fågelarter.docx", "A 14485-2026")</f>
        <v/>
      </c>
    </row>
    <row r="37" ht="15" customHeight="1">
      <c r="A37" t="inlineStr">
        <is>
          <t>A 11846-2024</t>
        </is>
      </c>
      <c r="B37" s="1" t="n">
        <v>45376.4047337963</v>
      </c>
      <c r="C37" s="1" t="n">
        <v>46129</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46129</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46129</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46129</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55995-2025</t>
        </is>
      </c>
      <c r="B41" s="1" t="n">
        <v>45973.56733796297</v>
      </c>
      <c r="C41" s="1" t="n">
        <v>46129</v>
      </c>
      <c r="D41" t="inlineStr">
        <is>
          <t>VÄSTMANLANDS LÄN</t>
        </is>
      </c>
      <c r="E41" t="inlineStr">
        <is>
          <t>SALA</t>
        </is>
      </c>
      <c r="F41" t="inlineStr">
        <is>
          <t>Sveaskog</t>
        </is>
      </c>
      <c r="G41" t="n">
        <v>4.5</v>
      </c>
      <c r="H41" t="n">
        <v>1</v>
      </c>
      <c r="I41" t="n">
        <v>0</v>
      </c>
      <c r="J41" t="n">
        <v>0</v>
      </c>
      <c r="K41" t="n">
        <v>0</v>
      </c>
      <c r="L41" t="n">
        <v>0</v>
      </c>
      <c r="M41" t="n">
        <v>0</v>
      </c>
      <c r="N41" t="n">
        <v>0</v>
      </c>
      <c r="O41" t="n">
        <v>0</v>
      </c>
      <c r="P41" t="n">
        <v>0</v>
      </c>
      <c r="Q41" t="n">
        <v>1</v>
      </c>
      <c r="R41" s="2" t="inlineStr">
        <is>
          <t>Fläcknycklar</t>
        </is>
      </c>
      <c r="S41">
        <f>HYPERLINK("https://klasma.github.io/Logging_1981/artfynd/A 55995-2025 artfynd.xlsx", "A 55995-2025")</f>
        <v/>
      </c>
      <c r="T41">
        <f>HYPERLINK("https://klasma.github.io/Logging_1981/kartor/A 55995-2025 karta.png", "A 55995-2025")</f>
        <v/>
      </c>
      <c r="V41">
        <f>HYPERLINK("https://klasma.github.io/Logging_1981/klagomål/A 55995-2025 FSC-klagomål.docx", "A 55995-2025")</f>
        <v/>
      </c>
      <c r="W41">
        <f>HYPERLINK("https://klasma.github.io/Logging_1981/klagomålsmail/A 55995-2025 FSC-klagomål mail.docx", "A 55995-2025")</f>
        <v/>
      </c>
      <c r="X41">
        <f>HYPERLINK("https://klasma.github.io/Logging_1981/tillsyn/A 55995-2025 tillsynsbegäran.docx", "A 55995-2025")</f>
        <v/>
      </c>
      <c r="Y41">
        <f>HYPERLINK("https://klasma.github.io/Logging_1981/tillsynsmail/A 55995-2025 tillsynsbegäran mail.docx", "A 55995-2025")</f>
        <v/>
      </c>
    </row>
    <row r="42" ht="15" customHeight="1">
      <c r="A42" t="inlineStr">
        <is>
          <t>A 22950-2025</t>
        </is>
      </c>
      <c r="B42" s="1" t="n">
        <v>45790.50728009259</v>
      </c>
      <c r="C42" s="1" t="n">
        <v>46129</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37166-2024</t>
        </is>
      </c>
      <c r="B43" s="1" t="n">
        <v>45539</v>
      </c>
      <c r="C43" s="1" t="n">
        <v>46129</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46129</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32594-2025</t>
        </is>
      </c>
      <c r="B45" s="1" t="n">
        <v>45838</v>
      </c>
      <c r="C45" s="1" t="n">
        <v>46129</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48705-2025</t>
        </is>
      </c>
      <c r="B46" s="1" t="n">
        <v>45936.62290509259</v>
      </c>
      <c r="C46" s="1" t="n">
        <v>46129</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22350-2024</t>
        </is>
      </c>
      <c r="B47" s="1" t="n">
        <v>45446</v>
      </c>
      <c r="C47" s="1" t="n">
        <v>46129</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14775-2023</t>
        </is>
      </c>
      <c r="B48" s="1" t="n">
        <v>45014</v>
      </c>
      <c r="C48" s="1" t="n">
        <v>46129</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50268-2025</t>
        </is>
      </c>
      <c r="B49" s="1" t="n">
        <v>45944.35162037037</v>
      </c>
      <c r="C49" s="1" t="n">
        <v>46129</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12509-2023</t>
        </is>
      </c>
      <c r="B50" s="1" t="n">
        <v>44999.95988425926</v>
      </c>
      <c r="C50" s="1" t="n">
        <v>46129</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38255-2025</t>
        </is>
      </c>
      <c r="B51" s="1" t="n">
        <v>45883.38020833334</v>
      </c>
      <c r="C51" s="1" t="n">
        <v>46129</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53052-2025</t>
        </is>
      </c>
      <c r="B52" s="1" t="n">
        <v>45958.36266203703</v>
      </c>
      <c r="C52" s="1" t="n">
        <v>46129</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60852-2024</t>
        </is>
      </c>
      <c r="B53" s="1" t="n">
        <v>45644</v>
      </c>
      <c r="C53" s="1" t="n">
        <v>46129</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19361-2025</t>
        </is>
      </c>
      <c r="B54" s="1" t="n">
        <v>45769.63357638889</v>
      </c>
      <c r="C54" s="1" t="n">
        <v>46129</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46129</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43175-2023</t>
        </is>
      </c>
      <c r="B56" s="1" t="n">
        <v>45183</v>
      </c>
      <c r="C56" s="1" t="n">
        <v>46129</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55550-2023</t>
        </is>
      </c>
      <c r="B57" s="1" t="n">
        <v>45232</v>
      </c>
      <c r="C57" s="1" t="n">
        <v>46129</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14488-2026</t>
        </is>
      </c>
      <c r="B58" s="1" t="n">
        <v>46100.59216435185</v>
      </c>
      <c r="C58" s="1" t="n">
        <v>46129</v>
      </c>
      <c r="D58" t="inlineStr">
        <is>
          <t>VÄSTMANLANDS LÄN</t>
        </is>
      </c>
      <c r="E58" t="inlineStr">
        <is>
          <t>SALA</t>
        </is>
      </c>
      <c r="F58" t="inlineStr">
        <is>
          <t>Sveaskog</t>
        </is>
      </c>
      <c r="G58" t="n">
        <v>1.5</v>
      </c>
      <c r="H58" t="n">
        <v>1</v>
      </c>
      <c r="I58" t="n">
        <v>0</v>
      </c>
      <c r="J58" t="n">
        <v>0</v>
      </c>
      <c r="K58" t="n">
        <v>0</v>
      </c>
      <c r="L58" t="n">
        <v>0</v>
      </c>
      <c r="M58" t="n">
        <v>0</v>
      </c>
      <c r="N58" t="n">
        <v>0</v>
      </c>
      <c r="O58" t="n">
        <v>0</v>
      </c>
      <c r="P58" t="n">
        <v>0</v>
      </c>
      <c r="Q58" t="n">
        <v>1</v>
      </c>
      <c r="R58" s="2" t="inlineStr">
        <is>
          <t>Mattlummer</t>
        </is>
      </c>
      <c r="S58">
        <f>HYPERLINK("https://klasma.github.io/Logging_1981/artfynd/A 14488-2026 artfynd.xlsx", "A 14488-2026")</f>
        <v/>
      </c>
      <c r="T58">
        <f>HYPERLINK("https://klasma.github.io/Logging_1981/kartor/A 14488-2026 karta.png", "A 14488-2026")</f>
        <v/>
      </c>
      <c r="V58">
        <f>HYPERLINK("https://klasma.github.io/Logging_1981/klagomål/A 14488-2026 FSC-klagomål.docx", "A 14488-2026")</f>
        <v/>
      </c>
      <c r="W58">
        <f>HYPERLINK("https://klasma.github.io/Logging_1981/klagomålsmail/A 14488-2026 FSC-klagomål mail.docx", "A 14488-2026")</f>
        <v/>
      </c>
      <c r="X58">
        <f>HYPERLINK("https://klasma.github.io/Logging_1981/tillsyn/A 14488-2026 tillsynsbegäran.docx", "A 14488-2026")</f>
        <v/>
      </c>
      <c r="Y58">
        <f>HYPERLINK("https://klasma.github.io/Logging_1981/tillsynsmail/A 14488-2026 tillsynsbegäran mail.docx", "A 14488-2026")</f>
        <v/>
      </c>
    </row>
    <row r="59" ht="15" customHeight="1">
      <c r="A59" t="inlineStr">
        <is>
          <t>A 14487-2026</t>
        </is>
      </c>
      <c r="B59" s="1" t="n">
        <v>46100.59162037037</v>
      </c>
      <c r="C59" s="1" t="n">
        <v>46129</v>
      </c>
      <c r="D59" t="inlineStr">
        <is>
          <t>VÄSTMANLANDS LÄN</t>
        </is>
      </c>
      <c r="E59" t="inlineStr">
        <is>
          <t>SALA</t>
        </is>
      </c>
      <c r="F59" t="inlineStr">
        <is>
          <t>Sveaskog</t>
        </is>
      </c>
      <c r="G59" t="n">
        <v>6.7</v>
      </c>
      <c r="H59" t="n">
        <v>0</v>
      </c>
      <c r="I59" t="n">
        <v>0</v>
      </c>
      <c r="J59" t="n">
        <v>1</v>
      </c>
      <c r="K59" t="n">
        <v>0</v>
      </c>
      <c r="L59" t="n">
        <v>0</v>
      </c>
      <c r="M59" t="n">
        <v>0</v>
      </c>
      <c r="N59" t="n">
        <v>0</v>
      </c>
      <c r="O59" t="n">
        <v>1</v>
      </c>
      <c r="P59" t="n">
        <v>0</v>
      </c>
      <c r="Q59" t="n">
        <v>1</v>
      </c>
      <c r="R59" s="2" t="inlineStr">
        <is>
          <t>Motaggsvamp</t>
        </is>
      </c>
      <c r="S59">
        <f>HYPERLINK("https://klasma.github.io/Logging_1981/artfynd/A 14487-2026 artfynd.xlsx", "A 14487-2026")</f>
        <v/>
      </c>
      <c r="T59">
        <f>HYPERLINK("https://klasma.github.io/Logging_1981/kartor/A 14487-2026 karta.png", "A 14487-2026")</f>
        <v/>
      </c>
      <c r="V59">
        <f>HYPERLINK("https://klasma.github.io/Logging_1981/klagomål/A 14487-2026 FSC-klagomål.docx", "A 14487-2026")</f>
        <v/>
      </c>
      <c r="W59">
        <f>HYPERLINK("https://klasma.github.io/Logging_1981/klagomålsmail/A 14487-2026 FSC-klagomål mail.docx", "A 14487-2026")</f>
        <v/>
      </c>
      <c r="X59">
        <f>HYPERLINK("https://klasma.github.io/Logging_1981/tillsyn/A 14487-2026 tillsynsbegäran.docx", "A 14487-2026")</f>
        <v/>
      </c>
      <c r="Y59">
        <f>HYPERLINK("https://klasma.github.io/Logging_1981/tillsynsmail/A 14487-2026 tillsynsbegäran mail.docx", "A 14487-2026")</f>
        <v/>
      </c>
    </row>
    <row r="60" ht="15" customHeight="1">
      <c r="A60" t="inlineStr">
        <is>
          <t>A 7672-2026</t>
        </is>
      </c>
      <c r="B60" s="1" t="n">
        <v>46062.42077546296</v>
      </c>
      <c r="C60" s="1" t="n">
        <v>46129</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41270-2024</t>
        </is>
      </c>
      <c r="B61" s="1" t="n">
        <v>45559</v>
      </c>
      <c r="C61" s="1" t="n">
        <v>46129</v>
      </c>
      <c r="D61" t="inlineStr">
        <is>
          <t>VÄSTMANLANDS LÄN</t>
        </is>
      </c>
      <c r="E61" t="inlineStr">
        <is>
          <t>SALA</t>
        </is>
      </c>
      <c r="G61" t="n">
        <v>15.2</v>
      </c>
      <c r="H61" t="n">
        <v>1</v>
      </c>
      <c r="I61" t="n">
        <v>0</v>
      </c>
      <c r="J61" t="n">
        <v>1</v>
      </c>
      <c r="K61" t="n">
        <v>0</v>
      </c>
      <c r="L61" t="n">
        <v>0</v>
      </c>
      <c r="M61" t="n">
        <v>0</v>
      </c>
      <c r="N61" t="n">
        <v>0</v>
      </c>
      <c r="O61" t="n">
        <v>1</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43068-2024</t>
        </is>
      </c>
      <c r="B62" s="1" t="n">
        <v>45567</v>
      </c>
      <c r="C62" s="1" t="n">
        <v>46129</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46129</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46129</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46129</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46129</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21738-2025</t>
        </is>
      </c>
      <c r="B67" s="1" t="n">
        <v>45783.59173611111</v>
      </c>
      <c r="C67" s="1" t="n">
        <v>46129</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73124-2021</t>
        </is>
      </c>
      <c r="B68" s="1" t="n">
        <v>44550</v>
      </c>
      <c r="C68" s="1" t="n">
        <v>46129</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66561-2021</t>
        </is>
      </c>
      <c r="B69" s="1" t="n">
        <v>44519.41648148148</v>
      </c>
      <c r="C69" s="1" t="n">
        <v>46129</v>
      </c>
      <c r="D69" t="inlineStr">
        <is>
          <t>VÄSTMANLANDS LÄN</t>
        </is>
      </c>
      <c r="E69" t="inlineStr">
        <is>
          <t>SALA</t>
        </is>
      </c>
      <c r="G69" t="n">
        <v>0.3</v>
      </c>
      <c r="H69" t="n">
        <v>0</v>
      </c>
      <c r="I69" t="n">
        <v>0</v>
      </c>
      <c r="J69" t="n">
        <v>0</v>
      </c>
      <c r="K69" t="n">
        <v>0</v>
      </c>
      <c r="L69" t="n">
        <v>0</v>
      </c>
      <c r="M69" t="n">
        <v>0</v>
      </c>
      <c r="N69" t="n">
        <v>0</v>
      </c>
      <c r="O69" t="n">
        <v>0</v>
      </c>
      <c r="P69" t="n">
        <v>0</v>
      </c>
      <c r="Q69" t="n">
        <v>0</v>
      </c>
      <c r="R69" s="2" t="inlineStr"/>
    </row>
    <row r="70" ht="15" customHeight="1">
      <c r="A70" t="inlineStr">
        <is>
          <t>A 73788-2021</t>
        </is>
      </c>
      <c r="B70" s="1" t="n">
        <v>44552</v>
      </c>
      <c r="C70" s="1" t="n">
        <v>46129</v>
      </c>
      <c r="D70" t="inlineStr">
        <is>
          <t>VÄSTMANLANDS LÄN</t>
        </is>
      </c>
      <c r="E70" t="inlineStr">
        <is>
          <t>SALA</t>
        </is>
      </c>
      <c r="G70" t="n">
        <v>0.8</v>
      </c>
      <c r="H70" t="n">
        <v>0</v>
      </c>
      <c r="I70" t="n">
        <v>0</v>
      </c>
      <c r="J70" t="n">
        <v>0</v>
      </c>
      <c r="K70" t="n">
        <v>0</v>
      </c>
      <c r="L70" t="n">
        <v>0</v>
      </c>
      <c r="M70" t="n">
        <v>0</v>
      </c>
      <c r="N70" t="n">
        <v>0</v>
      </c>
      <c r="O70" t="n">
        <v>0</v>
      </c>
      <c r="P70" t="n">
        <v>0</v>
      </c>
      <c r="Q70" t="n">
        <v>0</v>
      </c>
      <c r="R70" s="2" t="inlineStr"/>
    </row>
    <row r="71" ht="15" customHeight="1">
      <c r="A71" t="inlineStr">
        <is>
          <t>A 34110-2022</t>
        </is>
      </c>
      <c r="B71" s="1" t="n">
        <v>44791</v>
      </c>
      <c r="C71" s="1" t="n">
        <v>46129</v>
      </c>
      <c r="D71" t="inlineStr">
        <is>
          <t>VÄSTMANLANDS LÄN</t>
        </is>
      </c>
      <c r="E71" t="inlineStr">
        <is>
          <t>SALA</t>
        </is>
      </c>
      <c r="G71" t="n">
        <v>0.2</v>
      </c>
      <c r="H71" t="n">
        <v>0</v>
      </c>
      <c r="I71" t="n">
        <v>0</v>
      </c>
      <c r="J71" t="n">
        <v>0</v>
      </c>
      <c r="K71" t="n">
        <v>0</v>
      </c>
      <c r="L71" t="n">
        <v>0</v>
      </c>
      <c r="M71" t="n">
        <v>0</v>
      </c>
      <c r="N71" t="n">
        <v>0</v>
      </c>
      <c r="O71" t="n">
        <v>0</v>
      </c>
      <c r="P71" t="n">
        <v>0</v>
      </c>
      <c r="Q71" t="n">
        <v>0</v>
      </c>
      <c r="R71" s="2" t="inlineStr"/>
    </row>
    <row r="72" ht="15" customHeight="1">
      <c r="A72" t="inlineStr">
        <is>
          <t>A 43292-2021</t>
        </is>
      </c>
      <c r="B72" s="1" t="n">
        <v>44432</v>
      </c>
      <c r="C72" s="1" t="n">
        <v>46129</v>
      </c>
      <c r="D72" t="inlineStr">
        <is>
          <t>VÄSTMANLANDS LÄN</t>
        </is>
      </c>
      <c r="E72" t="inlineStr">
        <is>
          <t>SALA</t>
        </is>
      </c>
      <c r="G72" t="n">
        <v>15</v>
      </c>
      <c r="H72" t="n">
        <v>0</v>
      </c>
      <c r="I72" t="n">
        <v>0</v>
      </c>
      <c r="J72" t="n">
        <v>0</v>
      </c>
      <c r="K72" t="n">
        <v>0</v>
      </c>
      <c r="L72" t="n">
        <v>0</v>
      </c>
      <c r="M72" t="n">
        <v>0</v>
      </c>
      <c r="N72" t="n">
        <v>0</v>
      </c>
      <c r="O72" t="n">
        <v>0</v>
      </c>
      <c r="P72" t="n">
        <v>0</v>
      </c>
      <c r="Q72" t="n">
        <v>0</v>
      </c>
      <c r="R72" s="2" t="inlineStr"/>
    </row>
    <row r="73" ht="15" customHeight="1">
      <c r="A73" t="inlineStr">
        <is>
          <t>A 28999-2022</t>
        </is>
      </c>
      <c r="B73" s="1" t="n">
        <v>44749</v>
      </c>
      <c r="C73" s="1" t="n">
        <v>46129</v>
      </c>
      <c r="D73" t="inlineStr">
        <is>
          <t>VÄSTMANLANDS LÄN</t>
        </is>
      </c>
      <c r="E73" t="inlineStr">
        <is>
          <t>SALA</t>
        </is>
      </c>
      <c r="G73" t="n">
        <v>5.7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46129</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46129</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46129</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46129</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46129</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46129</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46129</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46129</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46129</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46129</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46129</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46129</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46129</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46129</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46129</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46129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46129</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46129</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46129</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46129</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46129</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46129</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46129</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46129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46129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46129</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46129</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46129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46129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46129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46129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46129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46129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46129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46129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46129</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46129</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46129</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46129</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46129</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46129</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46129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46129</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46129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46129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46129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46129</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46129</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46129</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46129</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46129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46129</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46129</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46129</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46129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46129</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46129</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46129</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46129</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46129</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46129</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46129</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46129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46129</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46129</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46129</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46129</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46129</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46129</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46129</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46129</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46129</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46129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46129</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46129</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46129</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46129</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46129</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46129</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46129</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46129</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46129</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46129</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46129</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46129</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46129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46129</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44879.87533564815</v>
      </c>
      <c r="C161" s="1" t="n">
        <v>46129</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46129</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46129</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46129</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46129</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46129</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46129</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40113-2022</t>
        </is>
      </c>
      <c r="B168" s="1" t="n">
        <v>44819</v>
      </c>
      <c r="C168" s="1" t="n">
        <v>46129</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29233-2022</t>
        </is>
      </c>
      <c r="B169" s="1" t="n">
        <v>44750</v>
      </c>
      <c r="C169" s="1" t="n">
        <v>46129</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41876-2022</t>
        </is>
      </c>
      <c r="B170" s="1" t="n">
        <v>44829.97008101852</v>
      </c>
      <c r="C170" s="1" t="n">
        <v>46129</v>
      </c>
      <c r="D170" t="inlineStr">
        <is>
          <t>VÄSTMANLANDS LÄN</t>
        </is>
      </c>
      <c r="E170" t="inlineStr">
        <is>
          <t>SALA</t>
        </is>
      </c>
      <c r="G170" t="n">
        <v>3.6</v>
      </c>
      <c r="H170" t="n">
        <v>0</v>
      </c>
      <c r="I170" t="n">
        <v>0</v>
      </c>
      <c r="J170" t="n">
        <v>0</v>
      </c>
      <c r="K170" t="n">
        <v>0</v>
      </c>
      <c r="L170" t="n">
        <v>0</v>
      </c>
      <c r="M170" t="n">
        <v>0</v>
      </c>
      <c r="N170" t="n">
        <v>0</v>
      </c>
      <c r="O170" t="n">
        <v>0</v>
      </c>
      <c r="P170" t="n">
        <v>0</v>
      </c>
      <c r="Q170" t="n">
        <v>0</v>
      </c>
      <c r="R170" s="2" t="inlineStr"/>
    </row>
    <row r="171" ht="15" customHeight="1">
      <c r="A171" t="inlineStr">
        <is>
          <t>A 67958-2021</t>
        </is>
      </c>
      <c r="B171" s="1" t="n">
        <v>44525</v>
      </c>
      <c r="C171" s="1" t="n">
        <v>46129</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46129</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45015-2022</t>
        </is>
      </c>
      <c r="B173" s="1" t="n">
        <v>44841.63766203704</v>
      </c>
      <c r="C173" s="1" t="n">
        <v>46129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10168-2022</t>
        </is>
      </c>
      <c r="B174" s="1" t="n">
        <v>44622.37693287037</v>
      </c>
      <c r="C174" s="1" t="n">
        <v>46129</v>
      </c>
      <c r="D174" t="inlineStr">
        <is>
          <t>VÄSTMANLANDS LÄN</t>
        </is>
      </c>
      <c r="E174" t="inlineStr">
        <is>
          <t>SALA</t>
        </is>
      </c>
      <c r="G174" t="n">
        <v>2.1</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46129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26579-2021</t>
        </is>
      </c>
      <c r="B176" s="1" t="n">
        <v>44348</v>
      </c>
      <c r="C176" s="1" t="n">
        <v>46129</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46129</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54910-2023</t>
        </is>
      </c>
      <c r="B178" s="1" t="n">
        <v>45229</v>
      </c>
      <c r="C178" s="1" t="n">
        <v>46129</v>
      </c>
      <c r="D178" t="inlineStr">
        <is>
          <t>VÄSTMANLANDS LÄN</t>
        </is>
      </c>
      <c r="E178" t="inlineStr">
        <is>
          <t>SALA</t>
        </is>
      </c>
      <c r="G178" t="n">
        <v>2.4</v>
      </c>
      <c r="H178" t="n">
        <v>0</v>
      </c>
      <c r="I178" t="n">
        <v>0</v>
      </c>
      <c r="J178" t="n">
        <v>0</v>
      </c>
      <c r="K178" t="n">
        <v>0</v>
      </c>
      <c r="L178" t="n">
        <v>0</v>
      </c>
      <c r="M178" t="n">
        <v>0</v>
      </c>
      <c r="N178" t="n">
        <v>0</v>
      </c>
      <c r="O178" t="n">
        <v>0</v>
      </c>
      <c r="P178" t="n">
        <v>0</v>
      </c>
      <c r="Q178" t="n">
        <v>0</v>
      </c>
      <c r="R178" s="2" t="inlineStr"/>
    </row>
    <row r="179" ht="15" customHeight="1">
      <c r="A179" t="inlineStr">
        <is>
          <t>A 62449-2023</t>
        </is>
      </c>
      <c r="B179" s="1" t="n">
        <v>45268.49008101852</v>
      </c>
      <c r="C179" s="1" t="n">
        <v>46129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17458-2024</t>
        </is>
      </c>
      <c r="B180" s="1" t="n">
        <v>45415</v>
      </c>
      <c r="C180" s="1" t="n">
        <v>46129</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46129</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46129</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46129</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46129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46129</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6097-2022</t>
        </is>
      </c>
      <c r="B186" s="1" t="n">
        <v>44599</v>
      </c>
      <c r="C186" s="1" t="n">
        <v>46129</v>
      </c>
      <c r="D186" t="inlineStr">
        <is>
          <t>VÄSTMANLANDS LÄN</t>
        </is>
      </c>
      <c r="E186" t="inlineStr">
        <is>
          <t>SALA</t>
        </is>
      </c>
      <c r="G186" t="n">
        <v>0.6</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46129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46129</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46129</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12246-2023</t>
        </is>
      </c>
      <c r="B190" s="1" t="n">
        <v>44995</v>
      </c>
      <c r="C190" s="1" t="n">
        <v>46129</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33732-2023</t>
        </is>
      </c>
      <c r="B191" s="1" t="n">
        <v>45133.32409722222</v>
      </c>
      <c r="C191" s="1" t="n">
        <v>46129</v>
      </c>
      <c r="D191" t="inlineStr">
        <is>
          <t>VÄSTMANLANDS LÄN</t>
        </is>
      </c>
      <c r="E191" t="inlineStr">
        <is>
          <t>SALA</t>
        </is>
      </c>
      <c r="G191" t="n">
        <v>2</v>
      </c>
      <c r="H191" t="n">
        <v>0</v>
      </c>
      <c r="I191" t="n">
        <v>0</v>
      </c>
      <c r="J191" t="n">
        <v>0</v>
      </c>
      <c r="K191" t="n">
        <v>0</v>
      </c>
      <c r="L191" t="n">
        <v>0</v>
      </c>
      <c r="M191" t="n">
        <v>0</v>
      </c>
      <c r="N191" t="n">
        <v>0</v>
      </c>
      <c r="O191" t="n">
        <v>0</v>
      </c>
      <c r="P191" t="n">
        <v>0</v>
      </c>
      <c r="Q191" t="n">
        <v>0</v>
      </c>
      <c r="R191" s="2" t="inlineStr"/>
    </row>
    <row r="192" ht="15" customHeight="1">
      <c r="A192" t="inlineStr">
        <is>
          <t>A 42447-2022</t>
        </is>
      </c>
      <c r="B192" s="1" t="n">
        <v>44831</v>
      </c>
      <c r="C192" s="1" t="n">
        <v>46129</v>
      </c>
      <c r="D192" t="inlineStr">
        <is>
          <t>VÄSTMANLANDS LÄN</t>
        </is>
      </c>
      <c r="E192" t="inlineStr">
        <is>
          <t>SALA</t>
        </is>
      </c>
      <c r="G192" t="n">
        <v>1.1</v>
      </c>
      <c r="H192" t="n">
        <v>0</v>
      </c>
      <c r="I192" t="n">
        <v>0</v>
      </c>
      <c r="J192" t="n">
        <v>0</v>
      </c>
      <c r="K192" t="n">
        <v>0</v>
      </c>
      <c r="L192" t="n">
        <v>0</v>
      </c>
      <c r="M192" t="n">
        <v>0</v>
      </c>
      <c r="N192" t="n">
        <v>0</v>
      </c>
      <c r="O192" t="n">
        <v>0</v>
      </c>
      <c r="P192" t="n">
        <v>0</v>
      </c>
      <c r="Q192" t="n">
        <v>0</v>
      </c>
      <c r="R192" s="2" t="inlineStr"/>
    </row>
    <row r="193" ht="15" customHeight="1">
      <c r="A193" t="inlineStr">
        <is>
          <t>A 59909-2024</t>
        </is>
      </c>
      <c r="B193" s="1" t="n">
        <v>45641</v>
      </c>
      <c r="C193" s="1" t="n">
        <v>46129</v>
      </c>
      <c r="D193" t="inlineStr">
        <is>
          <t>VÄSTMANLANDS LÄN</t>
        </is>
      </c>
      <c r="E193" t="inlineStr">
        <is>
          <t>SALA</t>
        </is>
      </c>
      <c r="G193" t="n">
        <v>2.1</v>
      </c>
      <c r="H193" t="n">
        <v>0</v>
      </c>
      <c r="I193" t="n">
        <v>0</v>
      </c>
      <c r="J193" t="n">
        <v>0</v>
      </c>
      <c r="K193" t="n">
        <v>0</v>
      </c>
      <c r="L193" t="n">
        <v>0</v>
      </c>
      <c r="M193" t="n">
        <v>0</v>
      </c>
      <c r="N193" t="n">
        <v>0</v>
      </c>
      <c r="O193" t="n">
        <v>0</v>
      </c>
      <c r="P193" t="n">
        <v>0</v>
      </c>
      <c r="Q193" t="n">
        <v>0</v>
      </c>
      <c r="R193" s="2" t="inlineStr"/>
    </row>
    <row r="194" ht="15" customHeight="1">
      <c r="A194" t="inlineStr">
        <is>
          <t>A 51464-2024</t>
        </is>
      </c>
      <c r="B194" s="1" t="n">
        <v>45604.49768518518</v>
      </c>
      <c r="C194" s="1" t="n">
        <v>46129</v>
      </c>
      <c r="D194" t="inlineStr">
        <is>
          <t>VÄSTMANLANDS LÄN</t>
        </is>
      </c>
      <c r="E194" t="inlineStr">
        <is>
          <t>SALA</t>
        </is>
      </c>
      <c r="G194" t="n">
        <v>3.9</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46129</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54603-2024</t>
        </is>
      </c>
      <c r="B196" s="1" t="n">
        <v>45617.68224537037</v>
      </c>
      <c r="C196" s="1" t="n">
        <v>46129</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46129</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58107-2021</t>
        </is>
      </c>
      <c r="B198" s="1" t="n">
        <v>44487</v>
      </c>
      <c r="C198" s="1" t="n">
        <v>46129</v>
      </c>
      <c r="D198" t="inlineStr">
        <is>
          <t>VÄSTMANLANDS LÄN</t>
        </is>
      </c>
      <c r="E198" t="inlineStr">
        <is>
          <t>SALA</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46129</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46129</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46129</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43600-2024</t>
        </is>
      </c>
      <c r="B202" s="1" t="n">
        <v>45569</v>
      </c>
      <c r="C202" s="1" t="n">
        <v>46129</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31405-2024</t>
        </is>
      </c>
      <c r="B203" s="1" t="n">
        <v>45505.5490625</v>
      </c>
      <c r="C203" s="1" t="n">
        <v>46129</v>
      </c>
      <c r="D203" t="inlineStr">
        <is>
          <t>VÄSTMANLANDS LÄN</t>
        </is>
      </c>
      <c r="E203" t="inlineStr">
        <is>
          <t>SALA</t>
        </is>
      </c>
      <c r="G203" t="n">
        <v>5.2</v>
      </c>
      <c r="H203" t="n">
        <v>0</v>
      </c>
      <c r="I203" t="n">
        <v>0</v>
      </c>
      <c r="J203" t="n">
        <v>0</v>
      </c>
      <c r="K203" t="n">
        <v>0</v>
      </c>
      <c r="L203" t="n">
        <v>0</v>
      </c>
      <c r="M203" t="n">
        <v>0</v>
      </c>
      <c r="N203" t="n">
        <v>0</v>
      </c>
      <c r="O203" t="n">
        <v>0</v>
      </c>
      <c r="P203" t="n">
        <v>0</v>
      </c>
      <c r="Q203" t="n">
        <v>0</v>
      </c>
      <c r="R203" s="2" t="inlineStr"/>
    </row>
    <row r="204" ht="15" customHeight="1">
      <c r="A204" t="inlineStr">
        <is>
          <t>A 22616-2025</t>
        </is>
      </c>
      <c r="B204" s="1" t="n">
        <v>45789.42752314815</v>
      </c>
      <c r="C204" s="1" t="n">
        <v>46129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22353-2025</t>
        </is>
      </c>
      <c r="B205" s="1" t="n">
        <v>45786</v>
      </c>
      <c r="C205" s="1" t="n">
        <v>46129</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61517-2024</t>
        </is>
      </c>
      <c r="B206" s="1" t="n">
        <v>45645</v>
      </c>
      <c r="C206" s="1" t="n">
        <v>46129</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46129</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55997-2025</t>
        </is>
      </c>
      <c r="B208" s="1" t="n">
        <v>45973.56833333334</v>
      </c>
      <c r="C208" s="1" t="n">
        <v>46129</v>
      </c>
      <c r="D208" t="inlineStr">
        <is>
          <t>VÄSTMANLANDS LÄN</t>
        </is>
      </c>
      <c r="E208" t="inlineStr">
        <is>
          <t>SALA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1638-2023</t>
        </is>
      </c>
      <c r="B209" s="1" t="n">
        <v>44937</v>
      </c>
      <c r="C209" s="1" t="n">
        <v>46129</v>
      </c>
      <c r="D209" t="inlineStr">
        <is>
          <t>VÄSTMANLANDS LÄN</t>
        </is>
      </c>
      <c r="E209" t="inlineStr">
        <is>
          <t>SALA</t>
        </is>
      </c>
      <c r="G209" t="n">
        <v>3.1</v>
      </c>
      <c r="H209" t="n">
        <v>0</v>
      </c>
      <c r="I209" t="n">
        <v>0</v>
      </c>
      <c r="J209" t="n">
        <v>0</v>
      </c>
      <c r="K209" t="n">
        <v>0</v>
      </c>
      <c r="L209" t="n">
        <v>0</v>
      </c>
      <c r="M209" t="n">
        <v>0</v>
      </c>
      <c r="N209" t="n">
        <v>0</v>
      </c>
      <c r="O209" t="n">
        <v>0</v>
      </c>
      <c r="P209" t="n">
        <v>0</v>
      </c>
      <c r="Q209" t="n">
        <v>0</v>
      </c>
      <c r="R209" s="2" t="inlineStr"/>
    </row>
    <row r="210" ht="15" customHeight="1">
      <c r="A210" t="inlineStr">
        <is>
          <t>A 38574-2025</t>
        </is>
      </c>
      <c r="B210" s="1" t="n">
        <v>45884.46390046296</v>
      </c>
      <c r="C210" s="1" t="n">
        <v>46129</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22624-2025</t>
        </is>
      </c>
      <c r="B211" s="1" t="n">
        <v>45789.43327546296</v>
      </c>
      <c r="C211" s="1" t="n">
        <v>46129</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55714-2025</t>
        </is>
      </c>
      <c r="B212" s="1" t="n">
        <v>45972.49131944445</v>
      </c>
      <c r="C212" s="1" t="n">
        <v>46129</v>
      </c>
      <c r="D212" t="inlineStr">
        <is>
          <t>VÄSTMANLANDS LÄN</t>
        </is>
      </c>
      <c r="E212" t="inlineStr">
        <is>
          <t>SALA</t>
        </is>
      </c>
      <c r="G212" t="n">
        <v>6.6</v>
      </c>
      <c r="H212" t="n">
        <v>0</v>
      </c>
      <c r="I212" t="n">
        <v>0</v>
      </c>
      <c r="J212" t="n">
        <v>0</v>
      </c>
      <c r="K212" t="n">
        <v>0</v>
      </c>
      <c r="L212" t="n">
        <v>0</v>
      </c>
      <c r="M212" t="n">
        <v>0</v>
      </c>
      <c r="N212" t="n">
        <v>0</v>
      </c>
      <c r="O212" t="n">
        <v>0</v>
      </c>
      <c r="P212" t="n">
        <v>0</v>
      </c>
      <c r="Q212" t="n">
        <v>0</v>
      </c>
      <c r="R212" s="2" t="inlineStr"/>
    </row>
    <row r="213" ht="15" customHeight="1">
      <c r="A213" t="inlineStr">
        <is>
          <t>A 15972-2024</t>
        </is>
      </c>
      <c r="B213" s="1" t="n">
        <v>45405.56498842593</v>
      </c>
      <c r="C213" s="1" t="n">
        <v>46129</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22370-2025</t>
        </is>
      </c>
      <c r="B214" s="1" t="n">
        <v>45786</v>
      </c>
      <c r="C214" s="1" t="n">
        <v>46129</v>
      </c>
      <c r="D214" t="inlineStr">
        <is>
          <t>VÄSTMANLANDS LÄN</t>
        </is>
      </c>
      <c r="E214" t="inlineStr">
        <is>
          <t>SALA</t>
        </is>
      </c>
      <c r="G214" t="n">
        <v>3.2</v>
      </c>
      <c r="H214" t="n">
        <v>0</v>
      </c>
      <c r="I214" t="n">
        <v>0</v>
      </c>
      <c r="J214" t="n">
        <v>0</v>
      </c>
      <c r="K214" t="n">
        <v>0</v>
      </c>
      <c r="L214" t="n">
        <v>0</v>
      </c>
      <c r="M214" t="n">
        <v>0</v>
      </c>
      <c r="N214" t="n">
        <v>0</v>
      </c>
      <c r="O214" t="n">
        <v>0</v>
      </c>
      <c r="P214" t="n">
        <v>0</v>
      </c>
      <c r="Q214" t="n">
        <v>0</v>
      </c>
      <c r="R214" s="2" t="inlineStr"/>
    </row>
    <row r="215" ht="15" customHeight="1">
      <c r="A215" t="inlineStr">
        <is>
          <t>A 56593-2025</t>
        </is>
      </c>
      <c r="B215" s="1" t="n">
        <v>45975</v>
      </c>
      <c r="C215" s="1" t="n">
        <v>46129</v>
      </c>
      <c r="D215" t="inlineStr">
        <is>
          <t>VÄSTMANLANDS LÄN</t>
        </is>
      </c>
      <c r="E215" t="inlineStr">
        <is>
          <t>SALA</t>
        </is>
      </c>
      <c r="F215" t="inlineStr">
        <is>
          <t>Kyrkan</t>
        </is>
      </c>
      <c r="G215" t="n">
        <v>0.1</v>
      </c>
      <c r="H215" t="n">
        <v>0</v>
      </c>
      <c r="I215" t="n">
        <v>0</v>
      </c>
      <c r="J215" t="n">
        <v>0</v>
      </c>
      <c r="K215" t="n">
        <v>0</v>
      </c>
      <c r="L215" t="n">
        <v>0</v>
      </c>
      <c r="M215" t="n">
        <v>0</v>
      </c>
      <c r="N215" t="n">
        <v>0</v>
      </c>
      <c r="O215" t="n">
        <v>0</v>
      </c>
      <c r="P215" t="n">
        <v>0</v>
      </c>
      <c r="Q215" t="n">
        <v>0</v>
      </c>
      <c r="R215" s="2" t="inlineStr"/>
    </row>
    <row r="216" ht="15" customHeight="1">
      <c r="A216" t="inlineStr">
        <is>
          <t>A 37958-2024</t>
        </is>
      </c>
      <c r="B216" s="1" t="n">
        <v>45544</v>
      </c>
      <c r="C216" s="1" t="n">
        <v>46129</v>
      </c>
      <c r="D216" t="inlineStr">
        <is>
          <t>VÄSTMANLANDS LÄN</t>
        </is>
      </c>
      <c r="E216" t="inlineStr">
        <is>
          <t>SALA</t>
        </is>
      </c>
      <c r="G216" t="n">
        <v>5.6</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46129</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56645-2025</t>
        </is>
      </c>
      <c r="B218" s="1" t="n">
        <v>45975.63063657407</v>
      </c>
      <c r="C218" s="1" t="n">
        <v>46129</v>
      </c>
      <c r="D218" t="inlineStr">
        <is>
          <t>VÄSTMANLANDS LÄN</t>
        </is>
      </c>
      <c r="E218" t="inlineStr">
        <is>
          <t>SALA</t>
        </is>
      </c>
      <c r="F218" t="inlineStr">
        <is>
          <t>Bergvik skog öst AB</t>
        </is>
      </c>
      <c r="G218" t="n">
        <v>5.3</v>
      </c>
      <c r="H218" t="n">
        <v>0</v>
      </c>
      <c r="I218" t="n">
        <v>0</v>
      </c>
      <c r="J218" t="n">
        <v>0</v>
      </c>
      <c r="K218" t="n">
        <v>0</v>
      </c>
      <c r="L218" t="n">
        <v>0</v>
      </c>
      <c r="M218" t="n">
        <v>0</v>
      </c>
      <c r="N218" t="n">
        <v>0</v>
      </c>
      <c r="O218" t="n">
        <v>0</v>
      </c>
      <c r="P218" t="n">
        <v>0</v>
      </c>
      <c r="Q218" t="n">
        <v>0</v>
      </c>
      <c r="R218" s="2" t="inlineStr"/>
    </row>
    <row r="219" ht="15" customHeight="1">
      <c r="A219" t="inlineStr">
        <is>
          <t>A 56502-2025</t>
        </is>
      </c>
      <c r="B219" s="1" t="n">
        <v>45975</v>
      </c>
      <c r="C219" s="1" t="n">
        <v>46129</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31864-2025</t>
        </is>
      </c>
      <c r="B220" s="1" t="n">
        <v>45834.63819444444</v>
      </c>
      <c r="C220" s="1" t="n">
        <v>46129</v>
      </c>
      <c r="D220" t="inlineStr">
        <is>
          <t>VÄSTMANLANDS LÄN</t>
        </is>
      </c>
      <c r="E220" t="inlineStr">
        <is>
          <t>SALA</t>
        </is>
      </c>
      <c r="G220" t="n">
        <v>6.3</v>
      </c>
      <c r="H220" t="n">
        <v>0</v>
      </c>
      <c r="I220" t="n">
        <v>0</v>
      </c>
      <c r="J220" t="n">
        <v>0</v>
      </c>
      <c r="K220" t="n">
        <v>0</v>
      </c>
      <c r="L220" t="n">
        <v>0</v>
      </c>
      <c r="M220" t="n">
        <v>0</v>
      </c>
      <c r="N220" t="n">
        <v>0</v>
      </c>
      <c r="O220" t="n">
        <v>0</v>
      </c>
      <c r="P220" t="n">
        <v>0</v>
      </c>
      <c r="Q220" t="n">
        <v>0</v>
      </c>
      <c r="R220" s="2" t="inlineStr"/>
    </row>
    <row r="221" ht="15" customHeight="1">
      <c r="A221" t="inlineStr">
        <is>
          <t>A 1555-2024</t>
        </is>
      </c>
      <c r="B221" s="1" t="n">
        <v>45306</v>
      </c>
      <c r="C221" s="1" t="n">
        <v>46129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56614-2025</t>
        </is>
      </c>
      <c r="B222" s="1" t="n">
        <v>45975.59288194445</v>
      </c>
      <c r="C222" s="1" t="n">
        <v>46129</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56611-2025</t>
        </is>
      </c>
      <c r="B223" s="1" t="n">
        <v>45975</v>
      </c>
      <c r="C223" s="1" t="n">
        <v>46129</v>
      </c>
      <c r="D223" t="inlineStr">
        <is>
          <t>VÄSTMANLANDS LÄN</t>
        </is>
      </c>
      <c r="E223" t="inlineStr">
        <is>
          <t>SALA</t>
        </is>
      </c>
      <c r="G223" t="n">
        <v>2.8</v>
      </c>
      <c r="H223" t="n">
        <v>0</v>
      </c>
      <c r="I223" t="n">
        <v>0</v>
      </c>
      <c r="J223" t="n">
        <v>0</v>
      </c>
      <c r="K223" t="n">
        <v>0</v>
      </c>
      <c r="L223" t="n">
        <v>0</v>
      </c>
      <c r="M223" t="n">
        <v>0</v>
      </c>
      <c r="N223" t="n">
        <v>0</v>
      </c>
      <c r="O223" t="n">
        <v>0</v>
      </c>
      <c r="P223" t="n">
        <v>0</v>
      </c>
      <c r="Q223" t="n">
        <v>0</v>
      </c>
      <c r="R223" s="2" t="inlineStr"/>
    </row>
    <row r="224" ht="15" customHeight="1">
      <c r="A224" t="inlineStr">
        <is>
          <t>A 23804-2025</t>
        </is>
      </c>
      <c r="B224" s="1" t="n">
        <v>45793.55995370371</v>
      </c>
      <c r="C224" s="1" t="n">
        <v>46129</v>
      </c>
      <c r="D224" t="inlineStr">
        <is>
          <t>VÄSTMANLANDS LÄN</t>
        </is>
      </c>
      <c r="E224" t="inlineStr">
        <is>
          <t>SALA</t>
        </is>
      </c>
      <c r="G224" t="n">
        <v>1.9</v>
      </c>
      <c r="H224" t="n">
        <v>0</v>
      </c>
      <c r="I224" t="n">
        <v>0</v>
      </c>
      <c r="J224" t="n">
        <v>0</v>
      </c>
      <c r="K224" t="n">
        <v>0</v>
      </c>
      <c r="L224" t="n">
        <v>0</v>
      </c>
      <c r="M224" t="n">
        <v>0</v>
      </c>
      <c r="N224" t="n">
        <v>0</v>
      </c>
      <c r="O224" t="n">
        <v>0</v>
      </c>
      <c r="P224" t="n">
        <v>0</v>
      </c>
      <c r="Q224" t="n">
        <v>0</v>
      </c>
      <c r="R224" s="2" t="inlineStr"/>
    </row>
    <row r="225" ht="15" customHeight="1">
      <c r="A225" t="inlineStr">
        <is>
          <t>A 22126-2025</t>
        </is>
      </c>
      <c r="B225" s="1" t="n">
        <v>45785</v>
      </c>
      <c r="C225" s="1" t="n">
        <v>46129</v>
      </c>
      <c r="D225" t="inlineStr">
        <is>
          <t>VÄSTMANLANDS LÄN</t>
        </is>
      </c>
      <c r="E225" t="inlineStr">
        <is>
          <t>SALA</t>
        </is>
      </c>
      <c r="G225" t="n">
        <v>10.6</v>
      </c>
      <c r="H225" t="n">
        <v>0</v>
      </c>
      <c r="I225" t="n">
        <v>0</v>
      </c>
      <c r="J225" t="n">
        <v>0</v>
      </c>
      <c r="K225" t="n">
        <v>0</v>
      </c>
      <c r="L225" t="n">
        <v>0</v>
      </c>
      <c r="M225" t="n">
        <v>0</v>
      </c>
      <c r="N225" t="n">
        <v>0</v>
      </c>
      <c r="O225" t="n">
        <v>0</v>
      </c>
      <c r="P225" t="n">
        <v>0</v>
      </c>
      <c r="Q225" t="n">
        <v>0</v>
      </c>
      <c r="R225" s="2" t="inlineStr"/>
    </row>
    <row r="226" ht="15" customHeight="1">
      <c r="A226" t="inlineStr">
        <is>
          <t>A 19297-2025</t>
        </is>
      </c>
      <c r="B226" s="1" t="n">
        <v>45769.56261574074</v>
      </c>
      <c r="C226" s="1" t="n">
        <v>46129</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46129</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46129</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23810-2025</t>
        </is>
      </c>
      <c r="B229" s="1" t="n">
        <v>45793.56989583333</v>
      </c>
      <c r="C229" s="1" t="n">
        <v>46129</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15756-2025</t>
        </is>
      </c>
      <c r="B230" s="1" t="n">
        <v>45748.56810185185</v>
      </c>
      <c r="C230" s="1" t="n">
        <v>46129</v>
      </c>
      <c r="D230" t="inlineStr">
        <is>
          <t>VÄSTMANLANDS LÄN</t>
        </is>
      </c>
      <c r="E230" t="inlineStr">
        <is>
          <t>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24169-2025</t>
        </is>
      </c>
      <c r="B231" s="1" t="n">
        <v>45796</v>
      </c>
      <c r="C231" s="1" t="n">
        <v>46129</v>
      </c>
      <c r="D231" t="inlineStr">
        <is>
          <t>VÄSTMANLANDS LÄN</t>
        </is>
      </c>
      <c r="E231" t="inlineStr">
        <is>
          <t>SALA</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11210-2025</t>
        </is>
      </c>
      <c r="B232" s="1" t="n">
        <v>45726</v>
      </c>
      <c r="C232" s="1" t="n">
        <v>46129</v>
      </c>
      <c r="D232" t="inlineStr">
        <is>
          <t>VÄSTMANLANDS LÄN</t>
        </is>
      </c>
      <c r="E232" t="inlineStr">
        <is>
          <t>SALA</t>
        </is>
      </c>
      <c r="G232" t="n">
        <v>4.1</v>
      </c>
      <c r="H232" t="n">
        <v>0</v>
      </c>
      <c r="I232" t="n">
        <v>0</v>
      </c>
      <c r="J232" t="n">
        <v>0</v>
      </c>
      <c r="K232" t="n">
        <v>0</v>
      </c>
      <c r="L232" t="n">
        <v>0</v>
      </c>
      <c r="M232" t="n">
        <v>0</v>
      </c>
      <c r="N232" t="n">
        <v>0</v>
      </c>
      <c r="O232" t="n">
        <v>0</v>
      </c>
      <c r="P232" t="n">
        <v>0</v>
      </c>
      <c r="Q232" t="n">
        <v>0</v>
      </c>
      <c r="R232" s="2" t="inlineStr"/>
    </row>
    <row r="233" ht="15" customHeight="1">
      <c r="A233" t="inlineStr">
        <is>
          <t>A 31000-2022</t>
        </is>
      </c>
      <c r="B233" s="1" t="n">
        <v>44768</v>
      </c>
      <c r="C233" s="1" t="n">
        <v>46129</v>
      </c>
      <c r="D233" t="inlineStr">
        <is>
          <t>VÄSTMANLANDS LÄN</t>
        </is>
      </c>
      <c r="E233" t="inlineStr">
        <is>
          <t>SALA</t>
        </is>
      </c>
      <c r="G233" t="n">
        <v>5.7</v>
      </c>
      <c r="H233" t="n">
        <v>0</v>
      </c>
      <c r="I233" t="n">
        <v>0</v>
      </c>
      <c r="J233" t="n">
        <v>0</v>
      </c>
      <c r="K233" t="n">
        <v>0</v>
      </c>
      <c r="L233" t="n">
        <v>0</v>
      </c>
      <c r="M233" t="n">
        <v>0</v>
      </c>
      <c r="N233" t="n">
        <v>0</v>
      </c>
      <c r="O233" t="n">
        <v>0</v>
      </c>
      <c r="P233" t="n">
        <v>0</v>
      </c>
      <c r="Q233" t="n">
        <v>0</v>
      </c>
      <c r="R233" s="2" t="inlineStr"/>
    </row>
    <row r="234" ht="15" customHeight="1">
      <c r="A234" t="inlineStr">
        <is>
          <t>A 24944-2023</t>
        </is>
      </c>
      <c r="B234" s="1" t="n">
        <v>45085</v>
      </c>
      <c r="C234" s="1" t="n">
        <v>46129</v>
      </c>
      <c r="D234" t="inlineStr">
        <is>
          <t>VÄSTMANLANDS LÄN</t>
        </is>
      </c>
      <c r="E234" t="inlineStr">
        <is>
          <t>SALA</t>
        </is>
      </c>
      <c r="G234" t="n">
        <v>3.8</v>
      </c>
      <c r="H234" t="n">
        <v>0</v>
      </c>
      <c r="I234" t="n">
        <v>0</v>
      </c>
      <c r="J234" t="n">
        <v>0</v>
      </c>
      <c r="K234" t="n">
        <v>0</v>
      </c>
      <c r="L234" t="n">
        <v>0</v>
      </c>
      <c r="M234" t="n">
        <v>0</v>
      </c>
      <c r="N234" t="n">
        <v>0</v>
      </c>
      <c r="O234" t="n">
        <v>0</v>
      </c>
      <c r="P234" t="n">
        <v>0</v>
      </c>
      <c r="Q234" t="n">
        <v>0</v>
      </c>
      <c r="R234" s="2" t="inlineStr"/>
    </row>
    <row r="235" ht="15" customHeight="1">
      <c r="A235" t="inlineStr">
        <is>
          <t>A 37183-2024</t>
        </is>
      </c>
      <c r="B235" s="1" t="n">
        <v>45539</v>
      </c>
      <c r="C235" s="1" t="n">
        <v>46129</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46129</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27229-2022</t>
        </is>
      </c>
      <c r="B237" s="1" t="n">
        <v>44741</v>
      </c>
      <c r="C237" s="1" t="n">
        <v>46129</v>
      </c>
      <c r="D237" t="inlineStr">
        <is>
          <t>VÄSTMANLANDS LÄN</t>
        </is>
      </c>
      <c r="E237" t="inlineStr">
        <is>
          <t>SALA</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1793-2023</t>
        </is>
      </c>
      <c r="B238" s="1" t="n">
        <v>44937</v>
      </c>
      <c r="C238" s="1" t="n">
        <v>46129</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29248-2022</t>
        </is>
      </c>
      <c r="B239" s="1" t="n">
        <v>44750</v>
      </c>
      <c r="C239" s="1" t="n">
        <v>46129</v>
      </c>
      <c r="D239" t="inlineStr">
        <is>
          <t>VÄSTMANLANDS LÄN</t>
        </is>
      </c>
      <c r="E239" t="inlineStr">
        <is>
          <t>SALA</t>
        </is>
      </c>
      <c r="G239" t="n">
        <v>1.6</v>
      </c>
      <c r="H239" t="n">
        <v>0</v>
      </c>
      <c r="I239" t="n">
        <v>0</v>
      </c>
      <c r="J239" t="n">
        <v>0</v>
      </c>
      <c r="K239" t="n">
        <v>0</v>
      </c>
      <c r="L239" t="n">
        <v>0</v>
      </c>
      <c r="M239" t="n">
        <v>0</v>
      </c>
      <c r="N239" t="n">
        <v>0</v>
      </c>
      <c r="O239" t="n">
        <v>0</v>
      </c>
      <c r="P239" t="n">
        <v>0</v>
      </c>
      <c r="Q239" t="n">
        <v>0</v>
      </c>
      <c r="R239" s="2" t="inlineStr"/>
    </row>
    <row r="240" ht="15" customHeight="1">
      <c r="A240" t="inlineStr">
        <is>
          <t>A 24460-2025</t>
        </is>
      </c>
      <c r="B240" s="1" t="n">
        <v>45798</v>
      </c>
      <c r="C240" s="1" t="n">
        <v>46129</v>
      </c>
      <c r="D240" t="inlineStr">
        <is>
          <t>VÄSTMANLANDS LÄN</t>
        </is>
      </c>
      <c r="E240" t="inlineStr">
        <is>
          <t>SALA</t>
        </is>
      </c>
      <c r="F240" t="inlineStr">
        <is>
          <t>Bergvik skog öst AB</t>
        </is>
      </c>
      <c r="G240" t="n">
        <v>2.6</v>
      </c>
      <c r="H240" t="n">
        <v>0</v>
      </c>
      <c r="I240" t="n">
        <v>0</v>
      </c>
      <c r="J240" t="n">
        <v>0</v>
      </c>
      <c r="K240" t="n">
        <v>0</v>
      </c>
      <c r="L240" t="n">
        <v>0</v>
      </c>
      <c r="M240" t="n">
        <v>0</v>
      </c>
      <c r="N240" t="n">
        <v>0</v>
      </c>
      <c r="O240" t="n">
        <v>0</v>
      </c>
      <c r="P240" t="n">
        <v>0</v>
      </c>
      <c r="Q240" t="n">
        <v>0</v>
      </c>
      <c r="R240" s="2" t="inlineStr"/>
    </row>
    <row r="241" ht="15" customHeight="1">
      <c r="A241" t="inlineStr">
        <is>
          <t>A 24463-2025</t>
        </is>
      </c>
      <c r="B241" s="1" t="n">
        <v>45798</v>
      </c>
      <c r="C241" s="1" t="n">
        <v>46129</v>
      </c>
      <c r="D241" t="inlineStr">
        <is>
          <t>VÄSTMANLANDS LÄN</t>
        </is>
      </c>
      <c r="E241" t="inlineStr">
        <is>
          <t>SALA</t>
        </is>
      </c>
      <c r="F241" t="inlineStr">
        <is>
          <t>Bergvik skog öst AB</t>
        </is>
      </c>
      <c r="G241" t="n">
        <v>1.5</v>
      </c>
      <c r="H241" t="n">
        <v>0</v>
      </c>
      <c r="I241" t="n">
        <v>0</v>
      </c>
      <c r="J241" t="n">
        <v>0</v>
      </c>
      <c r="K241" t="n">
        <v>0</v>
      </c>
      <c r="L241" t="n">
        <v>0</v>
      </c>
      <c r="M241" t="n">
        <v>0</v>
      </c>
      <c r="N241" t="n">
        <v>0</v>
      </c>
      <c r="O241" t="n">
        <v>0</v>
      </c>
      <c r="P241" t="n">
        <v>0</v>
      </c>
      <c r="Q241" t="n">
        <v>0</v>
      </c>
      <c r="R241" s="2" t="inlineStr"/>
    </row>
    <row r="242" ht="15" customHeight="1">
      <c r="A242" t="inlineStr">
        <is>
          <t>A 22397-2022</t>
        </is>
      </c>
      <c r="B242" s="1" t="n">
        <v>44713</v>
      </c>
      <c r="C242" s="1" t="n">
        <v>46129</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28863-2022</t>
        </is>
      </c>
      <c r="B243" s="1" t="n">
        <v>44749.50649305555</v>
      </c>
      <c r="C243" s="1" t="n">
        <v>46129</v>
      </c>
      <c r="D243" t="inlineStr">
        <is>
          <t>VÄSTMANLANDS LÄN</t>
        </is>
      </c>
      <c r="E243" t="inlineStr">
        <is>
          <t>SALA</t>
        </is>
      </c>
      <c r="G243" t="n">
        <v>1.6</v>
      </c>
      <c r="H243" t="n">
        <v>0</v>
      </c>
      <c r="I243" t="n">
        <v>0</v>
      </c>
      <c r="J243" t="n">
        <v>0</v>
      </c>
      <c r="K243" t="n">
        <v>0</v>
      </c>
      <c r="L243" t="n">
        <v>0</v>
      </c>
      <c r="M243" t="n">
        <v>0</v>
      </c>
      <c r="N243" t="n">
        <v>0</v>
      </c>
      <c r="O243" t="n">
        <v>0</v>
      </c>
      <c r="P243" t="n">
        <v>0</v>
      </c>
      <c r="Q243" t="n">
        <v>0</v>
      </c>
      <c r="R243" s="2" t="inlineStr"/>
    </row>
    <row r="244" ht="15" customHeight="1">
      <c r="A244" t="inlineStr">
        <is>
          <t>A 40559-2025</t>
        </is>
      </c>
      <c r="B244" s="1" t="n">
        <v>45896.45037037037</v>
      </c>
      <c r="C244" s="1" t="n">
        <v>46129</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40556-2025</t>
        </is>
      </c>
      <c r="B245" s="1" t="n">
        <v>45896.44944444444</v>
      </c>
      <c r="C245" s="1" t="n">
        <v>46129</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40620-2025</t>
        </is>
      </c>
      <c r="B246" s="1" t="n">
        <v>45896.58609953704</v>
      </c>
      <c r="C246" s="1" t="n">
        <v>46129</v>
      </c>
      <c r="D246" t="inlineStr">
        <is>
          <t>VÄSTMANLANDS LÄN</t>
        </is>
      </c>
      <c r="E246" t="inlineStr">
        <is>
          <t>SALA</t>
        </is>
      </c>
      <c r="G246" t="n">
        <v>6.7</v>
      </c>
      <c r="H246" t="n">
        <v>0</v>
      </c>
      <c r="I246" t="n">
        <v>0</v>
      </c>
      <c r="J246" t="n">
        <v>0</v>
      </c>
      <c r="K246" t="n">
        <v>0</v>
      </c>
      <c r="L246" t="n">
        <v>0</v>
      </c>
      <c r="M246" t="n">
        <v>0</v>
      </c>
      <c r="N246" t="n">
        <v>0</v>
      </c>
      <c r="O246" t="n">
        <v>0</v>
      </c>
      <c r="P246" t="n">
        <v>0</v>
      </c>
      <c r="Q246" t="n">
        <v>0</v>
      </c>
      <c r="R246" s="2" t="inlineStr"/>
    </row>
    <row r="247" ht="15" customHeight="1">
      <c r="A247" t="inlineStr">
        <is>
          <t>A 55065-2024</t>
        </is>
      </c>
      <c r="B247" s="1" t="n">
        <v>45618</v>
      </c>
      <c r="C247" s="1" t="n">
        <v>46129</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24907-2025</t>
        </is>
      </c>
      <c r="B248" s="1" t="n">
        <v>45799</v>
      </c>
      <c r="C248" s="1" t="n">
        <v>46129</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24910-2025</t>
        </is>
      </c>
      <c r="B249" s="1" t="n">
        <v>45799.53775462963</v>
      </c>
      <c r="C249" s="1" t="n">
        <v>46129</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14919-2025</t>
        </is>
      </c>
      <c r="B250" s="1" t="n">
        <v>45743.54256944444</v>
      </c>
      <c r="C250" s="1" t="n">
        <v>46129</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14920-2025</t>
        </is>
      </c>
      <c r="B251" s="1" t="n">
        <v>45743</v>
      </c>
      <c r="C251" s="1" t="n">
        <v>46129</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40398-2021</t>
        </is>
      </c>
      <c r="B252" s="1" t="n">
        <v>44419</v>
      </c>
      <c r="C252" s="1" t="n">
        <v>46129</v>
      </c>
      <c r="D252" t="inlineStr">
        <is>
          <t>VÄSTMANLANDS LÄN</t>
        </is>
      </c>
      <c r="E252" t="inlineStr">
        <is>
          <t>SALA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57014-2025</t>
        </is>
      </c>
      <c r="B253" s="1" t="n">
        <v>45978</v>
      </c>
      <c r="C253" s="1" t="n">
        <v>46129</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41230-2025</t>
        </is>
      </c>
      <c r="B254" s="1" t="n">
        <v>45898</v>
      </c>
      <c r="C254" s="1" t="n">
        <v>46129</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43362-2023</t>
        </is>
      </c>
      <c r="B255" s="1" t="n">
        <v>45183</v>
      </c>
      <c r="C255" s="1" t="n">
        <v>46129</v>
      </c>
      <c r="D255" t="inlineStr">
        <is>
          <t>VÄSTMANLANDS LÄN</t>
        </is>
      </c>
      <c r="E255" t="inlineStr">
        <is>
          <t>SALA</t>
        </is>
      </c>
      <c r="G255" t="n">
        <v>2</v>
      </c>
      <c r="H255" t="n">
        <v>0</v>
      </c>
      <c r="I255" t="n">
        <v>0</v>
      </c>
      <c r="J255" t="n">
        <v>0</v>
      </c>
      <c r="K255" t="n">
        <v>0</v>
      </c>
      <c r="L255" t="n">
        <v>0</v>
      </c>
      <c r="M255" t="n">
        <v>0</v>
      </c>
      <c r="N255" t="n">
        <v>0</v>
      </c>
      <c r="O255" t="n">
        <v>0</v>
      </c>
      <c r="P255" t="n">
        <v>0</v>
      </c>
      <c r="Q255" t="n">
        <v>0</v>
      </c>
      <c r="R255" s="2" t="inlineStr"/>
    </row>
    <row r="256" ht="15" customHeight="1">
      <c r="A256" t="inlineStr">
        <is>
          <t>A 2900-2023</t>
        </is>
      </c>
      <c r="B256" s="1" t="n">
        <v>44943</v>
      </c>
      <c r="C256" s="1" t="n">
        <v>46129</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6030-2024</t>
        </is>
      </c>
      <c r="B257" s="1" t="n">
        <v>45336.62782407407</v>
      </c>
      <c r="C257" s="1" t="n">
        <v>46129</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41414-2025</t>
        </is>
      </c>
      <c r="B258" s="1" t="n">
        <v>45901.360625</v>
      </c>
      <c r="C258" s="1" t="n">
        <v>46129</v>
      </c>
      <c r="D258" t="inlineStr">
        <is>
          <t>VÄSTMANLANDS LÄN</t>
        </is>
      </c>
      <c r="E258" t="inlineStr">
        <is>
          <t>SALA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52630-2022</t>
        </is>
      </c>
      <c r="B259" s="1" t="n">
        <v>44874</v>
      </c>
      <c r="C259" s="1" t="n">
        <v>46129</v>
      </c>
      <c r="D259" t="inlineStr">
        <is>
          <t>VÄSTMANLANDS LÄN</t>
        </is>
      </c>
      <c r="E259" t="inlineStr">
        <is>
          <t>SALA</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46129</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53164-2024</t>
        </is>
      </c>
      <c r="B261" s="1" t="n">
        <v>45611.64887731482</v>
      </c>
      <c r="C261" s="1" t="n">
        <v>46129</v>
      </c>
      <c r="D261" t="inlineStr">
        <is>
          <t>VÄSTMANLANDS LÄN</t>
        </is>
      </c>
      <c r="E261" t="inlineStr">
        <is>
          <t>SALA</t>
        </is>
      </c>
      <c r="G261" t="n">
        <v>2.6</v>
      </c>
      <c r="H261" t="n">
        <v>0</v>
      </c>
      <c r="I261" t="n">
        <v>0</v>
      </c>
      <c r="J261" t="n">
        <v>0</v>
      </c>
      <c r="K261" t="n">
        <v>0</v>
      </c>
      <c r="L261" t="n">
        <v>0</v>
      </c>
      <c r="M261" t="n">
        <v>0</v>
      </c>
      <c r="N261" t="n">
        <v>0</v>
      </c>
      <c r="O261" t="n">
        <v>0</v>
      </c>
      <c r="P261" t="n">
        <v>0</v>
      </c>
      <c r="Q261" t="n">
        <v>0</v>
      </c>
      <c r="R261" s="2" t="inlineStr"/>
    </row>
    <row r="262" ht="15" customHeight="1">
      <c r="A262" t="inlineStr">
        <is>
          <t>A 41431-2025</t>
        </is>
      </c>
      <c r="B262" s="1" t="n">
        <v>45901.39347222223</v>
      </c>
      <c r="C262" s="1" t="n">
        <v>46129</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14690-2025</t>
        </is>
      </c>
      <c r="B263" s="1" t="n">
        <v>45742.58212962963</v>
      </c>
      <c r="C263" s="1" t="n">
        <v>46129</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10909-2024</t>
        </is>
      </c>
      <c r="B264" s="1" t="n">
        <v>45370</v>
      </c>
      <c r="C264" s="1" t="n">
        <v>46129</v>
      </c>
      <c r="D264" t="inlineStr">
        <is>
          <t>VÄSTMANLANDS LÄN</t>
        </is>
      </c>
      <c r="E264" t="inlineStr">
        <is>
          <t>SALA</t>
        </is>
      </c>
      <c r="G264" t="n">
        <v>3.3</v>
      </c>
      <c r="H264" t="n">
        <v>0</v>
      </c>
      <c r="I264" t="n">
        <v>0</v>
      </c>
      <c r="J264" t="n">
        <v>0</v>
      </c>
      <c r="K264" t="n">
        <v>0</v>
      </c>
      <c r="L264" t="n">
        <v>0</v>
      </c>
      <c r="M264" t="n">
        <v>0</v>
      </c>
      <c r="N264" t="n">
        <v>0</v>
      </c>
      <c r="O264" t="n">
        <v>0</v>
      </c>
      <c r="P264" t="n">
        <v>0</v>
      </c>
      <c r="Q264" t="n">
        <v>0</v>
      </c>
      <c r="R264" s="2" t="inlineStr"/>
    </row>
    <row r="265" ht="15" customHeight="1">
      <c r="A265" t="inlineStr">
        <is>
          <t>A 2521-2025</t>
        </is>
      </c>
      <c r="B265" s="1" t="n">
        <v>45674</v>
      </c>
      <c r="C265" s="1" t="n">
        <v>46129</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21968-2024</t>
        </is>
      </c>
      <c r="B266" s="1" t="n">
        <v>45443</v>
      </c>
      <c r="C266" s="1" t="n">
        <v>46129</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60548-2024</t>
        </is>
      </c>
      <c r="B267" s="1" t="n">
        <v>45643.80978009259</v>
      </c>
      <c r="C267" s="1" t="n">
        <v>46129</v>
      </c>
      <c r="D267" t="inlineStr">
        <is>
          <t>VÄSTMANLANDS LÄN</t>
        </is>
      </c>
      <c r="E267" t="inlineStr">
        <is>
          <t>SALA</t>
        </is>
      </c>
      <c r="G267" t="n">
        <v>1.6</v>
      </c>
      <c r="H267" t="n">
        <v>0</v>
      </c>
      <c r="I267" t="n">
        <v>0</v>
      </c>
      <c r="J267" t="n">
        <v>0</v>
      </c>
      <c r="K267" t="n">
        <v>0</v>
      </c>
      <c r="L267" t="n">
        <v>0</v>
      </c>
      <c r="M267" t="n">
        <v>0</v>
      </c>
      <c r="N267" t="n">
        <v>0</v>
      </c>
      <c r="O267" t="n">
        <v>0</v>
      </c>
      <c r="P267" t="n">
        <v>0</v>
      </c>
      <c r="Q267" t="n">
        <v>0</v>
      </c>
      <c r="R267" s="2" t="inlineStr"/>
    </row>
    <row r="268" ht="15" customHeight="1">
      <c r="A268" t="inlineStr">
        <is>
          <t>A 42421-2025</t>
        </is>
      </c>
      <c r="B268" s="1" t="n">
        <v>45905.40067129629</v>
      </c>
      <c r="C268" s="1" t="n">
        <v>46129</v>
      </c>
      <c r="D268" t="inlineStr">
        <is>
          <t>VÄSTMANLANDS LÄN</t>
        </is>
      </c>
      <c r="E268" t="inlineStr">
        <is>
          <t>SALA</t>
        </is>
      </c>
      <c r="G268" t="n">
        <v>1.3</v>
      </c>
      <c r="H268" t="n">
        <v>0</v>
      </c>
      <c r="I268" t="n">
        <v>0</v>
      </c>
      <c r="J268" t="n">
        <v>0</v>
      </c>
      <c r="K268" t="n">
        <v>0</v>
      </c>
      <c r="L268" t="n">
        <v>0</v>
      </c>
      <c r="M268" t="n">
        <v>0</v>
      </c>
      <c r="N268" t="n">
        <v>0</v>
      </c>
      <c r="O268" t="n">
        <v>0</v>
      </c>
      <c r="P268" t="n">
        <v>0</v>
      </c>
      <c r="Q268" t="n">
        <v>0</v>
      </c>
      <c r="R268" s="2" t="inlineStr"/>
    </row>
    <row r="269" ht="15" customHeight="1">
      <c r="A269" t="inlineStr">
        <is>
          <t>A 26761-2023</t>
        </is>
      </c>
      <c r="B269" s="1" t="n">
        <v>45093</v>
      </c>
      <c r="C269" s="1" t="n">
        <v>46129</v>
      </c>
      <c r="D269" t="inlineStr">
        <is>
          <t>VÄSTMANLANDS LÄN</t>
        </is>
      </c>
      <c r="E269" t="inlineStr">
        <is>
          <t>SALA</t>
        </is>
      </c>
      <c r="G269" t="n">
        <v>4.3</v>
      </c>
      <c r="H269" t="n">
        <v>0</v>
      </c>
      <c r="I269" t="n">
        <v>0</v>
      </c>
      <c r="J269" t="n">
        <v>0</v>
      </c>
      <c r="K269" t="n">
        <v>0</v>
      </c>
      <c r="L269" t="n">
        <v>0</v>
      </c>
      <c r="M269" t="n">
        <v>0</v>
      </c>
      <c r="N269" t="n">
        <v>0</v>
      </c>
      <c r="O269" t="n">
        <v>0</v>
      </c>
      <c r="P269" t="n">
        <v>0</v>
      </c>
      <c r="Q269" t="n">
        <v>0</v>
      </c>
      <c r="R269" s="2" t="inlineStr"/>
    </row>
    <row r="270" ht="15" customHeight="1">
      <c r="A270" t="inlineStr">
        <is>
          <t>A 17495-2024</t>
        </is>
      </c>
      <c r="B270" s="1" t="n">
        <v>45415</v>
      </c>
      <c r="C270" s="1" t="n">
        <v>46129</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37263-2025</t>
        </is>
      </c>
      <c r="B271" s="1" t="n">
        <v>45876.4584837963</v>
      </c>
      <c r="C271" s="1" t="n">
        <v>46129</v>
      </c>
      <c r="D271" t="inlineStr">
        <is>
          <t>VÄSTMANLANDS LÄN</t>
        </is>
      </c>
      <c r="E271" t="inlineStr">
        <is>
          <t>SALA</t>
        </is>
      </c>
      <c r="G271" t="n">
        <v>2.3</v>
      </c>
      <c r="H271" t="n">
        <v>0</v>
      </c>
      <c r="I271" t="n">
        <v>0</v>
      </c>
      <c r="J271" t="n">
        <v>0</v>
      </c>
      <c r="K271" t="n">
        <v>0</v>
      </c>
      <c r="L271" t="n">
        <v>0</v>
      </c>
      <c r="M271" t="n">
        <v>0</v>
      </c>
      <c r="N271" t="n">
        <v>0</v>
      </c>
      <c r="O271" t="n">
        <v>0</v>
      </c>
      <c r="P271" t="n">
        <v>0</v>
      </c>
      <c r="Q271" t="n">
        <v>0</v>
      </c>
      <c r="R271" s="2" t="inlineStr"/>
    </row>
    <row r="272" ht="15" customHeight="1">
      <c r="A272" t="inlineStr">
        <is>
          <t>A 43127-2025</t>
        </is>
      </c>
      <c r="B272" s="1" t="n">
        <v>45909</v>
      </c>
      <c r="C272" s="1" t="n">
        <v>46129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57414-2025</t>
        </is>
      </c>
      <c r="B273" s="1" t="n">
        <v>45980.45003472222</v>
      </c>
      <c r="C273" s="1" t="n">
        <v>46129</v>
      </c>
      <c r="D273" t="inlineStr">
        <is>
          <t>VÄSTMANLANDS LÄN</t>
        </is>
      </c>
      <c r="E273" t="inlineStr">
        <is>
          <t>SALA</t>
        </is>
      </c>
      <c r="F273" t="inlineStr">
        <is>
          <t>Bergvik skog öst AB</t>
        </is>
      </c>
      <c r="G273" t="n">
        <v>2</v>
      </c>
      <c r="H273" t="n">
        <v>0</v>
      </c>
      <c r="I273" t="n">
        <v>0</v>
      </c>
      <c r="J273" t="n">
        <v>0</v>
      </c>
      <c r="K273" t="n">
        <v>0</v>
      </c>
      <c r="L273" t="n">
        <v>0</v>
      </c>
      <c r="M273" t="n">
        <v>0</v>
      </c>
      <c r="N273" t="n">
        <v>0</v>
      </c>
      <c r="O273" t="n">
        <v>0</v>
      </c>
      <c r="P273" t="n">
        <v>0</v>
      </c>
      <c r="Q273" t="n">
        <v>0</v>
      </c>
      <c r="R273" s="2" t="inlineStr"/>
    </row>
    <row r="274" ht="15" customHeight="1">
      <c r="A274" t="inlineStr">
        <is>
          <t>A 57415-2025</t>
        </is>
      </c>
      <c r="B274" s="1" t="n">
        <v>45980.45099537037</v>
      </c>
      <c r="C274" s="1" t="n">
        <v>46129</v>
      </c>
      <c r="D274" t="inlineStr">
        <is>
          <t>VÄSTMANLANDS LÄN</t>
        </is>
      </c>
      <c r="E274" t="inlineStr">
        <is>
          <t>SALA</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26661-2025</t>
        </is>
      </c>
      <c r="B275" s="1" t="n">
        <v>45810</v>
      </c>
      <c r="C275" s="1" t="n">
        <v>46129</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57412-2025</t>
        </is>
      </c>
      <c r="B276" s="1" t="n">
        <v>45980.44883101852</v>
      </c>
      <c r="C276" s="1" t="n">
        <v>46129</v>
      </c>
      <c r="D276" t="inlineStr">
        <is>
          <t>VÄSTMANLANDS LÄN</t>
        </is>
      </c>
      <c r="E276" t="inlineStr">
        <is>
          <t>SALA</t>
        </is>
      </c>
      <c r="F276" t="inlineStr">
        <is>
          <t>Bergvik skog öst AB</t>
        </is>
      </c>
      <c r="G276" t="n">
        <v>4.5</v>
      </c>
      <c r="H276" t="n">
        <v>0</v>
      </c>
      <c r="I276" t="n">
        <v>0</v>
      </c>
      <c r="J276" t="n">
        <v>0</v>
      </c>
      <c r="K276" t="n">
        <v>0</v>
      </c>
      <c r="L276" t="n">
        <v>0</v>
      </c>
      <c r="M276" t="n">
        <v>0</v>
      </c>
      <c r="N276" t="n">
        <v>0</v>
      </c>
      <c r="O276" t="n">
        <v>0</v>
      </c>
      <c r="P276" t="n">
        <v>0</v>
      </c>
      <c r="Q276" t="n">
        <v>0</v>
      </c>
      <c r="R276" s="2" t="inlineStr"/>
    </row>
    <row r="277" ht="15" customHeight="1">
      <c r="A277" t="inlineStr">
        <is>
          <t>A 55035-2023</t>
        </is>
      </c>
      <c r="B277" s="1" t="n">
        <v>45229</v>
      </c>
      <c r="C277" s="1" t="n">
        <v>46129</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43128-2025</t>
        </is>
      </c>
      <c r="B278" s="1" t="n">
        <v>45909</v>
      </c>
      <c r="C278" s="1" t="n">
        <v>46129</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40554-2025</t>
        </is>
      </c>
      <c r="B279" s="1" t="n">
        <v>45896.44506944445</v>
      </c>
      <c r="C279" s="1" t="n">
        <v>46129</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43129-2025</t>
        </is>
      </c>
      <c r="B280" s="1" t="n">
        <v>45909</v>
      </c>
      <c r="C280" s="1" t="n">
        <v>46129</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43130-2025</t>
        </is>
      </c>
      <c r="B281" s="1" t="n">
        <v>45909</v>
      </c>
      <c r="C281" s="1" t="n">
        <v>46129</v>
      </c>
      <c r="D281" t="inlineStr">
        <is>
          <t>VÄSTMANLANDS LÄN</t>
        </is>
      </c>
      <c r="E281" t="inlineStr">
        <is>
          <t>SALA</t>
        </is>
      </c>
      <c r="G281" t="n">
        <v>0.9</v>
      </c>
      <c r="H281" t="n">
        <v>0</v>
      </c>
      <c r="I281" t="n">
        <v>0</v>
      </c>
      <c r="J281" t="n">
        <v>0</v>
      </c>
      <c r="K281" t="n">
        <v>0</v>
      </c>
      <c r="L281" t="n">
        <v>0</v>
      </c>
      <c r="M281" t="n">
        <v>0</v>
      </c>
      <c r="N281" t="n">
        <v>0</v>
      </c>
      <c r="O281" t="n">
        <v>0</v>
      </c>
      <c r="P281" t="n">
        <v>0</v>
      </c>
      <c r="Q281" t="n">
        <v>0</v>
      </c>
      <c r="R281" s="2" t="inlineStr"/>
    </row>
    <row r="282" ht="15" customHeight="1">
      <c r="A282" t="inlineStr">
        <is>
          <t>A 60249-2023</t>
        </is>
      </c>
      <c r="B282" s="1" t="n">
        <v>45258</v>
      </c>
      <c r="C282" s="1" t="n">
        <v>46129</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43028-2025</t>
        </is>
      </c>
      <c r="B283" s="1" t="n">
        <v>45909.53472222222</v>
      </c>
      <c r="C283" s="1" t="n">
        <v>46129</v>
      </c>
      <c r="D283" t="inlineStr">
        <is>
          <t>VÄSTMANLANDS LÄN</t>
        </is>
      </c>
      <c r="E283" t="inlineStr">
        <is>
          <t>SALA</t>
        </is>
      </c>
      <c r="G283" t="n">
        <v>3.8</v>
      </c>
      <c r="H283" t="n">
        <v>0</v>
      </c>
      <c r="I283" t="n">
        <v>0</v>
      </c>
      <c r="J283" t="n">
        <v>0</v>
      </c>
      <c r="K283" t="n">
        <v>0</v>
      </c>
      <c r="L283" t="n">
        <v>0</v>
      </c>
      <c r="M283" t="n">
        <v>0</v>
      </c>
      <c r="N283" t="n">
        <v>0</v>
      </c>
      <c r="O283" t="n">
        <v>0</v>
      </c>
      <c r="P283" t="n">
        <v>0</v>
      </c>
      <c r="Q283" t="n">
        <v>0</v>
      </c>
      <c r="R283" s="2" t="inlineStr"/>
    </row>
    <row r="284" ht="15" customHeight="1">
      <c r="A284" t="inlineStr">
        <is>
          <t>A 43031-2025</t>
        </is>
      </c>
      <c r="B284" s="1" t="n">
        <v>45909.53856481481</v>
      </c>
      <c r="C284" s="1" t="n">
        <v>46129</v>
      </c>
      <c r="D284" t="inlineStr">
        <is>
          <t>VÄSTMANLANDS LÄN</t>
        </is>
      </c>
      <c r="E284" t="inlineStr">
        <is>
          <t>SALA</t>
        </is>
      </c>
      <c r="G284" t="n">
        <v>0.2</v>
      </c>
      <c r="H284" t="n">
        <v>0</v>
      </c>
      <c r="I284" t="n">
        <v>0</v>
      </c>
      <c r="J284" t="n">
        <v>0</v>
      </c>
      <c r="K284" t="n">
        <v>0</v>
      </c>
      <c r="L284" t="n">
        <v>0</v>
      </c>
      <c r="M284" t="n">
        <v>0</v>
      </c>
      <c r="N284" t="n">
        <v>0</v>
      </c>
      <c r="O284" t="n">
        <v>0</v>
      </c>
      <c r="P284" t="n">
        <v>0</v>
      </c>
      <c r="Q284" t="n">
        <v>0</v>
      </c>
      <c r="R284" s="2" t="inlineStr"/>
    </row>
    <row r="285" ht="15" customHeight="1">
      <c r="A285" t="inlineStr">
        <is>
          <t>A 58359-2025</t>
        </is>
      </c>
      <c r="B285" s="1" t="n">
        <v>45985.51594907408</v>
      </c>
      <c r="C285" s="1" t="n">
        <v>46129</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58364-2025</t>
        </is>
      </c>
      <c r="B286" s="1" t="n">
        <v>45985.5228125</v>
      </c>
      <c r="C286" s="1" t="n">
        <v>46129</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58282-2025</t>
        </is>
      </c>
      <c r="B287" s="1" t="n">
        <v>45985.44309027777</v>
      </c>
      <c r="C287" s="1" t="n">
        <v>46129</v>
      </c>
      <c r="D287" t="inlineStr">
        <is>
          <t>VÄSTMANLANDS LÄN</t>
        </is>
      </c>
      <c r="E287" t="inlineStr">
        <is>
          <t>SALA</t>
        </is>
      </c>
      <c r="G287" t="n">
        <v>8.9</v>
      </c>
      <c r="H287" t="n">
        <v>0</v>
      </c>
      <c r="I287" t="n">
        <v>0</v>
      </c>
      <c r="J287" t="n">
        <v>0</v>
      </c>
      <c r="K287" t="n">
        <v>0</v>
      </c>
      <c r="L287" t="n">
        <v>0</v>
      </c>
      <c r="M287" t="n">
        <v>0</v>
      </c>
      <c r="N287" t="n">
        <v>0</v>
      </c>
      <c r="O287" t="n">
        <v>0</v>
      </c>
      <c r="P287" t="n">
        <v>0</v>
      </c>
      <c r="Q287" t="n">
        <v>0</v>
      </c>
      <c r="R287" s="2" t="inlineStr"/>
    </row>
    <row r="288" ht="15" customHeight="1">
      <c r="A288" t="inlineStr">
        <is>
          <t>A 43328-2025</t>
        </is>
      </c>
      <c r="B288" s="1" t="n">
        <v>45910</v>
      </c>
      <c r="C288" s="1" t="n">
        <v>46129</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55760-2025</t>
        </is>
      </c>
      <c r="B289" s="1" t="n">
        <v>45972</v>
      </c>
      <c r="C289" s="1" t="n">
        <v>46129</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31597-2024</t>
        </is>
      </c>
      <c r="B290" s="1" t="n">
        <v>45506</v>
      </c>
      <c r="C290" s="1" t="n">
        <v>46129</v>
      </c>
      <c r="D290" t="inlineStr">
        <is>
          <t>VÄSTMANLANDS LÄN</t>
        </is>
      </c>
      <c r="E290" t="inlineStr">
        <is>
          <t>SALA</t>
        </is>
      </c>
      <c r="G290" t="n">
        <v>2.4</v>
      </c>
      <c r="H290" t="n">
        <v>0</v>
      </c>
      <c r="I290" t="n">
        <v>0</v>
      </c>
      <c r="J290" t="n">
        <v>0</v>
      </c>
      <c r="K290" t="n">
        <v>0</v>
      </c>
      <c r="L290" t="n">
        <v>0</v>
      </c>
      <c r="M290" t="n">
        <v>0</v>
      </c>
      <c r="N290" t="n">
        <v>0</v>
      </c>
      <c r="O290" t="n">
        <v>0</v>
      </c>
      <c r="P290" t="n">
        <v>0</v>
      </c>
      <c r="Q290" t="n">
        <v>0</v>
      </c>
      <c r="R290" s="2" t="inlineStr"/>
    </row>
    <row r="291" ht="15" customHeight="1">
      <c r="A291" t="inlineStr">
        <is>
          <t>A 31599-2024</t>
        </is>
      </c>
      <c r="B291" s="1" t="n">
        <v>45506</v>
      </c>
      <c r="C291" s="1" t="n">
        <v>46129</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31601-2024</t>
        </is>
      </c>
      <c r="B292" s="1" t="n">
        <v>45506</v>
      </c>
      <c r="C292" s="1" t="n">
        <v>46129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58357-2025</t>
        </is>
      </c>
      <c r="B293" s="1" t="n">
        <v>45985.51518518518</v>
      </c>
      <c r="C293" s="1" t="n">
        <v>46129</v>
      </c>
      <c r="D293" t="inlineStr">
        <is>
          <t>VÄSTMANLANDS LÄN</t>
        </is>
      </c>
      <c r="E293" t="inlineStr">
        <is>
          <t>SALA</t>
        </is>
      </c>
      <c r="G293" t="n">
        <v>3</v>
      </c>
      <c r="H293" t="n">
        <v>0</v>
      </c>
      <c r="I293" t="n">
        <v>0</v>
      </c>
      <c r="J293" t="n">
        <v>0</v>
      </c>
      <c r="K293" t="n">
        <v>0</v>
      </c>
      <c r="L293" t="n">
        <v>0</v>
      </c>
      <c r="M293" t="n">
        <v>0</v>
      </c>
      <c r="N293" t="n">
        <v>0</v>
      </c>
      <c r="O293" t="n">
        <v>0</v>
      </c>
      <c r="P293" t="n">
        <v>0</v>
      </c>
      <c r="Q293" t="n">
        <v>0</v>
      </c>
      <c r="R293" s="2" t="inlineStr"/>
    </row>
    <row r="294" ht="15" customHeight="1">
      <c r="A294" t="inlineStr">
        <is>
          <t>A 31608-2024</t>
        </is>
      </c>
      <c r="B294" s="1" t="n">
        <v>45506</v>
      </c>
      <c r="C294" s="1" t="n">
        <v>46129</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31612-2024</t>
        </is>
      </c>
      <c r="B295" s="1" t="n">
        <v>45506</v>
      </c>
      <c r="C295" s="1" t="n">
        <v>46129</v>
      </c>
      <c r="D295" t="inlineStr">
        <is>
          <t>VÄSTMANLANDS LÄN</t>
        </is>
      </c>
      <c r="E295" t="inlineStr">
        <is>
          <t>SALA</t>
        </is>
      </c>
      <c r="G295" t="n">
        <v>3.2</v>
      </c>
      <c r="H295" t="n">
        <v>0</v>
      </c>
      <c r="I295" t="n">
        <v>0</v>
      </c>
      <c r="J295" t="n">
        <v>0</v>
      </c>
      <c r="K295" t="n">
        <v>0</v>
      </c>
      <c r="L295" t="n">
        <v>0</v>
      </c>
      <c r="M295" t="n">
        <v>0</v>
      </c>
      <c r="N295" t="n">
        <v>0</v>
      </c>
      <c r="O295" t="n">
        <v>0</v>
      </c>
      <c r="P295" t="n">
        <v>0</v>
      </c>
      <c r="Q295" t="n">
        <v>0</v>
      </c>
      <c r="R295" s="2" t="inlineStr"/>
    </row>
    <row r="296" ht="15" customHeight="1">
      <c r="A296" t="inlineStr">
        <is>
          <t>A 58365-2025</t>
        </is>
      </c>
      <c r="B296" s="1" t="n">
        <v>45985.52288194445</v>
      </c>
      <c r="C296" s="1" t="n">
        <v>46129</v>
      </c>
      <c r="D296" t="inlineStr">
        <is>
          <t>VÄSTMANLANDS LÄN</t>
        </is>
      </c>
      <c r="E296" t="inlineStr">
        <is>
          <t>SALA</t>
        </is>
      </c>
      <c r="G296" t="n">
        <v>3.9</v>
      </c>
      <c r="H296" t="n">
        <v>0</v>
      </c>
      <c r="I296" t="n">
        <v>0</v>
      </c>
      <c r="J296" t="n">
        <v>0</v>
      </c>
      <c r="K296" t="n">
        <v>0</v>
      </c>
      <c r="L296" t="n">
        <v>0</v>
      </c>
      <c r="M296" t="n">
        <v>0</v>
      </c>
      <c r="N296" t="n">
        <v>0</v>
      </c>
      <c r="O296" t="n">
        <v>0</v>
      </c>
      <c r="P296" t="n">
        <v>0</v>
      </c>
      <c r="Q296" t="n">
        <v>0</v>
      </c>
      <c r="R296" s="2" t="inlineStr"/>
    </row>
    <row r="297" ht="15" customHeight="1">
      <c r="A297" t="inlineStr">
        <is>
          <t>A 52500-2024</t>
        </is>
      </c>
      <c r="B297" s="1" t="n">
        <v>45609</v>
      </c>
      <c r="C297" s="1" t="n">
        <v>46129</v>
      </c>
      <c r="D297" t="inlineStr">
        <is>
          <t>VÄSTMANLANDS LÄN</t>
        </is>
      </c>
      <c r="E297" t="inlineStr">
        <is>
          <t>SALA</t>
        </is>
      </c>
      <c r="G297" t="n">
        <v>1.3</v>
      </c>
      <c r="H297" t="n">
        <v>0</v>
      </c>
      <c r="I297" t="n">
        <v>0</v>
      </c>
      <c r="J297" t="n">
        <v>0</v>
      </c>
      <c r="K297" t="n">
        <v>0</v>
      </c>
      <c r="L297" t="n">
        <v>0</v>
      </c>
      <c r="M297" t="n">
        <v>0</v>
      </c>
      <c r="N297" t="n">
        <v>0</v>
      </c>
      <c r="O297" t="n">
        <v>0</v>
      </c>
      <c r="P297" t="n">
        <v>0</v>
      </c>
      <c r="Q297" t="n">
        <v>0</v>
      </c>
      <c r="R297" s="2" t="inlineStr"/>
    </row>
    <row r="298" ht="15" customHeight="1">
      <c r="A298" t="inlineStr">
        <is>
          <t>A 27989-2025</t>
        </is>
      </c>
      <c r="B298" s="1" t="n">
        <v>45817.58716435185</v>
      </c>
      <c r="C298" s="1" t="n">
        <v>46129</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27981-2025</t>
        </is>
      </c>
      <c r="B299" s="1" t="n">
        <v>45817.57471064815</v>
      </c>
      <c r="C299" s="1" t="n">
        <v>46129</v>
      </c>
      <c r="D299" t="inlineStr">
        <is>
          <t>VÄSTMANLANDS LÄN</t>
        </is>
      </c>
      <c r="E299" t="inlineStr">
        <is>
          <t>SALA</t>
        </is>
      </c>
      <c r="G299" t="n">
        <v>1.7</v>
      </c>
      <c r="H299" t="n">
        <v>0</v>
      </c>
      <c r="I299" t="n">
        <v>0</v>
      </c>
      <c r="J299" t="n">
        <v>0</v>
      </c>
      <c r="K299" t="n">
        <v>0</v>
      </c>
      <c r="L299" t="n">
        <v>0</v>
      </c>
      <c r="M299" t="n">
        <v>0</v>
      </c>
      <c r="N299" t="n">
        <v>0</v>
      </c>
      <c r="O299" t="n">
        <v>0</v>
      </c>
      <c r="P299" t="n">
        <v>0</v>
      </c>
      <c r="Q299" t="n">
        <v>0</v>
      </c>
      <c r="R299" s="2" t="inlineStr"/>
    </row>
    <row r="300" ht="15" customHeight="1">
      <c r="A300" t="inlineStr">
        <is>
          <t>A 28193-2025</t>
        </is>
      </c>
      <c r="B300" s="1" t="n">
        <v>45818.425625</v>
      </c>
      <c r="C300" s="1" t="n">
        <v>46129</v>
      </c>
      <c r="D300" t="inlineStr">
        <is>
          <t>VÄSTMANLANDS LÄN</t>
        </is>
      </c>
      <c r="E300" t="inlineStr">
        <is>
          <t>SALA</t>
        </is>
      </c>
      <c r="G300" t="n">
        <v>1.8</v>
      </c>
      <c r="H300" t="n">
        <v>0</v>
      </c>
      <c r="I300" t="n">
        <v>0</v>
      </c>
      <c r="J300" t="n">
        <v>0</v>
      </c>
      <c r="K300" t="n">
        <v>0</v>
      </c>
      <c r="L300" t="n">
        <v>0</v>
      </c>
      <c r="M300" t="n">
        <v>0</v>
      </c>
      <c r="N300" t="n">
        <v>0</v>
      </c>
      <c r="O300" t="n">
        <v>0</v>
      </c>
      <c r="P300" t="n">
        <v>0</v>
      </c>
      <c r="Q300" t="n">
        <v>0</v>
      </c>
      <c r="R300" s="2" t="inlineStr"/>
    </row>
    <row r="301" ht="15" customHeight="1">
      <c r="A301" t="inlineStr">
        <is>
          <t>A 44100-2025</t>
        </is>
      </c>
      <c r="B301" s="1" t="n">
        <v>45915.56707175926</v>
      </c>
      <c r="C301" s="1" t="n">
        <v>46129</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28284-2025</t>
        </is>
      </c>
      <c r="B302" s="1" t="n">
        <v>45818.58893518519</v>
      </c>
      <c r="C302" s="1" t="n">
        <v>46129</v>
      </c>
      <c r="D302" t="inlineStr">
        <is>
          <t>VÄSTMANLANDS LÄN</t>
        </is>
      </c>
      <c r="E302" t="inlineStr">
        <is>
          <t>SALA</t>
        </is>
      </c>
      <c r="G302" t="n">
        <v>2.4</v>
      </c>
      <c r="H302" t="n">
        <v>0</v>
      </c>
      <c r="I302" t="n">
        <v>0</v>
      </c>
      <c r="J302" t="n">
        <v>0</v>
      </c>
      <c r="K302" t="n">
        <v>0</v>
      </c>
      <c r="L302" t="n">
        <v>0</v>
      </c>
      <c r="M302" t="n">
        <v>0</v>
      </c>
      <c r="N302" t="n">
        <v>0</v>
      </c>
      <c r="O302" t="n">
        <v>0</v>
      </c>
      <c r="P302" t="n">
        <v>0</v>
      </c>
      <c r="Q302" t="n">
        <v>0</v>
      </c>
      <c r="R302" s="2" t="inlineStr"/>
    </row>
    <row r="303" ht="15" customHeight="1">
      <c r="A303" t="inlineStr">
        <is>
          <t>A 28278-2025</t>
        </is>
      </c>
      <c r="B303" s="1" t="n">
        <v>45818.58454861111</v>
      </c>
      <c r="C303" s="1" t="n">
        <v>46129</v>
      </c>
      <c r="D303" t="inlineStr">
        <is>
          <t>VÄSTMANLANDS LÄN</t>
        </is>
      </c>
      <c r="E303" t="inlineStr">
        <is>
          <t>SALA</t>
        </is>
      </c>
      <c r="G303" t="n">
        <v>7.6</v>
      </c>
      <c r="H303" t="n">
        <v>0</v>
      </c>
      <c r="I303" t="n">
        <v>0</v>
      </c>
      <c r="J303" t="n">
        <v>0</v>
      </c>
      <c r="K303" t="n">
        <v>0</v>
      </c>
      <c r="L303" t="n">
        <v>0</v>
      </c>
      <c r="M303" t="n">
        <v>0</v>
      </c>
      <c r="N303" t="n">
        <v>0</v>
      </c>
      <c r="O303" t="n">
        <v>0</v>
      </c>
      <c r="P303" t="n">
        <v>0</v>
      </c>
      <c r="Q303" t="n">
        <v>0</v>
      </c>
      <c r="R303" s="2" t="inlineStr"/>
    </row>
    <row r="304" ht="15" customHeight="1">
      <c r="A304" t="inlineStr">
        <is>
          <t>A 59385-2025</t>
        </is>
      </c>
      <c r="B304" s="1" t="n">
        <v>45989.45746527778</v>
      </c>
      <c r="C304" s="1" t="n">
        <v>46129</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59390-2025</t>
        </is>
      </c>
      <c r="B305" s="1" t="n">
        <v>45989.4640162037</v>
      </c>
      <c r="C305" s="1" t="n">
        <v>46129</v>
      </c>
      <c r="D305" t="inlineStr">
        <is>
          <t>VÄSTMANLANDS LÄN</t>
        </is>
      </c>
      <c r="E305" t="inlineStr">
        <is>
          <t>SALA</t>
        </is>
      </c>
      <c r="G305" t="n">
        <v>1.8</v>
      </c>
      <c r="H305" t="n">
        <v>0</v>
      </c>
      <c r="I305" t="n">
        <v>0</v>
      </c>
      <c r="J305" t="n">
        <v>0</v>
      </c>
      <c r="K305" t="n">
        <v>0</v>
      </c>
      <c r="L305" t="n">
        <v>0</v>
      </c>
      <c r="M305" t="n">
        <v>0</v>
      </c>
      <c r="N305" t="n">
        <v>0</v>
      </c>
      <c r="O305" t="n">
        <v>0</v>
      </c>
      <c r="P305" t="n">
        <v>0</v>
      </c>
      <c r="Q305" t="n">
        <v>0</v>
      </c>
      <c r="R305" s="2" t="inlineStr"/>
    </row>
    <row r="306" ht="15" customHeight="1">
      <c r="A306" t="inlineStr">
        <is>
          <t>A 51247-2025</t>
        </is>
      </c>
      <c r="B306" s="1" t="n">
        <v>45947.86487268518</v>
      </c>
      <c r="C306" s="1" t="n">
        <v>46129</v>
      </c>
      <c r="D306" t="inlineStr">
        <is>
          <t>VÄSTMANLANDS LÄN</t>
        </is>
      </c>
      <c r="E306" t="inlineStr">
        <is>
          <t>SALA</t>
        </is>
      </c>
      <c r="G306" t="n">
        <v>10.4</v>
      </c>
      <c r="H306" t="n">
        <v>0</v>
      </c>
      <c r="I306" t="n">
        <v>0</v>
      </c>
      <c r="J306" t="n">
        <v>0</v>
      </c>
      <c r="K306" t="n">
        <v>0</v>
      </c>
      <c r="L306" t="n">
        <v>0</v>
      </c>
      <c r="M306" t="n">
        <v>0</v>
      </c>
      <c r="N306" t="n">
        <v>0</v>
      </c>
      <c r="O306" t="n">
        <v>0</v>
      </c>
      <c r="P306" t="n">
        <v>0</v>
      </c>
      <c r="Q306" t="n">
        <v>0</v>
      </c>
      <c r="R306" s="2" t="inlineStr"/>
    </row>
    <row r="307" ht="15" customHeight="1">
      <c r="A307" t="inlineStr">
        <is>
          <t>A 56949-2023</t>
        </is>
      </c>
      <c r="B307" s="1" t="n">
        <v>45244.61589120371</v>
      </c>
      <c r="C307" s="1" t="n">
        <v>46129</v>
      </c>
      <c r="D307" t="inlineStr">
        <is>
          <t>VÄSTMANLANDS LÄN</t>
        </is>
      </c>
      <c r="E307" t="inlineStr">
        <is>
          <t>SALA</t>
        </is>
      </c>
      <c r="G307" t="n">
        <v>4.7</v>
      </c>
      <c r="H307" t="n">
        <v>0</v>
      </c>
      <c r="I307" t="n">
        <v>0</v>
      </c>
      <c r="J307" t="n">
        <v>0</v>
      </c>
      <c r="K307" t="n">
        <v>0</v>
      </c>
      <c r="L307" t="n">
        <v>0</v>
      </c>
      <c r="M307" t="n">
        <v>0</v>
      </c>
      <c r="N307" t="n">
        <v>0</v>
      </c>
      <c r="O307" t="n">
        <v>0</v>
      </c>
      <c r="P307" t="n">
        <v>0</v>
      </c>
      <c r="Q307" t="n">
        <v>0</v>
      </c>
      <c r="R307" s="2" t="inlineStr"/>
    </row>
    <row r="308" ht="15" customHeight="1">
      <c r="A308" t="inlineStr">
        <is>
          <t>A 28628-2025</t>
        </is>
      </c>
      <c r="B308" s="1" t="n">
        <v>45819.62158564815</v>
      </c>
      <c r="C308" s="1" t="n">
        <v>46129</v>
      </c>
      <c r="D308" t="inlineStr">
        <is>
          <t>VÄSTMANLANDS LÄN</t>
        </is>
      </c>
      <c r="E308" t="inlineStr">
        <is>
          <t>SALA</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28632-2025</t>
        </is>
      </c>
      <c r="B309" s="1" t="n">
        <v>45819.62344907408</v>
      </c>
      <c r="C309" s="1" t="n">
        <v>46129</v>
      </c>
      <c r="D309" t="inlineStr">
        <is>
          <t>VÄSTMANLANDS LÄN</t>
        </is>
      </c>
      <c r="E309" t="inlineStr">
        <is>
          <t>SALA</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28630-2025</t>
        </is>
      </c>
      <c r="B310" s="1" t="n">
        <v>45819.62274305556</v>
      </c>
      <c r="C310" s="1" t="n">
        <v>46129</v>
      </c>
      <c r="D310" t="inlineStr">
        <is>
          <t>VÄSTMANLANDS LÄN</t>
        </is>
      </c>
      <c r="E310" t="inlineStr">
        <is>
          <t>SALA</t>
        </is>
      </c>
      <c r="F310" t="inlineStr">
        <is>
          <t>Sveaskog</t>
        </is>
      </c>
      <c r="G310" t="n">
        <v>9</v>
      </c>
      <c r="H310" t="n">
        <v>0</v>
      </c>
      <c r="I310" t="n">
        <v>0</v>
      </c>
      <c r="J310" t="n">
        <v>0</v>
      </c>
      <c r="K310" t="n">
        <v>0</v>
      </c>
      <c r="L310" t="n">
        <v>0</v>
      </c>
      <c r="M310" t="n">
        <v>0</v>
      </c>
      <c r="N310" t="n">
        <v>0</v>
      </c>
      <c r="O310" t="n">
        <v>0</v>
      </c>
      <c r="P310" t="n">
        <v>0</v>
      </c>
      <c r="Q310" t="n">
        <v>0</v>
      </c>
      <c r="R310" s="2" t="inlineStr"/>
    </row>
    <row r="311" ht="15" customHeight="1">
      <c r="A311" t="inlineStr">
        <is>
          <t>A 59817-2025</t>
        </is>
      </c>
      <c r="B311" s="1" t="n">
        <v>45992.63711805556</v>
      </c>
      <c r="C311" s="1" t="n">
        <v>46129</v>
      </c>
      <c r="D311" t="inlineStr">
        <is>
          <t>VÄSTMANLANDS LÄN</t>
        </is>
      </c>
      <c r="E311" t="inlineStr">
        <is>
          <t>SALA</t>
        </is>
      </c>
      <c r="G311" t="n">
        <v>6.9</v>
      </c>
      <c r="H311" t="n">
        <v>0</v>
      </c>
      <c r="I311" t="n">
        <v>0</v>
      </c>
      <c r="J311" t="n">
        <v>0</v>
      </c>
      <c r="K311" t="n">
        <v>0</v>
      </c>
      <c r="L311" t="n">
        <v>0</v>
      </c>
      <c r="M311" t="n">
        <v>0</v>
      </c>
      <c r="N311" t="n">
        <v>0</v>
      </c>
      <c r="O311" t="n">
        <v>0</v>
      </c>
      <c r="P311" t="n">
        <v>0</v>
      </c>
      <c r="Q311" t="n">
        <v>0</v>
      </c>
      <c r="R311" s="2" t="inlineStr"/>
    </row>
    <row r="312" ht="15" customHeight="1">
      <c r="A312" t="inlineStr">
        <is>
          <t>A 28837-2025</t>
        </is>
      </c>
      <c r="B312" s="1" t="n">
        <v>45820.56243055555</v>
      </c>
      <c r="C312" s="1" t="n">
        <v>46129</v>
      </c>
      <c r="D312" t="inlineStr">
        <is>
          <t>VÄSTMANLANDS LÄN</t>
        </is>
      </c>
      <c r="E312" t="inlineStr">
        <is>
          <t>SALA</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28849-2025</t>
        </is>
      </c>
      <c r="B313" s="1" t="n">
        <v>45820</v>
      </c>
      <c r="C313" s="1" t="n">
        <v>46129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59870-2025</t>
        </is>
      </c>
      <c r="B314" s="1" t="n">
        <v>45992.92226851852</v>
      </c>
      <c r="C314" s="1" t="n">
        <v>46129</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59926-2025</t>
        </is>
      </c>
      <c r="B315" s="1" t="n">
        <v>45993.39221064815</v>
      </c>
      <c r="C315" s="1" t="n">
        <v>46129</v>
      </c>
      <c r="D315" t="inlineStr">
        <is>
          <t>VÄSTMANLANDS LÄN</t>
        </is>
      </c>
      <c r="E315" t="inlineStr">
        <is>
          <t>SALA</t>
        </is>
      </c>
      <c r="G315" t="n">
        <v>7.1</v>
      </c>
      <c r="H315" t="n">
        <v>0</v>
      </c>
      <c r="I315" t="n">
        <v>0</v>
      </c>
      <c r="J315" t="n">
        <v>0</v>
      </c>
      <c r="K315" t="n">
        <v>0</v>
      </c>
      <c r="L315" t="n">
        <v>0</v>
      </c>
      <c r="M315" t="n">
        <v>0</v>
      </c>
      <c r="N315" t="n">
        <v>0</v>
      </c>
      <c r="O315" t="n">
        <v>0</v>
      </c>
      <c r="P315" t="n">
        <v>0</v>
      </c>
      <c r="Q315" t="n">
        <v>0</v>
      </c>
      <c r="R315" s="2" t="inlineStr"/>
    </row>
    <row r="316" ht="15" customHeight="1">
      <c r="A316" t="inlineStr">
        <is>
          <t>A 29085-2025</t>
        </is>
      </c>
      <c r="B316" s="1" t="n">
        <v>45821</v>
      </c>
      <c r="C316" s="1" t="n">
        <v>46129</v>
      </c>
      <c r="D316" t="inlineStr">
        <is>
          <t>VÄSTMANLANDS LÄN</t>
        </is>
      </c>
      <c r="E316" t="inlineStr">
        <is>
          <t>SALA</t>
        </is>
      </c>
      <c r="G316" t="n">
        <v>3.5</v>
      </c>
      <c r="H316" t="n">
        <v>0</v>
      </c>
      <c r="I316" t="n">
        <v>0</v>
      </c>
      <c r="J316" t="n">
        <v>0</v>
      </c>
      <c r="K316" t="n">
        <v>0</v>
      </c>
      <c r="L316" t="n">
        <v>0</v>
      </c>
      <c r="M316" t="n">
        <v>0</v>
      </c>
      <c r="N316" t="n">
        <v>0</v>
      </c>
      <c r="O316" t="n">
        <v>0</v>
      </c>
      <c r="P316" t="n">
        <v>0</v>
      </c>
      <c r="Q316" t="n">
        <v>0</v>
      </c>
      <c r="R316" s="2" t="inlineStr"/>
    </row>
    <row r="317" ht="15" customHeight="1">
      <c r="A317" t="inlineStr">
        <is>
          <t>A 60017-2025</t>
        </is>
      </c>
      <c r="B317" s="1" t="n">
        <v>45993.59998842593</v>
      </c>
      <c r="C317" s="1" t="n">
        <v>46129</v>
      </c>
      <c r="D317" t="inlineStr">
        <is>
          <t>VÄSTMANLANDS LÄN</t>
        </is>
      </c>
      <c r="E317" t="inlineStr">
        <is>
          <t>SALA</t>
        </is>
      </c>
      <c r="G317" t="n">
        <v>4.4</v>
      </c>
      <c r="H317" t="n">
        <v>0</v>
      </c>
      <c r="I317" t="n">
        <v>0</v>
      </c>
      <c r="J317" t="n">
        <v>0</v>
      </c>
      <c r="K317" t="n">
        <v>0</v>
      </c>
      <c r="L317" t="n">
        <v>0</v>
      </c>
      <c r="M317" t="n">
        <v>0</v>
      </c>
      <c r="N317" t="n">
        <v>0</v>
      </c>
      <c r="O317" t="n">
        <v>0</v>
      </c>
      <c r="P317" t="n">
        <v>0</v>
      </c>
      <c r="Q317" t="n">
        <v>0</v>
      </c>
      <c r="R317" s="2" t="inlineStr"/>
    </row>
    <row r="318" ht="15" customHeight="1">
      <c r="A318" t="inlineStr">
        <is>
          <t>A 44524-2025</t>
        </is>
      </c>
      <c r="B318" s="1" t="n">
        <v>45916.72920138889</v>
      </c>
      <c r="C318" s="1" t="n">
        <v>46129</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44486-2025</t>
        </is>
      </c>
      <c r="B319" s="1" t="n">
        <v>45916.65517361111</v>
      </c>
      <c r="C319" s="1" t="n">
        <v>46129</v>
      </c>
      <c r="D319" t="inlineStr">
        <is>
          <t>VÄSTMANLANDS LÄN</t>
        </is>
      </c>
      <c r="E319" t="inlineStr">
        <is>
          <t>SALA</t>
        </is>
      </c>
      <c r="G319" t="n">
        <v>1.7</v>
      </c>
      <c r="H319" t="n">
        <v>0</v>
      </c>
      <c r="I319" t="n">
        <v>0</v>
      </c>
      <c r="J319" t="n">
        <v>0</v>
      </c>
      <c r="K319" t="n">
        <v>0</v>
      </c>
      <c r="L319" t="n">
        <v>0</v>
      </c>
      <c r="M319" t="n">
        <v>0</v>
      </c>
      <c r="N319" t="n">
        <v>0</v>
      </c>
      <c r="O319" t="n">
        <v>0</v>
      </c>
      <c r="P319" t="n">
        <v>0</v>
      </c>
      <c r="Q319" t="n">
        <v>0</v>
      </c>
      <c r="R319" s="2" t="inlineStr"/>
    </row>
    <row r="320" ht="15" customHeight="1">
      <c r="A320" t="inlineStr">
        <is>
          <t>A 96-2024</t>
        </is>
      </c>
      <c r="B320" s="1" t="n">
        <v>45293.85872685185</v>
      </c>
      <c r="C320" s="1" t="n">
        <v>46129</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60254-2025</t>
        </is>
      </c>
      <c r="B321" s="1" t="n">
        <v>45994.60146990741</v>
      </c>
      <c r="C321" s="1" t="n">
        <v>46129</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60259-2025</t>
        </is>
      </c>
      <c r="B322" s="1" t="n">
        <v>45994.60913194445</v>
      </c>
      <c r="C322" s="1" t="n">
        <v>46129</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29691-2025</t>
        </is>
      </c>
      <c r="B323" s="1" t="n">
        <v>45825.53645833334</v>
      </c>
      <c r="C323" s="1" t="n">
        <v>46129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60241-2025</t>
        </is>
      </c>
      <c r="B324" s="1" t="n">
        <v>45994.58454861111</v>
      </c>
      <c r="C324" s="1" t="n">
        <v>46129</v>
      </c>
      <c r="D324" t="inlineStr">
        <is>
          <t>VÄSTMANLANDS LÄN</t>
        </is>
      </c>
      <c r="E324" t="inlineStr">
        <is>
          <t>SALA</t>
        </is>
      </c>
      <c r="G324" t="n">
        <v>1.6</v>
      </c>
      <c r="H324" t="n">
        <v>0</v>
      </c>
      <c r="I324" t="n">
        <v>0</v>
      </c>
      <c r="J324" t="n">
        <v>0</v>
      </c>
      <c r="K324" t="n">
        <v>0</v>
      </c>
      <c r="L324" t="n">
        <v>0</v>
      </c>
      <c r="M324" t="n">
        <v>0</v>
      </c>
      <c r="N324" t="n">
        <v>0</v>
      </c>
      <c r="O324" t="n">
        <v>0</v>
      </c>
      <c r="P324" t="n">
        <v>0</v>
      </c>
      <c r="Q324" t="n">
        <v>0</v>
      </c>
      <c r="R324" s="2" t="inlineStr"/>
    </row>
    <row r="325" ht="15" customHeight="1">
      <c r="A325" t="inlineStr">
        <is>
          <t>A 60541-2024</t>
        </is>
      </c>
      <c r="B325" s="1" t="n">
        <v>45643</v>
      </c>
      <c r="C325" s="1" t="n">
        <v>46129</v>
      </c>
      <c r="D325" t="inlineStr">
        <is>
          <t>VÄSTMANLANDS LÄN</t>
        </is>
      </c>
      <c r="E325" t="inlineStr">
        <is>
          <t>SALA</t>
        </is>
      </c>
      <c r="G325" t="n">
        <v>10.6</v>
      </c>
      <c r="H325" t="n">
        <v>0</v>
      </c>
      <c r="I325" t="n">
        <v>0</v>
      </c>
      <c r="J325" t="n">
        <v>0</v>
      </c>
      <c r="K325" t="n">
        <v>0</v>
      </c>
      <c r="L325" t="n">
        <v>0</v>
      </c>
      <c r="M325" t="n">
        <v>0</v>
      </c>
      <c r="N325" t="n">
        <v>0</v>
      </c>
      <c r="O325" t="n">
        <v>0</v>
      </c>
      <c r="P325" t="n">
        <v>0</v>
      </c>
      <c r="Q325" t="n">
        <v>0</v>
      </c>
      <c r="R325" s="2" t="inlineStr"/>
    </row>
    <row r="326" ht="15" customHeight="1">
      <c r="A326" t="inlineStr">
        <is>
          <t>A 45177-2025</t>
        </is>
      </c>
      <c r="B326" s="1" t="n">
        <v>45919.52444444445</v>
      </c>
      <c r="C326" s="1" t="n">
        <v>46129</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54118-2023</t>
        </is>
      </c>
      <c r="B327" s="1" t="n">
        <v>45232</v>
      </c>
      <c r="C327" s="1" t="n">
        <v>46129</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34814-2021</t>
        </is>
      </c>
      <c r="B328" s="1" t="n">
        <v>44383</v>
      </c>
      <c r="C328" s="1" t="n">
        <v>46129</v>
      </c>
      <c r="D328" t="inlineStr">
        <is>
          <t>VÄSTMANLANDS LÄN</t>
        </is>
      </c>
      <c r="E328" t="inlineStr">
        <is>
          <t>SALA</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43122-2025</t>
        </is>
      </c>
      <c r="B329" s="1" t="n">
        <v>45909</v>
      </c>
      <c r="C329" s="1" t="n">
        <v>46129</v>
      </c>
      <c r="D329" t="inlineStr">
        <is>
          <t>VÄSTMANLANDS LÄN</t>
        </is>
      </c>
      <c r="E329" t="inlineStr">
        <is>
          <t>SALA</t>
        </is>
      </c>
      <c r="G329" t="n">
        <v>3.2</v>
      </c>
      <c r="H329" t="n">
        <v>0</v>
      </c>
      <c r="I329" t="n">
        <v>0</v>
      </c>
      <c r="J329" t="n">
        <v>0</v>
      </c>
      <c r="K329" t="n">
        <v>0</v>
      </c>
      <c r="L329" t="n">
        <v>0</v>
      </c>
      <c r="M329" t="n">
        <v>0</v>
      </c>
      <c r="N329" t="n">
        <v>0</v>
      </c>
      <c r="O329" t="n">
        <v>0</v>
      </c>
      <c r="P329" t="n">
        <v>0</v>
      </c>
      <c r="Q329" t="n">
        <v>0</v>
      </c>
      <c r="R329" s="2" t="inlineStr"/>
    </row>
    <row r="330" ht="15" customHeight="1">
      <c r="A330" t="inlineStr">
        <is>
          <t>A 29826-2025</t>
        </is>
      </c>
      <c r="B330" s="1" t="n">
        <v>45825.85761574074</v>
      </c>
      <c r="C330" s="1" t="n">
        <v>46129</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25748-2022</t>
        </is>
      </c>
      <c r="B331" s="1" t="n">
        <v>44732</v>
      </c>
      <c r="C331" s="1" t="n">
        <v>46129</v>
      </c>
      <c r="D331" t="inlineStr">
        <is>
          <t>VÄSTMANLANDS LÄN</t>
        </is>
      </c>
      <c r="E331" t="inlineStr">
        <is>
          <t>SALA</t>
        </is>
      </c>
      <c r="G331" t="n">
        <v>7.7</v>
      </c>
      <c r="H331" t="n">
        <v>0</v>
      </c>
      <c r="I331" t="n">
        <v>0</v>
      </c>
      <c r="J331" t="n">
        <v>0</v>
      </c>
      <c r="K331" t="n">
        <v>0</v>
      </c>
      <c r="L331" t="n">
        <v>0</v>
      </c>
      <c r="M331" t="n">
        <v>0</v>
      </c>
      <c r="N331" t="n">
        <v>0</v>
      </c>
      <c r="O331" t="n">
        <v>0</v>
      </c>
      <c r="P331" t="n">
        <v>0</v>
      </c>
      <c r="Q331" t="n">
        <v>0</v>
      </c>
      <c r="R331" s="2" t="inlineStr"/>
    </row>
    <row r="332" ht="15" customHeight="1">
      <c r="A332" t="inlineStr">
        <is>
          <t>A 3733-2023</t>
        </is>
      </c>
      <c r="B332" s="1" t="n">
        <v>44951.42501157407</v>
      </c>
      <c r="C332" s="1" t="n">
        <v>46129</v>
      </c>
      <c r="D332" t="inlineStr">
        <is>
          <t>VÄSTMANLANDS LÄN</t>
        </is>
      </c>
      <c r="E332" t="inlineStr">
        <is>
          <t>SALA</t>
        </is>
      </c>
      <c r="G332" t="n">
        <v>3.1</v>
      </c>
      <c r="H332" t="n">
        <v>0</v>
      </c>
      <c r="I332" t="n">
        <v>0</v>
      </c>
      <c r="J332" t="n">
        <v>0</v>
      </c>
      <c r="K332" t="n">
        <v>0</v>
      </c>
      <c r="L332" t="n">
        <v>0</v>
      </c>
      <c r="M332" t="n">
        <v>0</v>
      </c>
      <c r="N332" t="n">
        <v>0</v>
      </c>
      <c r="O332" t="n">
        <v>0</v>
      </c>
      <c r="P332" t="n">
        <v>0</v>
      </c>
      <c r="Q332" t="n">
        <v>0</v>
      </c>
      <c r="R332" s="2" t="inlineStr"/>
    </row>
    <row r="333" ht="15" customHeight="1">
      <c r="A333" t="inlineStr">
        <is>
          <t>A 6136-2025</t>
        </is>
      </c>
      <c r="B333" s="1" t="n">
        <v>45698.37601851852</v>
      </c>
      <c r="C333" s="1" t="n">
        <v>46129</v>
      </c>
      <c r="D333" t="inlineStr">
        <is>
          <t>VÄSTMANLANDS LÄN</t>
        </is>
      </c>
      <c r="E333" t="inlineStr">
        <is>
          <t>SALA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6190-2025</t>
        </is>
      </c>
      <c r="B334" s="1" t="n">
        <v>45698</v>
      </c>
      <c r="C334" s="1" t="n">
        <v>46129</v>
      </c>
      <c r="D334" t="inlineStr">
        <is>
          <t>VÄSTMANLANDS LÄN</t>
        </is>
      </c>
      <c r="E334" t="inlineStr">
        <is>
          <t>SALA</t>
        </is>
      </c>
      <c r="F334" t="inlineStr">
        <is>
          <t>Bergvik skog öst AB</t>
        </is>
      </c>
      <c r="G334" t="n">
        <v>4.6</v>
      </c>
      <c r="H334" t="n">
        <v>0</v>
      </c>
      <c r="I334" t="n">
        <v>0</v>
      </c>
      <c r="J334" t="n">
        <v>0</v>
      </c>
      <c r="K334" t="n">
        <v>0</v>
      </c>
      <c r="L334" t="n">
        <v>0</v>
      </c>
      <c r="M334" t="n">
        <v>0</v>
      </c>
      <c r="N334" t="n">
        <v>0</v>
      </c>
      <c r="O334" t="n">
        <v>0</v>
      </c>
      <c r="P334" t="n">
        <v>0</v>
      </c>
      <c r="Q334" t="n">
        <v>0</v>
      </c>
      <c r="R334" s="2" t="inlineStr"/>
    </row>
    <row r="335" ht="15" customHeight="1">
      <c r="A335" t="inlineStr">
        <is>
          <t>A 16760-2024</t>
        </is>
      </c>
      <c r="B335" s="1" t="n">
        <v>45411</v>
      </c>
      <c r="C335" s="1" t="n">
        <v>46129</v>
      </c>
      <c r="D335" t="inlineStr">
        <is>
          <t>VÄSTMANLANDS LÄN</t>
        </is>
      </c>
      <c r="E335" t="inlineStr">
        <is>
          <t>SALA</t>
        </is>
      </c>
      <c r="G335" t="n">
        <v>2.6</v>
      </c>
      <c r="H335" t="n">
        <v>0</v>
      </c>
      <c r="I335" t="n">
        <v>0</v>
      </c>
      <c r="J335" t="n">
        <v>0</v>
      </c>
      <c r="K335" t="n">
        <v>0</v>
      </c>
      <c r="L335" t="n">
        <v>0</v>
      </c>
      <c r="M335" t="n">
        <v>0</v>
      </c>
      <c r="N335" t="n">
        <v>0</v>
      </c>
      <c r="O335" t="n">
        <v>0</v>
      </c>
      <c r="P335" t="n">
        <v>0</v>
      </c>
      <c r="Q335" t="n">
        <v>0</v>
      </c>
      <c r="R335" s="2" t="inlineStr"/>
    </row>
    <row r="336" ht="15" customHeight="1">
      <c r="A336" t="inlineStr">
        <is>
          <t>A 60258-2025</t>
        </is>
      </c>
      <c r="B336" s="1" t="n">
        <v>45994.6064699074</v>
      </c>
      <c r="C336" s="1" t="n">
        <v>46129</v>
      </c>
      <c r="D336" t="inlineStr">
        <is>
          <t>VÄSTMANLANDS LÄN</t>
        </is>
      </c>
      <c r="E336" t="inlineStr">
        <is>
          <t>SALA</t>
        </is>
      </c>
      <c r="G336" t="n">
        <v>2.2</v>
      </c>
      <c r="H336" t="n">
        <v>0</v>
      </c>
      <c r="I336" t="n">
        <v>0</v>
      </c>
      <c r="J336" t="n">
        <v>0</v>
      </c>
      <c r="K336" t="n">
        <v>0</v>
      </c>
      <c r="L336" t="n">
        <v>0</v>
      </c>
      <c r="M336" t="n">
        <v>0</v>
      </c>
      <c r="N336" t="n">
        <v>0</v>
      </c>
      <c r="O336" t="n">
        <v>0</v>
      </c>
      <c r="P336" t="n">
        <v>0</v>
      </c>
      <c r="Q336" t="n">
        <v>0</v>
      </c>
      <c r="R336" s="2" t="inlineStr"/>
    </row>
    <row r="337" ht="15" customHeight="1">
      <c r="A337" t="inlineStr">
        <is>
          <t>A 45371-2025</t>
        </is>
      </c>
      <c r="B337" s="1" t="n">
        <v>45922.39001157408</v>
      </c>
      <c r="C337" s="1" t="n">
        <v>46129</v>
      </c>
      <c r="D337" t="inlineStr">
        <is>
          <t>VÄSTMANLANDS LÄN</t>
        </is>
      </c>
      <c r="E337" t="inlineStr">
        <is>
          <t>SALA</t>
        </is>
      </c>
      <c r="G337" t="n">
        <v>2.1</v>
      </c>
      <c r="H337" t="n">
        <v>0</v>
      </c>
      <c r="I337" t="n">
        <v>0</v>
      </c>
      <c r="J337" t="n">
        <v>0</v>
      </c>
      <c r="K337" t="n">
        <v>0</v>
      </c>
      <c r="L337" t="n">
        <v>0</v>
      </c>
      <c r="M337" t="n">
        <v>0</v>
      </c>
      <c r="N337" t="n">
        <v>0</v>
      </c>
      <c r="O337" t="n">
        <v>0</v>
      </c>
      <c r="P337" t="n">
        <v>0</v>
      </c>
      <c r="Q337" t="n">
        <v>0</v>
      </c>
      <c r="R337" s="2" t="inlineStr"/>
    </row>
    <row r="338" ht="15" customHeight="1">
      <c r="A338" t="inlineStr">
        <is>
          <t>A 6127-2025</t>
        </is>
      </c>
      <c r="B338" s="1" t="n">
        <v>45698</v>
      </c>
      <c r="C338" s="1" t="n">
        <v>46129</v>
      </c>
      <c r="D338" t="inlineStr">
        <is>
          <t>VÄSTMANLANDS LÄN</t>
        </is>
      </c>
      <c r="E338" t="inlineStr">
        <is>
          <t>SALA</t>
        </is>
      </c>
      <c r="F338" t="inlineStr">
        <is>
          <t>Bergvik skog öst AB</t>
        </is>
      </c>
      <c r="G338" t="n">
        <v>4.3</v>
      </c>
      <c r="H338" t="n">
        <v>0</v>
      </c>
      <c r="I338" t="n">
        <v>0</v>
      </c>
      <c r="J338" t="n">
        <v>0</v>
      </c>
      <c r="K338" t="n">
        <v>0</v>
      </c>
      <c r="L338" t="n">
        <v>0</v>
      </c>
      <c r="M338" t="n">
        <v>0</v>
      </c>
      <c r="N338" t="n">
        <v>0</v>
      </c>
      <c r="O338" t="n">
        <v>0</v>
      </c>
      <c r="P338" t="n">
        <v>0</v>
      </c>
      <c r="Q338" t="n">
        <v>0</v>
      </c>
      <c r="R338" s="2" t="inlineStr"/>
    </row>
    <row r="339" ht="15" customHeight="1">
      <c r="A339" t="inlineStr">
        <is>
          <t>A 60246-2025</t>
        </is>
      </c>
      <c r="B339" s="1" t="n">
        <v>45994.58931712963</v>
      </c>
      <c r="C339" s="1" t="n">
        <v>46129</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31608-2025</t>
        </is>
      </c>
      <c r="B340" s="1" t="n">
        <v>45833</v>
      </c>
      <c r="C340" s="1" t="n">
        <v>46129</v>
      </c>
      <c r="D340" t="inlineStr">
        <is>
          <t>VÄSTMANLANDS LÄN</t>
        </is>
      </c>
      <c r="E340" t="inlineStr">
        <is>
          <t>SALA</t>
        </is>
      </c>
      <c r="G340" t="n">
        <v>6.1</v>
      </c>
      <c r="H340" t="n">
        <v>0</v>
      </c>
      <c r="I340" t="n">
        <v>0</v>
      </c>
      <c r="J340" t="n">
        <v>0</v>
      </c>
      <c r="K340" t="n">
        <v>0</v>
      </c>
      <c r="L340" t="n">
        <v>0</v>
      </c>
      <c r="M340" t="n">
        <v>0</v>
      </c>
      <c r="N340" t="n">
        <v>0</v>
      </c>
      <c r="O340" t="n">
        <v>0</v>
      </c>
      <c r="P340" t="n">
        <v>0</v>
      </c>
      <c r="Q340" t="n">
        <v>0</v>
      </c>
      <c r="R340" s="2" t="inlineStr"/>
    </row>
    <row r="341" ht="15" customHeight="1">
      <c r="A341" t="inlineStr">
        <is>
          <t>A 45914-2025</t>
        </is>
      </c>
      <c r="B341" s="1" t="n">
        <v>45923.82582175926</v>
      </c>
      <c r="C341" s="1" t="n">
        <v>46129</v>
      </c>
      <c r="D341" t="inlineStr">
        <is>
          <t>VÄSTMANLANDS LÄN</t>
        </is>
      </c>
      <c r="E341" t="inlineStr">
        <is>
          <t>SALA</t>
        </is>
      </c>
      <c r="F341" t="inlineStr">
        <is>
          <t>Kommuner</t>
        </is>
      </c>
      <c r="G341" t="n">
        <v>18.2</v>
      </c>
      <c r="H341" t="n">
        <v>0</v>
      </c>
      <c r="I341" t="n">
        <v>0</v>
      </c>
      <c r="J341" t="n">
        <v>0</v>
      </c>
      <c r="K341" t="n">
        <v>0</v>
      </c>
      <c r="L341" t="n">
        <v>0</v>
      </c>
      <c r="M341" t="n">
        <v>0</v>
      </c>
      <c r="N341" t="n">
        <v>0</v>
      </c>
      <c r="O341" t="n">
        <v>0</v>
      </c>
      <c r="P341" t="n">
        <v>0</v>
      </c>
      <c r="Q341" t="n">
        <v>0</v>
      </c>
      <c r="R341" s="2" t="inlineStr"/>
    </row>
    <row r="342" ht="15" customHeight="1">
      <c r="A342" t="inlineStr">
        <is>
          <t>A 30866-2025</t>
        </is>
      </c>
      <c r="B342" s="1" t="n">
        <v>45832.3246875</v>
      </c>
      <c r="C342" s="1" t="n">
        <v>46129</v>
      </c>
      <c r="D342" t="inlineStr">
        <is>
          <t>VÄSTMANLANDS LÄN</t>
        </is>
      </c>
      <c r="E342" t="inlineStr">
        <is>
          <t>SALA</t>
        </is>
      </c>
      <c r="G342" t="n">
        <v>14.3</v>
      </c>
      <c r="H342" t="n">
        <v>0</v>
      </c>
      <c r="I342" t="n">
        <v>0</v>
      </c>
      <c r="J342" t="n">
        <v>0</v>
      </c>
      <c r="K342" t="n">
        <v>0</v>
      </c>
      <c r="L342" t="n">
        <v>0</v>
      </c>
      <c r="M342" t="n">
        <v>0</v>
      </c>
      <c r="N342" t="n">
        <v>0</v>
      </c>
      <c r="O342" t="n">
        <v>0</v>
      </c>
      <c r="P342" t="n">
        <v>0</v>
      </c>
      <c r="Q342" t="n">
        <v>0</v>
      </c>
      <c r="R342" s="2" t="inlineStr"/>
    </row>
    <row r="343" ht="15" customHeight="1">
      <c r="A343" t="inlineStr">
        <is>
          <t>A 30874-2025</t>
        </is>
      </c>
      <c r="B343" s="1" t="n">
        <v>45832.34430555555</v>
      </c>
      <c r="C343" s="1" t="n">
        <v>46129</v>
      </c>
      <c r="D343" t="inlineStr">
        <is>
          <t>VÄSTMANLANDS LÄN</t>
        </is>
      </c>
      <c r="E343" t="inlineStr">
        <is>
          <t>SALA</t>
        </is>
      </c>
      <c r="G343" t="n">
        <v>8.4</v>
      </c>
      <c r="H343" t="n">
        <v>0</v>
      </c>
      <c r="I343" t="n">
        <v>0</v>
      </c>
      <c r="J343" t="n">
        <v>0</v>
      </c>
      <c r="K343" t="n">
        <v>0</v>
      </c>
      <c r="L343" t="n">
        <v>0</v>
      </c>
      <c r="M343" t="n">
        <v>0</v>
      </c>
      <c r="N343" t="n">
        <v>0</v>
      </c>
      <c r="O343" t="n">
        <v>0</v>
      </c>
      <c r="P343" t="n">
        <v>0</v>
      </c>
      <c r="Q343" t="n">
        <v>0</v>
      </c>
      <c r="R343" s="2" t="inlineStr"/>
    </row>
    <row r="344" ht="15" customHeight="1">
      <c r="A344" t="inlineStr">
        <is>
          <t>A 988-2025</t>
        </is>
      </c>
      <c r="B344" s="1" t="n">
        <v>45666.44038194444</v>
      </c>
      <c r="C344" s="1" t="n">
        <v>46129</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31573-2025</t>
        </is>
      </c>
      <c r="B345" s="1" t="n">
        <v>45833</v>
      </c>
      <c r="C345" s="1" t="n">
        <v>46129</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31288-2025</t>
        </is>
      </c>
      <c r="B346" s="1" t="n">
        <v>45833</v>
      </c>
      <c r="C346" s="1" t="n">
        <v>46129</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31554-2025</t>
        </is>
      </c>
      <c r="B347" s="1" t="n">
        <v>45833</v>
      </c>
      <c r="C347" s="1" t="n">
        <v>46129</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60328-2024</t>
        </is>
      </c>
      <c r="B348" s="1" t="n">
        <v>45643.38416666666</v>
      </c>
      <c r="C348" s="1" t="n">
        <v>46129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60629-2025</t>
        </is>
      </c>
      <c r="B349" s="1" t="n">
        <v>45996.41972222222</v>
      </c>
      <c r="C349" s="1" t="n">
        <v>46129</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30899-2025</t>
        </is>
      </c>
      <c r="B350" s="1" t="n">
        <v>45832.35767361111</v>
      </c>
      <c r="C350" s="1" t="n">
        <v>46129</v>
      </c>
      <c r="D350" t="inlineStr">
        <is>
          <t>VÄSTMANLANDS LÄN</t>
        </is>
      </c>
      <c r="E350" t="inlineStr">
        <is>
          <t>SALA</t>
        </is>
      </c>
      <c r="G350" t="n">
        <v>3.1</v>
      </c>
      <c r="H350" t="n">
        <v>0</v>
      </c>
      <c r="I350" t="n">
        <v>0</v>
      </c>
      <c r="J350" t="n">
        <v>0</v>
      </c>
      <c r="K350" t="n">
        <v>0</v>
      </c>
      <c r="L350" t="n">
        <v>0</v>
      </c>
      <c r="M350" t="n">
        <v>0</v>
      </c>
      <c r="N350" t="n">
        <v>0</v>
      </c>
      <c r="O350" t="n">
        <v>0</v>
      </c>
      <c r="P350" t="n">
        <v>0</v>
      </c>
      <c r="Q350" t="n">
        <v>0</v>
      </c>
      <c r="R350" s="2" t="inlineStr"/>
    </row>
    <row r="351" ht="15" customHeight="1">
      <c r="A351" t="inlineStr">
        <is>
          <t>A 35016-2024</t>
        </is>
      </c>
      <c r="B351" s="1" t="n">
        <v>45527.59115740741</v>
      </c>
      <c r="C351" s="1" t="n">
        <v>46129</v>
      </c>
      <c r="D351" t="inlineStr">
        <is>
          <t>VÄSTMANLANDS LÄN</t>
        </is>
      </c>
      <c r="E351" t="inlineStr">
        <is>
          <t>SALA</t>
        </is>
      </c>
      <c r="G351" t="n">
        <v>0.4</v>
      </c>
      <c r="H351" t="n">
        <v>0</v>
      </c>
      <c r="I351" t="n">
        <v>0</v>
      </c>
      <c r="J351" t="n">
        <v>0</v>
      </c>
      <c r="K351" t="n">
        <v>0</v>
      </c>
      <c r="L351" t="n">
        <v>0</v>
      </c>
      <c r="M351" t="n">
        <v>0</v>
      </c>
      <c r="N351" t="n">
        <v>0</v>
      </c>
      <c r="O351" t="n">
        <v>0</v>
      </c>
      <c r="P351" t="n">
        <v>0</v>
      </c>
      <c r="Q351" t="n">
        <v>0</v>
      </c>
      <c r="R351" s="2" t="inlineStr"/>
    </row>
    <row r="352" ht="15" customHeight="1">
      <c r="A352" t="inlineStr">
        <is>
          <t>A 45909-2025</t>
        </is>
      </c>
      <c r="B352" s="1" t="n">
        <v>45923.75078703704</v>
      </c>
      <c r="C352" s="1" t="n">
        <v>46129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31065-2025</t>
        </is>
      </c>
      <c r="B353" s="1" t="n">
        <v>45832.57571759259</v>
      </c>
      <c r="C353" s="1" t="n">
        <v>46129</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25897-2024</t>
        </is>
      </c>
      <c r="B354" s="1" t="n">
        <v>45467.54435185185</v>
      </c>
      <c r="C354" s="1" t="n">
        <v>46129</v>
      </c>
      <c r="D354" t="inlineStr">
        <is>
          <t>VÄSTMANLANDS LÄN</t>
        </is>
      </c>
      <c r="E354" t="inlineStr">
        <is>
          <t>SALA</t>
        </is>
      </c>
      <c r="G354" t="n">
        <v>9.9</v>
      </c>
      <c r="H354" t="n">
        <v>0</v>
      </c>
      <c r="I354" t="n">
        <v>0</v>
      </c>
      <c r="J354" t="n">
        <v>0</v>
      </c>
      <c r="K354" t="n">
        <v>0</v>
      </c>
      <c r="L354" t="n">
        <v>0</v>
      </c>
      <c r="M354" t="n">
        <v>0</v>
      </c>
      <c r="N354" t="n">
        <v>0</v>
      </c>
      <c r="O354" t="n">
        <v>0</v>
      </c>
      <c r="P354" t="n">
        <v>0</v>
      </c>
      <c r="Q354" t="n">
        <v>0</v>
      </c>
      <c r="R354" s="2" t="inlineStr"/>
    </row>
    <row r="355" ht="15" customHeight="1">
      <c r="A355" t="inlineStr">
        <is>
          <t>A 31072-2021</t>
        </is>
      </c>
      <c r="B355" s="1" t="n">
        <v>44368</v>
      </c>
      <c r="C355" s="1" t="n">
        <v>46129</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31296-2025</t>
        </is>
      </c>
      <c r="B356" s="1" t="n">
        <v>45833.36765046296</v>
      </c>
      <c r="C356" s="1" t="n">
        <v>46129</v>
      </c>
      <c r="D356" t="inlineStr">
        <is>
          <t>VÄSTMANLANDS LÄN</t>
        </is>
      </c>
      <c r="E356" t="inlineStr">
        <is>
          <t>SALA</t>
        </is>
      </c>
      <c r="G356" t="n">
        <v>3.7</v>
      </c>
      <c r="H356" t="n">
        <v>0</v>
      </c>
      <c r="I356" t="n">
        <v>0</v>
      </c>
      <c r="J356" t="n">
        <v>0</v>
      </c>
      <c r="K356" t="n">
        <v>0</v>
      </c>
      <c r="L356" t="n">
        <v>0</v>
      </c>
      <c r="M356" t="n">
        <v>0</v>
      </c>
      <c r="N356" t="n">
        <v>0</v>
      </c>
      <c r="O356" t="n">
        <v>0</v>
      </c>
      <c r="P356" t="n">
        <v>0</v>
      </c>
      <c r="Q356" t="n">
        <v>0</v>
      </c>
      <c r="R356" s="2" t="inlineStr"/>
    </row>
    <row r="357" ht="15" customHeight="1">
      <c r="A357" t="inlineStr">
        <is>
          <t>A 46915-2025</t>
        </is>
      </c>
      <c r="B357" s="1" t="n">
        <v>45929.42114583333</v>
      </c>
      <c r="C357" s="1" t="n">
        <v>46129</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57371-2022</t>
        </is>
      </c>
      <c r="B358" s="1" t="n">
        <v>44896.43832175926</v>
      </c>
      <c r="C358" s="1" t="n">
        <v>46129</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31748-2025</t>
        </is>
      </c>
      <c r="B359" s="1" t="n">
        <v>45834</v>
      </c>
      <c r="C359" s="1" t="n">
        <v>46129</v>
      </c>
      <c r="D359" t="inlineStr">
        <is>
          <t>VÄSTMANLANDS LÄN</t>
        </is>
      </c>
      <c r="E359" t="inlineStr">
        <is>
          <t>SALA</t>
        </is>
      </c>
      <c r="G359" t="n">
        <v>2</v>
      </c>
      <c r="H359" t="n">
        <v>0</v>
      </c>
      <c r="I359" t="n">
        <v>0</v>
      </c>
      <c r="J359" t="n">
        <v>0</v>
      </c>
      <c r="K359" t="n">
        <v>0</v>
      </c>
      <c r="L359" t="n">
        <v>0</v>
      </c>
      <c r="M359" t="n">
        <v>0</v>
      </c>
      <c r="N359" t="n">
        <v>0</v>
      </c>
      <c r="O359" t="n">
        <v>0</v>
      </c>
      <c r="P359" t="n">
        <v>0</v>
      </c>
      <c r="Q359" t="n">
        <v>0</v>
      </c>
      <c r="R359" s="2" t="inlineStr"/>
    </row>
    <row r="360" ht="15" customHeight="1">
      <c r="A360" t="inlineStr">
        <is>
          <t>A 22019-2021</t>
        </is>
      </c>
      <c r="B360" s="1" t="n">
        <v>44323</v>
      </c>
      <c r="C360" s="1" t="n">
        <v>46129</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32210-2025</t>
        </is>
      </c>
      <c r="B361" s="1" t="n">
        <v>45835</v>
      </c>
      <c r="C361" s="1" t="n">
        <v>46129</v>
      </c>
      <c r="D361" t="inlineStr">
        <is>
          <t>VÄSTMANLANDS LÄN</t>
        </is>
      </c>
      <c r="E361" t="inlineStr">
        <is>
          <t>SALA</t>
        </is>
      </c>
      <c r="F361" t="inlineStr">
        <is>
          <t>Bergvik skog öst AB</t>
        </is>
      </c>
      <c r="G361" t="n">
        <v>1.5</v>
      </c>
      <c r="H361" t="n">
        <v>0</v>
      </c>
      <c r="I361" t="n">
        <v>0</v>
      </c>
      <c r="J361" t="n">
        <v>0</v>
      </c>
      <c r="K361" t="n">
        <v>0</v>
      </c>
      <c r="L361" t="n">
        <v>0</v>
      </c>
      <c r="M361" t="n">
        <v>0</v>
      </c>
      <c r="N361" t="n">
        <v>0</v>
      </c>
      <c r="O361" t="n">
        <v>0</v>
      </c>
      <c r="P361" t="n">
        <v>0</v>
      </c>
      <c r="Q361" t="n">
        <v>0</v>
      </c>
      <c r="R361" s="2" t="inlineStr"/>
    </row>
    <row r="362" ht="15" customHeight="1">
      <c r="A362" t="inlineStr">
        <is>
          <t>A 55784-2024</t>
        </is>
      </c>
      <c r="B362" s="1" t="n">
        <v>45623</v>
      </c>
      <c r="C362" s="1" t="n">
        <v>46129</v>
      </c>
      <c r="D362" t="inlineStr">
        <is>
          <t>VÄSTMANLANDS LÄN</t>
        </is>
      </c>
      <c r="E362" t="inlineStr">
        <is>
          <t>SALA</t>
        </is>
      </c>
      <c r="F362" t="inlineStr">
        <is>
          <t>Bergvik skog öst AB</t>
        </is>
      </c>
      <c r="G362" t="n">
        <v>28.4</v>
      </c>
      <c r="H362" t="n">
        <v>0</v>
      </c>
      <c r="I362" t="n">
        <v>0</v>
      </c>
      <c r="J362" t="n">
        <v>0</v>
      </c>
      <c r="K362" t="n">
        <v>0</v>
      </c>
      <c r="L362" t="n">
        <v>0</v>
      </c>
      <c r="M362" t="n">
        <v>0</v>
      </c>
      <c r="N362" t="n">
        <v>0</v>
      </c>
      <c r="O362" t="n">
        <v>0</v>
      </c>
      <c r="P362" t="n">
        <v>0</v>
      </c>
      <c r="Q362" t="n">
        <v>0</v>
      </c>
      <c r="R362" s="2" t="inlineStr"/>
    </row>
    <row r="363" ht="15" customHeight="1">
      <c r="A363" t="inlineStr">
        <is>
          <t>A 46597-2025</t>
        </is>
      </c>
      <c r="B363" s="1" t="n">
        <v>45926.40113425926</v>
      </c>
      <c r="C363" s="1" t="n">
        <v>46129</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31610-2025</t>
        </is>
      </c>
      <c r="B364" s="1" t="n">
        <v>45833.78650462963</v>
      </c>
      <c r="C364" s="1" t="n">
        <v>46129</v>
      </c>
      <c r="D364" t="inlineStr">
        <is>
          <t>VÄSTMANLANDS LÄN</t>
        </is>
      </c>
      <c r="E364" t="inlineStr">
        <is>
          <t>SALA</t>
        </is>
      </c>
      <c r="G364" t="n">
        <v>8</v>
      </c>
      <c r="H364" t="n">
        <v>0</v>
      </c>
      <c r="I364" t="n">
        <v>0</v>
      </c>
      <c r="J364" t="n">
        <v>0</v>
      </c>
      <c r="K364" t="n">
        <v>0</v>
      </c>
      <c r="L364" t="n">
        <v>0</v>
      </c>
      <c r="M364" t="n">
        <v>0</v>
      </c>
      <c r="N364" t="n">
        <v>0</v>
      </c>
      <c r="O364" t="n">
        <v>0</v>
      </c>
      <c r="P364" t="n">
        <v>0</v>
      </c>
      <c r="Q364" t="n">
        <v>0</v>
      </c>
      <c r="R364" s="2" t="inlineStr"/>
    </row>
    <row r="365" ht="15" customHeight="1">
      <c r="A365" t="inlineStr">
        <is>
          <t>A 32201-2025</t>
        </is>
      </c>
      <c r="B365" s="1" t="n">
        <v>45835</v>
      </c>
      <c r="C365" s="1" t="n">
        <v>46129</v>
      </c>
      <c r="D365" t="inlineStr">
        <is>
          <t>VÄSTMANLANDS LÄN</t>
        </is>
      </c>
      <c r="E365" t="inlineStr">
        <is>
          <t>SALA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31612-2025</t>
        </is>
      </c>
      <c r="B366" s="1" t="n">
        <v>45833.80056712963</v>
      </c>
      <c r="C366" s="1" t="n">
        <v>46129</v>
      </c>
      <c r="D366" t="inlineStr">
        <is>
          <t>VÄSTMANLANDS LÄN</t>
        </is>
      </c>
      <c r="E366" t="inlineStr">
        <is>
          <t>SALA</t>
        </is>
      </c>
      <c r="G366" t="n">
        <v>6.3</v>
      </c>
      <c r="H366" t="n">
        <v>0</v>
      </c>
      <c r="I366" t="n">
        <v>0</v>
      </c>
      <c r="J366" t="n">
        <v>0</v>
      </c>
      <c r="K366" t="n">
        <v>0</v>
      </c>
      <c r="L366" t="n">
        <v>0</v>
      </c>
      <c r="M366" t="n">
        <v>0</v>
      </c>
      <c r="N366" t="n">
        <v>0</v>
      </c>
      <c r="O366" t="n">
        <v>0</v>
      </c>
      <c r="P366" t="n">
        <v>0</v>
      </c>
      <c r="Q366" t="n">
        <v>0</v>
      </c>
      <c r="R366" s="2" t="inlineStr"/>
    </row>
    <row r="367" ht="15" customHeight="1">
      <c r="A367" t="inlineStr">
        <is>
          <t>A 32207-2025</t>
        </is>
      </c>
      <c r="B367" s="1" t="n">
        <v>45835</v>
      </c>
      <c r="C367" s="1" t="n">
        <v>46129</v>
      </c>
      <c r="D367" t="inlineStr">
        <is>
          <t>VÄSTMANLANDS LÄN</t>
        </is>
      </c>
      <c r="E367" t="inlineStr">
        <is>
          <t>SALA</t>
        </is>
      </c>
      <c r="F367" t="inlineStr">
        <is>
          <t>Bergvik skog öst AB</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31762-2025</t>
        </is>
      </c>
      <c r="B368" s="1" t="n">
        <v>45834.49288194445</v>
      </c>
      <c r="C368" s="1" t="n">
        <v>46129</v>
      </c>
      <c r="D368" t="inlineStr">
        <is>
          <t>VÄSTMANLANDS LÄN</t>
        </is>
      </c>
      <c r="E368" t="inlineStr">
        <is>
          <t>SALA</t>
        </is>
      </c>
      <c r="G368" t="n">
        <v>5.9</v>
      </c>
      <c r="H368" t="n">
        <v>0</v>
      </c>
      <c r="I368" t="n">
        <v>0</v>
      </c>
      <c r="J368" t="n">
        <v>0</v>
      </c>
      <c r="K368" t="n">
        <v>0</v>
      </c>
      <c r="L368" t="n">
        <v>0</v>
      </c>
      <c r="M368" t="n">
        <v>0</v>
      </c>
      <c r="N368" t="n">
        <v>0</v>
      </c>
      <c r="O368" t="n">
        <v>0</v>
      </c>
      <c r="P368" t="n">
        <v>0</v>
      </c>
      <c r="Q368" t="n">
        <v>0</v>
      </c>
      <c r="R368" s="2" t="inlineStr"/>
    </row>
    <row r="369" ht="15" customHeight="1">
      <c r="A369" t="inlineStr">
        <is>
          <t>A 31771-2025</t>
        </is>
      </c>
      <c r="B369" s="1" t="n">
        <v>45834.50910879629</v>
      </c>
      <c r="C369" s="1" t="n">
        <v>46129</v>
      </c>
      <c r="D369" t="inlineStr">
        <is>
          <t>VÄSTMANLANDS LÄN</t>
        </is>
      </c>
      <c r="E369" t="inlineStr">
        <is>
          <t>SALA</t>
        </is>
      </c>
      <c r="G369" t="n">
        <v>5.1</v>
      </c>
      <c r="H369" t="n">
        <v>0</v>
      </c>
      <c r="I369" t="n">
        <v>0</v>
      </c>
      <c r="J369" t="n">
        <v>0</v>
      </c>
      <c r="K369" t="n">
        <v>0</v>
      </c>
      <c r="L369" t="n">
        <v>0</v>
      </c>
      <c r="M369" t="n">
        <v>0</v>
      </c>
      <c r="N369" t="n">
        <v>0</v>
      </c>
      <c r="O369" t="n">
        <v>0</v>
      </c>
      <c r="P369" t="n">
        <v>0</v>
      </c>
      <c r="Q369" t="n">
        <v>0</v>
      </c>
      <c r="R369" s="2" t="inlineStr"/>
    </row>
    <row r="370" ht="15" customHeight="1">
      <c r="A370" t="inlineStr">
        <is>
          <t>A 32205-2025</t>
        </is>
      </c>
      <c r="B370" s="1" t="n">
        <v>45835</v>
      </c>
      <c r="C370" s="1" t="n">
        <v>46129</v>
      </c>
      <c r="D370" t="inlineStr">
        <is>
          <t>VÄSTMANLANDS LÄN</t>
        </is>
      </c>
      <c r="E370" t="inlineStr">
        <is>
          <t>SALA</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32286-2025</t>
        </is>
      </c>
      <c r="B371" s="1" t="n">
        <v>45835</v>
      </c>
      <c r="C371" s="1" t="n">
        <v>46129</v>
      </c>
      <c r="D371" t="inlineStr">
        <is>
          <t>VÄSTMANLANDS LÄN</t>
        </is>
      </c>
      <c r="E371" t="inlineStr">
        <is>
          <t>SALA</t>
        </is>
      </c>
      <c r="G371" t="n">
        <v>6.4</v>
      </c>
      <c r="H371" t="n">
        <v>0</v>
      </c>
      <c r="I371" t="n">
        <v>0</v>
      </c>
      <c r="J371" t="n">
        <v>0</v>
      </c>
      <c r="K371" t="n">
        <v>0</v>
      </c>
      <c r="L371" t="n">
        <v>0</v>
      </c>
      <c r="M371" t="n">
        <v>0</v>
      </c>
      <c r="N371" t="n">
        <v>0</v>
      </c>
      <c r="O371" t="n">
        <v>0</v>
      </c>
      <c r="P371" t="n">
        <v>0</v>
      </c>
      <c r="Q371" t="n">
        <v>0</v>
      </c>
      <c r="R371" s="2" t="inlineStr"/>
    </row>
    <row r="372" ht="15" customHeight="1">
      <c r="A372" t="inlineStr">
        <is>
          <t>A 19803-2024</t>
        </is>
      </c>
      <c r="B372" s="1" t="n">
        <v>45432</v>
      </c>
      <c r="C372" s="1" t="n">
        <v>46129</v>
      </c>
      <c r="D372" t="inlineStr">
        <is>
          <t>VÄSTMANLANDS LÄN</t>
        </is>
      </c>
      <c r="E372" t="inlineStr">
        <is>
          <t>SALA</t>
        </is>
      </c>
      <c r="G372" t="n">
        <v>3.1</v>
      </c>
      <c r="H372" t="n">
        <v>0</v>
      </c>
      <c r="I372" t="n">
        <v>0</v>
      </c>
      <c r="J372" t="n">
        <v>0</v>
      </c>
      <c r="K372" t="n">
        <v>0</v>
      </c>
      <c r="L372" t="n">
        <v>0</v>
      </c>
      <c r="M372" t="n">
        <v>0</v>
      </c>
      <c r="N372" t="n">
        <v>0</v>
      </c>
      <c r="O372" t="n">
        <v>0</v>
      </c>
      <c r="P372" t="n">
        <v>0</v>
      </c>
      <c r="Q372" t="n">
        <v>0</v>
      </c>
      <c r="R372" s="2" t="inlineStr"/>
    </row>
    <row r="373" ht="15" customHeight="1">
      <c r="A373" t="inlineStr">
        <is>
          <t>A 47577-2025</t>
        </is>
      </c>
      <c r="B373" s="1" t="n">
        <v>45931.4047337963</v>
      </c>
      <c r="C373" s="1" t="n">
        <v>46129</v>
      </c>
      <c r="D373" t="inlineStr">
        <is>
          <t>VÄSTMANLANDS LÄN</t>
        </is>
      </c>
      <c r="E373" t="inlineStr">
        <is>
          <t>SALA</t>
        </is>
      </c>
      <c r="G373" t="n">
        <v>3.7</v>
      </c>
      <c r="H373" t="n">
        <v>0</v>
      </c>
      <c r="I373" t="n">
        <v>0</v>
      </c>
      <c r="J373" t="n">
        <v>0</v>
      </c>
      <c r="K373" t="n">
        <v>0</v>
      </c>
      <c r="L373" t="n">
        <v>0</v>
      </c>
      <c r="M373" t="n">
        <v>0</v>
      </c>
      <c r="N373" t="n">
        <v>0</v>
      </c>
      <c r="O373" t="n">
        <v>0</v>
      </c>
      <c r="P373" t="n">
        <v>0</v>
      </c>
      <c r="Q373" t="n">
        <v>0</v>
      </c>
      <c r="R373" s="2" t="inlineStr"/>
    </row>
    <row r="374" ht="15" customHeight="1">
      <c r="A374" t="inlineStr">
        <is>
          <t>A 7196-2025</t>
        </is>
      </c>
      <c r="B374" s="1" t="n">
        <v>45702</v>
      </c>
      <c r="C374" s="1" t="n">
        <v>46129</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32902-2025</t>
        </is>
      </c>
      <c r="B375" s="1" t="n">
        <v>45839</v>
      </c>
      <c r="C375" s="1" t="n">
        <v>46129</v>
      </c>
      <c r="D375" t="inlineStr">
        <is>
          <t>VÄSTMANLANDS LÄN</t>
        </is>
      </c>
      <c r="E375" t="inlineStr">
        <is>
          <t>SALA</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46661-2025</t>
        </is>
      </c>
      <c r="B376" s="1" t="n">
        <v>45926</v>
      </c>
      <c r="C376" s="1" t="n">
        <v>46129</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40597-2022</t>
        </is>
      </c>
      <c r="B377" s="1" t="n">
        <v>44823.84862268518</v>
      </c>
      <c r="C377" s="1" t="n">
        <v>46129</v>
      </c>
      <c r="D377" t="inlineStr">
        <is>
          <t>VÄSTMANLANDS LÄN</t>
        </is>
      </c>
      <c r="E377" t="inlineStr">
        <is>
          <t>SALA</t>
        </is>
      </c>
      <c r="G377" t="n">
        <v>3.5</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46129</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48057-2025</t>
        </is>
      </c>
      <c r="B379" s="1" t="n">
        <v>45932.67947916667</v>
      </c>
      <c r="C379" s="1" t="n">
        <v>46129</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23406-2024</t>
        </is>
      </c>
      <c r="B380" s="1" t="n">
        <v>45453.58296296297</v>
      </c>
      <c r="C380" s="1" t="n">
        <v>46129</v>
      </c>
      <c r="D380" t="inlineStr">
        <is>
          <t>VÄSTMANLANDS LÄN</t>
        </is>
      </c>
      <c r="E380" t="inlineStr">
        <is>
          <t>SALA</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16133-2025</t>
        </is>
      </c>
      <c r="B381" s="1" t="n">
        <v>45750</v>
      </c>
      <c r="C381" s="1" t="n">
        <v>46129</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15099-2025</t>
        </is>
      </c>
      <c r="B382" s="1" t="n">
        <v>45744.3434837963</v>
      </c>
      <c r="C382" s="1" t="n">
        <v>46129</v>
      </c>
      <c r="D382" t="inlineStr">
        <is>
          <t>VÄSTMANLANDS LÄN</t>
        </is>
      </c>
      <c r="E382" t="inlineStr">
        <is>
          <t>SALA</t>
        </is>
      </c>
      <c r="F382" t="inlineStr">
        <is>
          <t>Sveaskog</t>
        </is>
      </c>
      <c r="G382" t="n">
        <v>14.4</v>
      </c>
      <c r="H382" t="n">
        <v>0</v>
      </c>
      <c r="I382" t="n">
        <v>0</v>
      </c>
      <c r="J382" t="n">
        <v>0</v>
      </c>
      <c r="K382" t="n">
        <v>0</v>
      </c>
      <c r="L382" t="n">
        <v>0</v>
      </c>
      <c r="M382" t="n">
        <v>0</v>
      </c>
      <c r="N382" t="n">
        <v>0</v>
      </c>
      <c r="O382" t="n">
        <v>0</v>
      </c>
      <c r="P382" t="n">
        <v>0</v>
      </c>
      <c r="Q382" t="n">
        <v>0</v>
      </c>
      <c r="R382" s="2" t="inlineStr"/>
    </row>
    <row r="383" ht="15" customHeight="1">
      <c r="A383" t="inlineStr">
        <is>
          <t>A 60036-2024</t>
        </is>
      </c>
      <c r="B383" s="1" t="n">
        <v>45642.46434027778</v>
      </c>
      <c r="C383" s="1" t="n">
        <v>46129</v>
      </c>
      <c r="D383" t="inlineStr">
        <is>
          <t>VÄSTMANLANDS LÄN</t>
        </is>
      </c>
      <c r="E383" t="inlineStr">
        <is>
          <t>SALA</t>
        </is>
      </c>
      <c r="G383" t="n">
        <v>2.5</v>
      </c>
      <c r="H383" t="n">
        <v>0</v>
      </c>
      <c r="I383" t="n">
        <v>0</v>
      </c>
      <c r="J383" t="n">
        <v>0</v>
      </c>
      <c r="K383" t="n">
        <v>0</v>
      </c>
      <c r="L383" t="n">
        <v>0</v>
      </c>
      <c r="M383" t="n">
        <v>0</v>
      </c>
      <c r="N383" t="n">
        <v>0</v>
      </c>
      <c r="O383" t="n">
        <v>0</v>
      </c>
      <c r="P383" t="n">
        <v>0</v>
      </c>
      <c r="Q383" t="n">
        <v>0</v>
      </c>
      <c r="R383" s="2" t="inlineStr"/>
    </row>
    <row r="384" ht="15" customHeight="1">
      <c r="A384" t="inlineStr">
        <is>
          <t>A 48710-2025</t>
        </is>
      </c>
      <c r="B384" s="1" t="n">
        <v>45936.63184027778</v>
      </c>
      <c r="C384" s="1" t="n">
        <v>46129</v>
      </c>
      <c r="D384" t="inlineStr">
        <is>
          <t>VÄSTMANLANDS LÄN</t>
        </is>
      </c>
      <c r="E384" t="inlineStr">
        <is>
          <t>SALA</t>
        </is>
      </c>
      <c r="G384" t="n">
        <v>2.7</v>
      </c>
      <c r="H384" t="n">
        <v>0</v>
      </c>
      <c r="I384" t="n">
        <v>0</v>
      </c>
      <c r="J384" t="n">
        <v>0</v>
      </c>
      <c r="K384" t="n">
        <v>0</v>
      </c>
      <c r="L384" t="n">
        <v>0</v>
      </c>
      <c r="M384" t="n">
        <v>0</v>
      </c>
      <c r="N384" t="n">
        <v>0</v>
      </c>
      <c r="O384" t="n">
        <v>0</v>
      </c>
      <c r="P384" t="n">
        <v>0</v>
      </c>
      <c r="Q384" t="n">
        <v>0</v>
      </c>
      <c r="R384" s="2" t="inlineStr"/>
    </row>
    <row r="385" ht="15" customHeight="1">
      <c r="A385" t="inlineStr">
        <is>
          <t>A 52827-2024</t>
        </is>
      </c>
      <c r="B385" s="1" t="n">
        <v>45610</v>
      </c>
      <c r="C385" s="1" t="n">
        <v>46129</v>
      </c>
      <c r="D385" t="inlineStr">
        <is>
          <t>VÄSTMANLANDS LÄN</t>
        </is>
      </c>
      <c r="E385" t="inlineStr">
        <is>
          <t>SALA</t>
        </is>
      </c>
      <c r="G385" t="n">
        <v>0.2</v>
      </c>
      <c r="H385" t="n">
        <v>0</v>
      </c>
      <c r="I385" t="n">
        <v>0</v>
      </c>
      <c r="J385" t="n">
        <v>0</v>
      </c>
      <c r="K385" t="n">
        <v>0</v>
      </c>
      <c r="L385" t="n">
        <v>0</v>
      </c>
      <c r="M385" t="n">
        <v>0</v>
      </c>
      <c r="N385" t="n">
        <v>0</v>
      </c>
      <c r="O385" t="n">
        <v>0</v>
      </c>
      <c r="P385" t="n">
        <v>0</v>
      </c>
      <c r="Q385" t="n">
        <v>0</v>
      </c>
      <c r="R385" s="2" t="inlineStr"/>
    </row>
    <row r="386" ht="15" customHeight="1">
      <c r="A386" t="inlineStr">
        <is>
          <t>A 34069-2025</t>
        </is>
      </c>
      <c r="B386" s="1" t="n">
        <v>45845.43560185185</v>
      </c>
      <c r="C386" s="1" t="n">
        <v>46129</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c r="U386">
        <f>HYPERLINK("https://klasma.github.io/Logging_1981/knärot/A 34069-2025 karta knärot.png", "A 34069-2025")</f>
        <v/>
      </c>
      <c r="V386">
        <f>HYPERLINK("https://klasma.github.io/Logging_1981/klagomål/A 34069-2025 FSC-klagomål.docx", "A 34069-2025")</f>
        <v/>
      </c>
      <c r="W386">
        <f>HYPERLINK("https://klasma.github.io/Logging_1981/klagomålsmail/A 34069-2025 FSC-klagomål mail.docx", "A 34069-2025")</f>
        <v/>
      </c>
      <c r="X386">
        <f>HYPERLINK("https://klasma.github.io/Logging_1981/tillsyn/A 34069-2025 tillsynsbegäran.docx", "A 34069-2025")</f>
        <v/>
      </c>
      <c r="Y386">
        <f>HYPERLINK("https://klasma.github.io/Logging_1981/tillsynsmail/A 34069-2025 tillsynsbegäran mail.docx", "A 34069-2025")</f>
        <v/>
      </c>
    </row>
    <row r="387" ht="15" customHeight="1">
      <c r="A387" t="inlineStr">
        <is>
          <t>A 15744-2025</t>
        </is>
      </c>
      <c r="B387" s="1" t="n">
        <v>45748</v>
      </c>
      <c r="C387" s="1" t="n">
        <v>46129</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16328-2025</t>
        </is>
      </c>
      <c r="B388" s="1" t="n">
        <v>45751</v>
      </c>
      <c r="C388" s="1" t="n">
        <v>46129</v>
      </c>
      <c r="D388" t="inlineStr">
        <is>
          <t>VÄSTMANLANDS LÄN</t>
        </is>
      </c>
      <c r="E388" t="inlineStr">
        <is>
          <t>SALA</t>
        </is>
      </c>
      <c r="G388" t="n">
        <v>2.9</v>
      </c>
      <c r="H388" t="n">
        <v>0</v>
      </c>
      <c r="I388" t="n">
        <v>0</v>
      </c>
      <c r="J388" t="n">
        <v>0</v>
      </c>
      <c r="K388" t="n">
        <v>0</v>
      </c>
      <c r="L388" t="n">
        <v>0</v>
      </c>
      <c r="M388" t="n">
        <v>0</v>
      </c>
      <c r="N388" t="n">
        <v>0</v>
      </c>
      <c r="O388" t="n">
        <v>0</v>
      </c>
      <c r="P388" t="n">
        <v>0</v>
      </c>
      <c r="Q388" t="n">
        <v>0</v>
      </c>
      <c r="R388" s="2" t="inlineStr"/>
    </row>
    <row r="389" ht="15" customHeight="1">
      <c r="A389" t="inlineStr">
        <is>
          <t>A 48910-2025</t>
        </is>
      </c>
      <c r="B389" s="1" t="n">
        <v>45937.48649305556</v>
      </c>
      <c r="C389" s="1" t="n">
        <v>46129</v>
      </c>
      <c r="D389" t="inlineStr">
        <is>
          <t>VÄSTMANLANDS LÄN</t>
        </is>
      </c>
      <c r="E389" t="inlineStr">
        <is>
          <t>SALA</t>
        </is>
      </c>
      <c r="G389" t="n">
        <v>7.8</v>
      </c>
      <c r="H389" t="n">
        <v>0</v>
      </c>
      <c r="I389" t="n">
        <v>0</v>
      </c>
      <c r="J389" t="n">
        <v>0</v>
      </c>
      <c r="K389" t="n">
        <v>0</v>
      </c>
      <c r="L389" t="n">
        <v>0</v>
      </c>
      <c r="M389" t="n">
        <v>0</v>
      </c>
      <c r="N389" t="n">
        <v>0</v>
      </c>
      <c r="O389" t="n">
        <v>0</v>
      </c>
      <c r="P389" t="n">
        <v>0</v>
      </c>
      <c r="Q389" t="n">
        <v>0</v>
      </c>
      <c r="R389" s="2" t="inlineStr"/>
    </row>
    <row r="390" ht="15" customHeight="1">
      <c r="A390" t="inlineStr">
        <is>
          <t>A 49585-2025</t>
        </is>
      </c>
      <c r="B390" s="1" t="n">
        <v>45939.5043287037</v>
      </c>
      <c r="C390" s="1" t="n">
        <v>46129</v>
      </c>
      <c r="D390" t="inlineStr">
        <is>
          <t>VÄSTMANLANDS LÄN</t>
        </is>
      </c>
      <c r="E390" t="inlineStr">
        <is>
          <t>SALA</t>
        </is>
      </c>
      <c r="G390" t="n">
        <v>2.2</v>
      </c>
      <c r="H390" t="n">
        <v>0</v>
      </c>
      <c r="I390" t="n">
        <v>0</v>
      </c>
      <c r="J390" t="n">
        <v>0</v>
      </c>
      <c r="K390" t="n">
        <v>0</v>
      </c>
      <c r="L390" t="n">
        <v>0</v>
      </c>
      <c r="M390" t="n">
        <v>0</v>
      </c>
      <c r="N390" t="n">
        <v>0</v>
      </c>
      <c r="O390" t="n">
        <v>0</v>
      </c>
      <c r="P390" t="n">
        <v>0</v>
      </c>
      <c r="Q390" t="n">
        <v>0</v>
      </c>
      <c r="R390" s="2" t="inlineStr"/>
    </row>
    <row r="391" ht="15" customHeight="1">
      <c r="A391" t="inlineStr">
        <is>
          <t>A 66908-2021</t>
        </is>
      </c>
      <c r="B391" s="1" t="n">
        <v>44522</v>
      </c>
      <c r="C391" s="1" t="n">
        <v>46129</v>
      </c>
      <c r="D391" t="inlineStr">
        <is>
          <t>VÄSTMANLANDS LÄN</t>
        </is>
      </c>
      <c r="E391" t="inlineStr">
        <is>
          <t>SALA</t>
        </is>
      </c>
      <c r="G391" t="n">
        <v>2.6</v>
      </c>
      <c r="H391" t="n">
        <v>0</v>
      </c>
      <c r="I391" t="n">
        <v>0</v>
      </c>
      <c r="J391" t="n">
        <v>0</v>
      </c>
      <c r="K391" t="n">
        <v>0</v>
      </c>
      <c r="L391" t="n">
        <v>0</v>
      </c>
      <c r="M391" t="n">
        <v>0</v>
      </c>
      <c r="N391" t="n">
        <v>0</v>
      </c>
      <c r="O391" t="n">
        <v>0</v>
      </c>
      <c r="P391" t="n">
        <v>0</v>
      </c>
      <c r="Q391" t="n">
        <v>0</v>
      </c>
      <c r="R391" s="2" t="inlineStr"/>
    </row>
    <row r="392" ht="15" customHeight="1">
      <c r="A392" t="inlineStr">
        <is>
          <t>A 73835-2021</t>
        </is>
      </c>
      <c r="B392" s="1" t="n">
        <v>44552.92112268518</v>
      </c>
      <c r="C392" s="1" t="n">
        <v>46129</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3810-2023</t>
        </is>
      </c>
      <c r="B393" s="1" t="n">
        <v>44951.60454861111</v>
      </c>
      <c r="C393" s="1" t="n">
        <v>46129</v>
      </c>
      <c r="D393" t="inlineStr">
        <is>
          <t>VÄSTMANLANDS LÄN</t>
        </is>
      </c>
      <c r="E393" t="inlineStr">
        <is>
          <t>SALA</t>
        </is>
      </c>
      <c r="G393" t="n">
        <v>4.2</v>
      </c>
      <c r="H393" t="n">
        <v>0</v>
      </c>
      <c r="I393" t="n">
        <v>0</v>
      </c>
      <c r="J393" t="n">
        <v>0</v>
      </c>
      <c r="K393" t="n">
        <v>0</v>
      </c>
      <c r="L393" t="n">
        <v>0</v>
      </c>
      <c r="M393" t="n">
        <v>0</v>
      </c>
      <c r="N393" t="n">
        <v>0</v>
      </c>
      <c r="O393" t="n">
        <v>0</v>
      </c>
      <c r="P393" t="n">
        <v>0</v>
      </c>
      <c r="Q393" t="n">
        <v>0</v>
      </c>
      <c r="R393" s="2" t="inlineStr"/>
    </row>
    <row r="394" ht="15" customHeight="1">
      <c r="A394" t="inlineStr">
        <is>
          <t>A 49640-2025</t>
        </is>
      </c>
      <c r="B394" s="1" t="n">
        <v>45939.61459490741</v>
      </c>
      <c r="C394" s="1" t="n">
        <v>46129</v>
      </c>
      <c r="D394" t="inlineStr">
        <is>
          <t>VÄSTMANLANDS LÄN</t>
        </is>
      </c>
      <c r="E394" t="inlineStr">
        <is>
          <t>SALA</t>
        </is>
      </c>
      <c r="F394" t="inlineStr">
        <is>
          <t>Kommuner</t>
        </is>
      </c>
      <c r="G394" t="n">
        <v>18.8</v>
      </c>
      <c r="H394" t="n">
        <v>0</v>
      </c>
      <c r="I394" t="n">
        <v>0</v>
      </c>
      <c r="J394" t="n">
        <v>0</v>
      </c>
      <c r="K394" t="n">
        <v>0</v>
      </c>
      <c r="L394" t="n">
        <v>0</v>
      </c>
      <c r="M394" t="n">
        <v>0</v>
      </c>
      <c r="N394" t="n">
        <v>0</v>
      </c>
      <c r="O394" t="n">
        <v>0</v>
      </c>
      <c r="P394" t="n">
        <v>0</v>
      </c>
      <c r="Q394" t="n">
        <v>0</v>
      </c>
      <c r="R394" s="2" t="inlineStr"/>
    </row>
    <row r="395" ht="15" customHeight="1">
      <c r="A395" t="inlineStr">
        <is>
          <t>A 12252-2023</t>
        </is>
      </c>
      <c r="B395" s="1" t="n">
        <v>44995</v>
      </c>
      <c r="C395" s="1" t="n">
        <v>46129</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35775-2025</t>
        </is>
      </c>
      <c r="B396" s="1" t="n">
        <v>45860</v>
      </c>
      <c r="C396" s="1" t="n">
        <v>46129</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35779-2025</t>
        </is>
      </c>
      <c r="B397" s="1" t="n">
        <v>45860.69495370371</v>
      </c>
      <c r="C397" s="1" t="n">
        <v>46129</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50128-2025</t>
        </is>
      </c>
      <c r="B398" s="1" t="n">
        <v>45943.55318287037</v>
      </c>
      <c r="C398" s="1" t="n">
        <v>46129</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35776-2025</t>
        </is>
      </c>
      <c r="B399" s="1" t="n">
        <v>45860.69211805556</v>
      </c>
      <c r="C399" s="1" t="n">
        <v>46129</v>
      </c>
      <c r="D399" t="inlineStr">
        <is>
          <t>VÄSTMANLANDS LÄN</t>
        </is>
      </c>
      <c r="E399" t="inlineStr">
        <is>
          <t>SALA</t>
        </is>
      </c>
      <c r="G399" t="n">
        <v>14.2</v>
      </c>
      <c r="H399" t="n">
        <v>0</v>
      </c>
      <c r="I399" t="n">
        <v>0</v>
      </c>
      <c r="J399" t="n">
        <v>0</v>
      </c>
      <c r="K399" t="n">
        <v>0</v>
      </c>
      <c r="L399" t="n">
        <v>0</v>
      </c>
      <c r="M399" t="n">
        <v>0</v>
      </c>
      <c r="N399" t="n">
        <v>0</v>
      </c>
      <c r="O399" t="n">
        <v>0</v>
      </c>
      <c r="P399" t="n">
        <v>0</v>
      </c>
      <c r="Q399" t="n">
        <v>0</v>
      </c>
      <c r="R399" s="2" t="inlineStr"/>
    </row>
    <row r="400" ht="15" customHeight="1">
      <c r="A400" t="inlineStr">
        <is>
          <t>A 35715-2025</t>
        </is>
      </c>
      <c r="B400" s="1" t="n">
        <v>45860.42148148148</v>
      </c>
      <c r="C400" s="1" t="n">
        <v>46129</v>
      </c>
      <c r="D400" t="inlineStr">
        <is>
          <t>VÄSTMANLANDS LÄN</t>
        </is>
      </c>
      <c r="E400" t="inlineStr">
        <is>
          <t>SALA</t>
        </is>
      </c>
      <c r="G400" t="n">
        <v>3.8</v>
      </c>
      <c r="H400" t="n">
        <v>0</v>
      </c>
      <c r="I400" t="n">
        <v>0</v>
      </c>
      <c r="J400" t="n">
        <v>0</v>
      </c>
      <c r="K400" t="n">
        <v>0</v>
      </c>
      <c r="L400" t="n">
        <v>0</v>
      </c>
      <c r="M400" t="n">
        <v>0</v>
      </c>
      <c r="N400" t="n">
        <v>0</v>
      </c>
      <c r="O400" t="n">
        <v>0</v>
      </c>
      <c r="P400" t="n">
        <v>0</v>
      </c>
      <c r="Q400" t="n">
        <v>0</v>
      </c>
      <c r="R400" s="2" t="inlineStr"/>
    </row>
    <row r="401" ht="15" customHeight="1">
      <c r="A401" t="inlineStr">
        <is>
          <t>A 50119-2025</t>
        </is>
      </c>
      <c r="B401" s="1" t="n">
        <v>45943.54883101852</v>
      </c>
      <c r="C401" s="1" t="n">
        <v>46129</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50059-2025</t>
        </is>
      </c>
      <c r="B402" s="1" t="n">
        <v>45943.44125</v>
      </c>
      <c r="C402" s="1" t="n">
        <v>46129</v>
      </c>
      <c r="D402" t="inlineStr">
        <is>
          <t>VÄSTMANLANDS LÄN</t>
        </is>
      </c>
      <c r="E402" t="inlineStr">
        <is>
          <t>SALA</t>
        </is>
      </c>
      <c r="G402" t="n">
        <v>4.4</v>
      </c>
      <c r="H402" t="n">
        <v>0</v>
      </c>
      <c r="I402" t="n">
        <v>0</v>
      </c>
      <c r="J402" t="n">
        <v>0</v>
      </c>
      <c r="K402" t="n">
        <v>0</v>
      </c>
      <c r="L402" t="n">
        <v>0</v>
      </c>
      <c r="M402" t="n">
        <v>0</v>
      </c>
      <c r="N402" t="n">
        <v>0</v>
      </c>
      <c r="O402" t="n">
        <v>0</v>
      </c>
      <c r="P402" t="n">
        <v>0</v>
      </c>
      <c r="Q402" t="n">
        <v>0</v>
      </c>
      <c r="R402" s="2" t="inlineStr"/>
    </row>
    <row r="403" ht="15" customHeight="1">
      <c r="A403" t="inlineStr">
        <is>
          <t>A 35651-2025</t>
        </is>
      </c>
      <c r="B403" s="1" t="n">
        <v>45859.52435185185</v>
      </c>
      <c r="C403" s="1" t="n">
        <v>46129</v>
      </c>
      <c r="D403" t="inlineStr">
        <is>
          <t>VÄSTMANLANDS LÄN</t>
        </is>
      </c>
      <c r="E403" t="inlineStr">
        <is>
          <t>SALA</t>
        </is>
      </c>
      <c r="G403" t="n">
        <v>6.3</v>
      </c>
      <c r="H403" t="n">
        <v>0</v>
      </c>
      <c r="I403" t="n">
        <v>0</v>
      </c>
      <c r="J403" t="n">
        <v>0</v>
      </c>
      <c r="K403" t="n">
        <v>0</v>
      </c>
      <c r="L403" t="n">
        <v>0</v>
      </c>
      <c r="M403" t="n">
        <v>0</v>
      </c>
      <c r="N403" t="n">
        <v>0</v>
      </c>
      <c r="O403" t="n">
        <v>0</v>
      </c>
      <c r="P403" t="n">
        <v>0</v>
      </c>
      <c r="Q403" t="n">
        <v>0</v>
      </c>
      <c r="R403" s="2" t="inlineStr"/>
    </row>
    <row r="404" ht="15" customHeight="1">
      <c r="A404" t="inlineStr">
        <is>
          <t>A 35774-2025</t>
        </is>
      </c>
      <c r="B404" s="1" t="n">
        <v>45860.68780092592</v>
      </c>
      <c r="C404" s="1" t="n">
        <v>46129</v>
      </c>
      <c r="D404" t="inlineStr">
        <is>
          <t>VÄSTMANLANDS LÄN</t>
        </is>
      </c>
      <c r="E404" t="inlineStr">
        <is>
          <t>SALA</t>
        </is>
      </c>
      <c r="G404" t="n">
        <v>6.5</v>
      </c>
      <c r="H404" t="n">
        <v>0</v>
      </c>
      <c r="I404" t="n">
        <v>0</v>
      </c>
      <c r="J404" t="n">
        <v>0</v>
      </c>
      <c r="K404" t="n">
        <v>0</v>
      </c>
      <c r="L404" t="n">
        <v>0</v>
      </c>
      <c r="M404" t="n">
        <v>0</v>
      </c>
      <c r="N404" t="n">
        <v>0</v>
      </c>
      <c r="O404" t="n">
        <v>0</v>
      </c>
      <c r="P404" t="n">
        <v>0</v>
      </c>
      <c r="Q404" t="n">
        <v>0</v>
      </c>
      <c r="R404" s="2" t="inlineStr"/>
    </row>
    <row r="405" ht="15" customHeight="1">
      <c r="A405" t="inlineStr">
        <is>
          <t>A 25260-2023</t>
        </is>
      </c>
      <c r="B405" s="1" t="n">
        <v>45086</v>
      </c>
      <c r="C405" s="1" t="n">
        <v>46129</v>
      </c>
      <c r="D405" t="inlineStr">
        <is>
          <t>VÄSTMANLANDS LÄN</t>
        </is>
      </c>
      <c r="E405" t="inlineStr">
        <is>
          <t>SALA</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50249-2025</t>
        </is>
      </c>
      <c r="B406" s="1" t="n">
        <v>45944.31508101852</v>
      </c>
      <c r="C406" s="1" t="n">
        <v>46129</v>
      </c>
      <c r="D406" t="inlineStr">
        <is>
          <t>VÄSTMANLANDS LÄN</t>
        </is>
      </c>
      <c r="E406" t="inlineStr">
        <is>
          <t>SALA</t>
        </is>
      </c>
      <c r="G406" t="n">
        <v>2.3</v>
      </c>
      <c r="H406" t="n">
        <v>0</v>
      </c>
      <c r="I406" t="n">
        <v>0</v>
      </c>
      <c r="J406" t="n">
        <v>0</v>
      </c>
      <c r="K406" t="n">
        <v>0</v>
      </c>
      <c r="L406" t="n">
        <v>0</v>
      </c>
      <c r="M406" t="n">
        <v>0</v>
      </c>
      <c r="N406" t="n">
        <v>0</v>
      </c>
      <c r="O406" t="n">
        <v>0</v>
      </c>
      <c r="P406" t="n">
        <v>0</v>
      </c>
      <c r="Q406" t="n">
        <v>0</v>
      </c>
      <c r="R406" s="2" t="inlineStr"/>
    </row>
    <row r="407" ht="15" customHeight="1">
      <c r="A407" t="inlineStr">
        <is>
          <t>A 57404-2024</t>
        </is>
      </c>
      <c r="B407" s="1" t="n">
        <v>45629.71967592592</v>
      </c>
      <c r="C407" s="1" t="n">
        <v>46129</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46129</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36031-2025</t>
        </is>
      </c>
      <c r="B409" s="1" t="n">
        <v>45865.46111111111</v>
      </c>
      <c r="C409" s="1" t="n">
        <v>46129</v>
      </c>
      <c r="D409" t="inlineStr">
        <is>
          <t>VÄSTMANLANDS LÄN</t>
        </is>
      </c>
      <c r="E409" t="inlineStr">
        <is>
          <t>SALA</t>
        </is>
      </c>
      <c r="G409" t="n">
        <v>7.2</v>
      </c>
      <c r="H409" t="n">
        <v>0</v>
      </c>
      <c r="I409" t="n">
        <v>0</v>
      </c>
      <c r="J409" t="n">
        <v>0</v>
      </c>
      <c r="K409" t="n">
        <v>0</v>
      </c>
      <c r="L409" t="n">
        <v>0</v>
      </c>
      <c r="M409" t="n">
        <v>0</v>
      </c>
      <c r="N409" t="n">
        <v>0</v>
      </c>
      <c r="O409" t="n">
        <v>0</v>
      </c>
      <c r="P409" t="n">
        <v>0</v>
      </c>
      <c r="Q409" t="n">
        <v>0</v>
      </c>
      <c r="R409" s="2" t="inlineStr"/>
    </row>
    <row r="410" ht="15" customHeight="1">
      <c r="A410" t="inlineStr">
        <is>
          <t>A 36043-2025</t>
        </is>
      </c>
      <c r="B410" s="1" t="n">
        <v>45866.35333333333</v>
      </c>
      <c r="C410" s="1" t="n">
        <v>46129</v>
      </c>
      <c r="D410" t="inlineStr">
        <is>
          <t>VÄSTMANLANDS LÄN</t>
        </is>
      </c>
      <c r="E410" t="inlineStr">
        <is>
          <t>SALA</t>
        </is>
      </c>
      <c r="F410" t="inlineStr">
        <is>
          <t>Kommuner</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36032-2025</t>
        </is>
      </c>
      <c r="B411" s="1" t="n">
        <v>45865.48740740741</v>
      </c>
      <c r="C411" s="1" t="n">
        <v>46129</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36049-2025</t>
        </is>
      </c>
      <c r="B412" s="1" t="n">
        <v>45866.37065972222</v>
      </c>
      <c r="C412" s="1" t="n">
        <v>46129</v>
      </c>
      <c r="D412" t="inlineStr">
        <is>
          <t>VÄSTMANLANDS LÄN</t>
        </is>
      </c>
      <c r="E412" t="inlineStr">
        <is>
          <t>SALA</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13128-2023</t>
        </is>
      </c>
      <c r="B413" s="1" t="n">
        <v>45002</v>
      </c>
      <c r="C413" s="1" t="n">
        <v>46129</v>
      </c>
      <c r="D413" t="inlineStr">
        <is>
          <t>VÄSTMANLANDS LÄN</t>
        </is>
      </c>
      <c r="E413" t="inlineStr">
        <is>
          <t>SALA</t>
        </is>
      </c>
      <c r="G413" t="n">
        <v>7.9</v>
      </c>
      <c r="H413" t="n">
        <v>0</v>
      </c>
      <c r="I413" t="n">
        <v>0</v>
      </c>
      <c r="J413" t="n">
        <v>0</v>
      </c>
      <c r="K413" t="n">
        <v>0</v>
      </c>
      <c r="L413" t="n">
        <v>0</v>
      </c>
      <c r="M413" t="n">
        <v>0</v>
      </c>
      <c r="N413" t="n">
        <v>0</v>
      </c>
      <c r="O413" t="n">
        <v>0</v>
      </c>
      <c r="P413" t="n">
        <v>0</v>
      </c>
      <c r="Q413" t="n">
        <v>0</v>
      </c>
      <c r="R413" s="2" t="inlineStr"/>
    </row>
    <row r="414" ht="15" customHeight="1">
      <c r="A414" t="inlineStr">
        <is>
          <t>A 36045-2025</t>
        </is>
      </c>
      <c r="B414" s="1" t="n">
        <v>45866.36200231482</v>
      </c>
      <c r="C414" s="1" t="n">
        <v>46129</v>
      </c>
      <c r="D414" t="inlineStr">
        <is>
          <t>VÄSTMANLANDS LÄN</t>
        </is>
      </c>
      <c r="E414" t="inlineStr">
        <is>
          <t>SALA</t>
        </is>
      </c>
      <c r="F414" t="inlineStr">
        <is>
          <t>Kommuner</t>
        </is>
      </c>
      <c r="G414" t="n">
        <v>1.7</v>
      </c>
      <c r="H414" t="n">
        <v>0</v>
      </c>
      <c r="I414" t="n">
        <v>0</v>
      </c>
      <c r="J414" t="n">
        <v>0</v>
      </c>
      <c r="K414" t="n">
        <v>0</v>
      </c>
      <c r="L414" t="n">
        <v>0</v>
      </c>
      <c r="M414" t="n">
        <v>0</v>
      </c>
      <c r="N414" t="n">
        <v>0</v>
      </c>
      <c r="O414" t="n">
        <v>0</v>
      </c>
      <c r="P414" t="n">
        <v>0</v>
      </c>
      <c r="Q414" t="n">
        <v>0</v>
      </c>
      <c r="R414" s="2" t="inlineStr"/>
    </row>
    <row r="415" ht="15" customHeight="1">
      <c r="A415" t="inlineStr">
        <is>
          <t>A 61522-2025</t>
        </is>
      </c>
      <c r="B415" s="1" t="n">
        <v>46001.68684027778</v>
      </c>
      <c r="C415" s="1" t="n">
        <v>46129</v>
      </c>
      <c r="D415" t="inlineStr">
        <is>
          <t>VÄSTMANLANDS LÄN</t>
        </is>
      </c>
      <c r="E415" t="inlineStr">
        <is>
          <t>SALA</t>
        </is>
      </c>
      <c r="G415" t="n">
        <v>5.7</v>
      </c>
      <c r="H415" t="n">
        <v>0</v>
      </c>
      <c r="I415" t="n">
        <v>0</v>
      </c>
      <c r="J415" t="n">
        <v>0</v>
      </c>
      <c r="K415" t="n">
        <v>0</v>
      </c>
      <c r="L415" t="n">
        <v>0</v>
      </c>
      <c r="M415" t="n">
        <v>0</v>
      </c>
      <c r="N415" t="n">
        <v>0</v>
      </c>
      <c r="O415" t="n">
        <v>0</v>
      </c>
      <c r="P415" t="n">
        <v>0</v>
      </c>
      <c r="Q415" t="n">
        <v>0</v>
      </c>
      <c r="R415" s="2" t="inlineStr"/>
    </row>
    <row r="416" ht="15" customHeight="1">
      <c r="A416" t="inlineStr">
        <is>
          <t>A 17766-2025</t>
        </is>
      </c>
      <c r="B416" s="1" t="n">
        <v>45758</v>
      </c>
      <c r="C416" s="1" t="n">
        <v>46129</v>
      </c>
      <c r="D416" t="inlineStr">
        <is>
          <t>VÄSTMANLANDS LÄN</t>
        </is>
      </c>
      <c r="E416" t="inlineStr">
        <is>
          <t>SALA</t>
        </is>
      </c>
      <c r="G416" t="n">
        <v>16.5</v>
      </c>
      <c r="H416" t="n">
        <v>0</v>
      </c>
      <c r="I416" t="n">
        <v>0</v>
      </c>
      <c r="J416" t="n">
        <v>0</v>
      </c>
      <c r="K416" t="n">
        <v>0</v>
      </c>
      <c r="L416" t="n">
        <v>0</v>
      </c>
      <c r="M416" t="n">
        <v>0</v>
      </c>
      <c r="N416" t="n">
        <v>0</v>
      </c>
      <c r="O416" t="n">
        <v>0</v>
      </c>
      <c r="P416" t="n">
        <v>0</v>
      </c>
      <c r="Q416" t="n">
        <v>0</v>
      </c>
      <c r="R416" s="2" t="inlineStr"/>
    </row>
    <row r="417" ht="15" customHeight="1">
      <c r="A417" t="inlineStr">
        <is>
          <t>A 31863-2025</t>
        </is>
      </c>
      <c r="B417" s="1" t="n">
        <v>45834.63303240741</v>
      </c>
      <c r="C417" s="1" t="n">
        <v>46129</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24864-2024</t>
        </is>
      </c>
      <c r="B418" s="1" t="n">
        <v>45461.48888888889</v>
      </c>
      <c r="C418" s="1" t="n">
        <v>46129</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51764-2025</t>
        </is>
      </c>
      <c r="B419" s="1" t="n">
        <v>45951.63636574074</v>
      </c>
      <c r="C419" s="1" t="n">
        <v>46129</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3546-2025</t>
        </is>
      </c>
      <c r="B420" s="1" t="n">
        <v>45680</v>
      </c>
      <c r="C420" s="1" t="n">
        <v>46129</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31869-2025</t>
        </is>
      </c>
      <c r="B421" s="1" t="n">
        <v>45834.64555555556</v>
      </c>
      <c r="C421" s="1" t="n">
        <v>46129</v>
      </c>
      <c r="D421" t="inlineStr">
        <is>
          <t>VÄSTMANLANDS LÄN</t>
        </is>
      </c>
      <c r="E421" t="inlineStr">
        <is>
          <t>SALA</t>
        </is>
      </c>
      <c r="G421" t="n">
        <v>17.5</v>
      </c>
      <c r="H421" t="n">
        <v>0</v>
      </c>
      <c r="I421" t="n">
        <v>0</v>
      </c>
      <c r="J421" t="n">
        <v>0</v>
      </c>
      <c r="K421" t="n">
        <v>0</v>
      </c>
      <c r="L421" t="n">
        <v>0</v>
      </c>
      <c r="M421" t="n">
        <v>0</v>
      </c>
      <c r="N421" t="n">
        <v>0</v>
      </c>
      <c r="O421" t="n">
        <v>0</v>
      </c>
      <c r="P421" t="n">
        <v>0</v>
      </c>
      <c r="Q421" t="n">
        <v>0</v>
      </c>
      <c r="R421" s="2" t="inlineStr"/>
    </row>
    <row r="422" ht="15" customHeight="1">
      <c r="A422" t="inlineStr">
        <is>
          <t>A 7664-2023</t>
        </is>
      </c>
      <c r="B422" s="1" t="n">
        <v>44972</v>
      </c>
      <c r="C422" s="1" t="n">
        <v>46129</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51626-2025</t>
        </is>
      </c>
      <c r="B423" s="1" t="n">
        <v>45951.41769675926</v>
      </c>
      <c r="C423" s="1" t="n">
        <v>46129</v>
      </c>
      <c r="D423" t="inlineStr">
        <is>
          <t>VÄSTMANLANDS LÄN</t>
        </is>
      </c>
      <c r="E423" t="inlineStr">
        <is>
          <t>SALA</t>
        </is>
      </c>
      <c r="G423" t="n">
        <v>2.6</v>
      </c>
      <c r="H423" t="n">
        <v>0</v>
      </c>
      <c r="I423" t="n">
        <v>0</v>
      </c>
      <c r="J423" t="n">
        <v>0</v>
      </c>
      <c r="K423" t="n">
        <v>0</v>
      </c>
      <c r="L423" t="n">
        <v>0</v>
      </c>
      <c r="M423" t="n">
        <v>0</v>
      </c>
      <c r="N423" t="n">
        <v>0</v>
      </c>
      <c r="O423" t="n">
        <v>0</v>
      </c>
      <c r="P423" t="n">
        <v>0</v>
      </c>
      <c r="Q423" t="n">
        <v>0</v>
      </c>
      <c r="R423" s="2" t="inlineStr"/>
    </row>
    <row r="424" ht="15" customHeight="1">
      <c r="A424" t="inlineStr">
        <is>
          <t>A 17985-2025</t>
        </is>
      </c>
      <c r="B424" s="1" t="n">
        <v>45761</v>
      </c>
      <c r="C424" s="1" t="n">
        <v>46129</v>
      </c>
      <c r="D424" t="inlineStr">
        <is>
          <t>VÄSTMANLANDS LÄN</t>
        </is>
      </c>
      <c r="E424" t="inlineStr">
        <is>
          <t>SALA</t>
        </is>
      </c>
      <c r="G424" t="n">
        <v>12.5</v>
      </c>
      <c r="H424" t="n">
        <v>0</v>
      </c>
      <c r="I424" t="n">
        <v>0</v>
      </c>
      <c r="J424" t="n">
        <v>0</v>
      </c>
      <c r="K424" t="n">
        <v>0</v>
      </c>
      <c r="L424" t="n">
        <v>0</v>
      </c>
      <c r="M424" t="n">
        <v>0</v>
      </c>
      <c r="N424" t="n">
        <v>0</v>
      </c>
      <c r="O424" t="n">
        <v>0</v>
      </c>
      <c r="P424" t="n">
        <v>0</v>
      </c>
      <c r="Q424" t="n">
        <v>0</v>
      </c>
      <c r="R424" s="2" t="inlineStr"/>
    </row>
    <row r="425" ht="15" customHeight="1">
      <c r="A425" t="inlineStr">
        <is>
          <t>A 24755-2021</t>
        </is>
      </c>
      <c r="B425" s="1" t="n">
        <v>44340</v>
      </c>
      <c r="C425" s="1" t="n">
        <v>46129</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51690-2025</t>
        </is>
      </c>
      <c r="B426" s="1" t="n">
        <v>45951.53462962963</v>
      </c>
      <c r="C426" s="1" t="n">
        <v>46129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37103-2025</t>
        </is>
      </c>
      <c r="B427" s="1" t="n">
        <v>45875.47743055555</v>
      </c>
      <c r="C427" s="1" t="n">
        <v>46129</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51804-2025</t>
        </is>
      </c>
      <c r="B428" s="1" t="n">
        <v>45951.77697916667</v>
      </c>
      <c r="C428" s="1" t="n">
        <v>46129</v>
      </c>
      <c r="D428" t="inlineStr">
        <is>
          <t>VÄSTMANLANDS LÄN</t>
        </is>
      </c>
      <c r="E428" t="inlineStr">
        <is>
          <t>SALA</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51808-2025</t>
        </is>
      </c>
      <c r="B429" s="1" t="n">
        <v>45951.79302083333</v>
      </c>
      <c r="C429" s="1" t="n">
        <v>46129</v>
      </c>
      <c r="D429" t="inlineStr">
        <is>
          <t>VÄSTMANLANDS LÄN</t>
        </is>
      </c>
      <c r="E429" t="inlineStr">
        <is>
          <t>SALA</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51803-2025</t>
        </is>
      </c>
      <c r="B430" s="1" t="n">
        <v>45951.76818287037</v>
      </c>
      <c r="C430" s="1" t="n">
        <v>46129</v>
      </c>
      <c r="D430" t="inlineStr">
        <is>
          <t>VÄSTMANLANDS LÄN</t>
        </is>
      </c>
      <c r="E430" t="inlineStr">
        <is>
          <t>SALA</t>
        </is>
      </c>
      <c r="F430" t="inlineStr">
        <is>
          <t>Kommuner</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51805-2025</t>
        </is>
      </c>
      <c r="B431" s="1" t="n">
        <v>45951.78359953704</v>
      </c>
      <c r="C431" s="1" t="n">
        <v>46129</v>
      </c>
      <c r="D431" t="inlineStr">
        <is>
          <t>VÄSTMANLANDS LÄN</t>
        </is>
      </c>
      <c r="E431" t="inlineStr">
        <is>
          <t>SALA</t>
        </is>
      </c>
      <c r="F431" t="inlineStr">
        <is>
          <t>Kommuner</t>
        </is>
      </c>
      <c r="G431" t="n">
        <v>1.3</v>
      </c>
      <c r="H431" t="n">
        <v>0</v>
      </c>
      <c r="I431" t="n">
        <v>0</v>
      </c>
      <c r="J431" t="n">
        <v>0</v>
      </c>
      <c r="K431" t="n">
        <v>0</v>
      </c>
      <c r="L431" t="n">
        <v>0</v>
      </c>
      <c r="M431" t="n">
        <v>0</v>
      </c>
      <c r="N431" t="n">
        <v>0</v>
      </c>
      <c r="O431" t="n">
        <v>0</v>
      </c>
      <c r="P431" t="n">
        <v>0</v>
      </c>
      <c r="Q431" t="n">
        <v>0</v>
      </c>
      <c r="R431" s="2" t="inlineStr"/>
    </row>
    <row r="432" ht="15" customHeight="1">
      <c r="A432" t="inlineStr">
        <is>
          <t>A 37017-2025</t>
        </is>
      </c>
      <c r="B432" s="1" t="n">
        <v>45874</v>
      </c>
      <c r="C432" s="1" t="n">
        <v>46129</v>
      </c>
      <c r="D432" t="inlineStr">
        <is>
          <t>VÄSTMANLANDS LÄN</t>
        </is>
      </c>
      <c r="E432" t="inlineStr">
        <is>
          <t>SALA</t>
        </is>
      </c>
      <c r="G432" t="n">
        <v>11.1</v>
      </c>
      <c r="H432" t="n">
        <v>0</v>
      </c>
      <c r="I432" t="n">
        <v>0</v>
      </c>
      <c r="J432" t="n">
        <v>0</v>
      </c>
      <c r="K432" t="n">
        <v>0</v>
      </c>
      <c r="L432" t="n">
        <v>0</v>
      </c>
      <c r="M432" t="n">
        <v>0</v>
      </c>
      <c r="N432" t="n">
        <v>0</v>
      </c>
      <c r="O432" t="n">
        <v>0</v>
      </c>
      <c r="P432" t="n">
        <v>0</v>
      </c>
      <c r="Q432" t="n">
        <v>0</v>
      </c>
      <c r="R432" s="2" t="inlineStr"/>
    </row>
    <row r="433" ht="15" customHeight="1">
      <c r="A433" t="inlineStr">
        <is>
          <t>A 51809-2025</t>
        </is>
      </c>
      <c r="B433" s="1" t="n">
        <v>45951.80116898148</v>
      </c>
      <c r="C433" s="1" t="n">
        <v>46129</v>
      </c>
      <c r="D433" t="inlineStr">
        <is>
          <t>VÄSTMANLANDS LÄN</t>
        </is>
      </c>
      <c r="E433" t="inlineStr">
        <is>
          <t>SALA</t>
        </is>
      </c>
      <c r="F433" t="inlineStr">
        <is>
          <t>Kommuner</t>
        </is>
      </c>
      <c r="G433" t="n">
        <v>3.5</v>
      </c>
      <c r="H433" t="n">
        <v>0</v>
      </c>
      <c r="I433" t="n">
        <v>0</v>
      </c>
      <c r="J433" t="n">
        <v>0</v>
      </c>
      <c r="K433" t="n">
        <v>0</v>
      </c>
      <c r="L433" t="n">
        <v>0</v>
      </c>
      <c r="M433" t="n">
        <v>0</v>
      </c>
      <c r="N433" t="n">
        <v>0</v>
      </c>
      <c r="O433" t="n">
        <v>0</v>
      </c>
      <c r="P433" t="n">
        <v>0</v>
      </c>
      <c r="Q433" t="n">
        <v>0</v>
      </c>
      <c r="R433" s="2" t="inlineStr"/>
    </row>
    <row r="434" ht="15" customHeight="1">
      <c r="A434" t="inlineStr">
        <is>
          <t>A 37246-2025</t>
        </is>
      </c>
      <c r="B434" s="1" t="n">
        <v>45876.39435185185</v>
      </c>
      <c r="C434" s="1" t="n">
        <v>46129</v>
      </c>
      <c r="D434" t="inlineStr">
        <is>
          <t>VÄSTMANLANDS LÄN</t>
        </is>
      </c>
      <c r="E434" t="inlineStr">
        <is>
          <t>SALA</t>
        </is>
      </c>
      <c r="G434" t="n">
        <v>2.3</v>
      </c>
      <c r="H434" t="n">
        <v>0</v>
      </c>
      <c r="I434" t="n">
        <v>0</v>
      </c>
      <c r="J434" t="n">
        <v>0</v>
      </c>
      <c r="K434" t="n">
        <v>0</v>
      </c>
      <c r="L434" t="n">
        <v>0</v>
      </c>
      <c r="M434" t="n">
        <v>0</v>
      </c>
      <c r="N434" t="n">
        <v>0</v>
      </c>
      <c r="O434" t="n">
        <v>0</v>
      </c>
      <c r="P434" t="n">
        <v>0</v>
      </c>
      <c r="Q434" t="n">
        <v>0</v>
      </c>
      <c r="R434" s="2" t="inlineStr"/>
    </row>
    <row r="435" ht="15" customHeight="1">
      <c r="A435" t="inlineStr">
        <is>
          <t>A 37590-2025</t>
        </is>
      </c>
      <c r="B435" s="1" t="n">
        <v>45880.41138888889</v>
      </c>
      <c r="C435" s="1" t="n">
        <v>46129</v>
      </c>
      <c r="D435" t="inlineStr">
        <is>
          <t>VÄSTMANLANDS LÄN</t>
        </is>
      </c>
      <c r="E435" t="inlineStr">
        <is>
          <t>SALA</t>
        </is>
      </c>
      <c r="G435" t="n">
        <v>2.2</v>
      </c>
      <c r="H435" t="n">
        <v>0</v>
      </c>
      <c r="I435" t="n">
        <v>0</v>
      </c>
      <c r="J435" t="n">
        <v>0</v>
      </c>
      <c r="K435" t="n">
        <v>0</v>
      </c>
      <c r="L435" t="n">
        <v>0</v>
      </c>
      <c r="M435" t="n">
        <v>0</v>
      </c>
      <c r="N435" t="n">
        <v>0</v>
      </c>
      <c r="O435" t="n">
        <v>0</v>
      </c>
      <c r="P435" t="n">
        <v>0</v>
      </c>
      <c r="Q435" t="n">
        <v>0</v>
      </c>
      <c r="R435" s="2" t="inlineStr"/>
    </row>
    <row r="436" ht="15" customHeight="1">
      <c r="A436" t="inlineStr">
        <is>
          <t>A 37593-2025</t>
        </is>
      </c>
      <c r="B436" s="1" t="n">
        <v>45880.41325231481</v>
      </c>
      <c r="C436" s="1" t="n">
        <v>46129</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28696-2023</t>
        </is>
      </c>
      <c r="B437" s="1" t="n">
        <v>45103.71759259259</v>
      </c>
      <c r="C437" s="1" t="n">
        <v>46129</v>
      </c>
      <c r="D437" t="inlineStr">
        <is>
          <t>VÄSTMANLANDS LÄN</t>
        </is>
      </c>
      <c r="E437" t="inlineStr">
        <is>
          <t>SALA</t>
        </is>
      </c>
      <c r="F437" t="inlineStr">
        <is>
          <t>Kommuner</t>
        </is>
      </c>
      <c r="G437" t="n">
        <v>5.9</v>
      </c>
      <c r="H437" t="n">
        <v>0</v>
      </c>
      <c r="I437" t="n">
        <v>0</v>
      </c>
      <c r="J437" t="n">
        <v>0</v>
      </c>
      <c r="K437" t="n">
        <v>0</v>
      </c>
      <c r="L437" t="n">
        <v>0</v>
      </c>
      <c r="M437" t="n">
        <v>0</v>
      </c>
      <c r="N437" t="n">
        <v>0</v>
      </c>
      <c r="O437" t="n">
        <v>0</v>
      </c>
      <c r="P437" t="n">
        <v>0</v>
      </c>
      <c r="Q437" t="n">
        <v>0</v>
      </c>
      <c r="R437" s="2" t="inlineStr"/>
    </row>
    <row r="438" ht="15" customHeight="1">
      <c r="A438" t="inlineStr">
        <is>
          <t>A 6691-2025</t>
        </is>
      </c>
      <c r="B438" s="1" t="n">
        <v>45700.50625</v>
      </c>
      <c r="C438" s="1" t="n">
        <v>46129</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38294-2025</t>
        </is>
      </c>
      <c r="B439" s="1" t="n">
        <v>45883.44854166666</v>
      </c>
      <c r="C439" s="1" t="n">
        <v>46129</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1934-2023</t>
        </is>
      </c>
      <c r="B440" s="1" t="n">
        <v>44939.43024305555</v>
      </c>
      <c r="C440" s="1" t="n">
        <v>46129</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35519-2024</t>
        </is>
      </c>
      <c r="B441" s="1" t="n">
        <v>45531</v>
      </c>
      <c r="C441" s="1" t="n">
        <v>46129</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43359-2024</t>
        </is>
      </c>
      <c r="B442" s="1" t="n">
        <v>45568.57724537037</v>
      </c>
      <c r="C442" s="1" t="n">
        <v>46129</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29972-2025</t>
        </is>
      </c>
      <c r="B443" s="1" t="n">
        <v>45826</v>
      </c>
      <c r="C443" s="1" t="n">
        <v>46129</v>
      </c>
      <c r="D443" t="inlineStr">
        <is>
          <t>VÄSTMANLANDS LÄN</t>
        </is>
      </c>
      <c r="E443" t="inlineStr">
        <is>
          <t>SALA</t>
        </is>
      </c>
      <c r="G443" t="n">
        <v>2.7</v>
      </c>
      <c r="H443" t="n">
        <v>0</v>
      </c>
      <c r="I443" t="n">
        <v>0</v>
      </c>
      <c r="J443" t="n">
        <v>0</v>
      </c>
      <c r="K443" t="n">
        <v>0</v>
      </c>
      <c r="L443" t="n">
        <v>0</v>
      </c>
      <c r="M443" t="n">
        <v>0</v>
      </c>
      <c r="N443" t="n">
        <v>0</v>
      </c>
      <c r="O443" t="n">
        <v>0</v>
      </c>
      <c r="P443" t="n">
        <v>0</v>
      </c>
      <c r="Q443" t="n">
        <v>0</v>
      </c>
      <c r="R443" s="2" t="inlineStr"/>
    </row>
    <row r="444" ht="15" customHeight="1">
      <c r="A444" t="inlineStr">
        <is>
          <t>A 50241-2023</t>
        </is>
      </c>
      <c r="B444" s="1" t="n">
        <v>45216</v>
      </c>
      <c r="C444" s="1" t="n">
        <v>46129</v>
      </c>
      <c r="D444" t="inlineStr">
        <is>
          <t>VÄSTMANLANDS LÄN</t>
        </is>
      </c>
      <c r="E444" t="inlineStr">
        <is>
          <t>SALA</t>
        </is>
      </c>
      <c r="G444" t="n">
        <v>1.9</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46129</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30971-2022</t>
        </is>
      </c>
      <c r="B446" s="1" t="n">
        <v>44768.46725694444</v>
      </c>
      <c r="C446" s="1" t="n">
        <v>46129</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35637-2022</t>
        </is>
      </c>
      <c r="B447" s="1" t="n">
        <v>44799.55194444444</v>
      </c>
      <c r="C447" s="1" t="n">
        <v>46129</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19304-2025</t>
        </is>
      </c>
      <c r="B448" s="1" t="n">
        <v>45769</v>
      </c>
      <c r="C448" s="1" t="n">
        <v>46129</v>
      </c>
      <c r="D448" t="inlineStr">
        <is>
          <t>VÄSTMANLANDS LÄN</t>
        </is>
      </c>
      <c r="E448" t="inlineStr">
        <is>
          <t>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38636-2024</t>
        </is>
      </c>
      <c r="B449" s="1" t="n">
        <v>45546</v>
      </c>
      <c r="C449" s="1" t="n">
        <v>46129</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53744-2025</t>
        </is>
      </c>
      <c r="B450" s="1" t="n">
        <v>45960.64863425926</v>
      </c>
      <c r="C450" s="1" t="n">
        <v>46129</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46279-2021</t>
        </is>
      </c>
      <c r="B451" s="1" t="n">
        <v>44442.57797453704</v>
      </c>
      <c r="C451" s="1" t="n">
        <v>46129</v>
      </c>
      <c r="D451" t="inlineStr">
        <is>
          <t>VÄSTMANLANDS LÄN</t>
        </is>
      </c>
      <c r="E451" t="inlineStr">
        <is>
          <t>SALA</t>
        </is>
      </c>
      <c r="G451" t="n">
        <v>1.4</v>
      </c>
      <c r="H451" t="n">
        <v>0</v>
      </c>
      <c r="I451" t="n">
        <v>0</v>
      </c>
      <c r="J451" t="n">
        <v>0</v>
      </c>
      <c r="K451" t="n">
        <v>0</v>
      </c>
      <c r="L451" t="n">
        <v>0</v>
      </c>
      <c r="M451" t="n">
        <v>0</v>
      </c>
      <c r="N451" t="n">
        <v>0</v>
      </c>
      <c r="O451" t="n">
        <v>0</v>
      </c>
      <c r="P451" t="n">
        <v>0</v>
      </c>
      <c r="Q451" t="n">
        <v>0</v>
      </c>
      <c r="R451" s="2" t="inlineStr"/>
    </row>
    <row r="452" ht="15" customHeight="1">
      <c r="A452" t="inlineStr">
        <is>
          <t>A 27038-2023</t>
        </is>
      </c>
      <c r="B452" s="1" t="n">
        <v>45095</v>
      </c>
      <c r="C452" s="1" t="n">
        <v>46129</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53724-2025</t>
        </is>
      </c>
      <c r="B453" s="1" t="n">
        <v>45960.63174768518</v>
      </c>
      <c r="C453" s="1" t="n">
        <v>46129</v>
      </c>
      <c r="D453" t="inlineStr">
        <is>
          <t>VÄSTMANLANDS LÄN</t>
        </is>
      </c>
      <c r="E453" t="inlineStr">
        <is>
          <t>SALA</t>
        </is>
      </c>
      <c r="G453" t="n">
        <v>2.8</v>
      </c>
      <c r="H453" t="n">
        <v>0</v>
      </c>
      <c r="I453" t="n">
        <v>0</v>
      </c>
      <c r="J453" t="n">
        <v>0</v>
      </c>
      <c r="K453" t="n">
        <v>0</v>
      </c>
      <c r="L453" t="n">
        <v>0</v>
      </c>
      <c r="M453" t="n">
        <v>0</v>
      </c>
      <c r="N453" t="n">
        <v>0</v>
      </c>
      <c r="O453" t="n">
        <v>0</v>
      </c>
      <c r="P453" t="n">
        <v>0</v>
      </c>
      <c r="Q453" t="n">
        <v>0</v>
      </c>
      <c r="R453" s="2" t="inlineStr"/>
    </row>
    <row r="454" ht="15" customHeight="1">
      <c r="A454" t="inlineStr">
        <is>
          <t>A 23182-2022</t>
        </is>
      </c>
      <c r="B454" s="1" t="n">
        <v>44719.79707175926</v>
      </c>
      <c r="C454" s="1" t="n">
        <v>46129</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62523-2025</t>
        </is>
      </c>
      <c r="B455" s="1" t="n">
        <v>46007.61512731481</v>
      </c>
      <c r="C455" s="1" t="n">
        <v>46129</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54344-2025</t>
        </is>
      </c>
      <c r="B456" s="1" t="n">
        <v>45965.36462962963</v>
      </c>
      <c r="C456" s="1" t="n">
        <v>46129</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54590-2025</t>
        </is>
      </c>
      <c r="B457" s="1" t="n">
        <v>45965.74199074074</v>
      </c>
      <c r="C457" s="1" t="n">
        <v>46129</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31859-2023</t>
        </is>
      </c>
      <c r="B458" s="1" t="n">
        <v>45118</v>
      </c>
      <c r="C458" s="1" t="n">
        <v>46129</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c r="U458">
        <f>HYPERLINK("https://klasma.github.io/Logging_1981/knärot/A 31859-2023 karta knärot.png", "A 31859-2023")</f>
        <v/>
      </c>
      <c r="V458">
        <f>HYPERLINK("https://klasma.github.io/Logging_1981/klagomål/A 31859-2023 FSC-klagomål.docx", "A 31859-2023")</f>
        <v/>
      </c>
      <c r="W458">
        <f>HYPERLINK("https://klasma.github.io/Logging_1981/klagomålsmail/A 31859-2023 FSC-klagomål mail.docx", "A 31859-2023")</f>
        <v/>
      </c>
      <c r="X458">
        <f>HYPERLINK("https://klasma.github.io/Logging_1981/tillsyn/A 31859-2023 tillsynsbegäran.docx", "A 31859-2023")</f>
        <v/>
      </c>
      <c r="Y458">
        <f>HYPERLINK("https://klasma.github.io/Logging_1981/tillsynsmail/A 31859-2023 tillsynsbegäran mail.docx", "A 31859-2023")</f>
        <v/>
      </c>
    </row>
    <row r="459" ht="15" customHeight="1">
      <c r="A459" t="inlineStr">
        <is>
          <t>A 54201-2025</t>
        </is>
      </c>
      <c r="B459" s="1" t="n">
        <v>45964.58055555556</v>
      </c>
      <c r="C459" s="1" t="n">
        <v>46129</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7469-2025</t>
        </is>
      </c>
      <c r="B460" s="1" t="n">
        <v>45705</v>
      </c>
      <c r="C460" s="1" t="n">
        <v>46129</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63055-2025</t>
        </is>
      </c>
      <c r="B461" s="1" t="n">
        <v>46009.63619212963</v>
      </c>
      <c r="C461" s="1" t="n">
        <v>46129</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63051-2025</t>
        </is>
      </c>
      <c r="B462" s="1" t="n">
        <v>46009.63134259259</v>
      </c>
      <c r="C462" s="1" t="n">
        <v>46129</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54893-2025</t>
        </is>
      </c>
      <c r="B463" s="1" t="n">
        <v>45967.36383101852</v>
      </c>
      <c r="C463" s="1" t="n">
        <v>46129</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60034-2024</t>
        </is>
      </c>
      <c r="B464" s="1" t="n">
        <v>45642.46261574074</v>
      </c>
      <c r="C464" s="1" t="n">
        <v>46129</v>
      </c>
      <c r="D464" t="inlineStr">
        <is>
          <t>VÄSTMANLANDS LÄN</t>
        </is>
      </c>
      <c r="E464" t="inlineStr">
        <is>
          <t>SALA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63046-2025</t>
        </is>
      </c>
      <c r="B465" s="1" t="n">
        <v>46009.62373842593</v>
      </c>
      <c r="C465" s="1" t="n">
        <v>46129</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19033-2025</t>
        </is>
      </c>
      <c r="B466" s="1" t="n">
        <v>45764.65796296296</v>
      </c>
      <c r="C466" s="1" t="n">
        <v>46129</v>
      </c>
      <c r="D466" t="inlineStr">
        <is>
          <t>VÄSTMANLANDS LÄN</t>
        </is>
      </c>
      <c r="E466" t="inlineStr">
        <is>
          <t>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73673-2021</t>
        </is>
      </c>
      <c r="B467" s="1" t="n">
        <v>44552.46501157407</v>
      </c>
      <c r="C467" s="1" t="n">
        <v>46129</v>
      </c>
      <c r="D467" t="inlineStr">
        <is>
          <t>VÄSTMANLANDS LÄN</t>
        </is>
      </c>
      <c r="E467" t="inlineStr">
        <is>
          <t>SALA</t>
        </is>
      </c>
      <c r="G467" t="n">
        <v>11.4</v>
      </c>
      <c r="H467" t="n">
        <v>0</v>
      </c>
      <c r="I467" t="n">
        <v>0</v>
      </c>
      <c r="J467" t="n">
        <v>0</v>
      </c>
      <c r="K467" t="n">
        <v>0</v>
      </c>
      <c r="L467" t="n">
        <v>0</v>
      </c>
      <c r="M467" t="n">
        <v>0</v>
      </c>
      <c r="N467" t="n">
        <v>0</v>
      </c>
      <c r="O467" t="n">
        <v>0</v>
      </c>
      <c r="P467" t="n">
        <v>0</v>
      </c>
      <c r="Q467" t="n">
        <v>0</v>
      </c>
      <c r="R467" s="2" t="inlineStr"/>
    </row>
    <row r="468" ht="15" customHeight="1">
      <c r="A468" t="inlineStr">
        <is>
          <t>A 34867-2023</t>
        </is>
      </c>
      <c r="B468" s="1" t="n">
        <v>45142.33481481481</v>
      </c>
      <c r="C468" s="1" t="n">
        <v>46129</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11631-2023</t>
        </is>
      </c>
      <c r="B469" s="1" t="n">
        <v>44994.44001157407</v>
      </c>
      <c r="C469" s="1" t="n">
        <v>46129</v>
      </c>
      <c r="D469" t="inlineStr">
        <is>
          <t>VÄSTMANLANDS LÄN</t>
        </is>
      </c>
      <c r="E469" t="inlineStr">
        <is>
          <t>SALA</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63353-2025</t>
        </is>
      </c>
      <c r="B470" s="1" t="n">
        <v>46010.66670138889</v>
      </c>
      <c r="C470" s="1" t="n">
        <v>46129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63269-2025</t>
        </is>
      </c>
      <c r="B471" s="1" t="n">
        <v>46010</v>
      </c>
      <c r="C471" s="1" t="n">
        <v>46129</v>
      </c>
      <c r="D471" t="inlineStr">
        <is>
          <t>VÄSTMANLANDS LÄN</t>
        </is>
      </c>
      <c r="E471" t="inlineStr">
        <is>
          <t>SALA</t>
        </is>
      </c>
      <c r="G471" t="n">
        <v>6.4</v>
      </c>
      <c r="H471" t="n">
        <v>0</v>
      </c>
      <c r="I471" t="n">
        <v>0</v>
      </c>
      <c r="J471" t="n">
        <v>0</v>
      </c>
      <c r="K471" t="n">
        <v>0</v>
      </c>
      <c r="L471" t="n">
        <v>0</v>
      </c>
      <c r="M471" t="n">
        <v>0</v>
      </c>
      <c r="N471" t="n">
        <v>0</v>
      </c>
      <c r="O471" t="n">
        <v>0</v>
      </c>
      <c r="P471" t="n">
        <v>0</v>
      </c>
      <c r="Q471" t="n">
        <v>0</v>
      </c>
      <c r="R471" s="2" t="inlineStr"/>
    </row>
    <row r="472" ht="15" customHeight="1">
      <c r="A472" t="inlineStr">
        <is>
          <t>A 8775-2024</t>
        </is>
      </c>
      <c r="B472" s="1" t="n">
        <v>45356</v>
      </c>
      <c r="C472" s="1" t="n">
        <v>46129</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48710-2024</t>
        </is>
      </c>
      <c r="B473" s="1" t="n">
        <v>45593.53636574074</v>
      </c>
      <c r="C473" s="1" t="n">
        <v>46129</v>
      </c>
      <c r="D473" t="inlineStr">
        <is>
          <t>VÄSTMANLANDS LÄN</t>
        </is>
      </c>
      <c r="E473" t="inlineStr">
        <is>
          <t>SALA</t>
        </is>
      </c>
      <c r="G473" t="n">
        <v>6.5</v>
      </c>
      <c r="H473" t="n">
        <v>0</v>
      </c>
      <c r="I473" t="n">
        <v>0</v>
      </c>
      <c r="J473" t="n">
        <v>0</v>
      </c>
      <c r="K473" t="n">
        <v>0</v>
      </c>
      <c r="L473" t="n">
        <v>0</v>
      </c>
      <c r="M473" t="n">
        <v>0</v>
      </c>
      <c r="N473" t="n">
        <v>0</v>
      </c>
      <c r="O473" t="n">
        <v>0</v>
      </c>
      <c r="P473" t="n">
        <v>0</v>
      </c>
      <c r="Q473" t="n">
        <v>0</v>
      </c>
      <c r="R473" s="2" t="inlineStr"/>
    </row>
    <row r="474" ht="15" customHeight="1">
      <c r="A474" t="inlineStr">
        <is>
          <t>A 16404-2022</t>
        </is>
      </c>
      <c r="B474" s="1" t="n">
        <v>44671</v>
      </c>
      <c r="C474" s="1" t="n">
        <v>46129</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17722-2025</t>
        </is>
      </c>
      <c r="B475" s="1" t="n">
        <v>45758</v>
      </c>
      <c r="C475" s="1" t="n">
        <v>46129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63749-2025</t>
        </is>
      </c>
      <c r="B476" s="1" t="n">
        <v>46017.75243055556</v>
      </c>
      <c r="C476" s="1" t="n">
        <v>46129</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24248-2023</t>
        </is>
      </c>
      <c r="B477" s="1" t="n">
        <v>45079</v>
      </c>
      <c r="C477" s="1" t="n">
        <v>46129</v>
      </c>
      <c r="D477" t="inlineStr">
        <is>
          <t>VÄSTMANLANDS LÄN</t>
        </is>
      </c>
      <c r="E477" t="inlineStr">
        <is>
          <t>SALA</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63748-2025</t>
        </is>
      </c>
      <c r="B478" s="1" t="n">
        <v>46017.71640046296</v>
      </c>
      <c r="C478" s="1" t="n">
        <v>46129</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10559-2024</t>
        </is>
      </c>
      <c r="B479" s="1" t="n">
        <v>45366</v>
      </c>
      <c r="C479" s="1" t="n">
        <v>46129</v>
      </c>
      <c r="D479" t="inlineStr">
        <is>
          <t>VÄSTMANLANDS LÄN</t>
        </is>
      </c>
      <c r="E479" t="inlineStr">
        <is>
          <t>SALA</t>
        </is>
      </c>
      <c r="G479" t="n">
        <v>0.3</v>
      </c>
      <c r="H479" t="n">
        <v>0</v>
      </c>
      <c r="I479" t="n">
        <v>0</v>
      </c>
      <c r="J479" t="n">
        <v>0</v>
      </c>
      <c r="K479" t="n">
        <v>0</v>
      </c>
      <c r="L479" t="n">
        <v>0</v>
      </c>
      <c r="M479" t="n">
        <v>0</v>
      </c>
      <c r="N479" t="n">
        <v>0</v>
      </c>
      <c r="O479" t="n">
        <v>0</v>
      </c>
      <c r="P479" t="n">
        <v>0</v>
      </c>
      <c r="Q479" t="n">
        <v>0</v>
      </c>
      <c r="R479" s="2" t="inlineStr"/>
    </row>
    <row r="480" ht="15" customHeight="1">
      <c r="A480" t="inlineStr">
        <is>
          <t>A 40214-2023</t>
        </is>
      </c>
      <c r="B480" s="1" t="n">
        <v>45169.45173611111</v>
      </c>
      <c r="C480" s="1" t="n">
        <v>46129</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9856-2022</t>
        </is>
      </c>
      <c r="B481" s="1" t="n">
        <v>44620</v>
      </c>
      <c r="C481" s="1" t="n">
        <v>46129</v>
      </c>
      <c r="D481" t="inlineStr">
        <is>
          <t>VÄSTMANLANDS LÄN</t>
        </is>
      </c>
      <c r="E481" t="inlineStr">
        <is>
          <t>SALA</t>
        </is>
      </c>
      <c r="G481" t="n">
        <v>2.4</v>
      </c>
      <c r="H481" t="n">
        <v>0</v>
      </c>
      <c r="I481" t="n">
        <v>0</v>
      </c>
      <c r="J481" t="n">
        <v>0</v>
      </c>
      <c r="K481" t="n">
        <v>0</v>
      </c>
      <c r="L481" t="n">
        <v>0</v>
      </c>
      <c r="M481" t="n">
        <v>0</v>
      </c>
      <c r="N481" t="n">
        <v>0</v>
      </c>
      <c r="O481" t="n">
        <v>0</v>
      </c>
      <c r="P481" t="n">
        <v>0</v>
      </c>
      <c r="Q481" t="n">
        <v>0</v>
      </c>
      <c r="R481" s="2" t="inlineStr"/>
    </row>
    <row r="482" ht="15" customHeight="1">
      <c r="A482" t="inlineStr">
        <is>
          <t>A 18100-2023</t>
        </is>
      </c>
      <c r="B482" s="1" t="n">
        <v>45040</v>
      </c>
      <c r="C482" s="1" t="n">
        <v>46129</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23374-2023</t>
        </is>
      </c>
      <c r="B483" s="1" t="n">
        <v>45076.4399537037</v>
      </c>
      <c r="C483" s="1" t="n">
        <v>46129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6134-2024</t>
        </is>
      </c>
      <c r="B484" s="1" t="n">
        <v>45337</v>
      </c>
      <c r="C484" s="1" t="n">
        <v>46129</v>
      </c>
      <c r="D484" t="inlineStr">
        <is>
          <t>VÄSTMANLANDS LÄN</t>
        </is>
      </c>
      <c r="E484" t="inlineStr">
        <is>
          <t>SALA</t>
        </is>
      </c>
      <c r="G484" t="n">
        <v>1.8</v>
      </c>
      <c r="H484" t="n">
        <v>0</v>
      </c>
      <c r="I484" t="n">
        <v>0</v>
      </c>
      <c r="J484" t="n">
        <v>0</v>
      </c>
      <c r="K484" t="n">
        <v>0</v>
      </c>
      <c r="L484" t="n">
        <v>0</v>
      </c>
      <c r="M484" t="n">
        <v>0</v>
      </c>
      <c r="N484" t="n">
        <v>0</v>
      </c>
      <c r="O484" t="n">
        <v>0</v>
      </c>
      <c r="P484" t="n">
        <v>0</v>
      </c>
      <c r="Q484" t="n">
        <v>0</v>
      </c>
      <c r="R484" s="2" t="inlineStr"/>
    </row>
    <row r="485" ht="15" customHeight="1">
      <c r="A485" t="inlineStr">
        <is>
          <t>A 48117-2024</t>
        </is>
      </c>
      <c r="B485" s="1" t="n">
        <v>45589</v>
      </c>
      <c r="C485" s="1" t="n">
        <v>46129</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31082-2021</t>
        </is>
      </c>
      <c r="B486" s="1" t="n">
        <v>44368</v>
      </c>
      <c r="C486" s="1" t="n">
        <v>46129</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31470-2021</t>
        </is>
      </c>
      <c r="B487" s="1" t="n">
        <v>44369</v>
      </c>
      <c r="C487" s="1" t="n">
        <v>46129</v>
      </c>
      <c r="D487" t="inlineStr">
        <is>
          <t>VÄSTMANLANDS LÄN</t>
        </is>
      </c>
      <c r="E487" t="inlineStr">
        <is>
          <t>SALA</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910-2026</t>
        </is>
      </c>
      <c r="B488" s="1" t="n">
        <v>46030.4771412037</v>
      </c>
      <c r="C488" s="1" t="n">
        <v>46129</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914-2026</t>
        </is>
      </c>
      <c r="B489" s="1" t="n">
        <v>46030.47952546296</v>
      </c>
      <c r="C489" s="1" t="n">
        <v>46129</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24175-2024</t>
        </is>
      </c>
      <c r="B490" s="1" t="n">
        <v>45456</v>
      </c>
      <c r="C490" s="1" t="n">
        <v>46129</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948-2026</t>
        </is>
      </c>
      <c r="B491" s="1" t="n">
        <v>46030.53986111111</v>
      </c>
      <c r="C491" s="1" t="n">
        <v>46129</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28328-2023</t>
        </is>
      </c>
      <c r="B492" s="1" t="n">
        <v>45099.71063657408</v>
      </c>
      <c r="C492" s="1" t="n">
        <v>46129</v>
      </c>
      <c r="D492" t="inlineStr">
        <is>
          <t>VÄSTMANLANDS LÄN</t>
        </is>
      </c>
      <c r="E492" t="inlineStr">
        <is>
          <t>SALA</t>
        </is>
      </c>
      <c r="G492" t="n">
        <v>1.8</v>
      </c>
      <c r="H492" t="n">
        <v>0</v>
      </c>
      <c r="I492" t="n">
        <v>0</v>
      </c>
      <c r="J492" t="n">
        <v>0</v>
      </c>
      <c r="K492" t="n">
        <v>0</v>
      </c>
      <c r="L492" t="n">
        <v>0</v>
      </c>
      <c r="M492" t="n">
        <v>0</v>
      </c>
      <c r="N492" t="n">
        <v>0</v>
      </c>
      <c r="O492" t="n">
        <v>0</v>
      </c>
      <c r="P492" t="n">
        <v>0</v>
      </c>
      <c r="Q492" t="n">
        <v>0</v>
      </c>
      <c r="R492" s="2" t="inlineStr"/>
    </row>
    <row r="493" ht="15" customHeight="1">
      <c r="A493" t="inlineStr">
        <is>
          <t>A 61715-2024</t>
        </is>
      </c>
      <c r="B493" s="1" t="n">
        <v>45648.89519675926</v>
      </c>
      <c r="C493" s="1" t="n">
        <v>46129</v>
      </c>
      <c r="D493" t="inlineStr">
        <is>
          <t>VÄSTMANLANDS LÄN</t>
        </is>
      </c>
      <c r="E493" t="inlineStr">
        <is>
          <t>SALA</t>
        </is>
      </c>
      <c r="G493" t="n">
        <v>2.5</v>
      </c>
      <c r="H493" t="n">
        <v>0</v>
      </c>
      <c r="I493" t="n">
        <v>0</v>
      </c>
      <c r="J493" t="n">
        <v>0</v>
      </c>
      <c r="K493" t="n">
        <v>0</v>
      </c>
      <c r="L493" t="n">
        <v>0</v>
      </c>
      <c r="M493" t="n">
        <v>0</v>
      </c>
      <c r="N493" t="n">
        <v>0</v>
      </c>
      <c r="O493" t="n">
        <v>0</v>
      </c>
      <c r="P493" t="n">
        <v>0</v>
      </c>
      <c r="Q493" t="n">
        <v>0</v>
      </c>
      <c r="R493" s="2" t="inlineStr"/>
    </row>
    <row r="494" ht="15" customHeight="1">
      <c r="A494" t="inlineStr">
        <is>
          <t>A 38195-2021</t>
        </is>
      </c>
      <c r="B494" s="1" t="n">
        <v>44405</v>
      </c>
      <c r="C494" s="1" t="n">
        <v>46129</v>
      </c>
      <c r="D494" t="inlineStr">
        <is>
          <t>VÄSTMANLANDS LÄN</t>
        </is>
      </c>
      <c r="E494" t="inlineStr">
        <is>
          <t>SALA</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6132-2025</t>
        </is>
      </c>
      <c r="B495" s="1" t="n">
        <v>45698</v>
      </c>
      <c r="C495" s="1" t="n">
        <v>46129</v>
      </c>
      <c r="D495" t="inlineStr">
        <is>
          <t>VÄSTMANLANDS LÄN</t>
        </is>
      </c>
      <c r="E495" t="inlineStr">
        <is>
          <t>SALA</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21777-2022</t>
        </is>
      </c>
      <c r="B496" s="1" t="n">
        <v>44708.48194444444</v>
      </c>
      <c r="C496" s="1" t="n">
        <v>46129</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1705-2026</t>
        </is>
      </c>
      <c r="B497" s="1" t="n">
        <v>46034.59930555556</v>
      </c>
      <c r="C497" s="1" t="n">
        <v>46129</v>
      </c>
      <c r="D497" t="inlineStr">
        <is>
          <t>VÄSTMANLANDS LÄN</t>
        </is>
      </c>
      <c r="E497" t="inlineStr">
        <is>
          <t>SALA</t>
        </is>
      </c>
      <c r="G497" t="n">
        <v>0.4</v>
      </c>
      <c r="H497" t="n">
        <v>0</v>
      </c>
      <c r="I497" t="n">
        <v>0</v>
      </c>
      <c r="J497" t="n">
        <v>0</v>
      </c>
      <c r="K497" t="n">
        <v>0</v>
      </c>
      <c r="L497" t="n">
        <v>0</v>
      </c>
      <c r="M497" t="n">
        <v>0</v>
      </c>
      <c r="N497" t="n">
        <v>0</v>
      </c>
      <c r="O497" t="n">
        <v>0</v>
      </c>
      <c r="P497" t="n">
        <v>0</v>
      </c>
      <c r="Q497" t="n">
        <v>0</v>
      </c>
      <c r="R497" s="2" t="inlineStr"/>
    </row>
    <row r="498" ht="15" customHeight="1">
      <c r="A498" t="inlineStr">
        <is>
          <t>A 11389-2024</t>
        </is>
      </c>
      <c r="B498" s="1" t="n">
        <v>45372.45016203704</v>
      </c>
      <c r="C498" s="1" t="n">
        <v>46129</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2925-2024</t>
        </is>
      </c>
      <c r="B499" s="1" t="n">
        <v>45315.58909722222</v>
      </c>
      <c r="C499" s="1" t="n">
        <v>46129</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39439-2021</t>
        </is>
      </c>
      <c r="B500" s="1" t="n">
        <v>44414</v>
      </c>
      <c r="C500" s="1" t="n">
        <v>46129</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3332-2024</t>
        </is>
      </c>
      <c r="B501" s="1" t="n">
        <v>45317</v>
      </c>
      <c r="C501" s="1" t="n">
        <v>46129</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2529-2022</t>
        </is>
      </c>
      <c r="B502" s="1" t="n">
        <v>44579.86452546297</v>
      </c>
      <c r="C502" s="1" t="n">
        <v>46129</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13471-2025</t>
        </is>
      </c>
      <c r="B503" s="1" t="n">
        <v>45736.40579861111</v>
      </c>
      <c r="C503" s="1" t="n">
        <v>46129</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15681-2025</t>
        </is>
      </c>
      <c r="B504" s="1" t="n">
        <v>45748.45454861111</v>
      </c>
      <c r="C504" s="1" t="n">
        <v>46129</v>
      </c>
      <c r="D504" t="inlineStr">
        <is>
          <t>VÄSTMANLANDS LÄN</t>
        </is>
      </c>
      <c r="E504" t="inlineStr">
        <is>
          <t>SALA</t>
        </is>
      </c>
      <c r="F504" t="inlineStr">
        <is>
          <t>Bergvik skog öst AB</t>
        </is>
      </c>
      <c r="G504" t="n">
        <v>4.3</v>
      </c>
      <c r="H504" t="n">
        <v>0</v>
      </c>
      <c r="I504" t="n">
        <v>0</v>
      </c>
      <c r="J504" t="n">
        <v>0</v>
      </c>
      <c r="K504" t="n">
        <v>0</v>
      </c>
      <c r="L504" t="n">
        <v>0</v>
      </c>
      <c r="M504" t="n">
        <v>0</v>
      </c>
      <c r="N504" t="n">
        <v>0</v>
      </c>
      <c r="O504" t="n">
        <v>0</v>
      </c>
      <c r="P504" t="n">
        <v>0</v>
      </c>
      <c r="Q504" t="n">
        <v>0</v>
      </c>
      <c r="R504" s="2" t="inlineStr"/>
    </row>
    <row r="505" ht="15" customHeight="1">
      <c r="A505" t="inlineStr">
        <is>
          <t>A 18431-2023</t>
        </is>
      </c>
      <c r="B505" s="1" t="n">
        <v>45042</v>
      </c>
      <c r="C505" s="1" t="n">
        <v>46129</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27424-2023</t>
        </is>
      </c>
      <c r="B506" s="1" t="n">
        <v>45097.37690972222</v>
      </c>
      <c r="C506" s="1" t="n">
        <v>46129</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58701-2021</t>
        </is>
      </c>
      <c r="B507" s="1" t="n">
        <v>44489.46454861111</v>
      </c>
      <c r="C507" s="1" t="n">
        <v>46129</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11244-2024</t>
        </is>
      </c>
      <c r="B508" s="1" t="n">
        <v>45371</v>
      </c>
      <c r="C508" s="1" t="n">
        <v>46129</v>
      </c>
      <c r="D508" t="inlineStr">
        <is>
          <t>VÄSTMANLANDS LÄN</t>
        </is>
      </c>
      <c r="E508" t="inlineStr">
        <is>
          <t>SALA</t>
        </is>
      </c>
      <c r="G508" t="n">
        <v>1.2</v>
      </c>
      <c r="H508" t="n">
        <v>0</v>
      </c>
      <c r="I508" t="n">
        <v>0</v>
      </c>
      <c r="J508" t="n">
        <v>0</v>
      </c>
      <c r="K508" t="n">
        <v>0</v>
      </c>
      <c r="L508" t="n">
        <v>0</v>
      </c>
      <c r="M508" t="n">
        <v>0</v>
      </c>
      <c r="N508" t="n">
        <v>0</v>
      </c>
      <c r="O508" t="n">
        <v>0</v>
      </c>
      <c r="P508" t="n">
        <v>0</v>
      </c>
      <c r="Q508" t="n">
        <v>0</v>
      </c>
      <c r="R508" s="2" t="inlineStr"/>
    </row>
    <row r="509" ht="15" customHeight="1">
      <c r="A509" t="inlineStr">
        <is>
          <t>A 12225-2023</t>
        </is>
      </c>
      <c r="B509" s="1" t="n">
        <v>44995</v>
      </c>
      <c r="C509" s="1" t="n">
        <v>46129</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61874-2021</t>
        </is>
      </c>
      <c r="B510" s="1" t="n">
        <v>44502</v>
      </c>
      <c r="C510" s="1" t="n">
        <v>46129</v>
      </c>
      <c r="D510" t="inlineStr">
        <is>
          <t>VÄSTMANLANDS LÄN</t>
        </is>
      </c>
      <c r="E510" t="inlineStr">
        <is>
          <t>SALA</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62651-2022</t>
        </is>
      </c>
      <c r="B511" s="1" t="n">
        <v>44917</v>
      </c>
      <c r="C511" s="1" t="n">
        <v>46129</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15968-2024</t>
        </is>
      </c>
      <c r="B512" s="1" t="n">
        <v>45405.56021990741</v>
      </c>
      <c r="C512" s="1" t="n">
        <v>46129</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60730-2023</t>
        </is>
      </c>
      <c r="B513" s="1" t="n">
        <v>45260</v>
      </c>
      <c r="C513" s="1" t="n">
        <v>46129</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60731-2023</t>
        </is>
      </c>
      <c r="B514" s="1" t="n">
        <v>45260</v>
      </c>
      <c r="C514" s="1" t="n">
        <v>46129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4214-2026</t>
        </is>
      </c>
      <c r="B515" s="1" t="n">
        <v>46044.76459490741</v>
      </c>
      <c r="C515" s="1" t="n">
        <v>46129</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4712-2026</t>
        </is>
      </c>
      <c r="B516" s="1" t="n">
        <v>46048.46082175926</v>
      </c>
      <c r="C516" s="1" t="n">
        <v>46129</v>
      </c>
      <c r="D516" t="inlineStr">
        <is>
          <t>VÄSTMANLANDS LÄN</t>
        </is>
      </c>
      <c r="E516" t="inlineStr">
        <is>
          <t>SALA</t>
        </is>
      </c>
      <c r="G516" t="n">
        <v>4.1</v>
      </c>
      <c r="H516" t="n">
        <v>0</v>
      </c>
      <c r="I516" t="n">
        <v>0</v>
      </c>
      <c r="J516" t="n">
        <v>0</v>
      </c>
      <c r="K516" t="n">
        <v>0</v>
      </c>
      <c r="L516" t="n">
        <v>0</v>
      </c>
      <c r="M516" t="n">
        <v>0</v>
      </c>
      <c r="N516" t="n">
        <v>0</v>
      </c>
      <c r="O516" t="n">
        <v>0</v>
      </c>
      <c r="P516" t="n">
        <v>0</v>
      </c>
      <c r="Q516" t="n">
        <v>0</v>
      </c>
      <c r="R516" s="2" t="inlineStr"/>
    </row>
    <row r="517" ht="15" customHeight="1">
      <c r="A517" t="inlineStr">
        <is>
          <t>A 18461-2024</t>
        </is>
      </c>
      <c r="B517" s="1" t="n">
        <v>45425.47435185185</v>
      </c>
      <c r="C517" s="1" t="n">
        <v>46129</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4663-2022</t>
        </is>
      </c>
      <c r="B518" s="1" t="n">
        <v>44592.45429398148</v>
      </c>
      <c r="C518" s="1" t="n">
        <v>46129</v>
      </c>
      <c r="D518" t="inlineStr">
        <is>
          <t>VÄSTMANLANDS LÄN</t>
        </is>
      </c>
      <c r="E518" t="inlineStr">
        <is>
          <t>SALA</t>
        </is>
      </c>
      <c r="G518" t="n">
        <v>2.5</v>
      </c>
      <c r="H518" t="n">
        <v>0</v>
      </c>
      <c r="I518" t="n">
        <v>0</v>
      </c>
      <c r="J518" t="n">
        <v>0</v>
      </c>
      <c r="K518" t="n">
        <v>0</v>
      </c>
      <c r="L518" t="n">
        <v>0</v>
      </c>
      <c r="M518" t="n">
        <v>0</v>
      </c>
      <c r="N518" t="n">
        <v>0</v>
      </c>
      <c r="O518" t="n">
        <v>0</v>
      </c>
      <c r="P518" t="n">
        <v>0</v>
      </c>
      <c r="Q518" t="n">
        <v>0</v>
      </c>
      <c r="R518" s="2" t="inlineStr"/>
    </row>
    <row r="519" ht="15" customHeight="1">
      <c r="A519" t="inlineStr">
        <is>
          <t>A 4664-2026</t>
        </is>
      </c>
      <c r="B519" s="1" t="n">
        <v>46048.41061342593</v>
      </c>
      <c r="C519" s="1" t="n">
        <v>46129</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12497-2026</t>
        </is>
      </c>
      <c r="B520" s="1" t="n">
        <v>46090.57240740741</v>
      </c>
      <c r="C520" s="1" t="n">
        <v>46129</v>
      </c>
      <c r="D520" t="inlineStr">
        <is>
          <t>VÄSTMANLANDS LÄN</t>
        </is>
      </c>
      <c r="E520" t="inlineStr">
        <is>
          <t>SALA</t>
        </is>
      </c>
      <c r="G520" t="n">
        <v>1.3</v>
      </c>
      <c r="H520" t="n">
        <v>0</v>
      </c>
      <c r="I520" t="n">
        <v>0</v>
      </c>
      <c r="J520" t="n">
        <v>0</v>
      </c>
      <c r="K520" t="n">
        <v>0</v>
      </c>
      <c r="L520" t="n">
        <v>0</v>
      </c>
      <c r="M520" t="n">
        <v>0</v>
      </c>
      <c r="N520" t="n">
        <v>0</v>
      </c>
      <c r="O520" t="n">
        <v>0</v>
      </c>
      <c r="P520" t="n">
        <v>0</v>
      </c>
      <c r="Q520" t="n">
        <v>0</v>
      </c>
      <c r="R520" s="2" t="inlineStr"/>
    </row>
    <row r="521" ht="15" customHeight="1">
      <c r="A521" t="inlineStr">
        <is>
          <t>A 4683-2026</t>
        </is>
      </c>
      <c r="B521" s="1" t="n">
        <v>46048.43489583334</v>
      </c>
      <c r="C521" s="1" t="n">
        <v>46129</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6032-2025</t>
        </is>
      </c>
      <c r="B522" s="1" t="n">
        <v>45695.6371875</v>
      </c>
      <c r="C522" s="1" t="n">
        <v>46129</v>
      </c>
      <c r="D522" t="inlineStr">
        <is>
          <t>VÄSTMANLANDS LÄN</t>
        </is>
      </c>
      <c r="E522" t="inlineStr">
        <is>
          <t>SALA</t>
        </is>
      </c>
      <c r="F522" t="inlineStr">
        <is>
          <t>Bergvik skog öst AB</t>
        </is>
      </c>
      <c r="G522" t="n">
        <v>8.1</v>
      </c>
      <c r="H522" t="n">
        <v>0</v>
      </c>
      <c r="I522" t="n">
        <v>0</v>
      </c>
      <c r="J522" t="n">
        <v>0</v>
      </c>
      <c r="K522" t="n">
        <v>0</v>
      </c>
      <c r="L522" t="n">
        <v>0</v>
      </c>
      <c r="M522" t="n">
        <v>0</v>
      </c>
      <c r="N522" t="n">
        <v>0</v>
      </c>
      <c r="O522" t="n">
        <v>0</v>
      </c>
      <c r="P522" t="n">
        <v>0</v>
      </c>
      <c r="Q522" t="n">
        <v>0</v>
      </c>
      <c r="R522" s="2" t="inlineStr"/>
    </row>
    <row r="523" ht="15" customHeight="1">
      <c r="A523" t="inlineStr">
        <is>
          <t>A 4681-2026</t>
        </is>
      </c>
      <c r="B523" s="1" t="n">
        <v>46048.43016203704</v>
      </c>
      <c r="C523" s="1" t="n">
        <v>46129</v>
      </c>
      <c r="D523" t="inlineStr">
        <is>
          <t>VÄSTMANLANDS LÄN</t>
        </is>
      </c>
      <c r="E523" t="inlineStr">
        <is>
          <t>SALA</t>
        </is>
      </c>
      <c r="G523" t="n">
        <v>2.5</v>
      </c>
      <c r="H523" t="n">
        <v>0</v>
      </c>
      <c r="I523" t="n">
        <v>0</v>
      </c>
      <c r="J523" t="n">
        <v>0</v>
      </c>
      <c r="K523" t="n">
        <v>0</v>
      </c>
      <c r="L523" t="n">
        <v>0</v>
      </c>
      <c r="M523" t="n">
        <v>0</v>
      </c>
      <c r="N523" t="n">
        <v>0</v>
      </c>
      <c r="O523" t="n">
        <v>0</v>
      </c>
      <c r="P523" t="n">
        <v>0</v>
      </c>
      <c r="Q523" t="n">
        <v>0</v>
      </c>
      <c r="R523" s="2" t="inlineStr"/>
    </row>
    <row r="524" ht="15" customHeight="1">
      <c r="A524" t="inlineStr">
        <is>
          <t>A 4624-2026</t>
        </is>
      </c>
      <c r="B524" s="1" t="n">
        <v>46048.38107638889</v>
      </c>
      <c r="C524" s="1" t="n">
        <v>46129</v>
      </c>
      <c r="D524" t="inlineStr">
        <is>
          <t>VÄSTMANLANDS LÄN</t>
        </is>
      </c>
      <c r="E524" t="inlineStr">
        <is>
          <t>SALA</t>
        </is>
      </c>
      <c r="G524" t="n">
        <v>12.3</v>
      </c>
      <c r="H524" t="n">
        <v>0</v>
      </c>
      <c r="I524" t="n">
        <v>0</v>
      </c>
      <c r="J524" t="n">
        <v>0</v>
      </c>
      <c r="K524" t="n">
        <v>0</v>
      </c>
      <c r="L524" t="n">
        <v>0</v>
      </c>
      <c r="M524" t="n">
        <v>0</v>
      </c>
      <c r="N524" t="n">
        <v>0</v>
      </c>
      <c r="O524" t="n">
        <v>0</v>
      </c>
      <c r="P524" t="n">
        <v>0</v>
      </c>
      <c r="Q524" t="n">
        <v>0</v>
      </c>
      <c r="R524" s="2" t="inlineStr"/>
    </row>
    <row r="525" ht="15" customHeight="1">
      <c r="A525" t="inlineStr">
        <is>
          <t>A 2766-2024</t>
        </is>
      </c>
      <c r="B525" s="1" t="n">
        <v>45314.60950231482</v>
      </c>
      <c r="C525" s="1" t="n">
        <v>46129</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6351-2023</t>
        </is>
      </c>
      <c r="B526" s="1" t="n">
        <v>44965</v>
      </c>
      <c r="C526" s="1" t="n">
        <v>46129</v>
      </c>
      <c r="D526" t="inlineStr">
        <is>
          <t>VÄSTMANLANDS LÄN</t>
        </is>
      </c>
      <c r="E526" t="inlineStr">
        <is>
          <t>SALA</t>
        </is>
      </c>
      <c r="F526" t="inlineStr">
        <is>
          <t>Kommuner</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45187-2024</t>
        </is>
      </c>
      <c r="B527" s="1" t="n">
        <v>45575</v>
      </c>
      <c r="C527" s="1" t="n">
        <v>46129</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5525-2026</t>
        </is>
      </c>
      <c r="B528" s="1" t="n">
        <v>46050.65055555556</v>
      </c>
      <c r="C528" s="1" t="n">
        <v>46129</v>
      </c>
      <c r="D528" t="inlineStr">
        <is>
          <t>VÄSTMANLANDS LÄN</t>
        </is>
      </c>
      <c r="E528" t="inlineStr">
        <is>
          <t>SALA</t>
        </is>
      </c>
      <c r="G528" t="n">
        <v>13.1</v>
      </c>
      <c r="H528" t="n">
        <v>0</v>
      </c>
      <c r="I528" t="n">
        <v>0</v>
      </c>
      <c r="J528" t="n">
        <v>0</v>
      </c>
      <c r="K528" t="n">
        <v>0</v>
      </c>
      <c r="L528" t="n">
        <v>0</v>
      </c>
      <c r="M528" t="n">
        <v>0</v>
      </c>
      <c r="N528" t="n">
        <v>0</v>
      </c>
      <c r="O528" t="n">
        <v>0</v>
      </c>
      <c r="P528" t="n">
        <v>0</v>
      </c>
      <c r="Q528" t="n">
        <v>0</v>
      </c>
      <c r="R528" s="2" t="inlineStr"/>
    </row>
    <row r="529" ht="15" customHeight="1">
      <c r="A529" t="inlineStr">
        <is>
          <t>A 33527-2023</t>
        </is>
      </c>
      <c r="B529" s="1" t="n">
        <v>45131</v>
      </c>
      <c r="C529" s="1" t="n">
        <v>46129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7377-2023</t>
        </is>
      </c>
      <c r="B530" s="1" t="n">
        <v>44971</v>
      </c>
      <c r="C530" s="1" t="n">
        <v>46129</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13033-2026</t>
        </is>
      </c>
      <c r="B531" s="1" t="n">
        <v>46092.91247685185</v>
      </c>
      <c r="C531" s="1" t="n">
        <v>46129</v>
      </c>
      <c r="D531" t="inlineStr">
        <is>
          <t>VÄSTMANLANDS LÄN</t>
        </is>
      </c>
      <c r="E531" t="inlineStr">
        <is>
          <t>SALA</t>
        </is>
      </c>
      <c r="G531" t="n">
        <v>11.7</v>
      </c>
      <c r="H531" t="n">
        <v>0</v>
      </c>
      <c r="I531" t="n">
        <v>0</v>
      </c>
      <c r="J531" t="n">
        <v>0</v>
      </c>
      <c r="K531" t="n">
        <v>0</v>
      </c>
      <c r="L531" t="n">
        <v>0</v>
      </c>
      <c r="M531" t="n">
        <v>0</v>
      </c>
      <c r="N531" t="n">
        <v>0</v>
      </c>
      <c r="O531" t="n">
        <v>0</v>
      </c>
      <c r="P531" t="n">
        <v>0</v>
      </c>
      <c r="Q531" t="n">
        <v>0</v>
      </c>
      <c r="R531" s="2" t="inlineStr"/>
    </row>
    <row r="532" ht="15" customHeight="1">
      <c r="A532" t="inlineStr">
        <is>
          <t>A 5219-2026</t>
        </is>
      </c>
      <c r="B532" s="1" t="n">
        <v>46049.76225694444</v>
      </c>
      <c r="C532" s="1" t="n">
        <v>46129</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21159-2022</t>
        </is>
      </c>
      <c r="B533" s="1" t="n">
        <v>44704</v>
      </c>
      <c r="C533" s="1" t="n">
        <v>46129</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5418-2026</t>
        </is>
      </c>
      <c r="B534" s="1" t="n">
        <v>46050.53740740741</v>
      </c>
      <c r="C534" s="1" t="n">
        <v>46129</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13032-2026</t>
        </is>
      </c>
      <c r="B535" s="1" t="n">
        <v>46092.90436342593</v>
      </c>
      <c r="C535" s="1" t="n">
        <v>46129</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56688-2024</t>
        </is>
      </c>
      <c r="B536" s="1" t="n">
        <v>45627.66478009259</v>
      </c>
      <c r="C536" s="1" t="n">
        <v>46129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16159-2024</t>
        </is>
      </c>
      <c r="B537" s="1" t="n">
        <v>45406</v>
      </c>
      <c r="C537" s="1" t="n">
        <v>46129</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66307-2021</t>
        </is>
      </c>
      <c r="B538" s="1" t="n">
        <v>44518.48670138889</v>
      </c>
      <c r="C538" s="1" t="n">
        <v>46129</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27262-2024</t>
        </is>
      </c>
      <c r="B539" s="1" t="n">
        <v>45471</v>
      </c>
      <c r="C539" s="1" t="n">
        <v>46129</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10913-2025</t>
        </is>
      </c>
      <c r="B540" s="1" t="n">
        <v>45722.73423611111</v>
      </c>
      <c r="C540" s="1" t="n">
        <v>46129</v>
      </c>
      <c r="D540" t="inlineStr">
        <is>
          <t>VÄSTMANLANDS LÄN</t>
        </is>
      </c>
      <c r="E540" t="inlineStr">
        <is>
          <t>SALA</t>
        </is>
      </c>
      <c r="G540" t="n">
        <v>7.6</v>
      </c>
      <c r="H540" t="n">
        <v>0</v>
      </c>
      <c r="I540" t="n">
        <v>0</v>
      </c>
      <c r="J540" t="n">
        <v>0</v>
      </c>
      <c r="K540" t="n">
        <v>0</v>
      </c>
      <c r="L540" t="n">
        <v>0</v>
      </c>
      <c r="M540" t="n">
        <v>0</v>
      </c>
      <c r="N540" t="n">
        <v>0</v>
      </c>
      <c r="O540" t="n">
        <v>0</v>
      </c>
      <c r="P540" t="n">
        <v>0</v>
      </c>
      <c r="Q540" t="n">
        <v>0</v>
      </c>
      <c r="R540" s="2" t="inlineStr"/>
    </row>
    <row r="541" ht="15" customHeight="1">
      <c r="A541" t="inlineStr">
        <is>
          <t>A 35410-2022</t>
        </is>
      </c>
      <c r="B541" s="1" t="n">
        <v>44798.62576388889</v>
      </c>
      <c r="C541" s="1" t="n">
        <v>46129</v>
      </c>
      <c r="D541" t="inlineStr">
        <is>
          <t>VÄSTMANLANDS LÄN</t>
        </is>
      </c>
      <c r="E541" t="inlineStr">
        <is>
          <t>SALA</t>
        </is>
      </c>
      <c r="G541" t="n">
        <v>1.6</v>
      </c>
      <c r="H541" t="n">
        <v>0</v>
      </c>
      <c r="I541" t="n">
        <v>0</v>
      </c>
      <c r="J541" t="n">
        <v>0</v>
      </c>
      <c r="K541" t="n">
        <v>0</v>
      </c>
      <c r="L541" t="n">
        <v>0</v>
      </c>
      <c r="M541" t="n">
        <v>0</v>
      </c>
      <c r="N541" t="n">
        <v>0</v>
      </c>
      <c r="O541" t="n">
        <v>0</v>
      </c>
      <c r="P541" t="n">
        <v>0</v>
      </c>
      <c r="Q541" t="n">
        <v>0</v>
      </c>
      <c r="R541" s="2" t="inlineStr"/>
    </row>
    <row r="542" ht="15" customHeight="1">
      <c r="A542" t="inlineStr">
        <is>
          <t>A 1118-2024</t>
        </is>
      </c>
      <c r="B542" s="1" t="n">
        <v>45302</v>
      </c>
      <c r="C542" s="1" t="n">
        <v>46129</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5894-2026</t>
        </is>
      </c>
      <c r="B543" s="1" t="n">
        <v>46052.42412037037</v>
      </c>
      <c r="C543" s="1" t="n">
        <v>46129</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53864-2022</t>
        </is>
      </c>
      <c r="B544" s="1" t="n">
        <v>44880.64016203704</v>
      </c>
      <c r="C544" s="1" t="n">
        <v>46129</v>
      </c>
      <c r="D544" t="inlineStr">
        <is>
          <t>VÄSTMANLANDS LÄN</t>
        </is>
      </c>
      <c r="E544" t="inlineStr">
        <is>
          <t>SALA</t>
        </is>
      </c>
      <c r="G544" t="n">
        <v>5.9</v>
      </c>
      <c r="H544" t="n">
        <v>0</v>
      </c>
      <c r="I544" t="n">
        <v>0</v>
      </c>
      <c r="J544" t="n">
        <v>0</v>
      </c>
      <c r="K544" t="n">
        <v>0</v>
      </c>
      <c r="L544" t="n">
        <v>0</v>
      </c>
      <c r="M544" t="n">
        <v>0</v>
      </c>
      <c r="N544" t="n">
        <v>0</v>
      </c>
      <c r="O544" t="n">
        <v>0</v>
      </c>
      <c r="P544" t="n">
        <v>0</v>
      </c>
      <c r="Q544" t="n">
        <v>0</v>
      </c>
      <c r="R544" s="2" t="inlineStr"/>
    </row>
    <row r="545" ht="15" customHeight="1">
      <c r="A545" t="inlineStr">
        <is>
          <t>A 40085-2024</t>
        </is>
      </c>
      <c r="B545" s="1" t="n">
        <v>45554</v>
      </c>
      <c r="C545" s="1" t="n">
        <v>46129</v>
      </c>
      <c r="D545" t="inlineStr">
        <is>
          <t>VÄSTMANLANDS LÄN</t>
        </is>
      </c>
      <c r="E545" t="inlineStr">
        <is>
          <t>SALA</t>
        </is>
      </c>
      <c r="G545" t="n">
        <v>2.8</v>
      </c>
      <c r="H545" t="n">
        <v>0</v>
      </c>
      <c r="I545" t="n">
        <v>0</v>
      </c>
      <c r="J545" t="n">
        <v>0</v>
      </c>
      <c r="K545" t="n">
        <v>0</v>
      </c>
      <c r="L545" t="n">
        <v>0</v>
      </c>
      <c r="M545" t="n">
        <v>0</v>
      </c>
      <c r="N545" t="n">
        <v>0</v>
      </c>
      <c r="O545" t="n">
        <v>0</v>
      </c>
      <c r="P545" t="n">
        <v>0</v>
      </c>
      <c r="Q545" t="n">
        <v>0</v>
      </c>
      <c r="R545" s="2" t="inlineStr"/>
    </row>
    <row r="546" ht="15" customHeight="1">
      <c r="A546" t="inlineStr">
        <is>
          <t>A 13996-2026</t>
        </is>
      </c>
      <c r="B546" s="1" t="n">
        <v>46098.63159722222</v>
      </c>
      <c r="C546" s="1" t="n">
        <v>46129</v>
      </c>
      <c r="D546" t="inlineStr">
        <is>
          <t>VÄSTMANLANDS LÄN</t>
        </is>
      </c>
      <c r="E546" t="inlineStr">
        <is>
          <t>SALA</t>
        </is>
      </c>
      <c r="G546" t="n">
        <v>2.5</v>
      </c>
      <c r="H546" t="n">
        <v>0</v>
      </c>
      <c r="I546" t="n">
        <v>0</v>
      </c>
      <c r="J546" t="n">
        <v>0</v>
      </c>
      <c r="K546" t="n">
        <v>0</v>
      </c>
      <c r="L546" t="n">
        <v>0</v>
      </c>
      <c r="M546" t="n">
        <v>0</v>
      </c>
      <c r="N546" t="n">
        <v>0</v>
      </c>
      <c r="O546" t="n">
        <v>0</v>
      </c>
      <c r="P546" t="n">
        <v>0</v>
      </c>
      <c r="Q546" t="n">
        <v>0</v>
      </c>
      <c r="R546" s="2" t="inlineStr"/>
    </row>
    <row r="547" ht="15" customHeight="1">
      <c r="A547" t="inlineStr">
        <is>
          <t>A 3551-2024</t>
        </is>
      </c>
      <c r="B547" s="1" t="n">
        <v>45320.61099537037</v>
      </c>
      <c r="C547" s="1" t="n">
        <v>46129</v>
      </c>
      <c r="D547" t="inlineStr">
        <is>
          <t>VÄSTMANLANDS LÄN</t>
        </is>
      </c>
      <c r="E547" t="inlineStr">
        <is>
          <t>SALA</t>
        </is>
      </c>
      <c r="F547" t="inlineStr">
        <is>
          <t>Kommuner</t>
        </is>
      </c>
      <c r="G547" t="n">
        <v>6</v>
      </c>
      <c r="H547" t="n">
        <v>0</v>
      </c>
      <c r="I547" t="n">
        <v>0</v>
      </c>
      <c r="J547" t="n">
        <v>0</v>
      </c>
      <c r="K547" t="n">
        <v>0</v>
      </c>
      <c r="L547" t="n">
        <v>0</v>
      </c>
      <c r="M547" t="n">
        <v>0</v>
      </c>
      <c r="N547" t="n">
        <v>0</v>
      </c>
      <c r="O547" t="n">
        <v>0</v>
      </c>
      <c r="P547" t="n">
        <v>0</v>
      </c>
      <c r="Q547" t="n">
        <v>0</v>
      </c>
      <c r="R547" s="2" t="inlineStr"/>
    </row>
    <row r="548" ht="15" customHeight="1">
      <c r="A548" t="inlineStr">
        <is>
          <t>A 6021-2026</t>
        </is>
      </c>
      <c r="B548" s="1" t="n">
        <v>46050</v>
      </c>
      <c r="C548" s="1" t="n">
        <v>46129</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22961-2023</t>
        </is>
      </c>
      <c r="B549" s="1" t="n">
        <v>45072</v>
      </c>
      <c r="C549" s="1" t="n">
        <v>46129</v>
      </c>
      <c r="D549" t="inlineStr">
        <is>
          <t>VÄSTMANLANDS LÄN</t>
        </is>
      </c>
      <c r="E549" t="inlineStr">
        <is>
          <t>SALA</t>
        </is>
      </c>
      <c r="G549" t="n">
        <v>2.7</v>
      </c>
      <c r="H549" t="n">
        <v>0</v>
      </c>
      <c r="I549" t="n">
        <v>0</v>
      </c>
      <c r="J549" t="n">
        <v>0</v>
      </c>
      <c r="K549" t="n">
        <v>0</v>
      </c>
      <c r="L549" t="n">
        <v>0</v>
      </c>
      <c r="M549" t="n">
        <v>0</v>
      </c>
      <c r="N549" t="n">
        <v>0</v>
      </c>
      <c r="O549" t="n">
        <v>0</v>
      </c>
      <c r="P549" t="n">
        <v>0</v>
      </c>
      <c r="Q549" t="n">
        <v>0</v>
      </c>
      <c r="R549" s="2" t="inlineStr"/>
    </row>
    <row r="550" ht="15" customHeight="1">
      <c r="A550" t="inlineStr">
        <is>
          <t>A 22963-2023</t>
        </is>
      </c>
      <c r="B550" s="1" t="n">
        <v>45072</v>
      </c>
      <c r="C550" s="1" t="n">
        <v>46129</v>
      </c>
      <c r="D550" t="inlineStr">
        <is>
          <t>VÄSTMANLANDS LÄN</t>
        </is>
      </c>
      <c r="E550" t="inlineStr">
        <is>
          <t>SALA</t>
        </is>
      </c>
      <c r="G550" t="n">
        <v>1.2</v>
      </c>
      <c r="H550" t="n">
        <v>0</v>
      </c>
      <c r="I550" t="n">
        <v>0</v>
      </c>
      <c r="J550" t="n">
        <v>0</v>
      </c>
      <c r="K550" t="n">
        <v>0</v>
      </c>
      <c r="L550" t="n">
        <v>0</v>
      </c>
      <c r="M550" t="n">
        <v>0</v>
      </c>
      <c r="N550" t="n">
        <v>0</v>
      </c>
      <c r="O550" t="n">
        <v>0</v>
      </c>
      <c r="P550" t="n">
        <v>0</v>
      </c>
      <c r="Q550" t="n">
        <v>0</v>
      </c>
      <c r="R550" s="2" t="inlineStr"/>
    </row>
    <row r="551" ht="15" customHeight="1">
      <c r="A551" t="inlineStr">
        <is>
          <t>A 14000-2026</t>
        </is>
      </c>
      <c r="B551" s="1" t="n">
        <v>46098.64246527778</v>
      </c>
      <c r="C551" s="1" t="n">
        <v>46129</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54960-2024</t>
        </is>
      </c>
      <c r="B552" s="1" t="n">
        <v>45619.85208333333</v>
      </c>
      <c r="C552" s="1" t="n">
        <v>46129</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27228-2023</t>
        </is>
      </c>
      <c r="B553" s="1" t="n">
        <v>45096.59189814814</v>
      </c>
      <c r="C553" s="1" t="n">
        <v>46129</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26507-2023</t>
        </is>
      </c>
      <c r="B554" s="1" t="n">
        <v>45092</v>
      </c>
      <c r="C554" s="1" t="n">
        <v>46129</v>
      </c>
      <c r="D554" t="inlineStr">
        <is>
          <t>VÄSTMANLANDS LÄN</t>
        </is>
      </c>
      <c r="E554" t="inlineStr">
        <is>
          <t>SALA</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6183-2025</t>
        </is>
      </c>
      <c r="B555" s="1" t="n">
        <v>45698</v>
      </c>
      <c r="C555" s="1" t="n">
        <v>46129</v>
      </c>
      <c r="D555" t="inlineStr">
        <is>
          <t>VÄSTMANLANDS LÄN</t>
        </is>
      </c>
      <c r="E555" t="inlineStr">
        <is>
          <t>SALA</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16543-2023</t>
        </is>
      </c>
      <c r="B556" s="1" t="n">
        <v>45029</v>
      </c>
      <c r="C556" s="1" t="n">
        <v>46129</v>
      </c>
      <c r="D556" t="inlineStr">
        <is>
          <t>VÄSTMANLANDS LÄN</t>
        </is>
      </c>
      <c r="E556" t="inlineStr">
        <is>
          <t>SALA</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14490-2026</t>
        </is>
      </c>
      <c r="B557" s="1" t="n">
        <v>46100.59277777778</v>
      </c>
      <c r="C557" s="1" t="n">
        <v>46129</v>
      </c>
      <c r="D557" t="inlineStr">
        <is>
          <t>VÄSTMANLANDS LÄN</t>
        </is>
      </c>
      <c r="E557" t="inlineStr">
        <is>
          <t>SALA</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43176-2023</t>
        </is>
      </c>
      <c r="B558" s="1" t="n">
        <v>45183</v>
      </c>
      <c r="C558" s="1" t="n">
        <v>46129</v>
      </c>
      <c r="D558" t="inlineStr">
        <is>
          <t>VÄSTMANLANDS LÄN</t>
        </is>
      </c>
      <c r="E558" t="inlineStr">
        <is>
          <t>SALA</t>
        </is>
      </c>
      <c r="G558" t="n">
        <v>1.2</v>
      </c>
      <c r="H558" t="n">
        <v>0</v>
      </c>
      <c r="I558" t="n">
        <v>0</v>
      </c>
      <c r="J558" t="n">
        <v>0</v>
      </c>
      <c r="K558" t="n">
        <v>0</v>
      </c>
      <c r="L558" t="n">
        <v>0</v>
      </c>
      <c r="M558" t="n">
        <v>0</v>
      </c>
      <c r="N558" t="n">
        <v>0</v>
      </c>
      <c r="O558" t="n">
        <v>0</v>
      </c>
      <c r="P558" t="n">
        <v>0</v>
      </c>
      <c r="Q558" t="n">
        <v>0</v>
      </c>
      <c r="R558" s="2" t="inlineStr"/>
    </row>
    <row r="559" ht="15" customHeight="1">
      <c r="A559" t="inlineStr">
        <is>
          <t>A 37624-2024</t>
        </is>
      </c>
      <c r="B559" s="1" t="n">
        <v>45541</v>
      </c>
      <c r="C559" s="1" t="n">
        <v>46129</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57895-2024</t>
        </is>
      </c>
      <c r="B560" s="1" t="n">
        <v>45631</v>
      </c>
      <c r="C560" s="1" t="n">
        <v>46129</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47086-2022</t>
        </is>
      </c>
      <c r="B561" s="1" t="n">
        <v>44852</v>
      </c>
      <c r="C561" s="1" t="n">
        <v>46129</v>
      </c>
      <c r="D561" t="inlineStr">
        <is>
          <t>VÄSTMANLANDS LÄN</t>
        </is>
      </c>
      <c r="E561" t="inlineStr">
        <is>
          <t>SALA</t>
        </is>
      </c>
      <c r="G561" t="n">
        <v>12.5</v>
      </c>
      <c r="H561" t="n">
        <v>0</v>
      </c>
      <c r="I561" t="n">
        <v>0</v>
      </c>
      <c r="J561" t="n">
        <v>0</v>
      </c>
      <c r="K561" t="n">
        <v>0</v>
      </c>
      <c r="L561" t="n">
        <v>0</v>
      </c>
      <c r="M561" t="n">
        <v>0</v>
      </c>
      <c r="N561" t="n">
        <v>0</v>
      </c>
      <c r="O561" t="n">
        <v>0</v>
      </c>
      <c r="P561" t="n">
        <v>0</v>
      </c>
      <c r="Q561" t="n">
        <v>0</v>
      </c>
      <c r="R561" s="2" t="inlineStr"/>
    </row>
    <row r="562" ht="15" customHeight="1">
      <c r="A562" t="inlineStr">
        <is>
          <t>A 14481-2026</t>
        </is>
      </c>
      <c r="B562" s="1" t="n">
        <v>46100.58707175926</v>
      </c>
      <c r="C562" s="1" t="n">
        <v>46129</v>
      </c>
      <c r="D562" t="inlineStr">
        <is>
          <t>VÄSTMANLANDS LÄN</t>
        </is>
      </c>
      <c r="E562" t="inlineStr">
        <is>
          <t>SALA</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14482-2026</t>
        </is>
      </c>
      <c r="B563" s="1" t="n">
        <v>46100.588125</v>
      </c>
      <c r="C563" s="1" t="n">
        <v>46129</v>
      </c>
      <c r="D563" t="inlineStr">
        <is>
          <t>VÄSTMANLANDS LÄN</t>
        </is>
      </c>
      <c r="E563" t="inlineStr">
        <is>
          <t>SALA</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14484-2026</t>
        </is>
      </c>
      <c r="B564" s="1" t="n">
        <v>46100.5887962963</v>
      </c>
      <c r="C564" s="1" t="n">
        <v>46129</v>
      </c>
      <c r="D564" t="inlineStr">
        <is>
          <t>VÄSTMANLANDS LÄN</t>
        </is>
      </c>
      <c r="E564" t="inlineStr">
        <is>
          <t>SALA</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7327-2026</t>
        </is>
      </c>
      <c r="B565" s="1" t="n">
        <v>46058.68371527778</v>
      </c>
      <c r="C565" s="1" t="n">
        <v>46129</v>
      </c>
      <c r="D565" t="inlineStr">
        <is>
          <t>VÄSTMANLANDS LÄN</t>
        </is>
      </c>
      <c r="E565" t="inlineStr">
        <is>
          <t>SALA</t>
        </is>
      </c>
      <c r="G565" t="n">
        <v>5.8</v>
      </c>
      <c r="H565" t="n">
        <v>0</v>
      </c>
      <c r="I565" t="n">
        <v>0</v>
      </c>
      <c r="J565" t="n">
        <v>0</v>
      </c>
      <c r="K565" t="n">
        <v>0</v>
      </c>
      <c r="L565" t="n">
        <v>0</v>
      </c>
      <c r="M565" t="n">
        <v>0</v>
      </c>
      <c r="N565" t="n">
        <v>0</v>
      </c>
      <c r="O565" t="n">
        <v>0</v>
      </c>
      <c r="P565" t="n">
        <v>0</v>
      </c>
      <c r="Q565" t="n">
        <v>0</v>
      </c>
      <c r="R565" s="2" t="inlineStr"/>
    </row>
    <row r="566" ht="15" customHeight="1">
      <c r="A566" t="inlineStr">
        <is>
          <t>A 7332-2026</t>
        </is>
      </c>
      <c r="B566" s="1" t="n">
        <v>46058.68884259259</v>
      </c>
      <c r="C566" s="1" t="n">
        <v>46129</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11617-2026</t>
        </is>
      </c>
      <c r="B567" s="1" t="n">
        <v>46084</v>
      </c>
      <c r="C567" s="1" t="n">
        <v>46129</v>
      </c>
      <c r="D567" t="inlineStr">
        <is>
          <t>VÄSTMANLANDS LÄN</t>
        </is>
      </c>
      <c r="E567" t="inlineStr">
        <is>
          <t>SALA</t>
        </is>
      </c>
      <c r="F567" t="inlineStr">
        <is>
          <t>Kyrkan</t>
        </is>
      </c>
      <c r="G567" t="n">
        <v>3.7</v>
      </c>
      <c r="H567" t="n">
        <v>0</v>
      </c>
      <c r="I567" t="n">
        <v>0</v>
      </c>
      <c r="J567" t="n">
        <v>0</v>
      </c>
      <c r="K567" t="n">
        <v>0</v>
      </c>
      <c r="L567" t="n">
        <v>0</v>
      </c>
      <c r="M567" t="n">
        <v>0</v>
      </c>
      <c r="N567" t="n">
        <v>0</v>
      </c>
      <c r="O567" t="n">
        <v>0</v>
      </c>
      <c r="P567" t="n">
        <v>0</v>
      </c>
      <c r="Q567" t="n">
        <v>0</v>
      </c>
      <c r="R567" s="2" t="inlineStr"/>
    </row>
    <row r="568" ht="15" customHeight="1">
      <c r="A568" t="inlineStr">
        <is>
          <t>A 7324-2026</t>
        </is>
      </c>
      <c r="B568" s="1" t="n">
        <v>46058.68023148148</v>
      </c>
      <c r="C568" s="1" t="n">
        <v>46129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7329-2026</t>
        </is>
      </c>
      <c r="B569" s="1" t="n">
        <v>46058.68678240741</v>
      </c>
      <c r="C569" s="1" t="n">
        <v>46129</v>
      </c>
      <c r="D569" t="inlineStr">
        <is>
          <t>VÄSTMANLANDS LÄN</t>
        </is>
      </c>
      <c r="E569" t="inlineStr">
        <is>
          <t>SALA</t>
        </is>
      </c>
      <c r="G569" t="n">
        <v>3.1</v>
      </c>
      <c r="H569" t="n">
        <v>0</v>
      </c>
      <c r="I569" t="n">
        <v>0</v>
      </c>
      <c r="J569" t="n">
        <v>0</v>
      </c>
      <c r="K569" t="n">
        <v>0</v>
      </c>
      <c r="L569" t="n">
        <v>0</v>
      </c>
      <c r="M569" t="n">
        <v>0</v>
      </c>
      <c r="N569" t="n">
        <v>0</v>
      </c>
      <c r="O569" t="n">
        <v>0</v>
      </c>
      <c r="P569" t="n">
        <v>0</v>
      </c>
      <c r="Q569" t="n">
        <v>0</v>
      </c>
      <c r="R569" s="2" t="inlineStr"/>
    </row>
    <row r="570" ht="15" customHeight="1">
      <c r="A570" t="inlineStr">
        <is>
          <t>A 56687-2024</t>
        </is>
      </c>
      <c r="B570" s="1" t="n">
        <v>45627.63271990741</v>
      </c>
      <c r="C570" s="1" t="n">
        <v>46129</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54347-2024</t>
        </is>
      </c>
      <c r="B571" s="1" t="n">
        <v>45617.39325231482</v>
      </c>
      <c r="C571" s="1" t="n">
        <v>46129</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7654-2026</t>
        </is>
      </c>
      <c r="B572" s="1" t="n">
        <v>46062.38828703704</v>
      </c>
      <c r="C572" s="1" t="n">
        <v>46129</v>
      </c>
      <c r="D572" t="inlineStr">
        <is>
          <t>VÄSTMANLANDS LÄN</t>
        </is>
      </c>
      <c r="E572" t="inlineStr">
        <is>
          <t>SALA</t>
        </is>
      </c>
      <c r="G572" t="n">
        <v>4.5</v>
      </c>
      <c r="H572" t="n">
        <v>0</v>
      </c>
      <c r="I572" t="n">
        <v>0</v>
      </c>
      <c r="J572" t="n">
        <v>0</v>
      </c>
      <c r="K572" t="n">
        <v>0</v>
      </c>
      <c r="L572" t="n">
        <v>0</v>
      </c>
      <c r="M572" t="n">
        <v>0</v>
      </c>
      <c r="N572" t="n">
        <v>0</v>
      </c>
      <c r="O572" t="n">
        <v>0</v>
      </c>
      <c r="P572" t="n">
        <v>0</v>
      </c>
      <c r="Q572" t="n">
        <v>0</v>
      </c>
      <c r="R572" s="2" t="inlineStr"/>
    </row>
    <row r="573" ht="15" customHeight="1">
      <c r="A573" t="inlineStr">
        <is>
          <t>A 7588-2026</t>
        </is>
      </c>
      <c r="B573" s="1" t="n">
        <v>46061.83528935185</v>
      </c>
      <c r="C573" s="1" t="n">
        <v>46129</v>
      </c>
      <c r="D573" t="inlineStr">
        <is>
          <t>VÄSTMANLANDS LÄN</t>
        </is>
      </c>
      <c r="E573" t="inlineStr">
        <is>
          <t>SALA</t>
        </is>
      </c>
      <c r="G573" t="n">
        <v>2.8</v>
      </c>
      <c r="H573" t="n">
        <v>0</v>
      </c>
      <c r="I573" t="n">
        <v>0</v>
      </c>
      <c r="J573" t="n">
        <v>0</v>
      </c>
      <c r="K573" t="n">
        <v>0</v>
      </c>
      <c r="L573" t="n">
        <v>0</v>
      </c>
      <c r="M573" t="n">
        <v>0</v>
      </c>
      <c r="N573" t="n">
        <v>0</v>
      </c>
      <c r="O573" t="n">
        <v>0</v>
      </c>
      <c r="P573" t="n">
        <v>0</v>
      </c>
      <c r="Q573" t="n">
        <v>0</v>
      </c>
      <c r="R573" s="2" t="inlineStr"/>
    </row>
    <row r="574" ht="15" customHeight="1">
      <c r="A574" t="inlineStr">
        <is>
          <t>A 64693-2023</t>
        </is>
      </c>
      <c r="B574" s="1" t="n">
        <v>45281.63850694444</v>
      </c>
      <c r="C574" s="1" t="n">
        <v>46129</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64695-2023</t>
        </is>
      </c>
      <c r="B575" s="1" t="n">
        <v>45281.64099537037</v>
      </c>
      <c r="C575" s="1" t="n">
        <v>46129</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27486-2022</t>
        </is>
      </c>
      <c r="B576" s="1" t="n">
        <v>44742.60846064815</v>
      </c>
      <c r="C576" s="1" t="n">
        <v>46129</v>
      </c>
      <c r="D576" t="inlineStr">
        <is>
          <t>VÄSTMANLANDS LÄN</t>
        </is>
      </c>
      <c r="E576" t="inlineStr">
        <is>
          <t>SALA</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7611-2026</t>
        </is>
      </c>
      <c r="B577" s="1" t="n">
        <v>46062.32387731481</v>
      </c>
      <c r="C577" s="1" t="n">
        <v>46129</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7676-2026</t>
        </is>
      </c>
      <c r="B578" s="1" t="n">
        <v>46062.42498842593</v>
      </c>
      <c r="C578" s="1" t="n">
        <v>46129</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7593-2026</t>
        </is>
      </c>
      <c r="B579" s="1" t="n">
        <v>46061.88057870371</v>
      </c>
      <c r="C579" s="1" t="n">
        <v>46129</v>
      </c>
      <c r="D579" t="inlineStr">
        <is>
          <t>VÄSTMANLANDS LÄN</t>
        </is>
      </c>
      <c r="E579" t="inlineStr">
        <is>
          <t>SALA</t>
        </is>
      </c>
      <c r="G579" t="n">
        <v>7.5</v>
      </c>
      <c r="H579" t="n">
        <v>0</v>
      </c>
      <c r="I579" t="n">
        <v>0</v>
      </c>
      <c r="J579" t="n">
        <v>0</v>
      </c>
      <c r="K579" t="n">
        <v>0</v>
      </c>
      <c r="L579" t="n">
        <v>0</v>
      </c>
      <c r="M579" t="n">
        <v>0</v>
      </c>
      <c r="N579" t="n">
        <v>0</v>
      </c>
      <c r="O579" t="n">
        <v>0</v>
      </c>
      <c r="P579" t="n">
        <v>0</v>
      </c>
      <c r="Q579" t="n">
        <v>0</v>
      </c>
      <c r="R579" s="2" t="inlineStr"/>
    </row>
    <row r="580" ht="15" customHeight="1">
      <c r="A580" t="inlineStr">
        <is>
          <t>A 7597-2026</t>
        </is>
      </c>
      <c r="B580" s="1" t="n">
        <v>46061.91765046296</v>
      </c>
      <c r="C580" s="1" t="n">
        <v>46129</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35003-2024</t>
        </is>
      </c>
      <c r="B581" s="1" t="n">
        <v>45527.56790509259</v>
      </c>
      <c r="C581" s="1" t="n">
        <v>46129</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7661-2026</t>
        </is>
      </c>
      <c r="B582" s="1" t="n">
        <v>46062.39614583334</v>
      </c>
      <c r="C582" s="1" t="n">
        <v>46129</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7584-2026</t>
        </is>
      </c>
      <c r="B583" s="1" t="n">
        <v>46061.81653935185</v>
      </c>
      <c r="C583" s="1" t="n">
        <v>46129</v>
      </c>
      <c r="D583" t="inlineStr">
        <is>
          <t>VÄSTMANLANDS LÄN</t>
        </is>
      </c>
      <c r="E583" t="inlineStr">
        <is>
          <t>SALA</t>
        </is>
      </c>
      <c r="G583" t="n">
        <v>16.7</v>
      </c>
      <c r="H583" t="n">
        <v>0</v>
      </c>
      <c r="I583" t="n">
        <v>0</v>
      </c>
      <c r="J583" t="n">
        <v>0</v>
      </c>
      <c r="K583" t="n">
        <v>0</v>
      </c>
      <c r="L583" t="n">
        <v>0</v>
      </c>
      <c r="M583" t="n">
        <v>0</v>
      </c>
      <c r="N583" t="n">
        <v>0</v>
      </c>
      <c r="O583" t="n">
        <v>0</v>
      </c>
      <c r="P583" t="n">
        <v>0</v>
      </c>
      <c r="Q583" t="n">
        <v>0</v>
      </c>
      <c r="R583" s="2" t="inlineStr"/>
    </row>
    <row r="584" ht="15" customHeight="1">
      <c r="A584" t="inlineStr">
        <is>
          <t>A 7590-2026</t>
        </is>
      </c>
      <c r="B584" s="1" t="n">
        <v>46061.85252314815</v>
      </c>
      <c r="C584" s="1" t="n">
        <v>46129</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7596-2026</t>
        </is>
      </c>
      <c r="B585" s="1" t="n">
        <v>46061.90922453703</v>
      </c>
      <c r="C585" s="1" t="n">
        <v>46129</v>
      </c>
      <c r="D585" t="inlineStr">
        <is>
          <t>VÄSTMANLANDS LÄN</t>
        </is>
      </c>
      <c r="E585" t="inlineStr">
        <is>
          <t>SALA</t>
        </is>
      </c>
      <c r="G585" t="n">
        <v>3.1</v>
      </c>
      <c r="H585" t="n">
        <v>0</v>
      </c>
      <c r="I585" t="n">
        <v>0</v>
      </c>
      <c r="J585" t="n">
        <v>0</v>
      </c>
      <c r="K585" t="n">
        <v>0</v>
      </c>
      <c r="L585" t="n">
        <v>0</v>
      </c>
      <c r="M585" t="n">
        <v>0</v>
      </c>
      <c r="N585" t="n">
        <v>0</v>
      </c>
      <c r="O585" t="n">
        <v>0</v>
      </c>
      <c r="P585" t="n">
        <v>0</v>
      </c>
      <c r="Q585" t="n">
        <v>0</v>
      </c>
      <c r="R585" s="2" t="inlineStr"/>
    </row>
    <row r="586" ht="15" customHeight="1">
      <c r="A586" t="inlineStr">
        <is>
          <t>A 48688-2024</t>
        </is>
      </c>
      <c r="B586" s="1" t="n">
        <v>45593.50541666667</v>
      </c>
      <c r="C586" s="1" t="n">
        <v>46129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7850-2026</t>
        </is>
      </c>
      <c r="B587" s="1" t="n">
        <v>46062.66236111111</v>
      </c>
      <c r="C587" s="1" t="n">
        <v>46129</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63933-2023</t>
        </is>
      </c>
      <c r="B588" s="1" t="n">
        <v>45278</v>
      </c>
      <c r="C588" s="1" t="n">
        <v>46129</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44746-2024</t>
        </is>
      </c>
      <c r="B589" s="1" t="n">
        <v>45574.59813657407</v>
      </c>
      <c r="C589" s="1" t="n">
        <v>46129</v>
      </c>
      <c r="D589" t="inlineStr">
        <is>
          <t>VÄSTMANLANDS LÄN</t>
        </is>
      </c>
      <c r="E589" t="inlineStr">
        <is>
          <t>SALA</t>
        </is>
      </c>
      <c r="G589" t="n">
        <v>6.7</v>
      </c>
      <c r="H589" t="n">
        <v>0</v>
      </c>
      <c r="I589" t="n">
        <v>0</v>
      </c>
      <c r="J589" t="n">
        <v>0</v>
      </c>
      <c r="K589" t="n">
        <v>0</v>
      </c>
      <c r="L589" t="n">
        <v>0</v>
      </c>
      <c r="M589" t="n">
        <v>0</v>
      </c>
      <c r="N589" t="n">
        <v>0</v>
      </c>
      <c r="O589" t="n">
        <v>0</v>
      </c>
      <c r="P589" t="n">
        <v>0</v>
      </c>
      <c r="Q589" t="n">
        <v>0</v>
      </c>
      <c r="R589" s="2" t="inlineStr"/>
    </row>
    <row r="590" ht="15" customHeight="1">
      <c r="A590" t="inlineStr">
        <is>
          <t>A 33273-2023</t>
        </is>
      </c>
      <c r="B590" s="1" t="n">
        <v>45127</v>
      </c>
      <c r="C590" s="1" t="n">
        <v>46129</v>
      </c>
      <c r="D590" t="inlineStr">
        <is>
          <t>VÄSTMANLANDS LÄN</t>
        </is>
      </c>
      <c r="E590" t="inlineStr">
        <is>
          <t>SALA</t>
        </is>
      </c>
      <c r="G590" t="n">
        <v>2.6</v>
      </c>
      <c r="H590" t="n">
        <v>0</v>
      </c>
      <c r="I590" t="n">
        <v>0</v>
      </c>
      <c r="J590" t="n">
        <v>0</v>
      </c>
      <c r="K590" t="n">
        <v>0</v>
      </c>
      <c r="L590" t="n">
        <v>0</v>
      </c>
      <c r="M590" t="n">
        <v>0</v>
      </c>
      <c r="N590" t="n">
        <v>0</v>
      </c>
      <c r="O590" t="n">
        <v>0</v>
      </c>
      <c r="P590" t="n">
        <v>0</v>
      </c>
      <c r="Q590" t="n">
        <v>0</v>
      </c>
      <c r="R590" s="2" t="inlineStr"/>
    </row>
    <row r="591" ht="15" customHeight="1">
      <c r="A591" t="inlineStr">
        <is>
          <t>A 7595-2026</t>
        </is>
      </c>
      <c r="B591" s="1" t="n">
        <v>46061.90009259259</v>
      </c>
      <c r="C591" s="1" t="n">
        <v>46129</v>
      </c>
      <c r="D591" t="inlineStr">
        <is>
          <t>VÄSTMANLANDS LÄN</t>
        </is>
      </c>
      <c r="E591" t="inlineStr">
        <is>
          <t>SALA</t>
        </is>
      </c>
      <c r="G591" t="n">
        <v>1.2</v>
      </c>
      <c r="H591" t="n">
        <v>0</v>
      </c>
      <c r="I591" t="n">
        <v>0</v>
      </c>
      <c r="J591" t="n">
        <v>0</v>
      </c>
      <c r="K591" t="n">
        <v>0</v>
      </c>
      <c r="L591" t="n">
        <v>0</v>
      </c>
      <c r="M591" t="n">
        <v>0</v>
      </c>
      <c r="N591" t="n">
        <v>0</v>
      </c>
      <c r="O591" t="n">
        <v>0</v>
      </c>
      <c r="P591" t="n">
        <v>0</v>
      </c>
      <c r="Q591" t="n">
        <v>0</v>
      </c>
      <c r="R591" s="2" t="inlineStr"/>
    </row>
    <row r="592" ht="15" customHeight="1">
      <c r="A592" t="inlineStr">
        <is>
          <t>A 7680-2026</t>
        </is>
      </c>
      <c r="B592" s="1" t="n">
        <v>46062.43087962963</v>
      </c>
      <c r="C592" s="1" t="n">
        <v>46129</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11696-2025</t>
        </is>
      </c>
      <c r="B593" s="1" t="n">
        <v>45727</v>
      </c>
      <c r="C593" s="1" t="n">
        <v>46129</v>
      </c>
      <c r="D593" t="inlineStr">
        <is>
          <t>VÄSTMANLANDS LÄN</t>
        </is>
      </c>
      <c r="E593" t="inlineStr">
        <is>
          <t>SALA</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15630-2026</t>
        </is>
      </c>
      <c r="B594" s="1" t="n">
        <v>46106.62283564815</v>
      </c>
      <c r="C594" s="1" t="n">
        <v>46129</v>
      </c>
      <c r="D594" t="inlineStr">
        <is>
          <t>VÄSTMANLANDS LÄN</t>
        </is>
      </c>
      <c r="E594" t="inlineStr">
        <is>
          <t>SALA</t>
        </is>
      </c>
      <c r="G594" t="n">
        <v>1.1</v>
      </c>
      <c r="H594" t="n">
        <v>0</v>
      </c>
      <c r="I594" t="n">
        <v>0</v>
      </c>
      <c r="J594" t="n">
        <v>0</v>
      </c>
      <c r="K594" t="n">
        <v>0</v>
      </c>
      <c r="L594" t="n">
        <v>0</v>
      </c>
      <c r="M594" t="n">
        <v>0</v>
      </c>
      <c r="N594" t="n">
        <v>0</v>
      </c>
      <c r="O594" t="n">
        <v>0</v>
      </c>
      <c r="P594" t="n">
        <v>0</v>
      </c>
      <c r="Q594" t="n">
        <v>0</v>
      </c>
      <c r="R594" s="2" t="inlineStr"/>
    </row>
    <row r="595" ht="15" customHeight="1">
      <c r="A595" t="inlineStr">
        <is>
          <t>A 60545-2024</t>
        </is>
      </c>
      <c r="B595" s="1" t="n">
        <v>45643</v>
      </c>
      <c r="C595" s="1" t="n">
        <v>46129</v>
      </c>
      <c r="D595" t="inlineStr">
        <is>
          <t>VÄSTMANLANDS LÄN</t>
        </is>
      </c>
      <c r="E595" t="inlineStr">
        <is>
          <t>SALA</t>
        </is>
      </c>
      <c r="G595" t="n">
        <v>3.3</v>
      </c>
      <c r="H595" t="n">
        <v>0</v>
      </c>
      <c r="I595" t="n">
        <v>0</v>
      </c>
      <c r="J595" t="n">
        <v>0</v>
      </c>
      <c r="K595" t="n">
        <v>0</v>
      </c>
      <c r="L595" t="n">
        <v>0</v>
      </c>
      <c r="M595" t="n">
        <v>0</v>
      </c>
      <c r="N595" t="n">
        <v>0</v>
      </c>
      <c r="O595" t="n">
        <v>0</v>
      </c>
      <c r="P595" t="n">
        <v>0</v>
      </c>
      <c r="Q595" t="n">
        <v>0</v>
      </c>
      <c r="R595" s="2" t="inlineStr"/>
    </row>
    <row r="596" ht="15" customHeight="1">
      <c r="A596" t="inlineStr">
        <is>
          <t>A 60547-2024</t>
        </is>
      </c>
      <c r="B596" s="1" t="n">
        <v>45643</v>
      </c>
      <c r="C596" s="1" t="n">
        <v>46129</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1985-2022</t>
        </is>
      </c>
      <c r="B597" s="1" t="n">
        <v>44575</v>
      </c>
      <c r="C597" s="1" t="n">
        <v>46129</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27261-2024</t>
        </is>
      </c>
      <c r="B598" s="1" t="n">
        <v>45471</v>
      </c>
      <c r="C598" s="1" t="n">
        <v>46129</v>
      </c>
      <c r="D598" t="inlineStr">
        <is>
          <t>VÄSTMANLANDS LÄN</t>
        </is>
      </c>
      <c r="E598" t="inlineStr">
        <is>
          <t>SALA</t>
        </is>
      </c>
      <c r="G598" t="n">
        <v>6.1</v>
      </c>
      <c r="H598" t="n">
        <v>0</v>
      </c>
      <c r="I598" t="n">
        <v>0</v>
      </c>
      <c r="J598" t="n">
        <v>0</v>
      </c>
      <c r="K598" t="n">
        <v>0</v>
      </c>
      <c r="L598" t="n">
        <v>0</v>
      </c>
      <c r="M598" t="n">
        <v>0</v>
      </c>
      <c r="N598" t="n">
        <v>0</v>
      </c>
      <c r="O598" t="n">
        <v>0</v>
      </c>
      <c r="P598" t="n">
        <v>0</v>
      </c>
      <c r="Q598" t="n">
        <v>0</v>
      </c>
      <c r="R598" s="2" t="inlineStr"/>
    </row>
    <row r="599" ht="15" customHeight="1">
      <c r="A599" t="inlineStr">
        <is>
          <t>A 15823-2026</t>
        </is>
      </c>
      <c r="B599" s="1" t="n">
        <v>46107.54096064815</v>
      </c>
      <c r="C599" s="1" t="n">
        <v>46129</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35976-2024</t>
        </is>
      </c>
      <c r="B600" s="1" t="n">
        <v>45533.49555555556</v>
      </c>
      <c r="C600" s="1" t="n">
        <v>46129</v>
      </c>
      <c r="D600" t="inlineStr">
        <is>
          <t>VÄSTMANLANDS LÄN</t>
        </is>
      </c>
      <c r="E600" t="inlineStr">
        <is>
          <t>SALA</t>
        </is>
      </c>
      <c r="G600" t="n">
        <v>2.3</v>
      </c>
      <c r="H600" t="n">
        <v>0</v>
      </c>
      <c r="I600" t="n">
        <v>0</v>
      </c>
      <c r="J600" t="n">
        <v>0</v>
      </c>
      <c r="K600" t="n">
        <v>0</v>
      </c>
      <c r="L600" t="n">
        <v>0</v>
      </c>
      <c r="M600" t="n">
        <v>0</v>
      </c>
      <c r="N600" t="n">
        <v>0</v>
      </c>
      <c r="O600" t="n">
        <v>0</v>
      </c>
      <c r="P600" t="n">
        <v>0</v>
      </c>
      <c r="Q600" t="n">
        <v>0</v>
      </c>
      <c r="R600" s="2" t="inlineStr"/>
    </row>
    <row r="601" ht="15" customHeight="1">
      <c r="A601" t="inlineStr">
        <is>
          <t>A 55556-2023</t>
        </is>
      </c>
      <c r="B601" s="1" t="n">
        <v>45232</v>
      </c>
      <c r="C601" s="1" t="n">
        <v>46129</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57650-2024</t>
        </is>
      </c>
      <c r="B602" s="1" t="n">
        <v>45630</v>
      </c>
      <c r="C602" s="1" t="n">
        <v>46129</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50479-2022</t>
        </is>
      </c>
      <c r="B603" s="1" t="n">
        <v>44861</v>
      </c>
      <c r="C603" s="1" t="n">
        <v>46129</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45790-2023</t>
        </is>
      </c>
      <c r="B604" s="1" t="n">
        <v>45195.45958333334</v>
      </c>
      <c r="C604" s="1" t="n">
        <v>46129</v>
      </c>
      <c r="D604" t="inlineStr">
        <is>
          <t>VÄSTMANLANDS LÄN</t>
        </is>
      </c>
      <c r="E604" t="inlineStr">
        <is>
          <t>SALA</t>
        </is>
      </c>
      <c r="G604" t="n">
        <v>5.7</v>
      </c>
      <c r="H604" t="n">
        <v>0</v>
      </c>
      <c r="I604" t="n">
        <v>0</v>
      </c>
      <c r="J604" t="n">
        <v>0</v>
      </c>
      <c r="K604" t="n">
        <v>0</v>
      </c>
      <c r="L604" t="n">
        <v>0</v>
      </c>
      <c r="M604" t="n">
        <v>0</v>
      </c>
      <c r="N604" t="n">
        <v>0</v>
      </c>
      <c r="O604" t="n">
        <v>0</v>
      </c>
      <c r="P604" t="n">
        <v>0</v>
      </c>
      <c r="Q604" t="n">
        <v>0</v>
      </c>
      <c r="R604" s="2" t="inlineStr"/>
    </row>
    <row r="605" ht="15" customHeight="1">
      <c r="A605" t="inlineStr">
        <is>
          <t>A 16364-2026</t>
        </is>
      </c>
      <c r="B605" s="1" t="n">
        <v>46111.6115625</v>
      </c>
      <c r="C605" s="1" t="n">
        <v>46129</v>
      </c>
      <c r="D605" t="inlineStr">
        <is>
          <t>VÄSTMANLANDS LÄN</t>
        </is>
      </c>
      <c r="E605" t="inlineStr">
        <is>
          <t>SALA</t>
        </is>
      </c>
      <c r="G605" t="n">
        <v>4.7</v>
      </c>
      <c r="H605" t="n">
        <v>0</v>
      </c>
      <c r="I605" t="n">
        <v>0</v>
      </c>
      <c r="J605" t="n">
        <v>0</v>
      </c>
      <c r="K605" t="n">
        <v>0</v>
      </c>
      <c r="L605" t="n">
        <v>0</v>
      </c>
      <c r="M605" t="n">
        <v>0</v>
      </c>
      <c r="N605" t="n">
        <v>0</v>
      </c>
      <c r="O605" t="n">
        <v>0</v>
      </c>
      <c r="P605" t="n">
        <v>0</v>
      </c>
      <c r="Q605" t="n">
        <v>0</v>
      </c>
      <c r="R605" s="2" t="inlineStr"/>
    </row>
    <row r="606" ht="15" customHeight="1">
      <c r="A606" t="inlineStr">
        <is>
          <t>A 16354-2026</t>
        </is>
      </c>
      <c r="B606" s="1" t="n">
        <v>46111.5968287037</v>
      </c>
      <c r="C606" s="1" t="n">
        <v>46129</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2928-2024</t>
        </is>
      </c>
      <c r="B607" s="1" t="n">
        <v>45315.59041666667</v>
      </c>
      <c r="C607" s="1" t="n">
        <v>46129</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73673-2021</t>
        </is>
      </c>
      <c r="B608" s="1" t="n">
        <v>44552.46501157407</v>
      </c>
      <c r="C608" s="1" t="n">
        <v>46129</v>
      </c>
      <c r="D608" t="inlineStr">
        <is>
          <t>VÄSTMANLANDS LÄN</t>
        </is>
      </c>
      <c r="E608" t="inlineStr">
        <is>
          <t>SALA</t>
        </is>
      </c>
      <c r="G608" t="n">
        <v>11.4</v>
      </c>
      <c r="H608" t="n">
        <v>0</v>
      </c>
      <c r="I608" t="n">
        <v>0</v>
      </c>
      <c r="J608" t="n">
        <v>0</v>
      </c>
      <c r="K608" t="n">
        <v>0</v>
      </c>
      <c r="L608" t="n">
        <v>0</v>
      </c>
      <c r="M608" t="n">
        <v>0</v>
      </c>
      <c r="N608" t="n">
        <v>0</v>
      </c>
      <c r="O608" t="n">
        <v>0</v>
      </c>
      <c r="P608" t="n">
        <v>0</v>
      </c>
      <c r="Q608" t="n">
        <v>0</v>
      </c>
      <c r="R608" s="2" t="inlineStr"/>
    </row>
    <row r="609" ht="15" customHeight="1">
      <c r="A609" t="inlineStr">
        <is>
          <t>A 16367-2026</t>
        </is>
      </c>
      <c r="B609" s="1" t="n">
        <v>46111.61380787037</v>
      </c>
      <c r="C609" s="1" t="n">
        <v>46129</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40871-2021</t>
        </is>
      </c>
      <c r="B610" s="1" t="n">
        <v>44421</v>
      </c>
      <c r="C610" s="1" t="n">
        <v>46129</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16598-2026</t>
        </is>
      </c>
      <c r="B611" s="1" t="n">
        <v>46112.59598379629</v>
      </c>
      <c r="C611" s="1" t="n">
        <v>46129</v>
      </c>
      <c r="D611" t="inlineStr">
        <is>
          <t>VÄSTMANLANDS LÄN</t>
        </is>
      </c>
      <c r="E611" t="inlineStr">
        <is>
          <t>SALA</t>
        </is>
      </c>
      <c r="G611" t="n">
        <v>1.5</v>
      </c>
      <c r="H611" t="n">
        <v>0</v>
      </c>
      <c r="I611" t="n">
        <v>0</v>
      </c>
      <c r="J611" t="n">
        <v>0</v>
      </c>
      <c r="K611" t="n">
        <v>0</v>
      </c>
      <c r="L611" t="n">
        <v>0</v>
      </c>
      <c r="M611" t="n">
        <v>0</v>
      </c>
      <c r="N611" t="n">
        <v>0</v>
      </c>
      <c r="O611" t="n">
        <v>0</v>
      </c>
      <c r="P611" t="n">
        <v>0</v>
      </c>
      <c r="Q611" t="n">
        <v>0</v>
      </c>
      <c r="R611" s="2" t="inlineStr"/>
    </row>
    <row r="612" ht="15" customHeight="1">
      <c r="A612" t="inlineStr">
        <is>
          <t>A 16369-2026</t>
        </is>
      </c>
      <c r="B612" s="1" t="n">
        <v>46111</v>
      </c>
      <c r="C612" s="1" t="n">
        <v>46129</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14271-2025</t>
        </is>
      </c>
      <c r="B613" s="1" t="n">
        <v>45740.64129629629</v>
      </c>
      <c r="C613" s="1" t="n">
        <v>46129</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54199-2024</t>
        </is>
      </c>
      <c r="B614" s="1" t="n">
        <v>45616.64703703704</v>
      </c>
      <c r="C614" s="1" t="n">
        <v>46129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6312-2025</t>
        </is>
      </c>
      <c r="B615" s="1" t="n">
        <v>45698</v>
      </c>
      <c r="C615" s="1" t="n">
        <v>46129</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44857-2023</t>
        </is>
      </c>
      <c r="B616" s="1" t="n">
        <v>45190.58479166667</v>
      </c>
      <c r="C616" s="1" t="n">
        <v>46129</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62654-2022</t>
        </is>
      </c>
      <c r="B617" s="1" t="n">
        <v>44917</v>
      </c>
      <c r="C617" s="1" t="n">
        <v>46129</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43188-2023</t>
        </is>
      </c>
      <c r="B618" s="1" t="n">
        <v>45183</v>
      </c>
      <c r="C618" s="1" t="n">
        <v>46129</v>
      </c>
      <c r="D618" t="inlineStr">
        <is>
          <t>VÄSTMANLANDS LÄN</t>
        </is>
      </c>
      <c r="E618" t="inlineStr">
        <is>
          <t>SALA</t>
        </is>
      </c>
      <c r="G618" t="n">
        <v>1.2</v>
      </c>
      <c r="H618" t="n">
        <v>0</v>
      </c>
      <c r="I618" t="n">
        <v>0</v>
      </c>
      <c r="J618" t="n">
        <v>0</v>
      </c>
      <c r="K618" t="n">
        <v>0</v>
      </c>
      <c r="L618" t="n">
        <v>0</v>
      </c>
      <c r="M618" t="n">
        <v>0</v>
      </c>
      <c r="N618" t="n">
        <v>0</v>
      </c>
      <c r="O618" t="n">
        <v>0</v>
      </c>
      <c r="P618" t="n">
        <v>0</v>
      </c>
      <c r="Q618" t="n">
        <v>0</v>
      </c>
      <c r="R618" s="2" t="inlineStr"/>
    </row>
    <row r="619" ht="15" customHeight="1">
      <c r="A619" t="inlineStr">
        <is>
          <t>A 43205-2023</t>
        </is>
      </c>
      <c r="B619" s="1" t="n">
        <v>45183</v>
      </c>
      <c r="C619" s="1" t="n">
        <v>46129</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61892-2021</t>
        </is>
      </c>
      <c r="B620" s="1" t="n">
        <v>44502</v>
      </c>
      <c r="C620" s="1" t="n">
        <v>46129</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29213-2022</t>
        </is>
      </c>
      <c r="B621" s="1" t="n">
        <v>44750.57474537037</v>
      </c>
      <c r="C621" s="1" t="n">
        <v>46129</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59483-2022</t>
        </is>
      </c>
      <c r="B622" s="1" t="n">
        <v>44907.45679398148</v>
      </c>
      <c r="C622" s="1" t="n">
        <v>46129</v>
      </c>
      <c r="D622" t="inlineStr">
        <is>
          <t>VÄSTMANLANDS LÄN</t>
        </is>
      </c>
      <c r="E622" t="inlineStr">
        <is>
          <t>SALA</t>
        </is>
      </c>
      <c r="G622" t="n">
        <v>5.2</v>
      </c>
      <c r="H622" t="n">
        <v>0</v>
      </c>
      <c r="I622" t="n">
        <v>0</v>
      </c>
      <c r="J622" t="n">
        <v>0</v>
      </c>
      <c r="K622" t="n">
        <v>0</v>
      </c>
      <c r="L622" t="n">
        <v>0</v>
      </c>
      <c r="M622" t="n">
        <v>0</v>
      </c>
      <c r="N622" t="n">
        <v>0</v>
      </c>
      <c r="O622" t="n">
        <v>0</v>
      </c>
      <c r="P622" t="n">
        <v>0</v>
      </c>
      <c r="Q622" t="n">
        <v>0</v>
      </c>
      <c r="R622" s="2" t="inlineStr"/>
    </row>
    <row r="623" ht="15" customHeight="1">
      <c r="A623" t="inlineStr">
        <is>
          <t>A 16160-2024</t>
        </is>
      </c>
      <c r="B623" s="1" t="n">
        <v>45406</v>
      </c>
      <c r="C623" s="1" t="n">
        <v>46129</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10239-2026</t>
        </is>
      </c>
      <c r="B624" s="1" t="n">
        <v>46076.54824074074</v>
      </c>
      <c r="C624" s="1" t="n">
        <v>46129</v>
      </c>
      <c r="D624" t="inlineStr">
        <is>
          <t>VÄSTMANLANDS LÄN</t>
        </is>
      </c>
      <c r="E624" t="inlineStr">
        <is>
          <t>SALA</t>
        </is>
      </c>
      <c r="G624" t="n">
        <v>1.1</v>
      </c>
      <c r="H624" t="n">
        <v>0</v>
      </c>
      <c r="I624" t="n">
        <v>0</v>
      </c>
      <c r="J624" t="n">
        <v>0</v>
      </c>
      <c r="K624" t="n">
        <v>0</v>
      </c>
      <c r="L624" t="n">
        <v>0</v>
      </c>
      <c r="M624" t="n">
        <v>0</v>
      </c>
      <c r="N624" t="n">
        <v>0</v>
      </c>
      <c r="O624" t="n">
        <v>0</v>
      </c>
      <c r="P624" t="n">
        <v>0</v>
      </c>
      <c r="Q624" t="n">
        <v>0</v>
      </c>
      <c r="R624" s="2" t="inlineStr"/>
    </row>
    <row r="625" ht="15" customHeight="1">
      <c r="A625" t="inlineStr">
        <is>
          <t>A 39597-2022</t>
        </is>
      </c>
      <c r="B625" s="1" t="n">
        <v>44818</v>
      </c>
      <c r="C625" s="1" t="n">
        <v>46129</v>
      </c>
      <c r="D625" t="inlineStr">
        <is>
          <t>VÄSTMANLANDS LÄN</t>
        </is>
      </c>
      <c r="E625" t="inlineStr">
        <is>
          <t>SALA</t>
        </is>
      </c>
      <c r="G625" t="n">
        <v>2.3</v>
      </c>
      <c r="H625" t="n">
        <v>0</v>
      </c>
      <c r="I625" t="n">
        <v>0</v>
      </c>
      <c r="J625" t="n">
        <v>0</v>
      </c>
      <c r="K625" t="n">
        <v>0</v>
      </c>
      <c r="L625" t="n">
        <v>0</v>
      </c>
      <c r="M625" t="n">
        <v>0</v>
      </c>
      <c r="N625" t="n">
        <v>0</v>
      </c>
      <c r="O625" t="n">
        <v>0</v>
      </c>
      <c r="P625" t="n">
        <v>0</v>
      </c>
      <c r="Q625" t="n">
        <v>0</v>
      </c>
      <c r="R625" s="2" t="inlineStr"/>
    </row>
    <row r="626" ht="15" customHeight="1">
      <c r="A626" t="inlineStr">
        <is>
          <t>A 22921-2023</t>
        </is>
      </c>
      <c r="B626" s="1" t="n">
        <v>45070</v>
      </c>
      <c r="C626" s="1" t="n">
        <v>46129</v>
      </c>
      <c r="D626" t="inlineStr">
        <is>
          <t>VÄSTMANLANDS LÄN</t>
        </is>
      </c>
      <c r="E626" t="inlineStr">
        <is>
          <t>SALA</t>
        </is>
      </c>
      <c r="G626" t="n">
        <v>1.3</v>
      </c>
      <c r="H626" t="n">
        <v>0</v>
      </c>
      <c r="I626" t="n">
        <v>0</v>
      </c>
      <c r="J626" t="n">
        <v>0</v>
      </c>
      <c r="K626" t="n">
        <v>0</v>
      </c>
      <c r="L626" t="n">
        <v>0</v>
      </c>
      <c r="M626" t="n">
        <v>0</v>
      </c>
      <c r="N626" t="n">
        <v>0</v>
      </c>
      <c r="O626" t="n">
        <v>0</v>
      </c>
      <c r="P626" t="n">
        <v>0</v>
      </c>
      <c r="Q626" t="n">
        <v>0</v>
      </c>
      <c r="R626" s="2" t="inlineStr"/>
    </row>
    <row r="627" ht="15" customHeight="1">
      <c r="A627" t="inlineStr">
        <is>
          <t>A 36858-2023</t>
        </is>
      </c>
      <c r="B627" s="1" t="n">
        <v>45154.55184027777</v>
      </c>
      <c r="C627" s="1" t="n">
        <v>46129</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55024-2023</t>
        </is>
      </c>
      <c r="B628" s="1" t="n">
        <v>45229</v>
      </c>
      <c r="C628" s="1" t="n">
        <v>46129</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55032-2023</t>
        </is>
      </c>
      <c r="B629" s="1" t="n">
        <v>45229</v>
      </c>
      <c r="C629" s="1" t="n">
        <v>46129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10245-2026</t>
        </is>
      </c>
      <c r="B630" s="1" t="n">
        <v>46076.55144675926</v>
      </c>
      <c r="C630" s="1" t="n">
        <v>46129</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10252-2026</t>
        </is>
      </c>
      <c r="B631" s="1" t="n">
        <v>46076.55700231482</v>
      </c>
      <c r="C631" s="1" t="n">
        <v>46129</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20352-2022</t>
        </is>
      </c>
      <c r="B632" s="1" t="n">
        <v>44699.37318287037</v>
      </c>
      <c r="C632" s="1" t="n">
        <v>46129</v>
      </c>
      <c r="D632" t="inlineStr">
        <is>
          <t>VÄSTMANLANDS LÄN</t>
        </is>
      </c>
      <c r="E632" t="inlineStr">
        <is>
          <t>SALA</t>
        </is>
      </c>
      <c r="G632" t="n">
        <v>1.3</v>
      </c>
      <c r="H632" t="n">
        <v>0</v>
      </c>
      <c r="I632" t="n">
        <v>0</v>
      </c>
      <c r="J632" t="n">
        <v>0</v>
      </c>
      <c r="K632" t="n">
        <v>0</v>
      </c>
      <c r="L632" t="n">
        <v>0</v>
      </c>
      <c r="M632" t="n">
        <v>0</v>
      </c>
      <c r="N632" t="n">
        <v>0</v>
      </c>
      <c r="O632" t="n">
        <v>0</v>
      </c>
      <c r="P632" t="n">
        <v>0</v>
      </c>
      <c r="Q632" t="n">
        <v>0</v>
      </c>
      <c r="R632" s="2" t="inlineStr"/>
    </row>
    <row r="633" ht="15" customHeight="1">
      <c r="A633" t="inlineStr">
        <is>
          <t>A 5032-2025</t>
        </is>
      </c>
      <c r="B633" s="1" t="n">
        <v>45691</v>
      </c>
      <c r="C633" s="1" t="n">
        <v>46129</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17117-2023</t>
        </is>
      </c>
      <c r="B634" s="1" t="n">
        <v>45034</v>
      </c>
      <c r="C634" s="1" t="n">
        <v>46129</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13639-2026</t>
        </is>
      </c>
      <c r="B635" s="1" t="n">
        <v>46097</v>
      </c>
      <c r="C635" s="1" t="n">
        <v>46129</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19243-2025</t>
        </is>
      </c>
      <c r="B636" s="1" t="n">
        <v>45769</v>
      </c>
      <c r="C636" s="1" t="n">
        <v>46129</v>
      </c>
      <c r="D636" t="inlineStr">
        <is>
          <t>VÄSTMANLANDS LÄN</t>
        </is>
      </c>
      <c r="E636" t="inlineStr">
        <is>
          <t>SALA</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7166-2025</t>
        </is>
      </c>
      <c r="B637" s="1" t="n">
        <v>45702</v>
      </c>
      <c r="C637" s="1" t="n">
        <v>46129</v>
      </c>
      <c r="D637" t="inlineStr">
        <is>
          <t>VÄSTMANLANDS LÄN</t>
        </is>
      </c>
      <c r="E637" t="inlineStr">
        <is>
          <t>SALA</t>
        </is>
      </c>
      <c r="G637" t="n">
        <v>6.1</v>
      </c>
      <c r="H637" t="n">
        <v>0</v>
      </c>
      <c r="I637" t="n">
        <v>0</v>
      </c>
      <c r="J637" t="n">
        <v>0</v>
      </c>
      <c r="K637" t="n">
        <v>0</v>
      </c>
      <c r="L637" t="n">
        <v>0</v>
      </c>
      <c r="M637" t="n">
        <v>0</v>
      </c>
      <c r="N637" t="n">
        <v>0</v>
      </c>
      <c r="O637" t="n">
        <v>0</v>
      </c>
      <c r="P637" t="n">
        <v>0</v>
      </c>
      <c r="Q637" t="n">
        <v>0</v>
      </c>
      <c r="R637" s="2" t="inlineStr"/>
    </row>
    <row r="638" ht="15" customHeight="1">
      <c r="A638" t="inlineStr">
        <is>
          <t>A 36393-2023</t>
        </is>
      </c>
      <c r="B638" s="1" t="n">
        <v>45152</v>
      </c>
      <c r="C638" s="1" t="n">
        <v>46129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26416-2023</t>
        </is>
      </c>
      <c r="B639" s="1" t="n">
        <v>45092.38087962963</v>
      </c>
      <c r="C639" s="1" t="n">
        <v>46129</v>
      </c>
      <c r="D639" t="inlineStr">
        <is>
          <t>VÄSTMANLANDS LÄN</t>
        </is>
      </c>
      <c r="E639" t="inlineStr">
        <is>
          <t>SALA</t>
        </is>
      </c>
      <c r="G639" t="n">
        <v>2.9</v>
      </c>
      <c r="H639" t="n">
        <v>0</v>
      </c>
      <c r="I639" t="n">
        <v>0</v>
      </c>
      <c r="J639" t="n">
        <v>0</v>
      </c>
      <c r="K639" t="n">
        <v>0</v>
      </c>
      <c r="L639" t="n">
        <v>0</v>
      </c>
      <c r="M639" t="n">
        <v>0</v>
      </c>
      <c r="N639" t="n">
        <v>0</v>
      </c>
      <c r="O639" t="n">
        <v>0</v>
      </c>
      <c r="P639" t="n">
        <v>0</v>
      </c>
      <c r="Q639" t="n">
        <v>0</v>
      </c>
      <c r="R639" s="2" t="inlineStr"/>
    </row>
    <row r="640" ht="15" customHeight="1">
      <c r="A640" t="inlineStr">
        <is>
          <t>A 28661-2024</t>
        </is>
      </c>
      <c r="B640" s="1" t="n">
        <v>45478</v>
      </c>
      <c r="C640" s="1" t="n">
        <v>46129</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27255-2023</t>
        </is>
      </c>
      <c r="B641" s="1" t="n">
        <v>45096</v>
      </c>
      <c r="C641" s="1" t="n">
        <v>46129</v>
      </c>
      <c r="D641" t="inlineStr">
        <is>
          <t>VÄSTMANLANDS LÄN</t>
        </is>
      </c>
      <c r="E641" t="inlineStr">
        <is>
          <t>SALA</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7197-2025</t>
        </is>
      </c>
      <c r="B642" s="1" t="n">
        <v>45702</v>
      </c>
      <c r="C642" s="1" t="n">
        <v>46129</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18382-2026</t>
        </is>
      </c>
      <c r="B643" s="1" t="n">
        <v>46126.63601851852</v>
      </c>
      <c r="C643" s="1" t="n">
        <v>46129</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13752-2025</t>
        </is>
      </c>
      <c r="B644" s="1" t="n">
        <v>45737.41416666667</v>
      </c>
      <c r="C644" s="1" t="n">
        <v>46129</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2927-2024</t>
        </is>
      </c>
      <c r="B645" s="1" t="n">
        <v>45315.58989583333</v>
      </c>
      <c r="C645" s="1" t="n">
        <v>46129</v>
      </c>
      <c r="D645" t="inlineStr">
        <is>
          <t>VÄSTMANLANDS LÄN</t>
        </is>
      </c>
      <c r="E645" t="inlineStr">
        <is>
          <t>SALA</t>
        </is>
      </c>
      <c r="G645" t="n">
        <v>2.5</v>
      </c>
      <c r="H645" t="n">
        <v>0</v>
      </c>
      <c r="I645" t="n">
        <v>0</v>
      </c>
      <c r="J645" t="n">
        <v>0</v>
      </c>
      <c r="K645" t="n">
        <v>0</v>
      </c>
      <c r="L645" t="n">
        <v>0</v>
      </c>
      <c r="M645" t="n">
        <v>0</v>
      </c>
      <c r="N645" t="n">
        <v>0</v>
      </c>
      <c r="O645" t="n">
        <v>0</v>
      </c>
      <c r="P645" t="n">
        <v>0</v>
      </c>
      <c r="Q645" t="n">
        <v>0</v>
      </c>
      <c r="R645" s="2" t="inlineStr"/>
    </row>
    <row r="646" ht="15" customHeight="1">
      <c r="A646" t="inlineStr">
        <is>
          <t>A 26854-2024</t>
        </is>
      </c>
      <c r="B646" s="1" t="n">
        <v>45470</v>
      </c>
      <c r="C646" s="1" t="n">
        <v>46129</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12144-2026</t>
        </is>
      </c>
      <c r="B647" s="1" t="n">
        <v>46086.58008101852</v>
      </c>
      <c r="C647" s="1" t="n">
        <v>46129</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48570-2024</t>
        </is>
      </c>
      <c r="B648" s="1" t="n">
        <v>45591</v>
      </c>
      <c r="C648" s="1" t="n">
        <v>46129</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46129</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16769-2024</t>
        </is>
      </c>
      <c r="B650" s="1" t="n">
        <v>45411.38738425926</v>
      </c>
      <c r="C650" s="1" t="n">
        <v>46129</v>
      </c>
      <c r="D650" t="inlineStr">
        <is>
          <t>VÄSTMANLANDS LÄN</t>
        </is>
      </c>
      <c r="E650" t="inlineStr">
        <is>
          <t>SALA</t>
        </is>
      </c>
      <c r="G650" t="n">
        <v>12</v>
      </c>
      <c r="H650" t="n">
        <v>0</v>
      </c>
      <c r="I650" t="n">
        <v>0</v>
      </c>
      <c r="J650" t="n">
        <v>0</v>
      </c>
      <c r="K650" t="n">
        <v>0</v>
      </c>
      <c r="L650" t="n">
        <v>0</v>
      </c>
      <c r="M650" t="n">
        <v>0</v>
      </c>
      <c r="N650" t="n">
        <v>0</v>
      </c>
      <c r="O650" t="n">
        <v>0</v>
      </c>
      <c r="P650" t="n">
        <v>0</v>
      </c>
      <c r="Q650" t="n">
        <v>0</v>
      </c>
      <c r="R650" s="2" t="inlineStr"/>
    </row>
    <row r="651" ht="15" customHeight="1">
      <c r="A651" t="inlineStr">
        <is>
          <t>A 18877-2023</t>
        </is>
      </c>
      <c r="B651" s="1" t="n">
        <v>45044</v>
      </c>
      <c r="C651" s="1" t="n">
        <v>46129</v>
      </c>
      <c r="D651" t="inlineStr">
        <is>
          <t>VÄSTMANLANDS LÄN</t>
        </is>
      </c>
      <c r="E651" t="inlineStr">
        <is>
          <t>SALA</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18592-2026</t>
        </is>
      </c>
      <c r="B652" s="1" t="n">
        <v>46127.64232638889</v>
      </c>
      <c r="C652" s="1" t="n">
        <v>46129</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44544-2024</t>
        </is>
      </c>
      <c r="B653" s="1" t="n">
        <v>45574.46119212963</v>
      </c>
      <c r="C653" s="1" t="n">
        <v>46129</v>
      </c>
      <c r="D653" t="inlineStr">
        <is>
          <t>VÄSTMANLANDS LÄN</t>
        </is>
      </c>
      <c r="E653" t="inlineStr">
        <is>
          <t>SALA</t>
        </is>
      </c>
      <c r="G653" t="n">
        <v>3.3</v>
      </c>
      <c r="H653" t="n">
        <v>0</v>
      </c>
      <c r="I653" t="n">
        <v>0</v>
      </c>
      <c r="J653" t="n">
        <v>0</v>
      </c>
      <c r="K653" t="n">
        <v>0</v>
      </c>
      <c r="L653" t="n">
        <v>0</v>
      </c>
      <c r="M653" t="n">
        <v>0</v>
      </c>
      <c r="N653" t="n">
        <v>0</v>
      </c>
      <c r="O653" t="n">
        <v>0</v>
      </c>
      <c r="P653" t="n">
        <v>0</v>
      </c>
      <c r="Q653" t="n">
        <v>0</v>
      </c>
      <c r="R653" s="2" t="inlineStr"/>
    </row>
    <row r="654" ht="15" customHeight="1">
      <c r="A654" t="inlineStr">
        <is>
          <t>A 60379-2022</t>
        </is>
      </c>
      <c r="B654" s="1" t="n">
        <v>44910</v>
      </c>
      <c r="C654" s="1" t="n">
        <v>46129</v>
      </c>
      <c r="D654" t="inlineStr">
        <is>
          <t>VÄSTMANLANDS LÄN</t>
        </is>
      </c>
      <c r="E654" t="inlineStr">
        <is>
          <t>SALA</t>
        </is>
      </c>
      <c r="F654" t="inlineStr">
        <is>
          <t>Kyrkan</t>
        </is>
      </c>
      <c r="G654" t="n">
        <v>2.5</v>
      </c>
      <c r="H654" t="n">
        <v>0</v>
      </c>
      <c r="I654" t="n">
        <v>0</v>
      </c>
      <c r="J654" t="n">
        <v>0</v>
      </c>
      <c r="K654" t="n">
        <v>0</v>
      </c>
      <c r="L654" t="n">
        <v>0</v>
      </c>
      <c r="M654" t="n">
        <v>0</v>
      </c>
      <c r="N654" t="n">
        <v>0</v>
      </c>
      <c r="O654" t="n">
        <v>0</v>
      </c>
      <c r="P654" t="n">
        <v>0</v>
      </c>
      <c r="Q654" t="n">
        <v>0</v>
      </c>
      <c r="R654" s="2" t="inlineStr"/>
    </row>
    <row r="655" ht="15" customHeight="1">
      <c r="A655" t="inlineStr">
        <is>
          <t>A 56547-2022</t>
        </is>
      </c>
      <c r="B655" s="1" t="n">
        <v>44893.48284722222</v>
      </c>
      <c r="C655" s="1" t="n">
        <v>46129</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29542-2023</t>
        </is>
      </c>
      <c r="B656" s="1" t="n">
        <v>45098</v>
      </c>
      <c r="C656" s="1" t="n">
        <v>46129</v>
      </c>
      <c r="D656" t="inlineStr">
        <is>
          <t>VÄSTMANLANDS LÄN</t>
        </is>
      </c>
      <c r="E656" t="inlineStr">
        <is>
          <t>SALA</t>
        </is>
      </c>
      <c r="G656" t="n">
        <v>4.8</v>
      </c>
      <c r="H656" t="n">
        <v>0</v>
      </c>
      <c r="I656" t="n">
        <v>0</v>
      </c>
      <c r="J656" t="n">
        <v>0</v>
      </c>
      <c r="K656" t="n">
        <v>0</v>
      </c>
      <c r="L656" t="n">
        <v>0</v>
      </c>
      <c r="M656" t="n">
        <v>0</v>
      </c>
      <c r="N656" t="n">
        <v>0</v>
      </c>
      <c r="O656" t="n">
        <v>0</v>
      </c>
      <c r="P656" t="n">
        <v>0</v>
      </c>
      <c r="Q656" t="n">
        <v>0</v>
      </c>
      <c r="R656" s="2" t="inlineStr"/>
    </row>
    <row r="657" ht="15" customHeight="1">
      <c r="A657" t="inlineStr">
        <is>
          <t>A 16638-2023</t>
        </is>
      </c>
      <c r="B657" s="1" t="n">
        <v>45027</v>
      </c>
      <c r="C657" s="1" t="n">
        <v>46129</v>
      </c>
      <c r="D657" t="inlineStr">
        <is>
          <t>VÄSTMANLANDS LÄN</t>
        </is>
      </c>
      <c r="E657" t="inlineStr">
        <is>
          <t>SALA</t>
        </is>
      </c>
      <c r="G657" t="n">
        <v>14.8</v>
      </c>
      <c r="H657" t="n">
        <v>0</v>
      </c>
      <c r="I657" t="n">
        <v>0</v>
      </c>
      <c r="J657" t="n">
        <v>0</v>
      </c>
      <c r="K657" t="n">
        <v>0</v>
      </c>
      <c r="L657" t="n">
        <v>0</v>
      </c>
      <c r="M657" t="n">
        <v>0</v>
      </c>
      <c r="N657" t="n">
        <v>0</v>
      </c>
      <c r="O657" t="n">
        <v>0</v>
      </c>
      <c r="P657" t="n">
        <v>0</v>
      </c>
      <c r="Q657" t="n">
        <v>0</v>
      </c>
      <c r="R657" s="2" t="inlineStr"/>
    </row>
    <row r="658" ht="15" customHeight="1">
      <c r="A658" t="inlineStr">
        <is>
          <t>A 37190-2024</t>
        </is>
      </c>
      <c r="B658" s="1" t="n">
        <v>45539</v>
      </c>
      <c r="C658" s="1" t="n">
        <v>46129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23222-2023</t>
        </is>
      </c>
      <c r="B659" s="1" t="n">
        <v>45075</v>
      </c>
      <c r="C659" s="1" t="n">
        <v>46129</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23224-2023</t>
        </is>
      </c>
      <c r="B660" s="1" t="n">
        <v>45075.65040509259</v>
      </c>
      <c r="C660" s="1" t="n">
        <v>46129</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22026-2021</t>
        </is>
      </c>
      <c r="B661" s="1" t="n">
        <v>44323</v>
      </c>
      <c r="C661" s="1" t="n">
        <v>46129</v>
      </c>
      <c r="D661" t="inlineStr">
        <is>
          <t>VÄSTMANLANDS LÄN</t>
        </is>
      </c>
      <c r="E661" t="inlineStr">
        <is>
          <t>SALA</t>
        </is>
      </c>
      <c r="G661" t="n">
        <v>2.9</v>
      </c>
      <c r="H661" t="n">
        <v>0</v>
      </c>
      <c r="I661" t="n">
        <v>0</v>
      </c>
      <c r="J661" t="n">
        <v>0</v>
      </c>
      <c r="K661" t="n">
        <v>0</v>
      </c>
      <c r="L661" t="n">
        <v>0</v>
      </c>
      <c r="M661" t="n">
        <v>0</v>
      </c>
      <c r="N661" t="n">
        <v>0</v>
      </c>
      <c r="O661" t="n">
        <v>0</v>
      </c>
      <c r="P661" t="n">
        <v>0</v>
      </c>
      <c r="Q661" t="n">
        <v>0</v>
      </c>
      <c r="R661" s="2" t="inlineStr"/>
    </row>
    <row r="662" ht="15" customHeight="1">
      <c r="A662" t="inlineStr">
        <is>
          <t>A 68864-2021</t>
        </is>
      </c>
      <c r="B662" s="1" t="n">
        <v>44530</v>
      </c>
      <c r="C662" s="1" t="n">
        <v>46129</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19065-2022</t>
        </is>
      </c>
      <c r="B663" s="1" t="n">
        <v>44691.44309027777</v>
      </c>
      <c r="C663" s="1" t="n">
        <v>46129</v>
      </c>
      <c r="D663" t="inlineStr">
        <is>
          <t>VÄSTMANLANDS LÄN</t>
        </is>
      </c>
      <c r="E663" t="inlineStr">
        <is>
          <t>SALA</t>
        </is>
      </c>
      <c r="G663" t="n">
        <v>3.4</v>
      </c>
      <c r="H663" t="n">
        <v>0</v>
      </c>
      <c r="I663" t="n">
        <v>0</v>
      </c>
      <c r="J663" t="n">
        <v>0</v>
      </c>
      <c r="K663" t="n">
        <v>0</v>
      </c>
      <c r="L663" t="n">
        <v>0</v>
      </c>
      <c r="M663" t="n">
        <v>0</v>
      </c>
      <c r="N663" t="n">
        <v>0</v>
      </c>
      <c r="O663" t="n">
        <v>0</v>
      </c>
      <c r="P663" t="n">
        <v>0</v>
      </c>
      <c r="Q663" t="n">
        <v>0</v>
      </c>
      <c r="R663" s="2" t="inlineStr"/>
    </row>
    <row r="664" ht="15" customHeight="1">
      <c r="A664" t="inlineStr">
        <is>
          <t>A 37612-2024</t>
        </is>
      </c>
      <c r="B664" s="1" t="n">
        <v>45541</v>
      </c>
      <c r="C664" s="1" t="n">
        <v>46129</v>
      </c>
      <c r="D664" t="inlineStr">
        <is>
          <t>VÄSTMANLANDS LÄN</t>
        </is>
      </c>
      <c r="E664" t="inlineStr">
        <is>
          <t>SALA</t>
        </is>
      </c>
      <c r="G664" t="n">
        <v>2.2</v>
      </c>
      <c r="H664" t="n">
        <v>0</v>
      </c>
      <c r="I664" t="n">
        <v>0</v>
      </c>
      <c r="J664" t="n">
        <v>0</v>
      </c>
      <c r="K664" t="n">
        <v>0</v>
      </c>
      <c r="L664" t="n">
        <v>0</v>
      </c>
      <c r="M664" t="n">
        <v>0</v>
      </c>
      <c r="N664" t="n">
        <v>0</v>
      </c>
      <c r="O664" t="n">
        <v>0</v>
      </c>
      <c r="P664" t="n">
        <v>0</v>
      </c>
      <c r="Q664" t="n">
        <v>0</v>
      </c>
      <c r="R664" s="2" t="inlineStr"/>
    </row>
    <row r="665" ht="15" customHeight="1">
      <c r="A665" t="inlineStr">
        <is>
          <t>A 37615-2024</t>
        </is>
      </c>
      <c r="B665" s="1" t="n">
        <v>45541.50673611111</v>
      </c>
      <c r="C665" s="1" t="n">
        <v>46129</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18158-2025</t>
        </is>
      </c>
      <c r="B666" s="1" t="n">
        <v>45761</v>
      </c>
      <c r="C666" s="1" t="n">
        <v>46129</v>
      </c>
      <c r="D666" t="inlineStr">
        <is>
          <t>VÄSTMANLANDS LÄN</t>
        </is>
      </c>
      <c r="E666" t="inlineStr">
        <is>
          <t>SALA</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9962-2025</t>
        </is>
      </c>
      <c r="B667" s="1" t="n">
        <v>45719.37072916667</v>
      </c>
      <c r="C667" s="1" t="n">
        <v>46129</v>
      </c>
      <c r="D667" t="inlineStr">
        <is>
          <t>VÄSTMANLANDS LÄN</t>
        </is>
      </c>
      <c r="E667" t="inlineStr">
        <is>
          <t>SALA</t>
        </is>
      </c>
      <c r="G667" t="n">
        <v>4.5</v>
      </c>
      <c r="H667" t="n">
        <v>0</v>
      </c>
      <c r="I667" t="n">
        <v>0</v>
      </c>
      <c r="J667" t="n">
        <v>0</v>
      </c>
      <c r="K667" t="n">
        <v>0</v>
      </c>
      <c r="L667" t="n">
        <v>0</v>
      </c>
      <c r="M667" t="n">
        <v>0</v>
      </c>
      <c r="N667" t="n">
        <v>0</v>
      </c>
      <c r="O667" t="n">
        <v>0</v>
      </c>
      <c r="P667" t="n">
        <v>0</v>
      </c>
      <c r="Q667" t="n">
        <v>0</v>
      </c>
      <c r="R667" s="2" t="inlineStr"/>
    </row>
    <row r="668" ht="15" customHeight="1">
      <c r="A668" t="inlineStr">
        <is>
          <t>A 37602-2024</t>
        </is>
      </c>
      <c r="B668" s="1" t="n">
        <v>45541</v>
      </c>
      <c r="C668" s="1" t="n">
        <v>46129</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18762-2024</t>
        </is>
      </c>
      <c r="B669" s="1" t="n">
        <v>45426.55240740741</v>
      </c>
      <c r="C669" s="1" t="n">
        <v>46129</v>
      </c>
      <c r="D669" t="inlineStr">
        <is>
          <t>VÄSTMANLANDS LÄN</t>
        </is>
      </c>
      <c r="E669" t="inlineStr">
        <is>
          <t>SALA</t>
        </is>
      </c>
      <c r="G669" t="n">
        <v>6.2</v>
      </c>
      <c r="H669" t="n">
        <v>0</v>
      </c>
      <c r="I669" t="n">
        <v>0</v>
      </c>
      <c r="J669" t="n">
        <v>0</v>
      </c>
      <c r="K669" t="n">
        <v>0</v>
      </c>
      <c r="L669" t="n">
        <v>0</v>
      </c>
      <c r="M669" t="n">
        <v>0</v>
      </c>
      <c r="N669" t="n">
        <v>0</v>
      </c>
      <c r="O669" t="n">
        <v>0</v>
      </c>
      <c r="P669" t="n">
        <v>0</v>
      </c>
      <c r="Q669" t="n">
        <v>0</v>
      </c>
      <c r="R669" s="2" t="inlineStr"/>
    </row>
    <row r="670" ht="15" customHeight="1">
      <c r="A670" t="inlineStr">
        <is>
          <t>A 39011-2023</t>
        </is>
      </c>
      <c r="B670" s="1" t="n">
        <v>45162</v>
      </c>
      <c r="C670" s="1" t="n">
        <v>46129</v>
      </c>
      <c r="D670" t="inlineStr">
        <is>
          <t>VÄSTMANLANDS LÄN</t>
        </is>
      </c>
      <c r="E670" t="inlineStr">
        <is>
          <t>SALA</t>
        </is>
      </c>
      <c r="G670" t="n">
        <v>1.6</v>
      </c>
      <c r="H670" t="n">
        <v>0</v>
      </c>
      <c r="I670" t="n">
        <v>0</v>
      </c>
      <c r="J670" t="n">
        <v>0</v>
      </c>
      <c r="K670" t="n">
        <v>0</v>
      </c>
      <c r="L670" t="n">
        <v>0</v>
      </c>
      <c r="M670" t="n">
        <v>0</v>
      </c>
      <c r="N670" t="n">
        <v>0</v>
      </c>
      <c r="O670" t="n">
        <v>0</v>
      </c>
      <c r="P670" t="n">
        <v>0</v>
      </c>
      <c r="Q670" t="n">
        <v>0</v>
      </c>
      <c r="R670" s="2" t="inlineStr"/>
    </row>
    <row r="671" ht="15" customHeight="1">
      <c r="A671" t="inlineStr">
        <is>
          <t>A 46352-2023</t>
        </is>
      </c>
      <c r="B671" s="1" t="n">
        <v>45192</v>
      </c>
      <c r="C671" s="1" t="n">
        <v>46129</v>
      </c>
      <c r="D671" t="inlineStr">
        <is>
          <t>VÄSTMANLANDS LÄN</t>
        </is>
      </c>
      <c r="E671" t="inlineStr">
        <is>
          <t>SALA</t>
        </is>
      </c>
      <c r="G671" t="n">
        <v>1.9</v>
      </c>
      <c r="H671" t="n">
        <v>0</v>
      </c>
      <c r="I671" t="n">
        <v>0</v>
      </c>
      <c r="J671" t="n">
        <v>0</v>
      </c>
      <c r="K671" t="n">
        <v>0</v>
      </c>
      <c r="L671" t="n">
        <v>0</v>
      </c>
      <c r="M671" t="n">
        <v>0</v>
      </c>
      <c r="N671" t="n">
        <v>0</v>
      </c>
      <c r="O671" t="n">
        <v>0</v>
      </c>
      <c r="P671" t="n">
        <v>0</v>
      </c>
      <c r="Q671" t="n">
        <v>0</v>
      </c>
      <c r="R671" s="2" t="inlineStr"/>
    </row>
    <row r="672" ht="15" customHeight="1">
      <c r="A672" t="inlineStr">
        <is>
          <t>A 43751-2021</t>
        </is>
      </c>
      <c r="B672" s="1" t="n">
        <v>44433</v>
      </c>
      <c r="C672" s="1" t="n">
        <v>46129</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1128-2025</t>
        </is>
      </c>
      <c r="B673" s="1" t="n">
        <v>45666.68469907407</v>
      </c>
      <c r="C673" s="1" t="n">
        <v>46129</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31950-2023</t>
        </is>
      </c>
      <c r="B674" s="1" t="n">
        <v>45107</v>
      </c>
      <c r="C674" s="1" t="n">
        <v>46129</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56540-2024</t>
        </is>
      </c>
      <c r="B675" s="1" t="n">
        <v>45625</v>
      </c>
      <c r="C675" s="1" t="n">
        <v>46129</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6116-2023</t>
        </is>
      </c>
      <c r="B676" s="1" t="n">
        <v>44964</v>
      </c>
      <c r="C676" s="1" t="n">
        <v>46129</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25860-2024</t>
        </is>
      </c>
      <c r="B677" s="1" t="n">
        <v>45467.46278935186</v>
      </c>
      <c r="C677" s="1" t="n">
        <v>46129</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56916-2022</t>
        </is>
      </c>
      <c r="B678" s="1" t="n">
        <v>44888</v>
      </c>
      <c r="C678" s="1" t="n">
        <v>46129</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71471-2021</t>
        </is>
      </c>
      <c r="B679" s="1" t="n">
        <v>44540.53421296296</v>
      </c>
      <c r="C679" s="1" t="n">
        <v>46129</v>
      </c>
      <c r="D679" t="inlineStr">
        <is>
          <t>VÄSTMANLANDS LÄN</t>
        </is>
      </c>
      <c r="E679" t="inlineStr">
        <is>
          <t>SALA</t>
        </is>
      </c>
      <c r="G679" t="n">
        <v>13</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46129</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13990-2023</t>
        </is>
      </c>
      <c r="B681" s="1" t="n">
        <v>45007</v>
      </c>
      <c r="C681" s="1" t="n">
        <v>46129</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1993-2022</t>
        </is>
      </c>
      <c r="B682" s="1" t="n">
        <v>44575</v>
      </c>
      <c r="C682" s="1" t="n">
        <v>46129</v>
      </c>
      <c r="D682" t="inlineStr">
        <is>
          <t>VÄSTMANLANDS LÄN</t>
        </is>
      </c>
      <c r="E682" t="inlineStr">
        <is>
          <t>SALA</t>
        </is>
      </c>
      <c r="G682" t="n">
        <v>1.6</v>
      </c>
      <c r="H682" t="n">
        <v>0</v>
      </c>
      <c r="I682" t="n">
        <v>0</v>
      </c>
      <c r="J682" t="n">
        <v>0</v>
      </c>
      <c r="K682" t="n">
        <v>0</v>
      </c>
      <c r="L682" t="n">
        <v>0</v>
      </c>
      <c r="M682" t="n">
        <v>0</v>
      </c>
      <c r="N682" t="n">
        <v>0</v>
      </c>
      <c r="O682" t="n">
        <v>0</v>
      </c>
      <c r="P682" t="n">
        <v>0</v>
      </c>
      <c r="Q682" t="n">
        <v>0</v>
      </c>
      <c r="R682" s="2" t="inlineStr"/>
    </row>
    <row r="683" ht="15" customHeight="1">
      <c r="A683" t="inlineStr">
        <is>
          <t>A 17051-2025</t>
        </is>
      </c>
      <c r="B683" s="1" t="n">
        <v>45755</v>
      </c>
      <c r="C683" s="1" t="n">
        <v>46129</v>
      </c>
      <c r="D683" t="inlineStr">
        <is>
          <t>VÄSTMANLANDS LÄN</t>
        </is>
      </c>
      <c r="E683" t="inlineStr">
        <is>
          <t>SALA</t>
        </is>
      </c>
      <c r="G683" t="n">
        <v>2.9</v>
      </c>
      <c r="H683" t="n">
        <v>0</v>
      </c>
      <c r="I683" t="n">
        <v>0</v>
      </c>
      <c r="J683" t="n">
        <v>0</v>
      </c>
      <c r="K683" t="n">
        <v>0</v>
      </c>
      <c r="L683" t="n">
        <v>0</v>
      </c>
      <c r="M683" t="n">
        <v>0</v>
      </c>
      <c r="N683" t="n">
        <v>0</v>
      </c>
      <c r="O683" t="n">
        <v>0</v>
      </c>
      <c r="P683" t="n">
        <v>0</v>
      </c>
      <c r="Q683" t="n">
        <v>0</v>
      </c>
      <c r="R683" s="2" t="inlineStr"/>
    </row>
    <row r="684" ht="15" customHeight="1">
      <c r="A684" t="inlineStr">
        <is>
          <t>A 43509-2021</t>
        </is>
      </c>
      <c r="B684" s="1" t="n">
        <v>44433</v>
      </c>
      <c r="C684" s="1" t="n">
        <v>46129</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54959-2024</t>
        </is>
      </c>
      <c r="B685" s="1" t="n">
        <v>45619</v>
      </c>
      <c r="C685" s="1" t="n">
        <v>46129</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56964-2023</t>
        </is>
      </c>
      <c r="B686" s="1" t="n">
        <v>45244.63140046296</v>
      </c>
      <c r="C686" s="1" t="n">
        <v>46129</v>
      </c>
      <c r="D686" t="inlineStr">
        <is>
          <t>VÄSTMANLANDS LÄN</t>
        </is>
      </c>
      <c r="E686" t="inlineStr">
        <is>
          <t>SALA</t>
        </is>
      </c>
      <c r="G686" t="n">
        <v>4.6</v>
      </c>
      <c r="H686" t="n">
        <v>0</v>
      </c>
      <c r="I686" t="n">
        <v>0</v>
      </c>
      <c r="J686" t="n">
        <v>0</v>
      </c>
      <c r="K686" t="n">
        <v>0</v>
      </c>
      <c r="L686" t="n">
        <v>0</v>
      </c>
      <c r="M686" t="n">
        <v>0</v>
      </c>
      <c r="N686" t="n">
        <v>0</v>
      </c>
      <c r="O686" t="n">
        <v>0</v>
      </c>
      <c r="P686" t="n">
        <v>0</v>
      </c>
      <c r="Q686" t="n">
        <v>0</v>
      </c>
      <c r="R686" s="2" t="inlineStr"/>
    </row>
    <row r="687" ht="15" customHeight="1">
      <c r="A687" t="inlineStr">
        <is>
          <t>A 37337-2024</t>
        </is>
      </c>
      <c r="B687" s="1" t="n">
        <v>45540</v>
      </c>
      <c r="C687" s="1" t="n">
        <v>46129</v>
      </c>
      <c r="D687" t="inlineStr">
        <is>
          <t>VÄSTMANLANDS LÄN</t>
        </is>
      </c>
      <c r="E687" t="inlineStr">
        <is>
          <t>SALA</t>
        </is>
      </c>
      <c r="G687" t="n">
        <v>6.5</v>
      </c>
      <c r="H687" t="n">
        <v>0</v>
      </c>
      <c r="I687" t="n">
        <v>0</v>
      </c>
      <c r="J687" t="n">
        <v>0</v>
      </c>
      <c r="K687" t="n">
        <v>0</v>
      </c>
      <c r="L687" t="n">
        <v>0</v>
      </c>
      <c r="M687" t="n">
        <v>0</v>
      </c>
      <c r="N687" t="n">
        <v>0</v>
      </c>
      <c r="O687" t="n">
        <v>0</v>
      </c>
      <c r="P687" t="n">
        <v>0</v>
      </c>
      <c r="Q687" t="n">
        <v>0</v>
      </c>
      <c r="R687" s="2" t="inlineStr"/>
    </row>
    <row r="688" ht="15" customHeight="1">
      <c r="A688" t="inlineStr">
        <is>
          <t>A 17120-2023</t>
        </is>
      </c>
      <c r="B688" s="1" t="n">
        <v>45034</v>
      </c>
      <c r="C688" s="1" t="n">
        <v>46129</v>
      </c>
      <c r="D688" t="inlineStr">
        <is>
          <t>VÄSTMANLANDS LÄN</t>
        </is>
      </c>
      <c r="E688" t="inlineStr">
        <is>
          <t>SALA</t>
        </is>
      </c>
      <c r="G688" t="n">
        <v>0.1</v>
      </c>
      <c r="H688" t="n">
        <v>0</v>
      </c>
      <c r="I688" t="n">
        <v>0</v>
      </c>
      <c r="J688" t="n">
        <v>0</v>
      </c>
      <c r="K688" t="n">
        <v>0</v>
      </c>
      <c r="L688" t="n">
        <v>0</v>
      </c>
      <c r="M688" t="n">
        <v>0</v>
      </c>
      <c r="N688" t="n">
        <v>0</v>
      </c>
      <c r="O688" t="n">
        <v>0</v>
      </c>
      <c r="P688" t="n">
        <v>0</v>
      </c>
      <c r="Q688" t="n">
        <v>0</v>
      </c>
      <c r="R688" s="2" t="inlineStr"/>
    </row>
    <row r="689" ht="15" customHeight="1">
      <c r="A689" t="inlineStr">
        <is>
          <t>A 34494-2023</t>
        </is>
      </c>
      <c r="B689" s="1" t="n">
        <v>45133</v>
      </c>
      <c r="C689" s="1" t="n">
        <v>46129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10579-2022</t>
        </is>
      </c>
      <c r="B690" s="1" t="n">
        <v>44624</v>
      </c>
      <c r="C690" s="1" t="n">
        <v>46129</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9335-2022</t>
        </is>
      </c>
      <c r="B691" s="1" t="n">
        <v>44616.56579861111</v>
      </c>
      <c r="C691" s="1" t="n">
        <v>46129</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45313-2024</t>
        </is>
      </c>
      <c r="B692" s="1" t="n">
        <v>45576</v>
      </c>
      <c r="C692" s="1" t="n">
        <v>46129</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23119-2022</t>
        </is>
      </c>
      <c r="B693" s="1" t="n">
        <v>44719.56697916667</v>
      </c>
      <c r="C693" s="1" t="n">
        <v>46129</v>
      </c>
      <c r="D693" t="inlineStr">
        <is>
          <t>VÄSTMANLANDS LÄN</t>
        </is>
      </c>
      <c r="E693" t="inlineStr">
        <is>
          <t>SALA</t>
        </is>
      </c>
      <c r="G693" t="n">
        <v>7</v>
      </c>
      <c r="H693" t="n">
        <v>0</v>
      </c>
      <c r="I693" t="n">
        <v>0</v>
      </c>
      <c r="J693" t="n">
        <v>0</v>
      </c>
      <c r="K693" t="n">
        <v>0</v>
      </c>
      <c r="L693" t="n">
        <v>0</v>
      </c>
      <c r="M693" t="n">
        <v>0</v>
      </c>
      <c r="N693" t="n">
        <v>0</v>
      </c>
      <c r="O693" t="n">
        <v>0</v>
      </c>
      <c r="P693" t="n">
        <v>0</v>
      </c>
      <c r="Q693" t="n">
        <v>0</v>
      </c>
      <c r="R693" s="2" t="inlineStr"/>
    </row>
    <row r="694" ht="15" customHeight="1">
      <c r="A694" t="inlineStr">
        <is>
          <t>A 1196-2023</t>
        </is>
      </c>
      <c r="B694" s="1" t="n">
        <v>44935.82290509259</v>
      </c>
      <c r="C694" s="1" t="n">
        <v>46129</v>
      </c>
      <c r="D694" t="inlineStr">
        <is>
          <t>VÄSTMANLANDS LÄN</t>
        </is>
      </c>
      <c r="E694" t="inlineStr">
        <is>
          <t>SALA</t>
        </is>
      </c>
      <c r="G694" t="n">
        <v>4.1</v>
      </c>
      <c r="H694" t="n">
        <v>0</v>
      </c>
      <c r="I694" t="n">
        <v>0</v>
      </c>
      <c r="J694" t="n">
        <v>0</v>
      </c>
      <c r="K694" t="n">
        <v>0</v>
      </c>
      <c r="L694" t="n">
        <v>0</v>
      </c>
      <c r="M694" t="n">
        <v>0</v>
      </c>
      <c r="N694" t="n">
        <v>0</v>
      </c>
      <c r="O694" t="n">
        <v>0</v>
      </c>
      <c r="P694" t="n">
        <v>0</v>
      </c>
      <c r="Q694" t="n">
        <v>0</v>
      </c>
      <c r="R694" s="2" t="inlineStr"/>
    </row>
    <row r="695" ht="15" customHeight="1">
      <c r="A695" t="inlineStr">
        <is>
          <t>A 52503-2024</t>
        </is>
      </c>
      <c r="B695" s="1" t="n">
        <v>45609.58806712963</v>
      </c>
      <c r="C695" s="1" t="n">
        <v>46129</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7953-2024</t>
        </is>
      </c>
      <c r="B696" s="1" t="n">
        <v>45350</v>
      </c>
      <c r="C696" s="1" t="n">
        <v>46129</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30028-2024</t>
        </is>
      </c>
      <c r="B697" s="1" t="n">
        <v>45485</v>
      </c>
      <c r="C697" s="1" t="n">
        <v>46129</v>
      </c>
      <c r="D697" t="inlineStr">
        <is>
          <t>VÄSTMANLANDS LÄN</t>
        </is>
      </c>
      <c r="E697" t="inlineStr">
        <is>
          <t>SALA</t>
        </is>
      </c>
      <c r="G697" t="n">
        <v>2.6</v>
      </c>
      <c r="H697" t="n">
        <v>0</v>
      </c>
      <c r="I697" t="n">
        <v>0</v>
      </c>
      <c r="J697" t="n">
        <v>0</v>
      </c>
      <c r="K697" t="n">
        <v>0</v>
      </c>
      <c r="L697" t="n">
        <v>0</v>
      </c>
      <c r="M697" t="n">
        <v>0</v>
      </c>
      <c r="N697" t="n">
        <v>0</v>
      </c>
      <c r="O697" t="n">
        <v>0</v>
      </c>
      <c r="P697" t="n">
        <v>0</v>
      </c>
      <c r="Q697" t="n">
        <v>0</v>
      </c>
      <c r="R697" s="2" t="inlineStr"/>
    </row>
    <row r="698" ht="15" customHeight="1">
      <c r="A698" t="inlineStr">
        <is>
          <t>A 7950-2025</t>
        </is>
      </c>
      <c r="B698" s="1" t="n">
        <v>45707.41799768519</v>
      </c>
      <c r="C698" s="1" t="n">
        <v>46129</v>
      </c>
      <c r="D698" t="inlineStr">
        <is>
          <t>VÄSTMANLANDS LÄN</t>
        </is>
      </c>
      <c r="E698" t="inlineStr">
        <is>
          <t>SALA</t>
        </is>
      </c>
      <c r="G698" t="n">
        <v>3.2</v>
      </c>
      <c r="H698" t="n">
        <v>0</v>
      </c>
      <c r="I698" t="n">
        <v>0</v>
      </c>
      <c r="J698" t="n">
        <v>0</v>
      </c>
      <c r="K698" t="n">
        <v>0</v>
      </c>
      <c r="L698" t="n">
        <v>0</v>
      </c>
      <c r="M698" t="n">
        <v>0</v>
      </c>
      <c r="N698" t="n">
        <v>0</v>
      </c>
      <c r="O698" t="n">
        <v>0</v>
      </c>
      <c r="P698" t="n">
        <v>0</v>
      </c>
      <c r="Q698" t="n">
        <v>0</v>
      </c>
      <c r="R698" s="2" t="inlineStr"/>
    </row>
    <row r="699" ht="15" customHeight="1">
      <c r="A699" t="inlineStr">
        <is>
          <t>A 27657-2023</t>
        </is>
      </c>
      <c r="B699" s="1" t="n">
        <v>45097.76631944445</v>
      </c>
      <c r="C699" s="1" t="n">
        <v>46129</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46129</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33309-2022</t>
        </is>
      </c>
      <c r="B701" s="1" t="n">
        <v>44788.40986111111</v>
      </c>
      <c r="C701" s="1" t="n">
        <v>46129</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47909-2022</t>
        </is>
      </c>
      <c r="B702" s="1" t="n">
        <v>44855</v>
      </c>
      <c r="C702" s="1" t="n">
        <v>46129</v>
      </c>
      <c r="D702" t="inlineStr">
        <is>
          <t>VÄSTMANLANDS LÄN</t>
        </is>
      </c>
      <c r="E702" t="inlineStr">
        <is>
          <t>SALA</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15272-2025</t>
        </is>
      </c>
      <c r="B703" s="1" t="n">
        <v>45744</v>
      </c>
      <c r="C703" s="1" t="n">
        <v>46129</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11183-2023</t>
        </is>
      </c>
      <c r="B704" s="1" t="n">
        <v>44992.57782407408</v>
      </c>
      <c r="C704" s="1" t="n">
        <v>46129</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11190-2023</t>
        </is>
      </c>
      <c r="B705" s="1" t="n">
        <v>44992</v>
      </c>
      <c r="C705" s="1" t="n">
        <v>46129</v>
      </c>
      <c r="D705" t="inlineStr">
        <is>
          <t>VÄSTMANLANDS LÄN</t>
        </is>
      </c>
      <c r="E705" t="inlineStr">
        <is>
          <t>SALA</t>
        </is>
      </c>
      <c r="G705" t="n">
        <v>1</v>
      </c>
      <c r="H705" t="n">
        <v>0</v>
      </c>
      <c r="I705" t="n">
        <v>0</v>
      </c>
      <c r="J705" t="n">
        <v>0</v>
      </c>
      <c r="K705" t="n">
        <v>0</v>
      </c>
      <c r="L705" t="n">
        <v>0</v>
      </c>
      <c r="M705" t="n">
        <v>0</v>
      </c>
      <c r="N705" t="n">
        <v>0</v>
      </c>
      <c r="O705" t="n">
        <v>0</v>
      </c>
      <c r="P705" t="n">
        <v>0</v>
      </c>
      <c r="Q705" t="n">
        <v>0</v>
      </c>
      <c r="R705" s="2" t="inlineStr"/>
    </row>
    <row r="706" ht="15" customHeight="1">
      <c r="A706" t="inlineStr">
        <is>
          <t>A 53838-2022</t>
        </is>
      </c>
      <c r="B706" s="1" t="n">
        <v>44880.59363425926</v>
      </c>
      <c r="C706" s="1" t="n">
        <v>46129</v>
      </c>
      <c r="D706" t="inlineStr">
        <is>
          <t>VÄSTMANLANDS LÄN</t>
        </is>
      </c>
      <c r="E706" t="inlineStr">
        <is>
          <t>SALA</t>
        </is>
      </c>
      <c r="G706" t="n">
        <v>3.9</v>
      </c>
      <c r="H706" t="n">
        <v>0</v>
      </c>
      <c r="I706" t="n">
        <v>0</v>
      </c>
      <c r="J706" t="n">
        <v>0</v>
      </c>
      <c r="K706" t="n">
        <v>0</v>
      </c>
      <c r="L706" t="n">
        <v>0</v>
      </c>
      <c r="M706" t="n">
        <v>0</v>
      </c>
      <c r="N706" t="n">
        <v>0</v>
      </c>
      <c r="O706" t="n">
        <v>0</v>
      </c>
      <c r="P706" t="n">
        <v>0</v>
      </c>
      <c r="Q706" t="n">
        <v>0</v>
      </c>
      <c r="R706" s="2" t="inlineStr"/>
    </row>
    <row r="707" ht="15" customHeight="1">
      <c r="A707" t="inlineStr">
        <is>
          <t>A 53166-2024</t>
        </is>
      </c>
      <c r="B707" s="1" t="n">
        <v>45611</v>
      </c>
      <c r="C707" s="1" t="n">
        <v>46129</v>
      </c>
      <c r="D707" t="inlineStr">
        <is>
          <t>VÄSTMANLANDS LÄN</t>
        </is>
      </c>
      <c r="E707" t="inlineStr">
        <is>
          <t>SALA</t>
        </is>
      </c>
      <c r="G707" t="n">
        <v>1.5</v>
      </c>
      <c r="H707" t="n">
        <v>0</v>
      </c>
      <c r="I707" t="n">
        <v>0</v>
      </c>
      <c r="J707" t="n">
        <v>0</v>
      </c>
      <c r="K707" t="n">
        <v>0</v>
      </c>
      <c r="L707" t="n">
        <v>0</v>
      </c>
      <c r="M707" t="n">
        <v>0</v>
      </c>
      <c r="N707" t="n">
        <v>0</v>
      </c>
      <c r="O707" t="n">
        <v>0</v>
      </c>
      <c r="P707" t="n">
        <v>0</v>
      </c>
      <c r="Q707" t="n">
        <v>0</v>
      </c>
      <c r="R707" s="2" t="inlineStr"/>
    </row>
    <row r="708" ht="15" customHeight="1">
      <c r="A708" t="inlineStr">
        <is>
          <t>A 28827-2022</t>
        </is>
      </c>
      <c r="B708" s="1" t="n">
        <v>44749.45561342593</v>
      </c>
      <c r="C708" s="1" t="n">
        <v>46129</v>
      </c>
      <c r="D708" t="inlineStr">
        <is>
          <t>VÄSTMANLANDS LÄN</t>
        </is>
      </c>
      <c r="E708" t="inlineStr">
        <is>
          <t>SALA</t>
        </is>
      </c>
      <c r="F708" t="inlineStr">
        <is>
          <t>Kommuner</t>
        </is>
      </c>
      <c r="G708" t="n">
        <v>11.9</v>
      </c>
      <c r="H708" t="n">
        <v>0</v>
      </c>
      <c r="I708" t="n">
        <v>0</v>
      </c>
      <c r="J708" t="n">
        <v>0</v>
      </c>
      <c r="K708" t="n">
        <v>0</v>
      </c>
      <c r="L708" t="n">
        <v>0</v>
      </c>
      <c r="M708" t="n">
        <v>0</v>
      </c>
      <c r="N708" t="n">
        <v>0</v>
      </c>
      <c r="O708" t="n">
        <v>0</v>
      </c>
      <c r="P708" t="n">
        <v>0</v>
      </c>
      <c r="Q708" t="n">
        <v>0</v>
      </c>
      <c r="R708" s="2" t="inlineStr"/>
    </row>
    <row r="709" ht="15" customHeight="1">
      <c r="A709" t="inlineStr">
        <is>
          <t>A 17866-2025</t>
        </is>
      </c>
      <c r="B709" s="1" t="n">
        <v>45758</v>
      </c>
      <c r="C709" s="1" t="n">
        <v>46129</v>
      </c>
      <c r="D709" t="inlineStr">
        <is>
          <t>VÄSTMANLANDS LÄN</t>
        </is>
      </c>
      <c r="E709" t="inlineStr">
        <is>
          <t>SALA</t>
        </is>
      </c>
      <c r="F709" t="inlineStr">
        <is>
          <t>Bergvik skog öst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54836-2024</t>
        </is>
      </c>
      <c r="B710" s="1" t="n">
        <v>45618</v>
      </c>
      <c r="C710" s="1" t="n">
        <v>46129</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64729-2023</t>
        </is>
      </c>
      <c r="B711" s="1" t="n">
        <v>45281</v>
      </c>
      <c r="C711" s="1" t="n">
        <v>46129</v>
      </c>
      <c r="D711" t="inlineStr">
        <is>
          <t>VÄSTMANLANDS LÄN</t>
        </is>
      </c>
      <c r="E711" t="inlineStr">
        <is>
          <t>SALA</t>
        </is>
      </c>
      <c r="G711" t="n">
        <v>1.8</v>
      </c>
      <c r="H711" t="n">
        <v>0</v>
      </c>
      <c r="I711" t="n">
        <v>0</v>
      </c>
      <c r="J711" t="n">
        <v>0</v>
      </c>
      <c r="K711" t="n">
        <v>0</v>
      </c>
      <c r="L711" t="n">
        <v>0</v>
      </c>
      <c r="M711" t="n">
        <v>0</v>
      </c>
      <c r="N711" t="n">
        <v>0</v>
      </c>
      <c r="O711" t="n">
        <v>0</v>
      </c>
      <c r="P711" t="n">
        <v>0</v>
      </c>
      <c r="Q711" t="n">
        <v>0</v>
      </c>
      <c r="R711" s="2" t="inlineStr"/>
    </row>
    <row r="712" ht="15" customHeight="1">
      <c r="A712" t="inlineStr">
        <is>
          <t>A 10585-2022</t>
        </is>
      </c>
      <c r="B712" s="1" t="n">
        <v>44624</v>
      </c>
      <c r="C712" s="1" t="n">
        <v>46129</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46129</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31609-2024</t>
        </is>
      </c>
      <c r="B714" s="1" t="n">
        <v>45506</v>
      </c>
      <c r="C714" s="1" t="n">
        <v>46129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56057-2023</t>
        </is>
      </c>
      <c r="B715" s="1" t="n">
        <v>45233</v>
      </c>
      <c r="C715" s="1" t="n">
        <v>46129</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62635-2022</t>
        </is>
      </c>
      <c r="B716" s="1" t="n">
        <v>44917</v>
      </c>
      <c r="C716" s="1" t="n">
        <v>46129</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4852-2023</t>
        </is>
      </c>
      <c r="B717" s="1" t="n">
        <v>44957.72496527778</v>
      </c>
      <c r="C717" s="1" t="n">
        <v>46129</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39714-2023</t>
        </is>
      </c>
      <c r="B718" s="1" t="n">
        <v>45167.62133101852</v>
      </c>
      <c r="C718" s="1" t="n">
        <v>46129</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42984-2023</t>
        </is>
      </c>
      <c r="B719" s="1" t="n">
        <v>45179</v>
      </c>
      <c r="C719" s="1" t="n">
        <v>46129</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56535-2022</t>
        </is>
      </c>
      <c r="B720" s="1" t="n">
        <v>44893.47173611111</v>
      </c>
      <c r="C720" s="1" t="n">
        <v>46129</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60550-2024</t>
        </is>
      </c>
      <c r="B721" s="1" t="n">
        <v>45643</v>
      </c>
      <c r="C721" s="1" t="n">
        <v>46129</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13746-2025</t>
        </is>
      </c>
      <c r="B722" s="1" t="n">
        <v>45737.40944444444</v>
      </c>
      <c r="C722" s="1" t="n">
        <v>46129</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29230-2022</t>
        </is>
      </c>
      <c r="B723" s="1" t="n">
        <v>44750</v>
      </c>
      <c r="C723" s="1" t="n">
        <v>46129</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59175-2022</t>
        </is>
      </c>
      <c r="B724" s="1" t="n">
        <v>44904.48502314815</v>
      </c>
      <c r="C724" s="1" t="n">
        <v>46129</v>
      </c>
      <c r="D724" t="inlineStr">
        <is>
          <t>VÄSTMANLANDS LÄN</t>
        </is>
      </c>
      <c r="E724" t="inlineStr">
        <is>
          <t>SALA</t>
        </is>
      </c>
      <c r="G724" t="n">
        <v>2.1</v>
      </c>
      <c r="H724" t="n">
        <v>0</v>
      </c>
      <c r="I724" t="n">
        <v>0</v>
      </c>
      <c r="J724" t="n">
        <v>0</v>
      </c>
      <c r="K724" t="n">
        <v>0</v>
      </c>
      <c r="L724" t="n">
        <v>0</v>
      </c>
      <c r="M724" t="n">
        <v>0</v>
      </c>
      <c r="N724" t="n">
        <v>0</v>
      </c>
      <c r="O724" t="n">
        <v>0</v>
      </c>
      <c r="P724" t="n">
        <v>0</v>
      </c>
      <c r="Q724" t="n">
        <v>0</v>
      </c>
      <c r="R724" s="2" t="inlineStr"/>
    </row>
    <row r="725" ht="15" customHeight="1">
      <c r="A725" t="inlineStr">
        <is>
          <t>A 19381-2025</t>
        </is>
      </c>
      <c r="B725" s="1" t="n">
        <v>45769</v>
      </c>
      <c r="C725" s="1" t="n">
        <v>46129</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42938-2023</t>
        </is>
      </c>
      <c r="B726" s="1" t="n">
        <v>45179</v>
      </c>
      <c r="C726" s="1" t="n">
        <v>46129</v>
      </c>
      <c r="D726" t="inlineStr">
        <is>
          <t>VÄSTMANLANDS LÄN</t>
        </is>
      </c>
      <c r="E726" t="inlineStr">
        <is>
          <t>SALA</t>
        </is>
      </c>
      <c r="G726" t="n">
        <v>10.9</v>
      </c>
      <c r="H726" t="n">
        <v>0</v>
      </c>
      <c r="I726" t="n">
        <v>0</v>
      </c>
      <c r="J726" t="n">
        <v>0</v>
      </c>
      <c r="K726" t="n">
        <v>0</v>
      </c>
      <c r="L726" t="n">
        <v>0</v>
      </c>
      <c r="M726" t="n">
        <v>0</v>
      </c>
      <c r="N726" t="n">
        <v>0</v>
      </c>
      <c r="O726" t="n">
        <v>0</v>
      </c>
      <c r="P726" t="n">
        <v>0</v>
      </c>
      <c r="Q726" t="n">
        <v>0</v>
      </c>
      <c r="R726" s="2" t="inlineStr"/>
    </row>
    <row r="727" ht="15" customHeight="1">
      <c r="A727" t="inlineStr">
        <is>
          <t>A 19222-2025</t>
        </is>
      </c>
      <c r="B727" s="1" t="n">
        <v>45769</v>
      </c>
      <c r="C727" s="1" t="n">
        <v>46129</v>
      </c>
      <c r="D727" t="inlineStr">
        <is>
          <t>VÄSTMANLANDS LÄN</t>
        </is>
      </c>
      <c r="E727" t="inlineStr">
        <is>
          <t>SALA</t>
        </is>
      </c>
      <c r="G727" t="n">
        <v>1.8</v>
      </c>
      <c r="H727" t="n">
        <v>0</v>
      </c>
      <c r="I727" t="n">
        <v>0</v>
      </c>
      <c r="J727" t="n">
        <v>0</v>
      </c>
      <c r="K727" t="n">
        <v>0</v>
      </c>
      <c r="L727" t="n">
        <v>0</v>
      </c>
      <c r="M727" t="n">
        <v>0</v>
      </c>
      <c r="N727" t="n">
        <v>0</v>
      </c>
      <c r="O727" t="n">
        <v>0</v>
      </c>
      <c r="P727" t="n">
        <v>0</v>
      </c>
      <c r="Q727" t="n">
        <v>0</v>
      </c>
      <c r="R727" s="2" t="inlineStr"/>
    </row>
    <row r="728" ht="15" customHeight="1">
      <c r="A728" t="inlineStr">
        <is>
          <t>A 19241-2025</t>
        </is>
      </c>
      <c r="B728" s="1" t="n">
        <v>45769</v>
      </c>
      <c r="C728" s="1" t="n">
        <v>46129</v>
      </c>
      <c r="D728" t="inlineStr">
        <is>
          <t>VÄSTMANLANDS LÄN</t>
        </is>
      </c>
      <c r="E728" t="inlineStr">
        <is>
          <t>SALA</t>
        </is>
      </c>
      <c r="G728" t="n">
        <v>3.6</v>
      </c>
      <c r="H728" t="n">
        <v>0</v>
      </c>
      <c r="I728" t="n">
        <v>0</v>
      </c>
      <c r="J728" t="n">
        <v>0</v>
      </c>
      <c r="K728" t="n">
        <v>0</v>
      </c>
      <c r="L728" t="n">
        <v>0</v>
      </c>
      <c r="M728" t="n">
        <v>0</v>
      </c>
      <c r="N728" t="n">
        <v>0</v>
      </c>
      <c r="O728" t="n">
        <v>0</v>
      </c>
      <c r="P728" t="n">
        <v>0</v>
      </c>
      <c r="Q728" t="n">
        <v>0</v>
      </c>
      <c r="R728" s="2" t="inlineStr"/>
    </row>
    <row r="729" ht="15" customHeight="1">
      <c r="A729" t="inlineStr">
        <is>
          <t>A 60823-2024</t>
        </is>
      </c>
      <c r="B729" s="1" t="n">
        <v>45644</v>
      </c>
      <c r="C729" s="1" t="n">
        <v>46129</v>
      </c>
      <c r="D729" t="inlineStr">
        <is>
          <t>VÄSTMANLANDS LÄN</t>
        </is>
      </c>
      <c r="E729" t="inlineStr">
        <is>
          <t>SALA</t>
        </is>
      </c>
      <c r="G729" t="n">
        <v>0.6</v>
      </c>
      <c r="H729" t="n">
        <v>0</v>
      </c>
      <c r="I729" t="n">
        <v>0</v>
      </c>
      <c r="J729" t="n">
        <v>0</v>
      </c>
      <c r="K729" t="n">
        <v>0</v>
      </c>
      <c r="L729" t="n">
        <v>0</v>
      </c>
      <c r="M729" t="n">
        <v>0</v>
      </c>
      <c r="N729" t="n">
        <v>0</v>
      </c>
      <c r="O729" t="n">
        <v>0</v>
      </c>
      <c r="P729" t="n">
        <v>0</v>
      </c>
      <c r="Q729" t="n">
        <v>0</v>
      </c>
      <c r="R729" s="2" t="inlineStr"/>
    </row>
    <row r="730" ht="15" customHeight="1">
      <c r="A730" t="inlineStr">
        <is>
          <t>A 61681-2024</t>
        </is>
      </c>
      <c r="B730" s="1" t="n">
        <v>45647</v>
      </c>
      <c r="C730" s="1" t="n">
        <v>46129</v>
      </c>
      <c r="D730" t="inlineStr">
        <is>
          <t>VÄSTMANLANDS LÄN</t>
        </is>
      </c>
      <c r="E730" t="inlineStr">
        <is>
          <t>SALA</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49661-2024</t>
        </is>
      </c>
      <c r="B731" s="1" t="n">
        <v>45596</v>
      </c>
      <c r="C731" s="1" t="n">
        <v>46129</v>
      </c>
      <c r="D731" t="inlineStr">
        <is>
          <t>VÄSTMANLANDS LÄN</t>
        </is>
      </c>
      <c r="E731" t="inlineStr">
        <is>
          <t>SALA</t>
        </is>
      </c>
      <c r="G731" t="n">
        <v>6.7</v>
      </c>
      <c r="H731" t="n">
        <v>0</v>
      </c>
      <c r="I731" t="n">
        <v>0</v>
      </c>
      <c r="J731" t="n">
        <v>0</v>
      </c>
      <c r="K731" t="n">
        <v>0</v>
      </c>
      <c r="L731" t="n">
        <v>0</v>
      </c>
      <c r="M731" t="n">
        <v>0</v>
      </c>
      <c r="N731" t="n">
        <v>0</v>
      </c>
      <c r="O731" t="n">
        <v>0</v>
      </c>
      <c r="P731" t="n">
        <v>0</v>
      </c>
      <c r="Q731" t="n">
        <v>0</v>
      </c>
      <c r="R731" s="2" t="inlineStr"/>
    </row>
    <row r="732" ht="15" customHeight="1">
      <c r="A732" t="inlineStr">
        <is>
          <t>A 59297-2023</t>
        </is>
      </c>
      <c r="B732" s="1" t="n">
        <v>45253</v>
      </c>
      <c r="C732" s="1" t="n">
        <v>46129</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15965-2024</t>
        </is>
      </c>
      <c r="B733" s="1" t="n">
        <v>45405.55740740741</v>
      </c>
      <c r="C733" s="1" t="n">
        <v>46129</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23180-2022</t>
        </is>
      </c>
      <c r="B734" s="1" t="n">
        <v>44719.79344907407</v>
      </c>
      <c r="C734" s="1" t="n">
        <v>46129</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21455-2023</t>
        </is>
      </c>
      <c r="B735" s="1" t="n">
        <v>45058</v>
      </c>
      <c r="C735" s="1" t="n">
        <v>46129</v>
      </c>
      <c r="D735" t="inlineStr">
        <is>
          <t>VÄSTMANLANDS LÄN</t>
        </is>
      </c>
      <c r="E735" t="inlineStr">
        <is>
          <t>SALA</t>
        </is>
      </c>
      <c r="G735" t="n">
        <v>6.4</v>
      </c>
      <c r="H735" t="n">
        <v>0</v>
      </c>
      <c r="I735" t="n">
        <v>0</v>
      </c>
      <c r="J735" t="n">
        <v>0</v>
      </c>
      <c r="K735" t="n">
        <v>0</v>
      </c>
      <c r="L735" t="n">
        <v>0</v>
      </c>
      <c r="M735" t="n">
        <v>0</v>
      </c>
      <c r="N735" t="n">
        <v>0</v>
      </c>
      <c r="O735" t="n">
        <v>0</v>
      </c>
      <c r="P735" t="n">
        <v>0</v>
      </c>
      <c r="Q735" t="n">
        <v>0</v>
      </c>
      <c r="R735" s="2" t="inlineStr"/>
    </row>
    <row r="736" ht="15" customHeight="1">
      <c r="A736" t="inlineStr">
        <is>
          <t>A 21053-2022</t>
        </is>
      </c>
      <c r="B736" s="1" t="n">
        <v>44704</v>
      </c>
      <c r="C736" s="1" t="n">
        <v>46129</v>
      </c>
      <c r="D736" t="inlineStr">
        <is>
          <t>VÄSTMANLANDS LÄN</t>
        </is>
      </c>
      <c r="E736" t="inlineStr">
        <is>
          <t>SALA</t>
        </is>
      </c>
      <c r="G736" t="n">
        <v>2</v>
      </c>
      <c r="H736" t="n">
        <v>0</v>
      </c>
      <c r="I736" t="n">
        <v>0</v>
      </c>
      <c r="J736" t="n">
        <v>0</v>
      </c>
      <c r="K736" t="n">
        <v>0</v>
      </c>
      <c r="L736" t="n">
        <v>0</v>
      </c>
      <c r="M736" t="n">
        <v>0</v>
      </c>
      <c r="N736" t="n">
        <v>0</v>
      </c>
      <c r="O736" t="n">
        <v>0</v>
      </c>
      <c r="P736" t="n">
        <v>0</v>
      </c>
      <c r="Q736" t="n">
        <v>0</v>
      </c>
      <c r="R736" s="2" t="inlineStr"/>
    </row>
    <row r="737" ht="15" customHeight="1">
      <c r="A737" t="inlineStr">
        <is>
          <t>A 11927-2025</t>
        </is>
      </c>
      <c r="B737" s="1" t="n">
        <v>45728.5137962963</v>
      </c>
      <c r="C737" s="1" t="n">
        <v>46129</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50876-2023</t>
        </is>
      </c>
      <c r="B738" s="1" t="n">
        <v>45211</v>
      </c>
      <c r="C738" s="1" t="n">
        <v>46129</v>
      </c>
      <c r="D738" t="inlineStr">
        <is>
          <t>VÄSTMANLANDS LÄN</t>
        </is>
      </c>
      <c r="E738" t="inlineStr">
        <is>
          <t>SALA</t>
        </is>
      </c>
      <c r="G738" t="n">
        <v>1.9</v>
      </c>
      <c r="H738" t="n">
        <v>0</v>
      </c>
      <c r="I738" t="n">
        <v>0</v>
      </c>
      <c r="J738" t="n">
        <v>0</v>
      </c>
      <c r="K738" t="n">
        <v>0</v>
      </c>
      <c r="L738" t="n">
        <v>0</v>
      </c>
      <c r="M738" t="n">
        <v>0</v>
      </c>
      <c r="N738" t="n">
        <v>0</v>
      </c>
      <c r="O738" t="n">
        <v>0</v>
      </c>
      <c r="P738" t="n">
        <v>0</v>
      </c>
      <c r="Q738" t="n">
        <v>0</v>
      </c>
      <c r="R738" s="2" t="inlineStr"/>
    </row>
    <row r="739" ht="15" customHeight="1">
      <c r="A739" t="inlineStr">
        <is>
          <t>A 10255-2024</t>
        </is>
      </c>
      <c r="B739" s="1" t="n">
        <v>45365</v>
      </c>
      <c r="C739" s="1" t="n">
        <v>46129</v>
      </c>
      <c r="D739" t="inlineStr">
        <is>
          <t>VÄSTMANLANDS LÄN</t>
        </is>
      </c>
      <c r="E739" t="inlineStr">
        <is>
          <t>SALA</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62648-2022</t>
        </is>
      </c>
      <c r="B740" s="1" t="n">
        <v>44917</v>
      </c>
      <c r="C740" s="1" t="n">
        <v>46129</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56548-2024</t>
        </is>
      </c>
      <c r="B741" s="1" t="n">
        <v>45625</v>
      </c>
      <c r="C741" s="1" t="n">
        <v>46129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5477-2024</t>
        </is>
      </c>
      <c r="B742" s="1" t="n">
        <v>45333.67833333334</v>
      </c>
      <c r="C742" s="1" t="n">
        <v>46129</v>
      </c>
      <c r="D742" t="inlineStr">
        <is>
          <t>VÄSTMANLANDS LÄN</t>
        </is>
      </c>
      <c r="E742" t="inlineStr">
        <is>
          <t>SALA</t>
        </is>
      </c>
      <c r="G742" t="n">
        <v>2.3</v>
      </c>
      <c r="H742" t="n">
        <v>0</v>
      </c>
      <c r="I742" t="n">
        <v>0</v>
      </c>
      <c r="J742" t="n">
        <v>0</v>
      </c>
      <c r="K742" t="n">
        <v>0</v>
      </c>
      <c r="L742" t="n">
        <v>0</v>
      </c>
      <c r="M742" t="n">
        <v>0</v>
      </c>
      <c r="N742" t="n">
        <v>0</v>
      </c>
      <c r="O742" t="n">
        <v>0</v>
      </c>
      <c r="P742" t="n">
        <v>0</v>
      </c>
      <c r="Q742" t="n">
        <v>0</v>
      </c>
      <c r="R742" s="2" t="inlineStr"/>
    </row>
    <row r="743" ht="15" customHeight="1">
      <c r="A743" t="inlineStr">
        <is>
          <t>A 39451-2022</t>
        </is>
      </c>
      <c r="B743" s="1" t="n">
        <v>44818.36606481481</v>
      </c>
      <c r="C743" s="1" t="n">
        <v>46129</v>
      </c>
      <c r="D743" t="inlineStr">
        <is>
          <t>VÄSTMANLANDS LÄN</t>
        </is>
      </c>
      <c r="E743" t="inlineStr">
        <is>
          <t>SALA</t>
        </is>
      </c>
      <c r="G743" t="n">
        <v>9.4</v>
      </c>
      <c r="H743" t="n">
        <v>0</v>
      </c>
      <c r="I743" t="n">
        <v>0</v>
      </c>
      <c r="J743" t="n">
        <v>0</v>
      </c>
      <c r="K743" t="n">
        <v>0</v>
      </c>
      <c r="L743" t="n">
        <v>0</v>
      </c>
      <c r="M743" t="n">
        <v>0</v>
      </c>
      <c r="N743" t="n">
        <v>0</v>
      </c>
      <c r="O743" t="n">
        <v>0</v>
      </c>
      <c r="P743" t="n">
        <v>0</v>
      </c>
      <c r="Q743" t="n">
        <v>0</v>
      </c>
      <c r="R743" s="2" t="inlineStr"/>
    </row>
    <row r="744" ht="15" customHeight="1">
      <c r="A744" t="inlineStr">
        <is>
          <t>A 7772-2023</t>
        </is>
      </c>
      <c r="B744" s="1" t="n">
        <v>44973.40076388889</v>
      </c>
      <c r="C744" s="1" t="n">
        <v>46129</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19751-2022</t>
        </is>
      </c>
      <c r="B745" s="1" t="n">
        <v>44694</v>
      </c>
      <c r="C745" s="1" t="n">
        <v>46129</v>
      </c>
      <c r="D745" t="inlineStr">
        <is>
          <t>VÄSTMANLANDS LÄN</t>
        </is>
      </c>
      <c r="E745" t="inlineStr">
        <is>
          <t>SALA</t>
        </is>
      </c>
      <c r="G745" t="n">
        <v>2.7</v>
      </c>
      <c r="H745" t="n">
        <v>0</v>
      </c>
      <c r="I745" t="n">
        <v>0</v>
      </c>
      <c r="J745" t="n">
        <v>0</v>
      </c>
      <c r="K745" t="n">
        <v>0</v>
      </c>
      <c r="L745" t="n">
        <v>0</v>
      </c>
      <c r="M745" t="n">
        <v>0</v>
      </c>
      <c r="N745" t="n">
        <v>0</v>
      </c>
      <c r="O745" t="n">
        <v>0</v>
      </c>
      <c r="P745" t="n">
        <v>0</v>
      </c>
      <c r="Q745" t="n">
        <v>0</v>
      </c>
      <c r="R745" s="2" t="inlineStr"/>
    </row>
    <row r="746" ht="15" customHeight="1">
      <c r="A746" t="inlineStr">
        <is>
          <t>A 44713-2023</t>
        </is>
      </c>
      <c r="B746" s="1" t="n">
        <v>45184</v>
      </c>
      <c r="C746" s="1" t="n">
        <v>46129</v>
      </c>
      <c r="D746" t="inlineStr">
        <is>
          <t>VÄSTMANLANDS LÄN</t>
        </is>
      </c>
      <c r="E746" t="inlineStr">
        <is>
          <t>SALA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18713-2025</t>
        </is>
      </c>
      <c r="B747" s="1" t="n">
        <v>45763</v>
      </c>
      <c r="C747" s="1" t="n">
        <v>46129</v>
      </c>
      <c r="D747" t="inlineStr">
        <is>
          <t>VÄSTMANLANDS LÄN</t>
        </is>
      </c>
      <c r="E747" t="inlineStr">
        <is>
          <t>SALA</t>
        </is>
      </c>
      <c r="F747" t="inlineStr">
        <is>
          <t>Bergvik skog öst AB</t>
        </is>
      </c>
      <c r="G747" t="n">
        <v>11.6</v>
      </c>
      <c r="H747" t="n">
        <v>0</v>
      </c>
      <c r="I747" t="n">
        <v>0</v>
      </c>
      <c r="J747" t="n">
        <v>0</v>
      </c>
      <c r="K747" t="n">
        <v>0</v>
      </c>
      <c r="L747" t="n">
        <v>0</v>
      </c>
      <c r="M747" t="n">
        <v>0</v>
      </c>
      <c r="N747" t="n">
        <v>0</v>
      </c>
      <c r="O747" t="n">
        <v>0</v>
      </c>
      <c r="P747" t="n">
        <v>0</v>
      </c>
      <c r="Q747" t="n">
        <v>0</v>
      </c>
      <c r="R747" s="2" t="inlineStr"/>
    </row>
    <row r="748" ht="15" customHeight="1">
      <c r="A748" t="inlineStr">
        <is>
          <t>A 47479-2024</t>
        </is>
      </c>
      <c r="B748" s="1" t="n">
        <v>45587</v>
      </c>
      <c r="C748" s="1" t="n">
        <v>46129</v>
      </c>
      <c r="D748" t="inlineStr">
        <is>
          <t>VÄSTMANLANDS LÄN</t>
        </is>
      </c>
      <c r="E748" t="inlineStr">
        <is>
          <t>SALA</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69236-2021</t>
        </is>
      </c>
      <c r="B749" s="1" t="n">
        <v>44531.4047337963</v>
      </c>
      <c r="C749" s="1" t="n">
        <v>46129</v>
      </c>
      <c r="D749" t="inlineStr">
        <is>
          <t>VÄSTMANLANDS LÄN</t>
        </is>
      </c>
      <c r="E749" t="inlineStr">
        <is>
          <t>SALA</t>
        </is>
      </c>
      <c r="G749" t="n">
        <v>2.8</v>
      </c>
      <c r="H749" t="n">
        <v>0</v>
      </c>
      <c r="I749" t="n">
        <v>0</v>
      </c>
      <c r="J749" t="n">
        <v>0</v>
      </c>
      <c r="K749" t="n">
        <v>0</v>
      </c>
      <c r="L749" t="n">
        <v>0</v>
      </c>
      <c r="M749" t="n">
        <v>0</v>
      </c>
      <c r="N749" t="n">
        <v>0</v>
      </c>
      <c r="O749" t="n">
        <v>0</v>
      </c>
      <c r="P749" t="n">
        <v>0</v>
      </c>
      <c r="Q749" t="n">
        <v>0</v>
      </c>
      <c r="R749" s="2" t="inlineStr"/>
    </row>
    <row r="750" ht="15" customHeight="1">
      <c r="A750" t="inlineStr">
        <is>
          <t>A 25541-2024</t>
        </is>
      </c>
      <c r="B750" s="1" t="n">
        <v>45463.56337962963</v>
      </c>
      <c r="C750" s="1" t="n">
        <v>46129</v>
      </c>
      <c r="D750" t="inlineStr">
        <is>
          <t>VÄSTMANLANDS LÄN</t>
        </is>
      </c>
      <c r="E750" t="inlineStr">
        <is>
          <t>SALA</t>
        </is>
      </c>
      <c r="G750" t="n">
        <v>0.5</v>
      </c>
      <c r="H750" t="n">
        <v>0</v>
      </c>
      <c r="I750" t="n">
        <v>0</v>
      </c>
      <c r="J750" t="n">
        <v>0</v>
      </c>
      <c r="K750" t="n">
        <v>0</v>
      </c>
      <c r="L750" t="n">
        <v>0</v>
      </c>
      <c r="M750" t="n">
        <v>0</v>
      </c>
      <c r="N750" t="n">
        <v>0</v>
      </c>
      <c r="O750" t="n">
        <v>0</v>
      </c>
      <c r="P750" t="n">
        <v>0</v>
      </c>
      <c r="Q750" t="n">
        <v>0</v>
      </c>
      <c r="R750" s="2" t="inlineStr"/>
    </row>
    <row r="751" ht="15" customHeight="1">
      <c r="A751" t="inlineStr">
        <is>
          <t>A 5728-2022</t>
        </is>
      </c>
      <c r="B751" s="1" t="n">
        <v>44596.42082175926</v>
      </c>
      <c r="C751" s="1" t="n">
        <v>46129</v>
      </c>
      <c r="D751" t="inlineStr">
        <is>
          <t>VÄSTMANLANDS LÄN</t>
        </is>
      </c>
      <c r="E751" t="inlineStr">
        <is>
          <t>SALA</t>
        </is>
      </c>
      <c r="G751" t="n">
        <v>1.7</v>
      </c>
      <c r="H751" t="n">
        <v>0</v>
      </c>
      <c r="I751" t="n">
        <v>0</v>
      </c>
      <c r="J751" t="n">
        <v>0</v>
      </c>
      <c r="K751" t="n">
        <v>0</v>
      </c>
      <c r="L751" t="n">
        <v>0</v>
      </c>
      <c r="M751" t="n">
        <v>0</v>
      </c>
      <c r="N751" t="n">
        <v>0</v>
      </c>
      <c r="O751" t="n">
        <v>0</v>
      </c>
      <c r="P751" t="n">
        <v>0</v>
      </c>
      <c r="Q751" t="n">
        <v>0</v>
      </c>
      <c r="R751" s="2" t="inlineStr"/>
    </row>
    <row r="752" ht="15" customHeight="1">
      <c r="A752" t="inlineStr">
        <is>
          <t>A 10250-2025</t>
        </is>
      </c>
      <c r="B752" s="1" t="n">
        <v>45720.36165509259</v>
      </c>
      <c r="C752" s="1" t="n">
        <v>46129</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49512-2024</t>
        </is>
      </c>
      <c r="B753" s="1" t="n">
        <v>45591</v>
      </c>
      <c r="C753" s="1" t="n">
        <v>46129</v>
      </c>
      <c r="D753" t="inlineStr">
        <is>
          <t>VÄSTMANLANDS LÄN</t>
        </is>
      </c>
      <c r="E753" t="inlineStr">
        <is>
          <t>SALA</t>
        </is>
      </c>
      <c r="G753" t="n">
        <v>8.1</v>
      </c>
      <c r="H753" t="n">
        <v>0</v>
      </c>
      <c r="I753" t="n">
        <v>0</v>
      </c>
      <c r="J753" t="n">
        <v>0</v>
      </c>
      <c r="K753" t="n">
        <v>0</v>
      </c>
      <c r="L753" t="n">
        <v>0</v>
      </c>
      <c r="M753" t="n">
        <v>0</v>
      </c>
      <c r="N753" t="n">
        <v>0</v>
      </c>
      <c r="O753" t="n">
        <v>0</v>
      </c>
      <c r="P753" t="n">
        <v>0</v>
      </c>
      <c r="Q753" t="n">
        <v>0</v>
      </c>
      <c r="R753" s="2" t="inlineStr"/>
    </row>
    <row r="754" ht="15" customHeight="1">
      <c r="A754" t="inlineStr">
        <is>
          <t>A 42416-2022</t>
        </is>
      </c>
      <c r="B754" s="1" t="n">
        <v>44831</v>
      </c>
      <c r="C754" s="1" t="n">
        <v>46129</v>
      </c>
      <c r="D754" t="inlineStr">
        <is>
          <t>VÄSTMANLANDS LÄN</t>
        </is>
      </c>
      <c r="E754" t="inlineStr">
        <is>
          <t>SALA</t>
        </is>
      </c>
      <c r="G754" t="n">
        <v>2.2</v>
      </c>
      <c r="H754" t="n">
        <v>0</v>
      </c>
      <c r="I754" t="n">
        <v>0</v>
      </c>
      <c r="J754" t="n">
        <v>0</v>
      </c>
      <c r="K754" t="n">
        <v>0</v>
      </c>
      <c r="L754" t="n">
        <v>0</v>
      </c>
      <c r="M754" t="n">
        <v>0</v>
      </c>
      <c r="N754" t="n">
        <v>0</v>
      </c>
      <c r="O754" t="n">
        <v>0</v>
      </c>
      <c r="P754" t="n">
        <v>0</v>
      </c>
      <c r="Q754" t="n">
        <v>0</v>
      </c>
      <c r="R754" s="2" t="inlineStr"/>
    </row>
    <row r="755" ht="15" customHeight="1">
      <c r="A755" t="inlineStr">
        <is>
          <t>A 6135-2023</t>
        </is>
      </c>
      <c r="B755" s="1" t="n">
        <v>44964.62628472222</v>
      </c>
      <c r="C755" s="1" t="n">
        <v>46129</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16693-2023</t>
        </is>
      </c>
      <c r="B756" s="1" t="n">
        <v>45028</v>
      </c>
      <c r="C756" s="1" t="n">
        <v>46129</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8285-2025</t>
        </is>
      </c>
      <c r="B757" s="1" t="n">
        <v>45708</v>
      </c>
      <c r="C757" s="1" t="n">
        <v>46129</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18340-2025</t>
        </is>
      </c>
      <c r="B758" s="1" t="n">
        <v>45762</v>
      </c>
      <c r="C758" s="1" t="n">
        <v>46129</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56706-2022</t>
        </is>
      </c>
      <c r="B759" s="1" t="n">
        <v>44893.78893518518</v>
      </c>
      <c r="C759" s="1" t="n">
        <v>46129</v>
      </c>
      <c r="D759" t="inlineStr">
        <is>
          <t>VÄSTMANLANDS LÄN</t>
        </is>
      </c>
      <c r="E759" t="inlineStr">
        <is>
          <t>SALA</t>
        </is>
      </c>
      <c r="G759" t="n">
        <v>4.5</v>
      </c>
      <c r="H759" t="n">
        <v>0</v>
      </c>
      <c r="I759" t="n">
        <v>0</v>
      </c>
      <c r="J759" t="n">
        <v>0</v>
      </c>
      <c r="K759" t="n">
        <v>0</v>
      </c>
      <c r="L759" t="n">
        <v>0</v>
      </c>
      <c r="M759" t="n">
        <v>0</v>
      </c>
      <c r="N759" t="n">
        <v>0</v>
      </c>
      <c r="O759" t="n">
        <v>0</v>
      </c>
      <c r="P759" t="n">
        <v>0</v>
      </c>
      <c r="Q759" t="n">
        <v>0</v>
      </c>
      <c r="R759" s="2" t="inlineStr"/>
    </row>
    <row r="760" ht="15" customHeight="1">
      <c r="A760" t="inlineStr">
        <is>
          <t>A 56707-2022</t>
        </is>
      </c>
      <c r="B760" s="1" t="n">
        <v>44893.79412037037</v>
      </c>
      <c r="C760" s="1" t="n">
        <v>46129</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48571-2024</t>
        </is>
      </c>
      <c r="B761" s="1" t="n">
        <v>45591</v>
      </c>
      <c r="C761" s="1" t="n">
        <v>46129</v>
      </c>
      <c r="D761" t="inlineStr">
        <is>
          <t>VÄSTMANLANDS LÄN</t>
        </is>
      </c>
      <c r="E761" t="inlineStr">
        <is>
          <t>SALA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13188-2025</t>
        </is>
      </c>
      <c r="B762" s="1" t="n">
        <v>45735.39246527778</v>
      </c>
      <c r="C762" s="1" t="n">
        <v>46129</v>
      </c>
      <c r="D762" t="inlineStr">
        <is>
          <t>VÄSTMANLANDS LÄN</t>
        </is>
      </c>
      <c r="E762" t="inlineStr">
        <is>
          <t>SALA</t>
        </is>
      </c>
      <c r="F762" t="inlineStr">
        <is>
          <t>Naturvårdsverket</t>
        </is>
      </c>
      <c r="G762" t="n">
        <v>18.4</v>
      </c>
      <c r="H762" t="n">
        <v>0</v>
      </c>
      <c r="I762" t="n">
        <v>0</v>
      </c>
      <c r="J762" t="n">
        <v>0</v>
      </c>
      <c r="K762" t="n">
        <v>0</v>
      </c>
      <c r="L762" t="n">
        <v>0</v>
      </c>
      <c r="M762" t="n">
        <v>0</v>
      </c>
      <c r="N762" t="n">
        <v>0</v>
      </c>
      <c r="O762" t="n">
        <v>0</v>
      </c>
      <c r="P762" t="n">
        <v>0</v>
      </c>
      <c r="Q762" t="n">
        <v>0</v>
      </c>
      <c r="R762" s="2" t="inlineStr"/>
    </row>
    <row r="763" ht="15" customHeight="1">
      <c r="A763" t="inlineStr">
        <is>
          <t>A 23431-2024</t>
        </is>
      </c>
      <c r="B763" s="1" t="n">
        <v>45453</v>
      </c>
      <c r="C763" s="1" t="n">
        <v>46129</v>
      </c>
      <c r="D763" t="inlineStr">
        <is>
          <t>VÄSTMANLANDS LÄN</t>
        </is>
      </c>
      <c r="E763" t="inlineStr">
        <is>
          <t>SALA</t>
        </is>
      </c>
      <c r="G763" t="n">
        <v>1.6</v>
      </c>
      <c r="H763" t="n">
        <v>0</v>
      </c>
      <c r="I763" t="n">
        <v>0</v>
      </c>
      <c r="J763" t="n">
        <v>0</v>
      </c>
      <c r="K763" t="n">
        <v>0</v>
      </c>
      <c r="L763" t="n">
        <v>0</v>
      </c>
      <c r="M763" t="n">
        <v>0</v>
      </c>
      <c r="N763" t="n">
        <v>0</v>
      </c>
      <c r="O763" t="n">
        <v>0</v>
      </c>
      <c r="P763" t="n">
        <v>0</v>
      </c>
      <c r="Q763" t="n">
        <v>0</v>
      </c>
      <c r="R763" s="2" t="inlineStr"/>
    </row>
    <row r="764" ht="15" customHeight="1">
      <c r="A764" t="inlineStr">
        <is>
          <t>A 21168-2025</t>
        </is>
      </c>
      <c r="B764" s="1" t="n">
        <v>45777</v>
      </c>
      <c r="C764" s="1" t="n">
        <v>46129</v>
      </c>
      <c r="D764" t="inlineStr">
        <is>
          <t>VÄSTMANLANDS LÄN</t>
        </is>
      </c>
      <c r="E764" t="inlineStr">
        <is>
          <t>SALA</t>
        </is>
      </c>
      <c r="G764" t="n">
        <v>4.5</v>
      </c>
      <c r="H764" t="n">
        <v>0</v>
      </c>
      <c r="I764" t="n">
        <v>0</v>
      </c>
      <c r="J764" t="n">
        <v>0</v>
      </c>
      <c r="K764" t="n">
        <v>0</v>
      </c>
      <c r="L764" t="n">
        <v>0</v>
      </c>
      <c r="M764" t="n">
        <v>0</v>
      </c>
      <c r="N764" t="n">
        <v>0</v>
      </c>
      <c r="O764" t="n">
        <v>0</v>
      </c>
      <c r="P764" t="n">
        <v>0</v>
      </c>
      <c r="Q764" t="n">
        <v>0</v>
      </c>
      <c r="R764" s="2" t="inlineStr"/>
    </row>
    <row r="765" ht="15" customHeight="1">
      <c r="A765" t="inlineStr">
        <is>
          <t>A 21754-2025</t>
        </is>
      </c>
      <c r="B765" s="1" t="n">
        <v>45783.61837962963</v>
      </c>
      <c r="C765" s="1" t="n">
        <v>46129</v>
      </c>
      <c r="D765" t="inlineStr">
        <is>
          <t>VÄSTMANLANDS LÄN</t>
        </is>
      </c>
      <c r="E765" t="inlineStr">
        <is>
          <t>SALA</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21751-2025</t>
        </is>
      </c>
      <c r="B766" s="1" t="n">
        <v>45783.61372685185</v>
      </c>
      <c r="C766" s="1" t="n">
        <v>46129</v>
      </c>
      <c r="D766" t="inlineStr">
        <is>
          <t>VÄSTMANLANDS LÄN</t>
        </is>
      </c>
      <c r="E766" t="inlineStr">
        <is>
          <t>SALA</t>
        </is>
      </c>
      <c r="G766" t="n">
        <v>1</v>
      </c>
      <c r="H766" t="n">
        <v>0</v>
      </c>
      <c r="I766" t="n">
        <v>0</v>
      </c>
      <c r="J766" t="n">
        <v>0</v>
      </c>
      <c r="K766" t="n">
        <v>0</v>
      </c>
      <c r="L766" t="n">
        <v>0</v>
      </c>
      <c r="M766" t="n">
        <v>0</v>
      </c>
      <c r="N766" t="n">
        <v>0</v>
      </c>
      <c r="O766" t="n">
        <v>0</v>
      </c>
      <c r="P766" t="n">
        <v>0</v>
      </c>
      <c r="Q766" t="n">
        <v>0</v>
      </c>
      <c r="R766" s="2" t="inlineStr"/>
    </row>
    <row r="767" ht="15" customHeight="1">
      <c r="A767" t="inlineStr">
        <is>
          <t>A 37587-2024</t>
        </is>
      </c>
      <c r="B767" s="1" t="n">
        <v>45541</v>
      </c>
      <c r="C767" s="1" t="n">
        <v>46129</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c r="A768" t="inlineStr">
        <is>
          <t>A 64724-2023</t>
        </is>
      </c>
      <c r="B768" s="1" t="n">
        <v>45281.7602662037</v>
      </c>
      <c r="C768" s="1" t="n">
        <v>46129</v>
      </c>
      <c r="D768" t="inlineStr">
        <is>
          <t>VÄSTMANLANDS LÄN</t>
        </is>
      </c>
      <c r="E768" t="inlineStr">
        <is>
          <t>SALA</t>
        </is>
      </c>
      <c r="G768" t="n">
        <v>2.3</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2026-04-17T10:24:56Z</dcterms:created>
  <dcterms:modified xmlns:dcterms="http://purl.org/dc/terms/" xmlns:xsi="http://www.w3.org/2001/XMLSchema-instance" xsi:type="dcterms:W3CDTF">2026-04-17T10:24:57Z</dcterms:modified>
</cp:coreProperties>
</file>