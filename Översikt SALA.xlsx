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46011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46011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46011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46011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46011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46011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46011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46011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46011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46011</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46011</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46011</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46011</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46011</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46011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46011</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46011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46011</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46011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46011</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46011</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46011</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46011</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46011</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46011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46011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46011</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46011</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46011</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46011</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59826-2025</t>
        </is>
      </c>
      <c r="B32" s="1" t="n">
        <v>45992.65416666667</v>
      </c>
      <c r="C32" s="1" t="n">
        <v>46011</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53048-2025</t>
        </is>
      </c>
      <c r="B33" s="1" t="n">
        <v>45958.36018518519</v>
      </c>
      <c r="C33" s="1" t="n">
        <v>46011</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46011</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46011</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44970-2021</t>
        </is>
      </c>
      <c r="B36" s="1" t="n">
        <v>44438.74399305556</v>
      </c>
      <c r="C36" s="1" t="n">
        <v>46011</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46011</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46011</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46011</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56704-2022</t>
        </is>
      </c>
      <c r="B40" s="1" t="n">
        <v>44893.78075231481</v>
      </c>
      <c r="C40" s="1" t="n">
        <v>46011</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38255-2025</t>
        </is>
      </c>
      <c r="B41" s="1" t="n">
        <v>45883.38020833334</v>
      </c>
      <c r="C41" s="1" t="n">
        <v>46011</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60852-2024</t>
        </is>
      </c>
      <c r="B42" s="1" t="n">
        <v>45644</v>
      </c>
      <c r="C42" s="1" t="n">
        <v>46011</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43175-2023</t>
        </is>
      </c>
      <c r="B43" s="1" t="n">
        <v>45183</v>
      </c>
      <c r="C43" s="1" t="n">
        <v>46011</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41270-2024</t>
        </is>
      </c>
      <c r="B44" s="1" t="n">
        <v>45559</v>
      </c>
      <c r="C44" s="1" t="n">
        <v>46011</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32594-2025</t>
        </is>
      </c>
      <c r="B45" s="1" t="n">
        <v>45838</v>
      </c>
      <c r="C45" s="1" t="n">
        <v>46011</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22350-2024</t>
        </is>
      </c>
      <c r="B46" s="1" t="n">
        <v>45446</v>
      </c>
      <c r="C46" s="1" t="n">
        <v>46011</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55995-2025</t>
        </is>
      </c>
      <c r="B47" s="1" t="n">
        <v>45973.56733796297</v>
      </c>
      <c r="C47" s="1" t="n">
        <v>46011</v>
      </c>
      <c r="D47" t="inlineStr">
        <is>
          <t>VÄSTMANLANDS LÄN</t>
        </is>
      </c>
      <c r="E47" t="inlineStr">
        <is>
          <t>SALA</t>
        </is>
      </c>
      <c r="F47" t="inlineStr">
        <is>
          <t>Sveaskog</t>
        </is>
      </c>
      <c r="G47" t="n">
        <v>4.5</v>
      </c>
      <c r="H47" t="n">
        <v>1</v>
      </c>
      <c r="I47" t="n">
        <v>0</v>
      </c>
      <c r="J47" t="n">
        <v>0</v>
      </c>
      <c r="K47" t="n">
        <v>0</v>
      </c>
      <c r="L47" t="n">
        <v>0</v>
      </c>
      <c r="M47" t="n">
        <v>0</v>
      </c>
      <c r="N47" t="n">
        <v>0</v>
      </c>
      <c r="O47" t="n">
        <v>0</v>
      </c>
      <c r="P47" t="n">
        <v>0</v>
      </c>
      <c r="Q47" t="n">
        <v>1</v>
      </c>
      <c r="R47" s="2" t="inlineStr">
        <is>
          <t>Fläcknycklar</t>
        </is>
      </c>
      <c r="S47">
        <f>HYPERLINK("https://klasma.github.io/Logging_1981/artfynd/A 55995-2025 artfynd.xlsx", "A 55995-2025")</f>
        <v/>
      </c>
      <c r="T47">
        <f>HYPERLINK("https://klasma.github.io/Logging_1981/kartor/A 55995-2025 karta.png", "A 55995-2025")</f>
        <v/>
      </c>
      <c r="V47">
        <f>HYPERLINK("https://klasma.github.io/Logging_1981/klagomål/A 55995-2025 FSC-klagomål.docx", "A 55995-2025")</f>
        <v/>
      </c>
      <c r="W47">
        <f>HYPERLINK("https://klasma.github.io/Logging_1981/klagomålsmail/A 55995-2025 FSC-klagomål mail.docx", "A 55995-2025")</f>
        <v/>
      </c>
      <c r="X47">
        <f>HYPERLINK("https://klasma.github.io/Logging_1981/tillsyn/A 55995-2025 tillsynsbegäran.docx", "A 55995-2025")</f>
        <v/>
      </c>
      <c r="Y47">
        <f>HYPERLINK("https://klasma.github.io/Logging_1981/tillsynsmail/A 55995-2025 tillsynsbegäran mail.docx", "A 55995-2025")</f>
        <v/>
      </c>
    </row>
    <row r="48" ht="15" customHeight="1">
      <c r="A48" t="inlineStr">
        <is>
          <t>A 43068-2024</t>
        </is>
      </c>
      <c r="B48" s="1" t="n">
        <v>45567</v>
      </c>
      <c r="C48" s="1" t="n">
        <v>46011</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48705-2025</t>
        </is>
      </c>
      <c r="B49" s="1" t="n">
        <v>45936.62290509259</v>
      </c>
      <c r="C49" s="1" t="n">
        <v>46011</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7731-2023</t>
        </is>
      </c>
      <c r="B50" s="1" t="n">
        <v>44973</v>
      </c>
      <c r="C50" s="1" t="n">
        <v>46011</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46011</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50268-2025</t>
        </is>
      </c>
      <c r="B52" s="1" t="n">
        <v>45944.35162037037</v>
      </c>
      <c r="C52" s="1" t="n">
        <v>46011</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14775-2023</t>
        </is>
      </c>
      <c r="B53" s="1" t="n">
        <v>45014</v>
      </c>
      <c r="C53" s="1" t="n">
        <v>46011</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53052-2025</t>
        </is>
      </c>
      <c r="B54" s="1" t="n">
        <v>45958.36266203703</v>
      </c>
      <c r="C54" s="1" t="n">
        <v>46011</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19361-2025</t>
        </is>
      </c>
      <c r="B55" s="1" t="n">
        <v>45769.63357638889</v>
      </c>
      <c r="C55" s="1" t="n">
        <v>46011</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46011</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46011</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29985-2022</t>
        </is>
      </c>
      <c r="B58" s="1" t="n">
        <v>44756</v>
      </c>
      <c r="C58" s="1" t="n">
        <v>46011</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46011</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46011</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46011</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46011</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46011</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69194-2020</t>
        </is>
      </c>
      <c r="B64" s="1" t="n">
        <v>44191</v>
      </c>
      <c r="C64" s="1" t="n">
        <v>46011</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46011</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46011</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46011</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46011</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46011</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46011</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46011</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46011</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46011</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46011</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46011</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46011</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46011</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46011</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46011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46011</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46011</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46011</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46011</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46011</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46011</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46011</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46011</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46011</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46011</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46011</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46011</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46011</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46011</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46011</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46011</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46011</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46011</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46011</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46011</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46011</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46011</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46011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46011</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46011</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46011</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46011</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46011</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46011</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46011</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46011</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46011</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46011</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46011</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46011</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46011</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46011</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46011</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46011</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46011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46011</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46011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46011</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46011</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46011</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46011</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46011</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46011</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46011</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46011</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46011</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46011</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46011</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46011</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46011</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46011</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46011</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46011</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46011</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46011</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46011</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46011</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46011</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46011</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46011</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46011</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46011</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46011</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46011</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46011</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46011</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46011</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46011</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46011</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46011</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46011</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46011</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46011</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46011</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46011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46011</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46011</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46011</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46011</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46011</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46011</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46011</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46011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46011</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46011</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46011</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46011</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46011</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46011</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46011</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46011</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46011</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46011</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46011</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46011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46011</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46011</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46011</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27486-2022</t>
        </is>
      </c>
      <c r="B183" s="1" t="n">
        <v>44742.60846064815</v>
      </c>
      <c r="C183" s="1" t="n">
        <v>46011</v>
      </c>
      <c r="D183" t="inlineStr">
        <is>
          <t>VÄSTMANLANDS LÄN</t>
        </is>
      </c>
      <c r="E183" t="inlineStr">
        <is>
          <t>SALA</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16651-2021</t>
        </is>
      </c>
      <c r="B184" s="1" t="n">
        <v>44294.50096064815</v>
      </c>
      <c r="C184" s="1" t="n">
        <v>46011</v>
      </c>
      <c r="D184" t="inlineStr">
        <is>
          <t>VÄSTMANLANDS LÄN</t>
        </is>
      </c>
      <c r="E184" t="inlineStr">
        <is>
          <t>SALA</t>
        </is>
      </c>
      <c r="G184" t="n">
        <v>7.7</v>
      </c>
      <c r="H184" t="n">
        <v>0</v>
      </c>
      <c r="I184" t="n">
        <v>0</v>
      </c>
      <c r="J184" t="n">
        <v>0</v>
      </c>
      <c r="K184" t="n">
        <v>0</v>
      </c>
      <c r="L184" t="n">
        <v>0</v>
      </c>
      <c r="M184" t="n">
        <v>0</v>
      </c>
      <c r="N184" t="n">
        <v>0</v>
      </c>
      <c r="O184" t="n">
        <v>0</v>
      </c>
      <c r="P184" t="n">
        <v>0</v>
      </c>
      <c r="Q184" t="n">
        <v>0</v>
      </c>
      <c r="R184" s="2" t="inlineStr"/>
    </row>
    <row r="185" ht="15" customHeight="1">
      <c r="A185" t="inlineStr">
        <is>
          <t>A 15354-2021</t>
        </is>
      </c>
      <c r="B185" s="1" t="n">
        <v>44284</v>
      </c>
      <c r="C185" s="1" t="n">
        <v>46011</v>
      </c>
      <c r="D185" t="inlineStr">
        <is>
          <t>VÄSTMANLANDS LÄN</t>
        </is>
      </c>
      <c r="E185" t="inlineStr">
        <is>
          <t>SALA</t>
        </is>
      </c>
      <c r="F185" t="inlineStr">
        <is>
          <t>Kyrkan</t>
        </is>
      </c>
      <c r="G185" t="n">
        <v>8.5</v>
      </c>
      <c r="H185" t="n">
        <v>0</v>
      </c>
      <c r="I185" t="n">
        <v>0</v>
      </c>
      <c r="J185" t="n">
        <v>0</v>
      </c>
      <c r="K185" t="n">
        <v>0</v>
      </c>
      <c r="L185" t="n">
        <v>0</v>
      </c>
      <c r="M185" t="n">
        <v>0</v>
      </c>
      <c r="N185" t="n">
        <v>0</v>
      </c>
      <c r="O185" t="n">
        <v>0</v>
      </c>
      <c r="P185" t="n">
        <v>0</v>
      </c>
      <c r="Q185" t="n">
        <v>0</v>
      </c>
      <c r="R185" s="2" t="inlineStr"/>
    </row>
    <row r="186" ht="15" customHeight="1">
      <c r="A186" t="inlineStr">
        <is>
          <t>A 27261-2024</t>
        </is>
      </c>
      <c r="B186" s="1" t="n">
        <v>45471</v>
      </c>
      <c r="C186" s="1" t="n">
        <v>46011</v>
      </c>
      <c r="D186" t="inlineStr">
        <is>
          <t>VÄSTMANLANDS LÄN</t>
        </is>
      </c>
      <c r="E186" t="inlineStr">
        <is>
          <t>SALA</t>
        </is>
      </c>
      <c r="G186" t="n">
        <v>6.1</v>
      </c>
      <c r="H186" t="n">
        <v>0</v>
      </c>
      <c r="I186" t="n">
        <v>0</v>
      </c>
      <c r="J186" t="n">
        <v>0</v>
      </c>
      <c r="K186" t="n">
        <v>0</v>
      </c>
      <c r="L186" t="n">
        <v>0</v>
      </c>
      <c r="M186" t="n">
        <v>0</v>
      </c>
      <c r="N186" t="n">
        <v>0</v>
      </c>
      <c r="O186" t="n">
        <v>0</v>
      </c>
      <c r="P186" t="n">
        <v>0</v>
      </c>
      <c r="Q186" t="n">
        <v>0</v>
      </c>
      <c r="R186" s="2" t="inlineStr"/>
    </row>
    <row r="187" ht="15" customHeight="1">
      <c r="A187" t="inlineStr">
        <is>
          <t>A 18713-2025</t>
        </is>
      </c>
      <c r="B187" s="1" t="n">
        <v>45763</v>
      </c>
      <c r="C187" s="1" t="n">
        <v>46011</v>
      </c>
      <c r="D187" t="inlineStr">
        <is>
          <t>VÄSTMANLANDS LÄN</t>
        </is>
      </c>
      <c r="E187" t="inlineStr">
        <is>
          <t>SALA</t>
        </is>
      </c>
      <c r="F187" t="inlineStr">
        <is>
          <t>Bergvik skog öst AB</t>
        </is>
      </c>
      <c r="G187" t="n">
        <v>11.6</v>
      </c>
      <c r="H187" t="n">
        <v>0</v>
      </c>
      <c r="I187" t="n">
        <v>0</v>
      </c>
      <c r="J187" t="n">
        <v>0</v>
      </c>
      <c r="K187" t="n">
        <v>0</v>
      </c>
      <c r="L187" t="n">
        <v>0</v>
      </c>
      <c r="M187" t="n">
        <v>0</v>
      </c>
      <c r="N187" t="n">
        <v>0</v>
      </c>
      <c r="O187" t="n">
        <v>0</v>
      </c>
      <c r="P187" t="n">
        <v>0</v>
      </c>
      <c r="Q187" t="n">
        <v>0</v>
      </c>
      <c r="R187" s="2" t="inlineStr"/>
    </row>
    <row r="188" ht="15" customHeight="1">
      <c r="A188" t="inlineStr">
        <is>
          <t>A 54959-2024</t>
        </is>
      </c>
      <c r="B188" s="1" t="n">
        <v>45619</v>
      </c>
      <c r="C188" s="1" t="n">
        <v>46011</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6134-2024</t>
        </is>
      </c>
      <c r="B189" s="1" t="n">
        <v>45337</v>
      </c>
      <c r="C189" s="1" t="n">
        <v>46011</v>
      </c>
      <c r="D189" t="inlineStr">
        <is>
          <t>VÄSTMANLANDS LÄN</t>
        </is>
      </c>
      <c r="E189" t="inlineStr">
        <is>
          <t>SALA</t>
        </is>
      </c>
      <c r="G189" t="n">
        <v>1.8</v>
      </c>
      <c r="H189" t="n">
        <v>0</v>
      </c>
      <c r="I189" t="n">
        <v>0</v>
      </c>
      <c r="J189" t="n">
        <v>0</v>
      </c>
      <c r="K189" t="n">
        <v>0</v>
      </c>
      <c r="L189" t="n">
        <v>0</v>
      </c>
      <c r="M189" t="n">
        <v>0</v>
      </c>
      <c r="N189" t="n">
        <v>0</v>
      </c>
      <c r="O189" t="n">
        <v>0</v>
      </c>
      <c r="P189" t="n">
        <v>0</v>
      </c>
      <c r="Q189" t="n">
        <v>0</v>
      </c>
      <c r="R189" s="2" t="inlineStr"/>
    </row>
    <row r="190" ht="15" customHeight="1">
      <c r="A190" t="inlineStr">
        <is>
          <t>A 39597-2022</t>
        </is>
      </c>
      <c r="B190" s="1" t="n">
        <v>44818</v>
      </c>
      <c r="C190" s="1" t="n">
        <v>46011</v>
      </c>
      <c r="D190" t="inlineStr">
        <is>
          <t>VÄSTMANLANDS LÄN</t>
        </is>
      </c>
      <c r="E190" t="inlineStr">
        <is>
          <t>SALA</t>
        </is>
      </c>
      <c r="G190" t="n">
        <v>2.3</v>
      </c>
      <c r="H190" t="n">
        <v>0</v>
      </c>
      <c r="I190" t="n">
        <v>0</v>
      </c>
      <c r="J190" t="n">
        <v>0</v>
      </c>
      <c r="K190" t="n">
        <v>0</v>
      </c>
      <c r="L190" t="n">
        <v>0</v>
      </c>
      <c r="M190" t="n">
        <v>0</v>
      </c>
      <c r="N190" t="n">
        <v>0</v>
      </c>
      <c r="O190" t="n">
        <v>0</v>
      </c>
      <c r="P190" t="n">
        <v>0</v>
      </c>
      <c r="Q190" t="n">
        <v>0</v>
      </c>
      <c r="R190" s="2" t="inlineStr"/>
    </row>
    <row r="191" ht="15" customHeight="1">
      <c r="A191" t="inlineStr">
        <is>
          <t>A 22026-2021</t>
        </is>
      </c>
      <c r="B191" s="1" t="n">
        <v>44323</v>
      </c>
      <c r="C191" s="1" t="n">
        <v>46011</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46011</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16160-2024</t>
        </is>
      </c>
      <c r="B193" s="1" t="n">
        <v>45406</v>
      </c>
      <c r="C193" s="1" t="n">
        <v>46011</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46011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6183-2025</t>
        </is>
      </c>
      <c r="B195" s="1" t="n">
        <v>45698</v>
      </c>
      <c r="C195" s="1" t="n">
        <v>46011</v>
      </c>
      <c r="D195" t="inlineStr">
        <is>
          <t>VÄSTMANLANDS LÄN</t>
        </is>
      </c>
      <c r="E195" t="inlineStr">
        <is>
          <t>SALA</t>
        </is>
      </c>
      <c r="F195" t="inlineStr">
        <is>
          <t>Bergvik skog öst AB</t>
        </is>
      </c>
      <c r="G195" t="n">
        <v>2.3</v>
      </c>
      <c r="H195" t="n">
        <v>0</v>
      </c>
      <c r="I195" t="n">
        <v>0</v>
      </c>
      <c r="J195" t="n">
        <v>0</v>
      </c>
      <c r="K195" t="n">
        <v>0</v>
      </c>
      <c r="L195" t="n">
        <v>0</v>
      </c>
      <c r="M195" t="n">
        <v>0</v>
      </c>
      <c r="N195" t="n">
        <v>0</v>
      </c>
      <c r="O195" t="n">
        <v>0</v>
      </c>
      <c r="P195" t="n">
        <v>0</v>
      </c>
      <c r="Q195" t="n">
        <v>0</v>
      </c>
      <c r="R195" s="2" t="inlineStr"/>
    </row>
    <row r="196" ht="15" customHeight="1">
      <c r="A196" t="inlineStr">
        <is>
          <t>A 19803-2024</t>
        </is>
      </c>
      <c r="B196" s="1" t="n">
        <v>45432</v>
      </c>
      <c r="C196" s="1" t="n">
        <v>46011</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40871-2021</t>
        </is>
      </c>
      <c r="B197" s="1" t="n">
        <v>44421</v>
      </c>
      <c r="C197" s="1" t="n">
        <v>46011</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24864-2024</t>
        </is>
      </c>
      <c r="B198" s="1" t="n">
        <v>45461.48888888889</v>
      </c>
      <c r="C198" s="1" t="n">
        <v>46011</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63933-2023</t>
        </is>
      </c>
      <c r="B199" s="1" t="n">
        <v>45278</v>
      </c>
      <c r="C199" s="1" t="n">
        <v>46011</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1118-2024</t>
        </is>
      </c>
      <c r="B200" s="1" t="n">
        <v>45302</v>
      </c>
      <c r="C200" s="1" t="n">
        <v>46011</v>
      </c>
      <c r="D200" t="inlineStr">
        <is>
          <t>VÄSTMANLANDS LÄN</t>
        </is>
      </c>
      <c r="E200" t="inlineStr">
        <is>
          <t>SALA</t>
        </is>
      </c>
      <c r="G200" t="n">
        <v>1.9</v>
      </c>
      <c r="H200" t="n">
        <v>0</v>
      </c>
      <c r="I200" t="n">
        <v>0</v>
      </c>
      <c r="J200" t="n">
        <v>0</v>
      </c>
      <c r="K200" t="n">
        <v>0</v>
      </c>
      <c r="L200" t="n">
        <v>0</v>
      </c>
      <c r="M200" t="n">
        <v>0</v>
      </c>
      <c r="N200" t="n">
        <v>0</v>
      </c>
      <c r="O200" t="n">
        <v>0</v>
      </c>
      <c r="P200" t="n">
        <v>0</v>
      </c>
      <c r="Q200" t="n">
        <v>0</v>
      </c>
      <c r="R200" s="2" t="inlineStr"/>
    </row>
    <row r="201" ht="15" customHeight="1">
      <c r="A201" t="inlineStr">
        <is>
          <t>A 25860-2024</t>
        </is>
      </c>
      <c r="B201" s="1" t="n">
        <v>45467.46278935186</v>
      </c>
      <c r="C201" s="1" t="n">
        <v>46011</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39439-2021</t>
        </is>
      </c>
      <c r="B202" s="1" t="n">
        <v>44414</v>
      </c>
      <c r="C202" s="1" t="n">
        <v>46011</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37190-2024</t>
        </is>
      </c>
      <c r="B203" s="1" t="n">
        <v>45539</v>
      </c>
      <c r="C203" s="1" t="n">
        <v>46011</v>
      </c>
      <c r="D203" t="inlineStr">
        <is>
          <t>VÄSTMANLANDS LÄN</t>
        </is>
      </c>
      <c r="E203" t="inlineStr">
        <is>
          <t>SALA</t>
        </is>
      </c>
      <c r="G203" t="n">
        <v>0.9</v>
      </c>
      <c r="H203" t="n">
        <v>0</v>
      </c>
      <c r="I203" t="n">
        <v>0</v>
      </c>
      <c r="J203" t="n">
        <v>0</v>
      </c>
      <c r="K203" t="n">
        <v>0</v>
      </c>
      <c r="L203" t="n">
        <v>0</v>
      </c>
      <c r="M203" t="n">
        <v>0</v>
      </c>
      <c r="N203" t="n">
        <v>0</v>
      </c>
      <c r="O203" t="n">
        <v>0</v>
      </c>
      <c r="P203" t="n">
        <v>0</v>
      </c>
      <c r="Q203" t="n">
        <v>0</v>
      </c>
      <c r="R203" s="2" t="inlineStr"/>
    </row>
    <row r="204" ht="15" customHeight="1">
      <c r="A204" t="inlineStr">
        <is>
          <t>A 30971-2022</t>
        </is>
      </c>
      <c r="B204" s="1" t="n">
        <v>44768.46725694444</v>
      </c>
      <c r="C204" s="1" t="n">
        <v>46011</v>
      </c>
      <c r="D204" t="inlineStr">
        <is>
          <t>VÄSTMANLANDS LÄN</t>
        </is>
      </c>
      <c r="E204" t="inlineStr">
        <is>
          <t>SALA</t>
        </is>
      </c>
      <c r="G204" t="n">
        <v>2.4</v>
      </c>
      <c r="H204" t="n">
        <v>0</v>
      </c>
      <c r="I204" t="n">
        <v>0</v>
      </c>
      <c r="J204" t="n">
        <v>0</v>
      </c>
      <c r="K204" t="n">
        <v>0</v>
      </c>
      <c r="L204" t="n">
        <v>0</v>
      </c>
      <c r="M204" t="n">
        <v>0</v>
      </c>
      <c r="N204" t="n">
        <v>0</v>
      </c>
      <c r="O204" t="n">
        <v>0</v>
      </c>
      <c r="P204" t="n">
        <v>0</v>
      </c>
      <c r="Q204" t="n">
        <v>0</v>
      </c>
      <c r="R204" s="2" t="inlineStr"/>
    </row>
    <row r="205" ht="15" customHeight="1">
      <c r="A205" t="inlineStr">
        <is>
          <t>A 11389-2024</t>
        </is>
      </c>
      <c r="B205" s="1" t="n">
        <v>45372.45016203704</v>
      </c>
      <c r="C205" s="1" t="n">
        <v>46011</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56706-2022</t>
        </is>
      </c>
      <c r="B206" s="1" t="n">
        <v>44893.78893518518</v>
      </c>
      <c r="C206" s="1" t="n">
        <v>46011</v>
      </c>
      <c r="D206" t="inlineStr">
        <is>
          <t>VÄSTMANLANDS LÄN</t>
        </is>
      </c>
      <c r="E206" t="inlineStr">
        <is>
          <t>SALA</t>
        </is>
      </c>
      <c r="G206" t="n">
        <v>4.5</v>
      </c>
      <c r="H206" t="n">
        <v>0</v>
      </c>
      <c r="I206" t="n">
        <v>0</v>
      </c>
      <c r="J206" t="n">
        <v>0</v>
      </c>
      <c r="K206" t="n">
        <v>0</v>
      </c>
      <c r="L206" t="n">
        <v>0</v>
      </c>
      <c r="M206" t="n">
        <v>0</v>
      </c>
      <c r="N206" t="n">
        <v>0</v>
      </c>
      <c r="O206" t="n">
        <v>0</v>
      </c>
      <c r="P206" t="n">
        <v>0</v>
      </c>
      <c r="Q206" t="n">
        <v>0</v>
      </c>
      <c r="R206" s="2" t="inlineStr"/>
    </row>
    <row r="207" ht="15" customHeight="1">
      <c r="A207" t="inlineStr">
        <is>
          <t>A 56707-2022</t>
        </is>
      </c>
      <c r="B207" s="1" t="n">
        <v>44893.79412037037</v>
      </c>
      <c r="C207" s="1" t="n">
        <v>46011</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60730-2023</t>
        </is>
      </c>
      <c r="B208" s="1" t="n">
        <v>45260</v>
      </c>
      <c r="C208" s="1" t="n">
        <v>46011</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60731-2023</t>
        </is>
      </c>
      <c r="B209" s="1" t="n">
        <v>45260</v>
      </c>
      <c r="C209" s="1" t="n">
        <v>46011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2900-2023</t>
        </is>
      </c>
      <c r="B210" s="1" t="n">
        <v>44943</v>
      </c>
      <c r="C210" s="1" t="n">
        <v>46011</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24169-2025</t>
        </is>
      </c>
      <c r="B211" s="1" t="n">
        <v>45796</v>
      </c>
      <c r="C211" s="1" t="n">
        <v>46011</v>
      </c>
      <c r="D211" t="inlineStr">
        <is>
          <t>VÄSTMANLANDS LÄN</t>
        </is>
      </c>
      <c r="E211" t="inlineStr">
        <is>
          <t>SALA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22126-2025</t>
        </is>
      </c>
      <c r="B212" s="1" t="n">
        <v>45785</v>
      </c>
      <c r="C212" s="1" t="n">
        <v>46011</v>
      </c>
      <c r="D212" t="inlineStr">
        <is>
          <t>VÄSTMANLANDS LÄN</t>
        </is>
      </c>
      <c r="E212" t="inlineStr">
        <is>
          <t>SALA</t>
        </is>
      </c>
      <c r="G212" t="n">
        <v>10.6</v>
      </c>
      <c r="H212" t="n">
        <v>0</v>
      </c>
      <c r="I212" t="n">
        <v>0</v>
      </c>
      <c r="J212" t="n">
        <v>0</v>
      </c>
      <c r="K212" t="n">
        <v>0</v>
      </c>
      <c r="L212" t="n">
        <v>0</v>
      </c>
      <c r="M212" t="n">
        <v>0</v>
      </c>
      <c r="N212" t="n">
        <v>0</v>
      </c>
      <c r="O212" t="n">
        <v>0</v>
      </c>
      <c r="P212" t="n">
        <v>0</v>
      </c>
      <c r="Q212" t="n">
        <v>0</v>
      </c>
      <c r="R212" s="2" t="inlineStr"/>
    </row>
    <row r="213" ht="15" customHeight="1">
      <c r="A213" t="inlineStr">
        <is>
          <t>A 23810-2025</t>
        </is>
      </c>
      <c r="B213" s="1" t="n">
        <v>45793.56989583333</v>
      </c>
      <c r="C213" s="1" t="n">
        <v>46011</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73673-2021</t>
        </is>
      </c>
      <c r="B214" s="1" t="n">
        <v>44552.46501157407</v>
      </c>
      <c r="C214" s="1" t="n">
        <v>46011</v>
      </c>
      <c r="D214" t="inlineStr">
        <is>
          <t>VÄSTMANLANDS LÄN</t>
        </is>
      </c>
      <c r="E214" t="inlineStr">
        <is>
          <t>SALA</t>
        </is>
      </c>
      <c r="G214" t="n">
        <v>11.4</v>
      </c>
      <c r="H214" t="n">
        <v>0</v>
      </c>
      <c r="I214" t="n">
        <v>0</v>
      </c>
      <c r="J214" t="n">
        <v>0</v>
      </c>
      <c r="K214" t="n">
        <v>0</v>
      </c>
      <c r="L214" t="n">
        <v>0</v>
      </c>
      <c r="M214" t="n">
        <v>0</v>
      </c>
      <c r="N214" t="n">
        <v>0</v>
      </c>
      <c r="O214" t="n">
        <v>0</v>
      </c>
      <c r="P214" t="n">
        <v>0</v>
      </c>
      <c r="Q214" t="n">
        <v>0</v>
      </c>
      <c r="R214" s="2" t="inlineStr"/>
    </row>
    <row r="215" ht="15" customHeight="1">
      <c r="A215" t="inlineStr">
        <is>
          <t>A 24944-2023</t>
        </is>
      </c>
      <c r="B215" s="1" t="n">
        <v>45085</v>
      </c>
      <c r="C215" s="1" t="n">
        <v>46011</v>
      </c>
      <c r="D215" t="inlineStr">
        <is>
          <t>VÄSTMANLANDS LÄN</t>
        </is>
      </c>
      <c r="E215" t="inlineStr">
        <is>
          <t>SALA</t>
        </is>
      </c>
      <c r="G215" t="n">
        <v>3.8</v>
      </c>
      <c r="H215" t="n">
        <v>0</v>
      </c>
      <c r="I215" t="n">
        <v>0</v>
      </c>
      <c r="J215" t="n">
        <v>0</v>
      </c>
      <c r="K215" t="n">
        <v>0</v>
      </c>
      <c r="L215" t="n">
        <v>0</v>
      </c>
      <c r="M215" t="n">
        <v>0</v>
      </c>
      <c r="N215" t="n">
        <v>0</v>
      </c>
      <c r="O215" t="n">
        <v>0</v>
      </c>
      <c r="P215" t="n">
        <v>0</v>
      </c>
      <c r="Q215" t="n">
        <v>0</v>
      </c>
      <c r="R215" s="2" t="inlineStr"/>
    </row>
    <row r="216" ht="15" customHeight="1">
      <c r="A216" t="inlineStr">
        <is>
          <t>A 35976-2024</t>
        </is>
      </c>
      <c r="B216" s="1" t="n">
        <v>45533.49555555556</v>
      </c>
      <c r="C216" s="1" t="n">
        <v>46011</v>
      </c>
      <c r="D216" t="inlineStr">
        <is>
          <t>VÄSTMANLANDS LÄN</t>
        </is>
      </c>
      <c r="E216" t="inlineStr">
        <is>
          <t>SALA</t>
        </is>
      </c>
      <c r="G216" t="n">
        <v>2.3</v>
      </c>
      <c r="H216" t="n">
        <v>0</v>
      </c>
      <c r="I216" t="n">
        <v>0</v>
      </c>
      <c r="J216" t="n">
        <v>0</v>
      </c>
      <c r="K216" t="n">
        <v>0</v>
      </c>
      <c r="L216" t="n">
        <v>0</v>
      </c>
      <c r="M216" t="n">
        <v>0</v>
      </c>
      <c r="N216" t="n">
        <v>0</v>
      </c>
      <c r="O216" t="n">
        <v>0</v>
      </c>
      <c r="P216" t="n">
        <v>0</v>
      </c>
      <c r="Q216" t="n">
        <v>0</v>
      </c>
      <c r="R216" s="2" t="inlineStr"/>
    </row>
    <row r="217" ht="15" customHeight="1">
      <c r="A217" t="inlineStr">
        <is>
          <t>A 38574-2025</t>
        </is>
      </c>
      <c r="B217" s="1" t="n">
        <v>45884.46390046296</v>
      </c>
      <c r="C217" s="1" t="n">
        <v>46011</v>
      </c>
      <c r="D217" t="inlineStr">
        <is>
          <t>VÄSTMANLANDS LÄN</t>
        </is>
      </c>
      <c r="E217" t="inlineStr">
        <is>
          <t>SALA</t>
        </is>
      </c>
      <c r="G217" t="n">
        <v>2.1</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46011</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23804-2025</t>
        </is>
      </c>
      <c r="B219" s="1" t="n">
        <v>45793.55995370371</v>
      </c>
      <c r="C219" s="1" t="n">
        <v>46011</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38294-2025</t>
        </is>
      </c>
      <c r="B220" s="1" t="n">
        <v>45883.44854166666</v>
      </c>
      <c r="C220" s="1" t="n">
        <v>46011</v>
      </c>
      <c r="D220" t="inlineStr">
        <is>
          <t>VÄSTMANLANDS LÄN</t>
        </is>
      </c>
      <c r="E220" t="inlineStr">
        <is>
          <t>SALA</t>
        </is>
      </c>
      <c r="G220" t="n">
        <v>1.5</v>
      </c>
      <c r="H220" t="n">
        <v>0</v>
      </c>
      <c r="I220" t="n">
        <v>0</v>
      </c>
      <c r="J220" t="n">
        <v>0</v>
      </c>
      <c r="K220" t="n">
        <v>0</v>
      </c>
      <c r="L220" t="n">
        <v>0</v>
      </c>
      <c r="M220" t="n">
        <v>0</v>
      </c>
      <c r="N220" t="n">
        <v>0</v>
      </c>
      <c r="O220" t="n">
        <v>0</v>
      </c>
      <c r="P220" t="n">
        <v>0</v>
      </c>
      <c r="Q220" t="n">
        <v>0</v>
      </c>
      <c r="R220" s="2" t="inlineStr"/>
    </row>
    <row r="221" ht="15" customHeight="1">
      <c r="A221" t="inlineStr">
        <is>
          <t>A 11210-2025</t>
        </is>
      </c>
      <c r="B221" s="1" t="n">
        <v>45726</v>
      </c>
      <c r="C221" s="1" t="n">
        <v>46011</v>
      </c>
      <c r="D221" t="inlineStr">
        <is>
          <t>VÄSTMANLANDS LÄN</t>
        </is>
      </c>
      <c r="E221" t="inlineStr">
        <is>
          <t>SALA</t>
        </is>
      </c>
      <c r="G221" t="n">
        <v>4.1</v>
      </c>
      <c r="H221" t="n">
        <v>0</v>
      </c>
      <c r="I221" t="n">
        <v>0</v>
      </c>
      <c r="J221" t="n">
        <v>0</v>
      </c>
      <c r="K221" t="n">
        <v>0</v>
      </c>
      <c r="L221" t="n">
        <v>0</v>
      </c>
      <c r="M221" t="n">
        <v>0</v>
      </c>
      <c r="N221" t="n">
        <v>0</v>
      </c>
      <c r="O221" t="n">
        <v>0</v>
      </c>
      <c r="P221" t="n">
        <v>0</v>
      </c>
      <c r="Q221" t="n">
        <v>0</v>
      </c>
      <c r="R221" s="2" t="inlineStr"/>
    </row>
    <row r="222" ht="15" customHeight="1">
      <c r="A222" t="inlineStr">
        <is>
          <t>A 19297-2025</t>
        </is>
      </c>
      <c r="B222" s="1" t="n">
        <v>45769.56261574074</v>
      </c>
      <c r="C222" s="1" t="n">
        <v>46011</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24460-2025</t>
        </is>
      </c>
      <c r="B223" s="1" t="n">
        <v>45798</v>
      </c>
      <c r="C223" s="1" t="n">
        <v>46011</v>
      </c>
      <c r="D223" t="inlineStr">
        <is>
          <t>VÄSTMANLANDS LÄN</t>
        </is>
      </c>
      <c r="E223" t="inlineStr">
        <is>
          <t>SALA</t>
        </is>
      </c>
      <c r="F223" t="inlineStr">
        <is>
          <t>Bergvik skog öst AB</t>
        </is>
      </c>
      <c r="G223" t="n">
        <v>2.6</v>
      </c>
      <c r="H223" t="n">
        <v>0</v>
      </c>
      <c r="I223" t="n">
        <v>0</v>
      </c>
      <c r="J223" t="n">
        <v>0</v>
      </c>
      <c r="K223" t="n">
        <v>0</v>
      </c>
      <c r="L223" t="n">
        <v>0</v>
      </c>
      <c r="M223" t="n">
        <v>0</v>
      </c>
      <c r="N223" t="n">
        <v>0</v>
      </c>
      <c r="O223" t="n">
        <v>0</v>
      </c>
      <c r="P223" t="n">
        <v>0</v>
      </c>
      <c r="Q223" t="n">
        <v>0</v>
      </c>
      <c r="R223" s="2" t="inlineStr"/>
    </row>
    <row r="224" ht="15" customHeight="1">
      <c r="A224" t="inlineStr">
        <is>
          <t>A 71471-2021</t>
        </is>
      </c>
      <c r="B224" s="1" t="n">
        <v>44540.53421296296</v>
      </c>
      <c r="C224" s="1" t="n">
        <v>46011</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8775-2024</t>
        </is>
      </c>
      <c r="B225" s="1" t="n">
        <v>45356</v>
      </c>
      <c r="C225" s="1" t="n">
        <v>46011</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55065-2024</t>
        </is>
      </c>
      <c r="B226" s="1" t="n">
        <v>45618</v>
      </c>
      <c r="C226" s="1" t="n">
        <v>46011</v>
      </c>
      <c r="D226" t="inlineStr">
        <is>
          <t>VÄSTMANLANDS LÄN</t>
        </is>
      </c>
      <c r="E226" t="inlineStr">
        <is>
          <t>SALA</t>
        </is>
      </c>
      <c r="G226" t="n">
        <v>3.5</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46011</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39011-2023</t>
        </is>
      </c>
      <c r="B228" s="1" t="n">
        <v>45162</v>
      </c>
      <c r="C228" s="1" t="n">
        <v>46011</v>
      </c>
      <c r="D228" t="inlineStr">
        <is>
          <t>VÄSTMANLANDS LÄN</t>
        </is>
      </c>
      <c r="E228" t="inlineStr">
        <is>
          <t>SALA</t>
        </is>
      </c>
      <c r="G228" t="n">
        <v>1.6</v>
      </c>
      <c r="H228" t="n">
        <v>0</v>
      </c>
      <c r="I228" t="n">
        <v>0</v>
      </c>
      <c r="J228" t="n">
        <v>0</v>
      </c>
      <c r="K228" t="n">
        <v>0</v>
      </c>
      <c r="L228" t="n">
        <v>0</v>
      </c>
      <c r="M228" t="n">
        <v>0</v>
      </c>
      <c r="N228" t="n">
        <v>0</v>
      </c>
      <c r="O228" t="n">
        <v>0</v>
      </c>
      <c r="P228" t="n">
        <v>0</v>
      </c>
      <c r="Q228" t="n">
        <v>0</v>
      </c>
      <c r="R228" s="2" t="inlineStr"/>
    </row>
    <row r="229" ht="15" customHeight="1">
      <c r="A229" t="inlineStr">
        <is>
          <t>A 56547-2022</t>
        </is>
      </c>
      <c r="B229" s="1" t="n">
        <v>44893.48284722222</v>
      </c>
      <c r="C229" s="1" t="n">
        <v>46011</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39182-2025</t>
        </is>
      </c>
      <c r="B230" s="1" t="n">
        <v>45888.66204861111</v>
      </c>
      <c r="C230" s="1" t="n">
        <v>46011</v>
      </c>
      <c r="D230" t="inlineStr">
        <is>
          <t>VÄSTMANLANDS LÄN</t>
        </is>
      </c>
      <c r="E230" t="inlineStr">
        <is>
          <t>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56916-2022</t>
        </is>
      </c>
      <c r="B231" s="1" t="n">
        <v>44888</v>
      </c>
      <c r="C231" s="1" t="n">
        <v>46011</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24907-2025</t>
        </is>
      </c>
      <c r="B232" s="1" t="n">
        <v>45799</v>
      </c>
      <c r="C232" s="1" t="n">
        <v>46011</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24910-2025</t>
        </is>
      </c>
      <c r="B233" s="1" t="n">
        <v>45799.53775462963</v>
      </c>
      <c r="C233" s="1" t="n">
        <v>46011</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46279-2021</t>
        </is>
      </c>
      <c r="B234" s="1" t="n">
        <v>44442.57797453704</v>
      </c>
      <c r="C234" s="1" t="n">
        <v>46011</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10909-2024</t>
        </is>
      </c>
      <c r="B235" s="1" t="n">
        <v>45370</v>
      </c>
      <c r="C235" s="1" t="n">
        <v>46011</v>
      </c>
      <c r="D235" t="inlineStr">
        <is>
          <t>VÄSTMANLANDS LÄN</t>
        </is>
      </c>
      <c r="E235" t="inlineStr">
        <is>
          <t>SALA</t>
        </is>
      </c>
      <c r="G235" t="n">
        <v>3.3</v>
      </c>
      <c r="H235" t="n">
        <v>0</v>
      </c>
      <c r="I235" t="n">
        <v>0</v>
      </c>
      <c r="J235" t="n">
        <v>0</v>
      </c>
      <c r="K235" t="n">
        <v>0</v>
      </c>
      <c r="L235" t="n">
        <v>0</v>
      </c>
      <c r="M235" t="n">
        <v>0</v>
      </c>
      <c r="N235" t="n">
        <v>0</v>
      </c>
      <c r="O235" t="n">
        <v>0</v>
      </c>
      <c r="P235" t="n">
        <v>0</v>
      </c>
      <c r="Q235" t="n">
        <v>0</v>
      </c>
      <c r="R235" s="2" t="inlineStr"/>
    </row>
    <row r="236" ht="15" customHeight="1">
      <c r="A236" t="inlineStr">
        <is>
          <t>A 31864-2025</t>
        </is>
      </c>
      <c r="B236" s="1" t="n">
        <v>45834.63819444444</v>
      </c>
      <c r="C236" s="1" t="n">
        <v>46011</v>
      </c>
      <c r="D236" t="inlineStr">
        <is>
          <t>VÄSTMANLANDS LÄN</t>
        </is>
      </c>
      <c r="E236" t="inlineStr">
        <is>
          <t>SALA</t>
        </is>
      </c>
      <c r="G236" t="n">
        <v>6.3</v>
      </c>
      <c r="H236" t="n">
        <v>0</v>
      </c>
      <c r="I236" t="n">
        <v>0</v>
      </c>
      <c r="J236" t="n">
        <v>0</v>
      </c>
      <c r="K236" t="n">
        <v>0</v>
      </c>
      <c r="L236" t="n">
        <v>0</v>
      </c>
      <c r="M236" t="n">
        <v>0</v>
      </c>
      <c r="N236" t="n">
        <v>0</v>
      </c>
      <c r="O236" t="n">
        <v>0</v>
      </c>
      <c r="P236" t="n">
        <v>0</v>
      </c>
      <c r="Q236" t="n">
        <v>0</v>
      </c>
      <c r="R236" s="2" t="inlineStr"/>
    </row>
    <row r="237" ht="15" customHeight="1">
      <c r="A237" t="inlineStr">
        <is>
          <t>A 39167-2025</t>
        </is>
      </c>
      <c r="B237" s="1" t="n">
        <v>45888</v>
      </c>
      <c r="C237" s="1" t="n">
        <v>46011</v>
      </c>
      <c r="D237" t="inlineStr">
        <is>
          <t>VÄSTMANLANDS LÄN</t>
        </is>
      </c>
      <c r="E237" t="inlineStr">
        <is>
          <t>SALA</t>
        </is>
      </c>
      <c r="G237" t="n">
        <v>5.5</v>
      </c>
      <c r="H237" t="n">
        <v>0</v>
      </c>
      <c r="I237" t="n">
        <v>0</v>
      </c>
      <c r="J237" t="n">
        <v>0</v>
      </c>
      <c r="K237" t="n">
        <v>0</v>
      </c>
      <c r="L237" t="n">
        <v>0</v>
      </c>
      <c r="M237" t="n">
        <v>0</v>
      </c>
      <c r="N237" t="n">
        <v>0</v>
      </c>
      <c r="O237" t="n">
        <v>0</v>
      </c>
      <c r="P237" t="n">
        <v>0</v>
      </c>
      <c r="Q237" t="n">
        <v>0</v>
      </c>
      <c r="R237" s="2" t="inlineStr"/>
    </row>
    <row r="238" ht="15" customHeight="1">
      <c r="A238" t="inlineStr">
        <is>
          <t>A 45313-2024</t>
        </is>
      </c>
      <c r="B238" s="1" t="n">
        <v>45576</v>
      </c>
      <c r="C238" s="1" t="n">
        <v>46011</v>
      </c>
      <c r="D238" t="inlineStr">
        <is>
          <t>VÄSTMANLANDS LÄN</t>
        </is>
      </c>
      <c r="E238" t="inlineStr">
        <is>
          <t>SALA</t>
        </is>
      </c>
      <c r="G238" t="n">
        <v>0.7</v>
      </c>
      <c r="H238" t="n">
        <v>0</v>
      </c>
      <c r="I238" t="n">
        <v>0</v>
      </c>
      <c r="J238" t="n">
        <v>0</v>
      </c>
      <c r="K238" t="n">
        <v>0</v>
      </c>
      <c r="L238" t="n">
        <v>0</v>
      </c>
      <c r="M238" t="n">
        <v>0</v>
      </c>
      <c r="N238" t="n">
        <v>0</v>
      </c>
      <c r="O238" t="n">
        <v>0</v>
      </c>
      <c r="P238" t="n">
        <v>0</v>
      </c>
      <c r="Q238" t="n">
        <v>0</v>
      </c>
      <c r="R238" s="2" t="inlineStr"/>
    </row>
    <row r="239" ht="15" customHeight="1">
      <c r="A239" t="inlineStr">
        <is>
          <t>A 56535-2022</t>
        </is>
      </c>
      <c r="B239" s="1" t="n">
        <v>44893.47173611111</v>
      </c>
      <c r="C239" s="1" t="n">
        <v>46011</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47909-2022</t>
        </is>
      </c>
      <c r="B240" s="1" t="n">
        <v>44855</v>
      </c>
      <c r="C240" s="1" t="n">
        <v>46011</v>
      </c>
      <c r="D240" t="inlineStr">
        <is>
          <t>VÄSTMANLANDS LÄN</t>
        </is>
      </c>
      <c r="E240" t="inlineStr">
        <is>
          <t>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52630-2022</t>
        </is>
      </c>
      <c r="B241" s="1" t="n">
        <v>44874</v>
      </c>
      <c r="C241" s="1" t="n">
        <v>46011</v>
      </c>
      <c r="D241" t="inlineStr">
        <is>
          <t>VÄSTMANLANDS LÄN</t>
        </is>
      </c>
      <c r="E241" t="inlineStr">
        <is>
          <t>SALA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52498-2022</t>
        </is>
      </c>
      <c r="B242" s="1" t="n">
        <v>44874.50152777778</v>
      </c>
      <c r="C242" s="1" t="n">
        <v>46011</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56687-2024</t>
        </is>
      </c>
      <c r="B243" s="1" t="n">
        <v>45627.63271990741</v>
      </c>
      <c r="C243" s="1" t="n">
        <v>46011</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61715-2024</t>
        </is>
      </c>
      <c r="B244" s="1" t="n">
        <v>45648.89519675926</v>
      </c>
      <c r="C244" s="1" t="n">
        <v>46011</v>
      </c>
      <c r="D244" t="inlineStr">
        <is>
          <t>VÄSTMANLANDS LÄN</t>
        </is>
      </c>
      <c r="E244" t="inlineStr">
        <is>
          <t>SALA</t>
        </is>
      </c>
      <c r="G244" t="n">
        <v>2.5</v>
      </c>
      <c r="H244" t="n">
        <v>0</v>
      </c>
      <c r="I244" t="n">
        <v>0</v>
      </c>
      <c r="J244" t="n">
        <v>0</v>
      </c>
      <c r="K244" t="n">
        <v>0</v>
      </c>
      <c r="L244" t="n">
        <v>0</v>
      </c>
      <c r="M244" t="n">
        <v>0</v>
      </c>
      <c r="N244" t="n">
        <v>0</v>
      </c>
      <c r="O244" t="n">
        <v>0</v>
      </c>
      <c r="P244" t="n">
        <v>0</v>
      </c>
      <c r="Q244" t="n">
        <v>0</v>
      </c>
      <c r="R244" s="2" t="inlineStr"/>
    </row>
    <row r="245" ht="15" customHeight="1">
      <c r="A245" t="inlineStr">
        <is>
          <t>A 16404-2022</t>
        </is>
      </c>
      <c r="B245" s="1" t="n">
        <v>44671</v>
      </c>
      <c r="C245" s="1" t="n">
        <v>46011</v>
      </c>
      <c r="D245" t="inlineStr">
        <is>
          <t>VÄSTMANLANDS LÄN</t>
        </is>
      </c>
      <c r="E245" t="inlineStr">
        <is>
          <t>SALA</t>
        </is>
      </c>
      <c r="G245" t="n">
        <v>0.8</v>
      </c>
      <c r="H245" t="n">
        <v>0</v>
      </c>
      <c r="I245" t="n">
        <v>0</v>
      </c>
      <c r="J245" t="n">
        <v>0</v>
      </c>
      <c r="K245" t="n">
        <v>0</v>
      </c>
      <c r="L245" t="n">
        <v>0</v>
      </c>
      <c r="M245" t="n">
        <v>0</v>
      </c>
      <c r="N245" t="n">
        <v>0</v>
      </c>
      <c r="O245" t="n">
        <v>0</v>
      </c>
      <c r="P245" t="n">
        <v>0</v>
      </c>
      <c r="Q245" t="n">
        <v>0</v>
      </c>
      <c r="R245" s="2" t="inlineStr"/>
    </row>
    <row r="246" ht="15" customHeight="1">
      <c r="A246" t="inlineStr">
        <is>
          <t>A 26661-2025</t>
        </is>
      </c>
      <c r="B246" s="1" t="n">
        <v>45810</v>
      </c>
      <c r="C246" s="1" t="n">
        <v>46011</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6097-2022</t>
        </is>
      </c>
      <c r="B247" s="1" t="n">
        <v>44599</v>
      </c>
      <c r="C247" s="1" t="n">
        <v>46011</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40556-2025</t>
        </is>
      </c>
      <c r="B248" s="1" t="n">
        <v>45896.44944444444</v>
      </c>
      <c r="C248" s="1" t="n">
        <v>46011</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10559-2024</t>
        </is>
      </c>
      <c r="B249" s="1" t="n">
        <v>45366</v>
      </c>
      <c r="C249" s="1" t="n">
        <v>46011</v>
      </c>
      <c r="D249" t="inlineStr">
        <is>
          <t>VÄSTMANLANDS LÄN</t>
        </is>
      </c>
      <c r="E249" t="inlineStr">
        <is>
          <t>SALA</t>
        </is>
      </c>
      <c r="G249" t="n">
        <v>0.3</v>
      </c>
      <c r="H249" t="n">
        <v>0</v>
      </c>
      <c r="I249" t="n">
        <v>0</v>
      </c>
      <c r="J249" t="n">
        <v>0</v>
      </c>
      <c r="K249" t="n">
        <v>0</v>
      </c>
      <c r="L249" t="n">
        <v>0</v>
      </c>
      <c r="M249" t="n">
        <v>0</v>
      </c>
      <c r="N249" t="n">
        <v>0</v>
      </c>
      <c r="O249" t="n">
        <v>0</v>
      </c>
      <c r="P249" t="n">
        <v>0</v>
      </c>
      <c r="Q249" t="n">
        <v>0</v>
      </c>
      <c r="R249" s="2" t="inlineStr"/>
    </row>
    <row r="250" ht="15" customHeight="1">
      <c r="A250" t="inlineStr">
        <is>
          <t>A 40559-2025</t>
        </is>
      </c>
      <c r="B250" s="1" t="n">
        <v>45896.45037037037</v>
      </c>
      <c r="C250" s="1" t="n">
        <v>46011</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60545-2024</t>
        </is>
      </c>
      <c r="B251" s="1" t="n">
        <v>45643</v>
      </c>
      <c r="C251" s="1" t="n">
        <v>46011</v>
      </c>
      <c r="D251" t="inlineStr">
        <is>
          <t>VÄSTMANLANDS LÄN</t>
        </is>
      </c>
      <c r="E251" t="inlineStr">
        <is>
          <t>SALA</t>
        </is>
      </c>
      <c r="G251" t="n">
        <v>3.3</v>
      </c>
      <c r="H251" t="n">
        <v>0</v>
      </c>
      <c r="I251" t="n">
        <v>0</v>
      </c>
      <c r="J251" t="n">
        <v>0</v>
      </c>
      <c r="K251" t="n">
        <v>0</v>
      </c>
      <c r="L251" t="n">
        <v>0</v>
      </c>
      <c r="M251" t="n">
        <v>0</v>
      </c>
      <c r="N251" t="n">
        <v>0</v>
      </c>
      <c r="O251" t="n">
        <v>0</v>
      </c>
      <c r="P251" t="n">
        <v>0</v>
      </c>
      <c r="Q251" t="n">
        <v>0</v>
      </c>
      <c r="R251" s="2" t="inlineStr"/>
    </row>
    <row r="252" ht="15" customHeight="1">
      <c r="A252" t="inlineStr">
        <is>
          <t>A 60547-2024</t>
        </is>
      </c>
      <c r="B252" s="1" t="n">
        <v>45643</v>
      </c>
      <c r="C252" s="1" t="n">
        <v>46011</v>
      </c>
      <c r="D252" t="inlineStr">
        <is>
          <t>VÄSTMANLANDS LÄN</t>
        </is>
      </c>
      <c r="E252" t="inlineStr">
        <is>
          <t>SALA</t>
        </is>
      </c>
      <c r="G252" t="n">
        <v>0.6</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46011</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15965-2024</t>
        </is>
      </c>
      <c r="B254" s="1" t="n">
        <v>45405.55740740741</v>
      </c>
      <c r="C254" s="1" t="n">
        <v>46011</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1196-2023</t>
        </is>
      </c>
      <c r="B255" s="1" t="n">
        <v>44935.82290509259</v>
      </c>
      <c r="C255" s="1" t="n">
        <v>46011</v>
      </c>
      <c r="D255" t="inlineStr">
        <is>
          <t>VÄSTMANLANDS LÄN</t>
        </is>
      </c>
      <c r="E255" t="inlineStr">
        <is>
          <t>SALA</t>
        </is>
      </c>
      <c r="G255" t="n">
        <v>4.1</v>
      </c>
      <c r="H255" t="n">
        <v>0</v>
      </c>
      <c r="I255" t="n">
        <v>0</v>
      </c>
      <c r="J255" t="n">
        <v>0</v>
      </c>
      <c r="K255" t="n">
        <v>0</v>
      </c>
      <c r="L255" t="n">
        <v>0</v>
      </c>
      <c r="M255" t="n">
        <v>0</v>
      </c>
      <c r="N255" t="n">
        <v>0</v>
      </c>
      <c r="O255" t="n">
        <v>0</v>
      </c>
      <c r="P255" t="n">
        <v>0</v>
      </c>
      <c r="Q255" t="n">
        <v>0</v>
      </c>
      <c r="R255" s="2" t="inlineStr"/>
    </row>
    <row r="256" ht="15" customHeight="1">
      <c r="A256" t="inlineStr">
        <is>
          <t>A 28193-2025</t>
        </is>
      </c>
      <c r="B256" s="1" t="n">
        <v>45818.425625</v>
      </c>
      <c r="C256" s="1" t="n">
        <v>46011</v>
      </c>
      <c r="D256" t="inlineStr">
        <is>
          <t>VÄSTMANLANDS LÄN</t>
        </is>
      </c>
      <c r="E256" t="inlineStr">
        <is>
          <t>SALA</t>
        </is>
      </c>
      <c r="G256" t="n">
        <v>1.8</v>
      </c>
      <c r="H256" t="n">
        <v>0</v>
      </c>
      <c r="I256" t="n">
        <v>0</v>
      </c>
      <c r="J256" t="n">
        <v>0</v>
      </c>
      <c r="K256" t="n">
        <v>0</v>
      </c>
      <c r="L256" t="n">
        <v>0</v>
      </c>
      <c r="M256" t="n">
        <v>0</v>
      </c>
      <c r="N256" t="n">
        <v>0</v>
      </c>
      <c r="O256" t="n">
        <v>0</v>
      </c>
      <c r="P256" t="n">
        <v>0</v>
      </c>
      <c r="Q256" t="n">
        <v>0</v>
      </c>
      <c r="R256" s="2" t="inlineStr"/>
    </row>
    <row r="257" ht="15" customHeight="1">
      <c r="A257" t="inlineStr">
        <is>
          <t>A 62651-2022</t>
        </is>
      </c>
      <c r="B257" s="1" t="n">
        <v>44917</v>
      </c>
      <c r="C257" s="1" t="n">
        <v>46011</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54836-2024</t>
        </is>
      </c>
      <c r="B258" s="1" t="n">
        <v>45618</v>
      </c>
      <c r="C258" s="1" t="n">
        <v>46011</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27981-2025</t>
        </is>
      </c>
      <c r="B259" s="1" t="n">
        <v>45817.57471064815</v>
      </c>
      <c r="C259" s="1" t="n">
        <v>46011</v>
      </c>
      <c r="D259" t="inlineStr">
        <is>
          <t>VÄSTMANLANDS LÄN</t>
        </is>
      </c>
      <c r="E259" t="inlineStr">
        <is>
          <t>SALA</t>
        </is>
      </c>
      <c r="G259" t="n">
        <v>1.7</v>
      </c>
      <c r="H259" t="n">
        <v>0</v>
      </c>
      <c r="I259" t="n">
        <v>0</v>
      </c>
      <c r="J259" t="n">
        <v>0</v>
      </c>
      <c r="K259" t="n">
        <v>0</v>
      </c>
      <c r="L259" t="n">
        <v>0</v>
      </c>
      <c r="M259" t="n">
        <v>0</v>
      </c>
      <c r="N259" t="n">
        <v>0</v>
      </c>
      <c r="O259" t="n">
        <v>0</v>
      </c>
      <c r="P259" t="n">
        <v>0</v>
      </c>
      <c r="Q259" t="n">
        <v>0</v>
      </c>
      <c r="R259" s="2" t="inlineStr"/>
    </row>
    <row r="260" ht="15" customHeight="1">
      <c r="A260" t="inlineStr">
        <is>
          <t>A 41230-2025</t>
        </is>
      </c>
      <c r="B260" s="1" t="n">
        <v>45898</v>
      </c>
      <c r="C260" s="1" t="n">
        <v>46011</v>
      </c>
      <c r="D260" t="inlineStr">
        <is>
          <t>VÄSTMANLANDS LÄN</t>
        </is>
      </c>
      <c r="E260" t="inlineStr">
        <is>
          <t>SALA</t>
        </is>
      </c>
      <c r="G260" t="n">
        <v>2.3</v>
      </c>
      <c r="H260" t="n">
        <v>0</v>
      </c>
      <c r="I260" t="n">
        <v>0</v>
      </c>
      <c r="J260" t="n">
        <v>0</v>
      </c>
      <c r="K260" t="n">
        <v>0</v>
      </c>
      <c r="L260" t="n">
        <v>0</v>
      </c>
      <c r="M260" t="n">
        <v>0</v>
      </c>
      <c r="N260" t="n">
        <v>0</v>
      </c>
      <c r="O260" t="n">
        <v>0</v>
      </c>
      <c r="P260" t="n">
        <v>0</v>
      </c>
      <c r="Q260" t="n">
        <v>0</v>
      </c>
      <c r="R260" s="2" t="inlineStr"/>
    </row>
    <row r="261" ht="15" customHeight="1">
      <c r="A261" t="inlineStr">
        <is>
          <t>A 13987-2023</t>
        </is>
      </c>
      <c r="B261" s="1" t="n">
        <v>45007</v>
      </c>
      <c r="C261" s="1" t="n">
        <v>46011</v>
      </c>
      <c r="D261" t="inlineStr">
        <is>
          <t>VÄSTMANLANDS LÄN</t>
        </is>
      </c>
      <c r="E261" t="inlineStr">
        <is>
          <t>SALA</t>
        </is>
      </c>
      <c r="G261" t="n">
        <v>3.2</v>
      </c>
      <c r="H261" t="n">
        <v>0</v>
      </c>
      <c r="I261" t="n">
        <v>0</v>
      </c>
      <c r="J261" t="n">
        <v>0</v>
      </c>
      <c r="K261" t="n">
        <v>0</v>
      </c>
      <c r="L261" t="n">
        <v>0</v>
      </c>
      <c r="M261" t="n">
        <v>0</v>
      </c>
      <c r="N261" t="n">
        <v>0</v>
      </c>
      <c r="O261" t="n">
        <v>0</v>
      </c>
      <c r="P261" t="n">
        <v>0</v>
      </c>
      <c r="Q261" t="n">
        <v>0</v>
      </c>
      <c r="R261" s="2" t="inlineStr"/>
    </row>
    <row r="262" ht="15" customHeight="1">
      <c r="A262" t="inlineStr">
        <is>
          <t>A 13990-2023</t>
        </is>
      </c>
      <c r="B262" s="1" t="n">
        <v>45007</v>
      </c>
      <c r="C262" s="1" t="n">
        <v>46011</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28278-2025</t>
        </is>
      </c>
      <c r="B263" s="1" t="n">
        <v>45818.58454861111</v>
      </c>
      <c r="C263" s="1" t="n">
        <v>46011</v>
      </c>
      <c r="D263" t="inlineStr">
        <is>
          <t>VÄSTMANLANDS LÄN</t>
        </is>
      </c>
      <c r="E263" t="inlineStr">
        <is>
          <t>SALA</t>
        </is>
      </c>
      <c r="G263" t="n">
        <v>7.6</v>
      </c>
      <c r="H263" t="n">
        <v>0</v>
      </c>
      <c r="I263" t="n">
        <v>0</v>
      </c>
      <c r="J263" t="n">
        <v>0</v>
      </c>
      <c r="K263" t="n">
        <v>0</v>
      </c>
      <c r="L263" t="n">
        <v>0</v>
      </c>
      <c r="M263" t="n">
        <v>0</v>
      </c>
      <c r="N263" t="n">
        <v>0</v>
      </c>
      <c r="O263" t="n">
        <v>0</v>
      </c>
      <c r="P263" t="n">
        <v>0</v>
      </c>
      <c r="Q263" t="n">
        <v>0</v>
      </c>
      <c r="R263" s="2" t="inlineStr"/>
    </row>
    <row r="264" ht="15" customHeight="1">
      <c r="A264" t="inlineStr">
        <is>
          <t>A 51464-2024</t>
        </is>
      </c>
      <c r="B264" s="1" t="n">
        <v>45604.49768518518</v>
      </c>
      <c r="C264" s="1" t="n">
        <v>46011</v>
      </c>
      <c r="D264" t="inlineStr">
        <is>
          <t>VÄSTMANLANDS LÄN</t>
        </is>
      </c>
      <c r="E264" t="inlineStr">
        <is>
          <t>SALA</t>
        </is>
      </c>
      <c r="G264" t="n">
        <v>3.9</v>
      </c>
      <c r="H264" t="n">
        <v>0</v>
      </c>
      <c r="I264" t="n">
        <v>0</v>
      </c>
      <c r="J264" t="n">
        <v>0</v>
      </c>
      <c r="K264" t="n">
        <v>0</v>
      </c>
      <c r="L264" t="n">
        <v>0</v>
      </c>
      <c r="M264" t="n">
        <v>0</v>
      </c>
      <c r="N264" t="n">
        <v>0</v>
      </c>
      <c r="O264" t="n">
        <v>0</v>
      </c>
      <c r="P264" t="n">
        <v>0</v>
      </c>
      <c r="Q264" t="n">
        <v>0</v>
      </c>
      <c r="R264" s="2" t="inlineStr"/>
    </row>
    <row r="265" ht="15" customHeight="1">
      <c r="A265" t="inlineStr">
        <is>
          <t>A 1128-2025</t>
        </is>
      </c>
      <c r="B265" s="1" t="n">
        <v>45666.68469907407</v>
      </c>
      <c r="C265" s="1" t="n">
        <v>46011</v>
      </c>
      <c r="D265" t="inlineStr">
        <is>
          <t>VÄSTMANLANDS LÄN</t>
        </is>
      </c>
      <c r="E265" t="inlineStr">
        <is>
          <t>SALA</t>
        </is>
      </c>
      <c r="G265" t="n">
        <v>2.5</v>
      </c>
      <c r="H265" t="n">
        <v>0</v>
      </c>
      <c r="I265" t="n">
        <v>0</v>
      </c>
      <c r="J265" t="n">
        <v>0</v>
      </c>
      <c r="K265" t="n">
        <v>0</v>
      </c>
      <c r="L265" t="n">
        <v>0</v>
      </c>
      <c r="M265" t="n">
        <v>0</v>
      </c>
      <c r="N265" t="n">
        <v>0</v>
      </c>
      <c r="O265" t="n">
        <v>0</v>
      </c>
      <c r="P265" t="n">
        <v>0</v>
      </c>
      <c r="Q265" t="n">
        <v>0</v>
      </c>
      <c r="R265" s="2" t="inlineStr"/>
    </row>
    <row r="266" ht="15" customHeight="1">
      <c r="A266" t="inlineStr">
        <is>
          <t>A 43176-2023</t>
        </is>
      </c>
      <c r="B266" s="1" t="n">
        <v>45183</v>
      </c>
      <c r="C266" s="1" t="n">
        <v>46011</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27989-2025</t>
        </is>
      </c>
      <c r="B267" s="1" t="n">
        <v>45817.58716435185</v>
      </c>
      <c r="C267" s="1" t="n">
        <v>46011</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73835-2021</t>
        </is>
      </c>
      <c r="B268" s="1" t="n">
        <v>44552.92112268518</v>
      </c>
      <c r="C268" s="1" t="n">
        <v>46011</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41431-2025</t>
        </is>
      </c>
      <c r="B269" s="1" t="n">
        <v>45901.39347222223</v>
      </c>
      <c r="C269" s="1" t="n">
        <v>46011</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28284-2025</t>
        </is>
      </c>
      <c r="B270" s="1" t="n">
        <v>45818.58893518519</v>
      </c>
      <c r="C270" s="1" t="n">
        <v>46011</v>
      </c>
      <c r="D270" t="inlineStr">
        <is>
          <t>VÄSTMANLANDS LÄN</t>
        </is>
      </c>
      <c r="E270" t="inlineStr">
        <is>
          <t>SALA</t>
        </is>
      </c>
      <c r="G270" t="n">
        <v>2.4</v>
      </c>
      <c r="H270" t="n">
        <v>0</v>
      </c>
      <c r="I270" t="n">
        <v>0</v>
      </c>
      <c r="J270" t="n">
        <v>0</v>
      </c>
      <c r="K270" t="n">
        <v>0</v>
      </c>
      <c r="L270" t="n">
        <v>0</v>
      </c>
      <c r="M270" t="n">
        <v>0</v>
      </c>
      <c r="N270" t="n">
        <v>0</v>
      </c>
      <c r="O270" t="n">
        <v>0</v>
      </c>
      <c r="P270" t="n">
        <v>0</v>
      </c>
      <c r="Q270" t="n">
        <v>0</v>
      </c>
      <c r="R270" s="2" t="inlineStr"/>
    </row>
    <row r="271" ht="15" customHeight="1">
      <c r="A271" t="inlineStr">
        <is>
          <t>A 60379-2022</t>
        </is>
      </c>
      <c r="B271" s="1" t="n">
        <v>44910</v>
      </c>
      <c r="C271" s="1" t="n">
        <v>46011</v>
      </c>
      <c r="D271" t="inlineStr">
        <is>
          <t>VÄSTMANLANDS LÄN</t>
        </is>
      </c>
      <c r="E271" t="inlineStr">
        <is>
          <t>SALA</t>
        </is>
      </c>
      <c r="F271" t="inlineStr">
        <is>
          <t>Kyrkan</t>
        </is>
      </c>
      <c r="G271" t="n">
        <v>2.5</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46011</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41414-2025</t>
        </is>
      </c>
      <c r="B273" s="1" t="n">
        <v>45901.360625</v>
      </c>
      <c r="C273" s="1" t="n">
        <v>46011</v>
      </c>
      <c r="D273" t="inlineStr">
        <is>
          <t>VÄSTMANLANDS LÄN</t>
        </is>
      </c>
      <c r="E273" t="inlineStr">
        <is>
          <t>SALA</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53164-2024</t>
        </is>
      </c>
      <c r="B274" s="1" t="n">
        <v>45611.64887731482</v>
      </c>
      <c r="C274" s="1" t="n">
        <v>46011</v>
      </c>
      <c r="D274" t="inlineStr">
        <is>
          <t>VÄSTMANLANDS LÄN</t>
        </is>
      </c>
      <c r="E274" t="inlineStr">
        <is>
          <t>SALA</t>
        </is>
      </c>
      <c r="G274" t="n">
        <v>2.6</v>
      </c>
      <c r="H274" t="n">
        <v>0</v>
      </c>
      <c r="I274" t="n">
        <v>0</v>
      </c>
      <c r="J274" t="n">
        <v>0</v>
      </c>
      <c r="K274" t="n">
        <v>0</v>
      </c>
      <c r="L274" t="n">
        <v>0</v>
      </c>
      <c r="M274" t="n">
        <v>0</v>
      </c>
      <c r="N274" t="n">
        <v>0</v>
      </c>
      <c r="O274" t="n">
        <v>0</v>
      </c>
      <c r="P274" t="n">
        <v>0</v>
      </c>
      <c r="Q274" t="n">
        <v>0</v>
      </c>
      <c r="R274" s="2" t="inlineStr"/>
    </row>
    <row r="275" ht="15" customHeight="1">
      <c r="A275" t="inlineStr">
        <is>
          <t>A 7953-2024</t>
        </is>
      </c>
      <c r="B275" s="1" t="n">
        <v>45350</v>
      </c>
      <c r="C275" s="1" t="n">
        <v>46011</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28632-2025</t>
        </is>
      </c>
      <c r="B276" s="1" t="n">
        <v>45819.62344907408</v>
      </c>
      <c r="C276" s="1" t="n">
        <v>46011</v>
      </c>
      <c r="D276" t="inlineStr">
        <is>
          <t>VÄSTMANLANDS LÄN</t>
        </is>
      </c>
      <c r="E276" t="inlineStr">
        <is>
          <t>SALA</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5477-2024</t>
        </is>
      </c>
      <c r="B277" s="1" t="n">
        <v>45333.67833333334</v>
      </c>
      <c r="C277" s="1" t="n">
        <v>46011</v>
      </c>
      <c r="D277" t="inlineStr">
        <is>
          <t>VÄSTMANLANDS LÄN</t>
        </is>
      </c>
      <c r="E277" t="inlineStr">
        <is>
          <t>SALA</t>
        </is>
      </c>
      <c r="G277" t="n">
        <v>2.3</v>
      </c>
      <c r="H277" t="n">
        <v>0</v>
      </c>
      <c r="I277" t="n">
        <v>0</v>
      </c>
      <c r="J277" t="n">
        <v>0</v>
      </c>
      <c r="K277" t="n">
        <v>0</v>
      </c>
      <c r="L277" t="n">
        <v>0</v>
      </c>
      <c r="M277" t="n">
        <v>0</v>
      </c>
      <c r="N277" t="n">
        <v>0</v>
      </c>
      <c r="O277" t="n">
        <v>0</v>
      </c>
      <c r="P277" t="n">
        <v>0</v>
      </c>
      <c r="Q277" t="n">
        <v>0</v>
      </c>
      <c r="R277" s="2" t="inlineStr"/>
    </row>
    <row r="278" ht="15" customHeight="1">
      <c r="A278" t="inlineStr">
        <is>
          <t>A 28628-2025</t>
        </is>
      </c>
      <c r="B278" s="1" t="n">
        <v>45819.62158564815</v>
      </c>
      <c r="C278" s="1" t="n">
        <v>46011</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46011</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28630-2025</t>
        </is>
      </c>
      <c r="B280" s="1" t="n">
        <v>45819.62274305556</v>
      </c>
      <c r="C280" s="1" t="n">
        <v>46011</v>
      </c>
      <c r="D280" t="inlineStr">
        <is>
          <t>VÄSTMANLANDS LÄN</t>
        </is>
      </c>
      <c r="E280" t="inlineStr">
        <is>
          <t>SALA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28837-2025</t>
        </is>
      </c>
      <c r="B281" s="1" t="n">
        <v>45820.56243055555</v>
      </c>
      <c r="C281" s="1" t="n">
        <v>46011</v>
      </c>
      <c r="D281" t="inlineStr">
        <is>
          <t>VÄSTMANLANDS LÄN</t>
        </is>
      </c>
      <c r="E281" t="inlineStr">
        <is>
          <t>SALA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28849-2025</t>
        </is>
      </c>
      <c r="B282" s="1" t="n">
        <v>45820</v>
      </c>
      <c r="C282" s="1" t="n">
        <v>46011</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26507-2023</t>
        </is>
      </c>
      <c r="B283" s="1" t="n">
        <v>45092</v>
      </c>
      <c r="C283" s="1" t="n">
        <v>46011</v>
      </c>
      <c r="D283" t="inlineStr">
        <is>
          <t>VÄSTMANLANDS LÄN</t>
        </is>
      </c>
      <c r="E283" t="inlineStr">
        <is>
          <t>SALA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6032-2025</t>
        </is>
      </c>
      <c r="B284" s="1" t="n">
        <v>45695.6371875</v>
      </c>
      <c r="C284" s="1" t="n">
        <v>46011</v>
      </c>
      <c r="D284" t="inlineStr">
        <is>
          <t>VÄSTMANLANDS LÄN</t>
        </is>
      </c>
      <c r="E284" t="inlineStr">
        <is>
          <t>SALA</t>
        </is>
      </c>
      <c r="F284" t="inlineStr">
        <is>
          <t>Bergvik skog öst AB</t>
        </is>
      </c>
      <c r="G284" t="n">
        <v>8.1</v>
      </c>
      <c r="H284" t="n">
        <v>0</v>
      </c>
      <c r="I284" t="n">
        <v>0</v>
      </c>
      <c r="J284" t="n">
        <v>0</v>
      </c>
      <c r="K284" t="n">
        <v>0</v>
      </c>
      <c r="L284" t="n">
        <v>0</v>
      </c>
      <c r="M284" t="n">
        <v>0</v>
      </c>
      <c r="N284" t="n">
        <v>0</v>
      </c>
      <c r="O284" t="n">
        <v>0</v>
      </c>
      <c r="P284" t="n">
        <v>0</v>
      </c>
      <c r="Q284" t="n">
        <v>0</v>
      </c>
      <c r="R284" s="2" t="inlineStr"/>
    </row>
    <row r="285" ht="15" customHeight="1">
      <c r="A285" t="inlineStr">
        <is>
          <t>A 29085-2025</t>
        </is>
      </c>
      <c r="B285" s="1" t="n">
        <v>45821</v>
      </c>
      <c r="C285" s="1" t="n">
        <v>46011</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34814-2021</t>
        </is>
      </c>
      <c r="B286" s="1" t="n">
        <v>44383</v>
      </c>
      <c r="C286" s="1" t="n">
        <v>46011</v>
      </c>
      <c r="D286" t="inlineStr">
        <is>
          <t>VÄSTMANLANDS LÄN</t>
        </is>
      </c>
      <c r="E286" t="inlineStr">
        <is>
          <t>SALA</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60541-2024</t>
        </is>
      </c>
      <c r="B287" s="1" t="n">
        <v>45643</v>
      </c>
      <c r="C287" s="1" t="n">
        <v>46011</v>
      </c>
      <c r="D287" t="inlineStr">
        <is>
          <t>VÄSTMANLANDS LÄN</t>
        </is>
      </c>
      <c r="E287" t="inlineStr">
        <is>
          <t>SALA</t>
        </is>
      </c>
      <c r="G287" t="n">
        <v>10.6</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46011</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29826-2025</t>
        </is>
      </c>
      <c r="B289" s="1" t="n">
        <v>45825.85761574074</v>
      </c>
      <c r="C289" s="1" t="n">
        <v>46011</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54118-2023</t>
        </is>
      </c>
      <c r="B290" s="1" t="n">
        <v>45232</v>
      </c>
      <c r="C290" s="1" t="n">
        <v>46011</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35462-2024</t>
        </is>
      </c>
      <c r="B291" s="1" t="n">
        <v>45531</v>
      </c>
      <c r="C291" s="1" t="n">
        <v>46011</v>
      </c>
      <c r="D291" t="inlineStr">
        <is>
          <t>VÄSTMANLANDS LÄN</t>
        </is>
      </c>
      <c r="E291" t="inlineStr">
        <is>
          <t>SALA</t>
        </is>
      </c>
      <c r="G291" t="n">
        <v>0.6</v>
      </c>
      <c r="H291" t="n">
        <v>0</v>
      </c>
      <c r="I291" t="n">
        <v>0</v>
      </c>
      <c r="J291" t="n">
        <v>0</v>
      </c>
      <c r="K291" t="n">
        <v>0</v>
      </c>
      <c r="L291" t="n">
        <v>0</v>
      </c>
      <c r="M291" t="n">
        <v>0</v>
      </c>
      <c r="N291" t="n">
        <v>0</v>
      </c>
      <c r="O291" t="n">
        <v>0</v>
      </c>
      <c r="P291" t="n">
        <v>0</v>
      </c>
      <c r="Q291" t="n">
        <v>0</v>
      </c>
      <c r="R291" s="2" t="inlineStr"/>
    </row>
    <row r="292" ht="15" customHeight="1">
      <c r="A292" t="inlineStr">
        <is>
          <t>A 29691-2025</t>
        </is>
      </c>
      <c r="B292" s="1" t="n">
        <v>45825.53645833334</v>
      </c>
      <c r="C292" s="1" t="n">
        <v>46011</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46011</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43028-2025</t>
        </is>
      </c>
      <c r="B294" s="1" t="n">
        <v>45909.53472222222</v>
      </c>
      <c r="C294" s="1" t="n">
        <v>46011</v>
      </c>
      <c r="D294" t="inlineStr">
        <is>
          <t>VÄSTMANLANDS LÄN</t>
        </is>
      </c>
      <c r="E294" t="inlineStr">
        <is>
          <t>SALA</t>
        </is>
      </c>
      <c r="G294" t="n">
        <v>3.8</v>
      </c>
      <c r="H294" t="n">
        <v>0</v>
      </c>
      <c r="I294" t="n">
        <v>0</v>
      </c>
      <c r="J294" t="n">
        <v>0</v>
      </c>
      <c r="K294" t="n">
        <v>0</v>
      </c>
      <c r="L294" t="n">
        <v>0</v>
      </c>
      <c r="M294" t="n">
        <v>0</v>
      </c>
      <c r="N294" t="n">
        <v>0</v>
      </c>
      <c r="O294" t="n">
        <v>0</v>
      </c>
      <c r="P294" t="n">
        <v>0</v>
      </c>
      <c r="Q294" t="n">
        <v>0</v>
      </c>
      <c r="R294" s="2" t="inlineStr"/>
    </row>
    <row r="295" ht="15" customHeight="1">
      <c r="A295" t="inlineStr">
        <is>
          <t>A 43328-2025</t>
        </is>
      </c>
      <c r="B295" s="1" t="n">
        <v>45910</v>
      </c>
      <c r="C295" s="1" t="n">
        <v>46011</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36393-2023</t>
        </is>
      </c>
      <c r="B296" s="1" t="n">
        <v>45152</v>
      </c>
      <c r="C296" s="1" t="n">
        <v>46011</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45790-2023</t>
        </is>
      </c>
      <c r="B297" s="1" t="n">
        <v>45195.45958333334</v>
      </c>
      <c r="C297" s="1" t="n">
        <v>46011</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43031-2025</t>
        </is>
      </c>
      <c r="B298" s="1" t="n">
        <v>45909.53856481481</v>
      </c>
      <c r="C298" s="1" t="n">
        <v>46011</v>
      </c>
      <c r="D298" t="inlineStr">
        <is>
          <t>VÄSTMANLANDS LÄN</t>
        </is>
      </c>
      <c r="E298" t="inlineStr">
        <is>
          <t>SALA</t>
        </is>
      </c>
      <c r="G298" t="n">
        <v>0.2</v>
      </c>
      <c r="H298" t="n">
        <v>0</v>
      </c>
      <c r="I298" t="n">
        <v>0</v>
      </c>
      <c r="J298" t="n">
        <v>0</v>
      </c>
      <c r="K298" t="n">
        <v>0</v>
      </c>
      <c r="L298" t="n">
        <v>0</v>
      </c>
      <c r="M298" t="n">
        <v>0</v>
      </c>
      <c r="N298" t="n">
        <v>0</v>
      </c>
      <c r="O298" t="n">
        <v>0</v>
      </c>
      <c r="P298" t="n">
        <v>0</v>
      </c>
      <c r="Q298" t="n">
        <v>0</v>
      </c>
      <c r="R298" s="2" t="inlineStr"/>
    </row>
    <row r="299" ht="15" customHeight="1">
      <c r="A299" t="inlineStr">
        <is>
          <t>A 56949-2023</t>
        </is>
      </c>
      <c r="B299" s="1" t="n">
        <v>45244.61589120371</v>
      </c>
      <c r="C299" s="1" t="n">
        <v>46011</v>
      </c>
      <c r="D299" t="inlineStr">
        <is>
          <t>VÄSTMANLANDS LÄN</t>
        </is>
      </c>
      <c r="E299" t="inlineStr">
        <is>
          <t>SALA</t>
        </is>
      </c>
      <c r="G299" t="n">
        <v>4.7</v>
      </c>
      <c r="H299" t="n">
        <v>0</v>
      </c>
      <c r="I299" t="n">
        <v>0</v>
      </c>
      <c r="J299" t="n">
        <v>0</v>
      </c>
      <c r="K299" t="n">
        <v>0</v>
      </c>
      <c r="L299" t="n">
        <v>0</v>
      </c>
      <c r="M299" t="n">
        <v>0</v>
      </c>
      <c r="N299" t="n">
        <v>0</v>
      </c>
      <c r="O299" t="n">
        <v>0</v>
      </c>
      <c r="P299" t="n">
        <v>0</v>
      </c>
      <c r="Q299" t="n">
        <v>0</v>
      </c>
      <c r="R299" s="2" t="inlineStr"/>
    </row>
    <row r="300" ht="15" customHeight="1">
      <c r="A300" t="inlineStr">
        <is>
          <t>A 17495-2024</t>
        </is>
      </c>
      <c r="B300" s="1" t="n">
        <v>45415</v>
      </c>
      <c r="C300" s="1" t="n">
        <v>46011</v>
      </c>
      <c r="D300" t="inlineStr">
        <is>
          <t>VÄSTMANLANDS LÄN</t>
        </is>
      </c>
      <c r="E300" t="inlineStr">
        <is>
          <t>SALA</t>
        </is>
      </c>
      <c r="G300" t="n">
        <v>3.1</v>
      </c>
      <c r="H300" t="n">
        <v>0</v>
      </c>
      <c r="I300" t="n">
        <v>0</v>
      </c>
      <c r="J300" t="n">
        <v>0</v>
      </c>
      <c r="K300" t="n">
        <v>0</v>
      </c>
      <c r="L300" t="n">
        <v>0</v>
      </c>
      <c r="M300" t="n">
        <v>0</v>
      </c>
      <c r="N300" t="n">
        <v>0</v>
      </c>
      <c r="O300" t="n">
        <v>0</v>
      </c>
      <c r="P300" t="n">
        <v>0</v>
      </c>
      <c r="Q300" t="n">
        <v>0</v>
      </c>
      <c r="R300" s="2" t="inlineStr"/>
    </row>
    <row r="301" ht="15" customHeight="1">
      <c r="A301" t="inlineStr">
        <is>
          <t>A 37263-2025</t>
        </is>
      </c>
      <c r="B301" s="1" t="n">
        <v>45876.4584837963</v>
      </c>
      <c r="C301" s="1" t="n">
        <v>46011</v>
      </c>
      <c r="D301" t="inlineStr">
        <is>
          <t>VÄSTMANLANDS LÄN</t>
        </is>
      </c>
      <c r="E301" t="inlineStr">
        <is>
          <t>SALA</t>
        </is>
      </c>
      <c r="G301" t="n">
        <v>2.3</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46011</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43129-2025</t>
        </is>
      </c>
      <c r="B303" s="1" t="n">
        <v>45909</v>
      </c>
      <c r="C303" s="1" t="n">
        <v>46011</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43130-2025</t>
        </is>
      </c>
      <c r="B304" s="1" t="n">
        <v>45909</v>
      </c>
      <c r="C304" s="1" t="n">
        <v>46011</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43128-2025</t>
        </is>
      </c>
      <c r="B305" s="1" t="n">
        <v>45909</v>
      </c>
      <c r="C305" s="1" t="n">
        <v>46011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30874-2025</t>
        </is>
      </c>
      <c r="B306" s="1" t="n">
        <v>45832.34430555555</v>
      </c>
      <c r="C306" s="1" t="n">
        <v>46011</v>
      </c>
      <c r="D306" t="inlineStr">
        <is>
          <t>VÄSTMANLANDS LÄN</t>
        </is>
      </c>
      <c r="E306" t="inlineStr">
        <is>
          <t>SALA</t>
        </is>
      </c>
      <c r="G306" t="n">
        <v>8.4</v>
      </c>
      <c r="H306" t="n">
        <v>0</v>
      </c>
      <c r="I306" t="n">
        <v>0</v>
      </c>
      <c r="J306" t="n">
        <v>0</v>
      </c>
      <c r="K306" t="n">
        <v>0</v>
      </c>
      <c r="L306" t="n">
        <v>0</v>
      </c>
      <c r="M306" t="n">
        <v>0</v>
      </c>
      <c r="N306" t="n">
        <v>0</v>
      </c>
      <c r="O306" t="n">
        <v>0</v>
      </c>
      <c r="P306" t="n">
        <v>0</v>
      </c>
      <c r="Q306" t="n">
        <v>0</v>
      </c>
      <c r="R306" s="2" t="inlineStr"/>
    </row>
    <row r="307" ht="15" customHeight="1">
      <c r="A307" t="inlineStr">
        <is>
          <t>A 43127-2025</t>
        </is>
      </c>
      <c r="B307" s="1" t="n">
        <v>45909</v>
      </c>
      <c r="C307" s="1" t="n">
        <v>46011</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45169.45173611111</v>
      </c>
      <c r="C308" s="1" t="n">
        <v>46011</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30899-2025</t>
        </is>
      </c>
      <c r="B309" s="1" t="n">
        <v>45832.35767361111</v>
      </c>
      <c r="C309" s="1" t="n">
        <v>46011</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30866-2025</t>
        </is>
      </c>
      <c r="B310" s="1" t="n">
        <v>45832.3246875</v>
      </c>
      <c r="C310" s="1" t="n">
        <v>46011</v>
      </c>
      <c r="D310" t="inlineStr">
        <is>
          <t>VÄSTMANLANDS LÄN</t>
        </is>
      </c>
      <c r="E310" t="inlineStr">
        <is>
          <t>SALA</t>
        </is>
      </c>
      <c r="G310" t="n">
        <v>14.3</v>
      </c>
      <c r="H310" t="n">
        <v>0</v>
      </c>
      <c r="I310" t="n">
        <v>0</v>
      </c>
      <c r="J310" t="n">
        <v>0</v>
      </c>
      <c r="K310" t="n">
        <v>0</v>
      </c>
      <c r="L310" t="n">
        <v>0</v>
      </c>
      <c r="M310" t="n">
        <v>0</v>
      </c>
      <c r="N310" t="n">
        <v>0</v>
      </c>
      <c r="O310" t="n">
        <v>0</v>
      </c>
      <c r="P310" t="n">
        <v>0</v>
      </c>
      <c r="Q310" t="n">
        <v>0</v>
      </c>
      <c r="R310" s="2" t="inlineStr"/>
    </row>
    <row r="311" ht="15" customHeight="1">
      <c r="A311" t="inlineStr">
        <is>
          <t>A 35016-2024</t>
        </is>
      </c>
      <c r="B311" s="1" t="n">
        <v>45527.59115740741</v>
      </c>
      <c r="C311" s="1" t="n">
        <v>46011</v>
      </c>
      <c r="D311" t="inlineStr">
        <is>
          <t>VÄSTMANLANDS LÄN</t>
        </is>
      </c>
      <c r="E311" t="inlineStr">
        <is>
          <t>SALA</t>
        </is>
      </c>
      <c r="G311" t="n">
        <v>0.4</v>
      </c>
      <c r="H311" t="n">
        <v>0</v>
      </c>
      <c r="I311" t="n">
        <v>0</v>
      </c>
      <c r="J311" t="n">
        <v>0</v>
      </c>
      <c r="K311" t="n">
        <v>0</v>
      </c>
      <c r="L311" t="n">
        <v>0</v>
      </c>
      <c r="M311" t="n">
        <v>0</v>
      </c>
      <c r="N311" t="n">
        <v>0</v>
      </c>
      <c r="O311" t="n">
        <v>0</v>
      </c>
      <c r="P311" t="n">
        <v>0</v>
      </c>
      <c r="Q311" t="n">
        <v>0</v>
      </c>
      <c r="R311" s="2" t="inlineStr"/>
    </row>
    <row r="312" ht="15" customHeight="1">
      <c r="A312" t="inlineStr">
        <is>
          <t>A 31065-2025</t>
        </is>
      </c>
      <c r="B312" s="1" t="n">
        <v>45832.57571759259</v>
      </c>
      <c r="C312" s="1" t="n">
        <v>46011</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37612-2024</t>
        </is>
      </c>
      <c r="B313" s="1" t="n">
        <v>45541</v>
      </c>
      <c r="C313" s="1" t="n">
        <v>46011</v>
      </c>
      <c r="D313" t="inlineStr">
        <is>
          <t>VÄSTMANLANDS LÄN</t>
        </is>
      </c>
      <c r="E313" t="inlineStr">
        <is>
          <t>SALA</t>
        </is>
      </c>
      <c r="G313" t="n">
        <v>2.2</v>
      </c>
      <c r="H313" t="n">
        <v>0</v>
      </c>
      <c r="I313" t="n">
        <v>0</v>
      </c>
      <c r="J313" t="n">
        <v>0</v>
      </c>
      <c r="K313" t="n">
        <v>0</v>
      </c>
      <c r="L313" t="n">
        <v>0</v>
      </c>
      <c r="M313" t="n">
        <v>0</v>
      </c>
      <c r="N313" t="n">
        <v>0</v>
      </c>
      <c r="O313" t="n">
        <v>0</v>
      </c>
      <c r="P313" t="n">
        <v>0</v>
      </c>
      <c r="Q313" t="n">
        <v>0</v>
      </c>
      <c r="R313" s="2" t="inlineStr"/>
    </row>
    <row r="314" ht="15" customHeight="1">
      <c r="A314" t="inlineStr">
        <is>
          <t>A 37615-2024</t>
        </is>
      </c>
      <c r="B314" s="1" t="n">
        <v>45541.50673611111</v>
      </c>
      <c r="C314" s="1" t="n">
        <v>46011</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5728-2022</t>
        </is>
      </c>
      <c r="B315" s="1" t="n">
        <v>44596.42082175926</v>
      </c>
      <c r="C315" s="1" t="n">
        <v>46011</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31612-2025</t>
        </is>
      </c>
      <c r="B316" s="1" t="n">
        <v>45833.80056712963</v>
      </c>
      <c r="C316" s="1" t="n">
        <v>46011</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7681-2021</t>
        </is>
      </c>
      <c r="B317" s="1" t="n">
        <v>44242</v>
      </c>
      <c r="C317" s="1" t="n">
        <v>46011</v>
      </c>
      <c r="D317" t="inlineStr">
        <is>
          <t>VÄSTMANLANDS LÄN</t>
        </is>
      </c>
      <c r="E317" t="inlineStr">
        <is>
          <t>SALA</t>
        </is>
      </c>
      <c r="F317" t="inlineStr">
        <is>
          <t>Sveaskog</t>
        </is>
      </c>
      <c r="G317" t="n">
        <v>16.1</v>
      </c>
      <c r="H317" t="n">
        <v>0</v>
      </c>
      <c r="I317" t="n">
        <v>0</v>
      </c>
      <c r="J317" t="n">
        <v>0</v>
      </c>
      <c r="K317" t="n">
        <v>0</v>
      </c>
      <c r="L317" t="n">
        <v>0</v>
      </c>
      <c r="M317" t="n">
        <v>0</v>
      </c>
      <c r="N317" t="n">
        <v>0</v>
      </c>
      <c r="O317" t="n">
        <v>0</v>
      </c>
      <c r="P317" t="n">
        <v>0</v>
      </c>
      <c r="Q317" t="n">
        <v>0</v>
      </c>
      <c r="R317" s="2" t="inlineStr"/>
    </row>
    <row r="318" ht="15" customHeight="1">
      <c r="A318" t="inlineStr">
        <is>
          <t>A 31748-2025</t>
        </is>
      </c>
      <c r="B318" s="1" t="n">
        <v>45834</v>
      </c>
      <c r="C318" s="1" t="n">
        <v>46011</v>
      </c>
      <c r="D318" t="inlineStr">
        <is>
          <t>VÄSTMANLANDS LÄN</t>
        </is>
      </c>
      <c r="E318" t="inlineStr">
        <is>
          <t>SALA</t>
        </is>
      </c>
      <c r="G318" t="n">
        <v>2</v>
      </c>
      <c r="H318" t="n">
        <v>0</v>
      </c>
      <c r="I318" t="n">
        <v>0</v>
      </c>
      <c r="J318" t="n">
        <v>0</v>
      </c>
      <c r="K318" t="n">
        <v>0</v>
      </c>
      <c r="L318" t="n">
        <v>0</v>
      </c>
      <c r="M318" t="n">
        <v>0</v>
      </c>
      <c r="N318" t="n">
        <v>0</v>
      </c>
      <c r="O318" t="n">
        <v>0</v>
      </c>
      <c r="P318" t="n">
        <v>0</v>
      </c>
      <c r="Q318" t="n">
        <v>0</v>
      </c>
      <c r="R318" s="2" t="inlineStr"/>
    </row>
    <row r="319" ht="15" customHeight="1">
      <c r="A319" t="inlineStr">
        <is>
          <t>A 31288-2025</t>
        </is>
      </c>
      <c r="B319" s="1" t="n">
        <v>45833</v>
      </c>
      <c r="C319" s="1" t="n">
        <v>46011</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19751-2022</t>
        </is>
      </c>
      <c r="B320" s="1" t="n">
        <v>44694</v>
      </c>
      <c r="C320" s="1" t="n">
        <v>46011</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31771-2025</t>
        </is>
      </c>
      <c r="B321" s="1" t="n">
        <v>45834.50910879629</v>
      </c>
      <c r="C321" s="1" t="n">
        <v>46011</v>
      </c>
      <c r="D321" t="inlineStr">
        <is>
          <t>VÄSTMANLANDS LÄN</t>
        </is>
      </c>
      <c r="E321" t="inlineStr">
        <is>
          <t>SALA</t>
        </is>
      </c>
      <c r="G321" t="n">
        <v>5.1</v>
      </c>
      <c r="H321" t="n">
        <v>0</v>
      </c>
      <c r="I321" t="n">
        <v>0</v>
      </c>
      <c r="J321" t="n">
        <v>0</v>
      </c>
      <c r="K321" t="n">
        <v>0</v>
      </c>
      <c r="L321" t="n">
        <v>0</v>
      </c>
      <c r="M321" t="n">
        <v>0</v>
      </c>
      <c r="N321" t="n">
        <v>0</v>
      </c>
      <c r="O321" t="n">
        <v>0</v>
      </c>
      <c r="P321" t="n">
        <v>0</v>
      </c>
      <c r="Q321" t="n">
        <v>0</v>
      </c>
      <c r="R321" s="2" t="inlineStr"/>
    </row>
    <row r="322" ht="15" customHeight="1">
      <c r="A322" t="inlineStr">
        <is>
          <t>A 44100-2025</t>
        </is>
      </c>
      <c r="B322" s="1" t="n">
        <v>45915.56707175926</v>
      </c>
      <c r="C322" s="1" t="n">
        <v>46011</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46011</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31762-2025</t>
        </is>
      </c>
      <c r="B324" s="1" t="n">
        <v>45834.49288194445</v>
      </c>
      <c r="C324" s="1" t="n">
        <v>46011</v>
      </c>
      <c r="D324" t="inlineStr">
        <is>
          <t>VÄSTMANLANDS LÄN</t>
        </is>
      </c>
      <c r="E324" t="inlineStr">
        <is>
          <t>SALA</t>
        </is>
      </c>
      <c r="G324" t="n">
        <v>5.9</v>
      </c>
      <c r="H324" t="n">
        <v>0</v>
      </c>
      <c r="I324" t="n">
        <v>0</v>
      </c>
      <c r="J324" t="n">
        <v>0</v>
      </c>
      <c r="K324" t="n">
        <v>0</v>
      </c>
      <c r="L324" t="n">
        <v>0</v>
      </c>
      <c r="M324" t="n">
        <v>0</v>
      </c>
      <c r="N324" t="n">
        <v>0</v>
      </c>
      <c r="O324" t="n">
        <v>0</v>
      </c>
      <c r="P324" t="n">
        <v>0</v>
      </c>
      <c r="Q324" t="n">
        <v>0</v>
      </c>
      <c r="R324" s="2" t="inlineStr"/>
    </row>
    <row r="325" ht="15" customHeight="1">
      <c r="A325" t="inlineStr">
        <is>
          <t>A 31608-2025</t>
        </is>
      </c>
      <c r="B325" s="1" t="n">
        <v>45833</v>
      </c>
      <c r="C325" s="1" t="n">
        <v>46011</v>
      </c>
      <c r="D325" t="inlineStr">
        <is>
          <t>VÄSTMANLANDS LÄN</t>
        </is>
      </c>
      <c r="E325" t="inlineStr">
        <is>
          <t>SALA</t>
        </is>
      </c>
      <c r="G325" t="n">
        <v>6.1</v>
      </c>
      <c r="H325" t="n">
        <v>0</v>
      </c>
      <c r="I325" t="n">
        <v>0</v>
      </c>
      <c r="J325" t="n">
        <v>0</v>
      </c>
      <c r="K325" t="n">
        <v>0</v>
      </c>
      <c r="L325" t="n">
        <v>0</v>
      </c>
      <c r="M325" t="n">
        <v>0</v>
      </c>
      <c r="N325" t="n">
        <v>0</v>
      </c>
      <c r="O325" t="n">
        <v>0</v>
      </c>
      <c r="P325" t="n">
        <v>0</v>
      </c>
      <c r="Q325" t="n">
        <v>0</v>
      </c>
      <c r="R325" s="2" t="inlineStr"/>
    </row>
    <row r="326" ht="15" customHeight="1">
      <c r="A326" t="inlineStr">
        <is>
          <t>A 31610-2025</t>
        </is>
      </c>
      <c r="B326" s="1" t="n">
        <v>45833.78650462963</v>
      </c>
      <c r="C326" s="1" t="n">
        <v>46011</v>
      </c>
      <c r="D326" t="inlineStr">
        <is>
          <t>VÄSTMANLANDS LÄN</t>
        </is>
      </c>
      <c r="E326" t="inlineStr">
        <is>
          <t>SALA</t>
        </is>
      </c>
      <c r="G326" t="n">
        <v>8</v>
      </c>
      <c r="H326" t="n">
        <v>0</v>
      </c>
      <c r="I326" t="n">
        <v>0</v>
      </c>
      <c r="J326" t="n">
        <v>0</v>
      </c>
      <c r="K326" t="n">
        <v>0</v>
      </c>
      <c r="L326" t="n">
        <v>0</v>
      </c>
      <c r="M326" t="n">
        <v>0</v>
      </c>
      <c r="N326" t="n">
        <v>0</v>
      </c>
      <c r="O326" t="n">
        <v>0</v>
      </c>
      <c r="P326" t="n">
        <v>0</v>
      </c>
      <c r="Q326" t="n">
        <v>0</v>
      </c>
      <c r="R326" s="2" t="inlineStr"/>
    </row>
    <row r="327" ht="15" customHeight="1">
      <c r="A327" t="inlineStr">
        <is>
          <t>A 31296-2025</t>
        </is>
      </c>
      <c r="B327" s="1" t="n">
        <v>45833.36765046296</v>
      </c>
      <c r="C327" s="1" t="n">
        <v>46011</v>
      </c>
      <c r="D327" t="inlineStr">
        <is>
          <t>VÄSTMANLANDS LÄN</t>
        </is>
      </c>
      <c r="E327" t="inlineStr">
        <is>
          <t>SALA</t>
        </is>
      </c>
      <c r="G327" t="n">
        <v>3.7</v>
      </c>
      <c r="H327" t="n">
        <v>0</v>
      </c>
      <c r="I327" t="n">
        <v>0</v>
      </c>
      <c r="J327" t="n">
        <v>0</v>
      </c>
      <c r="K327" t="n">
        <v>0</v>
      </c>
      <c r="L327" t="n">
        <v>0</v>
      </c>
      <c r="M327" t="n">
        <v>0</v>
      </c>
      <c r="N327" t="n">
        <v>0</v>
      </c>
      <c r="O327" t="n">
        <v>0</v>
      </c>
      <c r="P327" t="n">
        <v>0</v>
      </c>
      <c r="Q327" t="n">
        <v>0</v>
      </c>
      <c r="R327" s="2" t="inlineStr"/>
    </row>
    <row r="328" ht="15" customHeight="1">
      <c r="A328" t="inlineStr">
        <is>
          <t>A 44486-2025</t>
        </is>
      </c>
      <c r="B328" s="1" t="n">
        <v>45916.65517361111</v>
      </c>
      <c r="C328" s="1" t="n">
        <v>46011</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44524-2025</t>
        </is>
      </c>
      <c r="B329" s="1" t="n">
        <v>45916.72920138889</v>
      </c>
      <c r="C329" s="1" t="n">
        <v>46011</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31573-2025</t>
        </is>
      </c>
      <c r="B330" s="1" t="n">
        <v>45833</v>
      </c>
      <c r="C330" s="1" t="n">
        <v>46011</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32201-2025</t>
        </is>
      </c>
      <c r="B331" s="1" t="n">
        <v>45835</v>
      </c>
      <c r="C331" s="1" t="n">
        <v>46011</v>
      </c>
      <c r="D331" t="inlineStr">
        <is>
          <t>VÄSTMANLANDS LÄN</t>
        </is>
      </c>
      <c r="E331" t="inlineStr">
        <is>
          <t>SALA</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43122-2025</t>
        </is>
      </c>
      <c r="B332" s="1" t="n">
        <v>45909</v>
      </c>
      <c r="C332" s="1" t="n">
        <v>46011</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32205-2025</t>
        </is>
      </c>
      <c r="B333" s="1" t="n">
        <v>45835</v>
      </c>
      <c r="C333" s="1" t="n">
        <v>46011</v>
      </c>
      <c r="D333" t="inlineStr">
        <is>
          <t>VÄSTMANLANDS LÄN</t>
        </is>
      </c>
      <c r="E333" t="inlineStr">
        <is>
          <t>SALA</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32210-2025</t>
        </is>
      </c>
      <c r="B334" s="1" t="n">
        <v>45835</v>
      </c>
      <c r="C334" s="1" t="n">
        <v>46011</v>
      </c>
      <c r="D334" t="inlineStr">
        <is>
          <t>VÄSTMANLANDS LÄN</t>
        </is>
      </c>
      <c r="E334" t="inlineStr">
        <is>
          <t>SALA</t>
        </is>
      </c>
      <c r="F334" t="inlineStr">
        <is>
          <t>Bergvik skog öst AB</t>
        </is>
      </c>
      <c r="G334" t="n">
        <v>1.5</v>
      </c>
      <c r="H334" t="n">
        <v>0</v>
      </c>
      <c r="I334" t="n">
        <v>0</v>
      </c>
      <c r="J334" t="n">
        <v>0</v>
      </c>
      <c r="K334" t="n">
        <v>0</v>
      </c>
      <c r="L334" t="n">
        <v>0</v>
      </c>
      <c r="M334" t="n">
        <v>0</v>
      </c>
      <c r="N334" t="n">
        <v>0</v>
      </c>
      <c r="O334" t="n">
        <v>0</v>
      </c>
      <c r="P334" t="n">
        <v>0</v>
      </c>
      <c r="Q334" t="n">
        <v>0</v>
      </c>
      <c r="R334" s="2" t="inlineStr"/>
    </row>
    <row r="335" ht="15" customHeight="1">
      <c r="A335" t="inlineStr">
        <is>
          <t>A 32286-2025</t>
        </is>
      </c>
      <c r="B335" s="1" t="n">
        <v>45835</v>
      </c>
      <c r="C335" s="1" t="n">
        <v>46011</v>
      </c>
      <c r="D335" t="inlineStr">
        <is>
          <t>VÄSTMANLANDS LÄN</t>
        </is>
      </c>
      <c r="E335" t="inlineStr">
        <is>
          <t>SALA</t>
        </is>
      </c>
      <c r="G335" t="n">
        <v>6.4</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46011</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6312-2025</t>
        </is>
      </c>
      <c r="B337" s="1" t="n">
        <v>45698</v>
      </c>
      <c r="C337" s="1" t="n">
        <v>46011</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55035-2023</t>
        </is>
      </c>
      <c r="B338" s="1" t="n">
        <v>45229</v>
      </c>
      <c r="C338" s="1" t="n">
        <v>46011</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32902-2025</t>
        </is>
      </c>
      <c r="B339" s="1" t="n">
        <v>45839</v>
      </c>
      <c r="C339" s="1" t="n">
        <v>46011</v>
      </c>
      <c r="D339" t="inlineStr">
        <is>
          <t>VÄSTMANLANDS LÄN</t>
        </is>
      </c>
      <c r="E339" t="inlineStr">
        <is>
          <t>SALA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4736-2021</t>
        </is>
      </c>
      <c r="B340" s="1" t="n">
        <v>44225</v>
      </c>
      <c r="C340" s="1" t="n">
        <v>46011</v>
      </c>
      <c r="D340" t="inlineStr">
        <is>
          <t>VÄSTMANLANDS LÄN</t>
        </is>
      </c>
      <c r="E340" t="inlineStr">
        <is>
          <t>SALA</t>
        </is>
      </c>
      <c r="G340" t="n">
        <v>4.2</v>
      </c>
      <c r="H340" t="n">
        <v>0</v>
      </c>
      <c r="I340" t="n">
        <v>0</v>
      </c>
      <c r="J340" t="n">
        <v>0</v>
      </c>
      <c r="K340" t="n">
        <v>0</v>
      </c>
      <c r="L340" t="n">
        <v>0</v>
      </c>
      <c r="M340" t="n">
        <v>0</v>
      </c>
      <c r="N340" t="n">
        <v>0</v>
      </c>
      <c r="O340" t="n">
        <v>0</v>
      </c>
      <c r="P340" t="n">
        <v>0</v>
      </c>
      <c r="Q340" t="n">
        <v>0</v>
      </c>
      <c r="R340" s="2" t="inlineStr"/>
    </row>
    <row r="341" ht="15" customHeight="1">
      <c r="A341" t="inlineStr">
        <is>
          <t>A 45371-2025</t>
        </is>
      </c>
      <c r="B341" s="1" t="n">
        <v>45922.39001157408</v>
      </c>
      <c r="C341" s="1" t="n">
        <v>46011</v>
      </c>
      <c r="D341" t="inlineStr">
        <is>
          <t>VÄSTMANLANDS LÄN</t>
        </is>
      </c>
      <c r="E341" t="inlineStr">
        <is>
          <t>SALA</t>
        </is>
      </c>
      <c r="G341" t="n">
        <v>2.1</v>
      </c>
      <c r="H341" t="n">
        <v>0</v>
      </c>
      <c r="I341" t="n">
        <v>0</v>
      </c>
      <c r="J341" t="n">
        <v>0</v>
      </c>
      <c r="K341" t="n">
        <v>0</v>
      </c>
      <c r="L341" t="n">
        <v>0</v>
      </c>
      <c r="M341" t="n">
        <v>0</v>
      </c>
      <c r="N341" t="n">
        <v>0</v>
      </c>
      <c r="O341" t="n">
        <v>0</v>
      </c>
      <c r="P341" t="n">
        <v>0</v>
      </c>
      <c r="Q341" t="n">
        <v>0</v>
      </c>
      <c r="R341" s="2" t="inlineStr"/>
    </row>
    <row r="342" ht="15" customHeight="1">
      <c r="A342" t="inlineStr">
        <is>
          <t>A 45177-2025</t>
        </is>
      </c>
      <c r="B342" s="1" t="n">
        <v>45919.52444444445</v>
      </c>
      <c r="C342" s="1" t="n">
        <v>46011</v>
      </c>
      <c r="D342" t="inlineStr">
        <is>
          <t>VÄSTMANLANDS LÄN</t>
        </is>
      </c>
      <c r="E342" t="inlineStr">
        <is>
          <t>SALA</t>
        </is>
      </c>
      <c r="G342" t="n">
        <v>2.4</v>
      </c>
      <c r="H342" t="n">
        <v>0</v>
      </c>
      <c r="I342" t="n">
        <v>0</v>
      </c>
      <c r="J342" t="n">
        <v>0</v>
      </c>
      <c r="K342" t="n">
        <v>0</v>
      </c>
      <c r="L342" t="n">
        <v>0</v>
      </c>
      <c r="M342" t="n">
        <v>0</v>
      </c>
      <c r="N342" t="n">
        <v>0</v>
      </c>
      <c r="O342" t="n">
        <v>0</v>
      </c>
      <c r="P342" t="n">
        <v>0</v>
      </c>
      <c r="Q342" t="n">
        <v>0</v>
      </c>
      <c r="R342" s="2" t="inlineStr"/>
    </row>
    <row r="343" ht="15" customHeight="1">
      <c r="A343" t="inlineStr">
        <is>
          <t>A 52500-2024</t>
        </is>
      </c>
      <c r="B343" s="1" t="n">
        <v>45609</v>
      </c>
      <c r="C343" s="1" t="n">
        <v>46011</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45914-2025</t>
        </is>
      </c>
      <c r="B344" s="1" t="n">
        <v>45923.82582175926</v>
      </c>
      <c r="C344" s="1" t="n">
        <v>46011</v>
      </c>
      <c r="D344" t="inlineStr">
        <is>
          <t>VÄSTMANLANDS LÄN</t>
        </is>
      </c>
      <c r="E344" t="inlineStr">
        <is>
          <t>SALA</t>
        </is>
      </c>
      <c r="F344" t="inlineStr">
        <is>
          <t>Kommuner</t>
        </is>
      </c>
      <c r="G344" t="n">
        <v>18.2</v>
      </c>
      <c r="H344" t="n">
        <v>0</v>
      </c>
      <c r="I344" t="n">
        <v>0</v>
      </c>
      <c r="J344" t="n">
        <v>0</v>
      </c>
      <c r="K344" t="n">
        <v>0</v>
      </c>
      <c r="L344" t="n">
        <v>0</v>
      </c>
      <c r="M344" t="n">
        <v>0</v>
      </c>
      <c r="N344" t="n">
        <v>0</v>
      </c>
      <c r="O344" t="n">
        <v>0</v>
      </c>
      <c r="P344" t="n">
        <v>0</v>
      </c>
      <c r="Q344" t="n">
        <v>0</v>
      </c>
      <c r="R344" s="2" t="inlineStr"/>
    </row>
    <row r="345" ht="15" customHeight="1">
      <c r="A345" t="inlineStr">
        <is>
          <t>A 45909-2025</t>
        </is>
      </c>
      <c r="B345" s="1" t="n">
        <v>45923.75078703704</v>
      </c>
      <c r="C345" s="1" t="n">
        <v>46011</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7950-2025</t>
        </is>
      </c>
      <c r="B346" s="1" t="n">
        <v>45707.41799768519</v>
      </c>
      <c r="C346" s="1" t="n">
        <v>46011</v>
      </c>
      <c r="D346" t="inlineStr">
        <is>
          <t>VÄSTMANLANDS LÄN</t>
        </is>
      </c>
      <c r="E346" t="inlineStr">
        <is>
          <t>SALA</t>
        </is>
      </c>
      <c r="G346" t="n">
        <v>3.2</v>
      </c>
      <c r="H346" t="n">
        <v>0</v>
      </c>
      <c r="I346" t="n">
        <v>0</v>
      </c>
      <c r="J346" t="n">
        <v>0</v>
      </c>
      <c r="K346" t="n">
        <v>0</v>
      </c>
      <c r="L346" t="n">
        <v>0</v>
      </c>
      <c r="M346" t="n">
        <v>0</v>
      </c>
      <c r="N346" t="n">
        <v>0</v>
      </c>
      <c r="O346" t="n">
        <v>0</v>
      </c>
      <c r="P346" t="n">
        <v>0</v>
      </c>
      <c r="Q346" t="n">
        <v>0</v>
      </c>
      <c r="R346" s="2" t="inlineStr"/>
    </row>
    <row r="347" ht="15" customHeight="1">
      <c r="A347" t="inlineStr">
        <is>
          <t>A 46597-2025</t>
        </is>
      </c>
      <c r="B347" s="1" t="n">
        <v>45926.40113425926</v>
      </c>
      <c r="C347" s="1" t="n">
        <v>46011</v>
      </c>
      <c r="D347" t="inlineStr">
        <is>
          <t>VÄSTMANLANDS LÄN</t>
        </is>
      </c>
      <c r="E347" t="inlineStr">
        <is>
          <t>SALA</t>
        </is>
      </c>
      <c r="G347" t="n">
        <v>3.4</v>
      </c>
      <c r="H347" t="n">
        <v>0</v>
      </c>
      <c r="I347" t="n">
        <v>0</v>
      </c>
      <c r="J347" t="n">
        <v>0</v>
      </c>
      <c r="K347" t="n">
        <v>0</v>
      </c>
      <c r="L347" t="n">
        <v>0</v>
      </c>
      <c r="M347" t="n">
        <v>0</v>
      </c>
      <c r="N347" t="n">
        <v>0</v>
      </c>
      <c r="O347" t="n">
        <v>0</v>
      </c>
      <c r="P347" t="n">
        <v>0</v>
      </c>
      <c r="Q347" t="n">
        <v>0</v>
      </c>
      <c r="R347" s="2" t="inlineStr"/>
    </row>
    <row r="348" ht="15" customHeight="1">
      <c r="A348" t="inlineStr">
        <is>
          <t>A 10812-2021</t>
        </is>
      </c>
      <c r="B348" s="1" t="n">
        <v>44259</v>
      </c>
      <c r="C348" s="1" t="n">
        <v>46011</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10154-2021</t>
        </is>
      </c>
      <c r="B349" s="1" t="n">
        <v>44256</v>
      </c>
      <c r="C349" s="1" t="n">
        <v>46011</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34069-2025</t>
        </is>
      </c>
      <c r="B350" s="1" t="n">
        <v>45845.43560185185</v>
      </c>
      <c r="C350" s="1" t="n">
        <v>46011</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c r="U350">
        <f>HYPERLINK("https://klasma.github.io/Logging_1981/knärot/A 34069-2025 karta knärot.png", "A 34069-2025")</f>
        <v/>
      </c>
      <c r="V350">
        <f>HYPERLINK("https://klasma.github.io/Logging_1981/klagomål/A 34069-2025 FSC-klagomål.docx", "A 34069-2025")</f>
        <v/>
      </c>
      <c r="W350">
        <f>HYPERLINK("https://klasma.github.io/Logging_1981/klagomålsmail/A 34069-2025 FSC-klagomål mail.docx", "A 34069-2025")</f>
        <v/>
      </c>
      <c r="X350">
        <f>HYPERLINK("https://klasma.github.io/Logging_1981/tillsyn/A 34069-2025 tillsynsbegäran.docx", "A 34069-2025")</f>
        <v/>
      </c>
      <c r="Y350">
        <f>HYPERLINK("https://klasma.github.io/Logging_1981/tillsynsmail/A 34069-2025 tillsynsbegäran mail.docx", "A 34069-2025")</f>
        <v/>
      </c>
    </row>
    <row r="351" ht="15" customHeight="1">
      <c r="A351" t="inlineStr">
        <is>
          <t>A 16328-2025</t>
        </is>
      </c>
      <c r="B351" s="1" t="n">
        <v>45751</v>
      </c>
      <c r="C351" s="1" t="n">
        <v>46011</v>
      </c>
      <c r="D351" t="inlineStr">
        <is>
          <t>VÄSTMANLANDS LÄN</t>
        </is>
      </c>
      <c r="E351" t="inlineStr">
        <is>
          <t>SALA</t>
        </is>
      </c>
      <c r="G351" t="n">
        <v>2.9</v>
      </c>
      <c r="H351" t="n">
        <v>0</v>
      </c>
      <c r="I351" t="n">
        <v>0</v>
      </c>
      <c r="J351" t="n">
        <v>0</v>
      </c>
      <c r="K351" t="n">
        <v>0</v>
      </c>
      <c r="L351" t="n">
        <v>0</v>
      </c>
      <c r="M351" t="n">
        <v>0</v>
      </c>
      <c r="N351" t="n">
        <v>0</v>
      </c>
      <c r="O351" t="n">
        <v>0</v>
      </c>
      <c r="P351" t="n">
        <v>0</v>
      </c>
      <c r="Q351" t="n">
        <v>0</v>
      </c>
      <c r="R351" s="2" t="inlineStr"/>
    </row>
    <row r="352" ht="15" customHeight="1">
      <c r="A352" t="inlineStr">
        <is>
          <t>A 15744-2025</t>
        </is>
      </c>
      <c r="B352" s="1" t="n">
        <v>45748</v>
      </c>
      <c r="C352" s="1" t="n">
        <v>46011</v>
      </c>
      <c r="D352" t="inlineStr">
        <is>
          <t>VÄSTMANLANDS LÄN</t>
        </is>
      </c>
      <c r="E352" t="inlineStr">
        <is>
          <t>SALA</t>
        </is>
      </c>
      <c r="G352" t="n">
        <v>1.6</v>
      </c>
      <c r="H352" t="n">
        <v>0</v>
      </c>
      <c r="I352" t="n">
        <v>0</v>
      </c>
      <c r="J352" t="n">
        <v>0</v>
      </c>
      <c r="K352" t="n">
        <v>0</v>
      </c>
      <c r="L352" t="n">
        <v>0</v>
      </c>
      <c r="M352" t="n">
        <v>0</v>
      </c>
      <c r="N352" t="n">
        <v>0</v>
      </c>
      <c r="O352" t="n">
        <v>0</v>
      </c>
      <c r="P352" t="n">
        <v>0</v>
      </c>
      <c r="Q352" t="n">
        <v>0</v>
      </c>
      <c r="R352" s="2" t="inlineStr"/>
    </row>
    <row r="353" ht="15" customHeight="1">
      <c r="A353" t="inlineStr">
        <is>
          <t>A 46661-2025</t>
        </is>
      </c>
      <c r="B353" s="1" t="n">
        <v>45926</v>
      </c>
      <c r="C353" s="1" t="n">
        <v>46011</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31609-2024</t>
        </is>
      </c>
      <c r="B354" s="1" t="n">
        <v>45506</v>
      </c>
      <c r="C354" s="1" t="n">
        <v>46011</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46915-2025</t>
        </is>
      </c>
      <c r="B355" s="1" t="n">
        <v>45929.42114583333</v>
      </c>
      <c r="C355" s="1" t="n">
        <v>46011</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55714-2025</t>
        </is>
      </c>
      <c r="B356" s="1" t="n">
        <v>45972.49131944445</v>
      </c>
      <c r="C356" s="1" t="n">
        <v>46011</v>
      </c>
      <c r="D356" t="inlineStr">
        <is>
          <t>VÄSTMANLANDS LÄN</t>
        </is>
      </c>
      <c r="E356" t="inlineStr">
        <is>
          <t>SALA</t>
        </is>
      </c>
      <c r="G356" t="n">
        <v>6.6</v>
      </c>
      <c r="H356" t="n">
        <v>0</v>
      </c>
      <c r="I356" t="n">
        <v>0</v>
      </c>
      <c r="J356" t="n">
        <v>0</v>
      </c>
      <c r="K356" t="n">
        <v>0</v>
      </c>
      <c r="L356" t="n">
        <v>0</v>
      </c>
      <c r="M356" t="n">
        <v>0</v>
      </c>
      <c r="N356" t="n">
        <v>0</v>
      </c>
      <c r="O356" t="n">
        <v>0</v>
      </c>
      <c r="P356" t="n">
        <v>0</v>
      </c>
      <c r="Q356" t="n">
        <v>0</v>
      </c>
      <c r="R356" s="2" t="inlineStr"/>
    </row>
    <row r="357" ht="15" customHeight="1">
      <c r="A357" t="inlineStr">
        <is>
          <t>A 35410-2022</t>
        </is>
      </c>
      <c r="B357" s="1" t="n">
        <v>44798.62576388889</v>
      </c>
      <c r="C357" s="1" t="n">
        <v>46011</v>
      </c>
      <c r="D357" t="inlineStr">
        <is>
          <t>VÄSTMANLANDS LÄN</t>
        </is>
      </c>
      <c r="E357" t="inlineStr">
        <is>
          <t>SALA</t>
        </is>
      </c>
      <c r="G357" t="n">
        <v>1.6</v>
      </c>
      <c r="H357" t="n">
        <v>0</v>
      </c>
      <c r="I357" t="n">
        <v>0</v>
      </c>
      <c r="J357" t="n">
        <v>0</v>
      </c>
      <c r="K357" t="n">
        <v>0</v>
      </c>
      <c r="L357" t="n">
        <v>0</v>
      </c>
      <c r="M357" t="n">
        <v>0</v>
      </c>
      <c r="N357" t="n">
        <v>0</v>
      </c>
      <c r="O357" t="n">
        <v>0</v>
      </c>
      <c r="P357" t="n">
        <v>0</v>
      </c>
      <c r="Q357" t="n">
        <v>0</v>
      </c>
      <c r="R357" s="2" t="inlineStr"/>
    </row>
    <row r="358" ht="15" customHeight="1">
      <c r="A358" t="inlineStr">
        <is>
          <t>A 55997-2025</t>
        </is>
      </c>
      <c r="B358" s="1" t="n">
        <v>45973.56833333334</v>
      </c>
      <c r="C358" s="1" t="n">
        <v>46011</v>
      </c>
      <c r="D358" t="inlineStr">
        <is>
          <t>VÄSTMANLANDS LÄN</t>
        </is>
      </c>
      <c r="E358" t="inlineStr">
        <is>
          <t>SALA</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35715-2025</t>
        </is>
      </c>
      <c r="B359" s="1" t="n">
        <v>45860.42148148148</v>
      </c>
      <c r="C359" s="1" t="n">
        <v>46011</v>
      </c>
      <c r="D359" t="inlineStr">
        <is>
          <t>VÄSTMANLANDS LÄN</t>
        </is>
      </c>
      <c r="E359" t="inlineStr">
        <is>
          <t>SALA</t>
        </is>
      </c>
      <c r="G359" t="n">
        <v>3.8</v>
      </c>
      <c r="H359" t="n">
        <v>0</v>
      </c>
      <c r="I359" t="n">
        <v>0</v>
      </c>
      <c r="J359" t="n">
        <v>0</v>
      </c>
      <c r="K359" t="n">
        <v>0</v>
      </c>
      <c r="L359" t="n">
        <v>0</v>
      </c>
      <c r="M359" t="n">
        <v>0</v>
      </c>
      <c r="N359" t="n">
        <v>0</v>
      </c>
      <c r="O359" t="n">
        <v>0</v>
      </c>
      <c r="P359" t="n">
        <v>0</v>
      </c>
      <c r="Q359" t="n">
        <v>0</v>
      </c>
      <c r="R359" s="2" t="inlineStr"/>
    </row>
    <row r="360" ht="15" customHeight="1">
      <c r="A360" t="inlineStr">
        <is>
          <t>A 35651-2025</t>
        </is>
      </c>
      <c r="B360" s="1" t="n">
        <v>45859.52435185185</v>
      </c>
      <c r="C360" s="1" t="n">
        <v>46011</v>
      </c>
      <c r="D360" t="inlineStr">
        <is>
          <t>VÄSTMANLANDS LÄN</t>
        </is>
      </c>
      <c r="E360" t="inlineStr">
        <is>
          <t>SALA</t>
        </is>
      </c>
      <c r="G360" t="n">
        <v>6.3</v>
      </c>
      <c r="H360" t="n">
        <v>0</v>
      </c>
      <c r="I360" t="n">
        <v>0</v>
      </c>
      <c r="J360" t="n">
        <v>0</v>
      </c>
      <c r="K360" t="n">
        <v>0</v>
      </c>
      <c r="L360" t="n">
        <v>0</v>
      </c>
      <c r="M360" t="n">
        <v>0</v>
      </c>
      <c r="N360" t="n">
        <v>0</v>
      </c>
      <c r="O360" t="n">
        <v>0</v>
      </c>
      <c r="P360" t="n">
        <v>0</v>
      </c>
      <c r="Q360" t="n">
        <v>0</v>
      </c>
      <c r="R360" s="2" t="inlineStr"/>
    </row>
    <row r="361" ht="15" customHeight="1">
      <c r="A361" t="inlineStr">
        <is>
          <t>A 48057-2025</t>
        </is>
      </c>
      <c r="B361" s="1" t="n">
        <v>45932.67947916667</v>
      </c>
      <c r="C361" s="1" t="n">
        <v>46011</v>
      </c>
      <c r="D361" t="inlineStr">
        <is>
          <t>VÄSTMANLANDS LÄN</t>
        </is>
      </c>
      <c r="E361" t="inlineStr">
        <is>
          <t>SALA</t>
        </is>
      </c>
      <c r="G361" t="n">
        <v>4.3</v>
      </c>
      <c r="H361" t="n">
        <v>0</v>
      </c>
      <c r="I361" t="n">
        <v>0</v>
      </c>
      <c r="J361" t="n">
        <v>0</v>
      </c>
      <c r="K361" t="n">
        <v>0</v>
      </c>
      <c r="L361" t="n">
        <v>0</v>
      </c>
      <c r="M361" t="n">
        <v>0</v>
      </c>
      <c r="N361" t="n">
        <v>0</v>
      </c>
      <c r="O361" t="n">
        <v>0</v>
      </c>
      <c r="P361" t="n">
        <v>0</v>
      </c>
      <c r="Q361" t="n">
        <v>0</v>
      </c>
      <c r="R361" s="2" t="inlineStr"/>
    </row>
    <row r="362" ht="15" customHeight="1">
      <c r="A362" t="inlineStr">
        <is>
          <t>A 35775-2025</t>
        </is>
      </c>
      <c r="B362" s="1" t="n">
        <v>45860</v>
      </c>
      <c r="C362" s="1" t="n">
        <v>46011</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35774-2025</t>
        </is>
      </c>
      <c r="B363" s="1" t="n">
        <v>45860.68780092592</v>
      </c>
      <c r="C363" s="1" t="n">
        <v>46011</v>
      </c>
      <c r="D363" t="inlineStr">
        <is>
          <t>VÄSTMANLANDS LÄN</t>
        </is>
      </c>
      <c r="E363" t="inlineStr">
        <is>
          <t>SALA</t>
        </is>
      </c>
      <c r="G363" t="n">
        <v>6.5</v>
      </c>
      <c r="H363" t="n">
        <v>0</v>
      </c>
      <c r="I363" t="n">
        <v>0</v>
      </c>
      <c r="J363" t="n">
        <v>0</v>
      </c>
      <c r="K363" t="n">
        <v>0</v>
      </c>
      <c r="L363" t="n">
        <v>0</v>
      </c>
      <c r="M363" t="n">
        <v>0</v>
      </c>
      <c r="N363" t="n">
        <v>0</v>
      </c>
      <c r="O363" t="n">
        <v>0</v>
      </c>
      <c r="P363" t="n">
        <v>0</v>
      </c>
      <c r="Q363" t="n">
        <v>0</v>
      </c>
      <c r="R363" s="2" t="inlineStr"/>
    </row>
    <row r="364" ht="15" customHeight="1">
      <c r="A364" t="inlineStr">
        <is>
          <t>A 35776-2025</t>
        </is>
      </c>
      <c r="B364" s="1" t="n">
        <v>45860.69211805556</v>
      </c>
      <c r="C364" s="1" t="n">
        <v>46011</v>
      </c>
      <c r="D364" t="inlineStr">
        <is>
          <t>VÄSTMANLANDS LÄN</t>
        </is>
      </c>
      <c r="E364" t="inlineStr">
        <is>
          <t>SALA</t>
        </is>
      </c>
      <c r="G364" t="n">
        <v>14.2</v>
      </c>
      <c r="H364" t="n">
        <v>0</v>
      </c>
      <c r="I364" t="n">
        <v>0</v>
      </c>
      <c r="J364" t="n">
        <v>0</v>
      </c>
      <c r="K364" t="n">
        <v>0</v>
      </c>
      <c r="L364" t="n">
        <v>0</v>
      </c>
      <c r="M364" t="n">
        <v>0</v>
      </c>
      <c r="N364" t="n">
        <v>0</v>
      </c>
      <c r="O364" t="n">
        <v>0</v>
      </c>
      <c r="P364" t="n">
        <v>0</v>
      </c>
      <c r="Q364" t="n">
        <v>0</v>
      </c>
      <c r="R364" s="2" t="inlineStr"/>
    </row>
    <row r="365" ht="15" customHeight="1">
      <c r="A365" t="inlineStr">
        <is>
          <t>A 35779-2025</t>
        </is>
      </c>
      <c r="B365" s="1" t="n">
        <v>45860.69495370371</v>
      </c>
      <c r="C365" s="1" t="n">
        <v>46011</v>
      </c>
      <c r="D365" t="inlineStr">
        <is>
          <t>VÄSTMANLANDS LÄN</t>
        </is>
      </c>
      <c r="E365" t="inlineStr">
        <is>
          <t>SALA</t>
        </is>
      </c>
      <c r="G365" t="n">
        <v>2.4</v>
      </c>
      <c r="H365" t="n">
        <v>0</v>
      </c>
      <c r="I365" t="n">
        <v>0</v>
      </c>
      <c r="J365" t="n">
        <v>0</v>
      </c>
      <c r="K365" t="n">
        <v>0</v>
      </c>
      <c r="L365" t="n">
        <v>0</v>
      </c>
      <c r="M365" t="n">
        <v>0</v>
      </c>
      <c r="N365" t="n">
        <v>0</v>
      </c>
      <c r="O365" t="n">
        <v>0</v>
      </c>
      <c r="P365" t="n">
        <v>0</v>
      </c>
      <c r="Q365" t="n">
        <v>0</v>
      </c>
      <c r="R365" s="2" t="inlineStr"/>
    </row>
    <row r="366" ht="15" customHeight="1">
      <c r="A366" t="inlineStr">
        <is>
          <t>A 21159-2022</t>
        </is>
      </c>
      <c r="B366" s="1" t="n">
        <v>44704</v>
      </c>
      <c r="C366" s="1" t="n">
        <v>46011</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47577-2025</t>
        </is>
      </c>
      <c r="B367" s="1" t="n">
        <v>45931.4047337963</v>
      </c>
      <c r="C367" s="1" t="n">
        <v>46011</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36049-2025</t>
        </is>
      </c>
      <c r="B368" s="1" t="n">
        <v>45866.37065972222</v>
      </c>
      <c r="C368" s="1" t="n">
        <v>46011</v>
      </c>
      <c r="D368" t="inlineStr">
        <is>
          <t>VÄSTMANLANDS LÄN</t>
        </is>
      </c>
      <c r="E368" t="inlineStr">
        <is>
          <t>SALA</t>
        </is>
      </c>
      <c r="F368" t="inlineStr">
        <is>
          <t>Kommuner</t>
        </is>
      </c>
      <c r="G368" t="n">
        <v>1.9</v>
      </c>
      <c r="H368" t="n">
        <v>0</v>
      </c>
      <c r="I368" t="n">
        <v>0</v>
      </c>
      <c r="J368" t="n">
        <v>0</v>
      </c>
      <c r="K368" t="n">
        <v>0</v>
      </c>
      <c r="L368" t="n">
        <v>0</v>
      </c>
      <c r="M368" t="n">
        <v>0</v>
      </c>
      <c r="N368" t="n">
        <v>0</v>
      </c>
      <c r="O368" t="n">
        <v>0</v>
      </c>
      <c r="P368" t="n">
        <v>0</v>
      </c>
      <c r="Q368" t="n">
        <v>0</v>
      </c>
      <c r="R368" s="2" t="inlineStr"/>
    </row>
    <row r="369" ht="15" customHeight="1">
      <c r="A369" t="inlineStr">
        <is>
          <t>A 41292-2021</t>
        </is>
      </c>
      <c r="B369" s="1" t="n">
        <v>44424</v>
      </c>
      <c r="C369" s="1" t="n">
        <v>46011</v>
      </c>
      <c r="D369" t="inlineStr">
        <is>
          <t>VÄSTMANLANDS LÄN</t>
        </is>
      </c>
      <c r="E369" t="inlineStr">
        <is>
          <t>SALA</t>
        </is>
      </c>
      <c r="G369" t="n">
        <v>0.3</v>
      </c>
      <c r="H369" t="n">
        <v>0</v>
      </c>
      <c r="I369" t="n">
        <v>0</v>
      </c>
      <c r="J369" t="n">
        <v>0</v>
      </c>
      <c r="K369" t="n">
        <v>0</v>
      </c>
      <c r="L369" t="n">
        <v>0</v>
      </c>
      <c r="M369" t="n">
        <v>0</v>
      </c>
      <c r="N369" t="n">
        <v>0</v>
      </c>
      <c r="O369" t="n">
        <v>0</v>
      </c>
      <c r="P369" t="n">
        <v>0</v>
      </c>
      <c r="Q369" t="n">
        <v>0</v>
      </c>
      <c r="R369" s="2" t="inlineStr"/>
    </row>
    <row r="370" ht="15" customHeight="1">
      <c r="A370" t="inlineStr">
        <is>
          <t>A 60328-2024</t>
        </is>
      </c>
      <c r="B370" s="1" t="n">
        <v>45643.38416666666</v>
      </c>
      <c r="C370" s="1" t="n">
        <v>46011</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36031-2025</t>
        </is>
      </c>
      <c r="B371" s="1" t="n">
        <v>45865.46111111111</v>
      </c>
      <c r="C371" s="1" t="n">
        <v>46011</v>
      </c>
      <c r="D371" t="inlineStr">
        <is>
          <t>VÄSTMANLANDS LÄN</t>
        </is>
      </c>
      <c r="E371" t="inlineStr">
        <is>
          <t>SALA</t>
        </is>
      </c>
      <c r="G371" t="n">
        <v>7.2</v>
      </c>
      <c r="H371" t="n">
        <v>0</v>
      </c>
      <c r="I371" t="n">
        <v>0</v>
      </c>
      <c r="J371" t="n">
        <v>0</v>
      </c>
      <c r="K371" t="n">
        <v>0</v>
      </c>
      <c r="L371" t="n">
        <v>0</v>
      </c>
      <c r="M371" t="n">
        <v>0</v>
      </c>
      <c r="N371" t="n">
        <v>0</v>
      </c>
      <c r="O371" t="n">
        <v>0</v>
      </c>
      <c r="P371" t="n">
        <v>0</v>
      </c>
      <c r="Q371" t="n">
        <v>0</v>
      </c>
      <c r="R371" s="2" t="inlineStr"/>
    </row>
    <row r="372" ht="15" customHeight="1">
      <c r="A372" t="inlineStr">
        <is>
          <t>A 36060-2025</t>
        </is>
      </c>
      <c r="B372" s="1" t="n">
        <v>45866.39469907407</v>
      </c>
      <c r="C372" s="1" t="n">
        <v>46011</v>
      </c>
      <c r="D372" t="inlineStr">
        <is>
          <t>VÄSTMANLANDS LÄN</t>
        </is>
      </c>
      <c r="E372" t="inlineStr">
        <is>
          <t>SALA</t>
        </is>
      </c>
      <c r="F372" t="inlineStr">
        <is>
          <t>Kommuner</t>
        </is>
      </c>
      <c r="G372" t="n">
        <v>4.3</v>
      </c>
      <c r="H372" t="n">
        <v>0</v>
      </c>
      <c r="I372" t="n">
        <v>0</v>
      </c>
      <c r="J372" t="n">
        <v>0</v>
      </c>
      <c r="K372" t="n">
        <v>0</v>
      </c>
      <c r="L372" t="n">
        <v>0</v>
      </c>
      <c r="M372" t="n">
        <v>0</v>
      </c>
      <c r="N372" t="n">
        <v>0</v>
      </c>
      <c r="O372" t="n">
        <v>0</v>
      </c>
      <c r="P372" t="n">
        <v>0</v>
      </c>
      <c r="Q372" t="n">
        <v>0</v>
      </c>
      <c r="R372" s="2" t="inlineStr"/>
    </row>
    <row r="373" ht="15" customHeight="1">
      <c r="A373" t="inlineStr">
        <is>
          <t>A 36032-2025</t>
        </is>
      </c>
      <c r="B373" s="1" t="n">
        <v>45865.48740740741</v>
      </c>
      <c r="C373" s="1" t="n">
        <v>46011</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36043-2025</t>
        </is>
      </c>
      <c r="B374" s="1" t="n">
        <v>45866.35333333333</v>
      </c>
      <c r="C374" s="1" t="n">
        <v>46011</v>
      </c>
      <c r="D374" t="inlineStr">
        <is>
          <t>VÄSTMANLANDS LÄN</t>
        </is>
      </c>
      <c r="E374" t="inlineStr">
        <is>
          <t>SALA</t>
        </is>
      </c>
      <c r="F374" t="inlineStr">
        <is>
          <t>Kommuner</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36045-2025</t>
        </is>
      </c>
      <c r="B375" s="1" t="n">
        <v>45866.36200231482</v>
      </c>
      <c r="C375" s="1" t="n">
        <v>46011</v>
      </c>
      <c r="D375" t="inlineStr">
        <is>
          <t>VÄSTMANLANDS LÄN</t>
        </is>
      </c>
      <c r="E375" t="inlineStr">
        <is>
          <t>SALA</t>
        </is>
      </c>
      <c r="F375" t="inlineStr">
        <is>
          <t>Kommuner</t>
        </is>
      </c>
      <c r="G375" t="n">
        <v>1.7</v>
      </c>
      <c r="H375" t="n">
        <v>0</v>
      </c>
      <c r="I375" t="n">
        <v>0</v>
      </c>
      <c r="J375" t="n">
        <v>0</v>
      </c>
      <c r="K375" t="n">
        <v>0</v>
      </c>
      <c r="L375" t="n">
        <v>0</v>
      </c>
      <c r="M375" t="n">
        <v>0</v>
      </c>
      <c r="N375" t="n">
        <v>0</v>
      </c>
      <c r="O375" t="n">
        <v>0</v>
      </c>
      <c r="P375" t="n">
        <v>0</v>
      </c>
      <c r="Q375" t="n">
        <v>0</v>
      </c>
      <c r="R375" s="2" t="inlineStr"/>
    </row>
    <row r="376" ht="15" customHeight="1">
      <c r="A376" t="inlineStr">
        <is>
          <t>A 6088-2021</t>
        </is>
      </c>
      <c r="B376" s="1" t="n">
        <v>44232</v>
      </c>
      <c r="C376" s="1" t="n">
        <v>46011</v>
      </c>
      <c r="D376" t="inlineStr">
        <is>
          <t>VÄSTMANLANDS LÄN</t>
        </is>
      </c>
      <c r="E376" t="inlineStr">
        <is>
          <t>SALA</t>
        </is>
      </c>
      <c r="G376" t="n">
        <v>0.2</v>
      </c>
      <c r="H376" t="n">
        <v>0</v>
      </c>
      <c r="I376" t="n">
        <v>0</v>
      </c>
      <c r="J376" t="n">
        <v>0</v>
      </c>
      <c r="K376" t="n">
        <v>0</v>
      </c>
      <c r="L376" t="n">
        <v>0</v>
      </c>
      <c r="M376" t="n">
        <v>0</v>
      </c>
      <c r="N376" t="n">
        <v>0</v>
      </c>
      <c r="O376" t="n">
        <v>0</v>
      </c>
      <c r="P376" t="n">
        <v>0</v>
      </c>
      <c r="Q376" t="n">
        <v>0</v>
      </c>
      <c r="R376" s="2" t="inlineStr"/>
    </row>
    <row r="377" ht="15" customHeight="1">
      <c r="A377" t="inlineStr">
        <is>
          <t>A 33273-2023</t>
        </is>
      </c>
      <c r="B377" s="1" t="n">
        <v>45127</v>
      </c>
      <c r="C377" s="1" t="n">
        <v>46011</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48710-2025</t>
        </is>
      </c>
      <c r="B378" s="1" t="n">
        <v>45936.63184027778</v>
      </c>
      <c r="C378" s="1" t="n">
        <v>46011</v>
      </c>
      <c r="D378" t="inlineStr">
        <is>
          <t>VÄSTMANLANDS LÄN</t>
        </is>
      </c>
      <c r="E378" t="inlineStr">
        <is>
          <t>SALA</t>
        </is>
      </c>
      <c r="G378" t="n">
        <v>2.7</v>
      </c>
      <c r="H378" t="n">
        <v>0</v>
      </c>
      <c r="I378" t="n">
        <v>0</v>
      </c>
      <c r="J378" t="n">
        <v>0</v>
      </c>
      <c r="K378" t="n">
        <v>0</v>
      </c>
      <c r="L378" t="n">
        <v>0</v>
      </c>
      <c r="M378" t="n">
        <v>0</v>
      </c>
      <c r="N378" t="n">
        <v>0</v>
      </c>
      <c r="O378" t="n">
        <v>0</v>
      </c>
      <c r="P378" t="n">
        <v>0</v>
      </c>
      <c r="Q378" t="n">
        <v>0</v>
      </c>
      <c r="R378" s="2" t="inlineStr"/>
    </row>
    <row r="379" ht="15" customHeight="1">
      <c r="A379" t="inlineStr">
        <is>
          <t>A 17985-2025</t>
        </is>
      </c>
      <c r="B379" s="1" t="n">
        <v>45761</v>
      </c>
      <c r="C379" s="1" t="n">
        <v>46011</v>
      </c>
      <c r="D379" t="inlineStr">
        <is>
          <t>VÄSTMANLANDS LÄN</t>
        </is>
      </c>
      <c r="E379" t="inlineStr">
        <is>
          <t>SALA</t>
        </is>
      </c>
      <c r="G379" t="n">
        <v>12.5</v>
      </c>
      <c r="H379" t="n">
        <v>0</v>
      </c>
      <c r="I379" t="n">
        <v>0</v>
      </c>
      <c r="J379" t="n">
        <v>0</v>
      </c>
      <c r="K379" t="n">
        <v>0</v>
      </c>
      <c r="L379" t="n">
        <v>0</v>
      </c>
      <c r="M379" t="n">
        <v>0</v>
      </c>
      <c r="N379" t="n">
        <v>0</v>
      </c>
      <c r="O379" t="n">
        <v>0</v>
      </c>
      <c r="P379" t="n">
        <v>0</v>
      </c>
      <c r="Q379" t="n">
        <v>0</v>
      </c>
      <c r="R379" s="2" t="inlineStr"/>
    </row>
    <row r="380" ht="15" customHeight="1">
      <c r="A380" t="inlineStr">
        <is>
          <t>A 31869-2025</t>
        </is>
      </c>
      <c r="B380" s="1" t="n">
        <v>45834.64555555556</v>
      </c>
      <c r="C380" s="1" t="n">
        <v>46011</v>
      </c>
      <c r="D380" t="inlineStr">
        <is>
          <t>VÄSTMANLANDS LÄN</t>
        </is>
      </c>
      <c r="E380" t="inlineStr">
        <is>
          <t>SALA</t>
        </is>
      </c>
      <c r="G380" t="n">
        <v>17.5</v>
      </c>
      <c r="H380" t="n">
        <v>0</v>
      </c>
      <c r="I380" t="n">
        <v>0</v>
      </c>
      <c r="J380" t="n">
        <v>0</v>
      </c>
      <c r="K380" t="n">
        <v>0</v>
      </c>
      <c r="L380" t="n">
        <v>0</v>
      </c>
      <c r="M380" t="n">
        <v>0</v>
      </c>
      <c r="N380" t="n">
        <v>0</v>
      </c>
      <c r="O380" t="n">
        <v>0</v>
      </c>
      <c r="P380" t="n">
        <v>0</v>
      </c>
      <c r="Q380" t="n">
        <v>0</v>
      </c>
      <c r="R380" s="2" t="inlineStr"/>
    </row>
    <row r="381" ht="15" customHeight="1">
      <c r="A381" t="inlineStr">
        <is>
          <t>A 31863-2025</t>
        </is>
      </c>
      <c r="B381" s="1" t="n">
        <v>45834.63303240741</v>
      </c>
      <c r="C381" s="1" t="n">
        <v>46011</v>
      </c>
      <c r="D381" t="inlineStr">
        <is>
          <t>VÄSTMANLANDS LÄN</t>
        </is>
      </c>
      <c r="E381" t="inlineStr">
        <is>
          <t>SALA</t>
        </is>
      </c>
      <c r="G381" t="n">
        <v>2.5</v>
      </c>
      <c r="H381" t="n">
        <v>0</v>
      </c>
      <c r="I381" t="n">
        <v>0</v>
      </c>
      <c r="J381" t="n">
        <v>0</v>
      </c>
      <c r="K381" t="n">
        <v>0</v>
      </c>
      <c r="L381" t="n">
        <v>0</v>
      </c>
      <c r="M381" t="n">
        <v>0</v>
      </c>
      <c r="N381" t="n">
        <v>0</v>
      </c>
      <c r="O381" t="n">
        <v>0</v>
      </c>
      <c r="P381" t="n">
        <v>0</v>
      </c>
      <c r="Q381" t="n">
        <v>0</v>
      </c>
      <c r="R381" s="2" t="inlineStr"/>
    </row>
    <row r="382" ht="15" customHeight="1">
      <c r="A382" t="inlineStr">
        <is>
          <t>A 17766-2025</t>
        </is>
      </c>
      <c r="B382" s="1" t="n">
        <v>45758</v>
      </c>
      <c r="C382" s="1" t="n">
        <v>46011</v>
      </c>
      <c r="D382" t="inlineStr">
        <is>
          <t>VÄSTMANLANDS LÄN</t>
        </is>
      </c>
      <c r="E382" t="inlineStr">
        <is>
          <t>SALA</t>
        </is>
      </c>
      <c r="G382" t="n">
        <v>16.5</v>
      </c>
      <c r="H382" t="n">
        <v>0</v>
      </c>
      <c r="I382" t="n">
        <v>0</v>
      </c>
      <c r="J382" t="n">
        <v>0</v>
      </c>
      <c r="K382" t="n">
        <v>0</v>
      </c>
      <c r="L382" t="n">
        <v>0</v>
      </c>
      <c r="M382" t="n">
        <v>0</v>
      </c>
      <c r="N382" t="n">
        <v>0</v>
      </c>
      <c r="O382" t="n">
        <v>0</v>
      </c>
      <c r="P382" t="n">
        <v>0</v>
      </c>
      <c r="Q382" t="n">
        <v>0</v>
      </c>
      <c r="R382" s="2" t="inlineStr"/>
    </row>
    <row r="383" ht="15" customHeight="1">
      <c r="A383" t="inlineStr">
        <is>
          <t>A 7664-2023</t>
        </is>
      </c>
      <c r="B383" s="1" t="n">
        <v>44972</v>
      </c>
      <c r="C383" s="1" t="n">
        <v>46011</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3546-2025</t>
        </is>
      </c>
      <c r="B384" s="1" t="n">
        <v>45680</v>
      </c>
      <c r="C384" s="1" t="n">
        <v>46011</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52827-2024</t>
        </is>
      </c>
      <c r="B385" s="1" t="n">
        <v>45610</v>
      </c>
      <c r="C385" s="1" t="n">
        <v>46011</v>
      </c>
      <c r="D385" t="inlineStr">
        <is>
          <t>VÄSTMANLANDS LÄN</t>
        </is>
      </c>
      <c r="E385" t="inlineStr">
        <is>
          <t>SALA</t>
        </is>
      </c>
      <c r="G385" t="n">
        <v>0.2</v>
      </c>
      <c r="H385" t="n">
        <v>0</v>
      </c>
      <c r="I385" t="n">
        <v>0</v>
      </c>
      <c r="J385" t="n">
        <v>0</v>
      </c>
      <c r="K385" t="n">
        <v>0</v>
      </c>
      <c r="L385" t="n">
        <v>0</v>
      </c>
      <c r="M385" t="n">
        <v>0</v>
      </c>
      <c r="N385" t="n">
        <v>0</v>
      </c>
      <c r="O385" t="n">
        <v>0</v>
      </c>
      <c r="P385" t="n">
        <v>0</v>
      </c>
      <c r="Q385" t="n">
        <v>0</v>
      </c>
      <c r="R385" s="2" t="inlineStr"/>
    </row>
    <row r="386" ht="15" customHeight="1">
      <c r="A386" t="inlineStr">
        <is>
          <t>A 53166-2024</t>
        </is>
      </c>
      <c r="B386" s="1" t="n">
        <v>45611</v>
      </c>
      <c r="C386" s="1" t="n">
        <v>46011</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11244-2024</t>
        </is>
      </c>
      <c r="B387" s="1" t="n">
        <v>45371</v>
      </c>
      <c r="C387" s="1" t="n">
        <v>46011</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62654-2022</t>
        </is>
      </c>
      <c r="B388" s="1" t="n">
        <v>44917</v>
      </c>
      <c r="C388" s="1" t="n">
        <v>46011</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6135-2023</t>
        </is>
      </c>
      <c r="B389" s="1" t="n">
        <v>44964.62628472222</v>
      </c>
      <c r="C389" s="1" t="n">
        <v>46011</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53864-2022</t>
        </is>
      </c>
      <c r="B390" s="1" t="n">
        <v>44880.64016203704</v>
      </c>
      <c r="C390" s="1" t="n">
        <v>46011</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27255-2023</t>
        </is>
      </c>
      <c r="B391" s="1" t="n">
        <v>45096</v>
      </c>
      <c r="C391" s="1" t="n">
        <v>46011</v>
      </c>
      <c r="D391" t="inlineStr">
        <is>
          <t>VÄSTMANLANDS LÄN</t>
        </is>
      </c>
      <c r="E391" t="inlineStr">
        <is>
          <t>SALA</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56645-2025</t>
        </is>
      </c>
      <c r="B392" s="1" t="n">
        <v>45975.63063657407</v>
      </c>
      <c r="C392" s="1" t="n">
        <v>46011</v>
      </c>
      <c r="D392" t="inlineStr">
        <is>
          <t>VÄSTMANLANDS LÄN</t>
        </is>
      </c>
      <c r="E392" t="inlineStr">
        <is>
          <t>SALA</t>
        </is>
      </c>
      <c r="F392" t="inlineStr">
        <is>
          <t>Bergvik skog öst AB</t>
        </is>
      </c>
      <c r="G392" t="n">
        <v>5.3</v>
      </c>
      <c r="H392" t="n">
        <v>0</v>
      </c>
      <c r="I392" t="n">
        <v>0</v>
      </c>
      <c r="J392" t="n">
        <v>0</v>
      </c>
      <c r="K392" t="n">
        <v>0</v>
      </c>
      <c r="L392" t="n">
        <v>0</v>
      </c>
      <c r="M392" t="n">
        <v>0</v>
      </c>
      <c r="N392" t="n">
        <v>0</v>
      </c>
      <c r="O392" t="n">
        <v>0</v>
      </c>
      <c r="P392" t="n">
        <v>0</v>
      </c>
      <c r="Q392" t="n">
        <v>0</v>
      </c>
      <c r="R392" s="2" t="inlineStr"/>
    </row>
    <row r="393" ht="15" customHeight="1">
      <c r="A393" t="inlineStr">
        <is>
          <t>A 60034-2024</t>
        </is>
      </c>
      <c r="B393" s="1" t="n">
        <v>45642.46261574074</v>
      </c>
      <c r="C393" s="1" t="n">
        <v>46011</v>
      </c>
      <c r="D393" t="inlineStr">
        <is>
          <t>VÄSTMANLANDS LÄN</t>
        </is>
      </c>
      <c r="E393" t="inlineStr">
        <is>
          <t>SALA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56614-2025</t>
        </is>
      </c>
      <c r="B394" s="1" t="n">
        <v>45975.59288194445</v>
      </c>
      <c r="C394" s="1" t="n">
        <v>46011</v>
      </c>
      <c r="D394" t="inlineStr">
        <is>
          <t>VÄSTMANLANDS LÄN</t>
        </is>
      </c>
      <c r="E394" t="inlineStr">
        <is>
          <t>SALA</t>
        </is>
      </c>
      <c r="G394" t="n">
        <v>1.4</v>
      </c>
      <c r="H394" t="n">
        <v>0</v>
      </c>
      <c r="I394" t="n">
        <v>0</v>
      </c>
      <c r="J394" t="n">
        <v>0</v>
      </c>
      <c r="K394" t="n">
        <v>0</v>
      </c>
      <c r="L394" t="n">
        <v>0</v>
      </c>
      <c r="M394" t="n">
        <v>0</v>
      </c>
      <c r="N394" t="n">
        <v>0</v>
      </c>
      <c r="O394" t="n">
        <v>0</v>
      </c>
      <c r="P394" t="n">
        <v>0</v>
      </c>
      <c r="Q394" t="n">
        <v>0</v>
      </c>
      <c r="R394" s="2" t="inlineStr"/>
    </row>
    <row r="395" ht="15" customHeight="1">
      <c r="A395" t="inlineStr">
        <is>
          <t>A 3810-2023</t>
        </is>
      </c>
      <c r="B395" s="1" t="n">
        <v>44951.60454861111</v>
      </c>
      <c r="C395" s="1" t="n">
        <v>46011</v>
      </c>
      <c r="D395" t="inlineStr">
        <is>
          <t>VÄSTMANLANDS LÄN</t>
        </is>
      </c>
      <c r="E395" t="inlineStr">
        <is>
          <t>SALA</t>
        </is>
      </c>
      <c r="G395" t="n">
        <v>4.2</v>
      </c>
      <c r="H395" t="n">
        <v>0</v>
      </c>
      <c r="I395" t="n">
        <v>0</v>
      </c>
      <c r="J395" t="n">
        <v>0</v>
      </c>
      <c r="K395" t="n">
        <v>0</v>
      </c>
      <c r="L395" t="n">
        <v>0</v>
      </c>
      <c r="M395" t="n">
        <v>0</v>
      </c>
      <c r="N395" t="n">
        <v>0</v>
      </c>
      <c r="O395" t="n">
        <v>0</v>
      </c>
      <c r="P395" t="n">
        <v>0</v>
      </c>
      <c r="Q395" t="n">
        <v>0</v>
      </c>
      <c r="R395" s="2" t="inlineStr"/>
    </row>
    <row r="396" ht="15" customHeight="1">
      <c r="A396" t="inlineStr">
        <is>
          <t>A 37017-2025</t>
        </is>
      </c>
      <c r="B396" s="1" t="n">
        <v>45874</v>
      </c>
      <c r="C396" s="1" t="n">
        <v>46011</v>
      </c>
      <c r="D396" t="inlineStr">
        <is>
          <t>VÄSTMANLANDS LÄN</t>
        </is>
      </c>
      <c r="E396" t="inlineStr">
        <is>
          <t>SALA</t>
        </is>
      </c>
      <c r="G396" t="n">
        <v>11.1</v>
      </c>
      <c r="H396" t="n">
        <v>0</v>
      </c>
      <c r="I396" t="n">
        <v>0</v>
      </c>
      <c r="J396" t="n">
        <v>0</v>
      </c>
      <c r="K396" t="n">
        <v>0</v>
      </c>
      <c r="L396" t="n">
        <v>0</v>
      </c>
      <c r="M396" t="n">
        <v>0</v>
      </c>
      <c r="N396" t="n">
        <v>0</v>
      </c>
      <c r="O396" t="n">
        <v>0</v>
      </c>
      <c r="P396" t="n">
        <v>0</v>
      </c>
      <c r="Q396" t="n">
        <v>0</v>
      </c>
      <c r="R396" s="2" t="inlineStr"/>
    </row>
    <row r="397" ht="15" customHeight="1">
      <c r="A397" t="inlineStr">
        <is>
          <t>A 56502-2025</t>
        </is>
      </c>
      <c r="B397" s="1" t="n">
        <v>45975</v>
      </c>
      <c r="C397" s="1" t="n">
        <v>46011</v>
      </c>
      <c r="D397" t="inlineStr">
        <is>
          <t>VÄSTMANLANDS LÄN</t>
        </is>
      </c>
      <c r="E397" t="inlineStr">
        <is>
          <t>SALA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57412-2025</t>
        </is>
      </c>
      <c r="B398" s="1" t="n">
        <v>45980.44883101852</v>
      </c>
      <c r="C398" s="1" t="n">
        <v>46011</v>
      </c>
      <c r="D398" t="inlineStr">
        <is>
          <t>VÄSTMANLANDS LÄN</t>
        </is>
      </c>
      <c r="E398" t="inlineStr">
        <is>
          <t>SALA</t>
        </is>
      </c>
      <c r="F398" t="inlineStr">
        <is>
          <t>Bergvik skog öst AB</t>
        </is>
      </c>
      <c r="G398" t="n">
        <v>4.5</v>
      </c>
      <c r="H398" t="n">
        <v>0</v>
      </c>
      <c r="I398" t="n">
        <v>0</v>
      </c>
      <c r="J398" t="n">
        <v>0</v>
      </c>
      <c r="K398" t="n">
        <v>0</v>
      </c>
      <c r="L398" t="n">
        <v>0</v>
      </c>
      <c r="M398" t="n">
        <v>0</v>
      </c>
      <c r="N398" t="n">
        <v>0</v>
      </c>
      <c r="O398" t="n">
        <v>0</v>
      </c>
      <c r="P398" t="n">
        <v>0</v>
      </c>
      <c r="Q398" t="n">
        <v>0</v>
      </c>
      <c r="R398" s="2" t="inlineStr"/>
    </row>
    <row r="399" ht="15" customHeight="1">
      <c r="A399" t="inlineStr">
        <is>
          <t>A 37103-2025</t>
        </is>
      </c>
      <c r="B399" s="1" t="n">
        <v>45875.47743055555</v>
      </c>
      <c r="C399" s="1" t="n">
        <v>46011</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37246-2025</t>
        </is>
      </c>
      <c r="B400" s="1" t="n">
        <v>45876.39435185185</v>
      </c>
      <c r="C400" s="1" t="n">
        <v>46011</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56611-2025</t>
        </is>
      </c>
      <c r="B401" s="1" t="n">
        <v>45975</v>
      </c>
      <c r="C401" s="1" t="n">
        <v>46011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56593-2025</t>
        </is>
      </c>
      <c r="B402" s="1" t="n">
        <v>45975</v>
      </c>
      <c r="C402" s="1" t="n">
        <v>46011</v>
      </c>
      <c r="D402" t="inlineStr">
        <is>
          <t>VÄSTMANLANDS LÄN</t>
        </is>
      </c>
      <c r="E402" t="inlineStr">
        <is>
          <t>SALA</t>
        </is>
      </c>
      <c r="F402" t="inlineStr">
        <is>
          <t>Kyrkan</t>
        </is>
      </c>
      <c r="G402" t="n">
        <v>0.1</v>
      </c>
      <c r="H402" t="n">
        <v>0</v>
      </c>
      <c r="I402" t="n">
        <v>0</v>
      </c>
      <c r="J402" t="n">
        <v>0</v>
      </c>
      <c r="K402" t="n">
        <v>0</v>
      </c>
      <c r="L402" t="n">
        <v>0</v>
      </c>
      <c r="M402" t="n">
        <v>0</v>
      </c>
      <c r="N402" t="n">
        <v>0</v>
      </c>
      <c r="O402" t="n">
        <v>0</v>
      </c>
      <c r="P402" t="n">
        <v>0</v>
      </c>
      <c r="Q402" t="n">
        <v>0</v>
      </c>
      <c r="R402" s="2" t="inlineStr"/>
    </row>
    <row r="403" ht="15" customHeight="1">
      <c r="A403" t="inlineStr">
        <is>
          <t>A 52503-2024</t>
        </is>
      </c>
      <c r="B403" s="1" t="n">
        <v>45609.58806712963</v>
      </c>
      <c r="C403" s="1" t="n">
        <v>46011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17722-2025</t>
        </is>
      </c>
      <c r="B404" s="1" t="n">
        <v>45758</v>
      </c>
      <c r="C404" s="1" t="n">
        <v>46011</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2521-2025</t>
        </is>
      </c>
      <c r="B405" s="1" t="n">
        <v>45674</v>
      </c>
      <c r="C405" s="1" t="n">
        <v>46011</v>
      </c>
      <c r="D405" t="inlineStr">
        <is>
          <t>VÄSTMANLANDS LÄN</t>
        </is>
      </c>
      <c r="E405" t="inlineStr">
        <is>
          <t>SALA</t>
        </is>
      </c>
      <c r="G405" t="n">
        <v>3.5</v>
      </c>
      <c r="H405" t="n">
        <v>0</v>
      </c>
      <c r="I405" t="n">
        <v>0</v>
      </c>
      <c r="J405" t="n">
        <v>0</v>
      </c>
      <c r="K405" t="n">
        <v>0</v>
      </c>
      <c r="L405" t="n">
        <v>0</v>
      </c>
      <c r="M405" t="n">
        <v>0</v>
      </c>
      <c r="N405" t="n">
        <v>0</v>
      </c>
      <c r="O405" t="n">
        <v>0</v>
      </c>
      <c r="P405" t="n">
        <v>0</v>
      </c>
      <c r="Q405" t="n">
        <v>0</v>
      </c>
      <c r="R405" s="2" t="inlineStr"/>
    </row>
    <row r="406" ht="15" customHeight="1">
      <c r="A406" t="inlineStr">
        <is>
          <t>A 37590-2025</t>
        </is>
      </c>
      <c r="B406" s="1" t="n">
        <v>45880.41138888889</v>
      </c>
      <c r="C406" s="1" t="n">
        <v>46011</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37593-2025</t>
        </is>
      </c>
      <c r="B407" s="1" t="n">
        <v>45880.41325231481</v>
      </c>
      <c r="C407" s="1" t="n">
        <v>46011</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31000-2022</t>
        </is>
      </c>
      <c r="B408" s="1" t="n">
        <v>44768</v>
      </c>
      <c r="C408" s="1" t="n">
        <v>46011</v>
      </c>
      <c r="D408" t="inlineStr">
        <is>
          <t>VÄSTMANLANDS LÄN</t>
        </is>
      </c>
      <c r="E408" t="inlineStr">
        <is>
          <t>SALA</t>
        </is>
      </c>
      <c r="G408" t="n">
        <v>5.7</v>
      </c>
      <c r="H408" t="n">
        <v>0</v>
      </c>
      <c r="I408" t="n">
        <v>0</v>
      </c>
      <c r="J408" t="n">
        <v>0</v>
      </c>
      <c r="K408" t="n">
        <v>0</v>
      </c>
      <c r="L408" t="n">
        <v>0</v>
      </c>
      <c r="M408" t="n">
        <v>0</v>
      </c>
      <c r="N408" t="n">
        <v>0</v>
      </c>
      <c r="O408" t="n">
        <v>0</v>
      </c>
      <c r="P408" t="n">
        <v>0</v>
      </c>
      <c r="Q408" t="n">
        <v>0</v>
      </c>
      <c r="R408" s="2" t="inlineStr"/>
    </row>
    <row r="409" ht="15" customHeight="1">
      <c r="A409" t="inlineStr">
        <is>
          <t>A 48910-2025</t>
        </is>
      </c>
      <c r="B409" s="1" t="n">
        <v>45937.48649305556</v>
      </c>
      <c r="C409" s="1" t="n">
        <v>46011</v>
      </c>
      <c r="D409" t="inlineStr">
        <is>
          <t>VÄSTMANLANDS LÄN</t>
        </is>
      </c>
      <c r="E409" t="inlineStr">
        <is>
          <t>SALA</t>
        </is>
      </c>
      <c r="G409" t="n">
        <v>7.8</v>
      </c>
      <c r="H409" t="n">
        <v>0</v>
      </c>
      <c r="I409" t="n">
        <v>0</v>
      </c>
      <c r="J409" t="n">
        <v>0</v>
      </c>
      <c r="K409" t="n">
        <v>0</v>
      </c>
      <c r="L409" t="n">
        <v>0</v>
      </c>
      <c r="M409" t="n">
        <v>0</v>
      </c>
      <c r="N409" t="n">
        <v>0</v>
      </c>
      <c r="O409" t="n">
        <v>0</v>
      </c>
      <c r="P409" t="n">
        <v>0</v>
      </c>
      <c r="Q409" t="n">
        <v>0</v>
      </c>
      <c r="R409" s="2" t="inlineStr"/>
    </row>
    <row r="410" ht="15" customHeight="1">
      <c r="A410" t="inlineStr">
        <is>
          <t>A 57414-2025</t>
        </is>
      </c>
      <c r="B410" s="1" t="n">
        <v>45980.45003472222</v>
      </c>
      <c r="C410" s="1" t="n">
        <v>46011</v>
      </c>
      <c r="D410" t="inlineStr">
        <is>
          <t>VÄSTMANLANDS LÄN</t>
        </is>
      </c>
      <c r="E410" t="inlineStr">
        <is>
          <t>SALA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57415-2025</t>
        </is>
      </c>
      <c r="B411" s="1" t="n">
        <v>45980.45099537037</v>
      </c>
      <c r="C411" s="1" t="n">
        <v>46011</v>
      </c>
      <c r="D411" t="inlineStr">
        <is>
          <t>VÄSTMANLANDS LÄN</t>
        </is>
      </c>
      <c r="E411" t="inlineStr">
        <is>
          <t>SALA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49640-2025</t>
        </is>
      </c>
      <c r="B412" s="1" t="n">
        <v>45939.61459490741</v>
      </c>
      <c r="C412" s="1" t="n">
        <v>46011</v>
      </c>
      <c r="D412" t="inlineStr">
        <is>
          <t>VÄSTMANLANDS LÄN</t>
        </is>
      </c>
      <c r="E412" t="inlineStr">
        <is>
          <t>SALA</t>
        </is>
      </c>
      <c r="F412" t="inlineStr">
        <is>
          <t>Kommuner</t>
        </is>
      </c>
      <c r="G412" t="n">
        <v>18.8</v>
      </c>
      <c r="H412" t="n">
        <v>0</v>
      </c>
      <c r="I412" t="n">
        <v>0</v>
      </c>
      <c r="J412" t="n">
        <v>0</v>
      </c>
      <c r="K412" t="n">
        <v>0</v>
      </c>
      <c r="L412" t="n">
        <v>0</v>
      </c>
      <c r="M412" t="n">
        <v>0</v>
      </c>
      <c r="N412" t="n">
        <v>0</v>
      </c>
      <c r="O412" t="n">
        <v>0</v>
      </c>
      <c r="P412" t="n">
        <v>0</v>
      </c>
      <c r="Q412" t="n">
        <v>0</v>
      </c>
      <c r="R412" s="2" t="inlineStr"/>
    </row>
    <row r="413" ht="15" customHeight="1">
      <c r="A413" t="inlineStr">
        <is>
          <t>A 43359-2024</t>
        </is>
      </c>
      <c r="B413" s="1" t="n">
        <v>45568.57724537037</v>
      </c>
      <c r="C413" s="1" t="n">
        <v>46011</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29972-2025</t>
        </is>
      </c>
      <c r="B414" s="1" t="n">
        <v>45826</v>
      </c>
      <c r="C414" s="1" t="n">
        <v>46011</v>
      </c>
      <c r="D414" t="inlineStr">
        <is>
          <t>VÄSTMANLANDS LÄN</t>
        </is>
      </c>
      <c r="E414" t="inlineStr">
        <is>
          <t>SALA</t>
        </is>
      </c>
      <c r="G414" t="n">
        <v>2.7</v>
      </c>
      <c r="H414" t="n">
        <v>0</v>
      </c>
      <c r="I414" t="n">
        <v>0</v>
      </c>
      <c r="J414" t="n">
        <v>0</v>
      </c>
      <c r="K414" t="n">
        <v>0</v>
      </c>
      <c r="L414" t="n">
        <v>0</v>
      </c>
      <c r="M414" t="n">
        <v>0</v>
      </c>
      <c r="N414" t="n">
        <v>0</v>
      </c>
      <c r="O414" t="n">
        <v>0</v>
      </c>
      <c r="P414" t="n">
        <v>0</v>
      </c>
      <c r="Q414" t="n">
        <v>0</v>
      </c>
      <c r="R414" s="2" t="inlineStr"/>
    </row>
    <row r="415" ht="15" customHeight="1">
      <c r="A415" t="inlineStr">
        <is>
          <t>A 31950-2023</t>
        </is>
      </c>
      <c r="B415" s="1" t="n">
        <v>45107</v>
      </c>
      <c r="C415" s="1" t="n">
        <v>46011</v>
      </c>
      <c r="D415" t="inlineStr">
        <is>
          <t>VÄSTMANLANDS LÄN</t>
        </is>
      </c>
      <c r="E415" t="inlineStr">
        <is>
          <t>SALA</t>
        </is>
      </c>
      <c r="G415" t="n">
        <v>0.1</v>
      </c>
      <c r="H415" t="n">
        <v>0</v>
      </c>
      <c r="I415" t="n">
        <v>0</v>
      </c>
      <c r="J415" t="n">
        <v>0</v>
      </c>
      <c r="K415" t="n">
        <v>0</v>
      </c>
      <c r="L415" t="n">
        <v>0</v>
      </c>
      <c r="M415" t="n">
        <v>0</v>
      </c>
      <c r="N415" t="n">
        <v>0</v>
      </c>
      <c r="O415" t="n">
        <v>0</v>
      </c>
      <c r="P415" t="n">
        <v>0</v>
      </c>
      <c r="Q415" t="n">
        <v>0</v>
      </c>
      <c r="R415" s="2" t="inlineStr"/>
    </row>
    <row r="416" ht="15" customHeight="1">
      <c r="A416" t="inlineStr">
        <is>
          <t>A 16693-2023</t>
        </is>
      </c>
      <c r="B416" s="1" t="n">
        <v>45028</v>
      </c>
      <c r="C416" s="1" t="n">
        <v>46011</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23182-2022</t>
        </is>
      </c>
      <c r="B417" s="1" t="n">
        <v>44719.79707175926</v>
      </c>
      <c r="C417" s="1" t="n">
        <v>46011</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49585-2025</t>
        </is>
      </c>
      <c r="B418" s="1" t="n">
        <v>45939.5043287037</v>
      </c>
      <c r="C418" s="1" t="n">
        <v>46011</v>
      </c>
      <c r="D418" t="inlineStr">
        <is>
          <t>VÄSTMANLANDS LÄN</t>
        </is>
      </c>
      <c r="E418" t="inlineStr">
        <is>
          <t>SALA</t>
        </is>
      </c>
      <c r="G418" t="n">
        <v>2.2</v>
      </c>
      <c r="H418" t="n">
        <v>0</v>
      </c>
      <c r="I418" t="n">
        <v>0</v>
      </c>
      <c r="J418" t="n">
        <v>0</v>
      </c>
      <c r="K418" t="n">
        <v>0</v>
      </c>
      <c r="L418" t="n">
        <v>0</v>
      </c>
      <c r="M418" t="n">
        <v>0</v>
      </c>
      <c r="N418" t="n">
        <v>0</v>
      </c>
      <c r="O418" t="n">
        <v>0</v>
      </c>
      <c r="P418" t="n">
        <v>0</v>
      </c>
      <c r="Q418" t="n">
        <v>0</v>
      </c>
      <c r="R418" s="2" t="inlineStr"/>
    </row>
    <row r="419" ht="15" customHeight="1">
      <c r="A419" t="inlineStr">
        <is>
          <t>A 57371-2022</t>
        </is>
      </c>
      <c r="B419" s="1" t="n">
        <v>44896.43832175926</v>
      </c>
      <c r="C419" s="1" t="n">
        <v>46011</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58282-2025</t>
        </is>
      </c>
      <c r="B420" s="1" t="n">
        <v>45985.44309027777</v>
      </c>
      <c r="C420" s="1" t="n">
        <v>46011</v>
      </c>
      <c r="D420" t="inlineStr">
        <is>
          <t>VÄSTMANLANDS LÄN</t>
        </is>
      </c>
      <c r="E420" t="inlineStr">
        <is>
          <t>SALA</t>
        </is>
      </c>
      <c r="G420" t="n">
        <v>8.9</v>
      </c>
      <c r="H420" t="n">
        <v>0</v>
      </c>
      <c r="I420" t="n">
        <v>0</v>
      </c>
      <c r="J420" t="n">
        <v>0</v>
      </c>
      <c r="K420" t="n">
        <v>0</v>
      </c>
      <c r="L420" t="n">
        <v>0</v>
      </c>
      <c r="M420" t="n">
        <v>0</v>
      </c>
      <c r="N420" t="n">
        <v>0</v>
      </c>
      <c r="O420" t="n">
        <v>0</v>
      </c>
      <c r="P420" t="n">
        <v>0</v>
      </c>
      <c r="Q420" t="n">
        <v>0</v>
      </c>
      <c r="R420" s="2" t="inlineStr"/>
    </row>
    <row r="421" ht="15" customHeight="1">
      <c r="A421" t="inlineStr">
        <is>
          <t>A 58357-2025</t>
        </is>
      </c>
      <c r="B421" s="1" t="n">
        <v>45985.51518518518</v>
      </c>
      <c r="C421" s="1" t="n">
        <v>46011</v>
      </c>
      <c r="D421" t="inlineStr">
        <is>
          <t>VÄSTMANLANDS LÄN</t>
        </is>
      </c>
      <c r="E421" t="inlineStr">
        <is>
          <t>SALA</t>
        </is>
      </c>
      <c r="G421" t="n">
        <v>3</v>
      </c>
      <c r="H421" t="n">
        <v>0</v>
      </c>
      <c r="I421" t="n">
        <v>0</v>
      </c>
      <c r="J421" t="n">
        <v>0</v>
      </c>
      <c r="K421" t="n">
        <v>0</v>
      </c>
      <c r="L421" t="n">
        <v>0</v>
      </c>
      <c r="M421" t="n">
        <v>0</v>
      </c>
      <c r="N421" t="n">
        <v>0</v>
      </c>
      <c r="O421" t="n">
        <v>0</v>
      </c>
      <c r="P421" t="n">
        <v>0</v>
      </c>
      <c r="Q421" t="n">
        <v>0</v>
      </c>
      <c r="R421" s="2" t="inlineStr"/>
    </row>
    <row r="422" ht="15" customHeight="1">
      <c r="A422" t="inlineStr">
        <is>
          <t>A 58364-2025</t>
        </is>
      </c>
      <c r="B422" s="1" t="n">
        <v>45985.5228125</v>
      </c>
      <c r="C422" s="1" t="n">
        <v>46011</v>
      </c>
      <c r="D422" t="inlineStr">
        <is>
          <t>VÄSTMANLANDS LÄN</t>
        </is>
      </c>
      <c r="E422" t="inlineStr">
        <is>
          <t>SALA</t>
        </is>
      </c>
      <c r="G422" t="n">
        <v>2.1</v>
      </c>
      <c r="H422" t="n">
        <v>0</v>
      </c>
      <c r="I422" t="n">
        <v>0</v>
      </c>
      <c r="J422" t="n">
        <v>0</v>
      </c>
      <c r="K422" t="n">
        <v>0</v>
      </c>
      <c r="L422" t="n">
        <v>0</v>
      </c>
      <c r="M422" t="n">
        <v>0</v>
      </c>
      <c r="N422" t="n">
        <v>0</v>
      </c>
      <c r="O422" t="n">
        <v>0</v>
      </c>
      <c r="P422" t="n">
        <v>0</v>
      </c>
      <c r="Q422" t="n">
        <v>0</v>
      </c>
      <c r="R422" s="2" t="inlineStr"/>
    </row>
    <row r="423" ht="15" customHeight="1">
      <c r="A423" t="inlineStr">
        <is>
          <t>A 50128-2025</t>
        </is>
      </c>
      <c r="B423" s="1" t="n">
        <v>45943.55318287037</v>
      </c>
      <c r="C423" s="1" t="n">
        <v>46011</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58359-2025</t>
        </is>
      </c>
      <c r="B424" s="1" t="n">
        <v>45985.51594907408</v>
      </c>
      <c r="C424" s="1" t="n">
        <v>46011</v>
      </c>
      <c r="D424" t="inlineStr">
        <is>
          <t>VÄSTMANLANDS LÄN</t>
        </is>
      </c>
      <c r="E424" t="inlineStr">
        <is>
          <t>SALA</t>
        </is>
      </c>
      <c r="G424" t="n">
        <v>3.7</v>
      </c>
      <c r="H424" t="n">
        <v>0</v>
      </c>
      <c r="I424" t="n">
        <v>0</v>
      </c>
      <c r="J424" t="n">
        <v>0</v>
      </c>
      <c r="K424" t="n">
        <v>0</v>
      </c>
      <c r="L424" t="n">
        <v>0</v>
      </c>
      <c r="M424" t="n">
        <v>0</v>
      </c>
      <c r="N424" t="n">
        <v>0</v>
      </c>
      <c r="O424" t="n">
        <v>0</v>
      </c>
      <c r="P424" t="n">
        <v>0</v>
      </c>
      <c r="Q424" t="n">
        <v>0</v>
      </c>
      <c r="R424" s="2" t="inlineStr"/>
    </row>
    <row r="425" ht="15" customHeight="1">
      <c r="A425" t="inlineStr">
        <is>
          <t>A 56548-2024</t>
        </is>
      </c>
      <c r="B425" s="1" t="n">
        <v>45625</v>
      </c>
      <c r="C425" s="1" t="n">
        <v>46011</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47086-2022</t>
        </is>
      </c>
      <c r="B426" s="1" t="n">
        <v>44852</v>
      </c>
      <c r="C426" s="1" t="n">
        <v>46011</v>
      </c>
      <c r="D426" t="inlineStr">
        <is>
          <t>VÄSTMANLANDS LÄN</t>
        </is>
      </c>
      <c r="E426" t="inlineStr">
        <is>
          <t>SALA</t>
        </is>
      </c>
      <c r="G426" t="n">
        <v>12.5</v>
      </c>
      <c r="H426" t="n">
        <v>0</v>
      </c>
      <c r="I426" t="n">
        <v>0</v>
      </c>
      <c r="J426" t="n">
        <v>0</v>
      </c>
      <c r="K426" t="n">
        <v>0</v>
      </c>
      <c r="L426" t="n">
        <v>0</v>
      </c>
      <c r="M426" t="n">
        <v>0</v>
      </c>
      <c r="N426" t="n">
        <v>0</v>
      </c>
      <c r="O426" t="n">
        <v>0</v>
      </c>
      <c r="P426" t="n">
        <v>0</v>
      </c>
      <c r="Q426" t="n">
        <v>0</v>
      </c>
      <c r="R426" s="2" t="inlineStr"/>
    </row>
    <row r="427" ht="15" customHeight="1">
      <c r="A427" t="inlineStr">
        <is>
          <t>A 58365-2025</t>
        </is>
      </c>
      <c r="B427" s="1" t="n">
        <v>45985.52288194445</v>
      </c>
      <c r="C427" s="1" t="n">
        <v>46011</v>
      </c>
      <c r="D427" t="inlineStr">
        <is>
          <t>VÄSTMANLANDS LÄN</t>
        </is>
      </c>
      <c r="E427" t="inlineStr">
        <is>
          <t>SALA</t>
        </is>
      </c>
      <c r="G427" t="n">
        <v>3.9</v>
      </c>
      <c r="H427" t="n">
        <v>0</v>
      </c>
      <c r="I427" t="n">
        <v>0</v>
      </c>
      <c r="J427" t="n">
        <v>0</v>
      </c>
      <c r="K427" t="n">
        <v>0</v>
      </c>
      <c r="L427" t="n">
        <v>0</v>
      </c>
      <c r="M427" t="n">
        <v>0</v>
      </c>
      <c r="N427" t="n">
        <v>0</v>
      </c>
      <c r="O427" t="n">
        <v>0</v>
      </c>
      <c r="P427" t="n">
        <v>0</v>
      </c>
      <c r="Q427" t="n">
        <v>0</v>
      </c>
      <c r="R427" s="2" t="inlineStr"/>
    </row>
    <row r="428" ht="15" customHeight="1">
      <c r="A428" t="inlineStr">
        <is>
          <t>A 50249-2025</t>
        </is>
      </c>
      <c r="B428" s="1" t="n">
        <v>45944.31508101852</v>
      </c>
      <c r="C428" s="1" t="n">
        <v>46011</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50119-2025</t>
        </is>
      </c>
      <c r="B429" s="1" t="n">
        <v>45943.54883101852</v>
      </c>
      <c r="C429" s="1" t="n">
        <v>46011</v>
      </c>
      <c r="D429" t="inlineStr">
        <is>
          <t>VÄSTMANLANDS LÄN</t>
        </is>
      </c>
      <c r="E429" t="inlineStr">
        <is>
          <t>SALA</t>
        </is>
      </c>
      <c r="G429" t="n">
        <v>3.3</v>
      </c>
      <c r="H429" t="n">
        <v>0</v>
      </c>
      <c r="I429" t="n">
        <v>0</v>
      </c>
      <c r="J429" t="n">
        <v>0</v>
      </c>
      <c r="K429" t="n">
        <v>0</v>
      </c>
      <c r="L429" t="n">
        <v>0</v>
      </c>
      <c r="M429" t="n">
        <v>0</v>
      </c>
      <c r="N429" t="n">
        <v>0</v>
      </c>
      <c r="O429" t="n">
        <v>0</v>
      </c>
      <c r="P429" t="n">
        <v>0</v>
      </c>
      <c r="Q429" t="n">
        <v>0</v>
      </c>
      <c r="R429" s="2" t="inlineStr"/>
    </row>
    <row r="430" ht="15" customHeight="1">
      <c r="A430" t="inlineStr">
        <is>
          <t>A 50059-2025</t>
        </is>
      </c>
      <c r="B430" s="1" t="n">
        <v>45943.44125</v>
      </c>
      <c r="C430" s="1" t="n">
        <v>46011</v>
      </c>
      <c r="D430" t="inlineStr">
        <is>
          <t>VÄSTMANLANDS LÄN</t>
        </is>
      </c>
      <c r="E430" t="inlineStr">
        <is>
          <t>SALA</t>
        </is>
      </c>
      <c r="G430" t="n">
        <v>4.4</v>
      </c>
      <c r="H430" t="n">
        <v>0</v>
      </c>
      <c r="I430" t="n">
        <v>0</v>
      </c>
      <c r="J430" t="n">
        <v>0</v>
      </c>
      <c r="K430" t="n">
        <v>0</v>
      </c>
      <c r="L430" t="n">
        <v>0</v>
      </c>
      <c r="M430" t="n">
        <v>0</v>
      </c>
      <c r="N430" t="n">
        <v>0</v>
      </c>
      <c r="O430" t="n">
        <v>0</v>
      </c>
      <c r="P430" t="n">
        <v>0</v>
      </c>
      <c r="Q430" t="n">
        <v>0</v>
      </c>
      <c r="R430" s="2" t="inlineStr"/>
    </row>
    <row r="431" ht="15" customHeight="1">
      <c r="A431" t="inlineStr">
        <is>
          <t>A 988-2025</t>
        </is>
      </c>
      <c r="B431" s="1" t="n">
        <v>45666.44038194444</v>
      </c>
      <c r="C431" s="1" t="n">
        <v>46011</v>
      </c>
      <c r="D431" t="inlineStr">
        <is>
          <t>VÄSTMANLANDS LÄN</t>
        </is>
      </c>
      <c r="E431" t="inlineStr">
        <is>
          <t>SALA</t>
        </is>
      </c>
      <c r="G431" t="n">
        <v>1.3</v>
      </c>
      <c r="H431" t="n">
        <v>0</v>
      </c>
      <c r="I431" t="n">
        <v>0</v>
      </c>
      <c r="J431" t="n">
        <v>0</v>
      </c>
      <c r="K431" t="n">
        <v>0</v>
      </c>
      <c r="L431" t="n">
        <v>0</v>
      </c>
      <c r="M431" t="n">
        <v>0</v>
      </c>
      <c r="N431" t="n">
        <v>0</v>
      </c>
      <c r="O431" t="n">
        <v>0</v>
      </c>
      <c r="P431" t="n">
        <v>0</v>
      </c>
      <c r="Q431" t="n">
        <v>0</v>
      </c>
      <c r="R431" s="2" t="inlineStr"/>
    </row>
    <row r="432" ht="15" customHeight="1">
      <c r="A432" t="inlineStr">
        <is>
          <t>A 5032-2025</t>
        </is>
      </c>
      <c r="B432" s="1" t="n">
        <v>45691</v>
      </c>
      <c r="C432" s="1" t="n">
        <v>46011</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66908-2021</t>
        </is>
      </c>
      <c r="B433" s="1" t="n">
        <v>44522</v>
      </c>
      <c r="C433" s="1" t="n">
        <v>46011</v>
      </c>
      <c r="D433" t="inlineStr">
        <is>
          <t>VÄSTMANLANDS LÄN</t>
        </is>
      </c>
      <c r="E433" t="inlineStr">
        <is>
          <t>SALA</t>
        </is>
      </c>
      <c r="G433" t="n">
        <v>2.6</v>
      </c>
      <c r="H433" t="n">
        <v>0</v>
      </c>
      <c r="I433" t="n">
        <v>0</v>
      </c>
      <c r="J433" t="n">
        <v>0</v>
      </c>
      <c r="K433" t="n">
        <v>0</v>
      </c>
      <c r="L433" t="n">
        <v>0</v>
      </c>
      <c r="M433" t="n">
        <v>0</v>
      </c>
      <c r="N433" t="n">
        <v>0</v>
      </c>
      <c r="O433" t="n">
        <v>0</v>
      </c>
      <c r="P433" t="n">
        <v>0</v>
      </c>
      <c r="Q433" t="n">
        <v>0</v>
      </c>
      <c r="R433" s="2" t="inlineStr"/>
    </row>
    <row r="434" ht="15" customHeight="1">
      <c r="A434" t="inlineStr">
        <is>
          <t>A 59817-2025</t>
        </is>
      </c>
      <c r="B434" s="1" t="n">
        <v>45992.63711805556</v>
      </c>
      <c r="C434" s="1" t="n">
        <v>46011</v>
      </c>
      <c r="D434" t="inlineStr">
        <is>
          <t>VÄSTMANLANDS LÄN</t>
        </is>
      </c>
      <c r="E434" t="inlineStr">
        <is>
          <t>SALA</t>
        </is>
      </c>
      <c r="G434" t="n">
        <v>6.9</v>
      </c>
      <c r="H434" t="n">
        <v>0</v>
      </c>
      <c r="I434" t="n">
        <v>0</v>
      </c>
      <c r="J434" t="n">
        <v>0</v>
      </c>
      <c r="K434" t="n">
        <v>0</v>
      </c>
      <c r="L434" t="n">
        <v>0</v>
      </c>
      <c r="M434" t="n">
        <v>0</v>
      </c>
      <c r="N434" t="n">
        <v>0</v>
      </c>
      <c r="O434" t="n">
        <v>0</v>
      </c>
      <c r="P434" t="n">
        <v>0</v>
      </c>
      <c r="Q434" t="n">
        <v>0</v>
      </c>
      <c r="R434" s="2" t="inlineStr"/>
    </row>
    <row r="435" ht="15" customHeight="1">
      <c r="A435" t="inlineStr">
        <is>
          <t>A 11696-2025</t>
        </is>
      </c>
      <c r="B435" s="1" t="n">
        <v>45727</v>
      </c>
      <c r="C435" s="1" t="n">
        <v>46011</v>
      </c>
      <c r="D435" t="inlineStr">
        <is>
          <t>VÄSTMANLANDS LÄN</t>
        </is>
      </c>
      <c r="E435" t="inlineStr">
        <is>
          <t>SALA</t>
        </is>
      </c>
      <c r="F435" t="inlineStr">
        <is>
          <t>Bergvik skog öst AB</t>
        </is>
      </c>
      <c r="G435" t="n">
        <v>1.6</v>
      </c>
      <c r="H435" t="n">
        <v>0</v>
      </c>
      <c r="I435" t="n">
        <v>0</v>
      </c>
      <c r="J435" t="n">
        <v>0</v>
      </c>
      <c r="K435" t="n">
        <v>0</v>
      </c>
      <c r="L435" t="n">
        <v>0</v>
      </c>
      <c r="M435" t="n">
        <v>0</v>
      </c>
      <c r="N435" t="n">
        <v>0</v>
      </c>
      <c r="O435" t="n">
        <v>0</v>
      </c>
      <c r="P435" t="n">
        <v>0</v>
      </c>
      <c r="Q435" t="n">
        <v>0</v>
      </c>
      <c r="R435" s="2" t="inlineStr"/>
    </row>
    <row r="436" ht="15" customHeight="1">
      <c r="A436" t="inlineStr">
        <is>
          <t>A 51247-2025</t>
        </is>
      </c>
      <c r="B436" s="1" t="n">
        <v>45947.86487268518</v>
      </c>
      <c r="C436" s="1" t="n">
        <v>46011</v>
      </c>
      <c r="D436" t="inlineStr">
        <is>
          <t>VÄSTMANLANDS LÄN</t>
        </is>
      </c>
      <c r="E436" t="inlineStr">
        <is>
          <t>SALA</t>
        </is>
      </c>
      <c r="G436" t="n">
        <v>10.4</v>
      </c>
      <c r="H436" t="n">
        <v>0</v>
      </c>
      <c r="I436" t="n">
        <v>0</v>
      </c>
      <c r="J436" t="n">
        <v>0</v>
      </c>
      <c r="K436" t="n">
        <v>0</v>
      </c>
      <c r="L436" t="n">
        <v>0</v>
      </c>
      <c r="M436" t="n">
        <v>0</v>
      </c>
      <c r="N436" t="n">
        <v>0</v>
      </c>
      <c r="O436" t="n">
        <v>0</v>
      </c>
      <c r="P436" t="n">
        <v>0</v>
      </c>
      <c r="Q436" t="n">
        <v>0</v>
      </c>
      <c r="R436" s="2" t="inlineStr"/>
    </row>
    <row r="437" ht="15" customHeight="1">
      <c r="A437" t="inlineStr">
        <is>
          <t>A 59385-2025</t>
        </is>
      </c>
      <c r="B437" s="1" t="n">
        <v>45989.45746527778</v>
      </c>
      <c r="C437" s="1" t="n">
        <v>46011</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43509-2021</t>
        </is>
      </c>
      <c r="B438" s="1" t="n">
        <v>44433</v>
      </c>
      <c r="C438" s="1" t="n">
        <v>46011</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13746-2025</t>
        </is>
      </c>
      <c r="B439" s="1" t="n">
        <v>45737.40944444444</v>
      </c>
      <c r="C439" s="1" t="n">
        <v>46011</v>
      </c>
      <c r="D439" t="inlineStr">
        <is>
          <t>VÄSTMANLANDS LÄN</t>
        </is>
      </c>
      <c r="E439" t="inlineStr">
        <is>
          <t>SALA</t>
        </is>
      </c>
      <c r="G439" t="n">
        <v>2.1</v>
      </c>
      <c r="H439" t="n">
        <v>0</v>
      </c>
      <c r="I439" t="n">
        <v>0</v>
      </c>
      <c r="J439" t="n">
        <v>0</v>
      </c>
      <c r="K439" t="n">
        <v>0</v>
      </c>
      <c r="L439" t="n">
        <v>0</v>
      </c>
      <c r="M439" t="n">
        <v>0</v>
      </c>
      <c r="N439" t="n">
        <v>0</v>
      </c>
      <c r="O439" t="n">
        <v>0</v>
      </c>
      <c r="P439" t="n">
        <v>0</v>
      </c>
      <c r="Q439" t="n">
        <v>0</v>
      </c>
      <c r="R439" s="2" t="inlineStr"/>
    </row>
    <row r="440" ht="15" customHeight="1">
      <c r="A440" t="inlineStr">
        <is>
          <t>A 59390-2025</t>
        </is>
      </c>
      <c r="B440" s="1" t="n">
        <v>45989.4640162037</v>
      </c>
      <c r="C440" s="1" t="n">
        <v>46011</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59926-2025</t>
        </is>
      </c>
      <c r="B441" s="1" t="n">
        <v>45993.39221064815</v>
      </c>
      <c r="C441" s="1" t="n">
        <v>46011</v>
      </c>
      <c r="D441" t="inlineStr">
        <is>
          <t>VÄSTMANLANDS LÄN</t>
        </is>
      </c>
      <c r="E441" t="inlineStr">
        <is>
          <t>SALA</t>
        </is>
      </c>
      <c r="G441" t="n">
        <v>7.1</v>
      </c>
      <c r="H441" t="n">
        <v>0</v>
      </c>
      <c r="I441" t="n">
        <v>0</v>
      </c>
      <c r="J441" t="n">
        <v>0</v>
      </c>
      <c r="K441" t="n">
        <v>0</v>
      </c>
      <c r="L441" t="n">
        <v>0</v>
      </c>
      <c r="M441" t="n">
        <v>0</v>
      </c>
      <c r="N441" t="n">
        <v>0</v>
      </c>
      <c r="O441" t="n">
        <v>0</v>
      </c>
      <c r="P441" t="n">
        <v>0</v>
      </c>
      <c r="Q441" t="n">
        <v>0</v>
      </c>
      <c r="R441" s="2" t="inlineStr"/>
    </row>
    <row r="442" ht="15" customHeight="1">
      <c r="A442" t="inlineStr">
        <is>
          <t>A 60241-2025</t>
        </is>
      </c>
      <c r="B442" s="1" t="n">
        <v>45994.58454861111</v>
      </c>
      <c r="C442" s="1" t="n">
        <v>46011</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25897-2024</t>
        </is>
      </c>
      <c r="B443" s="1" t="n">
        <v>45467.54435185185</v>
      </c>
      <c r="C443" s="1" t="n">
        <v>46011</v>
      </c>
      <c r="D443" t="inlineStr">
        <is>
          <t>VÄSTMANLANDS LÄN</t>
        </is>
      </c>
      <c r="E443" t="inlineStr">
        <is>
          <t>SALA</t>
        </is>
      </c>
      <c r="G443" t="n">
        <v>9.9</v>
      </c>
      <c r="H443" t="n">
        <v>0</v>
      </c>
      <c r="I443" t="n">
        <v>0</v>
      </c>
      <c r="J443" t="n">
        <v>0</v>
      </c>
      <c r="K443" t="n">
        <v>0</v>
      </c>
      <c r="L443" t="n">
        <v>0</v>
      </c>
      <c r="M443" t="n">
        <v>0</v>
      </c>
      <c r="N443" t="n">
        <v>0</v>
      </c>
      <c r="O443" t="n">
        <v>0</v>
      </c>
      <c r="P443" t="n">
        <v>0</v>
      </c>
      <c r="Q443" t="n">
        <v>0</v>
      </c>
      <c r="R443" s="2" t="inlineStr"/>
    </row>
    <row r="444" ht="15" customHeight="1">
      <c r="A444" t="inlineStr">
        <is>
          <t>A 51626-2025</t>
        </is>
      </c>
      <c r="B444" s="1" t="n">
        <v>45951.41769675926</v>
      </c>
      <c r="C444" s="1" t="n">
        <v>46011</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51690-2025</t>
        </is>
      </c>
      <c r="B445" s="1" t="n">
        <v>45951.53462962963</v>
      </c>
      <c r="C445" s="1" t="n">
        <v>46011</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23222-2023</t>
        </is>
      </c>
      <c r="B446" s="1" t="n">
        <v>45075</v>
      </c>
      <c r="C446" s="1" t="n">
        <v>46011</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23224-2023</t>
        </is>
      </c>
      <c r="B447" s="1" t="n">
        <v>45075.65040509259</v>
      </c>
      <c r="C447" s="1" t="n">
        <v>46011</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60017-2025</t>
        </is>
      </c>
      <c r="B448" s="1" t="n">
        <v>45993.59998842593</v>
      </c>
      <c r="C448" s="1" t="n">
        <v>46011</v>
      </c>
      <c r="D448" t="inlineStr">
        <is>
          <t>VÄSTMANLANDS LÄN</t>
        </is>
      </c>
      <c r="E448" t="inlineStr">
        <is>
          <t>SALA</t>
        </is>
      </c>
      <c r="G448" t="n">
        <v>4.4</v>
      </c>
      <c r="H448" t="n">
        <v>0</v>
      </c>
      <c r="I448" t="n">
        <v>0</v>
      </c>
      <c r="J448" t="n">
        <v>0</v>
      </c>
      <c r="K448" t="n">
        <v>0</v>
      </c>
      <c r="L448" t="n">
        <v>0</v>
      </c>
      <c r="M448" t="n">
        <v>0</v>
      </c>
      <c r="N448" t="n">
        <v>0</v>
      </c>
      <c r="O448" t="n">
        <v>0</v>
      </c>
      <c r="P448" t="n">
        <v>0</v>
      </c>
      <c r="Q448" t="n">
        <v>0</v>
      </c>
      <c r="R448" s="2" t="inlineStr"/>
    </row>
    <row r="449" ht="15" customHeight="1">
      <c r="A449" t="inlineStr">
        <is>
          <t>A 50479-2022</t>
        </is>
      </c>
      <c r="B449" s="1" t="n">
        <v>44861</v>
      </c>
      <c r="C449" s="1" t="n">
        <v>46011</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51809-2025</t>
        </is>
      </c>
      <c r="B450" s="1" t="n">
        <v>45951.80116898148</v>
      </c>
      <c r="C450" s="1" t="n">
        <v>46011</v>
      </c>
      <c r="D450" t="inlineStr">
        <is>
          <t>VÄSTMANLANDS LÄN</t>
        </is>
      </c>
      <c r="E450" t="inlineStr">
        <is>
          <t>SALA</t>
        </is>
      </c>
      <c r="F450" t="inlineStr">
        <is>
          <t>Kommuner</t>
        </is>
      </c>
      <c r="G450" t="n">
        <v>3.5</v>
      </c>
      <c r="H450" t="n">
        <v>0</v>
      </c>
      <c r="I450" t="n">
        <v>0</v>
      </c>
      <c r="J450" t="n">
        <v>0</v>
      </c>
      <c r="K450" t="n">
        <v>0</v>
      </c>
      <c r="L450" t="n">
        <v>0</v>
      </c>
      <c r="M450" t="n">
        <v>0</v>
      </c>
      <c r="N450" t="n">
        <v>0</v>
      </c>
      <c r="O450" t="n">
        <v>0</v>
      </c>
      <c r="P450" t="n">
        <v>0</v>
      </c>
      <c r="Q450" t="n">
        <v>0</v>
      </c>
      <c r="R450" s="2" t="inlineStr"/>
    </row>
    <row r="451" ht="15" customHeight="1">
      <c r="A451" t="inlineStr">
        <is>
          <t>A 59870-2025</t>
        </is>
      </c>
      <c r="B451" s="1" t="n">
        <v>45992.92226851852</v>
      </c>
      <c r="C451" s="1" t="n">
        <v>46011</v>
      </c>
      <c r="D451" t="inlineStr">
        <is>
          <t>VÄSTMANLANDS LÄN</t>
        </is>
      </c>
      <c r="E451" t="inlineStr">
        <is>
          <t>SALA</t>
        </is>
      </c>
      <c r="G451" t="n">
        <v>3.4</v>
      </c>
      <c r="H451" t="n">
        <v>0</v>
      </c>
      <c r="I451" t="n">
        <v>0</v>
      </c>
      <c r="J451" t="n">
        <v>0</v>
      </c>
      <c r="K451" t="n">
        <v>0</v>
      </c>
      <c r="L451" t="n">
        <v>0</v>
      </c>
      <c r="M451" t="n">
        <v>0</v>
      </c>
      <c r="N451" t="n">
        <v>0</v>
      </c>
      <c r="O451" t="n">
        <v>0</v>
      </c>
      <c r="P451" t="n">
        <v>0</v>
      </c>
      <c r="Q451" t="n">
        <v>0</v>
      </c>
      <c r="R451" s="2" t="inlineStr"/>
    </row>
    <row r="452" ht="15" customHeight="1">
      <c r="A452" t="inlineStr">
        <is>
          <t>A 60254-2025</t>
        </is>
      </c>
      <c r="B452" s="1" t="n">
        <v>45994.60146990741</v>
      </c>
      <c r="C452" s="1" t="n">
        <v>46011</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14919-2025</t>
        </is>
      </c>
      <c r="B453" s="1" t="n">
        <v>45743.54256944444</v>
      </c>
      <c r="C453" s="1" t="n">
        <v>46011</v>
      </c>
      <c r="D453" t="inlineStr">
        <is>
          <t>VÄSTMANLANDS LÄN</t>
        </is>
      </c>
      <c r="E453" t="inlineStr">
        <is>
          <t>SALA</t>
        </is>
      </c>
      <c r="G453" t="n">
        <v>0.6</v>
      </c>
      <c r="H453" t="n">
        <v>0</v>
      </c>
      <c r="I453" t="n">
        <v>0</v>
      </c>
      <c r="J453" t="n">
        <v>0</v>
      </c>
      <c r="K453" t="n">
        <v>0</v>
      </c>
      <c r="L453" t="n">
        <v>0</v>
      </c>
      <c r="M453" t="n">
        <v>0</v>
      </c>
      <c r="N453" t="n">
        <v>0</v>
      </c>
      <c r="O453" t="n">
        <v>0</v>
      </c>
      <c r="P453" t="n">
        <v>0</v>
      </c>
      <c r="Q453" t="n">
        <v>0</v>
      </c>
      <c r="R453" s="2" t="inlineStr"/>
    </row>
    <row r="454" ht="15" customHeight="1">
      <c r="A454" t="inlineStr">
        <is>
          <t>A 14920-2025</t>
        </is>
      </c>
      <c r="B454" s="1" t="n">
        <v>45743</v>
      </c>
      <c r="C454" s="1" t="n">
        <v>46011</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60258-2025</t>
        </is>
      </c>
      <c r="B455" s="1" t="n">
        <v>45994.6064699074</v>
      </c>
      <c r="C455" s="1" t="n">
        <v>46011</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13855-2023</t>
        </is>
      </c>
      <c r="B456" s="1" t="n">
        <v>45007</v>
      </c>
      <c r="C456" s="1" t="n">
        <v>46011</v>
      </c>
      <c r="D456" t="inlineStr">
        <is>
          <t>VÄSTMANLANDS LÄN</t>
        </is>
      </c>
      <c r="E456" t="inlineStr">
        <is>
          <t>SALA</t>
        </is>
      </c>
      <c r="G456" t="n">
        <v>2.9</v>
      </c>
      <c r="H456" t="n">
        <v>0</v>
      </c>
      <c r="I456" t="n">
        <v>0</v>
      </c>
      <c r="J456" t="n">
        <v>0</v>
      </c>
      <c r="K456" t="n">
        <v>0</v>
      </c>
      <c r="L456" t="n">
        <v>0</v>
      </c>
      <c r="M456" t="n">
        <v>0</v>
      </c>
      <c r="N456" t="n">
        <v>0</v>
      </c>
      <c r="O456" t="n">
        <v>0</v>
      </c>
      <c r="P456" t="n">
        <v>0</v>
      </c>
      <c r="Q456" t="n">
        <v>0</v>
      </c>
      <c r="R456" s="2" t="inlineStr"/>
    </row>
    <row r="457" ht="15" customHeight="1">
      <c r="A457" t="inlineStr">
        <is>
          <t>A 51803-2025</t>
        </is>
      </c>
      <c r="B457" s="1" t="n">
        <v>45951.76818287037</v>
      </c>
      <c r="C457" s="1" t="n">
        <v>46011</v>
      </c>
      <c r="D457" t="inlineStr">
        <is>
          <t>VÄSTMANLANDS LÄN</t>
        </is>
      </c>
      <c r="E457" t="inlineStr">
        <is>
          <t>SALA</t>
        </is>
      </c>
      <c r="F457" t="inlineStr">
        <is>
          <t>Kommuner</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51805-2025</t>
        </is>
      </c>
      <c r="B458" s="1" t="n">
        <v>45951.78359953704</v>
      </c>
      <c r="C458" s="1" t="n">
        <v>46011</v>
      </c>
      <c r="D458" t="inlineStr">
        <is>
          <t>VÄSTMANLANDS LÄN</t>
        </is>
      </c>
      <c r="E458" t="inlineStr">
        <is>
          <t>SALA</t>
        </is>
      </c>
      <c r="F458" t="inlineStr">
        <is>
          <t>Kommuner</t>
        </is>
      </c>
      <c r="G458" t="n">
        <v>1.3</v>
      </c>
      <c r="H458" t="n">
        <v>0</v>
      </c>
      <c r="I458" t="n">
        <v>0</v>
      </c>
      <c r="J458" t="n">
        <v>0</v>
      </c>
      <c r="K458" t="n">
        <v>0</v>
      </c>
      <c r="L458" t="n">
        <v>0</v>
      </c>
      <c r="M458" t="n">
        <v>0</v>
      </c>
      <c r="N458" t="n">
        <v>0</v>
      </c>
      <c r="O458" t="n">
        <v>0</v>
      </c>
      <c r="P458" t="n">
        <v>0</v>
      </c>
      <c r="Q458" t="n">
        <v>0</v>
      </c>
      <c r="R458" s="2" t="inlineStr"/>
    </row>
    <row r="459" ht="15" customHeight="1">
      <c r="A459" t="inlineStr">
        <is>
          <t>A 60259-2025</t>
        </is>
      </c>
      <c r="B459" s="1" t="n">
        <v>45994.60913194445</v>
      </c>
      <c r="C459" s="1" t="n">
        <v>46011</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60246-2025</t>
        </is>
      </c>
      <c r="B460" s="1" t="n">
        <v>45994.58931712963</v>
      </c>
      <c r="C460" s="1" t="n">
        <v>46011</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51804-2025</t>
        </is>
      </c>
      <c r="B461" s="1" t="n">
        <v>45951.77697916667</v>
      </c>
      <c r="C461" s="1" t="n">
        <v>46011</v>
      </c>
      <c r="D461" t="inlineStr">
        <is>
          <t>VÄSTMANLANDS LÄN</t>
        </is>
      </c>
      <c r="E461" t="inlineStr">
        <is>
          <t>SALA</t>
        </is>
      </c>
      <c r="F461" t="inlineStr">
        <is>
          <t>Kommuner</t>
        </is>
      </c>
      <c r="G461" t="n">
        <v>2</v>
      </c>
      <c r="H461" t="n">
        <v>0</v>
      </c>
      <c r="I461" t="n">
        <v>0</v>
      </c>
      <c r="J461" t="n">
        <v>0</v>
      </c>
      <c r="K461" t="n">
        <v>0</v>
      </c>
      <c r="L461" t="n">
        <v>0</v>
      </c>
      <c r="M461" t="n">
        <v>0</v>
      </c>
      <c r="N461" t="n">
        <v>0</v>
      </c>
      <c r="O461" t="n">
        <v>0</v>
      </c>
      <c r="P461" t="n">
        <v>0</v>
      </c>
      <c r="Q461" t="n">
        <v>0</v>
      </c>
      <c r="R461" s="2" t="inlineStr"/>
    </row>
    <row r="462" ht="15" customHeight="1">
      <c r="A462" t="inlineStr">
        <is>
          <t>A 51808-2025</t>
        </is>
      </c>
      <c r="B462" s="1" t="n">
        <v>45951.79302083333</v>
      </c>
      <c r="C462" s="1" t="n">
        <v>46011</v>
      </c>
      <c r="D462" t="inlineStr">
        <is>
          <t>VÄSTMANLANDS LÄN</t>
        </is>
      </c>
      <c r="E462" t="inlineStr">
        <is>
          <t>SALA</t>
        </is>
      </c>
      <c r="F462" t="inlineStr">
        <is>
          <t>Kommuner</t>
        </is>
      </c>
      <c r="G462" t="n">
        <v>3</v>
      </c>
      <c r="H462" t="n">
        <v>0</v>
      </c>
      <c r="I462" t="n">
        <v>0</v>
      </c>
      <c r="J462" t="n">
        <v>0</v>
      </c>
      <c r="K462" t="n">
        <v>0</v>
      </c>
      <c r="L462" t="n">
        <v>0</v>
      </c>
      <c r="M462" t="n">
        <v>0</v>
      </c>
      <c r="N462" t="n">
        <v>0</v>
      </c>
      <c r="O462" t="n">
        <v>0</v>
      </c>
      <c r="P462" t="n">
        <v>0</v>
      </c>
      <c r="Q462" t="n">
        <v>0</v>
      </c>
      <c r="R462" s="2" t="inlineStr"/>
    </row>
    <row r="463" ht="15" customHeight="1">
      <c r="A463" t="inlineStr">
        <is>
          <t>A 51764-2025</t>
        </is>
      </c>
      <c r="B463" s="1" t="n">
        <v>45951.63636574074</v>
      </c>
      <c r="C463" s="1" t="n">
        <v>46011</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18877-2023</t>
        </is>
      </c>
      <c r="B464" s="1" t="n">
        <v>45044</v>
      </c>
      <c r="C464" s="1" t="n">
        <v>46011</v>
      </c>
      <c r="D464" t="inlineStr">
        <is>
          <t>VÄSTMANLANDS LÄN</t>
        </is>
      </c>
      <c r="E464" t="inlineStr">
        <is>
          <t>SALA</t>
        </is>
      </c>
      <c r="F464" t="inlineStr">
        <is>
          <t>Kommuner</t>
        </is>
      </c>
      <c r="G464" t="n">
        <v>4.4</v>
      </c>
      <c r="H464" t="n">
        <v>0</v>
      </c>
      <c r="I464" t="n">
        <v>0</v>
      </c>
      <c r="J464" t="n">
        <v>0</v>
      </c>
      <c r="K464" t="n">
        <v>0</v>
      </c>
      <c r="L464" t="n">
        <v>0</v>
      </c>
      <c r="M464" t="n">
        <v>0</v>
      </c>
      <c r="N464" t="n">
        <v>0</v>
      </c>
      <c r="O464" t="n">
        <v>0</v>
      </c>
      <c r="P464" t="n">
        <v>0</v>
      </c>
      <c r="Q464" t="n">
        <v>0</v>
      </c>
      <c r="R464" s="2" t="inlineStr"/>
    </row>
    <row r="465" ht="15" customHeight="1">
      <c r="A465" t="inlineStr">
        <is>
          <t>A 55556-2023</t>
        </is>
      </c>
      <c r="B465" s="1" t="n">
        <v>45232</v>
      </c>
      <c r="C465" s="1" t="n">
        <v>46011</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34494-2023</t>
        </is>
      </c>
      <c r="B466" s="1" t="n">
        <v>45133</v>
      </c>
      <c r="C466" s="1" t="n">
        <v>46011</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60629-2025</t>
        </is>
      </c>
      <c r="B467" s="1" t="n">
        <v>45996.41972222222</v>
      </c>
      <c r="C467" s="1" t="n">
        <v>46011</v>
      </c>
      <c r="D467" t="inlineStr">
        <is>
          <t>VÄSTMANLANDS LÄN</t>
        </is>
      </c>
      <c r="E467" t="inlineStr">
        <is>
          <t>SALA</t>
        </is>
      </c>
      <c r="G467" t="n">
        <v>4.3</v>
      </c>
      <c r="H467" t="n">
        <v>0</v>
      </c>
      <c r="I467" t="n">
        <v>0</v>
      </c>
      <c r="J467" t="n">
        <v>0</v>
      </c>
      <c r="K467" t="n">
        <v>0</v>
      </c>
      <c r="L467" t="n">
        <v>0</v>
      </c>
      <c r="M467" t="n">
        <v>0</v>
      </c>
      <c r="N467" t="n">
        <v>0</v>
      </c>
      <c r="O467" t="n">
        <v>0</v>
      </c>
      <c r="P467" t="n">
        <v>0</v>
      </c>
      <c r="Q467" t="n">
        <v>0</v>
      </c>
      <c r="R467" s="2" t="inlineStr"/>
    </row>
    <row r="468" ht="15" customHeight="1">
      <c r="A468" t="inlineStr">
        <is>
          <t>A 13752-2025</t>
        </is>
      </c>
      <c r="B468" s="1" t="n">
        <v>45737.41416666667</v>
      </c>
      <c r="C468" s="1" t="n">
        <v>46011</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57014-2025</t>
        </is>
      </c>
      <c r="B469" s="1" t="n">
        <v>45978</v>
      </c>
      <c r="C469" s="1" t="n">
        <v>46011</v>
      </c>
      <c r="D469" t="inlineStr">
        <is>
          <t>VÄSTMANLANDS LÄN</t>
        </is>
      </c>
      <c r="E469" t="inlineStr">
        <is>
          <t>SALA</t>
        </is>
      </c>
      <c r="G469" t="n">
        <v>2.2</v>
      </c>
      <c r="H469" t="n">
        <v>0</v>
      </c>
      <c r="I469" t="n">
        <v>0</v>
      </c>
      <c r="J469" t="n">
        <v>0</v>
      </c>
      <c r="K469" t="n">
        <v>0</v>
      </c>
      <c r="L469" t="n">
        <v>0</v>
      </c>
      <c r="M469" t="n">
        <v>0</v>
      </c>
      <c r="N469" t="n">
        <v>0</v>
      </c>
      <c r="O469" t="n">
        <v>0</v>
      </c>
      <c r="P469" t="n">
        <v>0</v>
      </c>
      <c r="Q469" t="n">
        <v>0</v>
      </c>
      <c r="R469" s="2" t="inlineStr"/>
    </row>
    <row r="470" ht="15" customHeight="1">
      <c r="A470" t="inlineStr">
        <is>
          <t>A 19398-2025</t>
        </is>
      </c>
      <c r="B470" s="1" t="n">
        <v>45769</v>
      </c>
      <c r="C470" s="1" t="n">
        <v>46011</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22921-2023</t>
        </is>
      </c>
      <c r="B471" s="1" t="n">
        <v>45070</v>
      </c>
      <c r="C471" s="1" t="n">
        <v>46011</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16133-2025</t>
        </is>
      </c>
      <c r="B472" s="1" t="n">
        <v>45750</v>
      </c>
      <c r="C472" s="1" t="n">
        <v>46011</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6127-2025</t>
        </is>
      </c>
      <c r="B473" s="1" t="n">
        <v>45698</v>
      </c>
      <c r="C473" s="1" t="n">
        <v>46011</v>
      </c>
      <c r="D473" t="inlineStr">
        <is>
          <t>VÄSTMANLANDS LÄN</t>
        </is>
      </c>
      <c r="E473" t="inlineStr">
        <is>
          <t>SALA</t>
        </is>
      </c>
      <c r="F473" t="inlineStr">
        <is>
          <t>Bergvik skog öst AB</t>
        </is>
      </c>
      <c r="G473" t="n">
        <v>4.3</v>
      </c>
      <c r="H473" t="n">
        <v>0</v>
      </c>
      <c r="I473" t="n">
        <v>0</v>
      </c>
      <c r="J473" t="n">
        <v>0</v>
      </c>
      <c r="K473" t="n">
        <v>0</v>
      </c>
      <c r="L473" t="n">
        <v>0</v>
      </c>
      <c r="M473" t="n">
        <v>0</v>
      </c>
      <c r="N473" t="n">
        <v>0</v>
      </c>
      <c r="O473" t="n">
        <v>0</v>
      </c>
      <c r="P473" t="n">
        <v>0</v>
      </c>
      <c r="Q473" t="n">
        <v>0</v>
      </c>
      <c r="R473" s="2" t="inlineStr"/>
    </row>
    <row r="474" ht="15" customHeight="1">
      <c r="A474" t="inlineStr">
        <is>
          <t>A 15272-2025</t>
        </is>
      </c>
      <c r="B474" s="1" t="n">
        <v>45744</v>
      </c>
      <c r="C474" s="1" t="n">
        <v>46011</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24248-2023</t>
        </is>
      </c>
      <c r="B475" s="1" t="n">
        <v>45079</v>
      </c>
      <c r="C475" s="1" t="n">
        <v>46011</v>
      </c>
      <c r="D475" t="inlineStr">
        <is>
          <t>VÄSTMANLANDS LÄN</t>
        </is>
      </c>
      <c r="E475" t="inlineStr">
        <is>
          <t>SALA</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38195-2021</t>
        </is>
      </c>
      <c r="B476" s="1" t="n">
        <v>44405</v>
      </c>
      <c r="C476" s="1" t="n">
        <v>46011</v>
      </c>
      <c r="D476" t="inlineStr">
        <is>
          <t>VÄSTMANLANDS LÄN</t>
        </is>
      </c>
      <c r="E476" t="inlineStr">
        <is>
          <t>SALA</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27228-2023</t>
        </is>
      </c>
      <c r="B477" s="1" t="n">
        <v>45096.59189814814</v>
      </c>
      <c r="C477" s="1" t="n">
        <v>46011</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53838-2022</t>
        </is>
      </c>
      <c r="B478" s="1" t="n">
        <v>44880.59363425926</v>
      </c>
      <c r="C478" s="1" t="n">
        <v>46011</v>
      </c>
      <c r="D478" t="inlineStr">
        <is>
          <t>VÄSTMANLANDS LÄN</t>
        </is>
      </c>
      <c r="E478" t="inlineStr">
        <is>
          <t>SALA</t>
        </is>
      </c>
      <c r="G478" t="n">
        <v>3.9</v>
      </c>
      <c r="H478" t="n">
        <v>0</v>
      </c>
      <c r="I478" t="n">
        <v>0</v>
      </c>
      <c r="J478" t="n">
        <v>0</v>
      </c>
      <c r="K478" t="n">
        <v>0</v>
      </c>
      <c r="L478" t="n">
        <v>0</v>
      </c>
      <c r="M478" t="n">
        <v>0</v>
      </c>
      <c r="N478" t="n">
        <v>0</v>
      </c>
      <c r="O478" t="n">
        <v>0</v>
      </c>
      <c r="P478" t="n">
        <v>0</v>
      </c>
      <c r="Q478" t="n">
        <v>0</v>
      </c>
      <c r="R478" s="2" t="inlineStr"/>
    </row>
    <row r="479" ht="15" customHeight="1">
      <c r="A479" t="inlineStr">
        <is>
          <t>A 53744-2025</t>
        </is>
      </c>
      <c r="B479" s="1" t="n">
        <v>45960.64863425926</v>
      </c>
      <c r="C479" s="1" t="n">
        <v>46011</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53725-2025</t>
        </is>
      </c>
      <c r="B480" s="1" t="n">
        <v>45960.63394675926</v>
      </c>
      <c r="C480" s="1" t="n">
        <v>46011</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25260-2023</t>
        </is>
      </c>
      <c r="B481" s="1" t="n">
        <v>45086</v>
      </c>
      <c r="C481" s="1" t="n">
        <v>46011</v>
      </c>
      <c r="D481" t="inlineStr">
        <is>
          <t>VÄSTMANLANDS LÄN</t>
        </is>
      </c>
      <c r="E481" t="inlineStr">
        <is>
          <t>SALA</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61522-2025</t>
        </is>
      </c>
      <c r="B482" s="1" t="n">
        <v>46001.68684027778</v>
      </c>
      <c r="C482" s="1" t="n">
        <v>46011</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16769-2024</t>
        </is>
      </c>
      <c r="B483" s="1" t="n">
        <v>45411.38738425926</v>
      </c>
      <c r="C483" s="1" t="n">
        <v>46011</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60249-2023</t>
        </is>
      </c>
      <c r="B484" s="1" t="n">
        <v>45258</v>
      </c>
      <c r="C484" s="1" t="n">
        <v>46011</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14271-2025</t>
        </is>
      </c>
      <c r="B485" s="1" t="n">
        <v>45740.64129629629</v>
      </c>
      <c r="C485" s="1" t="n">
        <v>46011</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53724-2025</t>
        </is>
      </c>
      <c r="B486" s="1" t="n">
        <v>45960.63174768518</v>
      </c>
      <c r="C486" s="1" t="n">
        <v>46011</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69232-2021</t>
        </is>
      </c>
      <c r="B487" s="1" t="n">
        <v>44531.39696759259</v>
      </c>
      <c r="C487" s="1" t="n">
        <v>46011</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28328-2023</t>
        </is>
      </c>
      <c r="B488" s="1" t="n">
        <v>45099.71063657408</v>
      </c>
      <c r="C488" s="1" t="n">
        <v>46011</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40085-2024</t>
        </is>
      </c>
      <c r="B489" s="1" t="n">
        <v>45554</v>
      </c>
      <c r="C489" s="1" t="n">
        <v>46011</v>
      </c>
      <c r="D489" t="inlineStr">
        <is>
          <t>VÄSTMANLANDS LÄN</t>
        </is>
      </c>
      <c r="E489" t="inlineStr">
        <is>
          <t>SALA</t>
        </is>
      </c>
      <c r="G489" t="n">
        <v>2.8</v>
      </c>
      <c r="H489" t="n">
        <v>0</v>
      </c>
      <c r="I489" t="n">
        <v>0</v>
      </c>
      <c r="J489" t="n">
        <v>0</v>
      </c>
      <c r="K489" t="n">
        <v>0</v>
      </c>
      <c r="L489" t="n">
        <v>0</v>
      </c>
      <c r="M489" t="n">
        <v>0</v>
      </c>
      <c r="N489" t="n">
        <v>0</v>
      </c>
      <c r="O489" t="n">
        <v>0</v>
      </c>
      <c r="P489" t="n">
        <v>0</v>
      </c>
      <c r="Q489" t="n">
        <v>0</v>
      </c>
      <c r="R489" s="2" t="inlineStr"/>
    </row>
    <row r="490" ht="15" customHeight="1">
      <c r="A490" t="inlineStr">
        <is>
          <t>A 38636-2024</t>
        </is>
      </c>
      <c r="B490" s="1" t="n">
        <v>45546</v>
      </c>
      <c r="C490" s="1" t="n">
        <v>46011</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18158-2025</t>
        </is>
      </c>
      <c r="B491" s="1" t="n">
        <v>45761</v>
      </c>
      <c r="C491" s="1" t="n">
        <v>46011</v>
      </c>
      <c r="D491" t="inlineStr">
        <is>
          <t>VÄSTMANLANDS LÄN</t>
        </is>
      </c>
      <c r="E491" t="inlineStr">
        <is>
          <t>SALA</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54201-2025</t>
        </is>
      </c>
      <c r="B492" s="1" t="n">
        <v>45964.58055555556</v>
      </c>
      <c r="C492" s="1" t="n">
        <v>46011</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49661-2024</t>
        </is>
      </c>
      <c r="B493" s="1" t="n">
        <v>45596</v>
      </c>
      <c r="C493" s="1" t="n">
        <v>46011</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35519-2024</t>
        </is>
      </c>
      <c r="B494" s="1" t="n">
        <v>45531</v>
      </c>
      <c r="C494" s="1" t="n">
        <v>46011</v>
      </c>
      <c r="D494" t="inlineStr">
        <is>
          <t>VÄSTMANLANDS LÄN</t>
        </is>
      </c>
      <c r="E494" t="inlineStr">
        <is>
          <t>SALA</t>
        </is>
      </c>
      <c r="G494" t="n">
        <v>1.8</v>
      </c>
      <c r="H494" t="n">
        <v>0</v>
      </c>
      <c r="I494" t="n">
        <v>0</v>
      </c>
      <c r="J494" t="n">
        <v>0</v>
      </c>
      <c r="K494" t="n">
        <v>0</v>
      </c>
      <c r="L494" t="n">
        <v>0</v>
      </c>
      <c r="M494" t="n">
        <v>0</v>
      </c>
      <c r="N494" t="n">
        <v>0</v>
      </c>
      <c r="O494" t="n">
        <v>0</v>
      </c>
      <c r="P494" t="n">
        <v>0</v>
      </c>
      <c r="Q494" t="n">
        <v>0</v>
      </c>
      <c r="R494" s="2" t="inlineStr"/>
    </row>
    <row r="495" ht="15" customHeight="1">
      <c r="A495" t="inlineStr">
        <is>
          <t>A 54347-2024</t>
        </is>
      </c>
      <c r="B495" s="1" t="n">
        <v>45617.39325231482</v>
      </c>
      <c r="C495" s="1" t="n">
        <v>46011</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13022-2023</t>
        </is>
      </c>
      <c r="B496" s="1" t="n">
        <v>45002.33291666667</v>
      </c>
      <c r="C496" s="1" t="n">
        <v>46011</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35003-2024</t>
        </is>
      </c>
      <c r="B497" s="1" t="n">
        <v>45527.56790509259</v>
      </c>
      <c r="C497" s="1" t="n">
        <v>46011</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54344-2025</t>
        </is>
      </c>
      <c r="B498" s="1" t="n">
        <v>45965.36462962963</v>
      </c>
      <c r="C498" s="1" t="n">
        <v>46011</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66307-2021</t>
        </is>
      </c>
      <c r="B499" s="1" t="n">
        <v>44518.48670138889</v>
      </c>
      <c r="C499" s="1" t="n">
        <v>46011</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6030-2024</t>
        </is>
      </c>
      <c r="B500" s="1" t="n">
        <v>45336.62782407407</v>
      </c>
      <c r="C500" s="1" t="n">
        <v>46011</v>
      </c>
      <c r="D500" t="inlineStr">
        <is>
          <t>VÄSTMANLANDS LÄN</t>
        </is>
      </c>
      <c r="E500" t="inlineStr">
        <is>
          <t>SALA</t>
        </is>
      </c>
      <c r="G500" t="n">
        <v>3.9</v>
      </c>
      <c r="H500" t="n">
        <v>0</v>
      </c>
      <c r="I500" t="n">
        <v>0</v>
      </c>
      <c r="J500" t="n">
        <v>0</v>
      </c>
      <c r="K500" t="n">
        <v>0</v>
      </c>
      <c r="L500" t="n">
        <v>0</v>
      </c>
      <c r="M500" t="n">
        <v>0</v>
      </c>
      <c r="N500" t="n">
        <v>0</v>
      </c>
      <c r="O500" t="n">
        <v>0</v>
      </c>
      <c r="P500" t="n">
        <v>0</v>
      </c>
      <c r="Q500" t="n">
        <v>0</v>
      </c>
      <c r="R500" s="2" t="inlineStr"/>
    </row>
    <row r="501" ht="15" customHeight="1">
      <c r="A501" t="inlineStr">
        <is>
          <t>A 26761-2023</t>
        </is>
      </c>
      <c r="B501" s="1" t="n">
        <v>45093</v>
      </c>
      <c r="C501" s="1" t="n">
        <v>46011</v>
      </c>
      <c r="D501" t="inlineStr">
        <is>
          <t>VÄSTMANLANDS LÄN</t>
        </is>
      </c>
      <c r="E501" t="inlineStr">
        <is>
          <t>SALA</t>
        </is>
      </c>
      <c r="G501" t="n">
        <v>4.3</v>
      </c>
      <c r="H501" t="n">
        <v>0</v>
      </c>
      <c r="I501" t="n">
        <v>0</v>
      </c>
      <c r="J501" t="n">
        <v>0</v>
      </c>
      <c r="K501" t="n">
        <v>0</v>
      </c>
      <c r="L501" t="n">
        <v>0</v>
      </c>
      <c r="M501" t="n">
        <v>0</v>
      </c>
      <c r="N501" t="n">
        <v>0</v>
      </c>
      <c r="O501" t="n">
        <v>0</v>
      </c>
      <c r="P501" t="n">
        <v>0</v>
      </c>
      <c r="Q501" t="n">
        <v>0</v>
      </c>
      <c r="R501" s="2" t="inlineStr"/>
    </row>
    <row r="502" ht="15" customHeight="1">
      <c r="A502" t="inlineStr">
        <is>
          <t>A 61892-2021</t>
        </is>
      </c>
      <c r="B502" s="1" t="n">
        <v>44502</v>
      </c>
      <c r="C502" s="1" t="n">
        <v>46011</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62523-2025</t>
        </is>
      </c>
      <c r="B503" s="1" t="n">
        <v>46007.61512731481</v>
      </c>
      <c r="C503" s="1" t="n">
        <v>46011</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55760-2025</t>
        </is>
      </c>
      <c r="B504" s="1" t="n">
        <v>45972</v>
      </c>
      <c r="C504" s="1" t="n">
        <v>46011</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54590-2025</t>
        </is>
      </c>
      <c r="B505" s="1" t="n">
        <v>45965.74199074074</v>
      </c>
      <c r="C505" s="1" t="n">
        <v>46011</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7772-2023</t>
        </is>
      </c>
      <c r="B506" s="1" t="n">
        <v>44973.40076388889</v>
      </c>
      <c r="C506" s="1" t="n">
        <v>46011</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63046-2025</t>
        </is>
      </c>
      <c r="B507" s="1" t="n">
        <v>46009.62373842593</v>
      </c>
      <c r="C507" s="1" t="n">
        <v>46011</v>
      </c>
      <c r="D507" t="inlineStr">
        <is>
          <t>VÄSTMANLANDS LÄN</t>
        </is>
      </c>
      <c r="E507" t="inlineStr">
        <is>
          <t>SALA</t>
        </is>
      </c>
      <c r="G507" t="n">
        <v>1.1</v>
      </c>
      <c r="H507" t="n">
        <v>0</v>
      </c>
      <c r="I507" t="n">
        <v>0</v>
      </c>
      <c r="J507" t="n">
        <v>0</v>
      </c>
      <c r="K507" t="n">
        <v>0</v>
      </c>
      <c r="L507" t="n">
        <v>0</v>
      </c>
      <c r="M507" t="n">
        <v>0</v>
      </c>
      <c r="N507" t="n">
        <v>0</v>
      </c>
      <c r="O507" t="n">
        <v>0</v>
      </c>
      <c r="P507" t="n">
        <v>0</v>
      </c>
      <c r="Q507" t="n">
        <v>0</v>
      </c>
      <c r="R507" s="2" t="inlineStr"/>
    </row>
    <row r="508" ht="15" customHeight="1">
      <c r="A508" t="inlineStr">
        <is>
          <t>A 42416-2022</t>
        </is>
      </c>
      <c r="B508" s="1" t="n">
        <v>44831</v>
      </c>
      <c r="C508" s="1" t="n">
        <v>46011</v>
      </c>
      <c r="D508" t="inlineStr">
        <is>
          <t>VÄSTMANLANDS LÄN</t>
        </is>
      </c>
      <c r="E508" t="inlineStr">
        <is>
          <t>SALA</t>
        </is>
      </c>
      <c r="G508" t="n">
        <v>2.2</v>
      </c>
      <c r="H508" t="n">
        <v>0</v>
      </c>
      <c r="I508" t="n">
        <v>0</v>
      </c>
      <c r="J508" t="n">
        <v>0</v>
      </c>
      <c r="K508" t="n">
        <v>0</v>
      </c>
      <c r="L508" t="n">
        <v>0</v>
      </c>
      <c r="M508" t="n">
        <v>0</v>
      </c>
      <c r="N508" t="n">
        <v>0</v>
      </c>
      <c r="O508" t="n">
        <v>0</v>
      </c>
      <c r="P508" t="n">
        <v>0</v>
      </c>
      <c r="Q508" t="n">
        <v>0</v>
      </c>
      <c r="R508" s="2" t="inlineStr"/>
    </row>
    <row r="509" ht="15" customHeight="1">
      <c r="A509" t="inlineStr">
        <is>
          <t>A 19381-2025</t>
        </is>
      </c>
      <c r="B509" s="1" t="n">
        <v>45769</v>
      </c>
      <c r="C509" s="1" t="n">
        <v>46011</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48688-2024</t>
        </is>
      </c>
      <c r="B510" s="1" t="n">
        <v>45593.50541666667</v>
      </c>
      <c r="C510" s="1" t="n">
        <v>46011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54893-2025</t>
        </is>
      </c>
      <c r="B511" s="1" t="n">
        <v>45967.36383101852</v>
      </c>
      <c r="C511" s="1" t="n">
        <v>46011</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63051-2025</t>
        </is>
      </c>
      <c r="B512" s="1" t="n">
        <v>46009.63134259259</v>
      </c>
      <c r="C512" s="1" t="n">
        <v>46011</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63269-2025</t>
        </is>
      </c>
      <c r="B513" s="1" t="n">
        <v>46010.56664351852</v>
      </c>
      <c r="C513" s="1" t="n">
        <v>46011</v>
      </c>
      <c r="D513" t="inlineStr">
        <is>
          <t>VÄSTMANLANDS LÄN</t>
        </is>
      </c>
      <c r="E513" t="inlineStr">
        <is>
          <t>SALA</t>
        </is>
      </c>
      <c r="G513" t="n">
        <v>6.4</v>
      </c>
      <c r="H513" t="n">
        <v>0</v>
      </c>
      <c r="I513" t="n">
        <v>0</v>
      </c>
      <c r="J513" t="n">
        <v>0</v>
      </c>
      <c r="K513" t="n">
        <v>0</v>
      </c>
      <c r="L513" t="n">
        <v>0</v>
      </c>
      <c r="M513" t="n">
        <v>0</v>
      </c>
      <c r="N513" t="n">
        <v>0</v>
      </c>
      <c r="O513" t="n">
        <v>0</v>
      </c>
      <c r="P513" t="n">
        <v>0</v>
      </c>
      <c r="Q513" t="n">
        <v>0</v>
      </c>
      <c r="R513" s="2" t="inlineStr"/>
    </row>
    <row r="514" ht="15" customHeight="1">
      <c r="A514" t="inlineStr">
        <is>
          <t>A 63055-2025</t>
        </is>
      </c>
      <c r="B514" s="1" t="n">
        <v>46009.63619212963</v>
      </c>
      <c r="C514" s="1" t="n">
        <v>46011</v>
      </c>
      <c r="D514" t="inlineStr">
        <is>
          <t>VÄSTMANLANDS LÄN</t>
        </is>
      </c>
      <c r="E514" t="inlineStr">
        <is>
          <t>SALA</t>
        </is>
      </c>
      <c r="G514" t="n">
        <v>0.4</v>
      </c>
      <c r="H514" t="n">
        <v>0</v>
      </c>
      <c r="I514" t="n">
        <v>0</v>
      </c>
      <c r="J514" t="n">
        <v>0</v>
      </c>
      <c r="K514" t="n">
        <v>0</v>
      </c>
      <c r="L514" t="n">
        <v>0</v>
      </c>
      <c r="M514" t="n">
        <v>0</v>
      </c>
      <c r="N514" t="n">
        <v>0</v>
      </c>
      <c r="O514" t="n">
        <v>0</v>
      </c>
      <c r="P514" t="n">
        <v>0</v>
      </c>
      <c r="Q514" t="n">
        <v>0</v>
      </c>
      <c r="R514" s="2" t="inlineStr"/>
    </row>
    <row r="515" ht="15" customHeight="1">
      <c r="A515" t="inlineStr">
        <is>
          <t>A 63353-2025</t>
        </is>
      </c>
      <c r="B515" s="1" t="n">
        <v>46010.66670138889</v>
      </c>
      <c r="C515" s="1" t="n">
        <v>46011</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45187-2024</t>
        </is>
      </c>
      <c r="B516" s="1" t="n">
        <v>45575</v>
      </c>
      <c r="C516" s="1" t="n">
        <v>46011</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15968-2024</t>
        </is>
      </c>
      <c r="B517" s="1" t="n">
        <v>45405.56021990741</v>
      </c>
      <c r="C517" s="1" t="n">
        <v>46011</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3733-2023</t>
        </is>
      </c>
      <c r="B518" s="1" t="n">
        <v>44951.42501157407</v>
      </c>
      <c r="C518" s="1" t="n">
        <v>46011</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44544-2024</t>
        </is>
      </c>
      <c r="B519" s="1" t="n">
        <v>45574.46119212963</v>
      </c>
      <c r="C519" s="1" t="n">
        <v>46011</v>
      </c>
      <c r="D519" t="inlineStr">
        <is>
          <t>VÄSTMANLANDS LÄN</t>
        </is>
      </c>
      <c r="E519" t="inlineStr">
        <is>
          <t>SALA</t>
        </is>
      </c>
      <c r="G519" t="n">
        <v>3.3</v>
      </c>
      <c r="H519" t="n">
        <v>0</v>
      </c>
      <c r="I519" t="n">
        <v>0</v>
      </c>
      <c r="J519" t="n">
        <v>0</v>
      </c>
      <c r="K519" t="n">
        <v>0</v>
      </c>
      <c r="L519" t="n">
        <v>0</v>
      </c>
      <c r="M519" t="n">
        <v>0</v>
      </c>
      <c r="N519" t="n">
        <v>0</v>
      </c>
      <c r="O519" t="n">
        <v>0</v>
      </c>
      <c r="P519" t="n">
        <v>0</v>
      </c>
      <c r="Q519" t="n">
        <v>0</v>
      </c>
      <c r="R519" s="2" t="inlineStr"/>
    </row>
    <row r="520" ht="15" customHeight="1">
      <c r="A520" t="inlineStr">
        <is>
          <t>A 64729-2023</t>
        </is>
      </c>
      <c r="B520" s="1" t="n">
        <v>45281</v>
      </c>
      <c r="C520" s="1" t="n">
        <v>46011</v>
      </c>
      <c r="D520" t="inlineStr">
        <is>
          <t>VÄSTMANLANDS LÄN</t>
        </is>
      </c>
      <c r="E520" t="inlineStr">
        <is>
          <t>SALA</t>
        </is>
      </c>
      <c r="G520" t="n">
        <v>1.8</v>
      </c>
      <c r="H520" t="n">
        <v>0</v>
      </c>
      <c r="I520" t="n">
        <v>0</v>
      </c>
      <c r="J520" t="n">
        <v>0</v>
      </c>
      <c r="K520" t="n">
        <v>0</v>
      </c>
      <c r="L520" t="n">
        <v>0</v>
      </c>
      <c r="M520" t="n">
        <v>0</v>
      </c>
      <c r="N520" t="n">
        <v>0</v>
      </c>
      <c r="O520" t="n">
        <v>0</v>
      </c>
      <c r="P520" t="n">
        <v>0</v>
      </c>
      <c r="Q520" t="n">
        <v>0</v>
      </c>
      <c r="R520" s="2" t="inlineStr"/>
    </row>
    <row r="521" ht="15" customHeight="1">
      <c r="A521" t="inlineStr">
        <is>
          <t>A 68864-2021</t>
        </is>
      </c>
      <c r="B521" s="1" t="n">
        <v>44530</v>
      </c>
      <c r="C521" s="1" t="n">
        <v>46011</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64925-2023</t>
        </is>
      </c>
      <c r="B522" s="1" t="n">
        <v>45282</v>
      </c>
      <c r="C522" s="1" t="n">
        <v>46011</v>
      </c>
      <c r="D522" t="inlineStr">
        <is>
          <t>VÄSTMANLANDS LÄN</t>
        </is>
      </c>
      <c r="E522" t="inlineStr">
        <is>
          <t>SALA</t>
        </is>
      </c>
      <c r="G522" t="n">
        <v>2.5</v>
      </c>
      <c r="H522" t="n">
        <v>0</v>
      </c>
      <c r="I522" t="n">
        <v>0</v>
      </c>
      <c r="J522" t="n">
        <v>0</v>
      </c>
      <c r="K522" t="n">
        <v>0</v>
      </c>
      <c r="L522" t="n">
        <v>0</v>
      </c>
      <c r="M522" t="n">
        <v>0</v>
      </c>
      <c r="N522" t="n">
        <v>0</v>
      </c>
      <c r="O522" t="n">
        <v>0</v>
      </c>
      <c r="P522" t="n">
        <v>0</v>
      </c>
      <c r="Q522" t="n">
        <v>0</v>
      </c>
      <c r="R522" s="2" t="inlineStr"/>
    </row>
    <row r="523" ht="15" customHeight="1">
      <c r="A523" t="inlineStr">
        <is>
          <t>A 48570-2024</t>
        </is>
      </c>
      <c r="B523" s="1" t="n">
        <v>45591</v>
      </c>
      <c r="C523" s="1" t="n">
        <v>46011</v>
      </c>
      <c r="D523" t="inlineStr">
        <is>
          <t>VÄSTMANLANDS LÄN</t>
        </is>
      </c>
      <c r="E523" t="inlineStr">
        <is>
          <t>SALA</t>
        </is>
      </c>
      <c r="G523" t="n">
        <v>3</v>
      </c>
      <c r="H523" t="n">
        <v>0</v>
      </c>
      <c r="I523" t="n">
        <v>0</v>
      </c>
      <c r="J523" t="n">
        <v>0</v>
      </c>
      <c r="K523" t="n">
        <v>0</v>
      </c>
      <c r="L523" t="n">
        <v>0</v>
      </c>
      <c r="M523" t="n">
        <v>0</v>
      </c>
      <c r="N523" t="n">
        <v>0</v>
      </c>
      <c r="O523" t="n">
        <v>0</v>
      </c>
      <c r="P523" t="n">
        <v>0</v>
      </c>
      <c r="Q523" t="n">
        <v>0</v>
      </c>
      <c r="R523" s="2" t="inlineStr"/>
    </row>
    <row r="524" ht="15" customHeight="1">
      <c r="A524" t="inlineStr">
        <is>
          <t>A 61517-2024</t>
        </is>
      </c>
      <c r="B524" s="1" t="n">
        <v>45645</v>
      </c>
      <c r="C524" s="1" t="n">
        <v>46011</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16760-2024</t>
        </is>
      </c>
      <c r="B525" s="1" t="n">
        <v>45411</v>
      </c>
      <c r="C525" s="1" t="n">
        <v>46011</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54603-2024</t>
        </is>
      </c>
      <c r="B526" s="1" t="n">
        <v>45617.68224537037</v>
      </c>
      <c r="C526" s="1" t="n">
        <v>46011</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18762-2024</t>
        </is>
      </c>
      <c r="B527" s="1" t="n">
        <v>45426.55240740741</v>
      </c>
      <c r="C527" s="1" t="n">
        <v>46011</v>
      </c>
      <c r="D527" t="inlineStr">
        <is>
          <t>VÄSTMANLANDS LÄN</t>
        </is>
      </c>
      <c r="E527" t="inlineStr">
        <is>
          <t>SALA</t>
        </is>
      </c>
      <c r="G527" t="n">
        <v>6.2</v>
      </c>
      <c r="H527" t="n">
        <v>0</v>
      </c>
      <c r="I527" t="n">
        <v>0</v>
      </c>
      <c r="J527" t="n">
        <v>0</v>
      </c>
      <c r="K527" t="n">
        <v>0</v>
      </c>
      <c r="L527" t="n">
        <v>0</v>
      </c>
      <c r="M527" t="n">
        <v>0</v>
      </c>
      <c r="N527" t="n">
        <v>0</v>
      </c>
      <c r="O527" t="n">
        <v>0</v>
      </c>
      <c r="P527" t="n">
        <v>0</v>
      </c>
      <c r="Q527" t="n">
        <v>0</v>
      </c>
      <c r="R527" s="2" t="inlineStr"/>
    </row>
    <row r="528" ht="15" customHeight="1">
      <c r="A528" t="inlineStr">
        <is>
          <t>A 17120-2023</t>
        </is>
      </c>
      <c r="B528" s="1" t="n">
        <v>45034</v>
      </c>
      <c r="C528" s="1" t="n">
        <v>46011</v>
      </c>
      <c r="D528" t="inlineStr">
        <is>
          <t>VÄSTMANLANDS LÄN</t>
        </is>
      </c>
      <c r="E528" t="inlineStr">
        <is>
          <t>SALA</t>
        </is>
      </c>
      <c r="G528" t="n">
        <v>0.1</v>
      </c>
      <c r="H528" t="n">
        <v>0</v>
      </c>
      <c r="I528" t="n">
        <v>0</v>
      </c>
      <c r="J528" t="n">
        <v>0</v>
      </c>
      <c r="K528" t="n">
        <v>0</v>
      </c>
      <c r="L528" t="n">
        <v>0</v>
      </c>
      <c r="M528" t="n">
        <v>0</v>
      </c>
      <c r="N528" t="n">
        <v>0</v>
      </c>
      <c r="O528" t="n">
        <v>0</v>
      </c>
      <c r="P528" t="n">
        <v>0</v>
      </c>
      <c r="Q528" t="n">
        <v>0</v>
      </c>
      <c r="R528" s="2" t="inlineStr"/>
    </row>
    <row r="529" ht="15" customHeight="1">
      <c r="A529" t="inlineStr">
        <is>
          <t>A 42938-2023</t>
        </is>
      </c>
      <c r="B529" s="1" t="n">
        <v>45179</v>
      </c>
      <c r="C529" s="1" t="n">
        <v>46011</v>
      </c>
      <c r="D529" t="inlineStr">
        <is>
          <t>VÄSTMANLANDS LÄN</t>
        </is>
      </c>
      <c r="E529" t="inlineStr">
        <is>
          <t>SALA</t>
        </is>
      </c>
      <c r="G529" t="n">
        <v>10.9</v>
      </c>
      <c r="H529" t="n">
        <v>0</v>
      </c>
      <c r="I529" t="n">
        <v>0</v>
      </c>
      <c r="J529" t="n">
        <v>0</v>
      </c>
      <c r="K529" t="n">
        <v>0</v>
      </c>
      <c r="L529" t="n">
        <v>0</v>
      </c>
      <c r="M529" t="n">
        <v>0</v>
      </c>
      <c r="N529" t="n">
        <v>0</v>
      </c>
      <c r="O529" t="n">
        <v>0</v>
      </c>
      <c r="P529" t="n">
        <v>0</v>
      </c>
      <c r="Q529" t="n">
        <v>0</v>
      </c>
      <c r="R529" s="2" t="inlineStr"/>
    </row>
    <row r="530" ht="15" customHeight="1">
      <c r="A530" t="inlineStr">
        <is>
          <t>A 42984-2023</t>
        </is>
      </c>
      <c r="B530" s="1" t="n">
        <v>45179</v>
      </c>
      <c r="C530" s="1" t="n">
        <v>46011</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15972-2024</t>
        </is>
      </c>
      <c r="B531" s="1" t="n">
        <v>45405.56498842593</v>
      </c>
      <c r="C531" s="1" t="n">
        <v>46011</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39714-2023</t>
        </is>
      </c>
      <c r="B532" s="1" t="n">
        <v>45167.62133101852</v>
      </c>
      <c r="C532" s="1" t="n">
        <v>46011</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33527-2023</t>
        </is>
      </c>
      <c r="B533" s="1" t="n">
        <v>45131</v>
      </c>
      <c r="C533" s="1" t="n">
        <v>46011</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10913-2025</t>
        </is>
      </c>
      <c r="B534" s="1" t="n">
        <v>45722.73423611111</v>
      </c>
      <c r="C534" s="1" t="n">
        <v>46011</v>
      </c>
      <c r="D534" t="inlineStr">
        <is>
          <t>VÄSTMANLANDS LÄN</t>
        </is>
      </c>
      <c r="E534" t="inlineStr">
        <is>
          <t>SALA</t>
        </is>
      </c>
      <c r="G534" t="n">
        <v>7.6</v>
      </c>
      <c r="H534" t="n">
        <v>0</v>
      </c>
      <c r="I534" t="n">
        <v>0</v>
      </c>
      <c r="J534" t="n">
        <v>0</v>
      </c>
      <c r="K534" t="n">
        <v>0</v>
      </c>
      <c r="L534" t="n">
        <v>0</v>
      </c>
      <c r="M534" t="n">
        <v>0</v>
      </c>
      <c r="N534" t="n">
        <v>0</v>
      </c>
      <c r="O534" t="n">
        <v>0</v>
      </c>
      <c r="P534" t="n">
        <v>0</v>
      </c>
      <c r="Q534" t="n">
        <v>0</v>
      </c>
      <c r="R534" s="2" t="inlineStr"/>
    </row>
    <row r="535" ht="15" customHeight="1">
      <c r="A535" t="inlineStr">
        <is>
          <t>A 58107-2021</t>
        </is>
      </c>
      <c r="B535" s="1" t="n">
        <v>44487</v>
      </c>
      <c r="C535" s="1" t="n">
        <v>46011</v>
      </c>
      <c r="D535" t="inlineStr">
        <is>
          <t>VÄSTMANLANDS LÄN</t>
        </is>
      </c>
      <c r="E535" t="inlineStr">
        <is>
          <t>SALA</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2927-2024</t>
        </is>
      </c>
      <c r="B536" s="1" t="n">
        <v>45315.58989583333</v>
      </c>
      <c r="C536" s="1" t="n">
        <v>46011</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37183-2024</t>
        </is>
      </c>
      <c r="B537" s="1" t="n">
        <v>45539</v>
      </c>
      <c r="C537" s="1" t="n">
        <v>46011</v>
      </c>
      <c r="D537" t="inlineStr">
        <is>
          <t>VÄSTMANLANDS LÄN</t>
        </is>
      </c>
      <c r="E537" t="inlineStr">
        <is>
          <t>SALA</t>
        </is>
      </c>
      <c r="G537" t="n">
        <v>1.2</v>
      </c>
      <c r="H537" t="n">
        <v>0</v>
      </c>
      <c r="I537" t="n">
        <v>0</v>
      </c>
      <c r="J537" t="n">
        <v>0</v>
      </c>
      <c r="K537" t="n">
        <v>0</v>
      </c>
      <c r="L537" t="n">
        <v>0</v>
      </c>
      <c r="M537" t="n">
        <v>0</v>
      </c>
      <c r="N537" t="n">
        <v>0</v>
      </c>
      <c r="O537" t="n">
        <v>0</v>
      </c>
      <c r="P537" t="n">
        <v>0</v>
      </c>
      <c r="Q537" t="n">
        <v>0</v>
      </c>
      <c r="R537" s="2" t="inlineStr"/>
    </row>
    <row r="538" ht="15" customHeight="1">
      <c r="A538" t="inlineStr">
        <is>
          <t>A 54199-2024</t>
        </is>
      </c>
      <c r="B538" s="1" t="n">
        <v>45616.64703703704</v>
      </c>
      <c r="C538" s="1" t="n">
        <v>46011</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60548-2024</t>
        </is>
      </c>
      <c r="B539" s="1" t="n">
        <v>45643.80978009259</v>
      </c>
      <c r="C539" s="1" t="n">
        <v>46011</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57895-2024</t>
        </is>
      </c>
      <c r="B540" s="1" t="n">
        <v>45631</v>
      </c>
      <c r="C540" s="1" t="n">
        <v>46011</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31597-2024</t>
        </is>
      </c>
      <c r="B541" s="1" t="n">
        <v>45506</v>
      </c>
      <c r="C541" s="1" t="n">
        <v>46011</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17458-2024</t>
        </is>
      </c>
      <c r="B542" s="1" t="n">
        <v>45415</v>
      </c>
      <c r="C542" s="1" t="n">
        <v>46011</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56543-2024</t>
        </is>
      </c>
      <c r="B543" s="1" t="n">
        <v>45625</v>
      </c>
      <c r="C543" s="1" t="n">
        <v>46011</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28661-2024</t>
        </is>
      </c>
      <c r="B544" s="1" t="n">
        <v>45478</v>
      </c>
      <c r="C544" s="1" t="n">
        <v>46011</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2529-2022</t>
        </is>
      </c>
      <c r="B545" s="1" t="n">
        <v>44579.86452546297</v>
      </c>
      <c r="C545" s="1" t="n">
        <v>46011</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56540-2024</t>
        </is>
      </c>
      <c r="B546" s="1" t="n">
        <v>45625</v>
      </c>
      <c r="C546" s="1" t="n">
        <v>46011</v>
      </c>
      <c r="D546" t="inlineStr">
        <is>
          <t>VÄSTMANLANDS LÄN</t>
        </is>
      </c>
      <c r="E546" t="inlineStr">
        <is>
          <t>SALA</t>
        </is>
      </c>
      <c r="G546" t="n">
        <v>1.8</v>
      </c>
      <c r="H546" t="n">
        <v>0</v>
      </c>
      <c r="I546" t="n">
        <v>0</v>
      </c>
      <c r="J546" t="n">
        <v>0</v>
      </c>
      <c r="K546" t="n">
        <v>0</v>
      </c>
      <c r="L546" t="n">
        <v>0</v>
      </c>
      <c r="M546" t="n">
        <v>0</v>
      </c>
      <c r="N546" t="n">
        <v>0</v>
      </c>
      <c r="O546" t="n">
        <v>0</v>
      </c>
      <c r="P546" t="n">
        <v>0</v>
      </c>
      <c r="Q546" t="n">
        <v>0</v>
      </c>
      <c r="R546" s="2" t="inlineStr"/>
    </row>
    <row r="547" ht="15" customHeight="1">
      <c r="A547" t="inlineStr">
        <is>
          <t>A 31599-2024</t>
        </is>
      </c>
      <c r="B547" s="1" t="n">
        <v>45506</v>
      </c>
      <c r="C547" s="1" t="n">
        <v>46011</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31601-2024</t>
        </is>
      </c>
      <c r="B548" s="1" t="n">
        <v>45506</v>
      </c>
      <c r="C548" s="1" t="n">
        <v>46011</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31608-2024</t>
        </is>
      </c>
      <c r="B549" s="1" t="n">
        <v>45506</v>
      </c>
      <c r="C549" s="1" t="n">
        <v>46011</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31612-2024</t>
        </is>
      </c>
      <c r="B550" s="1" t="n">
        <v>45506</v>
      </c>
      <c r="C550" s="1" t="n">
        <v>46011</v>
      </c>
      <c r="D550" t="inlineStr">
        <is>
          <t>VÄSTMANLANDS LÄN</t>
        </is>
      </c>
      <c r="E550" t="inlineStr">
        <is>
          <t>SALA</t>
        </is>
      </c>
      <c r="G550" t="n">
        <v>3.2</v>
      </c>
      <c r="H550" t="n">
        <v>0</v>
      </c>
      <c r="I550" t="n">
        <v>0</v>
      </c>
      <c r="J550" t="n">
        <v>0</v>
      </c>
      <c r="K550" t="n">
        <v>0</v>
      </c>
      <c r="L550" t="n">
        <v>0</v>
      </c>
      <c r="M550" t="n">
        <v>0</v>
      </c>
      <c r="N550" t="n">
        <v>0</v>
      </c>
      <c r="O550" t="n">
        <v>0</v>
      </c>
      <c r="P550" t="n">
        <v>0</v>
      </c>
      <c r="Q550" t="n">
        <v>0</v>
      </c>
      <c r="R550" s="2" t="inlineStr"/>
    </row>
    <row r="551" ht="15" customHeight="1">
      <c r="A551" t="inlineStr">
        <is>
          <t>A 10579-2022</t>
        </is>
      </c>
      <c r="B551" s="1" t="n">
        <v>44624</v>
      </c>
      <c r="C551" s="1" t="n">
        <v>46011</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64693-2023</t>
        </is>
      </c>
      <c r="B552" s="1" t="n">
        <v>45281.63850694444</v>
      </c>
      <c r="C552" s="1" t="n">
        <v>46011</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64695-2023</t>
        </is>
      </c>
      <c r="B553" s="1" t="n">
        <v>45281.64099537037</v>
      </c>
      <c r="C553" s="1" t="n">
        <v>46011</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55784-2024</t>
        </is>
      </c>
      <c r="B554" s="1" t="n">
        <v>45623</v>
      </c>
      <c r="C554" s="1" t="n">
        <v>46011</v>
      </c>
      <c r="D554" t="inlineStr">
        <is>
          <t>VÄSTMANLANDS LÄN</t>
        </is>
      </c>
      <c r="E554" t="inlineStr">
        <is>
          <t>SALA</t>
        </is>
      </c>
      <c r="F554" t="inlineStr">
        <is>
          <t>Bergvik skog öst AB</t>
        </is>
      </c>
      <c r="G554" t="n">
        <v>28.4</v>
      </c>
      <c r="H554" t="n">
        <v>0</v>
      </c>
      <c r="I554" t="n">
        <v>0</v>
      </c>
      <c r="J554" t="n">
        <v>0</v>
      </c>
      <c r="K554" t="n">
        <v>0</v>
      </c>
      <c r="L554" t="n">
        <v>0</v>
      </c>
      <c r="M554" t="n">
        <v>0</v>
      </c>
      <c r="N554" t="n">
        <v>0</v>
      </c>
      <c r="O554" t="n">
        <v>0</v>
      </c>
      <c r="P554" t="n">
        <v>0</v>
      </c>
      <c r="Q554" t="n">
        <v>0</v>
      </c>
      <c r="R554" s="2" t="inlineStr"/>
    </row>
    <row r="555" ht="15" customHeight="1">
      <c r="A555" t="inlineStr">
        <is>
          <t>A 29542-2023</t>
        </is>
      </c>
      <c r="B555" s="1" t="n">
        <v>45098</v>
      </c>
      <c r="C555" s="1" t="n">
        <v>46011</v>
      </c>
      <c r="D555" t="inlineStr">
        <is>
          <t>VÄSTMANLANDS LÄN</t>
        </is>
      </c>
      <c r="E555" t="inlineStr">
        <is>
          <t>SALA</t>
        </is>
      </c>
      <c r="G555" t="n">
        <v>4.8</v>
      </c>
      <c r="H555" t="n">
        <v>0</v>
      </c>
      <c r="I555" t="n">
        <v>0</v>
      </c>
      <c r="J555" t="n">
        <v>0</v>
      </c>
      <c r="K555" t="n">
        <v>0</v>
      </c>
      <c r="L555" t="n">
        <v>0</v>
      </c>
      <c r="M555" t="n">
        <v>0</v>
      </c>
      <c r="N555" t="n">
        <v>0</v>
      </c>
      <c r="O555" t="n">
        <v>0</v>
      </c>
      <c r="P555" t="n">
        <v>0</v>
      </c>
      <c r="Q555" t="n">
        <v>0</v>
      </c>
      <c r="R555" s="2" t="inlineStr"/>
    </row>
    <row r="556" ht="15" customHeight="1">
      <c r="A556" t="inlineStr">
        <is>
          <t>A 27038-2023</t>
        </is>
      </c>
      <c r="B556" s="1" t="n">
        <v>45095</v>
      </c>
      <c r="C556" s="1" t="n">
        <v>46011</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17051-2025</t>
        </is>
      </c>
      <c r="B557" s="1" t="n">
        <v>45755</v>
      </c>
      <c r="C557" s="1" t="n">
        <v>46011</v>
      </c>
      <c r="D557" t="inlineStr">
        <is>
          <t>VÄSTMANLANDS LÄN</t>
        </is>
      </c>
      <c r="E557" t="inlineStr">
        <is>
          <t>SALA</t>
        </is>
      </c>
      <c r="G557" t="n">
        <v>2.9</v>
      </c>
      <c r="H557" t="n">
        <v>0</v>
      </c>
      <c r="I557" t="n">
        <v>0</v>
      </c>
      <c r="J557" t="n">
        <v>0</v>
      </c>
      <c r="K557" t="n">
        <v>0</v>
      </c>
      <c r="L557" t="n">
        <v>0</v>
      </c>
      <c r="M557" t="n">
        <v>0</v>
      </c>
      <c r="N557" t="n">
        <v>0</v>
      </c>
      <c r="O557" t="n">
        <v>0</v>
      </c>
      <c r="P557" t="n">
        <v>0</v>
      </c>
      <c r="Q557" t="n">
        <v>0</v>
      </c>
      <c r="R557" s="2" t="inlineStr"/>
    </row>
    <row r="558" ht="15" customHeight="1">
      <c r="A558" t="inlineStr">
        <is>
          <t>A 8285-2025</t>
        </is>
      </c>
      <c r="B558" s="1" t="n">
        <v>45708</v>
      </c>
      <c r="C558" s="1" t="n">
        <v>46011</v>
      </c>
      <c r="D558" t="inlineStr">
        <is>
          <t>VÄSTMANLANDS LÄN</t>
        </is>
      </c>
      <c r="E558" t="inlineStr">
        <is>
          <t>SALA</t>
        </is>
      </c>
      <c r="G558" t="n">
        <v>5.7</v>
      </c>
      <c r="H558" t="n">
        <v>0</v>
      </c>
      <c r="I558" t="n">
        <v>0</v>
      </c>
      <c r="J558" t="n">
        <v>0</v>
      </c>
      <c r="K558" t="n">
        <v>0</v>
      </c>
      <c r="L558" t="n">
        <v>0</v>
      </c>
      <c r="M558" t="n">
        <v>0</v>
      </c>
      <c r="N558" t="n">
        <v>0</v>
      </c>
      <c r="O558" t="n">
        <v>0</v>
      </c>
      <c r="P558" t="n">
        <v>0</v>
      </c>
      <c r="Q558" t="n">
        <v>0</v>
      </c>
      <c r="R558" s="2" t="inlineStr"/>
    </row>
    <row r="559" ht="15" customHeight="1">
      <c r="A559" t="inlineStr">
        <is>
          <t>A 14010-2021</t>
        </is>
      </c>
      <c r="B559" s="1" t="n">
        <v>44277.63396990741</v>
      </c>
      <c r="C559" s="1" t="n">
        <v>46011</v>
      </c>
      <c r="D559" t="inlineStr">
        <is>
          <t>VÄSTMANLANDS LÄN</t>
        </is>
      </c>
      <c r="E559" t="inlineStr">
        <is>
          <t>SALA</t>
        </is>
      </c>
      <c r="G559" t="n">
        <v>3.5</v>
      </c>
      <c r="H559" t="n">
        <v>0</v>
      </c>
      <c r="I559" t="n">
        <v>0</v>
      </c>
      <c r="J559" t="n">
        <v>0</v>
      </c>
      <c r="K559" t="n">
        <v>0</v>
      </c>
      <c r="L559" t="n">
        <v>0</v>
      </c>
      <c r="M559" t="n">
        <v>0</v>
      </c>
      <c r="N559" t="n">
        <v>0</v>
      </c>
      <c r="O559" t="n">
        <v>0</v>
      </c>
      <c r="P559" t="n">
        <v>0</v>
      </c>
      <c r="Q559" t="n">
        <v>0</v>
      </c>
      <c r="R559" s="2" t="inlineStr"/>
    </row>
    <row r="560" ht="15" customHeight="1">
      <c r="A560" t="inlineStr">
        <is>
          <t>A 22019-2021</t>
        </is>
      </c>
      <c r="B560" s="1" t="n">
        <v>44323</v>
      </c>
      <c r="C560" s="1" t="n">
        <v>46011</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57404-2024</t>
        </is>
      </c>
      <c r="B561" s="1" t="n">
        <v>45629.71967592592</v>
      </c>
      <c r="C561" s="1" t="n">
        <v>46011</v>
      </c>
      <c r="D561" t="inlineStr">
        <is>
          <t>VÄSTMANLANDS LÄN</t>
        </is>
      </c>
      <c r="E561" t="inlineStr">
        <is>
          <t>SALA</t>
        </is>
      </c>
      <c r="G561" t="n">
        <v>0.3</v>
      </c>
      <c r="H561" t="n">
        <v>0</v>
      </c>
      <c r="I561" t="n">
        <v>0</v>
      </c>
      <c r="J561" t="n">
        <v>0</v>
      </c>
      <c r="K561" t="n">
        <v>0</v>
      </c>
      <c r="L561" t="n">
        <v>0</v>
      </c>
      <c r="M561" t="n">
        <v>0</v>
      </c>
      <c r="N561" t="n">
        <v>0</v>
      </c>
      <c r="O561" t="n">
        <v>0</v>
      </c>
      <c r="P561" t="n">
        <v>0</v>
      </c>
      <c r="Q561" t="n">
        <v>0</v>
      </c>
      <c r="R561" s="2" t="inlineStr"/>
    </row>
    <row r="562" ht="15" customHeight="1">
      <c r="A562" t="inlineStr">
        <is>
          <t>A 21777-2022</t>
        </is>
      </c>
      <c r="B562" s="1" t="n">
        <v>44708.48194444444</v>
      </c>
      <c r="C562" s="1" t="n">
        <v>46011</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17866-2025</t>
        </is>
      </c>
      <c r="B563" s="1" t="n">
        <v>45758</v>
      </c>
      <c r="C563" s="1" t="n">
        <v>46011</v>
      </c>
      <c r="D563" t="inlineStr">
        <is>
          <t>VÄSTMANLANDS LÄN</t>
        </is>
      </c>
      <c r="E563" t="inlineStr">
        <is>
          <t>SALA</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33732-2023</t>
        </is>
      </c>
      <c r="B564" s="1" t="n">
        <v>45133.32409722222</v>
      </c>
      <c r="C564" s="1" t="n">
        <v>46011</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7166-2025</t>
        </is>
      </c>
      <c r="B565" s="1" t="n">
        <v>45702</v>
      </c>
      <c r="C565" s="1" t="n">
        <v>46011</v>
      </c>
      <c r="D565" t="inlineStr">
        <is>
          <t>VÄSTMANLANDS LÄN</t>
        </is>
      </c>
      <c r="E565" t="inlineStr">
        <is>
          <t>SALA</t>
        </is>
      </c>
      <c r="G565" t="n">
        <v>6.1</v>
      </c>
      <c r="H565" t="n">
        <v>0</v>
      </c>
      <c r="I565" t="n">
        <v>0</v>
      </c>
      <c r="J565" t="n">
        <v>0</v>
      </c>
      <c r="K565" t="n">
        <v>0</v>
      </c>
      <c r="L565" t="n">
        <v>0</v>
      </c>
      <c r="M565" t="n">
        <v>0</v>
      </c>
      <c r="N565" t="n">
        <v>0</v>
      </c>
      <c r="O565" t="n">
        <v>0</v>
      </c>
      <c r="P565" t="n">
        <v>0</v>
      </c>
      <c r="Q565" t="n">
        <v>0</v>
      </c>
      <c r="R565" s="2" t="inlineStr"/>
    </row>
    <row r="566" ht="15" customHeight="1">
      <c r="A566" t="inlineStr">
        <is>
          <t>A 44857-2023</t>
        </is>
      </c>
      <c r="B566" s="1" t="n">
        <v>45190.58479166667</v>
      </c>
      <c r="C566" s="1" t="n">
        <v>46011</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46352-2023</t>
        </is>
      </c>
      <c r="B567" s="1" t="n">
        <v>45192</v>
      </c>
      <c r="C567" s="1" t="n">
        <v>46011</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22397-2022</t>
        </is>
      </c>
      <c r="B568" s="1" t="n">
        <v>44713</v>
      </c>
      <c r="C568" s="1" t="n">
        <v>46011</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27424-2023</t>
        </is>
      </c>
      <c r="B569" s="1" t="n">
        <v>45097.37690972222</v>
      </c>
      <c r="C569" s="1" t="n">
        <v>46011</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7469-2025</t>
        </is>
      </c>
      <c r="B570" s="1" t="n">
        <v>45705</v>
      </c>
      <c r="C570" s="1" t="n">
        <v>46011</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6691-2025</t>
        </is>
      </c>
      <c r="B571" s="1" t="n">
        <v>45700.50625</v>
      </c>
      <c r="C571" s="1" t="n">
        <v>46011</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60036-2024</t>
        </is>
      </c>
      <c r="B572" s="1" t="n">
        <v>45642.46434027778</v>
      </c>
      <c r="C572" s="1" t="n">
        <v>46011</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43188-2023</t>
        </is>
      </c>
      <c r="B573" s="1" t="n">
        <v>45183</v>
      </c>
      <c r="C573" s="1" t="n">
        <v>46011</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43205-2023</t>
        </is>
      </c>
      <c r="B574" s="1" t="n">
        <v>45183</v>
      </c>
      <c r="C574" s="1" t="n">
        <v>46011</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28827-2022</t>
        </is>
      </c>
      <c r="B575" s="1" t="n">
        <v>44749.45561342593</v>
      </c>
      <c r="C575" s="1" t="n">
        <v>46011</v>
      </c>
      <c r="D575" t="inlineStr">
        <is>
          <t>VÄSTMANLANDS LÄN</t>
        </is>
      </c>
      <c r="E575" t="inlineStr">
        <is>
          <t>SALA</t>
        </is>
      </c>
      <c r="F575" t="inlineStr">
        <is>
          <t>Kommuner</t>
        </is>
      </c>
      <c r="G575" t="n">
        <v>11.9</v>
      </c>
      <c r="H575" t="n">
        <v>0</v>
      </c>
      <c r="I575" t="n">
        <v>0</v>
      </c>
      <c r="J575" t="n">
        <v>0</v>
      </c>
      <c r="K575" t="n">
        <v>0</v>
      </c>
      <c r="L575" t="n">
        <v>0</v>
      </c>
      <c r="M575" t="n">
        <v>0</v>
      </c>
      <c r="N575" t="n">
        <v>0</v>
      </c>
      <c r="O575" t="n">
        <v>0</v>
      </c>
      <c r="P575" t="n">
        <v>0</v>
      </c>
      <c r="Q575" t="n">
        <v>0</v>
      </c>
      <c r="R575" s="2" t="inlineStr"/>
    </row>
    <row r="576" ht="15" customHeight="1">
      <c r="A576" t="inlineStr">
        <is>
          <t>A 15756-2025</t>
        </is>
      </c>
      <c r="B576" s="1" t="n">
        <v>45748.56810185185</v>
      </c>
      <c r="C576" s="1" t="n">
        <v>46011</v>
      </c>
      <c r="D576" t="inlineStr">
        <is>
          <t>VÄSTMANLANDS LÄN</t>
        </is>
      </c>
      <c r="E576" t="inlineStr">
        <is>
          <t>SALA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19243-2025</t>
        </is>
      </c>
      <c r="B577" s="1" t="n">
        <v>45769</v>
      </c>
      <c r="C577" s="1" t="n">
        <v>46011</v>
      </c>
      <c r="D577" t="inlineStr">
        <is>
          <t>VÄSTMANLANDS LÄN</t>
        </is>
      </c>
      <c r="E577" t="inlineStr">
        <is>
          <t>SALA</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59297-2023</t>
        </is>
      </c>
      <c r="B578" s="1" t="n">
        <v>45253</v>
      </c>
      <c r="C578" s="1" t="n">
        <v>46011</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6136-2025</t>
        </is>
      </c>
      <c r="B579" s="1" t="n">
        <v>45698.37601851852</v>
      </c>
      <c r="C579" s="1" t="n">
        <v>46011</v>
      </c>
      <c r="D579" t="inlineStr">
        <is>
          <t>VÄSTMANLANDS LÄN</t>
        </is>
      </c>
      <c r="E579" t="inlineStr">
        <is>
          <t>SALA</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6190-2025</t>
        </is>
      </c>
      <c r="B580" s="1" t="n">
        <v>45698</v>
      </c>
      <c r="C580" s="1" t="n">
        <v>46011</v>
      </c>
      <c r="D580" t="inlineStr">
        <is>
          <t>VÄSTMANLANDS LÄN</t>
        </is>
      </c>
      <c r="E580" t="inlineStr">
        <is>
          <t>SALA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28863-2022</t>
        </is>
      </c>
      <c r="B581" s="1" t="n">
        <v>44749.50649305555</v>
      </c>
      <c r="C581" s="1" t="n">
        <v>46011</v>
      </c>
      <c r="D581" t="inlineStr">
        <is>
          <t>VÄSTMANLANDS LÄN</t>
        </is>
      </c>
      <c r="E581" t="inlineStr">
        <is>
          <t>SALA</t>
        </is>
      </c>
      <c r="G581" t="n">
        <v>1.6</v>
      </c>
      <c r="H581" t="n">
        <v>0</v>
      </c>
      <c r="I581" t="n">
        <v>0</v>
      </c>
      <c r="J581" t="n">
        <v>0</v>
      </c>
      <c r="K581" t="n">
        <v>0</v>
      </c>
      <c r="L581" t="n">
        <v>0</v>
      </c>
      <c r="M581" t="n">
        <v>0</v>
      </c>
      <c r="N581" t="n">
        <v>0</v>
      </c>
      <c r="O581" t="n">
        <v>0</v>
      </c>
      <c r="P581" t="n">
        <v>0</v>
      </c>
      <c r="Q581" t="n">
        <v>0</v>
      </c>
      <c r="R581" s="2" t="inlineStr"/>
    </row>
    <row r="582" ht="15" customHeight="1">
      <c r="A582" t="inlineStr">
        <is>
          <t>A 25541-2024</t>
        </is>
      </c>
      <c r="B582" s="1" t="n">
        <v>45463.56337962963</v>
      </c>
      <c r="C582" s="1" t="n">
        <v>46011</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29213-2022</t>
        </is>
      </c>
      <c r="B583" s="1" t="n">
        <v>44750.57474537037</v>
      </c>
      <c r="C583" s="1" t="n">
        <v>46011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56964-2023</t>
        </is>
      </c>
      <c r="B584" s="1" t="n">
        <v>45244.63140046296</v>
      </c>
      <c r="C584" s="1" t="n">
        <v>46011</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1555-2024</t>
        </is>
      </c>
      <c r="B585" s="1" t="n">
        <v>45306</v>
      </c>
      <c r="C585" s="1" t="n">
        <v>46011</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13188-2025</t>
        </is>
      </c>
      <c r="B586" s="1" t="n">
        <v>45735.39246527778</v>
      </c>
      <c r="C586" s="1" t="n">
        <v>46011</v>
      </c>
      <c r="D586" t="inlineStr">
        <is>
          <t>VÄSTMANLANDS LÄN</t>
        </is>
      </c>
      <c r="E586" t="inlineStr">
        <is>
          <t>SALA</t>
        </is>
      </c>
      <c r="F586" t="inlineStr">
        <is>
          <t>Naturvårdsverket</t>
        </is>
      </c>
      <c r="G586" t="n">
        <v>18.4</v>
      </c>
      <c r="H586" t="n">
        <v>0</v>
      </c>
      <c r="I586" t="n">
        <v>0</v>
      </c>
      <c r="J586" t="n">
        <v>0</v>
      </c>
      <c r="K586" t="n">
        <v>0</v>
      </c>
      <c r="L586" t="n">
        <v>0</v>
      </c>
      <c r="M586" t="n">
        <v>0</v>
      </c>
      <c r="N586" t="n">
        <v>0</v>
      </c>
      <c r="O586" t="n">
        <v>0</v>
      </c>
      <c r="P586" t="n">
        <v>0</v>
      </c>
      <c r="Q586" t="n">
        <v>0</v>
      </c>
      <c r="R586" s="2" t="inlineStr"/>
    </row>
    <row r="587" ht="15" customHeight="1">
      <c r="A587" t="inlineStr">
        <is>
          <t>A 7197-2025</t>
        </is>
      </c>
      <c r="B587" s="1" t="n">
        <v>45702</v>
      </c>
      <c r="C587" s="1" t="n">
        <v>46011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15099-2025</t>
        </is>
      </c>
      <c r="B588" s="1" t="n">
        <v>45744.3434837963</v>
      </c>
      <c r="C588" s="1" t="n">
        <v>46011</v>
      </c>
      <c r="D588" t="inlineStr">
        <is>
          <t>VÄSTMANLANDS LÄN</t>
        </is>
      </c>
      <c r="E588" t="inlineStr">
        <is>
          <t>SALA</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2928-2024</t>
        </is>
      </c>
      <c r="B589" s="1" t="n">
        <v>45315.59041666667</v>
      </c>
      <c r="C589" s="1" t="n">
        <v>46011</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9962-2025</t>
        </is>
      </c>
      <c r="B590" s="1" t="n">
        <v>45719.37072916667</v>
      </c>
      <c r="C590" s="1" t="n">
        <v>46011</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14024-2025</t>
        </is>
      </c>
      <c r="B591" s="1" t="n">
        <v>45740.34650462963</v>
      </c>
      <c r="C591" s="1" t="n">
        <v>46011</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3551-2024</t>
        </is>
      </c>
      <c r="B592" s="1" t="n">
        <v>45320.61099537037</v>
      </c>
      <c r="C592" s="1" t="n">
        <v>46011</v>
      </c>
      <c r="D592" t="inlineStr">
        <is>
          <t>VÄSTMANLANDS LÄN</t>
        </is>
      </c>
      <c r="E592" t="inlineStr">
        <is>
          <t>SALA</t>
        </is>
      </c>
      <c r="F592" t="inlineStr">
        <is>
          <t>Kommuner</t>
        </is>
      </c>
      <c r="G592" t="n">
        <v>6</v>
      </c>
      <c r="H592" t="n">
        <v>0</v>
      </c>
      <c r="I592" t="n">
        <v>0</v>
      </c>
      <c r="J592" t="n">
        <v>0</v>
      </c>
      <c r="K592" t="n">
        <v>0</v>
      </c>
      <c r="L592" t="n">
        <v>0</v>
      </c>
      <c r="M592" t="n">
        <v>0</v>
      </c>
      <c r="N592" t="n">
        <v>0</v>
      </c>
      <c r="O592" t="n">
        <v>0</v>
      </c>
      <c r="P592" t="n">
        <v>0</v>
      </c>
      <c r="Q592" t="n">
        <v>0</v>
      </c>
      <c r="R592" s="2" t="inlineStr"/>
    </row>
    <row r="593" ht="15" customHeight="1">
      <c r="A593" t="inlineStr">
        <is>
          <t>A 62635-2022</t>
        </is>
      </c>
      <c r="B593" s="1" t="n">
        <v>44917</v>
      </c>
      <c r="C593" s="1" t="n">
        <v>46011</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19304-2025</t>
        </is>
      </c>
      <c r="B594" s="1" t="n">
        <v>45769</v>
      </c>
      <c r="C594" s="1" t="n">
        <v>46011</v>
      </c>
      <c r="D594" t="inlineStr">
        <is>
          <t>VÄSTMANLANDS LÄN</t>
        </is>
      </c>
      <c r="E594" t="inlineStr">
        <is>
          <t>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56057-2023</t>
        </is>
      </c>
      <c r="B595" s="1" t="n">
        <v>45233</v>
      </c>
      <c r="C595" s="1" t="n">
        <v>46011</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55024-2023</t>
        </is>
      </c>
      <c r="B596" s="1" t="n">
        <v>45229</v>
      </c>
      <c r="C596" s="1" t="n">
        <v>46011</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55032-2023</t>
        </is>
      </c>
      <c r="B597" s="1" t="n">
        <v>45229</v>
      </c>
      <c r="C597" s="1" t="n">
        <v>46011</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29248-2022</t>
        </is>
      </c>
      <c r="B598" s="1" t="n">
        <v>44750</v>
      </c>
      <c r="C598" s="1" t="n">
        <v>46011</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44904.48502314815</v>
      </c>
      <c r="C599" s="1" t="n">
        <v>46011</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39451-2022</t>
        </is>
      </c>
      <c r="B600" s="1" t="n">
        <v>44818.36606481481</v>
      </c>
      <c r="C600" s="1" t="n">
        <v>46011</v>
      </c>
      <c r="D600" t="inlineStr">
        <is>
          <t>VÄSTMANLANDS LÄN</t>
        </is>
      </c>
      <c r="E600" t="inlineStr">
        <is>
          <t>SALA</t>
        </is>
      </c>
      <c r="G600" t="n">
        <v>9.4</v>
      </c>
      <c r="H600" t="n">
        <v>0</v>
      </c>
      <c r="I600" t="n">
        <v>0</v>
      </c>
      <c r="J600" t="n">
        <v>0</v>
      </c>
      <c r="K600" t="n">
        <v>0</v>
      </c>
      <c r="L600" t="n">
        <v>0</v>
      </c>
      <c r="M600" t="n">
        <v>0</v>
      </c>
      <c r="N600" t="n">
        <v>0</v>
      </c>
      <c r="O600" t="n">
        <v>0</v>
      </c>
      <c r="P600" t="n">
        <v>0</v>
      </c>
      <c r="Q600" t="n">
        <v>0</v>
      </c>
      <c r="R600" s="2" t="inlineStr"/>
    </row>
    <row r="601" ht="15" customHeight="1">
      <c r="A601" t="inlineStr">
        <is>
          <t>A 11631-2023</t>
        </is>
      </c>
      <c r="B601" s="1" t="n">
        <v>44994.44001157407</v>
      </c>
      <c r="C601" s="1" t="n">
        <v>46011</v>
      </c>
      <c r="D601" t="inlineStr">
        <is>
          <t>VÄSTMANLANDS LÄN</t>
        </is>
      </c>
      <c r="E601" t="inlineStr">
        <is>
          <t>SALA</t>
        </is>
      </c>
      <c r="F601" t="inlineStr">
        <is>
          <t>Kommuner</t>
        </is>
      </c>
      <c r="G601" t="n">
        <v>1.9</v>
      </c>
      <c r="H601" t="n">
        <v>0</v>
      </c>
      <c r="I601" t="n">
        <v>0</v>
      </c>
      <c r="J601" t="n">
        <v>0</v>
      </c>
      <c r="K601" t="n">
        <v>0</v>
      </c>
      <c r="L601" t="n">
        <v>0</v>
      </c>
      <c r="M601" t="n">
        <v>0</v>
      </c>
      <c r="N601" t="n">
        <v>0</v>
      </c>
      <c r="O601" t="n">
        <v>0</v>
      </c>
      <c r="P601" t="n">
        <v>0</v>
      </c>
      <c r="Q601" t="n">
        <v>0</v>
      </c>
      <c r="R601" s="2" t="inlineStr"/>
    </row>
    <row r="602" ht="15" customHeight="1">
      <c r="A602" t="inlineStr">
        <is>
          <t>A 62648-2022</t>
        </is>
      </c>
      <c r="B602" s="1" t="n">
        <v>44917</v>
      </c>
      <c r="C602" s="1" t="n">
        <v>46011</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1934-2023</t>
        </is>
      </c>
      <c r="B603" s="1" t="n">
        <v>44939.43024305555</v>
      </c>
      <c r="C603" s="1" t="n">
        <v>46011</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11927-2025</t>
        </is>
      </c>
      <c r="B604" s="1" t="n">
        <v>45728.5137962963</v>
      </c>
      <c r="C604" s="1" t="n">
        <v>46011</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60823-2024</t>
        </is>
      </c>
      <c r="B605" s="1" t="n">
        <v>45644</v>
      </c>
      <c r="C605" s="1" t="n">
        <v>46011</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96-2024</t>
        </is>
      </c>
      <c r="B606" s="1" t="n">
        <v>45293.85872685185</v>
      </c>
      <c r="C606" s="1" t="n">
        <v>46011</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23374-2023</t>
        </is>
      </c>
      <c r="B607" s="1" t="n">
        <v>45076.4399537037</v>
      </c>
      <c r="C607" s="1" t="n">
        <v>46011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61874-2021</t>
        </is>
      </c>
      <c r="B608" s="1" t="n">
        <v>44502</v>
      </c>
      <c r="C608" s="1" t="n">
        <v>46011</v>
      </c>
      <c r="D608" t="inlineStr">
        <is>
          <t>VÄSTMANLANDS LÄN</t>
        </is>
      </c>
      <c r="E608" t="inlineStr">
        <is>
          <t>SALA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9856-2022</t>
        </is>
      </c>
      <c r="B609" s="1" t="n">
        <v>44620</v>
      </c>
      <c r="C609" s="1" t="n">
        <v>46011</v>
      </c>
      <c r="D609" t="inlineStr">
        <is>
          <t>VÄSTMANLANDS LÄN</t>
        </is>
      </c>
      <c r="E609" t="inlineStr">
        <is>
          <t>SALA</t>
        </is>
      </c>
      <c r="G609" t="n">
        <v>2.4</v>
      </c>
      <c r="H609" t="n">
        <v>0</v>
      </c>
      <c r="I609" t="n">
        <v>0</v>
      </c>
      <c r="J609" t="n">
        <v>0</v>
      </c>
      <c r="K609" t="n">
        <v>0</v>
      </c>
      <c r="L609" t="n">
        <v>0</v>
      </c>
      <c r="M609" t="n">
        <v>0</v>
      </c>
      <c r="N609" t="n">
        <v>0</v>
      </c>
      <c r="O609" t="n">
        <v>0</v>
      </c>
      <c r="P609" t="n">
        <v>0</v>
      </c>
      <c r="Q609" t="n">
        <v>0</v>
      </c>
      <c r="R609" s="2" t="inlineStr"/>
    </row>
    <row r="610" ht="15" customHeight="1">
      <c r="A610" t="inlineStr">
        <is>
          <t>A 16159-2024</t>
        </is>
      </c>
      <c r="B610" s="1" t="n">
        <v>45406</v>
      </c>
      <c r="C610" s="1" t="n">
        <v>46011</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50241-2023</t>
        </is>
      </c>
      <c r="B611" s="1" t="n">
        <v>45216</v>
      </c>
      <c r="C611" s="1" t="n">
        <v>46011</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3332-2024</t>
        </is>
      </c>
      <c r="B612" s="1" t="n">
        <v>45317</v>
      </c>
      <c r="C612" s="1" t="n">
        <v>46011</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35637-2022</t>
        </is>
      </c>
      <c r="B613" s="1" t="n">
        <v>44799.55194444444</v>
      </c>
      <c r="C613" s="1" t="n">
        <v>46011</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19033-2025</t>
        </is>
      </c>
      <c r="B614" s="1" t="n">
        <v>45764.65796296296</v>
      </c>
      <c r="C614" s="1" t="n">
        <v>46011</v>
      </c>
      <c r="D614" t="inlineStr">
        <is>
          <t>VÄSTMANLANDS LÄN</t>
        </is>
      </c>
      <c r="E614" t="inlineStr">
        <is>
          <t>SALA</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57883-2024</t>
        </is>
      </c>
      <c r="B615" s="1" t="n">
        <v>45630</v>
      </c>
      <c r="C615" s="1" t="n">
        <v>46011</v>
      </c>
      <c r="D615" t="inlineStr">
        <is>
          <t>VÄSTMANLANDS LÄN</t>
        </is>
      </c>
      <c r="E615" t="inlineStr">
        <is>
          <t>SALA</t>
        </is>
      </c>
      <c r="G615" t="n">
        <v>5.4</v>
      </c>
      <c r="H615" t="n">
        <v>0</v>
      </c>
      <c r="I615" t="n">
        <v>0</v>
      </c>
      <c r="J615" t="n">
        <v>0</v>
      </c>
      <c r="K615" t="n">
        <v>0</v>
      </c>
      <c r="L615" t="n">
        <v>0</v>
      </c>
      <c r="M615" t="n">
        <v>0</v>
      </c>
      <c r="N615" t="n">
        <v>0</v>
      </c>
      <c r="O615" t="n">
        <v>0</v>
      </c>
      <c r="P615" t="n">
        <v>0</v>
      </c>
      <c r="Q615" t="n">
        <v>0</v>
      </c>
      <c r="R615" s="2" t="inlineStr"/>
    </row>
    <row r="616" ht="15" customHeight="1">
      <c r="A616" t="inlineStr">
        <is>
          <t>A 50876-2023</t>
        </is>
      </c>
      <c r="B616" s="1" t="n">
        <v>45211</v>
      </c>
      <c r="C616" s="1" t="n">
        <v>46011</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37624-2024</t>
        </is>
      </c>
      <c r="B617" s="1" t="n">
        <v>45541</v>
      </c>
      <c r="C617" s="1" t="n">
        <v>46011</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40398-2021</t>
        </is>
      </c>
      <c r="B618" s="1" t="n">
        <v>44419</v>
      </c>
      <c r="C618" s="1" t="n">
        <v>46011</v>
      </c>
      <c r="D618" t="inlineStr">
        <is>
          <t>VÄSTMANLANDS LÄN</t>
        </is>
      </c>
      <c r="E618" t="inlineStr">
        <is>
          <t>SALA</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6351-2023</t>
        </is>
      </c>
      <c r="B619" s="1" t="n">
        <v>44965</v>
      </c>
      <c r="C619" s="1" t="n">
        <v>46011</v>
      </c>
      <c r="D619" t="inlineStr">
        <is>
          <t>VÄSTMANLANDS LÄN</t>
        </is>
      </c>
      <c r="E619" t="inlineStr">
        <is>
          <t>SALA</t>
        </is>
      </c>
      <c r="F619" t="inlineStr">
        <is>
          <t>Kommuner</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27262-2024</t>
        </is>
      </c>
      <c r="B620" s="1" t="n">
        <v>45471</v>
      </c>
      <c r="C620" s="1" t="n">
        <v>46011</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15584-2021</t>
        </is>
      </c>
      <c r="B621" s="1" t="n">
        <v>44285</v>
      </c>
      <c r="C621" s="1" t="n">
        <v>46011</v>
      </c>
      <c r="D621" t="inlineStr">
        <is>
          <t>VÄSTMANLANDS LÄN</t>
        </is>
      </c>
      <c r="E621" t="inlineStr">
        <is>
          <t>SALA</t>
        </is>
      </c>
      <c r="G621" t="n">
        <v>3.4</v>
      </c>
      <c r="H621" t="n">
        <v>0</v>
      </c>
      <c r="I621" t="n">
        <v>0</v>
      </c>
      <c r="J621" t="n">
        <v>0</v>
      </c>
      <c r="K621" t="n">
        <v>0</v>
      </c>
      <c r="L621" t="n">
        <v>0</v>
      </c>
      <c r="M621" t="n">
        <v>0</v>
      </c>
      <c r="N621" t="n">
        <v>0</v>
      </c>
      <c r="O621" t="n">
        <v>0</v>
      </c>
      <c r="P621" t="n">
        <v>0</v>
      </c>
      <c r="Q621" t="n">
        <v>0</v>
      </c>
      <c r="R621" s="2" t="inlineStr"/>
    </row>
    <row r="622" ht="15" customHeight="1">
      <c r="A622" t="inlineStr">
        <is>
          <t>A 23119-2022</t>
        </is>
      </c>
      <c r="B622" s="1" t="n">
        <v>44719.56697916667</v>
      </c>
      <c r="C622" s="1" t="n">
        <v>46011</v>
      </c>
      <c r="D622" t="inlineStr">
        <is>
          <t>VÄSTMANLANDS LÄN</t>
        </is>
      </c>
      <c r="E622" t="inlineStr">
        <is>
          <t>SALA</t>
        </is>
      </c>
      <c r="G622" t="n">
        <v>7</v>
      </c>
      <c r="H622" t="n">
        <v>0</v>
      </c>
      <c r="I622" t="n">
        <v>0</v>
      </c>
      <c r="J622" t="n">
        <v>0</v>
      </c>
      <c r="K622" t="n">
        <v>0</v>
      </c>
      <c r="L622" t="n">
        <v>0</v>
      </c>
      <c r="M622" t="n">
        <v>0</v>
      </c>
      <c r="N622" t="n">
        <v>0</v>
      </c>
      <c r="O622" t="n">
        <v>0</v>
      </c>
      <c r="P622" t="n">
        <v>0</v>
      </c>
      <c r="Q622" t="n">
        <v>0</v>
      </c>
      <c r="R622" s="2" t="inlineStr"/>
    </row>
    <row r="623" ht="15" customHeight="1">
      <c r="A623" t="inlineStr">
        <is>
          <t>A 43751-2021</t>
        </is>
      </c>
      <c r="B623" s="1" t="n">
        <v>44433</v>
      </c>
      <c r="C623" s="1" t="n">
        <v>46011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59483-2022</t>
        </is>
      </c>
      <c r="B624" s="1" t="n">
        <v>44907.45679398148</v>
      </c>
      <c r="C624" s="1" t="n">
        <v>46011</v>
      </c>
      <c r="D624" t="inlineStr">
        <is>
          <t>VÄSTMANLANDS LÄN</t>
        </is>
      </c>
      <c r="E624" t="inlineStr">
        <is>
          <t>SALA</t>
        </is>
      </c>
      <c r="G624" t="n">
        <v>5.2</v>
      </c>
      <c r="H624" t="n">
        <v>0</v>
      </c>
      <c r="I624" t="n">
        <v>0</v>
      </c>
      <c r="J624" t="n">
        <v>0</v>
      </c>
      <c r="K624" t="n">
        <v>0</v>
      </c>
      <c r="L624" t="n">
        <v>0</v>
      </c>
      <c r="M624" t="n">
        <v>0</v>
      </c>
      <c r="N624" t="n">
        <v>0</v>
      </c>
      <c r="O624" t="n">
        <v>0</v>
      </c>
      <c r="P624" t="n">
        <v>0</v>
      </c>
      <c r="Q624" t="n">
        <v>0</v>
      </c>
      <c r="R624" s="2" t="inlineStr"/>
    </row>
    <row r="625" ht="15" customHeight="1">
      <c r="A625" t="inlineStr">
        <is>
          <t>A 73673-2021</t>
        </is>
      </c>
      <c r="B625" s="1" t="n">
        <v>44552.46501157407</v>
      </c>
      <c r="C625" s="1" t="n">
        <v>46011</v>
      </c>
      <c r="D625" t="inlineStr">
        <is>
          <t>VÄSTMANLANDS LÄN</t>
        </is>
      </c>
      <c r="E625" t="inlineStr">
        <is>
          <t>SALA</t>
        </is>
      </c>
      <c r="G625" t="n">
        <v>11.4</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44957.73234953704</v>
      </c>
      <c r="C626" s="1" t="n">
        <v>46011</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1993-2022</t>
        </is>
      </c>
      <c r="B627" s="1" t="n">
        <v>44575</v>
      </c>
      <c r="C627" s="1" t="n">
        <v>46011</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1793-2023</t>
        </is>
      </c>
      <c r="B628" s="1" t="n">
        <v>44937</v>
      </c>
      <c r="C628" s="1" t="n">
        <v>46011</v>
      </c>
      <c r="D628" t="inlineStr">
        <is>
          <t>VÄSTMANLANDS LÄN</t>
        </is>
      </c>
      <c r="E628" t="inlineStr">
        <is>
          <t>SALA</t>
        </is>
      </c>
      <c r="G628" t="n">
        <v>2.6</v>
      </c>
      <c r="H628" t="n">
        <v>0</v>
      </c>
      <c r="I628" t="n">
        <v>0</v>
      </c>
      <c r="J628" t="n">
        <v>0</v>
      </c>
      <c r="K628" t="n">
        <v>0</v>
      </c>
      <c r="L628" t="n">
        <v>0</v>
      </c>
      <c r="M628" t="n">
        <v>0</v>
      </c>
      <c r="N628" t="n">
        <v>0</v>
      </c>
      <c r="O628" t="n">
        <v>0</v>
      </c>
      <c r="P628" t="n">
        <v>0</v>
      </c>
      <c r="Q628" t="n">
        <v>0</v>
      </c>
      <c r="R628" s="2" t="inlineStr"/>
    </row>
    <row r="629" ht="15" customHeight="1">
      <c r="A629" t="inlineStr">
        <is>
          <t>A 42447-2022</t>
        </is>
      </c>
      <c r="B629" s="1" t="n">
        <v>44831</v>
      </c>
      <c r="C629" s="1" t="n">
        <v>46011</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11183-2023</t>
        </is>
      </c>
      <c r="B630" s="1" t="n">
        <v>44992.57782407408</v>
      </c>
      <c r="C630" s="1" t="n">
        <v>46011</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46011</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31950-2023</t>
        </is>
      </c>
      <c r="B632" s="1" t="n">
        <v>45107</v>
      </c>
      <c r="C632" s="1" t="n">
        <v>46011</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48710-2024</t>
        </is>
      </c>
      <c r="B633" s="1" t="n">
        <v>45593.53636574074</v>
      </c>
      <c r="C633" s="1" t="n">
        <v>46011</v>
      </c>
      <c r="D633" t="inlineStr">
        <is>
          <t>VÄSTMANLANDS LÄN</t>
        </is>
      </c>
      <c r="E633" t="inlineStr">
        <is>
          <t>SALA</t>
        </is>
      </c>
      <c r="G633" t="n">
        <v>6.5</v>
      </c>
      <c r="H633" t="n">
        <v>0</v>
      </c>
      <c r="I633" t="n">
        <v>0</v>
      </c>
      <c r="J633" t="n">
        <v>0</v>
      </c>
      <c r="K633" t="n">
        <v>0</v>
      </c>
      <c r="L633" t="n">
        <v>0</v>
      </c>
      <c r="M633" t="n">
        <v>0</v>
      </c>
      <c r="N633" t="n">
        <v>0</v>
      </c>
      <c r="O633" t="n">
        <v>0</v>
      </c>
      <c r="P633" t="n">
        <v>0</v>
      </c>
      <c r="Q633" t="n">
        <v>0</v>
      </c>
      <c r="R633" s="2" t="inlineStr"/>
    </row>
    <row r="634" ht="15" customHeight="1">
      <c r="A634" t="inlineStr">
        <is>
          <t>A 23406-2024</t>
        </is>
      </c>
      <c r="B634" s="1" t="n">
        <v>45453.58296296297</v>
      </c>
      <c r="C634" s="1" t="n">
        <v>46011</v>
      </c>
      <c r="D634" t="inlineStr">
        <is>
          <t>VÄSTMANLANDS LÄN</t>
        </is>
      </c>
      <c r="E634" t="inlineStr">
        <is>
          <t>SALA</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12246-2023</t>
        </is>
      </c>
      <c r="B635" s="1" t="n">
        <v>44995</v>
      </c>
      <c r="C635" s="1" t="n">
        <v>46011</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48571-2024</t>
        </is>
      </c>
      <c r="B636" s="1" t="n">
        <v>45591</v>
      </c>
      <c r="C636" s="1" t="n">
        <v>46011</v>
      </c>
      <c r="D636" t="inlineStr">
        <is>
          <t>VÄSTMANLANDS LÄN</t>
        </is>
      </c>
      <c r="E636" t="inlineStr">
        <is>
          <t>SALA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43362-2023</t>
        </is>
      </c>
      <c r="B637" s="1" t="n">
        <v>45183</v>
      </c>
      <c r="C637" s="1" t="n">
        <v>46011</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16767-2024</t>
        </is>
      </c>
      <c r="B638" s="1" t="n">
        <v>45411.38171296296</v>
      </c>
      <c r="C638" s="1" t="n">
        <v>46011</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31470-2021</t>
        </is>
      </c>
      <c r="B639" s="1" t="n">
        <v>44369</v>
      </c>
      <c r="C639" s="1" t="n">
        <v>46011</v>
      </c>
      <c r="D639" t="inlineStr">
        <is>
          <t>VÄSTMANLANDS LÄN</t>
        </is>
      </c>
      <c r="E639" t="inlineStr">
        <is>
          <t>SALA</t>
        </is>
      </c>
      <c r="F639" t="inlineStr">
        <is>
          <t>Sveaskog</t>
        </is>
      </c>
      <c r="G639" t="n">
        <v>2.1</v>
      </c>
      <c r="H639" t="n">
        <v>0</v>
      </c>
      <c r="I639" t="n">
        <v>0</v>
      </c>
      <c r="J639" t="n">
        <v>0</v>
      </c>
      <c r="K639" t="n">
        <v>0</v>
      </c>
      <c r="L639" t="n">
        <v>0</v>
      </c>
      <c r="M639" t="n">
        <v>0</v>
      </c>
      <c r="N639" t="n">
        <v>0</v>
      </c>
      <c r="O639" t="n">
        <v>0</v>
      </c>
      <c r="P639" t="n">
        <v>0</v>
      </c>
      <c r="Q639" t="n">
        <v>0</v>
      </c>
      <c r="R639" s="2" t="inlineStr"/>
    </row>
    <row r="640" ht="15" customHeight="1">
      <c r="A640" t="inlineStr">
        <is>
          <t>A 18461-2024</t>
        </is>
      </c>
      <c r="B640" s="1" t="n">
        <v>45425.47435185185</v>
      </c>
      <c r="C640" s="1" t="n">
        <v>46011</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29230-2022</t>
        </is>
      </c>
      <c r="B641" s="1" t="n">
        <v>44750</v>
      </c>
      <c r="C641" s="1" t="n">
        <v>46011</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9335-2022</t>
        </is>
      </c>
      <c r="B642" s="1" t="n">
        <v>44616.56579861111</v>
      </c>
      <c r="C642" s="1" t="n">
        <v>46011</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47479-2024</t>
        </is>
      </c>
      <c r="B643" s="1" t="n">
        <v>45587</v>
      </c>
      <c r="C643" s="1" t="n">
        <v>46011</v>
      </c>
      <c r="D643" t="inlineStr">
        <is>
          <t>VÄSTMANLANDS LÄN</t>
        </is>
      </c>
      <c r="E643" t="inlineStr">
        <is>
          <t>SALA</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19065-2022</t>
        </is>
      </c>
      <c r="B644" s="1" t="n">
        <v>44691.44309027777</v>
      </c>
      <c r="C644" s="1" t="n">
        <v>46011</v>
      </c>
      <c r="D644" t="inlineStr">
        <is>
          <t>VÄSTMANLANDS LÄN</t>
        </is>
      </c>
      <c r="E644" t="inlineStr">
        <is>
          <t>SALA</t>
        </is>
      </c>
      <c r="G644" t="n">
        <v>3.4</v>
      </c>
      <c r="H644" t="n">
        <v>0</v>
      </c>
      <c r="I644" t="n">
        <v>0</v>
      </c>
      <c r="J644" t="n">
        <v>0</v>
      </c>
      <c r="K644" t="n">
        <v>0</v>
      </c>
      <c r="L644" t="n">
        <v>0</v>
      </c>
      <c r="M644" t="n">
        <v>0</v>
      </c>
      <c r="N644" t="n">
        <v>0</v>
      </c>
      <c r="O644" t="n">
        <v>0</v>
      </c>
      <c r="P644" t="n">
        <v>0</v>
      </c>
      <c r="Q644" t="n">
        <v>0</v>
      </c>
      <c r="R644" s="2" t="inlineStr"/>
    </row>
    <row r="645" ht="15" customHeight="1">
      <c r="A645" t="inlineStr">
        <is>
          <t>A 22961-2023</t>
        </is>
      </c>
      <c r="B645" s="1" t="n">
        <v>45072</v>
      </c>
      <c r="C645" s="1" t="n">
        <v>46011</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22963-2023</t>
        </is>
      </c>
      <c r="B646" s="1" t="n">
        <v>45072</v>
      </c>
      <c r="C646" s="1" t="n">
        <v>46011</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10585-2022</t>
        </is>
      </c>
      <c r="B647" s="1" t="n">
        <v>44624</v>
      </c>
      <c r="C647" s="1" t="n">
        <v>46011</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69236-2021</t>
        </is>
      </c>
      <c r="B648" s="1" t="n">
        <v>44531.4047337963</v>
      </c>
      <c r="C648" s="1" t="n">
        <v>46011</v>
      </c>
      <c r="D648" t="inlineStr">
        <is>
          <t>VÄSTMANLANDS LÄN</t>
        </is>
      </c>
      <c r="E648" t="inlineStr">
        <is>
          <t>SALA</t>
        </is>
      </c>
      <c r="G648" t="n">
        <v>2.8</v>
      </c>
      <c r="H648" t="n">
        <v>0</v>
      </c>
      <c r="I648" t="n">
        <v>0</v>
      </c>
      <c r="J648" t="n">
        <v>0</v>
      </c>
      <c r="K648" t="n">
        <v>0</v>
      </c>
      <c r="L648" t="n">
        <v>0</v>
      </c>
      <c r="M648" t="n">
        <v>0</v>
      </c>
      <c r="N648" t="n">
        <v>0</v>
      </c>
      <c r="O648" t="n">
        <v>0</v>
      </c>
      <c r="P648" t="n">
        <v>0</v>
      </c>
      <c r="Q648" t="n">
        <v>0</v>
      </c>
      <c r="R648" s="2" t="inlineStr"/>
    </row>
    <row r="649" ht="15" customHeight="1">
      <c r="A649" t="inlineStr">
        <is>
          <t>A 48117-2024</t>
        </is>
      </c>
      <c r="B649" s="1" t="n">
        <v>45589</v>
      </c>
      <c r="C649" s="1" t="n">
        <v>46011</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12225-2023</t>
        </is>
      </c>
      <c r="B650" s="1" t="n">
        <v>44995</v>
      </c>
      <c r="C650" s="1" t="n">
        <v>46011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12252-2023</t>
        </is>
      </c>
      <c r="B651" s="1" t="n">
        <v>44995</v>
      </c>
      <c r="C651" s="1" t="n">
        <v>46011</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6116-2023</t>
        </is>
      </c>
      <c r="B652" s="1" t="n">
        <v>44964</v>
      </c>
      <c r="C652" s="1" t="n">
        <v>46011</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18100-2023</t>
        </is>
      </c>
      <c r="B653" s="1" t="n">
        <v>45040</v>
      </c>
      <c r="C653" s="1" t="n">
        <v>46011</v>
      </c>
      <c r="D653" t="inlineStr">
        <is>
          <t>VÄSTMANLANDS LÄN</t>
        </is>
      </c>
      <c r="E653" t="inlineStr">
        <is>
          <t>SALA</t>
        </is>
      </c>
      <c r="G653" t="n">
        <v>1.8</v>
      </c>
      <c r="H653" t="n">
        <v>0</v>
      </c>
      <c r="I653" t="n">
        <v>0</v>
      </c>
      <c r="J653" t="n">
        <v>0</v>
      </c>
      <c r="K653" t="n">
        <v>0</v>
      </c>
      <c r="L653" t="n">
        <v>0</v>
      </c>
      <c r="M653" t="n">
        <v>0</v>
      </c>
      <c r="N653" t="n">
        <v>0</v>
      </c>
      <c r="O653" t="n">
        <v>0</v>
      </c>
      <c r="P653" t="n">
        <v>0</v>
      </c>
      <c r="Q653" t="n">
        <v>0</v>
      </c>
      <c r="R653" s="2" t="inlineStr"/>
    </row>
    <row r="654" ht="15" customHeight="1">
      <c r="A654" t="inlineStr">
        <is>
          <t>A 13471-2025</t>
        </is>
      </c>
      <c r="B654" s="1" t="n">
        <v>45736.40579861111</v>
      </c>
      <c r="C654" s="1" t="n">
        <v>46011</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26854-2024</t>
        </is>
      </c>
      <c r="B655" s="1" t="n">
        <v>45470</v>
      </c>
      <c r="C655" s="1" t="n">
        <v>46011</v>
      </c>
      <c r="D655" t="inlineStr">
        <is>
          <t>VÄSTMANLANDS LÄN</t>
        </is>
      </c>
      <c r="E655" t="inlineStr">
        <is>
          <t>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37602-2024</t>
        </is>
      </c>
      <c r="B656" s="1" t="n">
        <v>45541</v>
      </c>
      <c r="C656" s="1" t="n">
        <v>46011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1985-2022</t>
        </is>
      </c>
      <c r="B657" s="1" t="n">
        <v>44575</v>
      </c>
      <c r="C657" s="1" t="n">
        <v>46011</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6308-2021</t>
        </is>
      </c>
      <c r="B658" s="1" t="n">
        <v>44235</v>
      </c>
      <c r="C658" s="1" t="n">
        <v>46011</v>
      </c>
      <c r="D658" t="inlineStr">
        <is>
          <t>VÄSTMANLANDS LÄN</t>
        </is>
      </c>
      <c r="E658" t="inlineStr">
        <is>
          <t>SALA</t>
        </is>
      </c>
      <c r="G658" t="n">
        <v>1.4</v>
      </c>
      <c r="H658" t="n">
        <v>0</v>
      </c>
      <c r="I658" t="n">
        <v>0</v>
      </c>
      <c r="J658" t="n">
        <v>0</v>
      </c>
      <c r="K658" t="n">
        <v>0</v>
      </c>
      <c r="L658" t="n">
        <v>0</v>
      </c>
      <c r="M658" t="n">
        <v>0</v>
      </c>
      <c r="N658" t="n">
        <v>0</v>
      </c>
      <c r="O658" t="n">
        <v>0</v>
      </c>
      <c r="P658" t="n">
        <v>0</v>
      </c>
      <c r="Q658" t="n">
        <v>0</v>
      </c>
      <c r="R658" s="2" t="inlineStr"/>
    </row>
    <row r="659" ht="15" customHeight="1">
      <c r="A659" t="inlineStr">
        <is>
          <t>A 21455-2023</t>
        </is>
      </c>
      <c r="B659" s="1" t="n">
        <v>45058</v>
      </c>
      <c r="C659" s="1" t="n">
        <v>46011</v>
      </c>
      <c r="D659" t="inlineStr">
        <is>
          <t>VÄSTMANLANDS LÄN</t>
        </is>
      </c>
      <c r="E659" t="inlineStr">
        <is>
          <t>SALA</t>
        </is>
      </c>
      <c r="G659" t="n">
        <v>6.4</v>
      </c>
      <c r="H659" t="n">
        <v>0</v>
      </c>
      <c r="I659" t="n">
        <v>0</v>
      </c>
      <c r="J659" t="n">
        <v>0</v>
      </c>
      <c r="K659" t="n">
        <v>0</v>
      </c>
      <c r="L659" t="n">
        <v>0</v>
      </c>
      <c r="M659" t="n">
        <v>0</v>
      </c>
      <c r="N659" t="n">
        <v>0</v>
      </c>
      <c r="O659" t="n">
        <v>0</v>
      </c>
      <c r="P659" t="n">
        <v>0</v>
      </c>
      <c r="Q659" t="n">
        <v>0</v>
      </c>
      <c r="R659" s="2" t="inlineStr"/>
    </row>
    <row r="660" ht="15" customHeight="1">
      <c r="A660" t="inlineStr">
        <is>
          <t>A 4797-2023</t>
        </is>
      </c>
      <c r="B660" s="1" t="n">
        <v>44957</v>
      </c>
      <c r="C660" s="1" t="n">
        <v>46011</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46011</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36858-2023</t>
        </is>
      </c>
      <c r="B662" s="1" t="n">
        <v>45154.55184027777</v>
      </c>
      <c r="C662" s="1" t="n">
        <v>46011</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58701-2021</t>
        </is>
      </c>
      <c r="B663" s="1" t="n">
        <v>44489.46454861111</v>
      </c>
      <c r="C663" s="1" t="n">
        <v>46011</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37337-2024</t>
        </is>
      </c>
      <c r="B664" s="1" t="n">
        <v>45540</v>
      </c>
      <c r="C664" s="1" t="n">
        <v>46011</v>
      </c>
      <c r="D664" t="inlineStr">
        <is>
          <t>VÄSTMANLANDS LÄN</t>
        </is>
      </c>
      <c r="E664" t="inlineStr">
        <is>
          <t>SALA</t>
        </is>
      </c>
      <c r="G664" t="n">
        <v>6.5</v>
      </c>
      <c r="H664" t="n">
        <v>0</v>
      </c>
      <c r="I664" t="n">
        <v>0</v>
      </c>
      <c r="J664" t="n">
        <v>0</v>
      </c>
      <c r="K664" t="n">
        <v>0</v>
      </c>
      <c r="L664" t="n">
        <v>0</v>
      </c>
      <c r="M664" t="n">
        <v>0</v>
      </c>
      <c r="N664" t="n">
        <v>0</v>
      </c>
      <c r="O664" t="n">
        <v>0</v>
      </c>
      <c r="P664" t="n">
        <v>0</v>
      </c>
      <c r="Q664" t="n">
        <v>0</v>
      </c>
      <c r="R664" s="2" t="inlineStr"/>
    </row>
    <row r="665" ht="15" customHeight="1">
      <c r="A665" t="inlineStr">
        <is>
          <t>A 10250-2025</t>
        </is>
      </c>
      <c r="B665" s="1" t="n">
        <v>45720.36165509259</v>
      </c>
      <c r="C665" s="1" t="n">
        <v>46011</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23180-2022</t>
        </is>
      </c>
      <c r="B666" s="1" t="n">
        <v>44719.79344907407</v>
      </c>
      <c r="C666" s="1" t="n">
        <v>46011</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21053-2022</t>
        </is>
      </c>
      <c r="B667" s="1" t="n">
        <v>44704</v>
      </c>
      <c r="C667" s="1" t="n">
        <v>46011</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18340-2025</t>
        </is>
      </c>
      <c r="B668" s="1" t="n">
        <v>45762</v>
      </c>
      <c r="C668" s="1" t="n">
        <v>46011</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16638-2023</t>
        </is>
      </c>
      <c r="B669" s="1" t="n">
        <v>45027</v>
      </c>
      <c r="C669" s="1" t="n">
        <v>46011</v>
      </c>
      <c r="D669" t="inlineStr">
        <is>
          <t>VÄSTMANLANDS LÄN</t>
        </is>
      </c>
      <c r="E669" t="inlineStr">
        <is>
          <t>SALA</t>
        </is>
      </c>
      <c r="G669" t="n">
        <v>14.8</v>
      </c>
      <c r="H669" t="n">
        <v>0</v>
      </c>
      <c r="I669" t="n">
        <v>0</v>
      </c>
      <c r="J669" t="n">
        <v>0</v>
      </c>
      <c r="K669" t="n">
        <v>0</v>
      </c>
      <c r="L669" t="n">
        <v>0</v>
      </c>
      <c r="M669" t="n">
        <v>0</v>
      </c>
      <c r="N669" t="n">
        <v>0</v>
      </c>
      <c r="O669" t="n">
        <v>0</v>
      </c>
      <c r="P669" t="n">
        <v>0</v>
      </c>
      <c r="Q669" t="n">
        <v>0</v>
      </c>
      <c r="R669" s="2" t="inlineStr"/>
    </row>
    <row r="670" ht="15" customHeight="1">
      <c r="A670" t="inlineStr">
        <is>
          <t>A 17117-2023</t>
        </is>
      </c>
      <c r="B670" s="1" t="n">
        <v>45034</v>
      </c>
      <c r="C670" s="1" t="n">
        <v>46011</v>
      </c>
      <c r="D670" t="inlineStr">
        <is>
          <t>VÄSTMANLANDS LÄN</t>
        </is>
      </c>
      <c r="E670" t="inlineStr">
        <is>
          <t>SALA</t>
        </is>
      </c>
      <c r="G670" t="n">
        <v>0.4</v>
      </c>
      <c r="H670" t="n">
        <v>0</v>
      </c>
      <c r="I670" t="n">
        <v>0</v>
      </c>
      <c r="J670" t="n">
        <v>0</v>
      </c>
      <c r="K670" t="n">
        <v>0</v>
      </c>
      <c r="L670" t="n">
        <v>0</v>
      </c>
      <c r="M670" t="n">
        <v>0</v>
      </c>
      <c r="N670" t="n">
        <v>0</v>
      </c>
      <c r="O670" t="n">
        <v>0</v>
      </c>
      <c r="P670" t="n">
        <v>0</v>
      </c>
      <c r="Q670" t="n">
        <v>0</v>
      </c>
      <c r="R670" s="2" t="inlineStr"/>
    </row>
    <row r="671" ht="15" customHeight="1">
      <c r="A671" t="inlineStr">
        <is>
          <t>A 59909-2024</t>
        </is>
      </c>
      <c r="B671" s="1" t="n">
        <v>45641</v>
      </c>
      <c r="C671" s="1" t="n">
        <v>46011</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46011</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33309-2022</t>
        </is>
      </c>
      <c r="B673" s="1" t="n">
        <v>44788.40986111111</v>
      </c>
      <c r="C673" s="1" t="n">
        <v>46011</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7377-2023</t>
        </is>
      </c>
      <c r="B674" s="1" t="n">
        <v>44971</v>
      </c>
      <c r="C674" s="1" t="n">
        <v>46011</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27229-2022</t>
        </is>
      </c>
      <c r="B675" s="1" t="n">
        <v>44741</v>
      </c>
      <c r="C675" s="1" t="n">
        <v>46011</v>
      </c>
      <c r="D675" t="inlineStr">
        <is>
          <t>VÄSTMANLANDS LÄN</t>
        </is>
      </c>
      <c r="E675" t="inlineStr">
        <is>
          <t>SALA</t>
        </is>
      </c>
      <c r="F675" t="inlineStr">
        <is>
          <t>Kommuner</t>
        </is>
      </c>
      <c r="G675" t="n">
        <v>1.4</v>
      </c>
      <c r="H675" t="n">
        <v>0</v>
      </c>
      <c r="I675" t="n">
        <v>0</v>
      </c>
      <c r="J675" t="n">
        <v>0</v>
      </c>
      <c r="K675" t="n">
        <v>0</v>
      </c>
      <c r="L675" t="n">
        <v>0</v>
      </c>
      <c r="M675" t="n">
        <v>0</v>
      </c>
      <c r="N675" t="n">
        <v>0</v>
      </c>
      <c r="O675" t="n">
        <v>0</v>
      </c>
      <c r="P675" t="n">
        <v>0</v>
      </c>
      <c r="Q675" t="n">
        <v>0</v>
      </c>
      <c r="R675" s="2" t="inlineStr"/>
    </row>
    <row r="676" ht="15" customHeight="1">
      <c r="A676" t="inlineStr">
        <is>
          <t>A 24755-2021</t>
        </is>
      </c>
      <c r="B676" s="1" t="n">
        <v>44340</v>
      </c>
      <c r="C676" s="1" t="n">
        <v>46011</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34867-2023</t>
        </is>
      </c>
      <c r="B677" s="1" t="n">
        <v>45142.33481481481</v>
      </c>
      <c r="C677" s="1" t="n">
        <v>46011</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25748-2022</t>
        </is>
      </c>
      <c r="B678" s="1" t="n">
        <v>44732</v>
      </c>
      <c r="C678" s="1" t="n">
        <v>46011</v>
      </c>
      <c r="D678" t="inlineStr">
        <is>
          <t>VÄSTMANLANDS LÄN</t>
        </is>
      </c>
      <c r="E678" t="inlineStr">
        <is>
          <t>SALA</t>
        </is>
      </c>
      <c r="G678" t="n">
        <v>7.7</v>
      </c>
      <c r="H678" t="n">
        <v>0</v>
      </c>
      <c r="I678" t="n">
        <v>0</v>
      </c>
      <c r="J678" t="n">
        <v>0</v>
      </c>
      <c r="K678" t="n">
        <v>0</v>
      </c>
      <c r="L678" t="n">
        <v>0</v>
      </c>
      <c r="M678" t="n">
        <v>0</v>
      </c>
      <c r="N678" t="n">
        <v>0</v>
      </c>
      <c r="O678" t="n">
        <v>0</v>
      </c>
      <c r="P678" t="n">
        <v>0</v>
      </c>
      <c r="Q678" t="n">
        <v>0</v>
      </c>
      <c r="R678" s="2" t="inlineStr"/>
    </row>
    <row r="679" ht="15" customHeight="1">
      <c r="A679" t="inlineStr">
        <is>
          <t>A 49512-2024</t>
        </is>
      </c>
      <c r="B679" s="1" t="n">
        <v>45591</v>
      </c>
      <c r="C679" s="1" t="n">
        <v>46011</v>
      </c>
      <c r="D679" t="inlineStr">
        <is>
          <t>VÄSTMANLANDS LÄN</t>
        </is>
      </c>
      <c r="E679" t="inlineStr">
        <is>
          <t>SALA</t>
        </is>
      </c>
      <c r="G679" t="n">
        <v>8.1</v>
      </c>
      <c r="H679" t="n">
        <v>0</v>
      </c>
      <c r="I679" t="n">
        <v>0</v>
      </c>
      <c r="J679" t="n">
        <v>0</v>
      </c>
      <c r="K679" t="n">
        <v>0</v>
      </c>
      <c r="L679" t="n">
        <v>0</v>
      </c>
      <c r="M679" t="n">
        <v>0</v>
      </c>
      <c r="N679" t="n">
        <v>0</v>
      </c>
      <c r="O679" t="n">
        <v>0</v>
      </c>
      <c r="P679" t="n">
        <v>0</v>
      </c>
      <c r="Q679" t="n">
        <v>0</v>
      </c>
      <c r="R679" s="2" t="inlineStr"/>
    </row>
    <row r="680" ht="15" customHeight="1">
      <c r="A680" t="inlineStr">
        <is>
          <t>A 13128-2023</t>
        </is>
      </c>
      <c r="B680" s="1" t="n">
        <v>45002</v>
      </c>
      <c r="C680" s="1" t="n">
        <v>46011</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37958-2024</t>
        </is>
      </c>
      <c r="B681" s="1" t="n">
        <v>45544</v>
      </c>
      <c r="C681" s="1" t="n">
        <v>46011</v>
      </c>
      <c r="D681" t="inlineStr">
        <is>
          <t>VÄSTMANLANDS LÄN</t>
        </is>
      </c>
      <c r="E681" t="inlineStr">
        <is>
          <t>SALA</t>
        </is>
      </c>
      <c r="G681" t="n">
        <v>5.6</v>
      </c>
      <c r="H681" t="n">
        <v>0</v>
      </c>
      <c r="I681" t="n">
        <v>0</v>
      </c>
      <c r="J681" t="n">
        <v>0</v>
      </c>
      <c r="K681" t="n">
        <v>0</v>
      </c>
      <c r="L681" t="n">
        <v>0</v>
      </c>
      <c r="M681" t="n">
        <v>0</v>
      </c>
      <c r="N681" t="n">
        <v>0</v>
      </c>
      <c r="O681" t="n">
        <v>0</v>
      </c>
      <c r="P681" t="n">
        <v>0</v>
      </c>
      <c r="Q681" t="n">
        <v>0</v>
      </c>
      <c r="R681" s="2" t="inlineStr"/>
    </row>
    <row r="682" ht="15" customHeight="1">
      <c r="A682" t="inlineStr">
        <is>
          <t>A 18431-2023</t>
        </is>
      </c>
      <c r="B682" s="1" t="n">
        <v>45042</v>
      </c>
      <c r="C682" s="1" t="n">
        <v>46011</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57650-2024</t>
        </is>
      </c>
      <c r="B683" s="1" t="n">
        <v>45630</v>
      </c>
      <c r="C683" s="1" t="n">
        <v>46011</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10255-2024</t>
        </is>
      </c>
      <c r="B684" s="1" t="n">
        <v>45365</v>
      </c>
      <c r="C684" s="1" t="n">
        <v>46011</v>
      </c>
      <c r="D684" t="inlineStr">
        <is>
          <t>VÄSTMANLANDS LÄN</t>
        </is>
      </c>
      <c r="E684" t="inlineStr">
        <is>
          <t>SALA</t>
        </is>
      </c>
      <c r="F684" t="inlineStr">
        <is>
          <t>Kommuner</t>
        </is>
      </c>
      <c r="G684" t="n">
        <v>0.8</v>
      </c>
      <c r="H684" t="n">
        <v>0</v>
      </c>
      <c r="I684" t="n">
        <v>0</v>
      </c>
      <c r="J684" t="n">
        <v>0</v>
      </c>
      <c r="K684" t="n">
        <v>0</v>
      </c>
      <c r="L684" t="n">
        <v>0</v>
      </c>
      <c r="M684" t="n">
        <v>0</v>
      </c>
      <c r="N684" t="n">
        <v>0</v>
      </c>
      <c r="O684" t="n">
        <v>0</v>
      </c>
      <c r="P684" t="n">
        <v>0</v>
      </c>
      <c r="Q684" t="n">
        <v>0</v>
      </c>
      <c r="R684" s="2" t="inlineStr"/>
    </row>
    <row r="685" ht="15" customHeight="1">
      <c r="A685" t="inlineStr">
        <is>
          <t>A 28696-2023</t>
        </is>
      </c>
      <c r="B685" s="1" t="n">
        <v>45103.71759259259</v>
      </c>
      <c r="C685" s="1" t="n">
        <v>46011</v>
      </c>
      <c r="D685" t="inlineStr">
        <is>
          <t>VÄSTMANLANDS LÄN</t>
        </is>
      </c>
      <c r="E685" t="inlineStr">
        <is>
          <t>SALA</t>
        </is>
      </c>
      <c r="F685" t="inlineStr">
        <is>
          <t>Kommuner</t>
        </is>
      </c>
      <c r="G685" t="n">
        <v>5.9</v>
      </c>
      <c r="H685" t="n">
        <v>0</v>
      </c>
      <c r="I685" t="n">
        <v>0</v>
      </c>
      <c r="J685" t="n">
        <v>0</v>
      </c>
      <c r="K685" t="n">
        <v>0</v>
      </c>
      <c r="L685" t="n">
        <v>0</v>
      </c>
      <c r="M685" t="n">
        <v>0</v>
      </c>
      <c r="N685" t="n">
        <v>0</v>
      </c>
      <c r="O685" t="n">
        <v>0</v>
      </c>
      <c r="P685" t="n">
        <v>0</v>
      </c>
      <c r="Q685" t="n">
        <v>0</v>
      </c>
      <c r="R685" s="2" t="inlineStr"/>
    </row>
    <row r="686" ht="15" customHeight="1">
      <c r="A686" t="inlineStr">
        <is>
          <t>A 31072-2021</t>
        </is>
      </c>
      <c r="B686" s="1" t="n">
        <v>44368</v>
      </c>
      <c r="C686" s="1" t="n">
        <v>46011</v>
      </c>
      <c r="D686" t="inlineStr">
        <is>
          <t>VÄSTMANLANDS LÄN</t>
        </is>
      </c>
      <c r="E686" t="inlineStr">
        <is>
          <t>SALA</t>
        </is>
      </c>
      <c r="G686" t="n">
        <v>1.1</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46011</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46011</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4663-2022</t>
        </is>
      </c>
      <c r="B689" s="1" t="n">
        <v>44592.45429398148</v>
      </c>
      <c r="C689" s="1" t="n">
        <v>46011</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6132-2025</t>
        </is>
      </c>
      <c r="B690" s="1" t="n">
        <v>45698</v>
      </c>
      <c r="C690" s="1" t="n">
        <v>46011</v>
      </c>
      <c r="D690" t="inlineStr">
        <is>
          <t>VÄSTMANLANDS LÄN</t>
        </is>
      </c>
      <c r="E690" t="inlineStr">
        <is>
          <t>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31859-2023</t>
        </is>
      </c>
      <c r="B691" s="1" t="n">
        <v>45118</v>
      </c>
      <c r="C691" s="1" t="n">
        <v>46011</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c r="U691">
        <f>HYPERLINK("https://klasma.github.io/Logging_1981/knärot/A 31859-2023 karta knärot.png", "A 31859-2023")</f>
        <v/>
      </c>
      <c r="V691">
        <f>HYPERLINK("https://klasma.github.io/Logging_1981/klagomål/A 31859-2023 FSC-klagomål.docx", "A 31859-2023")</f>
        <v/>
      </c>
      <c r="W691">
        <f>HYPERLINK("https://klasma.github.io/Logging_1981/klagomålsmail/A 31859-2023 FSC-klagomål mail.docx", "A 31859-2023")</f>
        <v/>
      </c>
      <c r="X691">
        <f>HYPERLINK("https://klasma.github.io/Logging_1981/tillsyn/A 31859-2023 tillsynsbegäran.docx", "A 31859-2023")</f>
        <v/>
      </c>
      <c r="Y691">
        <f>HYPERLINK("https://klasma.github.io/Logging_1981/tillsynsmail/A 31859-2023 tillsynsbegäran mail.docx", "A 31859-2023")</f>
        <v/>
      </c>
    </row>
    <row r="692" ht="15" customHeight="1">
      <c r="A692" t="inlineStr">
        <is>
          <t>A 61681-2024</t>
        </is>
      </c>
      <c r="B692" s="1" t="n">
        <v>45647</v>
      </c>
      <c r="C692" s="1" t="n">
        <v>46011</v>
      </c>
      <c r="D692" t="inlineStr">
        <is>
          <t>VÄSTMANLANDS LÄN</t>
        </is>
      </c>
      <c r="E692" t="inlineStr">
        <is>
          <t>SALA</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54960-2024</t>
        </is>
      </c>
      <c r="B693" s="1" t="n">
        <v>45619.85208333333</v>
      </c>
      <c r="C693" s="1" t="n">
        <v>46011</v>
      </c>
      <c r="D693" t="inlineStr">
        <is>
          <t>VÄSTMANLANDS LÄN</t>
        </is>
      </c>
      <c r="E693" t="inlineStr">
        <is>
          <t>SALA</t>
        </is>
      </c>
      <c r="G693" t="n">
        <v>2.6</v>
      </c>
      <c r="H693" t="n">
        <v>0</v>
      </c>
      <c r="I693" t="n">
        <v>0</v>
      </c>
      <c r="J693" t="n">
        <v>0</v>
      </c>
      <c r="K693" t="n">
        <v>0</v>
      </c>
      <c r="L693" t="n">
        <v>0</v>
      </c>
      <c r="M693" t="n">
        <v>0</v>
      </c>
      <c r="N693" t="n">
        <v>0</v>
      </c>
      <c r="O693" t="n">
        <v>0</v>
      </c>
      <c r="P693" t="n">
        <v>0</v>
      </c>
      <c r="Q693" t="n">
        <v>0</v>
      </c>
      <c r="R693" s="2" t="inlineStr"/>
    </row>
    <row r="694" ht="15" customHeight="1">
      <c r="A694" t="inlineStr">
        <is>
          <t>A 31082-2021</t>
        </is>
      </c>
      <c r="B694" s="1" t="n">
        <v>44368</v>
      </c>
      <c r="C694" s="1" t="n">
        <v>46011</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20352-2022</t>
        </is>
      </c>
      <c r="B695" s="1" t="n">
        <v>44699.37318287037</v>
      </c>
      <c r="C695" s="1" t="n">
        <v>46011</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27657-2023</t>
        </is>
      </c>
      <c r="B696" s="1" t="n">
        <v>45097.76631944445</v>
      </c>
      <c r="C696" s="1" t="n">
        <v>46011</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2766-2024</t>
        </is>
      </c>
      <c r="B697" s="1" t="n">
        <v>45314.60950231482</v>
      </c>
      <c r="C697" s="1" t="n">
        <v>46011</v>
      </c>
      <c r="D697" t="inlineStr">
        <is>
          <t>VÄSTMANLANDS LÄN</t>
        </is>
      </c>
      <c r="E697" t="inlineStr">
        <is>
          <t>SALA</t>
        </is>
      </c>
      <c r="G697" t="n">
        <v>2.8</v>
      </c>
      <c r="H697" t="n">
        <v>0</v>
      </c>
      <c r="I697" t="n">
        <v>0</v>
      </c>
      <c r="J697" t="n">
        <v>0</v>
      </c>
      <c r="K697" t="n">
        <v>0</v>
      </c>
      <c r="L697" t="n">
        <v>0</v>
      </c>
      <c r="M697" t="n">
        <v>0</v>
      </c>
      <c r="N697" t="n">
        <v>0</v>
      </c>
      <c r="O697" t="n">
        <v>0</v>
      </c>
      <c r="P697" t="n">
        <v>0</v>
      </c>
      <c r="Q697" t="n">
        <v>0</v>
      </c>
      <c r="R697" s="2" t="inlineStr"/>
    </row>
    <row r="698" ht="15" customHeight="1">
      <c r="A698" t="inlineStr">
        <is>
          <t>A 60550-2024</t>
        </is>
      </c>
      <c r="B698" s="1" t="n">
        <v>45643</v>
      </c>
      <c r="C698" s="1" t="n">
        <v>46011</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14690-2025</t>
        </is>
      </c>
      <c r="B699" s="1" t="n">
        <v>45742.58212962963</v>
      </c>
      <c r="C699" s="1" t="n">
        <v>46011</v>
      </c>
      <c r="D699" t="inlineStr">
        <is>
          <t>VÄSTMANLANDS LÄN</t>
        </is>
      </c>
      <c r="E699" t="inlineStr">
        <is>
          <t>SALA</t>
        </is>
      </c>
      <c r="G699" t="n">
        <v>3.4</v>
      </c>
      <c r="H699" t="n">
        <v>0</v>
      </c>
      <c r="I699" t="n">
        <v>0</v>
      </c>
      <c r="J699" t="n">
        <v>0</v>
      </c>
      <c r="K699" t="n">
        <v>0</v>
      </c>
      <c r="L699" t="n">
        <v>0</v>
      </c>
      <c r="M699" t="n">
        <v>0</v>
      </c>
      <c r="N699" t="n">
        <v>0</v>
      </c>
      <c r="O699" t="n">
        <v>0</v>
      </c>
      <c r="P699" t="n">
        <v>0</v>
      </c>
      <c r="Q699" t="n">
        <v>0</v>
      </c>
      <c r="R699" s="2" t="inlineStr"/>
    </row>
    <row r="700" ht="15" customHeight="1">
      <c r="A700" t="inlineStr">
        <is>
          <t>A 24175-2024</t>
        </is>
      </c>
      <c r="B700" s="1" t="n">
        <v>45456</v>
      </c>
      <c r="C700" s="1" t="n">
        <v>46011</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62449-2023</t>
        </is>
      </c>
      <c r="B701" s="1" t="n">
        <v>45268.49008101852</v>
      </c>
      <c r="C701" s="1" t="n">
        <v>46011</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54910-2023</t>
        </is>
      </c>
      <c r="B702" s="1" t="n">
        <v>45229</v>
      </c>
      <c r="C702" s="1" t="n">
        <v>46011</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19222-2025</t>
        </is>
      </c>
      <c r="B703" s="1" t="n">
        <v>45769</v>
      </c>
      <c r="C703" s="1" t="n">
        <v>46011</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19241-2025</t>
        </is>
      </c>
      <c r="B704" s="1" t="n">
        <v>45769</v>
      </c>
      <c r="C704" s="1" t="n">
        <v>46011</v>
      </c>
      <c r="D704" t="inlineStr">
        <is>
          <t>VÄSTMANLANDS LÄN</t>
        </is>
      </c>
      <c r="E704" t="inlineStr">
        <is>
          <t>SALA</t>
        </is>
      </c>
      <c r="G704" t="n">
        <v>3.6</v>
      </c>
      <c r="H704" t="n">
        <v>0</v>
      </c>
      <c r="I704" t="n">
        <v>0</v>
      </c>
      <c r="J704" t="n">
        <v>0</v>
      </c>
      <c r="K704" t="n">
        <v>0</v>
      </c>
      <c r="L704" t="n">
        <v>0</v>
      </c>
      <c r="M704" t="n">
        <v>0</v>
      </c>
      <c r="N704" t="n">
        <v>0</v>
      </c>
      <c r="O704" t="n">
        <v>0</v>
      </c>
      <c r="P704" t="n">
        <v>0</v>
      </c>
      <c r="Q704" t="n">
        <v>0</v>
      </c>
      <c r="R704" s="2" t="inlineStr"/>
    </row>
    <row r="705" ht="15" customHeight="1">
      <c r="A705" t="inlineStr">
        <is>
          <t>A 26416-2023</t>
        </is>
      </c>
      <c r="B705" s="1" t="n">
        <v>45092.38087962963</v>
      </c>
      <c r="C705" s="1" t="n">
        <v>46011</v>
      </c>
      <c r="D705" t="inlineStr">
        <is>
          <t>VÄSTMANLANDS LÄN</t>
        </is>
      </c>
      <c r="E705" t="inlineStr">
        <is>
          <t>SALA</t>
        </is>
      </c>
      <c r="G705" t="n">
        <v>2.9</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46011</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15681-2025</t>
        </is>
      </c>
      <c r="B707" s="1" t="n">
        <v>45748.45454861111</v>
      </c>
      <c r="C707" s="1" t="n">
        <v>46011</v>
      </c>
      <c r="D707" t="inlineStr">
        <is>
          <t>VÄSTMANLANDS LÄN</t>
        </is>
      </c>
      <c r="E707" t="inlineStr">
        <is>
          <t>SALA</t>
        </is>
      </c>
      <c r="F707" t="inlineStr">
        <is>
          <t>Bergvik skog öst AB</t>
        </is>
      </c>
      <c r="G707" t="n">
        <v>4.3</v>
      </c>
      <c r="H707" t="n">
        <v>0</v>
      </c>
      <c r="I707" t="n">
        <v>0</v>
      </c>
      <c r="J707" t="n">
        <v>0</v>
      </c>
      <c r="K707" t="n">
        <v>0</v>
      </c>
      <c r="L707" t="n">
        <v>0</v>
      </c>
      <c r="M707" t="n">
        <v>0</v>
      </c>
      <c r="N707" t="n">
        <v>0</v>
      </c>
      <c r="O707" t="n">
        <v>0</v>
      </c>
      <c r="P707" t="n">
        <v>0</v>
      </c>
      <c r="Q707" t="n">
        <v>0</v>
      </c>
      <c r="R707" s="2" t="inlineStr"/>
    </row>
    <row r="708" ht="15" customHeight="1">
      <c r="A708" t="inlineStr">
        <is>
          <t>A 2925-2024</t>
        </is>
      </c>
      <c r="B708" s="1" t="n">
        <v>45315.58909722222</v>
      </c>
      <c r="C708" s="1" t="n">
        <v>46011</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44746-2024</t>
        </is>
      </c>
      <c r="B709" s="1" t="n">
        <v>45574.59813657407</v>
      </c>
      <c r="C709" s="1" t="n">
        <v>46011</v>
      </c>
      <c r="D709" t="inlineStr">
        <is>
          <t>VÄSTMANLANDS LÄN</t>
        </is>
      </c>
      <c r="E709" t="inlineStr">
        <is>
          <t>SALA</t>
        </is>
      </c>
      <c r="G709" t="n">
        <v>6.7</v>
      </c>
      <c r="H709" t="n">
        <v>0</v>
      </c>
      <c r="I709" t="n">
        <v>0</v>
      </c>
      <c r="J709" t="n">
        <v>0</v>
      </c>
      <c r="K709" t="n">
        <v>0</v>
      </c>
      <c r="L709" t="n">
        <v>0</v>
      </c>
      <c r="M709" t="n">
        <v>0</v>
      </c>
      <c r="N709" t="n">
        <v>0</v>
      </c>
      <c r="O709" t="n">
        <v>0</v>
      </c>
      <c r="P709" t="n">
        <v>0</v>
      </c>
      <c r="Q709" t="n">
        <v>0</v>
      </c>
      <c r="R709" s="2" t="inlineStr"/>
    </row>
    <row r="710" ht="15" customHeight="1">
      <c r="A710" t="inlineStr">
        <is>
          <t>A 44713-2023</t>
        </is>
      </c>
      <c r="B710" s="1" t="n">
        <v>45184</v>
      </c>
      <c r="C710" s="1" t="n">
        <v>46011</v>
      </c>
      <c r="D710" t="inlineStr">
        <is>
          <t>VÄSTMANLANDS LÄN</t>
        </is>
      </c>
      <c r="E710" t="inlineStr">
        <is>
          <t>SALA</t>
        </is>
      </c>
      <c r="F710" t="inlineStr">
        <is>
          <t>Kyrkan</t>
        </is>
      </c>
      <c r="G710" t="n">
        <v>7.6</v>
      </c>
      <c r="H710" t="n">
        <v>0</v>
      </c>
      <c r="I710" t="n">
        <v>0</v>
      </c>
      <c r="J710" t="n">
        <v>0</v>
      </c>
      <c r="K710" t="n">
        <v>0</v>
      </c>
      <c r="L710" t="n">
        <v>0</v>
      </c>
      <c r="M710" t="n">
        <v>0</v>
      </c>
      <c r="N710" t="n">
        <v>0</v>
      </c>
      <c r="O710" t="n">
        <v>0</v>
      </c>
      <c r="P710" t="n">
        <v>0</v>
      </c>
      <c r="Q710" t="n">
        <v>0</v>
      </c>
      <c r="R710" s="2" t="inlineStr"/>
    </row>
    <row r="711" ht="15" customHeight="1">
      <c r="A711" t="inlineStr">
        <is>
          <t>A 23431-2024</t>
        </is>
      </c>
      <c r="B711" s="1" t="n">
        <v>45453</v>
      </c>
      <c r="C711" s="1" t="n">
        <v>46011</v>
      </c>
      <c r="D711" t="inlineStr">
        <is>
          <t>VÄSTMANLANDS LÄN</t>
        </is>
      </c>
      <c r="E711" t="inlineStr">
        <is>
          <t>SALA</t>
        </is>
      </c>
      <c r="G711" t="n">
        <v>1.6</v>
      </c>
      <c r="H711" t="n">
        <v>0</v>
      </c>
      <c r="I711" t="n">
        <v>0</v>
      </c>
      <c r="J711" t="n">
        <v>0</v>
      </c>
      <c r="K711" t="n">
        <v>0</v>
      </c>
      <c r="L711" t="n">
        <v>0</v>
      </c>
      <c r="M711" t="n">
        <v>0</v>
      </c>
      <c r="N711" t="n">
        <v>0</v>
      </c>
      <c r="O711" t="n">
        <v>0</v>
      </c>
      <c r="P711" t="n">
        <v>0</v>
      </c>
      <c r="Q711" t="n">
        <v>0</v>
      </c>
      <c r="R711" s="2" t="inlineStr"/>
    </row>
    <row r="712" ht="15" customHeight="1">
      <c r="A712" t="inlineStr">
        <is>
          <t>A 21168-2025</t>
        </is>
      </c>
      <c r="B712" s="1" t="n">
        <v>45777</v>
      </c>
      <c r="C712" s="1" t="n">
        <v>46011</v>
      </c>
      <c r="D712" t="inlineStr">
        <is>
          <t>VÄSTMANLANDS LÄN</t>
        </is>
      </c>
      <c r="E712" t="inlineStr">
        <is>
          <t>SALA</t>
        </is>
      </c>
      <c r="G712" t="n">
        <v>4.5</v>
      </c>
      <c r="H712" t="n">
        <v>0</v>
      </c>
      <c r="I712" t="n">
        <v>0</v>
      </c>
      <c r="J712" t="n">
        <v>0</v>
      </c>
      <c r="K712" t="n">
        <v>0</v>
      </c>
      <c r="L712" t="n">
        <v>0</v>
      </c>
      <c r="M712" t="n">
        <v>0</v>
      </c>
      <c r="N712" t="n">
        <v>0</v>
      </c>
      <c r="O712" t="n">
        <v>0</v>
      </c>
      <c r="P712" t="n">
        <v>0</v>
      </c>
      <c r="Q712" t="n">
        <v>0</v>
      </c>
      <c r="R712" s="2" t="inlineStr"/>
    </row>
    <row r="713" ht="15" customHeight="1">
      <c r="A713" t="inlineStr">
        <is>
          <t>A 21751-2025</t>
        </is>
      </c>
      <c r="B713" s="1" t="n">
        <v>45783.61372685185</v>
      </c>
      <c r="C713" s="1" t="n">
        <v>46011</v>
      </c>
      <c r="D713" t="inlineStr">
        <is>
          <t>VÄSTMANLANDS LÄN</t>
        </is>
      </c>
      <c r="E713" t="inlineStr">
        <is>
          <t>SALA</t>
        </is>
      </c>
      <c r="G713" t="n">
        <v>1</v>
      </c>
      <c r="H713" t="n">
        <v>0</v>
      </c>
      <c r="I713" t="n">
        <v>0</v>
      </c>
      <c r="J713" t="n">
        <v>0</v>
      </c>
      <c r="K713" t="n">
        <v>0</v>
      </c>
      <c r="L713" t="n">
        <v>0</v>
      </c>
      <c r="M713" t="n">
        <v>0</v>
      </c>
      <c r="N713" t="n">
        <v>0</v>
      </c>
      <c r="O713" t="n">
        <v>0</v>
      </c>
      <c r="P713" t="n">
        <v>0</v>
      </c>
      <c r="Q713" t="n">
        <v>0</v>
      </c>
      <c r="R713" s="2" t="inlineStr"/>
    </row>
    <row r="714" ht="15" customHeight="1">
      <c r="A714" t="inlineStr">
        <is>
          <t>A 21754-2025</t>
        </is>
      </c>
      <c r="B714" s="1" t="n">
        <v>45783.61837962963</v>
      </c>
      <c r="C714" s="1" t="n">
        <v>46011</v>
      </c>
      <c r="D714" t="inlineStr">
        <is>
          <t>VÄSTMANLANDS LÄN</t>
        </is>
      </c>
      <c r="E714" t="inlineStr">
        <is>
          <t>SALA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37587-2024</t>
        </is>
      </c>
      <c r="B715" s="1" t="n">
        <v>45541</v>
      </c>
      <c r="C715" s="1" t="n">
        <v>46011</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22353-2025</t>
        </is>
      </c>
      <c r="B716" s="1" t="n">
        <v>45786</v>
      </c>
      <c r="C716" s="1" t="n">
        <v>46011</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64724-2023</t>
        </is>
      </c>
      <c r="B717" s="1" t="n">
        <v>45281.7602662037</v>
      </c>
      <c r="C717" s="1" t="n">
        <v>46011</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22370-2025</t>
        </is>
      </c>
      <c r="B718" s="1" t="n">
        <v>45786</v>
      </c>
      <c r="C718" s="1" t="n">
        <v>46011</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22383-2025</t>
        </is>
      </c>
      <c r="B719" s="1" t="n">
        <v>45786</v>
      </c>
      <c r="C719" s="1" t="n">
        <v>46011</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7176-2023</t>
        </is>
      </c>
      <c r="B720" s="1" t="n">
        <v>44970</v>
      </c>
      <c r="C720" s="1" t="n">
        <v>46011</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22624-2025</t>
        </is>
      </c>
      <c r="B721" s="1" t="n">
        <v>45789.43327546296</v>
      </c>
      <c r="C721" s="1" t="n">
        <v>46011</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31405-2024</t>
        </is>
      </c>
      <c r="B722" s="1" t="n">
        <v>45505.5490625</v>
      </c>
      <c r="C722" s="1" t="n">
        <v>46011</v>
      </c>
      <c r="D722" t="inlineStr">
        <is>
          <t>VÄSTMANLANDS LÄN</t>
        </is>
      </c>
      <c r="E722" t="inlineStr">
        <is>
          <t>SALA</t>
        </is>
      </c>
      <c r="G722" t="n">
        <v>5.2</v>
      </c>
      <c r="H722" t="n">
        <v>0</v>
      </c>
      <c r="I722" t="n">
        <v>0</v>
      </c>
      <c r="J722" t="n">
        <v>0</v>
      </c>
      <c r="K722" t="n">
        <v>0</v>
      </c>
      <c r="L722" t="n">
        <v>0</v>
      </c>
      <c r="M722" t="n">
        <v>0</v>
      </c>
      <c r="N722" t="n">
        <v>0</v>
      </c>
      <c r="O722" t="n">
        <v>0</v>
      </c>
      <c r="P722" t="n">
        <v>0</v>
      </c>
      <c r="Q722" t="n">
        <v>0</v>
      </c>
      <c r="R722" s="2" t="inlineStr"/>
    </row>
    <row r="723" ht="15" customHeight="1">
      <c r="A723" t="inlineStr">
        <is>
          <t>A 22616-2025</t>
        </is>
      </c>
      <c r="B723" s="1" t="n">
        <v>45789.42752314815</v>
      </c>
      <c r="C723" s="1" t="n">
        <v>46011</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43600-2024</t>
        </is>
      </c>
      <c r="B724" s="1" t="n">
        <v>45569</v>
      </c>
      <c r="C724" s="1" t="n">
        <v>46011</v>
      </c>
      <c r="D724" t="inlineStr">
        <is>
          <t>VÄSTMANLANDS LÄN</t>
        </is>
      </c>
      <c r="E724" t="inlineStr">
        <is>
          <t>SALA</t>
        </is>
      </c>
      <c r="G724" t="n">
        <v>0.9</v>
      </c>
      <c r="H724" t="n">
        <v>0</v>
      </c>
      <c r="I724" t="n">
        <v>0</v>
      </c>
      <c r="J724" t="n">
        <v>0</v>
      </c>
      <c r="K724" t="n">
        <v>0</v>
      </c>
      <c r="L724" t="n">
        <v>0</v>
      </c>
      <c r="M724" t="n">
        <v>0</v>
      </c>
      <c r="N724" t="n">
        <v>0</v>
      </c>
      <c r="O724" t="n">
        <v>0</v>
      </c>
      <c r="P724" t="n">
        <v>0</v>
      </c>
      <c r="Q724" t="n">
        <v>0</v>
      </c>
      <c r="R724" s="2" t="inlineStr"/>
    </row>
    <row r="725">
      <c r="A725" t="inlineStr">
        <is>
          <t>A 13130-2025</t>
        </is>
      </c>
      <c r="B725" s="1" t="n">
        <v>45734</v>
      </c>
      <c r="C725" s="1" t="n">
        <v>46011</v>
      </c>
      <c r="D725" t="inlineStr">
        <is>
          <t>VÄSTMANLANDS LÄN</t>
        </is>
      </c>
      <c r="E725" t="inlineStr">
        <is>
          <t>SALA</t>
        </is>
      </c>
      <c r="G725" t="n">
        <v>1.5</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2025-12-20T14:05:51Z</dcterms:created>
  <dcterms:modified xmlns:dcterms="http://purl.org/dc/terms/" xmlns:xsi="http://www.w3.org/2001/XMLSchema-instance" xsi:type="dcterms:W3CDTF">2025-12-20T14:05:52Z</dcterms:modified>
</cp:coreProperties>
</file>