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45348</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45348</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45348</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45348</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45348</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45348</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45348</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45348</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v>
      </c>
      <c r="C10" s="1" t="n">
        <v>45348</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26774-2021</t>
        </is>
      </c>
      <c r="B11" s="1" t="n">
        <v>44349</v>
      </c>
      <c r="C11" s="1" t="n">
        <v>45348</v>
      </c>
      <c r="D11" t="inlineStr">
        <is>
          <t>VÄSTMANLANDS LÄN</t>
        </is>
      </c>
      <c r="E11" t="inlineStr">
        <is>
          <t>SALA</t>
        </is>
      </c>
      <c r="F11" t="inlineStr">
        <is>
          <t>Sveaskog</t>
        </is>
      </c>
      <c r="G11" t="n">
        <v>1.3</v>
      </c>
      <c r="H11" t="n">
        <v>2</v>
      </c>
      <c r="I11" t="n">
        <v>0</v>
      </c>
      <c r="J11" t="n">
        <v>2</v>
      </c>
      <c r="K11" t="n">
        <v>0</v>
      </c>
      <c r="L11" t="n">
        <v>0</v>
      </c>
      <c r="M11" t="n">
        <v>0</v>
      </c>
      <c r="N11" t="n">
        <v>0</v>
      </c>
      <c r="O11" t="n">
        <v>2</v>
      </c>
      <c r="P11" t="n">
        <v>0</v>
      </c>
      <c r="Q11" t="n">
        <v>4</v>
      </c>
      <c r="R11" s="2" t="inlineStr">
        <is>
          <t>Mindre bastardsvärmare
Skogshare
Åkergroda
Vanlig padda</t>
        </is>
      </c>
      <c r="S11">
        <f>HYPERLINK("https://klasma.github.io/Logging_1981/artfynd/A 26774-2021 artfynd.xlsx", "A 26774-2021")</f>
        <v/>
      </c>
      <c r="T11">
        <f>HYPERLINK("https://klasma.github.io/Logging_1981/kartor/A 26774-2021 karta.png", "A 26774-2021")</f>
        <v/>
      </c>
      <c r="V11">
        <f>HYPERLINK("https://klasma.github.io/Logging_1981/klagomål/A 26774-2021 FSC-klagomål.docx", "A 26774-2021")</f>
        <v/>
      </c>
      <c r="W11">
        <f>HYPERLINK("https://klasma.github.io/Logging_1981/klagomålsmail/A 26774-2021 FSC-klagomål mail.docx", "A 26774-2021")</f>
        <v/>
      </c>
      <c r="X11">
        <f>HYPERLINK("https://klasma.github.io/Logging_1981/tillsyn/A 26774-2021 tillsynsbegäran.docx", "A 26774-2021")</f>
        <v/>
      </c>
      <c r="Y11">
        <f>HYPERLINK("https://klasma.github.io/Logging_1981/tillsynsmail/A 26774-2021 tillsynsbegäran mail.docx", "A 26774-2021")</f>
        <v/>
      </c>
    </row>
    <row r="12" ht="15" customHeight="1">
      <c r="A12" t="inlineStr">
        <is>
          <t>A 27488-2023</t>
        </is>
      </c>
      <c r="B12" s="1" t="n">
        <v>45097</v>
      </c>
      <c r="C12" s="1" t="n">
        <v>45348</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55259-2023</t>
        </is>
      </c>
      <c r="B13" s="1" t="n">
        <v>45237</v>
      </c>
      <c r="C13" s="1" t="n">
        <v>45348</v>
      </c>
      <c r="D13" t="inlineStr">
        <is>
          <t>VÄSTMANLANDS LÄN</t>
        </is>
      </c>
      <c r="E13" t="inlineStr">
        <is>
          <t>SALA</t>
        </is>
      </c>
      <c r="G13" t="n">
        <v>1.6</v>
      </c>
      <c r="H13" t="n">
        <v>1</v>
      </c>
      <c r="I13" t="n">
        <v>1</v>
      </c>
      <c r="J13" t="n">
        <v>2</v>
      </c>
      <c r="K13" t="n">
        <v>1</v>
      </c>
      <c r="L13" t="n">
        <v>0</v>
      </c>
      <c r="M13" t="n">
        <v>0</v>
      </c>
      <c r="N13" t="n">
        <v>0</v>
      </c>
      <c r="O13" t="n">
        <v>3</v>
      </c>
      <c r="P13" t="n">
        <v>1</v>
      </c>
      <c r="Q13" t="n">
        <v>4</v>
      </c>
      <c r="R13" s="2" t="inlineStr">
        <is>
          <t>Knärot
Dofttaggsvamp
Gul taggsvamp
Skarp dropptaggsvamp</t>
        </is>
      </c>
      <c r="S13">
        <f>HYPERLINK("https://klasma.github.io/Logging_1981/artfynd/A 55259-2023 artfynd.xlsx", "A 55259-2023")</f>
        <v/>
      </c>
      <c r="T13">
        <f>HYPERLINK("https://klasma.github.io/Logging_1981/kartor/A 55259-2023 karta.png", "A 55259-2023")</f>
        <v/>
      </c>
      <c r="U13">
        <f>HYPERLINK("https://klasma.github.io/Logging_1981/knärot/A 55259-2023 karta knärot.png", "A 55259-2023")</f>
        <v/>
      </c>
      <c r="V13">
        <f>HYPERLINK("https://klasma.github.io/Logging_1981/klagomål/A 55259-2023 FSC-klagomål.docx", "A 55259-2023")</f>
        <v/>
      </c>
      <c r="W13">
        <f>HYPERLINK("https://klasma.github.io/Logging_1981/klagomålsmail/A 55259-2023 FSC-klagomål mail.docx", "A 55259-2023")</f>
        <v/>
      </c>
      <c r="X13">
        <f>HYPERLINK("https://klasma.github.io/Logging_1981/tillsyn/A 55259-2023 tillsynsbegäran.docx", "A 55259-2023")</f>
        <v/>
      </c>
      <c r="Y13">
        <f>HYPERLINK("https://klasma.github.io/Logging_1981/tillsynsmail/A 55259-2023 tillsynsbegäran mail.docx", "A 55259-2023")</f>
        <v/>
      </c>
    </row>
    <row r="14" ht="15" customHeight="1">
      <c r="A14" t="inlineStr">
        <is>
          <t>A 56092-2023</t>
        </is>
      </c>
      <c r="B14" s="1" t="n">
        <v>45240</v>
      </c>
      <c r="C14" s="1" t="n">
        <v>45348</v>
      </c>
      <c r="D14" t="inlineStr">
        <is>
          <t>VÄSTMANLANDS LÄN</t>
        </is>
      </c>
      <c r="E14" t="inlineStr">
        <is>
          <t>SALA</t>
        </is>
      </c>
      <c r="G14" t="n">
        <v>11.6</v>
      </c>
      <c r="H14" t="n">
        <v>2</v>
      </c>
      <c r="I14" t="n">
        <v>1</v>
      </c>
      <c r="J14" t="n">
        <v>2</v>
      </c>
      <c r="K14" t="n">
        <v>1</v>
      </c>
      <c r="L14" t="n">
        <v>0</v>
      </c>
      <c r="M14" t="n">
        <v>0</v>
      </c>
      <c r="N14" t="n">
        <v>0</v>
      </c>
      <c r="O14" t="n">
        <v>3</v>
      </c>
      <c r="P14" t="n">
        <v>1</v>
      </c>
      <c r="Q14" t="n">
        <v>4</v>
      </c>
      <c r="R14" s="2" t="inlineStr">
        <is>
          <t>Knärot
Havsörn
Motaggsvamp
Vedticka</t>
        </is>
      </c>
      <c r="S14">
        <f>HYPERLINK("https://klasma.github.io/Logging_1981/artfynd/A 56092-2023 artfynd.xlsx", "A 56092-2023")</f>
        <v/>
      </c>
      <c r="T14">
        <f>HYPERLINK("https://klasma.github.io/Logging_1981/kartor/A 56092-2023 karta.png", "A 56092-2023")</f>
        <v/>
      </c>
      <c r="U14">
        <f>HYPERLINK("https://klasma.github.io/Logging_1981/knärot/A 56092-2023 karta knärot.png", "A 56092-2023")</f>
        <v/>
      </c>
      <c r="V14">
        <f>HYPERLINK("https://klasma.github.io/Logging_1981/klagomål/A 56092-2023 FSC-klagomål.docx", "A 56092-2023")</f>
        <v/>
      </c>
      <c r="W14">
        <f>HYPERLINK("https://klasma.github.io/Logging_1981/klagomålsmail/A 56092-2023 FSC-klagomål mail.docx", "A 56092-2023")</f>
        <v/>
      </c>
      <c r="X14">
        <f>HYPERLINK("https://klasma.github.io/Logging_1981/tillsyn/A 56092-2023 tillsynsbegäran.docx", "A 56092-2023")</f>
        <v/>
      </c>
      <c r="Y14">
        <f>HYPERLINK("https://klasma.github.io/Logging_1981/tillsynsmail/A 56092-2023 tillsynsbegäran mail.docx", "A 56092-2023")</f>
        <v/>
      </c>
      <c r="Z14">
        <f>HYPERLINK("https://klasma.github.io/Logging_1981/fåglar/A 56092-2023 prioriterade fågelarter.docx", "A 56092-2023")</f>
        <v/>
      </c>
    </row>
    <row r="15" ht="15" customHeight="1">
      <c r="A15" t="inlineStr">
        <is>
          <t>A 66088-2019</t>
        </is>
      </c>
      <c r="B15" s="1" t="n">
        <v>43807</v>
      </c>
      <c r="C15" s="1" t="n">
        <v>45348</v>
      </c>
      <c r="D15" t="inlineStr">
        <is>
          <t>VÄSTMANLANDS LÄN</t>
        </is>
      </c>
      <c r="E15" t="inlineStr">
        <is>
          <t>SALA</t>
        </is>
      </c>
      <c r="G15" t="n">
        <v>6.4</v>
      </c>
      <c r="H15" t="n">
        <v>0</v>
      </c>
      <c r="I15" t="n">
        <v>1</v>
      </c>
      <c r="J15" t="n">
        <v>2</v>
      </c>
      <c r="K15" t="n">
        <v>0</v>
      </c>
      <c r="L15" t="n">
        <v>0</v>
      </c>
      <c r="M15" t="n">
        <v>0</v>
      </c>
      <c r="N15" t="n">
        <v>0</v>
      </c>
      <c r="O15" t="n">
        <v>2</v>
      </c>
      <c r="P15" t="n">
        <v>0</v>
      </c>
      <c r="Q15" t="n">
        <v>3</v>
      </c>
      <c r="R15" s="2" t="inlineStr">
        <is>
          <t>Ullticka
Vedtrappmossa
Flagellkvastmossa</t>
        </is>
      </c>
      <c r="S15">
        <f>HYPERLINK("https://klasma.github.io/Logging_1981/artfynd/A 66088-2019 artfynd.xlsx", "A 66088-2019")</f>
        <v/>
      </c>
      <c r="T15">
        <f>HYPERLINK("https://klasma.github.io/Logging_1981/kartor/A 66088-2019 karta.png", "A 66088-2019")</f>
        <v/>
      </c>
      <c r="V15">
        <f>HYPERLINK("https://klasma.github.io/Logging_1981/klagomål/A 66088-2019 FSC-klagomål.docx", "A 66088-2019")</f>
        <v/>
      </c>
      <c r="W15">
        <f>HYPERLINK("https://klasma.github.io/Logging_1981/klagomålsmail/A 66088-2019 FSC-klagomål mail.docx", "A 66088-2019")</f>
        <v/>
      </c>
      <c r="X15">
        <f>HYPERLINK("https://klasma.github.io/Logging_1981/tillsyn/A 66088-2019 tillsynsbegäran.docx", "A 66088-2019")</f>
        <v/>
      </c>
      <c r="Y15">
        <f>HYPERLINK("https://klasma.github.io/Logging_1981/tillsynsmail/A 66088-2019 tillsynsbegäran mail.docx", "A 66088-2019")</f>
        <v/>
      </c>
    </row>
    <row r="16" ht="15" customHeight="1">
      <c r="A16" t="inlineStr">
        <is>
          <t>A 62768-2021</t>
        </is>
      </c>
      <c r="B16" s="1" t="n">
        <v>44504</v>
      </c>
      <c r="C16" s="1" t="n">
        <v>45348</v>
      </c>
      <c r="D16" t="inlineStr">
        <is>
          <t>VÄSTMANLANDS LÄN</t>
        </is>
      </c>
      <c r="E16" t="inlineStr">
        <is>
          <t>SALA</t>
        </is>
      </c>
      <c r="G16" t="n">
        <v>12.9</v>
      </c>
      <c r="H16" t="n">
        <v>1</v>
      </c>
      <c r="I16" t="n">
        <v>1</v>
      </c>
      <c r="J16" t="n">
        <v>1</v>
      </c>
      <c r="K16" t="n">
        <v>1</v>
      </c>
      <c r="L16" t="n">
        <v>0</v>
      </c>
      <c r="M16" t="n">
        <v>0</v>
      </c>
      <c r="N16" t="n">
        <v>0</v>
      </c>
      <c r="O16" t="n">
        <v>2</v>
      </c>
      <c r="P16" t="n">
        <v>1</v>
      </c>
      <c r="Q16" t="n">
        <v>3</v>
      </c>
      <c r="R16" s="2" t="inlineStr">
        <is>
          <t>Knärot
Vedtrappmossa
Grönpyrola</t>
        </is>
      </c>
      <c r="S16">
        <f>HYPERLINK("https://klasma.github.io/Logging_1981/artfynd/A 62768-2021 artfynd.xlsx", "A 62768-2021")</f>
        <v/>
      </c>
      <c r="T16">
        <f>HYPERLINK("https://klasma.github.io/Logging_1981/kartor/A 62768-2021 karta.png", "A 62768-2021")</f>
        <v/>
      </c>
      <c r="U16">
        <f>HYPERLINK("https://klasma.github.io/Logging_1981/knärot/A 62768-2021 karta knärot.png", "A 62768-2021")</f>
        <v/>
      </c>
      <c r="V16">
        <f>HYPERLINK("https://klasma.github.io/Logging_1981/klagomål/A 62768-2021 FSC-klagomål.docx", "A 62768-2021")</f>
        <v/>
      </c>
      <c r="W16">
        <f>HYPERLINK("https://klasma.github.io/Logging_1981/klagomålsmail/A 62768-2021 FSC-klagomål mail.docx", "A 62768-2021")</f>
        <v/>
      </c>
      <c r="X16">
        <f>HYPERLINK("https://klasma.github.io/Logging_1981/tillsyn/A 62768-2021 tillsynsbegäran.docx", "A 62768-2021")</f>
        <v/>
      </c>
      <c r="Y16">
        <f>HYPERLINK("https://klasma.github.io/Logging_1981/tillsynsmail/A 62768-2021 tillsynsbegäran mail.docx", "A 62768-2021")</f>
        <v/>
      </c>
    </row>
    <row r="17" ht="15" customHeight="1">
      <c r="A17" t="inlineStr">
        <is>
          <t>A 15991-2022</t>
        </is>
      </c>
      <c r="B17" s="1" t="n">
        <v>44664</v>
      </c>
      <c r="C17" s="1" t="n">
        <v>45348</v>
      </c>
      <c r="D17" t="inlineStr">
        <is>
          <t>VÄSTMANLANDS LÄN</t>
        </is>
      </c>
      <c r="E17" t="inlineStr">
        <is>
          <t>SALA</t>
        </is>
      </c>
      <c r="G17" t="n">
        <v>4.5</v>
      </c>
      <c r="H17" t="n">
        <v>2</v>
      </c>
      <c r="I17" t="n">
        <v>1</v>
      </c>
      <c r="J17" t="n">
        <v>0</v>
      </c>
      <c r="K17" t="n">
        <v>1</v>
      </c>
      <c r="L17" t="n">
        <v>0</v>
      </c>
      <c r="M17" t="n">
        <v>0</v>
      </c>
      <c r="N17" t="n">
        <v>0</v>
      </c>
      <c r="O17" t="n">
        <v>1</v>
      </c>
      <c r="P17" t="n">
        <v>1</v>
      </c>
      <c r="Q17" t="n">
        <v>3</v>
      </c>
      <c r="R17" s="2" t="inlineStr">
        <is>
          <t>Knärot
Blåmossa
Revlummer</t>
        </is>
      </c>
      <c r="S17">
        <f>HYPERLINK("https://klasma.github.io/Logging_1981/artfynd/A 15991-2022 artfynd.xlsx", "A 15991-2022")</f>
        <v/>
      </c>
      <c r="T17">
        <f>HYPERLINK("https://klasma.github.io/Logging_1981/kartor/A 15991-2022 karta.png", "A 15991-2022")</f>
        <v/>
      </c>
      <c r="U17">
        <f>HYPERLINK("https://klasma.github.io/Logging_1981/knärot/A 15991-2022 karta knärot.png", "A 15991-2022")</f>
        <v/>
      </c>
      <c r="V17">
        <f>HYPERLINK("https://klasma.github.io/Logging_1981/klagomål/A 15991-2022 FSC-klagomål.docx", "A 15991-2022")</f>
        <v/>
      </c>
      <c r="W17">
        <f>HYPERLINK("https://klasma.github.io/Logging_1981/klagomålsmail/A 15991-2022 FSC-klagomål mail.docx", "A 15991-2022")</f>
        <v/>
      </c>
      <c r="X17">
        <f>HYPERLINK("https://klasma.github.io/Logging_1981/tillsyn/A 15991-2022 tillsynsbegäran.docx", "A 15991-2022")</f>
        <v/>
      </c>
      <c r="Y17">
        <f>HYPERLINK("https://klasma.github.io/Logging_1981/tillsynsmail/A 15991-2022 tillsynsbegäran mail.docx", "A 15991-2022")</f>
        <v/>
      </c>
    </row>
    <row r="18" ht="15" customHeight="1">
      <c r="A18" t="inlineStr">
        <is>
          <t>A 3567-2024</t>
        </is>
      </c>
      <c r="B18" s="1" t="n">
        <v>45320</v>
      </c>
      <c r="C18" s="1" t="n">
        <v>45348</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4264-2024</t>
        </is>
      </c>
      <c r="B19" s="1" t="n">
        <v>45324</v>
      </c>
      <c r="C19" s="1" t="n">
        <v>45348</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58714-2018</t>
        </is>
      </c>
      <c r="B20" s="1" t="n">
        <v>43410</v>
      </c>
      <c r="C20" s="1" t="n">
        <v>45348</v>
      </c>
      <c r="D20" t="inlineStr">
        <is>
          <t>VÄSTMANLANDS LÄN</t>
        </is>
      </c>
      <c r="E20" t="inlineStr">
        <is>
          <t>SALA</t>
        </is>
      </c>
      <c r="F20" t="inlineStr">
        <is>
          <t>Kommuner</t>
        </is>
      </c>
      <c r="G20" t="n">
        <v>8.4</v>
      </c>
      <c r="H20" t="n">
        <v>0</v>
      </c>
      <c r="I20" t="n">
        <v>2</v>
      </c>
      <c r="J20" t="n">
        <v>0</v>
      </c>
      <c r="K20" t="n">
        <v>0</v>
      </c>
      <c r="L20" t="n">
        <v>0</v>
      </c>
      <c r="M20" t="n">
        <v>0</v>
      </c>
      <c r="N20" t="n">
        <v>0</v>
      </c>
      <c r="O20" t="n">
        <v>0</v>
      </c>
      <c r="P20" t="n">
        <v>0</v>
      </c>
      <c r="Q20" t="n">
        <v>2</v>
      </c>
      <c r="R20" s="2" t="inlineStr">
        <is>
          <t>Grönpyrola
Svavelriska</t>
        </is>
      </c>
      <c r="S20">
        <f>HYPERLINK("https://klasma.github.io/Logging_1981/artfynd/A 58714-2018 artfynd.xlsx", "A 58714-2018")</f>
        <v/>
      </c>
      <c r="T20">
        <f>HYPERLINK("https://klasma.github.io/Logging_1981/kartor/A 58714-2018 karta.png", "A 58714-2018")</f>
        <v/>
      </c>
      <c r="V20">
        <f>HYPERLINK("https://klasma.github.io/Logging_1981/klagomål/A 58714-2018 FSC-klagomål.docx", "A 58714-2018")</f>
        <v/>
      </c>
      <c r="W20">
        <f>HYPERLINK("https://klasma.github.io/Logging_1981/klagomålsmail/A 58714-2018 FSC-klagomål mail.docx", "A 58714-2018")</f>
        <v/>
      </c>
      <c r="X20">
        <f>HYPERLINK("https://klasma.github.io/Logging_1981/tillsyn/A 58714-2018 tillsynsbegäran.docx", "A 58714-2018")</f>
        <v/>
      </c>
      <c r="Y20">
        <f>HYPERLINK("https://klasma.github.io/Logging_1981/tillsynsmail/A 58714-2018 tillsynsbegäran mail.docx", "A 58714-2018")</f>
        <v/>
      </c>
    </row>
    <row r="21" ht="15" customHeight="1">
      <c r="A21" t="inlineStr">
        <is>
          <t>A 35213-2019</t>
        </is>
      </c>
      <c r="B21" s="1" t="n">
        <v>43662</v>
      </c>
      <c r="C21" s="1" t="n">
        <v>45348</v>
      </c>
      <c r="D21" t="inlineStr">
        <is>
          <t>VÄSTMANLANDS LÄN</t>
        </is>
      </c>
      <c r="E21" t="inlineStr">
        <is>
          <t>SALA</t>
        </is>
      </c>
      <c r="G21" t="n">
        <v>44.3</v>
      </c>
      <c r="H21" t="n">
        <v>1</v>
      </c>
      <c r="I21" t="n">
        <v>1</v>
      </c>
      <c r="J21" t="n">
        <v>1</v>
      </c>
      <c r="K21" t="n">
        <v>0</v>
      </c>
      <c r="L21" t="n">
        <v>0</v>
      </c>
      <c r="M21" t="n">
        <v>0</v>
      </c>
      <c r="N21" t="n">
        <v>0</v>
      </c>
      <c r="O21" t="n">
        <v>1</v>
      </c>
      <c r="P21" t="n">
        <v>0</v>
      </c>
      <c r="Q21" t="n">
        <v>2</v>
      </c>
      <c r="R21" s="2" t="inlineStr">
        <is>
          <t>Järpe
Mörk husmossa</t>
        </is>
      </c>
      <c r="S21">
        <f>HYPERLINK("https://klasma.github.io/Logging_1981/artfynd/A 35213-2019 artfynd.xlsx", "A 35213-2019")</f>
        <v/>
      </c>
      <c r="T21">
        <f>HYPERLINK("https://klasma.github.io/Logging_1981/kartor/A 35213-2019 karta.png", "A 35213-2019")</f>
        <v/>
      </c>
      <c r="U21">
        <f>HYPERLINK("https://klasma.github.io/Logging_1981/knärot/A 35213-2019 karta knärot.png", "A 35213-2019")</f>
        <v/>
      </c>
      <c r="V21">
        <f>HYPERLINK("https://klasma.github.io/Logging_1981/klagomål/A 35213-2019 FSC-klagomål.docx", "A 35213-2019")</f>
        <v/>
      </c>
      <c r="W21">
        <f>HYPERLINK("https://klasma.github.io/Logging_1981/klagomålsmail/A 35213-2019 FSC-klagomål mail.docx", "A 35213-2019")</f>
        <v/>
      </c>
      <c r="X21">
        <f>HYPERLINK("https://klasma.github.io/Logging_1981/tillsyn/A 35213-2019 tillsynsbegäran.docx", "A 35213-2019")</f>
        <v/>
      </c>
      <c r="Y21">
        <f>HYPERLINK("https://klasma.github.io/Logging_1981/tillsynsmail/A 35213-2019 tillsynsbegäran mail.docx", "A 35213-2019")</f>
        <v/>
      </c>
      <c r="Z21">
        <f>HYPERLINK("https://klasma.github.io/Logging_1981/fåglar/A 35213-2019 prioriterade fågelarter.docx", "A 35213-2019")</f>
        <v/>
      </c>
    </row>
    <row r="22" ht="15" customHeight="1">
      <c r="A22" t="inlineStr">
        <is>
          <t>A 59152-2019</t>
        </is>
      </c>
      <c r="B22" s="1" t="n">
        <v>43775</v>
      </c>
      <c r="C22" s="1" t="n">
        <v>45348</v>
      </c>
      <c r="D22" t="inlineStr">
        <is>
          <t>VÄSTMANLANDS LÄN</t>
        </is>
      </c>
      <c r="E22" t="inlineStr">
        <is>
          <t>SALA</t>
        </is>
      </c>
      <c r="F22" t="inlineStr">
        <is>
          <t>Övriga Aktiebolag</t>
        </is>
      </c>
      <c r="G22" t="n">
        <v>4.6</v>
      </c>
      <c r="H22" t="n">
        <v>0</v>
      </c>
      <c r="I22" t="n">
        <v>1</v>
      </c>
      <c r="J22" t="n">
        <v>1</v>
      </c>
      <c r="K22" t="n">
        <v>0</v>
      </c>
      <c r="L22" t="n">
        <v>0</v>
      </c>
      <c r="M22" t="n">
        <v>0</v>
      </c>
      <c r="N22" t="n">
        <v>0</v>
      </c>
      <c r="O22" t="n">
        <v>1</v>
      </c>
      <c r="P22" t="n">
        <v>0</v>
      </c>
      <c r="Q22" t="n">
        <v>2</v>
      </c>
      <c r="R22" s="2" t="inlineStr">
        <is>
          <t>Svart taggsvamp
Vedticka</t>
        </is>
      </c>
      <c r="S22">
        <f>HYPERLINK("https://klasma.github.io/Logging_1981/artfynd/A 59152-2019 artfynd.xlsx", "A 59152-2019")</f>
        <v/>
      </c>
      <c r="T22">
        <f>HYPERLINK("https://klasma.github.io/Logging_1981/kartor/A 59152-2019 karta.png", "A 59152-2019")</f>
        <v/>
      </c>
      <c r="V22">
        <f>HYPERLINK("https://klasma.github.io/Logging_1981/klagomål/A 59152-2019 FSC-klagomål.docx", "A 59152-2019")</f>
        <v/>
      </c>
      <c r="W22">
        <f>HYPERLINK("https://klasma.github.io/Logging_1981/klagomålsmail/A 59152-2019 FSC-klagomål mail.docx", "A 59152-2019")</f>
        <v/>
      </c>
      <c r="X22">
        <f>HYPERLINK("https://klasma.github.io/Logging_1981/tillsyn/A 59152-2019 tillsynsbegäran.docx", "A 59152-2019")</f>
        <v/>
      </c>
      <c r="Y22">
        <f>HYPERLINK("https://klasma.github.io/Logging_1981/tillsynsmail/A 59152-2019 tillsynsbegäran mail.docx", "A 59152-2019")</f>
        <v/>
      </c>
    </row>
    <row r="23" ht="15" customHeight="1">
      <c r="A23" t="inlineStr">
        <is>
          <t>A 54555-2021</t>
        </is>
      </c>
      <c r="B23" s="1" t="n">
        <v>44473</v>
      </c>
      <c r="C23" s="1" t="n">
        <v>45348</v>
      </c>
      <c r="D23" t="inlineStr">
        <is>
          <t>VÄSTMANLANDS LÄN</t>
        </is>
      </c>
      <c r="E23" t="inlineStr">
        <is>
          <t>SALA</t>
        </is>
      </c>
      <c r="G23" t="n">
        <v>13</v>
      </c>
      <c r="H23" t="n">
        <v>0</v>
      </c>
      <c r="I23" t="n">
        <v>1</v>
      </c>
      <c r="J23" t="n">
        <v>1</v>
      </c>
      <c r="K23" t="n">
        <v>0</v>
      </c>
      <c r="L23" t="n">
        <v>0</v>
      </c>
      <c r="M23" t="n">
        <v>0</v>
      </c>
      <c r="N23" t="n">
        <v>0</v>
      </c>
      <c r="O23" t="n">
        <v>1</v>
      </c>
      <c r="P23" t="n">
        <v>0</v>
      </c>
      <c r="Q23" t="n">
        <v>2</v>
      </c>
      <c r="R23" s="2" t="inlineStr">
        <is>
          <t>Storgröe
Stubbspretmossa</t>
        </is>
      </c>
      <c r="S23">
        <f>HYPERLINK("https://klasma.github.io/Logging_1981/artfynd/A 54555-2021 artfynd.xlsx", "A 54555-2021")</f>
        <v/>
      </c>
      <c r="T23">
        <f>HYPERLINK("https://klasma.github.io/Logging_1981/kartor/A 54555-2021 karta.png", "A 54555-2021")</f>
        <v/>
      </c>
      <c r="V23">
        <f>HYPERLINK("https://klasma.github.io/Logging_1981/klagomål/A 54555-2021 FSC-klagomål.docx", "A 54555-2021")</f>
        <v/>
      </c>
      <c r="W23">
        <f>HYPERLINK("https://klasma.github.io/Logging_1981/klagomålsmail/A 54555-2021 FSC-klagomål mail.docx", "A 54555-2021")</f>
        <v/>
      </c>
      <c r="X23">
        <f>HYPERLINK("https://klasma.github.io/Logging_1981/tillsyn/A 54555-2021 tillsynsbegäran.docx", "A 54555-2021")</f>
        <v/>
      </c>
      <c r="Y23">
        <f>HYPERLINK("https://klasma.github.io/Logging_1981/tillsynsmail/A 54555-2021 tillsynsbegäran mail.docx", "A 54555-2021")</f>
        <v/>
      </c>
    </row>
    <row r="24" ht="15" customHeight="1">
      <c r="A24" t="inlineStr">
        <is>
          <t>A 73598-2021</t>
        </is>
      </c>
      <c r="B24" s="1" t="n">
        <v>44552</v>
      </c>
      <c r="C24" s="1" t="n">
        <v>45348</v>
      </c>
      <c r="D24" t="inlineStr">
        <is>
          <t>VÄSTMANLANDS LÄN</t>
        </is>
      </c>
      <c r="E24" t="inlineStr">
        <is>
          <t>SALA</t>
        </is>
      </c>
      <c r="G24" t="n">
        <v>1.3</v>
      </c>
      <c r="H24" t="n">
        <v>1</v>
      </c>
      <c r="I24" t="n">
        <v>1</v>
      </c>
      <c r="J24" t="n">
        <v>0</v>
      </c>
      <c r="K24" t="n">
        <v>0</v>
      </c>
      <c r="L24" t="n">
        <v>0</v>
      </c>
      <c r="M24" t="n">
        <v>0</v>
      </c>
      <c r="N24" t="n">
        <v>0</v>
      </c>
      <c r="O24" t="n">
        <v>0</v>
      </c>
      <c r="P24" t="n">
        <v>0</v>
      </c>
      <c r="Q24" t="n">
        <v>2</v>
      </c>
      <c r="R24" s="2" t="inlineStr">
        <is>
          <t>Kryddspindling
Blåsippa</t>
        </is>
      </c>
      <c r="S24">
        <f>HYPERLINK("https://klasma.github.io/Logging_1981/artfynd/A 73598-2021 artfynd.xlsx", "A 73598-2021")</f>
        <v/>
      </c>
      <c r="T24">
        <f>HYPERLINK("https://klasma.github.io/Logging_1981/kartor/A 73598-2021 karta.png", "A 73598-2021")</f>
        <v/>
      </c>
      <c r="V24">
        <f>HYPERLINK("https://klasma.github.io/Logging_1981/klagomål/A 73598-2021 FSC-klagomål.docx", "A 73598-2021")</f>
        <v/>
      </c>
      <c r="W24">
        <f>HYPERLINK("https://klasma.github.io/Logging_1981/klagomålsmail/A 73598-2021 FSC-klagomål mail.docx", "A 73598-2021")</f>
        <v/>
      </c>
      <c r="X24">
        <f>HYPERLINK("https://klasma.github.io/Logging_1981/tillsyn/A 73598-2021 tillsynsbegäran.docx", "A 73598-2021")</f>
        <v/>
      </c>
      <c r="Y24">
        <f>HYPERLINK("https://klasma.github.io/Logging_1981/tillsynsmail/A 73598-2021 tillsynsbegäran mail.docx", "A 73598-2021")</f>
        <v/>
      </c>
    </row>
    <row r="25" ht="15" customHeight="1">
      <c r="A25" t="inlineStr">
        <is>
          <t>A 1500-2022</t>
        </is>
      </c>
      <c r="B25" s="1" t="n">
        <v>44573</v>
      </c>
      <c r="C25" s="1" t="n">
        <v>45348</v>
      </c>
      <c r="D25" t="inlineStr">
        <is>
          <t>VÄSTMANLANDS LÄN</t>
        </is>
      </c>
      <c r="E25" t="inlineStr">
        <is>
          <t>SALA</t>
        </is>
      </c>
      <c r="G25" t="n">
        <v>5.8</v>
      </c>
      <c r="H25" t="n">
        <v>2</v>
      </c>
      <c r="I25" t="n">
        <v>0</v>
      </c>
      <c r="J25" t="n">
        <v>0</v>
      </c>
      <c r="K25" t="n">
        <v>1</v>
      </c>
      <c r="L25" t="n">
        <v>0</v>
      </c>
      <c r="M25" t="n">
        <v>0</v>
      </c>
      <c r="N25" t="n">
        <v>0</v>
      </c>
      <c r="O25" t="n">
        <v>1</v>
      </c>
      <c r="P25" t="n">
        <v>1</v>
      </c>
      <c r="Q25" t="n">
        <v>2</v>
      </c>
      <c r="R25" s="2" t="inlineStr">
        <is>
          <t>Knärot
Revlummer</t>
        </is>
      </c>
      <c r="S25">
        <f>HYPERLINK("https://klasma.github.io/Logging_1981/artfynd/A 1500-2022 artfynd.xlsx", "A 1500-2022")</f>
        <v/>
      </c>
      <c r="T25">
        <f>HYPERLINK("https://klasma.github.io/Logging_1981/kartor/A 1500-2022 karta.png", "A 1500-2022")</f>
        <v/>
      </c>
      <c r="U25">
        <f>HYPERLINK("https://klasma.github.io/Logging_1981/knärot/A 1500-2022 karta knärot.png", "A 1500-2022")</f>
        <v/>
      </c>
      <c r="V25">
        <f>HYPERLINK("https://klasma.github.io/Logging_1981/klagomål/A 1500-2022 FSC-klagomål.docx", "A 1500-2022")</f>
        <v/>
      </c>
      <c r="W25">
        <f>HYPERLINK("https://klasma.github.io/Logging_1981/klagomålsmail/A 1500-2022 FSC-klagomål mail.docx", "A 1500-2022")</f>
        <v/>
      </c>
      <c r="X25">
        <f>HYPERLINK("https://klasma.github.io/Logging_1981/tillsyn/A 1500-2022 tillsynsbegäran.docx", "A 1500-2022")</f>
        <v/>
      </c>
      <c r="Y25">
        <f>HYPERLINK("https://klasma.github.io/Logging_1981/tillsynsmail/A 1500-2022 tillsynsbegäran mail.docx", "A 1500-2022")</f>
        <v/>
      </c>
    </row>
    <row r="26" ht="15" customHeight="1">
      <c r="A26" t="inlineStr">
        <is>
          <t>A 40042-2022</t>
        </is>
      </c>
      <c r="B26" s="1" t="n">
        <v>44819</v>
      </c>
      <c r="C26" s="1" t="n">
        <v>45348</v>
      </c>
      <c r="D26" t="inlineStr">
        <is>
          <t>VÄSTMANLANDS LÄN</t>
        </is>
      </c>
      <c r="E26" t="inlineStr">
        <is>
          <t>SALA</t>
        </is>
      </c>
      <c r="G26" t="n">
        <v>1.7</v>
      </c>
      <c r="H26" t="n">
        <v>2</v>
      </c>
      <c r="I26" t="n">
        <v>0</v>
      </c>
      <c r="J26" t="n">
        <v>0</v>
      </c>
      <c r="K26" t="n">
        <v>1</v>
      </c>
      <c r="L26" t="n">
        <v>0</v>
      </c>
      <c r="M26" t="n">
        <v>0</v>
      </c>
      <c r="N26" t="n">
        <v>0</v>
      </c>
      <c r="O26" t="n">
        <v>1</v>
      </c>
      <c r="P26" t="n">
        <v>1</v>
      </c>
      <c r="Q26" t="n">
        <v>2</v>
      </c>
      <c r="R26" s="2" t="inlineStr">
        <is>
          <t>Knärot
Revlummer</t>
        </is>
      </c>
      <c r="S26">
        <f>HYPERLINK("https://klasma.github.io/Logging_1981/artfynd/A 40042-2022 artfynd.xlsx", "A 40042-2022")</f>
        <v/>
      </c>
      <c r="T26">
        <f>HYPERLINK("https://klasma.github.io/Logging_1981/kartor/A 40042-2022 karta.png", "A 40042-2022")</f>
        <v/>
      </c>
      <c r="U26">
        <f>HYPERLINK("https://klasma.github.io/Logging_1981/knärot/A 40042-2022 karta knärot.png", "A 40042-2022")</f>
        <v/>
      </c>
      <c r="V26">
        <f>HYPERLINK("https://klasma.github.io/Logging_1981/klagomål/A 40042-2022 FSC-klagomål.docx", "A 40042-2022")</f>
        <v/>
      </c>
      <c r="W26">
        <f>HYPERLINK("https://klasma.github.io/Logging_1981/klagomålsmail/A 40042-2022 FSC-klagomål mail.docx", "A 40042-2022")</f>
        <v/>
      </c>
      <c r="X26">
        <f>HYPERLINK("https://klasma.github.io/Logging_1981/tillsyn/A 40042-2022 tillsynsbegäran.docx", "A 40042-2022")</f>
        <v/>
      </c>
      <c r="Y26">
        <f>HYPERLINK("https://klasma.github.io/Logging_1981/tillsynsmail/A 40042-2022 tillsynsbegäran mail.docx", "A 40042-2022")</f>
        <v/>
      </c>
    </row>
    <row r="27" ht="15" customHeight="1">
      <c r="A27" t="inlineStr">
        <is>
          <t>A 52909-2022</t>
        </is>
      </c>
      <c r="B27" s="1" t="n">
        <v>44875</v>
      </c>
      <c r="C27" s="1" t="n">
        <v>45348</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13029-2023</t>
        </is>
      </c>
      <c r="B28" s="1" t="n">
        <v>45001</v>
      </c>
      <c r="C28" s="1" t="n">
        <v>45348</v>
      </c>
      <c r="D28" t="inlineStr">
        <is>
          <t>VÄSTMANLANDS LÄN</t>
        </is>
      </c>
      <c r="E28" t="inlineStr">
        <is>
          <t>SALA</t>
        </is>
      </c>
      <c r="G28" t="n">
        <v>2</v>
      </c>
      <c r="H28" t="n">
        <v>0</v>
      </c>
      <c r="I28" t="n">
        <v>0</v>
      </c>
      <c r="J28" t="n">
        <v>2</v>
      </c>
      <c r="K28" t="n">
        <v>0</v>
      </c>
      <c r="L28" t="n">
        <v>0</v>
      </c>
      <c r="M28" t="n">
        <v>0</v>
      </c>
      <c r="N28" t="n">
        <v>0</v>
      </c>
      <c r="O28" t="n">
        <v>2</v>
      </c>
      <c r="P28" t="n">
        <v>0</v>
      </c>
      <c r="Q28" t="n">
        <v>2</v>
      </c>
      <c r="R28" s="2" t="inlineStr">
        <is>
          <t>Krusfrö
Linmåra/småsnärjmåra</t>
        </is>
      </c>
      <c r="S28">
        <f>HYPERLINK("https://klasma.github.io/Logging_1981/artfynd/A 13029-2023 artfynd.xlsx", "A 13029-2023")</f>
        <v/>
      </c>
      <c r="T28">
        <f>HYPERLINK("https://klasma.github.io/Logging_1981/kartor/A 13029-2023 karta.png", "A 13029-2023")</f>
        <v/>
      </c>
      <c r="V28">
        <f>HYPERLINK("https://klasma.github.io/Logging_1981/klagomål/A 13029-2023 FSC-klagomål.docx", "A 13029-2023")</f>
        <v/>
      </c>
      <c r="W28">
        <f>HYPERLINK("https://klasma.github.io/Logging_1981/klagomålsmail/A 13029-2023 FSC-klagomål mail.docx", "A 13029-2023")</f>
        <v/>
      </c>
      <c r="X28">
        <f>HYPERLINK("https://klasma.github.io/Logging_1981/tillsyn/A 13029-2023 tillsynsbegäran.docx", "A 13029-2023")</f>
        <v/>
      </c>
      <c r="Y28">
        <f>HYPERLINK("https://klasma.github.io/Logging_1981/tillsynsmail/A 13029-2023 tillsynsbegäran mail.docx", "A 13029-2023")</f>
        <v/>
      </c>
    </row>
    <row r="29" ht="15" customHeight="1">
      <c r="A29" t="inlineStr">
        <is>
          <t>A 27499-2023</t>
        </is>
      </c>
      <c r="B29" s="1" t="n">
        <v>45097</v>
      </c>
      <c r="C29" s="1" t="n">
        <v>45348</v>
      </c>
      <c r="D29" t="inlineStr">
        <is>
          <t>VÄSTMANLANDS LÄN</t>
        </is>
      </c>
      <c r="E29" t="inlineStr">
        <is>
          <t>SALA</t>
        </is>
      </c>
      <c r="G29" t="n">
        <v>9.5</v>
      </c>
      <c r="H29" t="n">
        <v>0</v>
      </c>
      <c r="I29" t="n">
        <v>1</v>
      </c>
      <c r="J29" t="n">
        <v>1</v>
      </c>
      <c r="K29" t="n">
        <v>0</v>
      </c>
      <c r="L29" t="n">
        <v>0</v>
      </c>
      <c r="M29" t="n">
        <v>0</v>
      </c>
      <c r="N29" t="n">
        <v>0</v>
      </c>
      <c r="O29" t="n">
        <v>1</v>
      </c>
      <c r="P29" t="n">
        <v>0</v>
      </c>
      <c r="Q29" t="n">
        <v>2</v>
      </c>
      <c r="R29" s="2" t="inlineStr">
        <is>
          <t>Motaggsvamp
Dropptaggsvamp</t>
        </is>
      </c>
      <c r="S29">
        <f>HYPERLINK("https://klasma.github.io/Logging_1981/artfynd/A 27499-2023 artfynd.xlsx", "A 27499-2023")</f>
        <v/>
      </c>
      <c r="T29">
        <f>HYPERLINK("https://klasma.github.io/Logging_1981/kartor/A 27499-2023 karta.png", "A 27499-2023")</f>
        <v/>
      </c>
      <c r="V29">
        <f>HYPERLINK("https://klasma.github.io/Logging_1981/klagomål/A 27499-2023 FSC-klagomål.docx", "A 27499-2023")</f>
        <v/>
      </c>
      <c r="W29">
        <f>HYPERLINK("https://klasma.github.io/Logging_1981/klagomålsmail/A 27499-2023 FSC-klagomål mail.docx", "A 27499-2023")</f>
        <v/>
      </c>
      <c r="X29">
        <f>HYPERLINK("https://klasma.github.io/Logging_1981/tillsyn/A 27499-2023 tillsynsbegäran.docx", "A 27499-2023")</f>
        <v/>
      </c>
      <c r="Y29">
        <f>HYPERLINK("https://klasma.github.io/Logging_1981/tillsynsmail/A 27499-2023 tillsynsbegäran mail.docx", "A 27499-2023")</f>
        <v/>
      </c>
    </row>
    <row r="30" ht="15" customHeight="1">
      <c r="A30" t="inlineStr">
        <is>
          <t>A 34752-2023</t>
        </is>
      </c>
      <c r="B30" s="1" t="n">
        <v>45141</v>
      </c>
      <c r="C30" s="1" t="n">
        <v>45348</v>
      </c>
      <c r="D30" t="inlineStr">
        <is>
          <t>VÄSTMANLANDS LÄN</t>
        </is>
      </c>
      <c r="E30" t="inlineStr">
        <is>
          <t>SALA</t>
        </is>
      </c>
      <c r="G30" t="n">
        <v>4.9</v>
      </c>
      <c r="H30" t="n">
        <v>1</v>
      </c>
      <c r="I30" t="n">
        <v>0</v>
      </c>
      <c r="J30" t="n">
        <v>0</v>
      </c>
      <c r="K30" t="n">
        <v>2</v>
      </c>
      <c r="L30" t="n">
        <v>0</v>
      </c>
      <c r="M30" t="n">
        <v>0</v>
      </c>
      <c r="N30" t="n">
        <v>0</v>
      </c>
      <c r="O30" t="n">
        <v>2</v>
      </c>
      <c r="P30" t="n">
        <v>2</v>
      </c>
      <c r="Q30" t="n">
        <v>2</v>
      </c>
      <c r="R30" s="2" t="inlineStr">
        <is>
          <t>Knärot
Sprickporing</t>
        </is>
      </c>
      <c r="S30">
        <f>HYPERLINK("https://klasma.github.io/Logging_1981/artfynd/A 34752-2023 artfynd.xlsx", "A 34752-2023")</f>
        <v/>
      </c>
      <c r="T30">
        <f>HYPERLINK("https://klasma.github.io/Logging_1981/kartor/A 34752-2023 karta.png", "A 34752-2023")</f>
        <v/>
      </c>
      <c r="U30">
        <f>HYPERLINK("https://klasma.github.io/Logging_1981/knärot/A 34752-2023 karta knärot.png", "A 34752-2023")</f>
        <v/>
      </c>
      <c r="V30">
        <f>HYPERLINK("https://klasma.github.io/Logging_1981/klagomål/A 34752-2023 FSC-klagomål.docx", "A 34752-2023")</f>
        <v/>
      </c>
      <c r="W30">
        <f>HYPERLINK("https://klasma.github.io/Logging_1981/klagomålsmail/A 34752-2023 FSC-klagomål mail.docx", "A 34752-2023")</f>
        <v/>
      </c>
      <c r="X30">
        <f>HYPERLINK("https://klasma.github.io/Logging_1981/tillsyn/A 34752-2023 tillsynsbegäran.docx", "A 34752-2023")</f>
        <v/>
      </c>
      <c r="Y30">
        <f>HYPERLINK("https://klasma.github.io/Logging_1981/tillsynsmail/A 34752-2023 tillsynsbegäran mail.docx", "A 34752-2023")</f>
        <v/>
      </c>
    </row>
    <row r="31" ht="15" customHeight="1">
      <c r="A31" t="inlineStr">
        <is>
          <t>A 59780-2023</t>
        </is>
      </c>
      <c r="B31" s="1" t="n">
        <v>45257</v>
      </c>
      <c r="C31" s="1" t="n">
        <v>45348</v>
      </c>
      <c r="D31" t="inlineStr">
        <is>
          <t>VÄSTMANLANDS LÄN</t>
        </is>
      </c>
      <c r="E31" t="inlineStr">
        <is>
          <t>SALA</t>
        </is>
      </c>
      <c r="G31" t="n">
        <v>5.9</v>
      </c>
      <c r="H31" t="n">
        <v>1</v>
      </c>
      <c r="I31" t="n">
        <v>0</v>
      </c>
      <c r="J31" t="n">
        <v>1</v>
      </c>
      <c r="K31" t="n">
        <v>1</v>
      </c>
      <c r="L31" t="n">
        <v>0</v>
      </c>
      <c r="M31" t="n">
        <v>0</v>
      </c>
      <c r="N31" t="n">
        <v>0</v>
      </c>
      <c r="O31" t="n">
        <v>2</v>
      </c>
      <c r="P31" t="n">
        <v>1</v>
      </c>
      <c r="Q31" t="n">
        <v>2</v>
      </c>
      <c r="R31" s="2" t="inlineStr">
        <is>
          <t>Knärot
Vedtrappmossa</t>
        </is>
      </c>
      <c r="S31">
        <f>HYPERLINK("https://klasma.github.io/Logging_1981/artfynd/A 59780-2023 artfynd.xlsx", "A 59780-2023")</f>
        <v/>
      </c>
      <c r="T31">
        <f>HYPERLINK("https://klasma.github.io/Logging_1981/kartor/A 59780-2023 karta.png", "A 59780-2023")</f>
        <v/>
      </c>
      <c r="U31">
        <f>HYPERLINK("https://klasma.github.io/Logging_1981/knärot/A 59780-2023 karta knärot.png", "A 59780-2023")</f>
        <v/>
      </c>
      <c r="V31">
        <f>HYPERLINK("https://klasma.github.io/Logging_1981/klagomål/A 59780-2023 FSC-klagomål.docx", "A 59780-2023")</f>
        <v/>
      </c>
      <c r="W31">
        <f>HYPERLINK("https://klasma.github.io/Logging_1981/klagomålsmail/A 59780-2023 FSC-klagomål mail.docx", "A 59780-2023")</f>
        <v/>
      </c>
      <c r="X31">
        <f>HYPERLINK("https://klasma.github.io/Logging_1981/tillsyn/A 59780-2023 tillsynsbegäran.docx", "A 59780-2023")</f>
        <v/>
      </c>
      <c r="Y31">
        <f>HYPERLINK("https://klasma.github.io/Logging_1981/tillsynsmail/A 59780-2023 tillsynsbegäran mail.docx", "A 59780-2023")</f>
        <v/>
      </c>
    </row>
    <row r="32" ht="15" customHeight="1">
      <c r="A32" t="inlineStr">
        <is>
          <t>A 4261-2024</t>
        </is>
      </c>
      <c r="B32" s="1" t="n">
        <v>45324</v>
      </c>
      <c r="C32" s="1" t="n">
        <v>45348</v>
      </c>
      <c r="D32" t="inlineStr">
        <is>
          <t>VÄSTMANLANDS LÄN</t>
        </is>
      </c>
      <c r="E32" t="inlineStr">
        <is>
          <t>SALA</t>
        </is>
      </c>
      <c r="G32" t="n">
        <v>5.7</v>
      </c>
      <c r="H32" t="n">
        <v>0</v>
      </c>
      <c r="I32" t="n">
        <v>1</v>
      </c>
      <c r="J32" t="n">
        <v>1</v>
      </c>
      <c r="K32" t="n">
        <v>0</v>
      </c>
      <c r="L32" t="n">
        <v>0</v>
      </c>
      <c r="M32" t="n">
        <v>0</v>
      </c>
      <c r="N32" t="n">
        <v>0</v>
      </c>
      <c r="O32" t="n">
        <v>1</v>
      </c>
      <c r="P32" t="n">
        <v>0</v>
      </c>
      <c r="Q32" t="n">
        <v>2</v>
      </c>
      <c r="R32" s="2" t="inlineStr">
        <is>
          <t>Ullticka
Västlig hakmossa</t>
        </is>
      </c>
      <c r="S32">
        <f>HYPERLINK("https://klasma.github.io/Logging_1981/artfynd/A 4261-2024 artfynd.xlsx", "A 4261-2024")</f>
        <v/>
      </c>
      <c r="T32">
        <f>HYPERLINK("https://klasma.github.io/Logging_1981/kartor/A 4261-2024 karta.png", "A 4261-2024")</f>
        <v/>
      </c>
      <c r="V32">
        <f>HYPERLINK("https://klasma.github.io/Logging_1981/klagomål/A 4261-2024 FSC-klagomål.docx", "A 4261-2024")</f>
        <v/>
      </c>
      <c r="W32">
        <f>HYPERLINK("https://klasma.github.io/Logging_1981/klagomålsmail/A 4261-2024 FSC-klagomål mail.docx", "A 4261-2024")</f>
        <v/>
      </c>
      <c r="X32">
        <f>HYPERLINK("https://klasma.github.io/Logging_1981/tillsyn/A 4261-2024 tillsynsbegäran.docx", "A 4261-2024")</f>
        <v/>
      </c>
      <c r="Y32">
        <f>HYPERLINK("https://klasma.github.io/Logging_1981/tillsynsmail/A 4261-2024 tillsynsbegäran mail.docx", "A 4261-2024")</f>
        <v/>
      </c>
    </row>
    <row r="33" ht="15" customHeight="1">
      <c r="A33" t="inlineStr">
        <is>
          <t>A 43457-2018</t>
        </is>
      </c>
      <c r="B33" s="1" t="n">
        <v>43356</v>
      </c>
      <c r="C33" s="1" t="n">
        <v>45348</v>
      </c>
      <c r="D33" t="inlineStr">
        <is>
          <t>VÄSTMANLANDS LÄN</t>
        </is>
      </c>
      <c r="E33" t="inlineStr">
        <is>
          <t>SALA</t>
        </is>
      </c>
      <c r="G33" t="n">
        <v>2.6</v>
      </c>
      <c r="H33" t="n">
        <v>0</v>
      </c>
      <c r="I33" t="n">
        <v>0</v>
      </c>
      <c r="J33" t="n">
        <v>1</v>
      </c>
      <c r="K33" t="n">
        <v>0</v>
      </c>
      <c r="L33" t="n">
        <v>0</v>
      </c>
      <c r="M33" t="n">
        <v>0</v>
      </c>
      <c r="N33" t="n">
        <v>0</v>
      </c>
      <c r="O33" t="n">
        <v>1</v>
      </c>
      <c r="P33" t="n">
        <v>0</v>
      </c>
      <c r="Q33" t="n">
        <v>1</v>
      </c>
      <c r="R33" s="2" t="inlineStr">
        <is>
          <t>Ullticka</t>
        </is>
      </c>
      <c r="S33">
        <f>HYPERLINK("https://klasma.github.io/Logging_1981/artfynd/A 43457-2018 artfynd.xlsx", "A 43457-2018")</f>
        <v/>
      </c>
      <c r="T33">
        <f>HYPERLINK("https://klasma.github.io/Logging_1981/kartor/A 43457-2018 karta.png", "A 43457-2018")</f>
        <v/>
      </c>
      <c r="V33">
        <f>HYPERLINK("https://klasma.github.io/Logging_1981/klagomål/A 43457-2018 FSC-klagomål.docx", "A 43457-2018")</f>
        <v/>
      </c>
      <c r="W33">
        <f>HYPERLINK("https://klasma.github.io/Logging_1981/klagomålsmail/A 43457-2018 FSC-klagomål mail.docx", "A 43457-2018")</f>
        <v/>
      </c>
      <c r="X33">
        <f>HYPERLINK("https://klasma.github.io/Logging_1981/tillsyn/A 43457-2018 tillsynsbegäran.docx", "A 43457-2018")</f>
        <v/>
      </c>
      <c r="Y33">
        <f>HYPERLINK("https://klasma.github.io/Logging_1981/tillsynsmail/A 43457-2018 tillsynsbegäran mail.docx", "A 43457-2018")</f>
        <v/>
      </c>
    </row>
    <row r="34" ht="15" customHeight="1">
      <c r="A34" t="inlineStr">
        <is>
          <t>A 8494-2019</t>
        </is>
      </c>
      <c r="B34" s="1" t="n">
        <v>43502</v>
      </c>
      <c r="C34" s="1" t="n">
        <v>45348</v>
      </c>
      <c r="D34" t="inlineStr">
        <is>
          <t>VÄSTMANLANDS LÄN</t>
        </is>
      </c>
      <c r="E34" t="inlineStr">
        <is>
          <t>SALA</t>
        </is>
      </c>
      <c r="F34" t="inlineStr">
        <is>
          <t>Kommuner</t>
        </is>
      </c>
      <c r="G34" t="n">
        <v>58.6</v>
      </c>
      <c r="H34" t="n">
        <v>1</v>
      </c>
      <c r="I34" t="n">
        <v>0</v>
      </c>
      <c r="J34" t="n">
        <v>1</v>
      </c>
      <c r="K34" t="n">
        <v>0</v>
      </c>
      <c r="L34" t="n">
        <v>0</v>
      </c>
      <c r="M34" t="n">
        <v>0</v>
      </c>
      <c r="N34" t="n">
        <v>0</v>
      </c>
      <c r="O34" t="n">
        <v>1</v>
      </c>
      <c r="P34" t="n">
        <v>0</v>
      </c>
      <c r="Q34" t="n">
        <v>1</v>
      </c>
      <c r="R34" s="2" t="inlineStr">
        <is>
          <t>Mindre hackspett</t>
        </is>
      </c>
      <c r="S34">
        <f>HYPERLINK("https://klasma.github.io/Logging_1981/artfynd/A 8494-2019 artfynd.xlsx", "A 8494-2019")</f>
        <v/>
      </c>
      <c r="T34">
        <f>HYPERLINK("https://klasma.github.io/Logging_1981/kartor/A 8494-2019 karta.png", "A 8494-2019")</f>
        <v/>
      </c>
      <c r="V34">
        <f>HYPERLINK("https://klasma.github.io/Logging_1981/klagomål/A 8494-2019 FSC-klagomål.docx", "A 8494-2019")</f>
        <v/>
      </c>
      <c r="W34">
        <f>HYPERLINK("https://klasma.github.io/Logging_1981/klagomålsmail/A 8494-2019 FSC-klagomål mail.docx", "A 8494-2019")</f>
        <v/>
      </c>
      <c r="X34">
        <f>HYPERLINK("https://klasma.github.io/Logging_1981/tillsyn/A 8494-2019 tillsynsbegäran.docx", "A 8494-2019")</f>
        <v/>
      </c>
      <c r="Y34">
        <f>HYPERLINK("https://klasma.github.io/Logging_1981/tillsynsmail/A 8494-2019 tillsynsbegäran mail.docx", "A 8494-2019")</f>
        <v/>
      </c>
      <c r="Z34">
        <f>HYPERLINK("https://klasma.github.io/Logging_1981/fåglar/A 8494-2019 prioriterade fågelarter.docx", "A 8494-2019")</f>
        <v/>
      </c>
    </row>
    <row r="35" ht="15" customHeight="1">
      <c r="A35" t="inlineStr">
        <is>
          <t>A 13519-2019</t>
        </is>
      </c>
      <c r="B35" s="1" t="n">
        <v>43529</v>
      </c>
      <c r="C35" s="1" t="n">
        <v>45348</v>
      </c>
      <c r="D35" t="inlineStr">
        <is>
          <t>VÄSTMANLANDS LÄN</t>
        </is>
      </c>
      <c r="E35" t="inlineStr">
        <is>
          <t>SALA</t>
        </is>
      </c>
      <c r="G35" t="n">
        <v>6.3</v>
      </c>
      <c r="H35" t="n">
        <v>0</v>
      </c>
      <c r="I35" t="n">
        <v>0</v>
      </c>
      <c r="J35" t="n">
        <v>1</v>
      </c>
      <c r="K35" t="n">
        <v>0</v>
      </c>
      <c r="L35" t="n">
        <v>0</v>
      </c>
      <c r="M35" t="n">
        <v>0</v>
      </c>
      <c r="N35" t="n">
        <v>0</v>
      </c>
      <c r="O35" t="n">
        <v>1</v>
      </c>
      <c r="P35" t="n">
        <v>0</v>
      </c>
      <c r="Q35" t="n">
        <v>1</v>
      </c>
      <c r="R35" s="2" t="inlineStr">
        <is>
          <t>Tallticka</t>
        </is>
      </c>
      <c r="S35">
        <f>HYPERLINK("https://klasma.github.io/Logging_1981/artfynd/A 13519-2019 artfynd.xlsx", "A 13519-2019")</f>
        <v/>
      </c>
      <c r="T35">
        <f>HYPERLINK("https://klasma.github.io/Logging_1981/kartor/A 13519-2019 karta.png", "A 13519-2019")</f>
        <v/>
      </c>
      <c r="U35">
        <f>HYPERLINK("https://klasma.github.io/Logging_1981/knärot/A 13519-2019 karta knärot.png", "A 13519-2019")</f>
        <v/>
      </c>
      <c r="V35">
        <f>HYPERLINK("https://klasma.github.io/Logging_1981/klagomål/A 13519-2019 FSC-klagomål.docx", "A 13519-2019")</f>
        <v/>
      </c>
      <c r="W35">
        <f>HYPERLINK("https://klasma.github.io/Logging_1981/klagomålsmail/A 13519-2019 FSC-klagomål mail.docx", "A 13519-2019")</f>
        <v/>
      </c>
      <c r="X35">
        <f>HYPERLINK("https://klasma.github.io/Logging_1981/tillsyn/A 13519-2019 tillsynsbegäran.docx", "A 13519-2019")</f>
        <v/>
      </c>
      <c r="Y35">
        <f>HYPERLINK("https://klasma.github.io/Logging_1981/tillsynsmail/A 13519-2019 tillsynsbegäran mail.docx", "A 13519-2019")</f>
        <v/>
      </c>
    </row>
    <row r="36" ht="15" customHeight="1">
      <c r="A36" t="inlineStr">
        <is>
          <t>A 47716-2019</t>
        </is>
      </c>
      <c r="B36" s="1" t="n">
        <v>43724</v>
      </c>
      <c r="C36" s="1" t="n">
        <v>45348</v>
      </c>
      <c r="D36" t="inlineStr">
        <is>
          <t>VÄSTMANLANDS LÄN</t>
        </is>
      </c>
      <c r="E36" t="inlineStr">
        <is>
          <t>SALA</t>
        </is>
      </c>
      <c r="G36" t="n">
        <v>5</v>
      </c>
      <c r="H36" t="n">
        <v>0</v>
      </c>
      <c r="I36" t="n">
        <v>0</v>
      </c>
      <c r="J36" t="n">
        <v>0</v>
      </c>
      <c r="K36" t="n">
        <v>0</v>
      </c>
      <c r="L36" t="n">
        <v>0</v>
      </c>
      <c r="M36" t="n">
        <v>1</v>
      </c>
      <c r="N36" t="n">
        <v>0</v>
      </c>
      <c r="O36" t="n">
        <v>1</v>
      </c>
      <c r="P36" t="n">
        <v>1</v>
      </c>
      <c r="Q36" t="n">
        <v>1</v>
      </c>
      <c r="R36" s="2" t="inlineStr">
        <is>
          <t>Skogsalm</t>
        </is>
      </c>
      <c r="S36">
        <f>HYPERLINK("https://klasma.github.io/Logging_1981/artfynd/A 47716-2019 artfynd.xlsx", "A 47716-2019")</f>
        <v/>
      </c>
      <c r="T36">
        <f>HYPERLINK("https://klasma.github.io/Logging_1981/kartor/A 47716-2019 karta.png", "A 47716-2019")</f>
        <v/>
      </c>
      <c r="V36">
        <f>HYPERLINK("https://klasma.github.io/Logging_1981/klagomål/A 47716-2019 FSC-klagomål.docx", "A 47716-2019")</f>
        <v/>
      </c>
      <c r="W36">
        <f>HYPERLINK("https://klasma.github.io/Logging_1981/klagomålsmail/A 47716-2019 FSC-klagomål mail.docx", "A 47716-2019")</f>
        <v/>
      </c>
      <c r="X36">
        <f>HYPERLINK("https://klasma.github.io/Logging_1981/tillsyn/A 47716-2019 tillsynsbegäran.docx", "A 47716-2019")</f>
        <v/>
      </c>
      <c r="Y36">
        <f>HYPERLINK("https://klasma.github.io/Logging_1981/tillsynsmail/A 47716-2019 tillsynsbegäran mail.docx", "A 47716-2019")</f>
        <v/>
      </c>
    </row>
    <row r="37" ht="15" customHeight="1">
      <c r="A37" t="inlineStr">
        <is>
          <t>A 52753-2019</t>
        </is>
      </c>
      <c r="B37" s="1" t="n">
        <v>43739</v>
      </c>
      <c r="C37" s="1" t="n">
        <v>45348</v>
      </c>
      <c r="D37" t="inlineStr">
        <is>
          <t>VÄSTMANLANDS LÄN</t>
        </is>
      </c>
      <c r="E37" t="inlineStr">
        <is>
          <t>SALA</t>
        </is>
      </c>
      <c r="G37" t="n">
        <v>4.9</v>
      </c>
      <c r="H37" t="n">
        <v>1</v>
      </c>
      <c r="I37" t="n">
        <v>0</v>
      </c>
      <c r="J37" t="n">
        <v>0</v>
      </c>
      <c r="K37" t="n">
        <v>1</v>
      </c>
      <c r="L37" t="n">
        <v>0</v>
      </c>
      <c r="M37" t="n">
        <v>0</v>
      </c>
      <c r="N37" t="n">
        <v>0</v>
      </c>
      <c r="O37" t="n">
        <v>1</v>
      </c>
      <c r="P37" t="n">
        <v>1</v>
      </c>
      <c r="Q37" t="n">
        <v>1</v>
      </c>
      <c r="R37" s="2" t="inlineStr">
        <is>
          <t>Knärot</t>
        </is>
      </c>
      <c r="S37">
        <f>HYPERLINK("https://klasma.github.io/Logging_1981/artfynd/A 52753-2019 artfynd.xlsx", "A 52753-2019")</f>
        <v/>
      </c>
      <c r="T37">
        <f>HYPERLINK("https://klasma.github.io/Logging_1981/kartor/A 52753-2019 karta.png", "A 52753-2019")</f>
        <v/>
      </c>
      <c r="U37">
        <f>HYPERLINK("https://klasma.github.io/Logging_1981/knärot/A 52753-2019 karta knärot.png", "A 52753-2019")</f>
        <v/>
      </c>
      <c r="V37">
        <f>HYPERLINK("https://klasma.github.io/Logging_1981/klagomål/A 52753-2019 FSC-klagomål.docx", "A 52753-2019")</f>
        <v/>
      </c>
      <c r="W37">
        <f>HYPERLINK("https://klasma.github.io/Logging_1981/klagomålsmail/A 52753-2019 FSC-klagomål mail.docx", "A 52753-2019")</f>
        <v/>
      </c>
      <c r="X37">
        <f>HYPERLINK("https://klasma.github.io/Logging_1981/tillsyn/A 52753-2019 tillsynsbegäran.docx", "A 52753-2019")</f>
        <v/>
      </c>
      <c r="Y37">
        <f>HYPERLINK("https://klasma.github.io/Logging_1981/tillsynsmail/A 52753-2019 tillsynsbegäran mail.docx", "A 52753-2019")</f>
        <v/>
      </c>
    </row>
    <row r="38" ht="15" customHeight="1">
      <c r="A38" t="inlineStr">
        <is>
          <t>A 8432-2020</t>
        </is>
      </c>
      <c r="B38" s="1" t="n">
        <v>43875</v>
      </c>
      <c r="C38" s="1" t="n">
        <v>45348</v>
      </c>
      <c r="D38" t="inlineStr">
        <is>
          <t>VÄSTMANLANDS LÄN</t>
        </is>
      </c>
      <c r="E38" t="inlineStr">
        <is>
          <t>SALA</t>
        </is>
      </c>
      <c r="G38" t="n">
        <v>2</v>
      </c>
      <c r="H38" t="n">
        <v>1</v>
      </c>
      <c r="I38" t="n">
        <v>0</v>
      </c>
      <c r="J38" t="n">
        <v>0</v>
      </c>
      <c r="K38" t="n">
        <v>1</v>
      </c>
      <c r="L38" t="n">
        <v>0</v>
      </c>
      <c r="M38" t="n">
        <v>0</v>
      </c>
      <c r="N38" t="n">
        <v>0</v>
      </c>
      <c r="O38" t="n">
        <v>1</v>
      </c>
      <c r="P38" t="n">
        <v>1</v>
      </c>
      <c r="Q38" t="n">
        <v>1</v>
      </c>
      <c r="R38" s="2" t="inlineStr">
        <is>
          <t>Bombmurkla</t>
        </is>
      </c>
      <c r="S38">
        <f>HYPERLINK("https://klasma.github.io/Logging_1981/artfynd/A 8432-2020 artfynd.xlsx", "A 8432-2020")</f>
        <v/>
      </c>
      <c r="T38">
        <f>HYPERLINK("https://klasma.github.io/Logging_1981/kartor/A 8432-2020 karta.png", "A 8432-2020")</f>
        <v/>
      </c>
      <c r="V38">
        <f>HYPERLINK("https://klasma.github.io/Logging_1981/klagomål/A 8432-2020 FSC-klagomål.docx", "A 8432-2020")</f>
        <v/>
      </c>
      <c r="W38">
        <f>HYPERLINK("https://klasma.github.io/Logging_1981/klagomålsmail/A 8432-2020 FSC-klagomål mail.docx", "A 8432-2020")</f>
        <v/>
      </c>
      <c r="X38">
        <f>HYPERLINK("https://klasma.github.io/Logging_1981/tillsyn/A 8432-2020 tillsynsbegäran.docx", "A 8432-2020")</f>
        <v/>
      </c>
      <c r="Y38">
        <f>HYPERLINK("https://klasma.github.io/Logging_1981/tillsynsmail/A 8432-2020 tillsynsbegäran mail.docx", "A 8432-2020")</f>
        <v/>
      </c>
    </row>
    <row r="39" ht="15" customHeight="1">
      <c r="A39" t="inlineStr">
        <is>
          <t>A 13671-2020</t>
        </is>
      </c>
      <c r="B39" s="1" t="n">
        <v>43903</v>
      </c>
      <c r="C39" s="1" t="n">
        <v>45348</v>
      </c>
      <c r="D39" t="inlineStr">
        <is>
          <t>VÄSTMANLANDS LÄN</t>
        </is>
      </c>
      <c r="E39" t="inlineStr">
        <is>
          <t>SALA</t>
        </is>
      </c>
      <c r="G39" t="n">
        <v>2.5</v>
      </c>
      <c r="H39" t="n">
        <v>1</v>
      </c>
      <c r="I39" t="n">
        <v>0</v>
      </c>
      <c r="J39" t="n">
        <v>0</v>
      </c>
      <c r="K39" t="n">
        <v>0</v>
      </c>
      <c r="L39" t="n">
        <v>0</v>
      </c>
      <c r="M39" t="n">
        <v>0</v>
      </c>
      <c r="N39" t="n">
        <v>0</v>
      </c>
      <c r="O39" t="n">
        <v>0</v>
      </c>
      <c r="P39" t="n">
        <v>0</v>
      </c>
      <c r="Q39" t="n">
        <v>1</v>
      </c>
      <c r="R39" s="2" t="inlineStr">
        <is>
          <t>Revlummer</t>
        </is>
      </c>
      <c r="S39">
        <f>HYPERLINK("https://klasma.github.io/Logging_1981/artfynd/A 13671-2020 artfynd.xlsx", "A 13671-2020")</f>
        <v/>
      </c>
      <c r="T39">
        <f>HYPERLINK("https://klasma.github.io/Logging_1981/kartor/A 13671-2020 karta.png", "A 13671-2020")</f>
        <v/>
      </c>
      <c r="V39">
        <f>HYPERLINK("https://klasma.github.io/Logging_1981/klagomål/A 13671-2020 FSC-klagomål.docx", "A 13671-2020")</f>
        <v/>
      </c>
      <c r="W39">
        <f>HYPERLINK("https://klasma.github.io/Logging_1981/klagomålsmail/A 13671-2020 FSC-klagomål mail.docx", "A 13671-2020")</f>
        <v/>
      </c>
      <c r="X39">
        <f>HYPERLINK("https://klasma.github.io/Logging_1981/tillsyn/A 13671-2020 tillsynsbegäran.docx", "A 13671-2020")</f>
        <v/>
      </c>
      <c r="Y39">
        <f>HYPERLINK("https://klasma.github.io/Logging_1981/tillsynsmail/A 13671-2020 tillsynsbegäran mail.docx", "A 13671-2020")</f>
        <v/>
      </c>
    </row>
    <row r="40" ht="15" customHeight="1">
      <c r="A40" t="inlineStr">
        <is>
          <t>A 32975-2020</t>
        </is>
      </c>
      <c r="B40" s="1" t="n">
        <v>44020</v>
      </c>
      <c r="C40" s="1" t="n">
        <v>45348</v>
      </c>
      <c r="D40" t="inlineStr">
        <is>
          <t>VÄSTMANLANDS LÄN</t>
        </is>
      </c>
      <c r="E40" t="inlineStr">
        <is>
          <t>SALA</t>
        </is>
      </c>
      <c r="G40" t="n">
        <v>10.1</v>
      </c>
      <c r="H40" t="n">
        <v>1</v>
      </c>
      <c r="I40" t="n">
        <v>0</v>
      </c>
      <c r="J40" t="n">
        <v>0</v>
      </c>
      <c r="K40" t="n">
        <v>1</v>
      </c>
      <c r="L40" t="n">
        <v>0</v>
      </c>
      <c r="M40" t="n">
        <v>0</v>
      </c>
      <c r="N40" t="n">
        <v>0</v>
      </c>
      <c r="O40" t="n">
        <v>1</v>
      </c>
      <c r="P40" t="n">
        <v>1</v>
      </c>
      <c r="Q40" t="n">
        <v>1</v>
      </c>
      <c r="R40" s="2" t="inlineStr">
        <is>
          <t>Knärot</t>
        </is>
      </c>
      <c r="S40">
        <f>HYPERLINK("https://klasma.github.io/Logging_1981/artfynd/A 32975-2020 artfynd.xlsx", "A 32975-2020")</f>
        <v/>
      </c>
      <c r="T40">
        <f>HYPERLINK("https://klasma.github.io/Logging_1981/kartor/A 32975-2020 karta.png", "A 32975-2020")</f>
        <v/>
      </c>
      <c r="U40">
        <f>HYPERLINK("https://klasma.github.io/Logging_1981/knärot/A 32975-2020 karta knärot.png", "A 32975-2020")</f>
        <v/>
      </c>
      <c r="V40">
        <f>HYPERLINK("https://klasma.github.io/Logging_1981/klagomål/A 32975-2020 FSC-klagomål.docx", "A 32975-2020")</f>
        <v/>
      </c>
      <c r="W40">
        <f>HYPERLINK("https://klasma.github.io/Logging_1981/klagomålsmail/A 32975-2020 FSC-klagomål mail.docx", "A 32975-2020")</f>
        <v/>
      </c>
      <c r="X40">
        <f>HYPERLINK("https://klasma.github.io/Logging_1981/tillsyn/A 32975-2020 tillsynsbegäran.docx", "A 32975-2020")</f>
        <v/>
      </c>
      <c r="Y40">
        <f>HYPERLINK("https://klasma.github.io/Logging_1981/tillsynsmail/A 32975-2020 tillsynsbegäran mail.docx", "A 32975-2020")</f>
        <v/>
      </c>
    </row>
    <row r="41" ht="15" customHeight="1">
      <c r="A41" t="inlineStr">
        <is>
          <t>A 39800-2020</t>
        </is>
      </c>
      <c r="B41" s="1" t="n">
        <v>44067</v>
      </c>
      <c r="C41" s="1" t="n">
        <v>45348</v>
      </c>
      <c r="D41" t="inlineStr">
        <is>
          <t>VÄSTMANLANDS LÄN</t>
        </is>
      </c>
      <c r="E41" t="inlineStr">
        <is>
          <t>SALA</t>
        </is>
      </c>
      <c r="F41" t="inlineStr">
        <is>
          <t>Sveaskog</t>
        </is>
      </c>
      <c r="G41" t="n">
        <v>1.8</v>
      </c>
      <c r="H41" t="n">
        <v>1</v>
      </c>
      <c r="I41" t="n">
        <v>0</v>
      </c>
      <c r="J41" t="n">
        <v>0</v>
      </c>
      <c r="K41" t="n">
        <v>1</v>
      </c>
      <c r="L41" t="n">
        <v>0</v>
      </c>
      <c r="M41" t="n">
        <v>0</v>
      </c>
      <c r="N41" t="n">
        <v>0</v>
      </c>
      <c r="O41" t="n">
        <v>1</v>
      </c>
      <c r="P41" t="n">
        <v>1</v>
      </c>
      <c r="Q41" t="n">
        <v>1</v>
      </c>
      <c r="R41" s="2" t="inlineStr">
        <is>
          <t>Bombmurkla</t>
        </is>
      </c>
      <c r="S41">
        <f>HYPERLINK("https://klasma.github.io/Logging_1981/artfynd/A 39800-2020 artfynd.xlsx", "A 39800-2020")</f>
        <v/>
      </c>
      <c r="T41">
        <f>HYPERLINK("https://klasma.github.io/Logging_1981/kartor/A 39800-2020 karta.png", "A 39800-2020")</f>
        <v/>
      </c>
      <c r="V41">
        <f>HYPERLINK("https://klasma.github.io/Logging_1981/klagomål/A 39800-2020 FSC-klagomål.docx", "A 39800-2020")</f>
        <v/>
      </c>
      <c r="W41">
        <f>HYPERLINK("https://klasma.github.io/Logging_1981/klagomålsmail/A 39800-2020 FSC-klagomål mail.docx", "A 39800-2020")</f>
        <v/>
      </c>
      <c r="X41">
        <f>HYPERLINK("https://klasma.github.io/Logging_1981/tillsyn/A 39800-2020 tillsynsbegäran.docx", "A 39800-2020")</f>
        <v/>
      </c>
      <c r="Y41">
        <f>HYPERLINK("https://klasma.github.io/Logging_1981/tillsynsmail/A 39800-2020 tillsynsbegäran mail.docx", "A 39800-2020")</f>
        <v/>
      </c>
    </row>
    <row r="42" ht="15" customHeight="1">
      <c r="A42" t="inlineStr">
        <is>
          <t>A 39807-2020</t>
        </is>
      </c>
      <c r="B42" s="1" t="n">
        <v>44067</v>
      </c>
      <c r="C42" s="1" t="n">
        <v>45348</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39807-2020 artfynd.xlsx", "A 39807-2020")</f>
        <v/>
      </c>
      <c r="T42">
        <f>HYPERLINK("https://klasma.github.io/Logging_1981/kartor/A 39807-2020 karta.png", "A 39807-2020")</f>
        <v/>
      </c>
      <c r="V42">
        <f>HYPERLINK("https://klasma.github.io/Logging_1981/klagomål/A 39807-2020 FSC-klagomål.docx", "A 39807-2020")</f>
        <v/>
      </c>
      <c r="W42">
        <f>HYPERLINK("https://klasma.github.io/Logging_1981/klagomålsmail/A 39807-2020 FSC-klagomål mail.docx", "A 39807-2020")</f>
        <v/>
      </c>
      <c r="X42">
        <f>HYPERLINK("https://klasma.github.io/Logging_1981/tillsyn/A 39807-2020 tillsynsbegäran.docx", "A 39807-2020")</f>
        <v/>
      </c>
      <c r="Y42">
        <f>HYPERLINK("https://klasma.github.io/Logging_1981/tillsynsmail/A 39807-2020 tillsynsbegäran mail.docx", "A 39807-2020")</f>
        <v/>
      </c>
    </row>
    <row r="43" ht="15" customHeight="1">
      <c r="A43" t="inlineStr">
        <is>
          <t>A 42352-2020</t>
        </is>
      </c>
      <c r="B43" s="1" t="n">
        <v>44076</v>
      </c>
      <c r="C43" s="1" t="n">
        <v>45348</v>
      </c>
      <c r="D43" t="inlineStr">
        <is>
          <t>VÄSTMANLANDS LÄN</t>
        </is>
      </c>
      <c r="E43" t="inlineStr">
        <is>
          <t>SALA</t>
        </is>
      </c>
      <c r="G43" t="n">
        <v>8.6</v>
      </c>
      <c r="H43" t="n">
        <v>1</v>
      </c>
      <c r="I43" t="n">
        <v>0</v>
      </c>
      <c r="J43" t="n">
        <v>0</v>
      </c>
      <c r="K43" t="n">
        <v>0</v>
      </c>
      <c r="L43" t="n">
        <v>0</v>
      </c>
      <c r="M43" t="n">
        <v>0</v>
      </c>
      <c r="N43" t="n">
        <v>0</v>
      </c>
      <c r="O43" t="n">
        <v>0</v>
      </c>
      <c r="P43" t="n">
        <v>0</v>
      </c>
      <c r="Q43" t="n">
        <v>1</v>
      </c>
      <c r="R43" s="2" t="inlineStr">
        <is>
          <t>Mattlummer</t>
        </is>
      </c>
      <c r="S43">
        <f>HYPERLINK("https://klasma.github.io/Logging_1981/artfynd/A 42352-2020 artfynd.xlsx", "A 42352-2020")</f>
        <v/>
      </c>
      <c r="T43">
        <f>HYPERLINK("https://klasma.github.io/Logging_1981/kartor/A 42352-2020 karta.png", "A 42352-2020")</f>
        <v/>
      </c>
      <c r="V43">
        <f>HYPERLINK("https://klasma.github.io/Logging_1981/klagomål/A 42352-2020 FSC-klagomål.docx", "A 42352-2020")</f>
        <v/>
      </c>
      <c r="W43">
        <f>HYPERLINK("https://klasma.github.io/Logging_1981/klagomålsmail/A 42352-2020 FSC-klagomål mail.docx", "A 42352-2020")</f>
        <v/>
      </c>
      <c r="X43">
        <f>HYPERLINK("https://klasma.github.io/Logging_1981/tillsyn/A 42352-2020 tillsynsbegäran.docx", "A 42352-2020")</f>
        <v/>
      </c>
      <c r="Y43">
        <f>HYPERLINK("https://klasma.github.io/Logging_1981/tillsynsmail/A 42352-2020 tillsynsbegäran mail.docx", "A 42352-2020")</f>
        <v/>
      </c>
    </row>
    <row r="44" ht="15" customHeight="1">
      <c r="A44" t="inlineStr">
        <is>
          <t>A 56014-2020</t>
        </is>
      </c>
      <c r="B44" s="1" t="n">
        <v>44132</v>
      </c>
      <c r="C44" s="1" t="n">
        <v>45348</v>
      </c>
      <c r="D44" t="inlineStr">
        <is>
          <t>VÄSTMANLANDS LÄN</t>
        </is>
      </c>
      <c r="E44" t="inlineStr">
        <is>
          <t>SALA</t>
        </is>
      </c>
      <c r="G44" t="n">
        <v>5.6</v>
      </c>
      <c r="H44" t="n">
        <v>0</v>
      </c>
      <c r="I44" t="n">
        <v>0</v>
      </c>
      <c r="J44" t="n">
        <v>0</v>
      </c>
      <c r="K44" t="n">
        <v>1</v>
      </c>
      <c r="L44" t="n">
        <v>0</v>
      </c>
      <c r="M44" t="n">
        <v>0</v>
      </c>
      <c r="N44" t="n">
        <v>0</v>
      </c>
      <c r="O44" t="n">
        <v>1</v>
      </c>
      <c r="P44" t="n">
        <v>1</v>
      </c>
      <c r="Q44" t="n">
        <v>1</v>
      </c>
      <c r="R44" s="2" t="inlineStr">
        <is>
          <t>Blackticka</t>
        </is>
      </c>
      <c r="S44">
        <f>HYPERLINK("https://klasma.github.io/Logging_1981/artfynd/A 56014-2020 artfynd.xlsx", "A 56014-2020")</f>
        <v/>
      </c>
      <c r="T44">
        <f>HYPERLINK("https://klasma.github.io/Logging_1981/kartor/A 56014-2020 karta.png", "A 56014-2020")</f>
        <v/>
      </c>
      <c r="V44">
        <f>HYPERLINK("https://klasma.github.io/Logging_1981/klagomål/A 56014-2020 FSC-klagomål.docx", "A 56014-2020")</f>
        <v/>
      </c>
      <c r="W44">
        <f>HYPERLINK("https://klasma.github.io/Logging_1981/klagomålsmail/A 56014-2020 FSC-klagomål mail.docx", "A 56014-2020")</f>
        <v/>
      </c>
      <c r="X44">
        <f>HYPERLINK("https://klasma.github.io/Logging_1981/tillsyn/A 56014-2020 tillsynsbegäran.docx", "A 56014-2020")</f>
        <v/>
      </c>
      <c r="Y44">
        <f>HYPERLINK("https://klasma.github.io/Logging_1981/tillsynsmail/A 56014-2020 tillsynsbegäran mail.docx", "A 56014-2020")</f>
        <v/>
      </c>
    </row>
    <row r="45" ht="15" customHeight="1">
      <c r="A45" t="inlineStr">
        <is>
          <t>A 13973-2021</t>
        </is>
      </c>
      <c r="B45" s="1" t="n">
        <v>44277</v>
      </c>
      <c r="C45" s="1" t="n">
        <v>45348</v>
      </c>
      <c r="D45" t="inlineStr">
        <is>
          <t>VÄSTMANLANDS LÄN</t>
        </is>
      </c>
      <c r="E45" t="inlineStr">
        <is>
          <t>SALA</t>
        </is>
      </c>
      <c r="G45" t="n">
        <v>2</v>
      </c>
      <c r="H45" t="n">
        <v>1</v>
      </c>
      <c r="I45" t="n">
        <v>0</v>
      </c>
      <c r="J45" t="n">
        <v>0</v>
      </c>
      <c r="K45" t="n">
        <v>0</v>
      </c>
      <c r="L45" t="n">
        <v>0</v>
      </c>
      <c r="M45" t="n">
        <v>0</v>
      </c>
      <c r="N45" t="n">
        <v>0</v>
      </c>
      <c r="O45" t="n">
        <v>0</v>
      </c>
      <c r="P45" t="n">
        <v>0</v>
      </c>
      <c r="Q45" t="n">
        <v>1</v>
      </c>
      <c r="R45" s="2" t="inlineStr">
        <is>
          <t>Blåsippa</t>
        </is>
      </c>
      <c r="S45">
        <f>HYPERLINK("https://klasma.github.io/Logging_1981/artfynd/A 13973-2021 artfynd.xlsx", "A 13973-2021")</f>
        <v/>
      </c>
      <c r="T45">
        <f>HYPERLINK("https://klasma.github.io/Logging_1981/kartor/A 13973-2021 karta.png", "A 13973-2021")</f>
        <v/>
      </c>
      <c r="V45">
        <f>HYPERLINK("https://klasma.github.io/Logging_1981/klagomål/A 13973-2021 FSC-klagomål.docx", "A 13973-2021")</f>
        <v/>
      </c>
      <c r="W45">
        <f>HYPERLINK("https://klasma.github.io/Logging_1981/klagomålsmail/A 13973-2021 FSC-klagomål mail.docx", "A 13973-2021")</f>
        <v/>
      </c>
      <c r="X45">
        <f>HYPERLINK("https://klasma.github.io/Logging_1981/tillsyn/A 13973-2021 tillsynsbegäran.docx", "A 13973-2021")</f>
        <v/>
      </c>
      <c r="Y45">
        <f>HYPERLINK("https://klasma.github.io/Logging_1981/tillsynsmail/A 13973-2021 tillsynsbegäran mail.docx", "A 13973-2021")</f>
        <v/>
      </c>
    </row>
    <row r="46" ht="15" customHeight="1">
      <c r="A46" t="inlineStr">
        <is>
          <t>A 44970-2021</t>
        </is>
      </c>
      <c r="B46" s="1" t="n">
        <v>44438</v>
      </c>
      <c r="C46" s="1" t="n">
        <v>45348</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Revlummer</t>
        </is>
      </c>
      <c r="S46">
        <f>HYPERLINK("https://klasma.github.io/Logging_1981/artfynd/A 44970-2021 artfynd.xlsx", "A 44970-2021")</f>
        <v/>
      </c>
      <c r="T46">
        <f>HYPERLINK("https://klasma.github.io/Logging_1981/kartor/A 44970-2021 karta.png", "A 44970-2021")</f>
        <v/>
      </c>
      <c r="V46">
        <f>HYPERLINK("https://klasma.github.io/Logging_1981/klagomål/A 44970-2021 FSC-klagomål.docx", "A 44970-2021")</f>
        <v/>
      </c>
      <c r="W46">
        <f>HYPERLINK("https://klasma.github.io/Logging_1981/klagomålsmail/A 44970-2021 FSC-klagomål mail.docx", "A 44970-2021")</f>
        <v/>
      </c>
      <c r="X46">
        <f>HYPERLINK("https://klasma.github.io/Logging_1981/tillsyn/A 44970-2021 tillsynsbegäran.docx", "A 44970-2021")</f>
        <v/>
      </c>
      <c r="Y46">
        <f>HYPERLINK("https://klasma.github.io/Logging_1981/tillsynsmail/A 44970-2021 tillsynsbegäran mail.docx", "A 44970-2021")</f>
        <v/>
      </c>
    </row>
    <row r="47" ht="15" customHeight="1">
      <c r="A47" t="inlineStr">
        <is>
          <t>A 7919-2022</t>
        </is>
      </c>
      <c r="B47" s="1" t="n">
        <v>44608</v>
      </c>
      <c r="C47" s="1" t="n">
        <v>45348</v>
      </c>
      <c r="D47" t="inlineStr">
        <is>
          <t>VÄSTMANLANDS LÄN</t>
        </is>
      </c>
      <c r="E47" t="inlineStr">
        <is>
          <t>SALA</t>
        </is>
      </c>
      <c r="F47" t="inlineStr">
        <is>
          <t>Bergvik skog öst AB</t>
        </is>
      </c>
      <c r="G47" t="n">
        <v>4.5</v>
      </c>
      <c r="H47" t="n">
        <v>1</v>
      </c>
      <c r="I47" t="n">
        <v>0</v>
      </c>
      <c r="J47" t="n">
        <v>1</v>
      </c>
      <c r="K47" t="n">
        <v>0</v>
      </c>
      <c r="L47" t="n">
        <v>0</v>
      </c>
      <c r="M47" t="n">
        <v>0</v>
      </c>
      <c r="N47" t="n">
        <v>0</v>
      </c>
      <c r="O47" t="n">
        <v>1</v>
      </c>
      <c r="P47" t="n">
        <v>0</v>
      </c>
      <c r="Q47" t="n">
        <v>1</v>
      </c>
      <c r="R47" s="2" t="inlineStr">
        <is>
          <t>Ävjepilört</t>
        </is>
      </c>
      <c r="S47">
        <f>HYPERLINK("https://klasma.github.io/Logging_1981/artfynd/A 7919-2022 artfynd.xlsx", "A 7919-2022")</f>
        <v/>
      </c>
      <c r="T47">
        <f>HYPERLINK("https://klasma.github.io/Logging_1981/kartor/A 7919-2022 karta.png", "A 7919-2022")</f>
        <v/>
      </c>
      <c r="V47">
        <f>HYPERLINK("https://klasma.github.io/Logging_1981/klagomål/A 7919-2022 FSC-klagomål.docx", "A 7919-2022")</f>
        <v/>
      </c>
      <c r="W47">
        <f>HYPERLINK("https://klasma.github.io/Logging_1981/klagomålsmail/A 7919-2022 FSC-klagomål mail.docx", "A 7919-2022")</f>
        <v/>
      </c>
      <c r="X47">
        <f>HYPERLINK("https://klasma.github.io/Logging_1981/tillsyn/A 7919-2022 tillsynsbegäran.docx", "A 7919-2022")</f>
        <v/>
      </c>
      <c r="Y47">
        <f>HYPERLINK("https://klasma.github.io/Logging_1981/tillsynsmail/A 7919-2022 tillsynsbegäran mail.docx", "A 7919-2022")</f>
        <v/>
      </c>
    </row>
    <row r="48" ht="15" customHeight="1">
      <c r="A48" t="inlineStr">
        <is>
          <t>A 15988-2022</t>
        </is>
      </c>
      <c r="B48" s="1" t="n">
        <v>44664</v>
      </c>
      <c r="C48" s="1" t="n">
        <v>45348</v>
      </c>
      <c r="D48" t="inlineStr">
        <is>
          <t>VÄSTMANLANDS LÄN</t>
        </is>
      </c>
      <c r="E48" t="inlineStr">
        <is>
          <t>SALA</t>
        </is>
      </c>
      <c r="G48" t="n">
        <v>5</v>
      </c>
      <c r="H48" t="n">
        <v>1</v>
      </c>
      <c r="I48" t="n">
        <v>0</v>
      </c>
      <c r="J48" t="n">
        <v>0</v>
      </c>
      <c r="K48" t="n">
        <v>1</v>
      </c>
      <c r="L48" t="n">
        <v>0</v>
      </c>
      <c r="M48" t="n">
        <v>0</v>
      </c>
      <c r="N48" t="n">
        <v>0</v>
      </c>
      <c r="O48" t="n">
        <v>1</v>
      </c>
      <c r="P48" t="n">
        <v>1</v>
      </c>
      <c r="Q48" t="n">
        <v>1</v>
      </c>
      <c r="R48" s="2" t="inlineStr">
        <is>
          <t>Knärot</t>
        </is>
      </c>
      <c r="S48">
        <f>HYPERLINK("https://klasma.github.io/Logging_1981/artfynd/A 15988-2022 artfynd.xlsx", "A 15988-2022")</f>
        <v/>
      </c>
      <c r="T48">
        <f>HYPERLINK("https://klasma.github.io/Logging_1981/kartor/A 15988-2022 karta.png", "A 15988-2022")</f>
        <v/>
      </c>
      <c r="U48">
        <f>HYPERLINK("https://klasma.github.io/Logging_1981/knärot/A 15988-2022 karta knärot.png", "A 15988-2022")</f>
        <v/>
      </c>
      <c r="V48">
        <f>HYPERLINK("https://klasma.github.io/Logging_1981/klagomål/A 15988-2022 FSC-klagomål.docx", "A 15988-2022")</f>
        <v/>
      </c>
      <c r="W48">
        <f>HYPERLINK("https://klasma.github.io/Logging_1981/klagomålsmail/A 15988-2022 FSC-klagomål mail.docx", "A 15988-2022")</f>
        <v/>
      </c>
      <c r="X48">
        <f>HYPERLINK("https://klasma.github.io/Logging_1981/tillsyn/A 15988-2022 tillsynsbegäran.docx", "A 15988-2022")</f>
        <v/>
      </c>
      <c r="Y48">
        <f>HYPERLINK("https://klasma.github.io/Logging_1981/tillsynsmail/A 15988-2022 tillsynsbegäran mail.docx", "A 15988-2022")</f>
        <v/>
      </c>
    </row>
    <row r="49" ht="15" customHeight="1">
      <c r="A49" t="inlineStr">
        <is>
          <t>A 29985-2022</t>
        </is>
      </c>
      <c r="B49" s="1" t="n">
        <v>44756</v>
      </c>
      <c r="C49" s="1" t="n">
        <v>45348</v>
      </c>
      <c r="D49" t="inlineStr">
        <is>
          <t>VÄSTMANLANDS LÄN</t>
        </is>
      </c>
      <c r="E49" t="inlineStr">
        <is>
          <t>SALA</t>
        </is>
      </c>
      <c r="F49" t="inlineStr">
        <is>
          <t>Kommuner</t>
        </is>
      </c>
      <c r="G49" t="n">
        <v>1</v>
      </c>
      <c r="H49" t="n">
        <v>1</v>
      </c>
      <c r="I49" t="n">
        <v>1</v>
      </c>
      <c r="J49" t="n">
        <v>0</v>
      </c>
      <c r="K49" t="n">
        <v>0</v>
      </c>
      <c r="L49" t="n">
        <v>0</v>
      </c>
      <c r="M49" t="n">
        <v>0</v>
      </c>
      <c r="N49" t="n">
        <v>0</v>
      </c>
      <c r="O49" t="n">
        <v>0</v>
      </c>
      <c r="P49" t="n">
        <v>0</v>
      </c>
      <c r="Q49" t="n">
        <v>1</v>
      </c>
      <c r="R49" s="2" t="inlineStr">
        <is>
          <t>Skogsknipprot</t>
        </is>
      </c>
      <c r="S49">
        <f>HYPERLINK("https://klasma.github.io/Logging_1981/artfynd/A 29985-2022 artfynd.xlsx", "A 29985-2022")</f>
        <v/>
      </c>
      <c r="T49">
        <f>HYPERLINK("https://klasma.github.io/Logging_1981/kartor/A 29985-2022 karta.png", "A 29985-2022")</f>
        <v/>
      </c>
      <c r="V49">
        <f>HYPERLINK("https://klasma.github.io/Logging_1981/klagomål/A 29985-2022 FSC-klagomål.docx", "A 29985-2022")</f>
        <v/>
      </c>
      <c r="W49">
        <f>HYPERLINK("https://klasma.github.io/Logging_1981/klagomålsmail/A 29985-2022 FSC-klagomål mail.docx", "A 29985-2022")</f>
        <v/>
      </c>
      <c r="X49">
        <f>HYPERLINK("https://klasma.github.io/Logging_1981/tillsyn/A 29985-2022 tillsynsbegäran.docx", "A 29985-2022")</f>
        <v/>
      </c>
      <c r="Y49">
        <f>HYPERLINK("https://klasma.github.io/Logging_1981/tillsynsmail/A 29985-2022 tillsynsbegäran mail.docx", "A 29985-2022")</f>
        <v/>
      </c>
    </row>
    <row r="50" ht="15" customHeight="1">
      <c r="A50" t="inlineStr">
        <is>
          <t>A 43705-2022</t>
        </is>
      </c>
      <c r="B50" s="1" t="n">
        <v>44837</v>
      </c>
      <c r="C50" s="1" t="n">
        <v>45348</v>
      </c>
      <c r="D50" t="inlineStr">
        <is>
          <t>VÄSTMANLANDS LÄN</t>
        </is>
      </c>
      <c r="E50" t="inlineStr">
        <is>
          <t>SALA</t>
        </is>
      </c>
      <c r="G50" t="n">
        <v>2.9</v>
      </c>
      <c r="H50" t="n">
        <v>1</v>
      </c>
      <c r="I50" t="n">
        <v>0</v>
      </c>
      <c r="J50" t="n">
        <v>0</v>
      </c>
      <c r="K50" t="n">
        <v>1</v>
      </c>
      <c r="L50" t="n">
        <v>0</v>
      </c>
      <c r="M50" t="n">
        <v>0</v>
      </c>
      <c r="N50" t="n">
        <v>0</v>
      </c>
      <c r="O50" t="n">
        <v>1</v>
      </c>
      <c r="P50" t="n">
        <v>1</v>
      </c>
      <c r="Q50" t="n">
        <v>1</v>
      </c>
      <c r="R50" s="2" t="inlineStr">
        <is>
          <t>Knärot</t>
        </is>
      </c>
      <c r="S50">
        <f>HYPERLINK("https://klasma.github.io/Logging_1981/artfynd/A 43705-2022 artfynd.xlsx", "A 43705-2022")</f>
        <v/>
      </c>
      <c r="T50">
        <f>HYPERLINK("https://klasma.github.io/Logging_1981/kartor/A 43705-2022 karta.png", "A 43705-2022")</f>
        <v/>
      </c>
      <c r="U50">
        <f>HYPERLINK("https://klasma.github.io/Logging_1981/knärot/A 43705-2022 karta knärot.png", "A 43705-2022")</f>
        <v/>
      </c>
      <c r="V50">
        <f>HYPERLINK("https://klasma.github.io/Logging_1981/klagomål/A 43705-2022 FSC-klagomål.docx", "A 43705-2022")</f>
        <v/>
      </c>
      <c r="W50">
        <f>HYPERLINK("https://klasma.github.io/Logging_1981/klagomålsmail/A 43705-2022 FSC-klagomål mail.docx", "A 43705-2022")</f>
        <v/>
      </c>
      <c r="X50">
        <f>HYPERLINK("https://klasma.github.io/Logging_1981/tillsyn/A 43705-2022 tillsynsbegäran.docx", "A 43705-2022")</f>
        <v/>
      </c>
      <c r="Y50">
        <f>HYPERLINK("https://klasma.github.io/Logging_1981/tillsynsmail/A 43705-2022 tillsynsbegäran mail.docx", "A 43705-2022")</f>
        <v/>
      </c>
    </row>
    <row r="51" ht="15" customHeight="1">
      <c r="A51" t="inlineStr">
        <is>
          <t>A 56704-2022</t>
        </is>
      </c>
      <c r="B51" s="1" t="n">
        <v>44893</v>
      </c>
      <c r="C51" s="1" t="n">
        <v>45348</v>
      </c>
      <c r="D51" t="inlineStr">
        <is>
          <t>VÄSTMANLANDS LÄN</t>
        </is>
      </c>
      <c r="E51" t="inlineStr">
        <is>
          <t>SALA</t>
        </is>
      </c>
      <c r="G51" t="n">
        <v>3.2</v>
      </c>
      <c r="H51" t="n">
        <v>1</v>
      </c>
      <c r="I51" t="n">
        <v>0</v>
      </c>
      <c r="J51" t="n">
        <v>0</v>
      </c>
      <c r="K51" t="n">
        <v>1</v>
      </c>
      <c r="L51" t="n">
        <v>0</v>
      </c>
      <c r="M51" t="n">
        <v>0</v>
      </c>
      <c r="N51" t="n">
        <v>0</v>
      </c>
      <c r="O51" t="n">
        <v>1</v>
      </c>
      <c r="P51" t="n">
        <v>1</v>
      </c>
      <c r="Q51" t="n">
        <v>1</v>
      </c>
      <c r="R51" s="2" t="inlineStr">
        <is>
          <t>Knärot</t>
        </is>
      </c>
      <c r="S51">
        <f>HYPERLINK("https://klasma.github.io/Logging_1981/artfynd/A 56704-2022 artfynd.xlsx", "A 56704-2022")</f>
        <v/>
      </c>
      <c r="T51">
        <f>HYPERLINK("https://klasma.github.io/Logging_1981/kartor/A 56704-2022 karta.png", "A 56704-2022")</f>
        <v/>
      </c>
      <c r="U51">
        <f>HYPERLINK("https://klasma.github.io/Logging_1981/knärot/A 56704-2022 karta knärot.png", "A 56704-2022")</f>
        <v/>
      </c>
      <c r="V51">
        <f>HYPERLINK("https://klasma.github.io/Logging_1981/klagomål/A 56704-2022 FSC-klagomål.docx", "A 56704-2022")</f>
        <v/>
      </c>
      <c r="W51">
        <f>HYPERLINK("https://klasma.github.io/Logging_1981/klagomålsmail/A 56704-2022 FSC-klagomål mail.docx", "A 56704-2022")</f>
        <v/>
      </c>
      <c r="X51">
        <f>HYPERLINK("https://klasma.github.io/Logging_1981/tillsyn/A 56704-2022 tillsynsbegäran.docx", "A 56704-2022")</f>
        <v/>
      </c>
      <c r="Y51">
        <f>HYPERLINK("https://klasma.github.io/Logging_1981/tillsynsmail/A 56704-2022 tillsynsbegäran mail.docx", "A 56704-2022")</f>
        <v/>
      </c>
    </row>
    <row r="52" ht="15" customHeight="1">
      <c r="A52" t="inlineStr">
        <is>
          <t>A 7731-2023</t>
        </is>
      </c>
      <c r="B52" s="1" t="n">
        <v>44973</v>
      </c>
      <c r="C52" s="1" t="n">
        <v>45348</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14775-2023</t>
        </is>
      </c>
      <c r="B53" s="1" t="n">
        <v>45014</v>
      </c>
      <c r="C53" s="1" t="n">
        <v>45348</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23221-2023</t>
        </is>
      </c>
      <c r="B54" s="1" t="n">
        <v>45075</v>
      </c>
      <c r="C54" s="1" t="n">
        <v>45348</v>
      </c>
      <c r="D54" t="inlineStr">
        <is>
          <t>VÄSTMANLANDS LÄN</t>
        </is>
      </c>
      <c r="E54" t="inlineStr">
        <is>
          <t>SALA</t>
        </is>
      </c>
      <c r="G54" t="n">
        <v>26.3</v>
      </c>
      <c r="H54" t="n">
        <v>0</v>
      </c>
      <c r="I54" t="n">
        <v>1</v>
      </c>
      <c r="J54" t="n">
        <v>0</v>
      </c>
      <c r="K54" t="n">
        <v>0</v>
      </c>
      <c r="L54" t="n">
        <v>0</v>
      </c>
      <c r="M54" t="n">
        <v>0</v>
      </c>
      <c r="N54" t="n">
        <v>0</v>
      </c>
      <c r="O54" t="n">
        <v>0</v>
      </c>
      <c r="P54" t="n">
        <v>0</v>
      </c>
      <c r="Q54" t="n">
        <v>1</v>
      </c>
      <c r="R54" s="2" t="inlineStr">
        <is>
          <t>Blomkålssvamp</t>
        </is>
      </c>
      <c r="S54">
        <f>HYPERLINK("https://klasma.github.io/Logging_1981/artfynd/A 23221-2023 artfynd.xlsx", "A 23221-2023")</f>
        <v/>
      </c>
      <c r="T54">
        <f>HYPERLINK("https://klasma.github.io/Logging_1981/kartor/A 23221-2023 karta.png",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row>
    <row r="55" ht="15" customHeight="1">
      <c r="A55" t="inlineStr">
        <is>
          <t>A 31535-2023</t>
        </is>
      </c>
      <c r="B55" s="1" t="n">
        <v>45116</v>
      </c>
      <c r="C55" s="1" t="n">
        <v>45348</v>
      </c>
      <c r="D55" t="inlineStr">
        <is>
          <t>VÄSTMANLANDS LÄN</t>
        </is>
      </c>
      <c r="E55" t="inlineStr">
        <is>
          <t>SALA</t>
        </is>
      </c>
      <c r="G55" t="n">
        <v>0.9</v>
      </c>
      <c r="H55" t="n">
        <v>0</v>
      </c>
      <c r="I55" t="n">
        <v>0</v>
      </c>
      <c r="J55" t="n">
        <v>1</v>
      </c>
      <c r="K55" t="n">
        <v>0</v>
      </c>
      <c r="L55" t="n">
        <v>0</v>
      </c>
      <c r="M55" t="n">
        <v>0</v>
      </c>
      <c r="N55" t="n">
        <v>0</v>
      </c>
      <c r="O55" t="n">
        <v>1</v>
      </c>
      <c r="P55" t="n">
        <v>0</v>
      </c>
      <c r="Q55" t="n">
        <v>1</v>
      </c>
      <c r="R55" s="2" t="inlineStr">
        <is>
          <t>Orange taggsvamp</t>
        </is>
      </c>
      <c r="S55">
        <f>HYPERLINK("https://klasma.github.io/Logging_1981/artfynd/A 31535-2023 artfynd.xlsx", "A 31535-2023")</f>
        <v/>
      </c>
      <c r="T55">
        <f>HYPERLINK("https://klasma.github.io/Logging_1981/kartor/A 31535-2023 karta.png", "A 31535-2023")</f>
        <v/>
      </c>
      <c r="V55">
        <f>HYPERLINK("https://klasma.github.io/Logging_1981/klagomål/A 31535-2023 FSC-klagomål.docx", "A 31535-2023")</f>
        <v/>
      </c>
      <c r="W55">
        <f>HYPERLINK("https://klasma.github.io/Logging_1981/klagomålsmail/A 31535-2023 FSC-klagomål mail.docx", "A 31535-2023")</f>
        <v/>
      </c>
      <c r="X55">
        <f>HYPERLINK("https://klasma.github.io/Logging_1981/tillsyn/A 31535-2023 tillsynsbegäran.docx", "A 31535-2023")</f>
        <v/>
      </c>
      <c r="Y55">
        <f>HYPERLINK("https://klasma.github.io/Logging_1981/tillsynsmail/A 31535-2023 tillsynsbegäran mail.docx", "A 31535-2023")</f>
        <v/>
      </c>
    </row>
    <row r="56" ht="15" customHeight="1">
      <c r="A56" t="inlineStr">
        <is>
          <t>A 43175-2023</t>
        </is>
      </c>
      <c r="B56" s="1" t="n">
        <v>45183</v>
      </c>
      <c r="C56" s="1" t="n">
        <v>45348</v>
      </c>
      <c r="D56" t="inlineStr">
        <is>
          <t>VÄSTMANLANDS LÄN</t>
        </is>
      </c>
      <c r="E56" t="inlineStr">
        <is>
          <t>SALA</t>
        </is>
      </c>
      <c r="G56" t="n">
        <v>5.6</v>
      </c>
      <c r="H56" t="n">
        <v>0</v>
      </c>
      <c r="I56" t="n">
        <v>1</v>
      </c>
      <c r="J56" t="n">
        <v>0</v>
      </c>
      <c r="K56" t="n">
        <v>0</v>
      </c>
      <c r="L56" t="n">
        <v>0</v>
      </c>
      <c r="M56" t="n">
        <v>0</v>
      </c>
      <c r="N56" t="n">
        <v>0</v>
      </c>
      <c r="O56" t="n">
        <v>0</v>
      </c>
      <c r="P56" t="n">
        <v>0</v>
      </c>
      <c r="Q56" t="n">
        <v>1</v>
      </c>
      <c r="R56" s="2" t="inlineStr">
        <is>
          <t>Grönpyrola</t>
        </is>
      </c>
      <c r="S56">
        <f>HYPERLINK("https://klasma.github.io/Logging_1981/artfynd/A 43175-2023 artfynd.xlsx", "A 43175-2023")</f>
        <v/>
      </c>
      <c r="T56">
        <f>HYPERLINK("https://klasma.github.io/Logging_1981/kartor/A 43175-2023 karta.png", "A 43175-2023")</f>
        <v/>
      </c>
      <c r="V56">
        <f>HYPERLINK("https://klasma.github.io/Logging_1981/klagomål/A 43175-2023 FSC-klagomål.docx", "A 43175-2023")</f>
        <v/>
      </c>
      <c r="W56">
        <f>HYPERLINK("https://klasma.github.io/Logging_1981/klagomålsmail/A 43175-2023 FSC-klagomål mail.docx", "A 43175-2023")</f>
        <v/>
      </c>
      <c r="X56">
        <f>HYPERLINK("https://klasma.github.io/Logging_1981/tillsyn/A 43175-2023 tillsynsbegäran.docx", "A 43175-2023")</f>
        <v/>
      </c>
      <c r="Y56">
        <f>HYPERLINK("https://klasma.github.io/Logging_1981/tillsynsmail/A 43175-2023 tillsynsbegäran mail.docx", "A 43175-2023")</f>
        <v/>
      </c>
    </row>
    <row r="57" ht="15" customHeight="1">
      <c r="A57" t="inlineStr">
        <is>
          <t>A 3534-2024</t>
        </is>
      </c>
      <c r="B57" s="1" t="n">
        <v>45320</v>
      </c>
      <c r="C57" s="1" t="n">
        <v>45348</v>
      </c>
      <c r="D57" t="inlineStr">
        <is>
          <t>VÄSTMANLANDS LÄN</t>
        </is>
      </c>
      <c r="E57" t="inlineStr">
        <is>
          <t>SALA</t>
        </is>
      </c>
      <c r="G57" t="n">
        <v>1.9</v>
      </c>
      <c r="H57" t="n">
        <v>1</v>
      </c>
      <c r="I57" t="n">
        <v>0</v>
      </c>
      <c r="J57" t="n">
        <v>0</v>
      </c>
      <c r="K57" t="n">
        <v>0</v>
      </c>
      <c r="L57" t="n">
        <v>1</v>
      </c>
      <c r="M57" t="n">
        <v>0</v>
      </c>
      <c r="N57" t="n">
        <v>0</v>
      </c>
      <c r="O57" t="n">
        <v>1</v>
      </c>
      <c r="P57" t="n">
        <v>1</v>
      </c>
      <c r="Q57" t="n">
        <v>1</v>
      </c>
      <c r="R57" s="2" t="inlineStr">
        <is>
          <t>Mosippa</t>
        </is>
      </c>
      <c r="S57">
        <f>HYPERLINK("https://klasma.github.io/Logging_1981/artfynd/A 3534-2024 artfynd.xlsx", "A 3534-2024")</f>
        <v/>
      </c>
      <c r="T57">
        <f>HYPERLINK("https://klasma.github.io/Logging_1981/kartor/A 3534-2024 karta.png", "A 3534-2024")</f>
        <v/>
      </c>
      <c r="V57">
        <f>HYPERLINK("https://klasma.github.io/Logging_1981/klagomål/A 3534-2024 FSC-klagomål.docx", "A 3534-2024")</f>
        <v/>
      </c>
      <c r="W57">
        <f>HYPERLINK("https://klasma.github.io/Logging_1981/klagomålsmail/A 3534-2024 FSC-klagomål mail.docx", "A 3534-2024")</f>
        <v/>
      </c>
      <c r="X57">
        <f>HYPERLINK("https://klasma.github.io/Logging_1981/tillsyn/A 3534-2024 tillsynsbegäran.docx", "A 3534-2024")</f>
        <v/>
      </c>
      <c r="Y57">
        <f>HYPERLINK("https://klasma.github.io/Logging_1981/tillsynsmail/A 3534-2024 tillsynsbegäran mail.docx", "A 3534-2024")</f>
        <v/>
      </c>
    </row>
    <row r="58" ht="15" customHeight="1">
      <c r="A58" t="inlineStr">
        <is>
          <t>A 37744-2018</t>
        </is>
      </c>
      <c r="B58" s="1" t="n">
        <v>43334</v>
      </c>
      <c r="C58" s="1" t="n">
        <v>45348</v>
      </c>
      <c r="D58" t="inlineStr">
        <is>
          <t>VÄSTMANLANDS LÄN</t>
        </is>
      </c>
      <c r="E58" t="inlineStr">
        <is>
          <t>SALA</t>
        </is>
      </c>
      <c r="G58" t="n">
        <v>2.6</v>
      </c>
      <c r="H58" t="n">
        <v>0</v>
      </c>
      <c r="I58" t="n">
        <v>0</v>
      </c>
      <c r="J58" t="n">
        <v>0</v>
      </c>
      <c r="K58" t="n">
        <v>0</v>
      </c>
      <c r="L58" t="n">
        <v>0</v>
      </c>
      <c r="M58" t="n">
        <v>0</v>
      </c>
      <c r="N58" t="n">
        <v>0</v>
      </c>
      <c r="O58" t="n">
        <v>0</v>
      </c>
      <c r="P58" t="n">
        <v>0</v>
      </c>
      <c r="Q58" t="n">
        <v>0</v>
      </c>
      <c r="R58" s="2" t="inlineStr"/>
    </row>
    <row r="59" ht="15" customHeight="1">
      <c r="A59" t="inlineStr">
        <is>
          <t>A 44601-2018</t>
        </is>
      </c>
      <c r="B59" s="1" t="n">
        <v>43361</v>
      </c>
      <c r="C59" s="1" t="n">
        <v>45348</v>
      </c>
      <c r="D59" t="inlineStr">
        <is>
          <t>VÄSTMANLANDS LÄN</t>
        </is>
      </c>
      <c r="E59" t="inlineStr">
        <is>
          <t>SALA</t>
        </is>
      </c>
      <c r="F59" t="inlineStr">
        <is>
          <t>Kommuner</t>
        </is>
      </c>
      <c r="G59" t="n">
        <v>0.6</v>
      </c>
      <c r="H59" t="n">
        <v>0</v>
      </c>
      <c r="I59" t="n">
        <v>0</v>
      </c>
      <c r="J59" t="n">
        <v>0</v>
      </c>
      <c r="K59" t="n">
        <v>0</v>
      </c>
      <c r="L59" t="n">
        <v>0</v>
      </c>
      <c r="M59" t="n">
        <v>0</v>
      </c>
      <c r="N59" t="n">
        <v>0</v>
      </c>
      <c r="O59" t="n">
        <v>0</v>
      </c>
      <c r="P59" t="n">
        <v>0</v>
      </c>
      <c r="Q59" t="n">
        <v>0</v>
      </c>
      <c r="R59" s="2" t="inlineStr"/>
    </row>
    <row r="60" ht="15" customHeight="1">
      <c r="A60" t="inlineStr">
        <is>
          <t>A 45765-2018</t>
        </is>
      </c>
      <c r="B60" s="1" t="n">
        <v>43362</v>
      </c>
      <c r="C60" s="1" t="n">
        <v>45348</v>
      </c>
      <c r="D60" t="inlineStr">
        <is>
          <t>VÄSTMANLANDS LÄN</t>
        </is>
      </c>
      <c r="E60" t="inlineStr">
        <is>
          <t>SALA</t>
        </is>
      </c>
      <c r="G60" t="n">
        <v>1.1</v>
      </c>
      <c r="H60" t="n">
        <v>0</v>
      </c>
      <c r="I60" t="n">
        <v>0</v>
      </c>
      <c r="J60" t="n">
        <v>0</v>
      </c>
      <c r="K60" t="n">
        <v>0</v>
      </c>
      <c r="L60" t="n">
        <v>0</v>
      </c>
      <c r="M60" t="n">
        <v>0</v>
      </c>
      <c r="N60" t="n">
        <v>0</v>
      </c>
      <c r="O60" t="n">
        <v>0</v>
      </c>
      <c r="P60" t="n">
        <v>0</v>
      </c>
      <c r="Q60" t="n">
        <v>0</v>
      </c>
      <c r="R60" s="2" t="inlineStr"/>
    </row>
    <row r="61" ht="15" customHeight="1">
      <c r="A61" t="inlineStr">
        <is>
          <t>A 45177-2018</t>
        </is>
      </c>
      <c r="B61" s="1" t="n">
        <v>43362</v>
      </c>
      <c r="C61" s="1" t="n">
        <v>45348</v>
      </c>
      <c r="D61" t="inlineStr">
        <is>
          <t>VÄSTMANLANDS LÄN</t>
        </is>
      </c>
      <c r="E61" t="inlineStr">
        <is>
          <t>SALA</t>
        </is>
      </c>
      <c r="G61" t="n">
        <v>1.9</v>
      </c>
      <c r="H61" t="n">
        <v>0</v>
      </c>
      <c r="I61" t="n">
        <v>0</v>
      </c>
      <c r="J61" t="n">
        <v>0</v>
      </c>
      <c r="K61" t="n">
        <v>0</v>
      </c>
      <c r="L61" t="n">
        <v>0</v>
      </c>
      <c r="M61" t="n">
        <v>0</v>
      </c>
      <c r="N61" t="n">
        <v>0</v>
      </c>
      <c r="O61" t="n">
        <v>0</v>
      </c>
      <c r="P61" t="n">
        <v>0</v>
      </c>
      <c r="Q61" t="n">
        <v>0</v>
      </c>
      <c r="R61" s="2" t="inlineStr"/>
    </row>
    <row r="62" ht="15" customHeight="1">
      <c r="A62" t="inlineStr">
        <is>
          <t>A 49631-2018</t>
        </is>
      </c>
      <c r="B62" s="1" t="n">
        <v>43377</v>
      </c>
      <c r="C62" s="1" t="n">
        <v>45348</v>
      </c>
      <c r="D62" t="inlineStr">
        <is>
          <t>VÄSTMANLANDS LÄN</t>
        </is>
      </c>
      <c r="E62" t="inlineStr">
        <is>
          <t>SALA</t>
        </is>
      </c>
      <c r="F62" t="inlineStr">
        <is>
          <t>Sveaskog</t>
        </is>
      </c>
      <c r="G62" t="n">
        <v>3.3</v>
      </c>
      <c r="H62" t="n">
        <v>0</v>
      </c>
      <c r="I62" t="n">
        <v>0</v>
      </c>
      <c r="J62" t="n">
        <v>0</v>
      </c>
      <c r="K62" t="n">
        <v>0</v>
      </c>
      <c r="L62" t="n">
        <v>0</v>
      </c>
      <c r="M62" t="n">
        <v>0</v>
      </c>
      <c r="N62" t="n">
        <v>0</v>
      </c>
      <c r="O62" t="n">
        <v>0</v>
      </c>
      <c r="P62" t="n">
        <v>0</v>
      </c>
      <c r="Q62" t="n">
        <v>0</v>
      </c>
      <c r="R62" s="2" t="inlineStr"/>
    </row>
    <row r="63" ht="15" customHeight="1">
      <c r="A63" t="inlineStr">
        <is>
          <t>A 58796-2018</t>
        </is>
      </c>
      <c r="B63" s="1" t="n">
        <v>43410</v>
      </c>
      <c r="C63" s="1" t="n">
        <v>45348</v>
      </c>
      <c r="D63" t="inlineStr">
        <is>
          <t>VÄSTMANLANDS LÄN</t>
        </is>
      </c>
      <c r="E63" t="inlineStr">
        <is>
          <t>SALA</t>
        </is>
      </c>
      <c r="G63" t="n">
        <v>1.6</v>
      </c>
      <c r="H63" t="n">
        <v>0</v>
      </c>
      <c r="I63" t="n">
        <v>0</v>
      </c>
      <c r="J63" t="n">
        <v>0</v>
      </c>
      <c r="K63" t="n">
        <v>0</v>
      </c>
      <c r="L63" t="n">
        <v>0</v>
      </c>
      <c r="M63" t="n">
        <v>0</v>
      </c>
      <c r="N63" t="n">
        <v>0</v>
      </c>
      <c r="O63" t="n">
        <v>0</v>
      </c>
      <c r="P63" t="n">
        <v>0</v>
      </c>
      <c r="Q63" t="n">
        <v>0</v>
      </c>
      <c r="R63" s="2" t="inlineStr"/>
    </row>
    <row r="64" ht="15" customHeight="1">
      <c r="A64" t="inlineStr">
        <is>
          <t>A 65262-2018</t>
        </is>
      </c>
      <c r="B64" s="1" t="n">
        <v>43423</v>
      </c>
      <c r="C64" s="1" t="n">
        <v>45348</v>
      </c>
      <c r="D64" t="inlineStr">
        <is>
          <t>VÄSTMANLANDS LÄN</t>
        </is>
      </c>
      <c r="E64" t="inlineStr">
        <is>
          <t>SALA</t>
        </is>
      </c>
      <c r="G64" t="n">
        <v>1</v>
      </c>
      <c r="H64" t="n">
        <v>0</v>
      </c>
      <c r="I64" t="n">
        <v>0</v>
      </c>
      <c r="J64" t="n">
        <v>0</v>
      </c>
      <c r="K64" t="n">
        <v>0</v>
      </c>
      <c r="L64" t="n">
        <v>0</v>
      </c>
      <c r="M64" t="n">
        <v>0</v>
      </c>
      <c r="N64" t="n">
        <v>0</v>
      </c>
      <c r="O64" t="n">
        <v>0</v>
      </c>
      <c r="P64" t="n">
        <v>0</v>
      </c>
      <c r="Q64" t="n">
        <v>0</v>
      </c>
      <c r="R64" s="2" t="inlineStr"/>
    </row>
    <row r="65" ht="15" customHeight="1">
      <c r="A65" t="inlineStr">
        <is>
          <t>A 61201-2018</t>
        </is>
      </c>
      <c r="B65" s="1" t="n">
        <v>43423</v>
      </c>
      <c r="C65" s="1" t="n">
        <v>45348</v>
      </c>
      <c r="D65" t="inlineStr">
        <is>
          <t>VÄSTMANLANDS LÄN</t>
        </is>
      </c>
      <c r="E65" t="inlineStr">
        <is>
          <t>SALA</t>
        </is>
      </c>
      <c r="G65" t="n">
        <v>3.8</v>
      </c>
      <c r="H65" t="n">
        <v>0</v>
      </c>
      <c r="I65" t="n">
        <v>0</v>
      </c>
      <c r="J65" t="n">
        <v>0</v>
      </c>
      <c r="K65" t="n">
        <v>0</v>
      </c>
      <c r="L65" t="n">
        <v>0</v>
      </c>
      <c r="M65" t="n">
        <v>0</v>
      </c>
      <c r="N65" t="n">
        <v>0</v>
      </c>
      <c r="O65" t="n">
        <v>0</v>
      </c>
      <c r="P65" t="n">
        <v>0</v>
      </c>
      <c r="Q65" t="n">
        <v>0</v>
      </c>
      <c r="R65" s="2" t="inlineStr"/>
    </row>
    <row r="66" ht="15" customHeight="1">
      <c r="A66" t="inlineStr">
        <is>
          <t>A 65272-2018</t>
        </is>
      </c>
      <c r="B66" s="1" t="n">
        <v>43423</v>
      </c>
      <c r="C66" s="1" t="n">
        <v>45348</v>
      </c>
      <c r="D66" t="inlineStr">
        <is>
          <t>VÄSTMANLANDS LÄN</t>
        </is>
      </c>
      <c r="E66" t="inlineStr">
        <is>
          <t>SALA</t>
        </is>
      </c>
      <c r="G66" t="n">
        <v>1.6</v>
      </c>
      <c r="H66" t="n">
        <v>0</v>
      </c>
      <c r="I66" t="n">
        <v>0</v>
      </c>
      <c r="J66" t="n">
        <v>0</v>
      </c>
      <c r="K66" t="n">
        <v>0</v>
      </c>
      <c r="L66" t="n">
        <v>0</v>
      </c>
      <c r="M66" t="n">
        <v>0</v>
      </c>
      <c r="N66" t="n">
        <v>0</v>
      </c>
      <c r="O66" t="n">
        <v>0</v>
      </c>
      <c r="P66" t="n">
        <v>0</v>
      </c>
      <c r="Q66" t="n">
        <v>0</v>
      </c>
      <c r="R66" s="2" t="inlineStr"/>
    </row>
    <row r="67" ht="15" customHeight="1">
      <c r="A67" t="inlineStr">
        <is>
          <t>A 61582-2018</t>
        </is>
      </c>
      <c r="B67" s="1" t="n">
        <v>43424</v>
      </c>
      <c r="C67" s="1" t="n">
        <v>45348</v>
      </c>
      <c r="D67" t="inlineStr">
        <is>
          <t>VÄSTMANLANDS LÄN</t>
        </is>
      </c>
      <c r="E67" t="inlineStr">
        <is>
          <t>SALA</t>
        </is>
      </c>
      <c r="F67" t="inlineStr">
        <is>
          <t>Kyrkan</t>
        </is>
      </c>
      <c r="G67" t="n">
        <v>7</v>
      </c>
      <c r="H67" t="n">
        <v>0</v>
      </c>
      <c r="I67" t="n">
        <v>0</v>
      </c>
      <c r="J67" t="n">
        <v>0</v>
      </c>
      <c r="K67" t="n">
        <v>0</v>
      </c>
      <c r="L67" t="n">
        <v>0</v>
      </c>
      <c r="M67" t="n">
        <v>0</v>
      </c>
      <c r="N67" t="n">
        <v>0</v>
      </c>
      <c r="O67" t="n">
        <v>0</v>
      </c>
      <c r="P67" t="n">
        <v>0</v>
      </c>
      <c r="Q67" t="n">
        <v>0</v>
      </c>
      <c r="R67" s="2" t="inlineStr"/>
    </row>
    <row r="68" ht="15" customHeight="1">
      <c r="A68" t="inlineStr">
        <is>
          <t>A 64392-2018</t>
        </is>
      </c>
      <c r="B68" s="1" t="n">
        <v>43430</v>
      </c>
      <c r="C68" s="1" t="n">
        <v>45348</v>
      </c>
      <c r="D68" t="inlineStr">
        <is>
          <t>VÄSTMANLANDS LÄN</t>
        </is>
      </c>
      <c r="E68" t="inlineStr">
        <is>
          <t>SALA</t>
        </is>
      </c>
      <c r="G68" t="n">
        <v>0.6</v>
      </c>
      <c r="H68" t="n">
        <v>0</v>
      </c>
      <c r="I68" t="n">
        <v>0</v>
      </c>
      <c r="J68" t="n">
        <v>0</v>
      </c>
      <c r="K68" t="n">
        <v>0</v>
      </c>
      <c r="L68" t="n">
        <v>0</v>
      </c>
      <c r="M68" t="n">
        <v>0</v>
      </c>
      <c r="N68" t="n">
        <v>0</v>
      </c>
      <c r="O68" t="n">
        <v>0</v>
      </c>
      <c r="P68" t="n">
        <v>0</v>
      </c>
      <c r="Q68" t="n">
        <v>0</v>
      </c>
      <c r="R68" s="2" t="inlineStr"/>
    </row>
    <row r="69" ht="15" customHeight="1">
      <c r="A69" t="inlineStr">
        <is>
          <t>A 64900-2018</t>
        </is>
      </c>
      <c r="B69" s="1" t="n">
        <v>43431</v>
      </c>
      <c r="C69" s="1" t="n">
        <v>45348</v>
      </c>
      <c r="D69" t="inlineStr">
        <is>
          <t>VÄSTMANLANDS LÄN</t>
        </is>
      </c>
      <c r="E69" t="inlineStr">
        <is>
          <t>SALA</t>
        </is>
      </c>
      <c r="G69" t="n">
        <v>1</v>
      </c>
      <c r="H69" t="n">
        <v>0</v>
      </c>
      <c r="I69" t="n">
        <v>0</v>
      </c>
      <c r="J69" t="n">
        <v>0</v>
      </c>
      <c r="K69" t="n">
        <v>0</v>
      </c>
      <c r="L69" t="n">
        <v>0</v>
      </c>
      <c r="M69" t="n">
        <v>0</v>
      </c>
      <c r="N69" t="n">
        <v>0</v>
      </c>
      <c r="O69" t="n">
        <v>0</v>
      </c>
      <c r="P69" t="n">
        <v>0</v>
      </c>
      <c r="Q69" t="n">
        <v>0</v>
      </c>
      <c r="R69" s="2" t="inlineStr"/>
    </row>
    <row r="70" ht="15" customHeight="1">
      <c r="A70" t="inlineStr">
        <is>
          <t>A 65286-2018</t>
        </is>
      </c>
      <c r="B70" s="1" t="n">
        <v>43432</v>
      </c>
      <c r="C70" s="1" t="n">
        <v>45348</v>
      </c>
      <c r="D70" t="inlineStr">
        <is>
          <t>VÄSTMANLANDS LÄN</t>
        </is>
      </c>
      <c r="E70" t="inlineStr">
        <is>
          <t>SALA</t>
        </is>
      </c>
      <c r="G70" t="n">
        <v>1.3</v>
      </c>
      <c r="H70" t="n">
        <v>0</v>
      </c>
      <c r="I70" t="n">
        <v>0</v>
      </c>
      <c r="J70" t="n">
        <v>0</v>
      </c>
      <c r="K70" t="n">
        <v>0</v>
      </c>
      <c r="L70" t="n">
        <v>0</v>
      </c>
      <c r="M70" t="n">
        <v>0</v>
      </c>
      <c r="N70" t="n">
        <v>0</v>
      </c>
      <c r="O70" t="n">
        <v>0</v>
      </c>
      <c r="P70" t="n">
        <v>0</v>
      </c>
      <c r="Q70" t="n">
        <v>0</v>
      </c>
      <c r="R70" s="2" t="inlineStr"/>
    </row>
    <row r="71" ht="15" customHeight="1">
      <c r="A71" t="inlineStr">
        <is>
          <t>A 68421-2018</t>
        </is>
      </c>
      <c r="B71" s="1" t="n">
        <v>43438</v>
      </c>
      <c r="C71" s="1" t="n">
        <v>45348</v>
      </c>
      <c r="D71" t="inlineStr">
        <is>
          <t>VÄSTMANLANDS LÄN</t>
        </is>
      </c>
      <c r="E71" t="inlineStr">
        <is>
          <t>SALA</t>
        </is>
      </c>
      <c r="G71" t="n">
        <v>3.3</v>
      </c>
      <c r="H71" t="n">
        <v>0</v>
      </c>
      <c r="I71" t="n">
        <v>0</v>
      </c>
      <c r="J71" t="n">
        <v>0</v>
      </c>
      <c r="K71" t="n">
        <v>0</v>
      </c>
      <c r="L71" t="n">
        <v>0</v>
      </c>
      <c r="M71" t="n">
        <v>0</v>
      </c>
      <c r="N71" t="n">
        <v>0</v>
      </c>
      <c r="O71" t="n">
        <v>0</v>
      </c>
      <c r="P71" t="n">
        <v>0</v>
      </c>
      <c r="Q71" t="n">
        <v>0</v>
      </c>
      <c r="R71" s="2" t="inlineStr"/>
    </row>
    <row r="72" ht="15" customHeight="1">
      <c r="A72" t="inlineStr">
        <is>
          <t>A 67544-2018</t>
        </is>
      </c>
      <c r="B72" s="1" t="n">
        <v>43439</v>
      </c>
      <c r="C72" s="1" t="n">
        <v>45348</v>
      </c>
      <c r="D72" t="inlineStr">
        <is>
          <t>VÄSTMANLANDS LÄN</t>
        </is>
      </c>
      <c r="E72" t="inlineStr">
        <is>
          <t>SALA</t>
        </is>
      </c>
      <c r="G72" t="n">
        <v>8</v>
      </c>
      <c r="H72" t="n">
        <v>0</v>
      </c>
      <c r="I72" t="n">
        <v>0</v>
      </c>
      <c r="J72" t="n">
        <v>0</v>
      </c>
      <c r="K72" t="n">
        <v>0</v>
      </c>
      <c r="L72" t="n">
        <v>0</v>
      </c>
      <c r="M72" t="n">
        <v>0</v>
      </c>
      <c r="N72" t="n">
        <v>0</v>
      </c>
      <c r="O72" t="n">
        <v>0</v>
      </c>
      <c r="P72" t="n">
        <v>0</v>
      </c>
      <c r="Q72" t="n">
        <v>0</v>
      </c>
      <c r="R72" s="2" t="inlineStr"/>
    </row>
    <row r="73" ht="15" customHeight="1">
      <c r="A73" t="inlineStr">
        <is>
          <t>A 69032-2018</t>
        </is>
      </c>
      <c r="B73" s="1" t="n">
        <v>43445</v>
      </c>
      <c r="C73" s="1" t="n">
        <v>45348</v>
      </c>
      <c r="D73" t="inlineStr">
        <is>
          <t>VÄSTMANLANDS LÄN</t>
        </is>
      </c>
      <c r="E73" t="inlineStr">
        <is>
          <t>SALA</t>
        </is>
      </c>
      <c r="G73" t="n">
        <v>0.6</v>
      </c>
      <c r="H73" t="n">
        <v>0</v>
      </c>
      <c r="I73" t="n">
        <v>0</v>
      </c>
      <c r="J73" t="n">
        <v>0</v>
      </c>
      <c r="K73" t="n">
        <v>0</v>
      </c>
      <c r="L73" t="n">
        <v>0</v>
      </c>
      <c r="M73" t="n">
        <v>0</v>
      </c>
      <c r="N73" t="n">
        <v>0</v>
      </c>
      <c r="O73" t="n">
        <v>0</v>
      </c>
      <c r="P73" t="n">
        <v>0</v>
      </c>
      <c r="Q73" t="n">
        <v>0</v>
      </c>
      <c r="R73" s="2" t="inlineStr"/>
    </row>
    <row r="74" ht="15" customHeight="1">
      <c r="A74" t="inlineStr">
        <is>
          <t>A 69576-2018</t>
        </is>
      </c>
      <c r="B74" s="1" t="n">
        <v>43446</v>
      </c>
      <c r="C74" s="1" t="n">
        <v>45348</v>
      </c>
      <c r="D74" t="inlineStr">
        <is>
          <t>VÄSTMANLANDS LÄN</t>
        </is>
      </c>
      <c r="E74" t="inlineStr">
        <is>
          <t>SALA</t>
        </is>
      </c>
      <c r="G74" t="n">
        <v>3.5</v>
      </c>
      <c r="H74" t="n">
        <v>0</v>
      </c>
      <c r="I74" t="n">
        <v>0</v>
      </c>
      <c r="J74" t="n">
        <v>0</v>
      </c>
      <c r="K74" t="n">
        <v>0</v>
      </c>
      <c r="L74" t="n">
        <v>0</v>
      </c>
      <c r="M74" t="n">
        <v>0</v>
      </c>
      <c r="N74" t="n">
        <v>0</v>
      </c>
      <c r="O74" t="n">
        <v>0</v>
      </c>
      <c r="P74" t="n">
        <v>0</v>
      </c>
      <c r="Q74" t="n">
        <v>0</v>
      </c>
      <c r="R74" s="2" t="inlineStr"/>
    </row>
    <row r="75" ht="15" customHeight="1">
      <c r="A75" t="inlineStr">
        <is>
          <t>A 70915-2018</t>
        </is>
      </c>
      <c r="B75" s="1" t="n">
        <v>43447</v>
      </c>
      <c r="C75" s="1" t="n">
        <v>45348</v>
      </c>
      <c r="D75" t="inlineStr">
        <is>
          <t>VÄSTMANLANDS LÄN</t>
        </is>
      </c>
      <c r="E75" t="inlineStr">
        <is>
          <t>SALA</t>
        </is>
      </c>
      <c r="G75" t="n">
        <v>5.9</v>
      </c>
      <c r="H75" t="n">
        <v>0</v>
      </c>
      <c r="I75" t="n">
        <v>0</v>
      </c>
      <c r="J75" t="n">
        <v>0</v>
      </c>
      <c r="K75" t="n">
        <v>0</v>
      </c>
      <c r="L75" t="n">
        <v>0</v>
      </c>
      <c r="M75" t="n">
        <v>0</v>
      </c>
      <c r="N75" t="n">
        <v>0</v>
      </c>
      <c r="O75" t="n">
        <v>0</v>
      </c>
      <c r="P75" t="n">
        <v>0</v>
      </c>
      <c r="Q75" t="n">
        <v>0</v>
      </c>
      <c r="R75" s="2" t="inlineStr"/>
    </row>
    <row r="76" ht="15" customHeight="1">
      <c r="A76" t="inlineStr">
        <is>
          <t>A 69958-2018</t>
        </is>
      </c>
      <c r="B76" s="1" t="n">
        <v>43447</v>
      </c>
      <c r="C76" s="1" t="n">
        <v>45348</v>
      </c>
      <c r="D76" t="inlineStr">
        <is>
          <t>VÄSTMANLANDS LÄN</t>
        </is>
      </c>
      <c r="E76" t="inlineStr">
        <is>
          <t>SALA</t>
        </is>
      </c>
      <c r="G76" t="n">
        <v>4.8</v>
      </c>
      <c r="H76" t="n">
        <v>0</v>
      </c>
      <c r="I76" t="n">
        <v>0</v>
      </c>
      <c r="J76" t="n">
        <v>0</v>
      </c>
      <c r="K76" t="n">
        <v>0</v>
      </c>
      <c r="L76" t="n">
        <v>0</v>
      </c>
      <c r="M76" t="n">
        <v>0</v>
      </c>
      <c r="N76" t="n">
        <v>0</v>
      </c>
      <c r="O76" t="n">
        <v>0</v>
      </c>
      <c r="P76" t="n">
        <v>0</v>
      </c>
      <c r="Q76" t="n">
        <v>0</v>
      </c>
      <c r="R76" s="2" t="inlineStr"/>
    </row>
    <row r="77" ht="15" customHeight="1">
      <c r="A77" t="inlineStr">
        <is>
          <t>A 69959-2018</t>
        </is>
      </c>
      <c r="B77" s="1" t="n">
        <v>43447</v>
      </c>
      <c r="C77" s="1" t="n">
        <v>45348</v>
      </c>
      <c r="D77" t="inlineStr">
        <is>
          <t>VÄSTMANLANDS LÄN</t>
        </is>
      </c>
      <c r="E77" t="inlineStr">
        <is>
          <t>SALA</t>
        </is>
      </c>
      <c r="G77" t="n">
        <v>6.7</v>
      </c>
      <c r="H77" t="n">
        <v>0</v>
      </c>
      <c r="I77" t="n">
        <v>0</v>
      </c>
      <c r="J77" t="n">
        <v>0</v>
      </c>
      <c r="K77" t="n">
        <v>0</v>
      </c>
      <c r="L77" t="n">
        <v>0</v>
      </c>
      <c r="M77" t="n">
        <v>0</v>
      </c>
      <c r="N77" t="n">
        <v>0</v>
      </c>
      <c r="O77" t="n">
        <v>0</v>
      </c>
      <c r="P77" t="n">
        <v>0</v>
      </c>
      <c r="Q77" t="n">
        <v>0</v>
      </c>
      <c r="R77" s="2" t="inlineStr"/>
    </row>
    <row r="78" ht="15" customHeight="1">
      <c r="A78" t="inlineStr">
        <is>
          <t>A 71189-2018</t>
        </is>
      </c>
      <c r="B78" s="1" t="n">
        <v>43451</v>
      </c>
      <c r="C78" s="1" t="n">
        <v>45348</v>
      </c>
      <c r="D78" t="inlineStr">
        <is>
          <t>VÄSTMANLANDS LÄN</t>
        </is>
      </c>
      <c r="E78" t="inlineStr">
        <is>
          <t>SALA</t>
        </is>
      </c>
      <c r="G78" t="n">
        <v>0.8</v>
      </c>
      <c r="H78" t="n">
        <v>0</v>
      </c>
      <c r="I78" t="n">
        <v>0</v>
      </c>
      <c r="J78" t="n">
        <v>0</v>
      </c>
      <c r="K78" t="n">
        <v>0</v>
      </c>
      <c r="L78" t="n">
        <v>0</v>
      </c>
      <c r="M78" t="n">
        <v>0</v>
      </c>
      <c r="N78" t="n">
        <v>0</v>
      </c>
      <c r="O78" t="n">
        <v>0</v>
      </c>
      <c r="P78" t="n">
        <v>0</v>
      </c>
      <c r="Q78" t="n">
        <v>0</v>
      </c>
      <c r="R78" s="2" t="inlineStr"/>
    </row>
    <row r="79" ht="15" customHeight="1">
      <c r="A79" t="inlineStr">
        <is>
          <t>A 71377-2018</t>
        </is>
      </c>
      <c r="B79" s="1" t="n">
        <v>43453</v>
      </c>
      <c r="C79" s="1" t="n">
        <v>45348</v>
      </c>
      <c r="D79" t="inlineStr">
        <is>
          <t>VÄSTMANLANDS LÄN</t>
        </is>
      </c>
      <c r="E79" t="inlineStr">
        <is>
          <t>SALA</t>
        </is>
      </c>
      <c r="G79" t="n">
        <v>1.5</v>
      </c>
      <c r="H79" t="n">
        <v>0</v>
      </c>
      <c r="I79" t="n">
        <v>0</v>
      </c>
      <c r="J79" t="n">
        <v>0</v>
      </c>
      <c r="K79" t="n">
        <v>0</v>
      </c>
      <c r="L79" t="n">
        <v>0</v>
      </c>
      <c r="M79" t="n">
        <v>0</v>
      </c>
      <c r="N79" t="n">
        <v>0</v>
      </c>
      <c r="O79" t="n">
        <v>0</v>
      </c>
      <c r="P79" t="n">
        <v>0</v>
      </c>
      <c r="Q79" t="n">
        <v>0</v>
      </c>
      <c r="R79" s="2" t="inlineStr"/>
    </row>
    <row r="80" ht="15" customHeight="1">
      <c r="A80" t="inlineStr">
        <is>
          <t>A 72307-2018</t>
        </is>
      </c>
      <c r="B80" s="1" t="n">
        <v>43455</v>
      </c>
      <c r="C80" s="1" t="n">
        <v>45348</v>
      </c>
      <c r="D80" t="inlineStr">
        <is>
          <t>VÄSTMANLANDS LÄN</t>
        </is>
      </c>
      <c r="E80" t="inlineStr">
        <is>
          <t>SALA</t>
        </is>
      </c>
      <c r="G80" t="n">
        <v>2.6</v>
      </c>
      <c r="H80" t="n">
        <v>0</v>
      </c>
      <c r="I80" t="n">
        <v>0</v>
      </c>
      <c r="J80" t="n">
        <v>0</v>
      </c>
      <c r="K80" t="n">
        <v>0</v>
      </c>
      <c r="L80" t="n">
        <v>0</v>
      </c>
      <c r="M80" t="n">
        <v>0</v>
      </c>
      <c r="N80" t="n">
        <v>0</v>
      </c>
      <c r="O80" t="n">
        <v>0</v>
      </c>
      <c r="P80" t="n">
        <v>0</v>
      </c>
      <c r="Q80" t="n">
        <v>0</v>
      </c>
      <c r="R80" s="2" t="inlineStr"/>
    </row>
    <row r="81" ht="15" customHeight="1">
      <c r="A81" t="inlineStr">
        <is>
          <t>A 1589-2019</t>
        </is>
      </c>
      <c r="B81" s="1" t="n">
        <v>43461</v>
      </c>
      <c r="C81" s="1" t="n">
        <v>45348</v>
      </c>
      <c r="D81" t="inlineStr">
        <is>
          <t>VÄSTMANLANDS LÄN</t>
        </is>
      </c>
      <c r="E81" t="inlineStr">
        <is>
          <t>SALA</t>
        </is>
      </c>
      <c r="G81" t="n">
        <v>1.2</v>
      </c>
      <c r="H81" t="n">
        <v>0</v>
      </c>
      <c r="I81" t="n">
        <v>0</v>
      </c>
      <c r="J81" t="n">
        <v>0</v>
      </c>
      <c r="K81" t="n">
        <v>0</v>
      </c>
      <c r="L81" t="n">
        <v>0</v>
      </c>
      <c r="M81" t="n">
        <v>0</v>
      </c>
      <c r="N81" t="n">
        <v>0</v>
      </c>
      <c r="O81" t="n">
        <v>0</v>
      </c>
      <c r="P81" t="n">
        <v>0</v>
      </c>
      <c r="Q81" t="n">
        <v>0</v>
      </c>
      <c r="R81" s="2" t="inlineStr"/>
    </row>
    <row r="82" ht="15" customHeight="1">
      <c r="A82" t="inlineStr">
        <is>
          <t>A 72448-2018</t>
        </is>
      </c>
      <c r="B82" s="1" t="n">
        <v>43461</v>
      </c>
      <c r="C82" s="1" t="n">
        <v>45348</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1921-2019</t>
        </is>
      </c>
      <c r="B83" s="1" t="n">
        <v>43462</v>
      </c>
      <c r="C83" s="1" t="n">
        <v>45348</v>
      </c>
      <c r="D83" t="inlineStr">
        <is>
          <t>VÄSTMANLANDS LÄN</t>
        </is>
      </c>
      <c r="E83" t="inlineStr">
        <is>
          <t>SALA</t>
        </is>
      </c>
      <c r="G83" t="n">
        <v>0.8</v>
      </c>
      <c r="H83" t="n">
        <v>0</v>
      </c>
      <c r="I83" t="n">
        <v>0</v>
      </c>
      <c r="J83" t="n">
        <v>0</v>
      </c>
      <c r="K83" t="n">
        <v>0</v>
      </c>
      <c r="L83" t="n">
        <v>0</v>
      </c>
      <c r="M83" t="n">
        <v>0</v>
      </c>
      <c r="N83" t="n">
        <v>0</v>
      </c>
      <c r="O83" t="n">
        <v>0</v>
      </c>
      <c r="P83" t="n">
        <v>0</v>
      </c>
      <c r="Q83" t="n">
        <v>0</v>
      </c>
      <c r="R83" s="2" t="inlineStr"/>
    </row>
    <row r="84" ht="15" customHeight="1">
      <c r="A84" t="inlineStr">
        <is>
          <t>A 894-2019</t>
        </is>
      </c>
      <c r="B84" s="1" t="n">
        <v>43472</v>
      </c>
      <c r="C84" s="1" t="n">
        <v>45348</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1455-2019</t>
        </is>
      </c>
      <c r="B85" s="1" t="n">
        <v>43473</v>
      </c>
      <c r="C85" s="1" t="n">
        <v>45348</v>
      </c>
      <c r="D85" t="inlineStr">
        <is>
          <t>VÄSTMANLANDS LÄN</t>
        </is>
      </c>
      <c r="E85" t="inlineStr">
        <is>
          <t>SALA</t>
        </is>
      </c>
      <c r="G85" t="n">
        <v>6</v>
      </c>
      <c r="H85" t="n">
        <v>0</v>
      </c>
      <c r="I85" t="n">
        <v>0</v>
      </c>
      <c r="J85" t="n">
        <v>0</v>
      </c>
      <c r="K85" t="n">
        <v>0</v>
      </c>
      <c r="L85" t="n">
        <v>0</v>
      </c>
      <c r="M85" t="n">
        <v>0</v>
      </c>
      <c r="N85" t="n">
        <v>0</v>
      </c>
      <c r="O85" t="n">
        <v>0</v>
      </c>
      <c r="P85" t="n">
        <v>0</v>
      </c>
      <c r="Q85" t="n">
        <v>0</v>
      </c>
      <c r="R85" s="2" t="inlineStr"/>
    </row>
    <row r="86" ht="15" customHeight="1">
      <c r="A86" t="inlineStr">
        <is>
          <t>A 1883-2019</t>
        </is>
      </c>
      <c r="B86" s="1" t="n">
        <v>43474</v>
      </c>
      <c r="C86" s="1" t="n">
        <v>45348</v>
      </c>
      <c r="D86" t="inlineStr">
        <is>
          <t>VÄSTMANLANDS LÄN</t>
        </is>
      </c>
      <c r="E86" t="inlineStr">
        <is>
          <t>SALA</t>
        </is>
      </c>
      <c r="G86" t="n">
        <v>0.5</v>
      </c>
      <c r="H86" t="n">
        <v>0</v>
      </c>
      <c r="I86" t="n">
        <v>0</v>
      </c>
      <c r="J86" t="n">
        <v>0</v>
      </c>
      <c r="K86" t="n">
        <v>0</v>
      </c>
      <c r="L86" t="n">
        <v>0</v>
      </c>
      <c r="M86" t="n">
        <v>0</v>
      </c>
      <c r="N86" t="n">
        <v>0</v>
      </c>
      <c r="O86" t="n">
        <v>0</v>
      </c>
      <c r="P86" t="n">
        <v>0</v>
      </c>
      <c r="Q86" t="n">
        <v>0</v>
      </c>
      <c r="R86" s="2" t="inlineStr"/>
    </row>
    <row r="87" ht="15" customHeight="1">
      <c r="A87" t="inlineStr">
        <is>
          <t>A 3403-2019</t>
        </is>
      </c>
      <c r="B87" s="1" t="n">
        <v>43480</v>
      </c>
      <c r="C87" s="1" t="n">
        <v>45348</v>
      </c>
      <c r="D87" t="inlineStr">
        <is>
          <t>VÄSTMANLANDS LÄN</t>
        </is>
      </c>
      <c r="E87" t="inlineStr">
        <is>
          <t>SALA</t>
        </is>
      </c>
      <c r="G87" t="n">
        <v>0.7</v>
      </c>
      <c r="H87" t="n">
        <v>0</v>
      </c>
      <c r="I87" t="n">
        <v>0</v>
      </c>
      <c r="J87" t="n">
        <v>0</v>
      </c>
      <c r="K87" t="n">
        <v>0</v>
      </c>
      <c r="L87" t="n">
        <v>0</v>
      </c>
      <c r="M87" t="n">
        <v>0</v>
      </c>
      <c r="N87" t="n">
        <v>0</v>
      </c>
      <c r="O87" t="n">
        <v>0</v>
      </c>
      <c r="P87" t="n">
        <v>0</v>
      </c>
      <c r="Q87" t="n">
        <v>0</v>
      </c>
      <c r="R87" s="2" t="inlineStr"/>
    </row>
    <row r="88" ht="15" customHeight="1">
      <c r="A88" t="inlineStr">
        <is>
          <t>A 3977-2019</t>
        </is>
      </c>
      <c r="B88" s="1" t="n">
        <v>43482</v>
      </c>
      <c r="C88" s="1" t="n">
        <v>45348</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4445-2019</t>
        </is>
      </c>
      <c r="B89" s="1" t="n">
        <v>43485</v>
      </c>
      <c r="C89" s="1" t="n">
        <v>45348</v>
      </c>
      <c r="D89" t="inlineStr">
        <is>
          <t>VÄSTMANLANDS LÄN</t>
        </is>
      </c>
      <c r="E89" t="inlineStr">
        <is>
          <t>SALA</t>
        </is>
      </c>
      <c r="G89" t="n">
        <v>1.8</v>
      </c>
      <c r="H89" t="n">
        <v>0</v>
      </c>
      <c r="I89" t="n">
        <v>0</v>
      </c>
      <c r="J89" t="n">
        <v>0</v>
      </c>
      <c r="K89" t="n">
        <v>0</v>
      </c>
      <c r="L89" t="n">
        <v>0</v>
      </c>
      <c r="M89" t="n">
        <v>0</v>
      </c>
      <c r="N89" t="n">
        <v>0</v>
      </c>
      <c r="O89" t="n">
        <v>0</v>
      </c>
      <c r="P89" t="n">
        <v>0</v>
      </c>
      <c r="Q89" t="n">
        <v>0</v>
      </c>
      <c r="R89" s="2" t="inlineStr"/>
    </row>
    <row r="90" ht="15" customHeight="1">
      <c r="A90" t="inlineStr">
        <is>
          <t>A 5211-2019</t>
        </is>
      </c>
      <c r="B90" s="1" t="n">
        <v>43488</v>
      </c>
      <c r="C90" s="1" t="n">
        <v>45348</v>
      </c>
      <c r="D90" t="inlineStr">
        <is>
          <t>VÄSTMANLANDS LÄN</t>
        </is>
      </c>
      <c r="E90" t="inlineStr">
        <is>
          <t>SALA</t>
        </is>
      </c>
      <c r="G90" t="n">
        <v>2.2</v>
      </c>
      <c r="H90" t="n">
        <v>0</v>
      </c>
      <c r="I90" t="n">
        <v>0</v>
      </c>
      <c r="J90" t="n">
        <v>0</v>
      </c>
      <c r="K90" t="n">
        <v>0</v>
      </c>
      <c r="L90" t="n">
        <v>0</v>
      </c>
      <c r="M90" t="n">
        <v>0</v>
      </c>
      <c r="N90" t="n">
        <v>0</v>
      </c>
      <c r="O90" t="n">
        <v>0</v>
      </c>
      <c r="P90" t="n">
        <v>0</v>
      </c>
      <c r="Q90" t="n">
        <v>0</v>
      </c>
      <c r="R90" s="2" t="inlineStr"/>
    </row>
    <row r="91" ht="15" customHeight="1">
      <c r="A91" t="inlineStr">
        <is>
          <t>A 5221-2019</t>
        </is>
      </c>
      <c r="B91" s="1" t="n">
        <v>43488</v>
      </c>
      <c r="C91" s="1" t="n">
        <v>45348</v>
      </c>
      <c r="D91" t="inlineStr">
        <is>
          <t>VÄSTMANLANDS LÄN</t>
        </is>
      </c>
      <c r="E91" t="inlineStr">
        <is>
          <t>SALA</t>
        </is>
      </c>
      <c r="G91" t="n">
        <v>2.5</v>
      </c>
      <c r="H91" t="n">
        <v>0</v>
      </c>
      <c r="I91" t="n">
        <v>0</v>
      </c>
      <c r="J91" t="n">
        <v>0</v>
      </c>
      <c r="K91" t="n">
        <v>0</v>
      </c>
      <c r="L91" t="n">
        <v>0</v>
      </c>
      <c r="M91" t="n">
        <v>0</v>
      </c>
      <c r="N91" t="n">
        <v>0</v>
      </c>
      <c r="O91" t="n">
        <v>0</v>
      </c>
      <c r="P91" t="n">
        <v>0</v>
      </c>
      <c r="Q91" t="n">
        <v>0</v>
      </c>
      <c r="R91" s="2" t="inlineStr"/>
    </row>
    <row r="92" ht="15" customHeight="1">
      <c r="A92" t="inlineStr">
        <is>
          <t>A 7446-2019</t>
        </is>
      </c>
      <c r="B92" s="1" t="n">
        <v>43493</v>
      </c>
      <c r="C92" s="1" t="n">
        <v>45348</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7273-2019</t>
        </is>
      </c>
      <c r="B93" s="1" t="n">
        <v>43496</v>
      </c>
      <c r="C93" s="1" t="n">
        <v>45348</v>
      </c>
      <c r="D93" t="inlineStr">
        <is>
          <t>VÄSTMANLANDS LÄN</t>
        </is>
      </c>
      <c r="E93" t="inlineStr">
        <is>
          <t>SALA</t>
        </is>
      </c>
      <c r="G93" t="n">
        <v>2.6</v>
      </c>
      <c r="H93" t="n">
        <v>0</v>
      </c>
      <c r="I93" t="n">
        <v>0</v>
      </c>
      <c r="J93" t="n">
        <v>0</v>
      </c>
      <c r="K93" t="n">
        <v>0</v>
      </c>
      <c r="L93" t="n">
        <v>0</v>
      </c>
      <c r="M93" t="n">
        <v>0</v>
      </c>
      <c r="N93" t="n">
        <v>0</v>
      </c>
      <c r="O93" t="n">
        <v>0</v>
      </c>
      <c r="P93" t="n">
        <v>0</v>
      </c>
      <c r="Q93" t="n">
        <v>0</v>
      </c>
      <c r="R93" s="2" t="inlineStr"/>
    </row>
    <row r="94" ht="15" customHeight="1">
      <c r="A94" t="inlineStr">
        <is>
          <t>A 8492-2019</t>
        </is>
      </c>
      <c r="B94" s="1" t="n">
        <v>43502</v>
      </c>
      <c r="C94" s="1" t="n">
        <v>45348</v>
      </c>
      <c r="D94" t="inlineStr">
        <is>
          <t>VÄSTMANLANDS LÄN</t>
        </is>
      </c>
      <c r="E94" t="inlineStr">
        <is>
          <t>SALA</t>
        </is>
      </c>
      <c r="F94" t="inlineStr">
        <is>
          <t>Kommuner</t>
        </is>
      </c>
      <c r="G94" t="n">
        <v>8</v>
      </c>
      <c r="H94" t="n">
        <v>0</v>
      </c>
      <c r="I94" t="n">
        <v>0</v>
      </c>
      <c r="J94" t="n">
        <v>0</v>
      </c>
      <c r="K94" t="n">
        <v>0</v>
      </c>
      <c r="L94" t="n">
        <v>0</v>
      </c>
      <c r="M94" t="n">
        <v>0</v>
      </c>
      <c r="N94" t="n">
        <v>0</v>
      </c>
      <c r="O94" t="n">
        <v>0</v>
      </c>
      <c r="P94" t="n">
        <v>0</v>
      </c>
      <c r="Q94" t="n">
        <v>0</v>
      </c>
      <c r="R94" s="2" t="inlineStr"/>
    </row>
    <row r="95" ht="15" customHeight="1">
      <c r="A95" t="inlineStr">
        <is>
          <t>A 8564-2019</t>
        </is>
      </c>
      <c r="B95" s="1" t="n">
        <v>43502</v>
      </c>
      <c r="C95" s="1" t="n">
        <v>45348</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8488-2019</t>
        </is>
      </c>
      <c r="B96" s="1" t="n">
        <v>43502</v>
      </c>
      <c r="C96" s="1" t="n">
        <v>45348</v>
      </c>
      <c r="D96" t="inlineStr">
        <is>
          <t>VÄSTMANLANDS LÄN</t>
        </is>
      </c>
      <c r="E96" t="inlineStr">
        <is>
          <t>SALA</t>
        </is>
      </c>
      <c r="F96" t="inlineStr">
        <is>
          <t>Kommuner</t>
        </is>
      </c>
      <c r="G96" t="n">
        <v>9</v>
      </c>
      <c r="H96" t="n">
        <v>0</v>
      </c>
      <c r="I96" t="n">
        <v>0</v>
      </c>
      <c r="J96" t="n">
        <v>0</v>
      </c>
      <c r="K96" t="n">
        <v>0</v>
      </c>
      <c r="L96" t="n">
        <v>0</v>
      </c>
      <c r="M96" t="n">
        <v>0</v>
      </c>
      <c r="N96" t="n">
        <v>0</v>
      </c>
      <c r="O96" t="n">
        <v>0</v>
      </c>
      <c r="P96" t="n">
        <v>0</v>
      </c>
      <c r="Q96" t="n">
        <v>0</v>
      </c>
      <c r="R96" s="2" t="inlineStr"/>
    </row>
    <row r="97" ht="15" customHeight="1">
      <c r="A97" t="inlineStr">
        <is>
          <t>A 8865-2019</t>
        </is>
      </c>
      <c r="B97" s="1" t="n">
        <v>43503</v>
      </c>
      <c r="C97" s="1" t="n">
        <v>45348</v>
      </c>
      <c r="D97" t="inlineStr">
        <is>
          <t>VÄSTMANLANDS LÄN</t>
        </is>
      </c>
      <c r="E97" t="inlineStr">
        <is>
          <t>SALA</t>
        </is>
      </c>
      <c r="G97" t="n">
        <v>6.7</v>
      </c>
      <c r="H97" t="n">
        <v>0</v>
      </c>
      <c r="I97" t="n">
        <v>0</v>
      </c>
      <c r="J97" t="n">
        <v>0</v>
      </c>
      <c r="K97" t="n">
        <v>0</v>
      </c>
      <c r="L97" t="n">
        <v>0</v>
      </c>
      <c r="M97" t="n">
        <v>0</v>
      </c>
      <c r="N97" t="n">
        <v>0</v>
      </c>
      <c r="O97" t="n">
        <v>0</v>
      </c>
      <c r="P97" t="n">
        <v>0</v>
      </c>
      <c r="Q97" t="n">
        <v>0</v>
      </c>
      <c r="R97" s="2" t="inlineStr"/>
    </row>
    <row r="98" ht="15" customHeight="1">
      <c r="A98" t="inlineStr">
        <is>
          <t>A 9130-2019</t>
        </is>
      </c>
      <c r="B98" s="1" t="n">
        <v>43504</v>
      </c>
      <c r="C98" s="1" t="n">
        <v>45348</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9515-2019</t>
        </is>
      </c>
      <c r="B99" s="1" t="n">
        <v>43507</v>
      </c>
      <c r="C99" s="1" t="n">
        <v>45348</v>
      </c>
      <c r="D99" t="inlineStr">
        <is>
          <t>VÄSTMANLANDS LÄN</t>
        </is>
      </c>
      <c r="E99" t="inlineStr">
        <is>
          <t>SALA</t>
        </is>
      </c>
      <c r="G99" t="n">
        <v>4.1</v>
      </c>
      <c r="H99" t="n">
        <v>0</v>
      </c>
      <c r="I99" t="n">
        <v>0</v>
      </c>
      <c r="J99" t="n">
        <v>0</v>
      </c>
      <c r="K99" t="n">
        <v>0</v>
      </c>
      <c r="L99" t="n">
        <v>0</v>
      </c>
      <c r="M99" t="n">
        <v>0</v>
      </c>
      <c r="N99" t="n">
        <v>0</v>
      </c>
      <c r="O99" t="n">
        <v>0</v>
      </c>
      <c r="P99" t="n">
        <v>0</v>
      </c>
      <c r="Q99" t="n">
        <v>0</v>
      </c>
      <c r="R99" s="2" t="inlineStr"/>
    </row>
    <row r="100" ht="15" customHeight="1">
      <c r="A100" t="inlineStr">
        <is>
          <t>A 10137-2019</t>
        </is>
      </c>
      <c r="B100" s="1" t="n">
        <v>43510</v>
      </c>
      <c r="C100" s="1" t="n">
        <v>45348</v>
      </c>
      <c r="D100" t="inlineStr">
        <is>
          <t>VÄSTMANLANDS LÄN</t>
        </is>
      </c>
      <c r="E100" t="inlineStr">
        <is>
          <t>SALA</t>
        </is>
      </c>
      <c r="G100" t="n">
        <v>3.4</v>
      </c>
      <c r="H100" t="n">
        <v>0</v>
      </c>
      <c r="I100" t="n">
        <v>0</v>
      </c>
      <c r="J100" t="n">
        <v>0</v>
      </c>
      <c r="K100" t="n">
        <v>0</v>
      </c>
      <c r="L100" t="n">
        <v>0</v>
      </c>
      <c r="M100" t="n">
        <v>0</v>
      </c>
      <c r="N100" t="n">
        <v>0</v>
      </c>
      <c r="O100" t="n">
        <v>0</v>
      </c>
      <c r="P100" t="n">
        <v>0</v>
      </c>
      <c r="Q100" t="n">
        <v>0</v>
      </c>
      <c r="R100" s="2" t="inlineStr"/>
    </row>
    <row r="101" ht="15" customHeight="1">
      <c r="A101" t="inlineStr">
        <is>
          <t>A 10144-2019</t>
        </is>
      </c>
      <c r="B101" s="1" t="n">
        <v>43510</v>
      </c>
      <c r="C101" s="1" t="n">
        <v>45348</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10127-2019</t>
        </is>
      </c>
      <c r="B102" s="1" t="n">
        <v>43510</v>
      </c>
      <c r="C102" s="1" t="n">
        <v>45348</v>
      </c>
      <c r="D102" t="inlineStr">
        <is>
          <t>VÄSTMANLANDS LÄN</t>
        </is>
      </c>
      <c r="E102" t="inlineStr">
        <is>
          <t>SALA</t>
        </is>
      </c>
      <c r="G102" t="n">
        <v>2.5</v>
      </c>
      <c r="H102" t="n">
        <v>0</v>
      </c>
      <c r="I102" t="n">
        <v>0</v>
      </c>
      <c r="J102" t="n">
        <v>0</v>
      </c>
      <c r="K102" t="n">
        <v>0</v>
      </c>
      <c r="L102" t="n">
        <v>0</v>
      </c>
      <c r="M102" t="n">
        <v>0</v>
      </c>
      <c r="N102" t="n">
        <v>0</v>
      </c>
      <c r="O102" t="n">
        <v>0</v>
      </c>
      <c r="P102" t="n">
        <v>0</v>
      </c>
      <c r="Q102" t="n">
        <v>0</v>
      </c>
      <c r="R102" s="2" t="inlineStr"/>
    </row>
    <row r="103" ht="15" customHeight="1">
      <c r="A103" t="inlineStr">
        <is>
          <t>A 10155-2019</t>
        </is>
      </c>
      <c r="B103" s="1" t="n">
        <v>43510</v>
      </c>
      <c r="C103" s="1" t="n">
        <v>45348</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10479-2019</t>
        </is>
      </c>
      <c r="B104" s="1" t="n">
        <v>43511</v>
      </c>
      <c r="C104" s="1" t="n">
        <v>45348</v>
      </c>
      <c r="D104" t="inlineStr">
        <is>
          <t>VÄSTMANLANDS LÄN</t>
        </is>
      </c>
      <c r="E104" t="inlineStr">
        <is>
          <t>SALA</t>
        </is>
      </c>
      <c r="G104" t="n">
        <v>0.9</v>
      </c>
      <c r="H104" t="n">
        <v>0</v>
      </c>
      <c r="I104" t="n">
        <v>0</v>
      </c>
      <c r="J104" t="n">
        <v>0</v>
      </c>
      <c r="K104" t="n">
        <v>0</v>
      </c>
      <c r="L104" t="n">
        <v>0</v>
      </c>
      <c r="M104" t="n">
        <v>0</v>
      </c>
      <c r="N104" t="n">
        <v>0</v>
      </c>
      <c r="O104" t="n">
        <v>0</v>
      </c>
      <c r="P104" t="n">
        <v>0</v>
      </c>
      <c r="Q104" t="n">
        <v>0</v>
      </c>
      <c r="R104" s="2" t="inlineStr"/>
    </row>
    <row r="105" ht="15" customHeight="1">
      <c r="A105" t="inlineStr">
        <is>
          <t>A 12383-2019</t>
        </is>
      </c>
      <c r="B105" s="1" t="n">
        <v>43523</v>
      </c>
      <c r="C105" s="1" t="n">
        <v>45348</v>
      </c>
      <c r="D105" t="inlineStr">
        <is>
          <t>VÄSTMANLANDS LÄN</t>
        </is>
      </c>
      <c r="E105" t="inlineStr">
        <is>
          <t>SALA</t>
        </is>
      </c>
      <c r="G105" t="n">
        <v>2.4</v>
      </c>
      <c r="H105" t="n">
        <v>0</v>
      </c>
      <c r="I105" t="n">
        <v>0</v>
      </c>
      <c r="J105" t="n">
        <v>0</v>
      </c>
      <c r="K105" t="n">
        <v>0</v>
      </c>
      <c r="L105" t="n">
        <v>0</v>
      </c>
      <c r="M105" t="n">
        <v>0</v>
      </c>
      <c r="N105" t="n">
        <v>0</v>
      </c>
      <c r="O105" t="n">
        <v>0</v>
      </c>
      <c r="P105" t="n">
        <v>0</v>
      </c>
      <c r="Q105" t="n">
        <v>0</v>
      </c>
      <c r="R105" s="2" t="inlineStr"/>
    </row>
    <row r="106" ht="15" customHeight="1">
      <c r="A106" t="inlineStr">
        <is>
          <t>A 13081-2019</t>
        </is>
      </c>
      <c r="B106" s="1" t="n">
        <v>43527</v>
      </c>
      <c r="C106" s="1" t="n">
        <v>45348</v>
      </c>
      <c r="D106" t="inlineStr">
        <is>
          <t>VÄSTMANLANDS LÄN</t>
        </is>
      </c>
      <c r="E106" t="inlineStr">
        <is>
          <t>SALA</t>
        </is>
      </c>
      <c r="G106" t="n">
        <v>15</v>
      </c>
      <c r="H106" t="n">
        <v>0</v>
      </c>
      <c r="I106" t="n">
        <v>0</v>
      </c>
      <c r="J106" t="n">
        <v>0</v>
      </c>
      <c r="K106" t="n">
        <v>0</v>
      </c>
      <c r="L106" t="n">
        <v>0</v>
      </c>
      <c r="M106" t="n">
        <v>0</v>
      </c>
      <c r="N106" t="n">
        <v>0</v>
      </c>
      <c r="O106" t="n">
        <v>0</v>
      </c>
      <c r="P106" t="n">
        <v>0</v>
      </c>
      <c r="Q106" t="n">
        <v>0</v>
      </c>
      <c r="R106" s="2" t="inlineStr"/>
    </row>
    <row r="107" ht="15" customHeight="1">
      <c r="A107" t="inlineStr">
        <is>
          <t>A 14052-2019</t>
        </is>
      </c>
      <c r="B107" s="1" t="n">
        <v>43532</v>
      </c>
      <c r="C107" s="1" t="n">
        <v>45348</v>
      </c>
      <c r="D107" t="inlineStr">
        <is>
          <t>VÄSTMANLANDS LÄN</t>
        </is>
      </c>
      <c r="E107" t="inlineStr">
        <is>
          <t>SALA</t>
        </is>
      </c>
      <c r="G107" t="n">
        <v>0.1</v>
      </c>
      <c r="H107" t="n">
        <v>0</v>
      </c>
      <c r="I107" t="n">
        <v>0</v>
      </c>
      <c r="J107" t="n">
        <v>0</v>
      </c>
      <c r="K107" t="n">
        <v>0</v>
      </c>
      <c r="L107" t="n">
        <v>0</v>
      </c>
      <c r="M107" t="n">
        <v>0</v>
      </c>
      <c r="N107" t="n">
        <v>0</v>
      </c>
      <c r="O107" t="n">
        <v>0</v>
      </c>
      <c r="P107" t="n">
        <v>0</v>
      </c>
      <c r="Q107" t="n">
        <v>0</v>
      </c>
      <c r="R107" s="2" t="inlineStr"/>
    </row>
    <row r="108" ht="15" customHeight="1">
      <c r="A108" t="inlineStr">
        <is>
          <t>A 14471-2019</t>
        </is>
      </c>
      <c r="B108" s="1" t="n">
        <v>43536</v>
      </c>
      <c r="C108" s="1" t="n">
        <v>45348</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14860-2019</t>
        </is>
      </c>
      <c r="B109" s="1" t="n">
        <v>43537</v>
      </c>
      <c r="C109" s="1" t="n">
        <v>45348</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14975-2019</t>
        </is>
      </c>
      <c r="B110" s="1" t="n">
        <v>43538</v>
      </c>
      <c r="C110" s="1" t="n">
        <v>45348</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15694-2019</t>
        </is>
      </c>
      <c r="B111" s="1" t="n">
        <v>43543</v>
      </c>
      <c r="C111" s="1" t="n">
        <v>45348</v>
      </c>
      <c r="D111" t="inlineStr">
        <is>
          <t>VÄSTMANLANDS LÄN</t>
        </is>
      </c>
      <c r="E111" t="inlineStr">
        <is>
          <t>SALA</t>
        </is>
      </c>
      <c r="G111" t="n">
        <v>5.3</v>
      </c>
      <c r="H111" t="n">
        <v>0</v>
      </c>
      <c r="I111" t="n">
        <v>0</v>
      </c>
      <c r="J111" t="n">
        <v>0</v>
      </c>
      <c r="K111" t="n">
        <v>0</v>
      </c>
      <c r="L111" t="n">
        <v>0</v>
      </c>
      <c r="M111" t="n">
        <v>0</v>
      </c>
      <c r="N111" t="n">
        <v>0</v>
      </c>
      <c r="O111" t="n">
        <v>0</v>
      </c>
      <c r="P111" t="n">
        <v>0</v>
      </c>
      <c r="Q111" t="n">
        <v>0</v>
      </c>
      <c r="R111" s="2" t="inlineStr"/>
    </row>
    <row r="112" ht="15" customHeight="1">
      <c r="A112" t="inlineStr">
        <is>
          <t>A 15840-2019</t>
        </is>
      </c>
      <c r="B112" s="1" t="n">
        <v>43543</v>
      </c>
      <c r="C112" s="1" t="n">
        <v>45348</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16587-2019</t>
        </is>
      </c>
      <c r="B113" s="1" t="n">
        <v>43548</v>
      </c>
      <c r="C113" s="1" t="n">
        <v>45348</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17509-2019</t>
        </is>
      </c>
      <c r="B114" s="1" t="n">
        <v>43553</v>
      </c>
      <c r="C114" s="1" t="n">
        <v>45348</v>
      </c>
      <c r="D114" t="inlineStr">
        <is>
          <t>VÄSTMANLANDS LÄN</t>
        </is>
      </c>
      <c r="E114" t="inlineStr">
        <is>
          <t>SALA</t>
        </is>
      </c>
      <c r="G114" t="n">
        <v>1</v>
      </c>
      <c r="H114" t="n">
        <v>0</v>
      </c>
      <c r="I114" t="n">
        <v>0</v>
      </c>
      <c r="J114" t="n">
        <v>0</v>
      </c>
      <c r="K114" t="n">
        <v>0</v>
      </c>
      <c r="L114" t="n">
        <v>0</v>
      </c>
      <c r="M114" t="n">
        <v>0</v>
      </c>
      <c r="N114" t="n">
        <v>0</v>
      </c>
      <c r="O114" t="n">
        <v>0</v>
      </c>
      <c r="P114" t="n">
        <v>0</v>
      </c>
      <c r="Q114" t="n">
        <v>0</v>
      </c>
      <c r="R114" s="2" t="inlineStr"/>
    </row>
    <row r="115" ht="15" customHeight="1">
      <c r="A115" t="inlineStr">
        <is>
          <t>A 17518-2019</t>
        </is>
      </c>
      <c r="B115" s="1" t="n">
        <v>43553</v>
      </c>
      <c r="C115" s="1" t="n">
        <v>45348</v>
      </c>
      <c r="D115" t="inlineStr">
        <is>
          <t>VÄSTMANLANDS LÄN</t>
        </is>
      </c>
      <c r="E115" t="inlineStr">
        <is>
          <t>SALA</t>
        </is>
      </c>
      <c r="G115" t="n">
        <v>2.5</v>
      </c>
      <c r="H115" t="n">
        <v>0</v>
      </c>
      <c r="I115" t="n">
        <v>0</v>
      </c>
      <c r="J115" t="n">
        <v>0</v>
      </c>
      <c r="K115" t="n">
        <v>0</v>
      </c>
      <c r="L115" t="n">
        <v>0</v>
      </c>
      <c r="M115" t="n">
        <v>0</v>
      </c>
      <c r="N115" t="n">
        <v>0</v>
      </c>
      <c r="O115" t="n">
        <v>0</v>
      </c>
      <c r="P115" t="n">
        <v>0</v>
      </c>
      <c r="Q115" t="n">
        <v>0</v>
      </c>
      <c r="R115" s="2" t="inlineStr"/>
    </row>
    <row r="116" ht="15" customHeight="1">
      <c r="A116" t="inlineStr">
        <is>
          <t>A 18255-2019</t>
        </is>
      </c>
      <c r="B116" s="1" t="n">
        <v>43558</v>
      </c>
      <c r="C116" s="1" t="n">
        <v>45348</v>
      </c>
      <c r="D116" t="inlineStr">
        <is>
          <t>VÄSTMANLANDS LÄN</t>
        </is>
      </c>
      <c r="E116" t="inlineStr">
        <is>
          <t>SALA</t>
        </is>
      </c>
      <c r="F116" t="inlineStr">
        <is>
          <t>Kommuner</t>
        </is>
      </c>
      <c r="G116" t="n">
        <v>2.2</v>
      </c>
      <c r="H116" t="n">
        <v>0</v>
      </c>
      <c r="I116" t="n">
        <v>0</v>
      </c>
      <c r="J116" t="n">
        <v>0</v>
      </c>
      <c r="K116" t="n">
        <v>0</v>
      </c>
      <c r="L116" t="n">
        <v>0</v>
      </c>
      <c r="M116" t="n">
        <v>0</v>
      </c>
      <c r="N116" t="n">
        <v>0</v>
      </c>
      <c r="O116" t="n">
        <v>0</v>
      </c>
      <c r="P116" t="n">
        <v>0</v>
      </c>
      <c r="Q116" t="n">
        <v>0</v>
      </c>
      <c r="R116" s="2" t="inlineStr"/>
    </row>
    <row r="117" ht="15" customHeight="1">
      <c r="A117" t="inlineStr">
        <is>
          <t>A 18352-2019</t>
        </is>
      </c>
      <c r="B117" s="1" t="n">
        <v>43559</v>
      </c>
      <c r="C117" s="1" t="n">
        <v>45348</v>
      </c>
      <c r="D117" t="inlineStr">
        <is>
          <t>VÄSTMANLANDS LÄN</t>
        </is>
      </c>
      <c r="E117" t="inlineStr">
        <is>
          <t>SALA</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18791-2019</t>
        </is>
      </c>
      <c r="B118" s="1" t="n">
        <v>43562</v>
      </c>
      <c r="C118" s="1" t="n">
        <v>45348</v>
      </c>
      <c r="D118" t="inlineStr">
        <is>
          <t>VÄSTMANLANDS LÄN</t>
        </is>
      </c>
      <c r="E118" t="inlineStr">
        <is>
          <t>SALA</t>
        </is>
      </c>
      <c r="G118" t="n">
        <v>3.4</v>
      </c>
      <c r="H118" t="n">
        <v>0</v>
      </c>
      <c r="I118" t="n">
        <v>0</v>
      </c>
      <c r="J118" t="n">
        <v>0</v>
      </c>
      <c r="K118" t="n">
        <v>0</v>
      </c>
      <c r="L118" t="n">
        <v>0</v>
      </c>
      <c r="M118" t="n">
        <v>0</v>
      </c>
      <c r="N118" t="n">
        <v>0</v>
      </c>
      <c r="O118" t="n">
        <v>0</v>
      </c>
      <c r="P118" t="n">
        <v>0</v>
      </c>
      <c r="Q118" t="n">
        <v>0</v>
      </c>
      <c r="R118" s="2" t="inlineStr"/>
    </row>
    <row r="119" ht="15" customHeight="1">
      <c r="A119" t="inlineStr">
        <is>
          <t>A 18961-2019</t>
        </is>
      </c>
      <c r="B119" s="1" t="n">
        <v>43563</v>
      </c>
      <c r="C119" s="1" t="n">
        <v>45348</v>
      </c>
      <c r="D119" t="inlineStr">
        <is>
          <t>VÄSTMANLANDS LÄN</t>
        </is>
      </c>
      <c r="E119" t="inlineStr">
        <is>
          <t>SALA</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19869-2019</t>
        </is>
      </c>
      <c r="B120" s="1" t="n">
        <v>43567</v>
      </c>
      <c r="C120" s="1" t="n">
        <v>45348</v>
      </c>
      <c r="D120" t="inlineStr">
        <is>
          <t>VÄSTMANLANDS LÄN</t>
        </is>
      </c>
      <c r="E120" t="inlineStr">
        <is>
          <t>SALA</t>
        </is>
      </c>
      <c r="G120" t="n">
        <v>1.6</v>
      </c>
      <c r="H120" t="n">
        <v>0</v>
      </c>
      <c r="I120" t="n">
        <v>0</v>
      </c>
      <c r="J120" t="n">
        <v>0</v>
      </c>
      <c r="K120" t="n">
        <v>0</v>
      </c>
      <c r="L120" t="n">
        <v>0</v>
      </c>
      <c r="M120" t="n">
        <v>0</v>
      </c>
      <c r="N120" t="n">
        <v>0</v>
      </c>
      <c r="O120" t="n">
        <v>0</v>
      </c>
      <c r="P120" t="n">
        <v>0</v>
      </c>
      <c r="Q120" t="n">
        <v>0</v>
      </c>
      <c r="R120" s="2" t="inlineStr"/>
    </row>
    <row r="121" ht="15" customHeight="1">
      <c r="A121" t="inlineStr">
        <is>
          <t>A 21985-2019</t>
        </is>
      </c>
      <c r="B121" s="1" t="n">
        <v>43584</v>
      </c>
      <c r="C121" s="1" t="n">
        <v>45348</v>
      </c>
      <c r="D121" t="inlineStr">
        <is>
          <t>VÄSTMANLANDS LÄN</t>
        </is>
      </c>
      <c r="E121" t="inlineStr">
        <is>
          <t>SALA</t>
        </is>
      </c>
      <c r="G121" t="n">
        <v>1.7</v>
      </c>
      <c r="H121" t="n">
        <v>0</v>
      </c>
      <c r="I121" t="n">
        <v>0</v>
      </c>
      <c r="J121" t="n">
        <v>0</v>
      </c>
      <c r="K121" t="n">
        <v>0</v>
      </c>
      <c r="L121" t="n">
        <v>0</v>
      </c>
      <c r="M121" t="n">
        <v>0</v>
      </c>
      <c r="N121" t="n">
        <v>0</v>
      </c>
      <c r="O121" t="n">
        <v>0</v>
      </c>
      <c r="P121" t="n">
        <v>0</v>
      </c>
      <c r="Q121" t="n">
        <v>0</v>
      </c>
      <c r="R121" s="2" t="inlineStr"/>
    </row>
    <row r="122" ht="15" customHeight="1">
      <c r="A122" t="inlineStr">
        <is>
          <t>A 22249-2019</t>
        </is>
      </c>
      <c r="B122" s="1" t="n">
        <v>43585</v>
      </c>
      <c r="C122" s="1" t="n">
        <v>45348</v>
      </c>
      <c r="D122" t="inlineStr">
        <is>
          <t>VÄSTMANLANDS LÄN</t>
        </is>
      </c>
      <c r="E122" t="inlineStr">
        <is>
          <t>SALA</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22833-2019</t>
        </is>
      </c>
      <c r="B123" s="1" t="n">
        <v>43591</v>
      </c>
      <c r="C123" s="1" t="n">
        <v>45348</v>
      </c>
      <c r="D123" t="inlineStr">
        <is>
          <t>VÄSTMANLANDS LÄN</t>
        </is>
      </c>
      <c r="E123" t="inlineStr">
        <is>
          <t>SALA</t>
        </is>
      </c>
      <c r="F123" t="inlineStr">
        <is>
          <t>Sveaskog</t>
        </is>
      </c>
      <c r="G123" t="n">
        <v>0.2</v>
      </c>
      <c r="H123" t="n">
        <v>0</v>
      </c>
      <c r="I123" t="n">
        <v>0</v>
      </c>
      <c r="J123" t="n">
        <v>0</v>
      </c>
      <c r="K123" t="n">
        <v>0</v>
      </c>
      <c r="L123" t="n">
        <v>0</v>
      </c>
      <c r="M123" t="n">
        <v>0</v>
      </c>
      <c r="N123" t="n">
        <v>0</v>
      </c>
      <c r="O123" t="n">
        <v>0</v>
      </c>
      <c r="P123" t="n">
        <v>0</v>
      </c>
      <c r="Q123" t="n">
        <v>0</v>
      </c>
      <c r="R123" s="2" t="inlineStr"/>
    </row>
    <row r="124" ht="15" customHeight="1">
      <c r="A124" t="inlineStr">
        <is>
          <t>A 25005-2019</t>
        </is>
      </c>
      <c r="B124" s="1" t="n">
        <v>43602</v>
      </c>
      <c r="C124" s="1" t="n">
        <v>45348</v>
      </c>
      <c r="D124" t="inlineStr">
        <is>
          <t>VÄSTMANLANDS LÄN</t>
        </is>
      </c>
      <c r="E124" t="inlineStr">
        <is>
          <t>SALA</t>
        </is>
      </c>
      <c r="F124" t="inlineStr">
        <is>
          <t>Kommuner</t>
        </is>
      </c>
      <c r="G124" t="n">
        <v>4.3</v>
      </c>
      <c r="H124" t="n">
        <v>0</v>
      </c>
      <c r="I124" t="n">
        <v>0</v>
      </c>
      <c r="J124" t="n">
        <v>0</v>
      </c>
      <c r="K124" t="n">
        <v>0</v>
      </c>
      <c r="L124" t="n">
        <v>0</v>
      </c>
      <c r="M124" t="n">
        <v>0</v>
      </c>
      <c r="N124" t="n">
        <v>0</v>
      </c>
      <c r="O124" t="n">
        <v>0</v>
      </c>
      <c r="P124" t="n">
        <v>0</v>
      </c>
      <c r="Q124" t="n">
        <v>0</v>
      </c>
      <c r="R124" s="2" t="inlineStr"/>
    </row>
    <row r="125" ht="15" customHeight="1">
      <c r="A125" t="inlineStr">
        <is>
          <t>A 25814-2019</t>
        </is>
      </c>
      <c r="B125" s="1" t="n">
        <v>43608</v>
      </c>
      <c r="C125" s="1" t="n">
        <v>45348</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26861-2019</t>
        </is>
      </c>
      <c r="B126" s="1" t="n">
        <v>43613</v>
      </c>
      <c r="C126" s="1" t="n">
        <v>45348</v>
      </c>
      <c r="D126" t="inlineStr">
        <is>
          <t>VÄSTMANLANDS LÄN</t>
        </is>
      </c>
      <c r="E126" t="inlineStr">
        <is>
          <t>SALA</t>
        </is>
      </c>
      <c r="G126" t="n">
        <v>1.2</v>
      </c>
      <c r="H126" t="n">
        <v>0</v>
      </c>
      <c r="I126" t="n">
        <v>0</v>
      </c>
      <c r="J126" t="n">
        <v>0</v>
      </c>
      <c r="K126" t="n">
        <v>0</v>
      </c>
      <c r="L126" t="n">
        <v>0</v>
      </c>
      <c r="M126" t="n">
        <v>0</v>
      </c>
      <c r="N126" t="n">
        <v>0</v>
      </c>
      <c r="O126" t="n">
        <v>0</v>
      </c>
      <c r="P126" t="n">
        <v>0</v>
      </c>
      <c r="Q126" t="n">
        <v>0</v>
      </c>
      <c r="R126" s="2" t="inlineStr"/>
    </row>
    <row r="127" ht="15" customHeight="1">
      <c r="A127" t="inlineStr">
        <is>
          <t>A 27164-2019</t>
        </is>
      </c>
      <c r="B127" s="1" t="n">
        <v>43614</v>
      </c>
      <c r="C127" s="1" t="n">
        <v>45348</v>
      </c>
      <c r="D127" t="inlineStr">
        <is>
          <t>VÄSTMANLANDS LÄN</t>
        </is>
      </c>
      <c r="E127" t="inlineStr">
        <is>
          <t>SALA</t>
        </is>
      </c>
      <c r="G127" t="n">
        <v>1.9</v>
      </c>
      <c r="H127" t="n">
        <v>0</v>
      </c>
      <c r="I127" t="n">
        <v>0</v>
      </c>
      <c r="J127" t="n">
        <v>0</v>
      </c>
      <c r="K127" t="n">
        <v>0</v>
      </c>
      <c r="L127" t="n">
        <v>0</v>
      </c>
      <c r="M127" t="n">
        <v>0</v>
      </c>
      <c r="N127" t="n">
        <v>0</v>
      </c>
      <c r="O127" t="n">
        <v>0</v>
      </c>
      <c r="P127" t="n">
        <v>0</v>
      </c>
      <c r="Q127" t="n">
        <v>0</v>
      </c>
      <c r="R127" s="2" t="inlineStr"/>
    </row>
    <row r="128" ht="15" customHeight="1">
      <c r="A128" t="inlineStr">
        <is>
          <t>A 27040-2019</t>
        </is>
      </c>
      <c r="B128" s="1" t="n">
        <v>43614</v>
      </c>
      <c r="C128" s="1" t="n">
        <v>45348</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28132-2019</t>
        </is>
      </c>
      <c r="B129" s="1" t="n">
        <v>43621</v>
      </c>
      <c r="C129" s="1" t="n">
        <v>45348</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28143-2019</t>
        </is>
      </c>
      <c r="B130" s="1" t="n">
        <v>43621</v>
      </c>
      <c r="C130" s="1" t="n">
        <v>45348</v>
      </c>
      <c r="D130" t="inlineStr">
        <is>
          <t>VÄSTMANLANDS LÄN</t>
        </is>
      </c>
      <c r="E130" t="inlineStr">
        <is>
          <t>SALA</t>
        </is>
      </c>
      <c r="G130" t="n">
        <v>2.3</v>
      </c>
      <c r="H130" t="n">
        <v>0</v>
      </c>
      <c r="I130" t="n">
        <v>0</v>
      </c>
      <c r="J130" t="n">
        <v>0</v>
      </c>
      <c r="K130" t="n">
        <v>0</v>
      </c>
      <c r="L130" t="n">
        <v>0</v>
      </c>
      <c r="M130" t="n">
        <v>0</v>
      </c>
      <c r="N130" t="n">
        <v>0</v>
      </c>
      <c r="O130" t="n">
        <v>0</v>
      </c>
      <c r="P130" t="n">
        <v>0</v>
      </c>
      <c r="Q130" t="n">
        <v>0</v>
      </c>
      <c r="R130" s="2" t="inlineStr"/>
    </row>
    <row r="131" ht="15" customHeight="1">
      <c r="A131" t="inlineStr">
        <is>
          <t>A 28162-2019</t>
        </is>
      </c>
      <c r="B131" s="1" t="n">
        <v>43621</v>
      </c>
      <c r="C131" s="1" t="n">
        <v>45348</v>
      </c>
      <c r="D131" t="inlineStr">
        <is>
          <t>VÄSTMANLANDS LÄN</t>
        </is>
      </c>
      <c r="E131" t="inlineStr">
        <is>
          <t>SALA</t>
        </is>
      </c>
      <c r="G131" t="n">
        <v>0.4</v>
      </c>
      <c r="H131" t="n">
        <v>0</v>
      </c>
      <c r="I131" t="n">
        <v>0</v>
      </c>
      <c r="J131" t="n">
        <v>0</v>
      </c>
      <c r="K131" t="n">
        <v>0</v>
      </c>
      <c r="L131" t="n">
        <v>0</v>
      </c>
      <c r="M131" t="n">
        <v>0</v>
      </c>
      <c r="N131" t="n">
        <v>0</v>
      </c>
      <c r="O131" t="n">
        <v>0</v>
      </c>
      <c r="P131" t="n">
        <v>0</v>
      </c>
      <c r="Q131" t="n">
        <v>0</v>
      </c>
      <c r="R131" s="2" t="inlineStr"/>
    </row>
    <row r="132" ht="15" customHeight="1">
      <c r="A132" t="inlineStr">
        <is>
          <t>A 29023-2019</t>
        </is>
      </c>
      <c r="B132" s="1" t="n">
        <v>43628</v>
      </c>
      <c r="C132" s="1" t="n">
        <v>45348</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29331-2019</t>
        </is>
      </c>
      <c r="B133" s="1" t="n">
        <v>43629</v>
      </c>
      <c r="C133" s="1" t="n">
        <v>45348</v>
      </c>
      <c r="D133" t="inlineStr">
        <is>
          <t>VÄSTMANLANDS LÄN</t>
        </is>
      </c>
      <c r="E133" t="inlineStr">
        <is>
          <t>SALA</t>
        </is>
      </c>
      <c r="G133" t="n">
        <v>5</v>
      </c>
      <c r="H133" t="n">
        <v>0</v>
      </c>
      <c r="I133" t="n">
        <v>0</v>
      </c>
      <c r="J133" t="n">
        <v>0</v>
      </c>
      <c r="K133" t="n">
        <v>0</v>
      </c>
      <c r="L133" t="n">
        <v>0</v>
      </c>
      <c r="M133" t="n">
        <v>0</v>
      </c>
      <c r="N133" t="n">
        <v>0</v>
      </c>
      <c r="O133" t="n">
        <v>0</v>
      </c>
      <c r="P133" t="n">
        <v>0</v>
      </c>
      <c r="Q133" t="n">
        <v>0</v>
      </c>
      <c r="R133" s="2" t="inlineStr"/>
    </row>
    <row r="134" ht="15" customHeight="1">
      <c r="A134" t="inlineStr">
        <is>
          <t>A 31225-2019</t>
        </is>
      </c>
      <c r="B134" s="1" t="n">
        <v>43635</v>
      </c>
      <c r="C134" s="1" t="n">
        <v>45348</v>
      </c>
      <c r="D134" t="inlineStr">
        <is>
          <t>VÄSTMANLANDS LÄN</t>
        </is>
      </c>
      <c r="E134" t="inlineStr">
        <is>
          <t>SALA</t>
        </is>
      </c>
      <c r="G134" t="n">
        <v>1.5</v>
      </c>
      <c r="H134" t="n">
        <v>0</v>
      </c>
      <c r="I134" t="n">
        <v>0</v>
      </c>
      <c r="J134" t="n">
        <v>0</v>
      </c>
      <c r="K134" t="n">
        <v>0</v>
      </c>
      <c r="L134" t="n">
        <v>0</v>
      </c>
      <c r="M134" t="n">
        <v>0</v>
      </c>
      <c r="N134" t="n">
        <v>0</v>
      </c>
      <c r="O134" t="n">
        <v>0</v>
      </c>
      <c r="P134" t="n">
        <v>0</v>
      </c>
      <c r="Q134" t="n">
        <v>0</v>
      </c>
      <c r="R134" s="2" t="inlineStr"/>
    </row>
    <row r="135" ht="15" customHeight="1">
      <c r="A135" t="inlineStr">
        <is>
          <t>A 30974-2019</t>
        </is>
      </c>
      <c r="B135" s="1" t="n">
        <v>43639</v>
      </c>
      <c r="C135" s="1" t="n">
        <v>45348</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34709-2019</t>
        </is>
      </c>
      <c r="B136" s="1" t="n">
        <v>43648</v>
      </c>
      <c r="C136" s="1" t="n">
        <v>45348</v>
      </c>
      <c r="D136" t="inlineStr">
        <is>
          <t>VÄSTMANLANDS LÄN</t>
        </is>
      </c>
      <c r="E136" t="inlineStr">
        <is>
          <t>SALA</t>
        </is>
      </c>
      <c r="G136" t="n">
        <v>1.7</v>
      </c>
      <c r="H136" t="n">
        <v>0</v>
      </c>
      <c r="I136" t="n">
        <v>0</v>
      </c>
      <c r="J136" t="n">
        <v>0</v>
      </c>
      <c r="K136" t="n">
        <v>0</v>
      </c>
      <c r="L136" t="n">
        <v>0</v>
      </c>
      <c r="M136" t="n">
        <v>0</v>
      </c>
      <c r="N136" t="n">
        <v>0</v>
      </c>
      <c r="O136" t="n">
        <v>0</v>
      </c>
      <c r="P136" t="n">
        <v>0</v>
      </c>
      <c r="Q136" t="n">
        <v>0</v>
      </c>
      <c r="R136" s="2" t="inlineStr"/>
    </row>
    <row r="137" ht="15" customHeight="1">
      <c r="A137" t="inlineStr">
        <is>
          <t>A 35690-2019</t>
        </is>
      </c>
      <c r="B137" s="1" t="n">
        <v>43664</v>
      </c>
      <c r="C137" s="1" t="n">
        <v>45348</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36142-2019</t>
        </is>
      </c>
      <c r="B138" s="1" t="n">
        <v>43668</v>
      </c>
      <c r="C138" s="1" t="n">
        <v>45348</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36429-2019</t>
        </is>
      </c>
      <c r="B139" s="1" t="n">
        <v>43670</v>
      </c>
      <c r="C139" s="1" t="n">
        <v>45348</v>
      </c>
      <c r="D139" t="inlineStr">
        <is>
          <t>VÄSTMANLANDS LÄN</t>
        </is>
      </c>
      <c r="E139" t="inlineStr">
        <is>
          <t>SALA</t>
        </is>
      </c>
      <c r="G139" t="n">
        <v>2</v>
      </c>
      <c r="H139" t="n">
        <v>0</v>
      </c>
      <c r="I139" t="n">
        <v>0</v>
      </c>
      <c r="J139" t="n">
        <v>0</v>
      </c>
      <c r="K139" t="n">
        <v>0</v>
      </c>
      <c r="L139" t="n">
        <v>0</v>
      </c>
      <c r="M139" t="n">
        <v>0</v>
      </c>
      <c r="N139" t="n">
        <v>0</v>
      </c>
      <c r="O139" t="n">
        <v>0</v>
      </c>
      <c r="P139" t="n">
        <v>0</v>
      </c>
      <c r="Q139" t="n">
        <v>0</v>
      </c>
      <c r="R139" s="2" t="inlineStr"/>
    </row>
    <row r="140" ht="15" customHeight="1">
      <c r="A140" t="inlineStr">
        <is>
          <t>A 36600-2019</t>
        </is>
      </c>
      <c r="B140" s="1" t="n">
        <v>43671</v>
      </c>
      <c r="C140" s="1" t="n">
        <v>45348</v>
      </c>
      <c r="D140" t="inlineStr">
        <is>
          <t>VÄSTMANLANDS LÄN</t>
        </is>
      </c>
      <c r="E140" t="inlineStr">
        <is>
          <t>SALA</t>
        </is>
      </c>
      <c r="F140" t="inlineStr">
        <is>
          <t>Kyrkan</t>
        </is>
      </c>
      <c r="G140" t="n">
        <v>4.3</v>
      </c>
      <c r="H140" t="n">
        <v>0</v>
      </c>
      <c r="I140" t="n">
        <v>0</v>
      </c>
      <c r="J140" t="n">
        <v>0</v>
      </c>
      <c r="K140" t="n">
        <v>0</v>
      </c>
      <c r="L140" t="n">
        <v>0</v>
      </c>
      <c r="M140" t="n">
        <v>0</v>
      </c>
      <c r="N140" t="n">
        <v>0</v>
      </c>
      <c r="O140" t="n">
        <v>0</v>
      </c>
      <c r="P140" t="n">
        <v>0</v>
      </c>
      <c r="Q140" t="n">
        <v>0</v>
      </c>
      <c r="R140" s="2" t="inlineStr"/>
    </row>
    <row r="141" ht="15" customHeight="1">
      <c r="A141" t="inlineStr">
        <is>
          <t>A 37186-2019</t>
        </is>
      </c>
      <c r="B141" s="1" t="n">
        <v>43677</v>
      </c>
      <c r="C141" s="1" t="n">
        <v>45348</v>
      </c>
      <c r="D141" t="inlineStr">
        <is>
          <t>VÄSTMANLANDS LÄN</t>
        </is>
      </c>
      <c r="E141" t="inlineStr">
        <is>
          <t>SALA</t>
        </is>
      </c>
      <c r="G141" t="n">
        <v>1.8</v>
      </c>
      <c r="H141" t="n">
        <v>0</v>
      </c>
      <c r="I141" t="n">
        <v>0</v>
      </c>
      <c r="J141" t="n">
        <v>0</v>
      </c>
      <c r="K141" t="n">
        <v>0</v>
      </c>
      <c r="L141" t="n">
        <v>0</v>
      </c>
      <c r="M141" t="n">
        <v>0</v>
      </c>
      <c r="N141" t="n">
        <v>0</v>
      </c>
      <c r="O141" t="n">
        <v>0</v>
      </c>
      <c r="P141" t="n">
        <v>0</v>
      </c>
      <c r="Q141" t="n">
        <v>0</v>
      </c>
      <c r="R141" s="2" t="inlineStr"/>
    </row>
    <row r="142" ht="15" customHeight="1">
      <c r="A142" t="inlineStr">
        <is>
          <t>A 37533-2019</t>
        </is>
      </c>
      <c r="B142" s="1" t="n">
        <v>43679</v>
      </c>
      <c r="C142" s="1" t="n">
        <v>45348</v>
      </c>
      <c r="D142" t="inlineStr">
        <is>
          <t>VÄSTMANLANDS LÄN</t>
        </is>
      </c>
      <c r="E142" t="inlineStr">
        <is>
          <t>SALA</t>
        </is>
      </c>
      <c r="G142" t="n">
        <v>7.9</v>
      </c>
      <c r="H142" t="n">
        <v>0</v>
      </c>
      <c r="I142" t="n">
        <v>0</v>
      </c>
      <c r="J142" t="n">
        <v>0</v>
      </c>
      <c r="K142" t="n">
        <v>0</v>
      </c>
      <c r="L142" t="n">
        <v>0</v>
      </c>
      <c r="M142" t="n">
        <v>0</v>
      </c>
      <c r="N142" t="n">
        <v>0</v>
      </c>
      <c r="O142" t="n">
        <v>0</v>
      </c>
      <c r="P142" t="n">
        <v>0</v>
      </c>
      <c r="Q142" t="n">
        <v>0</v>
      </c>
      <c r="R142" s="2" t="inlineStr"/>
    </row>
    <row r="143" ht="15" customHeight="1">
      <c r="A143" t="inlineStr">
        <is>
          <t>A 38645-2019</t>
        </is>
      </c>
      <c r="B143" s="1" t="n">
        <v>43686</v>
      </c>
      <c r="C143" s="1" t="n">
        <v>45348</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39483-2019</t>
        </is>
      </c>
      <c r="B144" s="1" t="n">
        <v>43691</v>
      </c>
      <c r="C144" s="1" t="n">
        <v>45348</v>
      </c>
      <c r="D144" t="inlineStr">
        <is>
          <t>VÄSTMANLANDS LÄN</t>
        </is>
      </c>
      <c r="E144" t="inlineStr">
        <is>
          <t>SALA</t>
        </is>
      </c>
      <c r="G144" t="n">
        <v>4.6</v>
      </c>
      <c r="H144" t="n">
        <v>0</v>
      </c>
      <c r="I144" t="n">
        <v>0</v>
      </c>
      <c r="J144" t="n">
        <v>0</v>
      </c>
      <c r="K144" t="n">
        <v>0</v>
      </c>
      <c r="L144" t="n">
        <v>0</v>
      </c>
      <c r="M144" t="n">
        <v>0</v>
      </c>
      <c r="N144" t="n">
        <v>0</v>
      </c>
      <c r="O144" t="n">
        <v>0</v>
      </c>
      <c r="P144" t="n">
        <v>0</v>
      </c>
      <c r="Q144" t="n">
        <v>0</v>
      </c>
      <c r="R144" s="2" t="inlineStr"/>
    </row>
    <row r="145" ht="15" customHeight="1">
      <c r="A145" t="inlineStr">
        <is>
          <t>A 41259-2019</t>
        </is>
      </c>
      <c r="B145" s="1" t="n">
        <v>43698</v>
      </c>
      <c r="C145" s="1" t="n">
        <v>45348</v>
      </c>
      <c r="D145" t="inlineStr">
        <is>
          <t>VÄSTMANLANDS LÄN</t>
        </is>
      </c>
      <c r="E145" t="inlineStr">
        <is>
          <t>SALA</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45302-2019</t>
        </is>
      </c>
      <c r="B146" s="1" t="n">
        <v>43707</v>
      </c>
      <c r="C146" s="1" t="n">
        <v>45348</v>
      </c>
      <c r="D146" t="inlineStr">
        <is>
          <t>VÄSTMANLANDS LÄN</t>
        </is>
      </c>
      <c r="E146" t="inlineStr">
        <is>
          <t>SALA</t>
        </is>
      </c>
      <c r="G146" t="n">
        <v>2.1</v>
      </c>
      <c r="H146" t="n">
        <v>0</v>
      </c>
      <c r="I146" t="n">
        <v>0</v>
      </c>
      <c r="J146" t="n">
        <v>0</v>
      </c>
      <c r="K146" t="n">
        <v>0</v>
      </c>
      <c r="L146" t="n">
        <v>0</v>
      </c>
      <c r="M146" t="n">
        <v>0</v>
      </c>
      <c r="N146" t="n">
        <v>0</v>
      </c>
      <c r="O146" t="n">
        <v>0</v>
      </c>
      <c r="P146" t="n">
        <v>0</v>
      </c>
      <c r="Q146" t="n">
        <v>0</v>
      </c>
      <c r="R146" s="2" t="inlineStr"/>
    </row>
    <row r="147" ht="15" customHeight="1">
      <c r="A147" t="inlineStr">
        <is>
          <t>A 46936-2019</t>
        </is>
      </c>
      <c r="B147" s="1" t="n">
        <v>43719</v>
      </c>
      <c r="C147" s="1" t="n">
        <v>45348</v>
      </c>
      <c r="D147" t="inlineStr">
        <is>
          <t>VÄSTMANLANDS LÄN</t>
        </is>
      </c>
      <c r="E147" t="inlineStr">
        <is>
          <t>SALA</t>
        </is>
      </c>
      <c r="G147" t="n">
        <v>4.6</v>
      </c>
      <c r="H147" t="n">
        <v>0</v>
      </c>
      <c r="I147" t="n">
        <v>0</v>
      </c>
      <c r="J147" t="n">
        <v>0</v>
      </c>
      <c r="K147" t="n">
        <v>0</v>
      </c>
      <c r="L147" t="n">
        <v>0</v>
      </c>
      <c r="M147" t="n">
        <v>0</v>
      </c>
      <c r="N147" t="n">
        <v>0</v>
      </c>
      <c r="O147" t="n">
        <v>0</v>
      </c>
      <c r="P147" t="n">
        <v>0</v>
      </c>
      <c r="Q147" t="n">
        <v>0</v>
      </c>
      <c r="R147" s="2" t="inlineStr"/>
    </row>
    <row r="148" ht="15" customHeight="1">
      <c r="A148" t="inlineStr">
        <is>
          <t>A 48617-2019</t>
        </is>
      </c>
      <c r="B148" s="1" t="n">
        <v>43727</v>
      </c>
      <c r="C148" s="1" t="n">
        <v>45348</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48681-2019</t>
        </is>
      </c>
      <c r="B149" s="1" t="n">
        <v>43728</v>
      </c>
      <c r="C149" s="1" t="n">
        <v>45348</v>
      </c>
      <c r="D149" t="inlineStr">
        <is>
          <t>VÄSTMANLANDS LÄN</t>
        </is>
      </c>
      <c r="E149" t="inlineStr">
        <is>
          <t>SALA</t>
        </is>
      </c>
      <c r="G149" t="n">
        <v>1.9</v>
      </c>
      <c r="H149" t="n">
        <v>0</v>
      </c>
      <c r="I149" t="n">
        <v>0</v>
      </c>
      <c r="J149" t="n">
        <v>0</v>
      </c>
      <c r="K149" t="n">
        <v>0</v>
      </c>
      <c r="L149" t="n">
        <v>0</v>
      </c>
      <c r="M149" t="n">
        <v>0</v>
      </c>
      <c r="N149" t="n">
        <v>0</v>
      </c>
      <c r="O149" t="n">
        <v>0</v>
      </c>
      <c r="P149" t="n">
        <v>0</v>
      </c>
      <c r="Q149" t="n">
        <v>0</v>
      </c>
      <c r="R149" s="2" t="inlineStr"/>
    </row>
    <row r="150" ht="15" customHeight="1">
      <c r="A150" t="inlineStr">
        <is>
          <t>A 52756-2019</t>
        </is>
      </c>
      <c r="B150" s="1" t="n">
        <v>43739</v>
      </c>
      <c r="C150" s="1" t="n">
        <v>45348</v>
      </c>
      <c r="D150" t="inlineStr">
        <is>
          <t>VÄSTMANLANDS LÄN</t>
        </is>
      </c>
      <c r="E150" t="inlineStr">
        <is>
          <t>SALA</t>
        </is>
      </c>
      <c r="G150" t="n">
        <v>4.2</v>
      </c>
      <c r="H150" t="n">
        <v>0</v>
      </c>
      <c r="I150" t="n">
        <v>0</v>
      </c>
      <c r="J150" t="n">
        <v>0</v>
      </c>
      <c r="K150" t="n">
        <v>0</v>
      </c>
      <c r="L150" t="n">
        <v>0</v>
      </c>
      <c r="M150" t="n">
        <v>0</v>
      </c>
      <c r="N150" t="n">
        <v>0</v>
      </c>
      <c r="O150" t="n">
        <v>0</v>
      </c>
      <c r="P150" t="n">
        <v>0</v>
      </c>
      <c r="Q150" t="n">
        <v>0</v>
      </c>
      <c r="R150" s="2" t="inlineStr"/>
    </row>
    <row r="151" ht="15" customHeight="1">
      <c r="A151" t="inlineStr">
        <is>
          <t>A 51854-2019</t>
        </is>
      </c>
      <c r="B151" s="1" t="n">
        <v>43741</v>
      </c>
      <c r="C151" s="1" t="n">
        <v>45348</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54393-2019</t>
        </is>
      </c>
      <c r="B152" s="1" t="n">
        <v>43746</v>
      </c>
      <c r="C152" s="1" t="n">
        <v>45348</v>
      </c>
      <c r="D152" t="inlineStr">
        <is>
          <t>VÄSTMANLANDS LÄN</t>
        </is>
      </c>
      <c r="E152" t="inlineStr">
        <is>
          <t>SALA</t>
        </is>
      </c>
      <c r="G152" t="n">
        <v>3.2</v>
      </c>
      <c r="H152" t="n">
        <v>0</v>
      </c>
      <c r="I152" t="n">
        <v>0</v>
      </c>
      <c r="J152" t="n">
        <v>0</v>
      </c>
      <c r="K152" t="n">
        <v>0</v>
      </c>
      <c r="L152" t="n">
        <v>0</v>
      </c>
      <c r="M152" t="n">
        <v>0</v>
      </c>
      <c r="N152" t="n">
        <v>0</v>
      </c>
      <c r="O152" t="n">
        <v>0</v>
      </c>
      <c r="P152" t="n">
        <v>0</v>
      </c>
      <c r="Q152" t="n">
        <v>0</v>
      </c>
      <c r="R152" s="2" t="inlineStr"/>
    </row>
    <row r="153" ht="15" customHeight="1">
      <c r="A153" t="inlineStr">
        <is>
          <t>A 54069-2019</t>
        </is>
      </c>
      <c r="B153" s="1" t="n">
        <v>43752</v>
      </c>
      <c r="C153" s="1" t="n">
        <v>45348</v>
      </c>
      <c r="D153" t="inlineStr">
        <is>
          <t>VÄSTMANLANDS LÄN</t>
        </is>
      </c>
      <c r="E153" t="inlineStr">
        <is>
          <t>SALA</t>
        </is>
      </c>
      <c r="G153" t="n">
        <v>3.5</v>
      </c>
      <c r="H153" t="n">
        <v>0</v>
      </c>
      <c r="I153" t="n">
        <v>0</v>
      </c>
      <c r="J153" t="n">
        <v>0</v>
      </c>
      <c r="K153" t="n">
        <v>0</v>
      </c>
      <c r="L153" t="n">
        <v>0</v>
      </c>
      <c r="M153" t="n">
        <v>0</v>
      </c>
      <c r="N153" t="n">
        <v>0</v>
      </c>
      <c r="O153" t="n">
        <v>0</v>
      </c>
      <c r="P153" t="n">
        <v>0</v>
      </c>
      <c r="Q153" t="n">
        <v>0</v>
      </c>
      <c r="R153" s="2" t="inlineStr"/>
    </row>
    <row r="154" ht="15" customHeight="1">
      <c r="A154" t="inlineStr">
        <is>
          <t>A 57743-2019</t>
        </is>
      </c>
      <c r="B154" s="1" t="n">
        <v>43768</v>
      </c>
      <c r="C154" s="1" t="n">
        <v>45348</v>
      </c>
      <c r="D154" t="inlineStr">
        <is>
          <t>VÄSTMANLANDS LÄN</t>
        </is>
      </c>
      <c r="E154" t="inlineStr">
        <is>
          <t>SALA</t>
        </is>
      </c>
      <c r="G154" t="n">
        <v>3.8</v>
      </c>
      <c r="H154" t="n">
        <v>0</v>
      </c>
      <c r="I154" t="n">
        <v>0</v>
      </c>
      <c r="J154" t="n">
        <v>0</v>
      </c>
      <c r="K154" t="n">
        <v>0</v>
      </c>
      <c r="L154" t="n">
        <v>0</v>
      </c>
      <c r="M154" t="n">
        <v>0</v>
      </c>
      <c r="N154" t="n">
        <v>0</v>
      </c>
      <c r="O154" t="n">
        <v>0</v>
      </c>
      <c r="P154" t="n">
        <v>0</v>
      </c>
      <c r="Q154" t="n">
        <v>0</v>
      </c>
      <c r="R154" s="2" t="inlineStr"/>
    </row>
    <row r="155" ht="15" customHeight="1">
      <c r="A155" t="inlineStr">
        <is>
          <t>A 58003-2019</t>
        </is>
      </c>
      <c r="B155" s="1" t="n">
        <v>43769</v>
      </c>
      <c r="C155" s="1" t="n">
        <v>45348</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58027-2019</t>
        </is>
      </c>
      <c r="B156" s="1" t="n">
        <v>43769</v>
      </c>
      <c r="C156" s="1" t="n">
        <v>45348</v>
      </c>
      <c r="D156" t="inlineStr">
        <is>
          <t>VÄSTMANLANDS LÄN</t>
        </is>
      </c>
      <c r="E156" t="inlineStr">
        <is>
          <t>SALA</t>
        </is>
      </c>
      <c r="G156" t="n">
        <v>2.4</v>
      </c>
      <c r="H156" t="n">
        <v>0</v>
      </c>
      <c r="I156" t="n">
        <v>0</v>
      </c>
      <c r="J156" t="n">
        <v>0</v>
      </c>
      <c r="K156" t="n">
        <v>0</v>
      </c>
      <c r="L156" t="n">
        <v>0</v>
      </c>
      <c r="M156" t="n">
        <v>0</v>
      </c>
      <c r="N156" t="n">
        <v>0</v>
      </c>
      <c r="O156" t="n">
        <v>0</v>
      </c>
      <c r="P156" t="n">
        <v>0</v>
      </c>
      <c r="Q156" t="n">
        <v>0</v>
      </c>
      <c r="R156" s="2" t="inlineStr"/>
    </row>
    <row r="157" ht="15" customHeight="1">
      <c r="A157" t="inlineStr">
        <is>
          <t>A 58681-2019</t>
        </is>
      </c>
      <c r="B157" s="1" t="n">
        <v>43773</v>
      </c>
      <c r="C157" s="1" t="n">
        <v>45348</v>
      </c>
      <c r="D157" t="inlineStr">
        <is>
          <t>VÄSTMANLANDS LÄN</t>
        </is>
      </c>
      <c r="E157" t="inlineStr">
        <is>
          <t>SALA</t>
        </is>
      </c>
      <c r="G157" t="n">
        <v>3</v>
      </c>
      <c r="H157" t="n">
        <v>0</v>
      </c>
      <c r="I157" t="n">
        <v>0</v>
      </c>
      <c r="J157" t="n">
        <v>0</v>
      </c>
      <c r="K157" t="n">
        <v>0</v>
      </c>
      <c r="L157" t="n">
        <v>0</v>
      </c>
      <c r="M157" t="n">
        <v>0</v>
      </c>
      <c r="N157" t="n">
        <v>0</v>
      </c>
      <c r="O157" t="n">
        <v>0</v>
      </c>
      <c r="P157" t="n">
        <v>0</v>
      </c>
      <c r="Q157" t="n">
        <v>0</v>
      </c>
      <c r="R157" s="2" t="inlineStr"/>
    </row>
    <row r="158" ht="15" customHeight="1">
      <c r="A158" t="inlineStr">
        <is>
          <t>A 58917-2019</t>
        </is>
      </c>
      <c r="B158" s="1" t="n">
        <v>43774</v>
      </c>
      <c r="C158" s="1" t="n">
        <v>45348</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59147-2019</t>
        </is>
      </c>
      <c r="B159" s="1" t="n">
        <v>43775</v>
      </c>
      <c r="C159" s="1" t="n">
        <v>45348</v>
      </c>
      <c r="D159" t="inlineStr">
        <is>
          <t>VÄSTMANLANDS LÄN</t>
        </is>
      </c>
      <c r="E159" t="inlineStr">
        <is>
          <t>SALA</t>
        </is>
      </c>
      <c r="F159" t="inlineStr">
        <is>
          <t>Övriga Aktiebolag</t>
        </is>
      </c>
      <c r="G159" t="n">
        <v>69.8</v>
      </c>
      <c r="H159" t="n">
        <v>0</v>
      </c>
      <c r="I159" t="n">
        <v>0</v>
      </c>
      <c r="J159" t="n">
        <v>0</v>
      </c>
      <c r="K159" t="n">
        <v>0</v>
      </c>
      <c r="L159" t="n">
        <v>0</v>
      </c>
      <c r="M159" t="n">
        <v>0</v>
      </c>
      <c r="N159" t="n">
        <v>0</v>
      </c>
      <c r="O159" t="n">
        <v>0</v>
      </c>
      <c r="P159" t="n">
        <v>0</v>
      </c>
      <c r="Q159" t="n">
        <v>0</v>
      </c>
      <c r="R159" s="2" t="inlineStr"/>
    </row>
    <row r="160" ht="15" customHeight="1">
      <c r="A160" t="inlineStr">
        <is>
          <t>A 60007-2019</t>
        </is>
      </c>
      <c r="B160" s="1" t="n">
        <v>43777</v>
      </c>
      <c r="C160" s="1" t="n">
        <v>45348</v>
      </c>
      <c r="D160" t="inlineStr">
        <is>
          <t>VÄSTMANLANDS LÄN</t>
        </is>
      </c>
      <c r="E160" t="inlineStr">
        <is>
          <t>SALA</t>
        </is>
      </c>
      <c r="F160" t="inlineStr">
        <is>
          <t>Kyrkan</t>
        </is>
      </c>
      <c r="G160" t="n">
        <v>5.1</v>
      </c>
      <c r="H160" t="n">
        <v>0</v>
      </c>
      <c r="I160" t="n">
        <v>0</v>
      </c>
      <c r="J160" t="n">
        <v>0</v>
      </c>
      <c r="K160" t="n">
        <v>0</v>
      </c>
      <c r="L160" t="n">
        <v>0</v>
      </c>
      <c r="M160" t="n">
        <v>0</v>
      </c>
      <c r="N160" t="n">
        <v>0</v>
      </c>
      <c r="O160" t="n">
        <v>0</v>
      </c>
      <c r="P160" t="n">
        <v>0</v>
      </c>
      <c r="Q160" t="n">
        <v>0</v>
      </c>
      <c r="R160" s="2" t="inlineStr"/>
    </row>
    <row r="161" ht="15" customHeight="1">
      <c r="A161" t="inlineStr">
        <is>
          <t>A 60012-2019</t>
        </is>
      </c>
      <c r="B161" s="1" t="n">
        <v>43777</v>
      </c>
      <c r="C161" s="1" t="n">
        <v>45348</v>
      </c>
      <c r="D161" t="inlineStr">
        <is>
          <t>VÄSTMANLANDS LÄN</t>
        </is>
      </c>
      <c r="E161" t="inlineStr">
        <is>
          <t>SALA</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61270-2019</t>
        </is>
      </c>
      <c r="B162" s="1" t="n">
        <v>43783</v>
      </c>
      <c r="C162" s="1" t="n">
        <v>45348</v>
      </c>
      <c r="D162" t="inlineStr">
        <is>
          <t>VÄSTMANLANDS LÄN</t>
        </is>
      </c>
      <c r="E162" t="inlineStr">
        <is>
          <t>SALA</t>
        </is>
      </c>
      <c r="G162" t="n">
        <v>3.3</v>
      </c>
      <c r="H162" t="n">
        <v>0</v>
      </c>
      <c r="I162" t="n">
        <v>0</v>
      </c>
      <c r="J162" t="n">
        <v>0</v>
      </c>
      <c r="K162" t="n">
        <v>0</v>
      </c>
      <c r="L162" t="n">
        <v>0</v>
      </c>
      <c r="M162" t="n">
        <v>0</v>
      </c>
      <c r="N162" t="n">
        <v>0</v>
      </c>
      <c r="O162" t="n">
        <v>0</v>
      </c>
      <c r="P162" t="n">
        <v>0</v>
      </c>
      <c r="Q162" t="n">
        <v>0</v>
      </c>
      <c r="R162" s="2" t="inlineStr"/>
    </row>
    <row r="163" ht="15" customHeight="1">
      <c r="A163" t="inlineStr">
        <is>
          <t>A 61394-2019</t>
        </is>
      </c>
      <c r="B163" s="1" t="n">
        <v>43783</v>
      </c>
      <c r="C163" s="1" t="n">
        <v>45348</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61758-2019</t>
        </is>
      </c>
      <c r="B164" s="1" t="n">
        <v>43784</v>
      </c>
      <c r="C164" s="1" t="n">
        <v>45348</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62390-2019</t>
        </is>
      </c>
      <c r="B165" s="1" t="n">
        <v>43788</v>
      </c>
      <c r="C165" s="1" t="n">
        <v>45348</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64164-2019</t>
        </is>
      </c>
      <c r="B166" s="1" t="n">
        <v>43791</v>
      </c>
      <c r="C166" s="1" t="n">
        <v>45348</v>
      </c>
      <c r="D166" t="inlineStr">
        <is>
          <t>VÄSTMANLANDS LÄN</t>
        </is>
      </c>
      <c r="E166" t="inlineStr">
        <is>
          <t>SALA</t>
        </is>
      </c>
      <c r="G166" t="n">
        <v>1.1</v>
      </c>
      <c r="H166" t="n">
        <v>0</v>
      </c>
      <c r="I166" t="n">
        <v>0</v>
      </c>
      <c r="J166" t="n">
        <v>0</v>
      </c>
      <c r="K166" t="n">
        <v>0</v>
      </c>
      <c r="L166" t="n">
        <v>0</v>
      </c>
      <c r="M166" t="n">
        <v>0</v>
      </c>
      <c r="N166" t="n">
        <v>0</v>
      </c>
      <c r="O166" t="n">
        <v>0</v>
      </c>
      <c r="P166" t="n">
        <v>0</v>
      </c>
      <c r="Q166" t="n">
        <v>0</v>
      </c>
      <c r="R166" s="2" t="inlineStr"/>
    </row>
    <row r="167" ht="15" customHeight="1">
      <c r="A167" t="inlineStr">
        <is>
          <t>A 63369-2019</t>
        </is>
      </c>
      <c r="B167" s="1" t="n">
        <v>43794</v>
      </c>
      <c r="C167" s="1" t="n">
        <v>45348</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63498-2019</t>
        </is>
      </c>
      <c r="B168" s="1" t="n">
        <v>43794</v>
      </c>
      <c r="C168" s="1" t="n">
        <v>45348</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64090-2019</t>
        </is>
      </c>
      <c r="B169" s="1" t="n">
        <v>43796</v>
      </c>
      <c r="C169" s="1" t="n">
        <v>45348</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64092-2019</t>
        </is>
      </c>
      <c r="B170" s="1" t="n">
        <v>43796</v>
      </c>
      <c r="C170" s="1" t="n">
        <v>45348</v>
      </c>
      <c r="D170" t="inlineStr">
        <is>
          <t>VÄSTMANLANDS LÄN</t>
        </is>
      </c>
      <c r="E170" t="inlineStr">
        <is>
          <t>SALA</t>
        </is>
      </c>
      <c r="G170" t="n">
        <v>1.1</v>
      </c>
      <c r="H170" t="n">
        <v>0</v>
      </c>
      <c r="I170" t="n">
        <v>0</v>
      </c>
      <c r="J170" t="n">
        <v>0</v>
      </c>
      <c r="K170" t="n">
        <v>0</v>
      </c>
      <c r="L170" t="n">
        <v>0</v>
      </c>
      <c r="M170" t="n">
        <v>0</v>
      </c>
      <c r="N170" t="n">
        <v>0</v>
      </c>
      <c r="O170" t="n">
        <v>0</v>
      </c>
      <c r="P170" t="n">
        <v>0</v>
      </c>
      <c r="Q170" t="n">
        <v>0</v>
      </c>
      <c r="R170" s="2" t="inlineStr"/>
    </row>
    <row r="171" ht="15" customHeight="1">
      <c r="A171" t="inlineStr">
        <is>
          <t>A 65021-2019</t>
        </is>
      </c>
      <c r="B171" s="1" t="n">
        <v>43801</v>
      </c>
      <c r="C171" s="1" t="n">
        <v>45348</v>
      </c>
      <c r="D171" t="inlineStr">
        <is>
          <t>VÄSTMANLANDS LÄN</t>
        </is>
      </c>
      <c r="E171" t="inlineStr">
        <is>
          <t>SALA</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66089-2019</t>
        </is>
      </c>
      <c r="B172" s="1" t="n">
        <v>43807</v>
      </c>
      <c r="C172" s="1" t="n">
        <v>45348</v>
      </c>
      <c r="D172" t="inlineStr">
        <is>
          <t>VÄSTMANLANDS LÄN</t>
        </is>
      </c>
      <c r="E172" t="inlineStr">
        <is>
          <t>SALA</t>
        </is>
      </c>
      <c r="G172" t="n">
        <v>17.1</v>
      </c>
      <c r="H172" t="n">
        <v>0</v>
      </c>
      <c r="I172" t="n">
        <v>0</v>
      </c>
      <c r="J172" t="n">
        <v>0</v>
      </c>
      <c r="K172" t="n">
        <v>0</v>
      </c>
      <c r="L172" t="n">
        <v>0</v>
      </c>
      <c r="M172" t="n">
        <v>0</v>
      </c>
      <c r="N172" t="n">
        <v>0</v>
      </c>
      <c r="O172" t="n">
        <v>0</v>
      </c>
      <c r="P172" t="n">
        <v>0</v>
      </c>
      <c r="Q172" t="n">
        <v>0</v>
      </c>
      <c r="R172" s="2" t="inlineStr"/>
    </row>
    <row r="173" ht="15" customHeight="1">
      <c r="A173" t="inlineStr">
        <is>
          <t>A 66216-2019</t>
        </is>
      </c>
      <c r="B173" s="1" t="n">
        <v>43808</v>
      </c>
      <c r="C173" s="1" t="n">
        <v>45348</v>
      </c>
      <c r="D173" t="inlineStr">
        <is>
          <t>VÄSTMANLANDS LÄN</t>
        </is>
      </c>
      <c r="E173" t="inlineStr">
        <is>
          <t>SALA</t>
        </is>
      </c>
      <c r="F173" t="inlineStr">
        <is>
          <t>Kommuner</t>
        </is>
      </c>
      <c r="G173" t="n">
        <v>3.7</v>
      </c>
      <c r="H173" t="n">
        <v>0</v>
      </c>
      <c r="I173" t="n">
        <v>0</v>
      </c>
      <c r="J173" t="n">
        <v>0</v>
      </c>
      <c r="K173" t="n">
        <v>0</v>
      </c>
      <c r="L173" t="n">
        <v>0</v>
      </c>
      <c r="M173" t="n">
        <v>0</v>
      </c>
      <c r="N173" t="n">
        <v>0</v>
      </c>
      <c r="O173" t="n">
        <v>0</v>
      </c>
      <c r="P173" t="n">
        <v>0</v>
      </c>
      <c r="Q173" t="n">
        <v>0</v>
      </c>
      <c r="R173" s="2" t="inlineStr"/>
    </row>
    <row r="174" ht="15" customHeight="1">
      <c r="A174" t="inlineStr">
        <is>
          <t>A 67360-2019</t>
        </is>
      </c>
      <c r="B174" s="1" t="n">
        <v>43812</v>
      </c>
      <c r="C174" s="1" t="n">
        <v>45348</v>
      </c>
      <c r="D174" t="inlineStr">
        <is>
          <t>VÄSTMANLANDS LÄN</t>
        </is>
      </c>
      <c r="E174" t="inlineStr">
        <is>
          <t>SALA</t>
        </is>
      </c>
      <c r="G174" t="n">
        <v>4.9</v>
      </c>
      <c r="H174" t="n">
        <v>0</v>
      </c>
      <c r="I174" t="n">
        <v>0</v>
      </c>
      <c r="J174" t="n">
        <v>0</v>
      </c>
      <c r="K174" t="n">
        <v>0</v>
      </c>
      <c r="L174" t="n">
        <v>0</v>
      </c>
      <c r="M174" t="n">
        <v>0</v>
      </c>
      <c r="N174" t="n">
        <v>0</v>
      </c>
      <c r="O174" t="n">
        <v>0</v>
      </c>
      <c r="P174" t="n">
        <v>0</v>
      </c>
      <c r="Q174" t="n">
        <v>0</v>
      </c>
      <c r="R174" s="2" t="inlineStr"/>
    </row>
    <row r="175" ht="15" customHeight="1">
      <c r="A175" t="inlineStr">
        <is>
          <t>A 68398-2019</t>
        </is>
      </c>
      <c r="B175" s="1" t="n">
        <v>43818</v>
      </c>
      <c r="C175" s="1" t="n">
        <v>45348</v>
      </c>
      <c r="D175" t="inlineStr">
        <is>
          <t>VÄSTMANLANDS LÄN</t>
        </is>
      </c>
      <c r="E175" t="inlineStr">
        <is>
          <t>SALA</t>
        </is>
      </c>
      <c r="G175" t="n">
        <v>1.4</v>
      </c>
      <c r="H175" t="n">
        <v>0</v>
      </c>
      <c r="I175" t="n">
        <v>0</v>
      </c>
      <c r="J175" t="n">
        <v>0</v>
      </c>
      <c r="K175" t="n">
        <v>0</v>
      </c>
      <c r="L175" t="n">
        <v>0</v>
      </c>
      <c r="M175" t="n">
        <v>0</v>
      </c>
      <c r="N175" t="n">
        <v>0</v>
      </c>
      <c r="O175" t="n">
        <v>0</v>
      </c>
      <c r="P175" t="n">
        <v>0</v>
      </c>
      <c r="Q175" t="n">
        <v>0</v>
      </c>
      <c r="R175" s="2" t="inlineStr"/>
    </row>
    <row r="176" ht="15" customHeight="1">
      <c r="A176" t="inlineStr">
        <is>
          <t>A 68394-2019</t>
        </is>
      </c>
      <c r="B176" s="1" t="n">
        <v>43818</v>
      </c>
      <c r="C176" s="1" t="n">
        <v>45348</v>
      </c>
      <c r="D176" t="inlineStr">
        <is>
          <t>VÄSTMANLANDS LÄN</t>
        </is>
      </c>
      <c r="E176" t="inlineStr">
        <is>
          <t>SALA</t>
        </is>
      </c>
      <c r="G176" t="n">
        <v>1.6</v>
      </c>
      <c r="H176" t="n">
        <v>0</v>
      </c>
      <c r="I176" t="n">
        <v>0</v>
      </c>
      <c r="J176" t="n">
        <v>0</v>
      </c>
      <c r="K176" t="n">
        <v>0</v>
      </c>
      <c r="L176" t="n">
        <v>0</v>
      </c>
      <c r="M176" t="n">
        <v>0</v>
      </c>
      <c r="N176" t="n">
        <v>0</v>
      </c>
      <c r="O176" t="n">
        <v>0</v>
      </c>
      <c r="P176" t="n">
        <v>0</v>
      </c>
      <c r="Q176" t="n">
        <v>0</v>
      </c>
      <c r="R176" s="2" t="inlineStr"/>
    </row>
    <row r="177" ht="15" customHeight="1">
      <c r="A177" t="inlineStr">
        <is>
          <t>A 1465-2020</t>
        </is>
      </c>
      <c r="B177" s="1" t="n">
        <v>43822</v>
      </c>
      <c r="C177" s="1" t="n">
        <v>45348</v>
      </c>
      <c r="D177" t="inlineStr">
        <is>
          <t>VÄSTMANLANDS LÄN</t>
        </is>
      </c>
      <c r="E177" t="inlineStr">
        <is>
          <t>SALA</t>
        </is>
      </c>
      <c r="G177" t="n">
        <v>4.1</v>
      </c>
      <c r="H177" t="n">
        <v>0</v>
      </c>
      <c r="I177" t="n">
        <v>0</v>
      </c>
      <c r="J177" t="n">
        <v>0</v>
      </c>
      <c r="K177" t="n">
        <v>0</v>
      </c>
      <c r="L177" t="n">
        <v>0</v>
      </c>
      <c r="M177" t="n">
        <v>0</v>
      </c>
      <c r="N177" t="n">
        <v>0</v>
      </c>
      <c r="O177" t="n">
        <v>0</v>
      </c>
      <c r="P177" t="n">
        <v>0</v>
      </c>
      <c r="Q177" t="n">
        <v>0</v>
      </c>
      <c r="R177" s="2" t="inlineStr"/>
    </row>
    <row r="178" ht="15" customHeight="1">
      <c r="A178" t="inlineStr">
        <is>
          <t>A 63-2020</t>
        </is>
      </c>
      <c r="B178" s="1" t="n">
        <v>43832</v>
      </c>
      <c r="C178" s="1" t="n">
        <v>45348</v>
      </c>
      <c r="D178" t="inlineStr">
        <is>
          <t>VÄSTMANLANDS LÄN</t>
        </is>
      </c>
      <c r="E178" t="inlineStr">
        <is>
          <t>SALA</t>
        </is>
      </c>
      <c r="G178" t="n">
        <v>4.6</v>
      </c>
      <c r="H178" t="n">
        <v>0</v>
      </c>
      <c r="I178" t="n">
        <v>0</v>
      </c>
      <c r="J178" t="n">
        <v>0</v>
      </c>
      <c r="K178" t="n">
        <v>0</v>
      </c>
      <c r="L178" t="n">
        <v>0</v>
      </c>
      <c r="M178" t="n">
        <v>0</v>
      </c>
      <c r="N178" t="n">
        <v>0</v>
      </c>
      <c r="O178" t="n">
        <v>0</v>
      </c>
      <c r="P178" t="n">
        <v>0</v>
      </c>
      <c r="Q178" t="n">
        <v>0</v>
      </c>
      <c r="R178" s="2" t="inlineStr"/>
    </row>
    <row r="179" ht="15" customHeight="1">
      <c r="A179" t="inlineStr">
        <is>
          <t>A 151-2020</t>
        </is>
      </c>
      <c r="B179" s="1" t="n">
        <v>43833</v>
      </c>
      <c r="C179" s="1" t="n">
        <v>45348</v>
      </c>
      <c r="D179" t="inlineStr">
        <is>
          <t>VÄSTMANLANDS LÄN</t>
        </is>
      </c>
      <c r="E179" t="inlineStr">
        <is>
          <t>SALA</t>
        </is>
      </c>
      <c r="F179" t="inlineStr">
        <is>
          <t>Kyrkan</t>
        </is>
      </c>
      <c r="G179" t="n">
        <v>6.5</v>
      </c>
      <c r="H179" t="n">
        <v>0</v>
      </c>
      <c r="I179" t="n">
        <v>0</v>
      </c>
      <c r="J179" t="n">
        <v>0</v>
      </c>
      <c r="K179" t="n">
        <v>0</v>
      </c>
      <c r="L179" t="n">
        <v>0</v>
      </c>
      <c r="M179" t="n">
        <v>0</v>
      </c>
      <c r="N179" t="n">
        <v>0</v>
      </c>
      <c r="O179" t="n">
        <v>0</v>
      </c>
      <c r="P179" t="n">
        <v>0</v>
      </c>
      <c r="Q179" t="n">
        <v>0</v>
      </c>
      <c r="R179" s="2" t="inlineStr"/>
    </row>
    <row r="180" ht="15" customHeight="1">
      <c r="A180" t="inlineStr">
        <is>
          <t>A 161-2020</t>
        </is>
      </c>
      <c r="B180" s="1" t="n">
        <v>43833</v>
      </c>
      <c r="C180" s="1" t="n">
        <v>45348</v>
      </c>
      <c r="D180" t="inlineStr">
        <is>
          <t>VÄSTMANLANDS LÄN</t>
        </is>
      </c>
      <c r="E180" t="inlineStr">
        <is>
          <t>SALA</t>
        </is>
      </c>
      <c r="F180" t="inlineStr">
        <is>
          <t>Kyrkan</t>
        </is>
      </c>
      <c r="G180" t="n">
        <v>1.6</v>
      </c>
      <c r="H180" t="n">
        <v>0</v>
      </c>
      <c r="I180" t="n">
        <v>0</v>
      </c>
      <c r="J180" t="n">
        <v>0</v>
      </c>
      <c r="K180" t="n">
        <v>0</v>
      </c>
      <c r="L180" t="n">
        <v>0</v>
      </c>
      <c r="M180" t="n">
        <v>0</v>
      </c>
      <c r="N180" t="n">
        <v>0</v>
      </c>
      <c r="O180" t="n">
        <v>0</v>
      </c>
      <c r="P180" t="n">
        <v>0</v>
      </c>
      <c r="Q180" t="n">
        <v>0</v>
      </c>
      <c r="R180" s="2" t="inlineStr"/>
    </row>
    <row r="181" ht="15" customHeight="1">
      <c r="A181" t="inlineStr">
        <is>
          <t>A 297-2020</t>
        </is>
      </c>
      <c r="B181" s="1" t="n">
        <v>43837</v>
      </c>
      <c r="C181" s="1" t="n">
        <v>45348</v>
      </c>
      <c r="D181" t="inlineStr">
        <is>
          <t>VÄSTMANLANDS LÄN</t>
        </is>
      </c>
      <c r="E181" t="inlineStr">
        <is>
          <t>SALA</t>
        </is>
      </c>
      <c r="F181" t="inlineStr">
        <is>
          <t>Kyrkan</t>
        </is>
      </c>
      <c r="G181" t="n">
        <v>0.3</v>
      </c>
      <c r="H181" t="n">
        <v>0</v>
      </c>
      <c r="I181" t="n">
        <v>0</v>
      </c>
      <c r="J181" t="n">
        <v>0</v>
      </c>
      <c r="K181" t="n">
        <v>0</v>
      </c>
      <c r="L181" t="n">
        <v>0</v>
      </c>
      <c r="M181" t="n">
        <v>0</v>
      </c>
      <c r="N181" t="n">
        <v>0</v>
      </c>
      <c r="O181" t="n">
        <v>0</v>
      </c>
      <c r="P181" t="n">
        <v>0</v>
      </c>
      <c r="Q181" t="n">
        <v>0</v>
      </c>
      <c r="R181" s="2" t="inlineStr"/>
    </row>
    <row r="182" ht="15" customHeight="1">
      <c r="A182" t="inlineStr">
        <is>
          <t>A 496-2020</t>
        </is>
      </c>
      <c r="B182" s="1" t="n">
        <v>43837</v>
      </c>
      <c r="C182" s="1" t="n">
        <v>45348</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1005-2020</t>
        </is>
      </c>
      <c r="B183" s="1" t="n">
        <v>43839</v>
      </c>
      <c r="C183" s="1" t="n">
        <v>45348</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1272-2020</t>
        </is>
      </c>
      <c r="B184" s="1" t="n">
        <v>43841</v>
      </c>
      <c r="C184" s="1" t="n">
        <v>45348</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1346-2020</t>
        </is>
      </c>
      <c r="B185" s="1" t="n">
        <v>43843</v>
      </c>
      <c r="C185" s="1" t="n">
        <v>45348</v>
      </c>
      <c r="D185" t="inlineStr">
        <is>
          <t>VÄSTMANLANDS LÄN</t>
        </is>
      </c>
      <c r="E185" t="inlineStr">
        <is>
          <t>SALA</t>
        </is>
      </c>
      <c r="G185" t="n">
        <v>1</v>
      </c>
      <c r="H185" t="n">
        <v>0</v>
      </c>
      <c r="I185" t="n">
        <v>0</v>
      </c>
      <c r="J185" t="n">
        <v>0</v>
      </c>
      <c r="K185" t="n">
        <v>0</v>
      </c>
      <c r="L185" t="n">
        <v>0</v>
      </c>
      <c r="M185" t="n">
        <v>0</v>
      </c>
      <c r="N185" t="n">
        <v>0</v>
      </c>
      <c r="O185" t="n">
        <v>0</v>
      </c>
      <c r="P185" t="n">
        <v>0</v>
      </c>
      <c r="Q185" t="n">
        <v>0</v>
      </c>
      <c r="R185" s="2" t="inlineStr"/>
    </row>
    <row r="186" ht="15" customHeight="1">
      <c r="A186" t="inlineStr">
        <is>
          <t>A 3935-2020</t>
        </is>
      </c>
      <c r="B186" s="1" t="n">
        <v>43846</v>
      </c>
      <c r="C186" s="1" t="n">
        <v>45348</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2588-2020</t>
        </is>
      </c>
      <c r="B187" s="1" t="n">
        <v>43847</v>
      </c>
      <c r="C187" s="1" t="n">
        <v>45348</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4630-2020</t>
        </is>
      </c>
      <c r="B188" s="1" t="n">
        <v>43851</v>
      </c>
      <c r="C188" s="1" t="n">
        <v>45348</v>
      </c>
      <c r="D188" t="inlineStr">
        <is>
          <t>VÄSTMANLANDS LÄN</t>
        </is>
      </c>
      <c r="E188" t="inlineStr">
        <is>
          <t>SALA</t>
        </is>
      </c>
      <c r="G188" t="n">
        <v>0.4</v>
      </c>
      <c r="H188" t="n">
        <v>0</v>
      </c>
      <c r="I188" t="n">
        <v>0</v>
      </c>
      <c r="J188" t="n">
        <v>0</v>
      </c>
      <c r="K188" t="n">
        <v>0</v>
      </c>
      <c r="L188" t="n">
        <v>0</v>
      </c>
      <c r="M188" t="n">
        <v>0</v>
      </c>
      <c r="N188" t="n">
        <v>0</v>
      </c>
      <c r="O188" t="n">
        <v>0</v>
      </c>
      <c r="P188" t="n">
        <v>0</v>
      </c>
      <c r="Q188" t="n">
        <v>0</v>
      </c>
      <c r="R188" s="2" t="inlineStr"/>
    </row>
    <row r="189" ht="15" customHeight="1">
      <c r="A189" t="inlineStr">
        <is>
          <t>A 3590-2020</t>
        </is>
      </c>
      <c r="B189" s="1" t="n">
        <v>43853</v>
      </c>
      <c r="C189" s="1" t="n">
        <v>45348</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4866-2020</t>
        </is>
      </c>
      <c r="B190" s="1" t="n">
        <v>43859</v>
      </c>
      <c r="C190" s="1" t="n">
        <v>45348</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5201-2020</t>
        </is>
      </c>
      <c r="B191" s="1" t="n">
        <v>43860</v>
      </c>
      <c r="C191" s="1" t="n">
        <v>45348</v>
      </c>
      <c r="D191" t="inlineStr">
        <is>
          <t>VÄSTMANLANDS LÄN</t>
        </is>
      </c>
      <c r="E191" t="inlineStr">
        <is>
          <t>SALA</t>
        </is>
      </c>
      <c r="F191" t="inlineStr">
        <is>
          <t>Kyrkan</t>
        </is>
      </c>
      <c r="G191" t="n">
        <v>5</v>
      </c>
      <c r="H191" t="n">
        <v>0</v>
      </c>
      <c r="I191" t="n">
        <v>0</v>
      </c>
      <c r="J191" t="n">
        <v>0</v>
      </c>
      <c r="K191" t="n">
        <v>0</v>
      </c>
      <c r="L191" t="n">
        <v>0</v>
      </c>
      <c r="M191" t="n">
        <v>0</v>
      </c>
      <c r="N191" t="n">
        <v>0</v>
      </c>
      <c r="O191" t="n">
        <v>0</v>
      </c>
      <c r="P191" t="n">
        <v>0</v>
      </c>
      <c r="Q191" t="n">
        <v>0</v>
      </c>
      <c r="R191" s="2" t="inlineStr"/>
    </row>
    <row r="192" ht="15" customHeight="1">
      <c r="A192" t="inlineStr">
        <is>
          <t>A 5163-2020</t>
        </is>
      </c>
      <c r="B192" s="1" t="n">
        <v>43860</v>
      </c>
      <c r="C192" s="1" t="n">
        <v>45348</v>
      </c>
      <c r="D192" t="inlineStr">
        <is>
          <t>VÄSTMANLANDS LÄN</t>
        </is>
      </c>
      <c r="E192" t="inlineStr">
        <is>
          <t>SALA</t>
        </is>
      </c>
      <c r="G192" t="n">
        <v>1.9</v>
      </c>
      <c r="H192" t="n">
        <v>0</v>
      </c>
      <c r="I192" t="n">
        <v>0</v>
      </c>
      <c r="J192" t="n">
        <v>0</v>
      </c>
      <c r="K192" t="n">
        <v>0</v>
      </c>
      <c r="L192" t="n">
        <v>0</v>
      </c>
      <c r="M192" t="n">
        <v>0</v>
      </c>
      <c r="N192" t="n">
        <v>0</v>
      </c>
      <c r="O192" t="n">
        <v>0</v>
      </c>
      <c r="P192" t="n">
        <v>0</v>
      </c>
      <c r="Q192" t="n">
        <v>0</v>
      </c>
      <c r="R192" s="2" t="inlineStr"/>
    </row>
    <row r="193" ht="15" customHeight="1">
      <c r="A193" t="inlineStr">
        <is>
          <t>A 5191-2020</t>
        </is>
      </c>
      <c r="B193" s="1" t="n">
        <v>43860</v>
      </c>
      <c r="C193" s="1" t="n">
        <v>45348</v>
      </c>
      <c r="D193" t="inlineStr">
        <is>
          <t>VÄSTMANLANDS LÄN</t>
        </is>
      </c>
      <c r="E193" t="inlineStr">
        <is>
          <t>SALA</t>
        </is>
      </c>
      <c r="F193" t="inlineStr">
        <is>
          <t>Kyrkan</t>
        </is>
      </c>
      <c r="G193" t="n">
        <v>10.9</v>
      </c>
      <c r="H193" t="n">
        <v>0</v>
      </c>
      <c r="I193" t="n">
        <v>0</v>
      </c>
      <c r="J193" t="n">
        <v>0</v>
      </c>
      <c r="K193" t="n">
        <v>0</v>
      </c>
      <c r="L193" t="n">
        <v>0</v>
      </c>
      <c r="M193" t="n">
        <v>0</v>
      </c>
      <c r="N193" t="n">
        <v>0</v>
      </c>
      <c r="O193" t="n">
        <v>0</v>
      </c>
      <c r="P193" t="n">
        <v>0</v>
      </c>
      <c r="Q193" t="n">
        <v>0</v>
      </c>
      <c r="R193" s="2" t="inlineStr"/>
    </row>
    <row r="194" ht="15" customHeight="1">
      <c r="A194" t="inlineStr">
        <is>
          <t>A 5320-2020</t>
        </is>
      </c>
      <c r="B194" s="1" t="n">
        <v>43860</v>
      </c>
      <c r="C194" s="1" t="n">
        <v>45348</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5587-2020</t>
        </is>
      </c>
      <c r="B195" s="1" t="n">
        <v>43861</v>
      </c>
      <c r="C195" s="1" t="n">
        <v>45348</v>
      </c>
      <c r="D195" t="inlineStr">
        <is>
          <t>VÄSTMANLANDS LÄN</t>
        </is>
      </c>
      <c r="E195" t="inlineStr">
        <is>
          <t>SALA</t>
        </is>
      </c>
      <c r="G195" t="n">
        <v>9.6</v>
      </c>
      <c r="H195" t="n">
        <v>0</v>
      </c>
      <c r="I195" t="n">
        <v>0</v>
      </c>
      <c r="J195" t="n">
        <v>0</v>
      </c>
      <c r="K195" t="n">
        <v>0</v>
      </c>
      <c r="L195" t="n">
        <v>0</v>
      </c>
      <c r="M195" t="n">
        <v>0</v>
      </c>
      <c r="N195" t="n">
        <v>0</v>
      </c>
      <c r="O195" t="n">
        <v>0</v>
      </c>
      <c r="P195" t="n">
        <v>0</v>
      </c>
      <c r="Q195" t="n">
        <v>0</v>
      </c>
      <c r="R195" s="2" t="inlineStr"/>
    </row>
    <row r="196" ht="15" customHeight="1">
      <c r="A196" t="inlineStr">
        <is>
          <t>A 5750-2020</t>
        </is>
      </c>
      <c r="B196" s="1" t="n">
        <v>43864</v>
      </c>
      <c r="C196" s="1" t="n">
        <v>45348</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6185-2020</t>
        </is>
      </c>
      <c r="B197" s="1" t="n">
        <v>43865</v>
      </c>
      <c r="C197" s="1" t="n">
        <v>45348</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7190-2020</t>
        </is>
      </c>
      <c r="B198" s="1" t="n">
        <v>43868</v>
      </c>
      <c r="C198" s="1" t="n">
        <v>45348</v>
      </c>
      <c r="D198" t="inlineStr">
        <is>
          <t>VÄSTMANLANDS LÄN</t>
        </is>
      </c>
      <c r="E198" t="inlineStr">
        <is>
          <t>SALA</t>
        </is>
      </c>
      <c r="G198" t="n">
        <v>4.5</v>
      </c>
      <c r="H198" t="n">
        <v>0</v>
      </c>
      <c r="I198" t="n">
        <v>0</v>
      </c>
      <c r="J198" t="n">
        <v>0</v>
      </c>
      <c r="K198" t="n">
        <v>0</v>
      </c>
      <c r="L198" t="n">
        <v>0</v>
      </c>
      <c r="M198" t="n">
        <v>0</v>
      </c>
      <c r="N198" t="n">
        <v>0</v>
      </c>
      <c r="O198" t="n">
        <v>0</v>
      </c>
      <c r="P198" t="n">
        <v>0</v>
      </c>
      <c r="Q198" t="n">
        <v>0</v>
      </c>
      <c r="R198" s="2" t="inlineStr"/>
    </row>
    <row r="199" ht="15" customHeight="1">
      <c r="A199" t="inlineStr">
        <is>
          <t>A 10010-2020</t>
        </is>
      </c>
      <c r="B199" s="1" t="n">
        <v>43882</v>
      </c>
      <c r="C199" s="1" t="n">
        <v>45348</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10276-2020</t>
        </is>
      </c>
      <c r="B200" s="1" t="n">
        <v>43885</v>
      </c>
      <c r="C200" s="1" t="n">
        <v>45348</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10811-2020</t>
        </is>
      </c>
      <c r="B201" s="1" t="n">
        <v>43888</v>
      </c>
      <c r="C201" s="1" t="n">
        <v>45348</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14110-2020</t>
        </is>
      </c>
      <c r="B202" s="1" t="n">
        <v>43900</v>
      </c>
      <c r="C202" s="1" t="n">
        <v>45348</v>
      </c>
      <c r="D202" t="inlineStr">
        <is>
          <t>VÄSTMANLANDS LÄN</t>
        </is>
      </c>
      <c r="E202" t="inlineStr">
        <is>
          <t>SALA</t>
        </is>
      </c>
      <c r="G202" t="n">
        <v>2.5</v>
      </c>
      <c r="H202" t="n">
        <v>0</v>
      </c>
      <c r="I202" t="n">
        <v>0</v>
      </c>
      <c r="J202" t="n">
        <v>0</v>
      </c>
      <c r="K202" t="n">
        <v>0</v>
      </c>
      <c r="L202" t="n">
        <v>0</v>
      </c>
      <c r="M202" t="n">
        <v>0</v>
      </c>
      <c r="N202" t="n">
        <v>0</v>
      </c>
      <c r="O202" t="n">
        <v>0</v>
      </c>
      <c r="P202" t="n">
        <v>0</v>
      </c>
      <c r="Q202" t="n">
        <v>0</v>
      </c>
      <c r="R202" s="2" t="inlineStr"/>
    </row>
    <row r="203" ht="15" customHeight="1">
      <c r="A203" t="inlineStr">
        <is>
          <t>A 13643-2020</t>
        </is>
      </c>
      <c r="B203" s="1" t="n">
        <v>43903</v>
      </c>
      <c r="C203" s="1" t="n">
        <v>45348</v>
      </c>
      <c r="D203" t="inlineStr">
        <is>
          <t>VÄSTMANLANDS LÄN</t>
        </is>
      </c>
      <c r="E203" t="inlineStr">
        <is>
          <t>SALA</t>
        </is>
      </c>
      <c r="G203" t="n">
        <v>2.3</v>
      </c>
      <c r="H203" t="n">
        <v>0</v>
      </c>
      <c r="I203" t="n">
        <v>0</v>
      </c>
      <c r="J203" t="n">
        <v>0</v>
      </c>
      <c r="K203" t="n">
        <v>0</v>
      </c>
      <c r="L203" t="n">
        <v>0</v>
      </c>
      <c r="M203" t="n">
        <v>0</v>
      </c>
      <c r="N203" t="n">
        <v>0</v>
      </c>
      <c r="O203" t="n">
        <v>0</v>
      </c>
      <c r="P203" t="n">
        <v>0</v>
      </c>
      <c r="Q203" t="n">
        <v>0</v>
      </c>
      <c r="R203" s="2" t="inlineStr"/>
    </row>
    <row r="204" ht="15" customHeight="1">
      <c r="A204" t="inlineStr">
        <is>
          <t>A 13936-2020</t>
        </is>
      </c>
      <c r="B204" s="1" t="n">
        <v>43903</v>
      </c>
      <c r="C204" s="1" t="n">
        <v>45348</v>
      </c>
      <c r="D204" t="inlineStr">
        <is>
          <t>VÄSTMANLANDS LÄN</t>
        </is>
      </c>
      <c r="E204" t="inlineStr">
        <is>
          <t>SALA</t>
        </is>
      </c>
      <c r="G204" t="n">
        <v>1.7</v>
      </c>
      <c r="H204" t="n">
        <v>0</v>
      </c>
      <c r="I204" t="n">
        <v>0</v>
      </c>
      <c r="J204" t="n">
        <v>0</v>
      </c>
      <c r="K204" t="n">
        <v>0</v>
      </c>
      <c r="L204" t="n">
        <v>0</v>
      </c>
      <c r="M204" t="n">
        <v>0</v>
      </c>
      <c r="N204" t="n">
        <v>0</v>
      </c>
      <c r="O204" t="n">
        <v>0</v>
      </c>
      <c r="P204" t="n">
        <v>0</v>
      </c>
      <c r="Q204" t="n">
        <v>0</v>
      </c>
      <c r="R204" s="2" t="inlineStr"/>
    </row>
    <row r="205" ht="15" customHeight="1">
      <c r="A205" t="inlineStr">
        <is>
          <t>A 14049-2020</t>
        </is>
      </c>
      <c r="B205" s="1" t="n">
        <v>43906</v>
      </c>
      <c r="C205" s="1" t="n">
        <v>45348</v>
      </c>
      <c r="D205" t="inlineStr">
        <is>
          <t>VÄSTMANLANDS LÄN</t>
        </is>
      </c>
      <c r="E205" t="inlineStr">
        <is>
          <t>SALA</t>
        </is>
      </c>
      <c r="G205" t="n">
        <v>4.4</v>
      </c>
      <c r="H205" t="n">
        <v>0</v>
      </c>
      <c r="I205" t="n">
        <v>0</v>
      </c>
      <c r="J205" t="n">
        <v>0</v>
      </c>
      <c r="K205" t="n">
        <v>0</v>
      </c>
      <c r="L205" t="n">
        <v>0</v>
      </c>
      <c r="M205" t="n">
        <v>0</v>
      </c>
      <c r="N205" t="n">
        <v>0</v>
      </c>
      <c r="O205" t="n">
        <v>0</v>
      </c>
      <c r="P205" t="n">
        <v>0</v>
      </c>
      <c r="Q205" t="n">
        <v>0</v>
      </c>
      <c r="R205" s="2" t="inlineStr"/>
    </row>
    <row r="206" ht="15" customHeight="1">
      <c r="A206" t="inlineStr">
        <is>
          <t>A 14542-2020</t>
        </is>
      </c>
      <c r="B206" s="1" t="n">
        <v>43908</v>
      </c>
      <c r="C206" s="1" t="n">
        <v>45348</v>
      </c>
      <c r="D206" t="inlineStr">
        <is>
          <t>VÄSTMANLANDS LÄN</t>
        </is>
      </c>
      <c r="E206" t="inlineStr">
        <is>
          <t>SALA</t>
        </is>
      </c>
      <c r="G206" t="n">
        <v>4.1</v>
      </c>
      <c r="H206" t="n">
        <v>0</v>
      </c>
      <c r="I206" t="n">
        <v>0</v>
      </c>
      <c r="J206" t="n">
        <v>0</v>
      </c>
      <c r="K206" t="n">
        <v>0</v>
      </c>
      <c r="L206" t="n">
        <v>0</v>
      </c>
      <c r="M206" t="n">
        <v>0</v>
      </c>
      <c r="N206" t="n">
        <v>0</v>
      </c>
      <c r="O206" t="n">
        <v>0</v>
      </c>
      <c r="P206" t="n">
        <v>0</v>
      </c>
      <c r="Q206" t="n">
        <v>0</v>
      </c>
      <c r="R206" s="2" t="inlineStr"/>
    </row>
    <row r="207" ht="15" customHeight="1">
      <c r="A207" t="inlineStr">
        <is>
          <t>A 16480-2020</t>
        </is>
      </c>
      <c r="B207" s="1" t="n">
        <v>43914</v>
      </c>
      <c r="C207" s="1" t="n">
        <v>45348</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15850-2020</t>
        </is>
      </c>
      <c r="B208" s="1" t="n">
        <v>43915</v>
      </c>
      <c r="C208" s="1" t="n">
        <v>45348</v>
      </c>
      <c r="D208" t="inlineStr">
        <is>
          <t>VÄSTMANLANDS LÄN</t>
        </is>
      </c>
      <c r="E208" t="inlineStr">
        <is>
          <t>SALA</t>
        </is>
      </c>
      <c r="G208" t="n">
        <v>0.7</v>
      </c>
      <c r="H208" t="n">
        <v>0</v>
      </c>
      <c r="I208" t="n">
        <v>0</v>
      </c>
      <c r="J208" t="n">
        <v>0</v>
      </c>
      <c r="K208" t="n">
        <v>0</v>
      </c>
      <c r="L208" t="n">
        <v>0</v>
      </c>
      <c r="M208" t="n">
        <v>0</v>
      </c>
      <c r="N208" t="n">
        <v>0</v>
      </c>
      <c r="O208" t="n">
        <v>0</v>
      </c>
      <c r="P208" t="n">
        <v>0</v>
      </c>
      <c r="Q208" t="n">
        <v>0</v>
      </c>
      <c r="R208" s="2" t="inlineStr"/>
    </row>
    <row r="209" ht="15" customHeight="1">
      <c r="A209" t="inlineStr">
        <is>
          <t>A 15748-2020</t>
        </is>
      </c>
      <c r="B209" s="1" t="n">
        <v>43915</v>
      </c>
      <c r="C209" s="1" t="n">
        <v>45348</v>
      </c>
      <c r="D209" t="inlineStr">
        <is>
          <t>VÄSTMANLANDS LÄN</t>
        </is>
      </c>
      <c r="E209" t="inlineStr">
        <is>
          <t>SALA</t>
        </is>
      </c>
      <c r="G209" t="n">
        <v>2.4</v>
      </c>
      <c r="H209" t="n">
        <v>0</v>
      </c>
      <c r="I209" t="n">
        <v>0</v>
      </c>
      <c r="J209" t="n">
        <v>0</v>
      </c>
      <c r="K209" t="n">
        <v>0</v>
      </c>
      <c r="L209" t="n">
        <v>0</v>
      </c>
      <c r="M209" t="n">
        <v>0</v>
      </c>
      <c r="N209" t="n">
        <v>0</v>
      </c>
      <c r="O209" t="n">
        <v>0</v>
      </c>
      <c r="P209" t="n">
        <v>0</v>
      </c>
      <c r="Q209" t="n">
        <v>0</v>
      </c>
      <c r="R209" s="2" t="inlineStr"/>
    </row>
    <row r="210" ht="15" customHeight="1">
      <c r="A210" t="inlineStr">
        <is>
          <t>A 16093-2020</t>
        </is>
      </c>
      <c r="B210" s="1" t="n">
        <v>43916</v>
      </c>
      <c r="C210" s="1" t="n">
        <v>45348</v>
      </c>
      <c r="D210" t="inlineStr">
        <is>
          <t>VÄSTMANLANDS LÄN</t>
        </is>
      </c>
      <c r="E210" t="inlineStr">
        <is>
          <t>SALA</t>
        </is>
      </c>
      <c r="G210" t="n">
        <v>1.6</v>
      </c>
      <c r="H210" t="n">
        <v>0</v>
      </c>
      <c r="I210" t="n">
        <v>0</v>
      </c>
      <c r="J210" t="n">
        <v>0</v>
      </c>
      <c r="K210" t="n">
        <v>0</v>
      </c>
      <c r="L210" t="n">
        <v>0</v>
      </c>
      <c r="M210" t="n">
        <v>0</v>
      </c>
      <c r="N210" t="n">
        <v>0</v>
      </c>
      <c r="O210" t="n">
        <v>0</v>
      </c>
      <c r="P210" t="n">
        <v>0</v>
      </c>
      <c r="Q210" t="n">
        <v>0</v>
      </c>
      <c r="R210" s="2" t="inlineStr"/>
    </row>
    <row r="211" ht="15" customHeight="1">
      <c r="A211" t="inlineStr">
        <is>
          <t>A 17139-2020</t>
        </is>
      </c>
      <c r="B211" s="1" t="n">
        <v>43922</v>
      </c>
      <c r="C211" s="1" t="n">
        <v>45348</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17205-2020</t>
        </is>
      </c>
      <c r="B212" s="1" t="n">
        <v>43922</v>
      </c>
      <c r="C212" s="1" t="n">
        <v>45348</v>
      </c>
      <c r="D212" t="inlineStr">
        <is>
          <t>VÄSTMANLANDS LÄN</t>
        </is>
      </c>
      <c r="E212" t="inlineStr">
        <is>
          <t>SALA</t>
        </is>
      </c>
      <c r="G212" t="n">
        <v>3.2</v>
      </c>
      <c r="H212" t="n">
        <v>0</v>
      </c>
      <c r="I212" t="n">
        <v>0</v>
      </c>
      <c r="J212" t="n">
        <v>0</v>
      </c>
      <c r="K212" t="n">
        <v>0</v>
      </c>
      <c r="L212" t="n">
        <v>0</v>
      </c>
      <c r="M212" t="n">
        <v>0</v>
      </c>
      <c r="N212" t="n">
        <v>0</v>
      </c>
      <c r="O212" t="n">
        <v>0</v>
      </c>
      <c r="P212" t="n">
        <v>0</v>
      </c>
      <c r="Q212" t="n">
        <v>0</v>
      </c>
      <c r="R212" s="2" t="inlineStr"/>
    </row>
    <row r="213" ht="15" customHeight="1">
      <c r="A213" t="inlineStr">
        <is>
          <t>A 17355-2020</t>
        </is>
      </c>
      <c r="B213" s="1" t="n">
        <v>43923</v>
      </c>
      <c r="C213" s="1" t="n">
        <v>45348</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17492-2020</t>
        </is>
      </c>
      <c r="B214" s="1" t="n">
        <v>43923</v>
      </c>
      <c r="C214" s="1" t="n">
        <v>45348</v>
      </c>
      <c r="D214" t="inlineStr">
        <is>
          <t>VÄSTMANLANDS LÄN</t>
        </is>
      </c>
      <c r="E214" t="inlineStr">
        <is>
          <t>SALA</t>
        </is>
      </c>
      <c r="G214" t="n">
        <v>0.8</v>
      </c>
      <c r="H214" t="n">
        <v>0</v>
      </c>
      <c r="I214" t="n">
        <v>0</v>
      </c>
      <c r="J214" t="n">
        <v>0</v>
      </c>
      <c r="K214" t="n">
        <v>0</v>
      </c>
      <c r="L214" t="n">
        <v>0</v>
      </c>
      <c r="M214" t="n">
        <v>0</v>
      </c>
      <c r="N214" t="n">
        <v>0</v>
      </c>
      <c r="O214" t="n">
        <v>0</v>
      </c>
      <c r="P214" t="n">
        <v>0</v>
      </c>
      <c r="Q214" t="n">
        <v>0</v>
      </c>
      <c r="R214" s="2" t="inlineStr"/>
    </row>
    <row r="215" ht="15" customHeight="1">
      <c r="A215" t="inlineStr">
        <is>
          <t>A 17919-2020</t>
        </is>
      </c>
      <c r="B215" s="1" t="n">
        <v>43924</v>
      </c>
      <c r="C215" s="1" t="n">
        <v>45348</v>
      </c>
      <c r="D215" t="inlineStr">
        <is>
          <t>VÄSTMANLANDS LÄN</t>
        </is>
      </c>
      <c r="E215" t="inlineStr">
        <is>
          <t>SALA</t>
        </is>
      </c>
      <c r="G215" t="n">
        <v>2.6</v>
      </c>
      <c r="H215" t="n">
        <v>0</v>
      </c>
      <c r="I215" t="n">
        <v>0</v>
      </c>
      <c r="J215" t="n">
        <v>0</v>
      </c>
      <c r="K215" t="n">
        <v>0</v>
      </c>
      <c r="L215" t="n">
        <v>0</v>
      </c>
      <c r="M215" t="n">
        <v>0</v>
      </c>
      <c r="N215" t="n">
        <v>0</v>
      </c>
      <c r="O215" t="n">
        <v>0</v>
      </c>
      <c r="P215" t="n">
        <v>0</v>
      </c>
      <c r="Q215" t="n">
        <v>0</v>
      </c>
      <c r="R215" s="2" t="inlineStr"/>
    </row>
    <row r="216" ht="15" customHeight="1">
      <c r="A216" t="inlineStr">
        <is>
          <t>A 18772-2020</t>
        </is>
      </c>
      <c r="B216" s="1" t="n">
        <v>43930</v>
      </c>
      <c r="C216" s="1" t="n">
        <v>45348</v>
      </c>
      <c r="D216" t="inlineStr">
        <is>
          <t>VÄSTMANLANDS LÄN</t>
        </is>
      </c>
      <c r="E216" t="inlineStr">
        <is>
          <t>SALA</t>
        </is>
      </c>
      <c r="G216" t="n">
        <v>3.5</v>
      </c>
      <c r="H216" t="n">
        <v>0</v>
      </c>
      <c r="I216" t="n">
        <v>0</v>
      </c>
      <c r="J216" t="n">
        <v>0</v>
      </c>
      <c r="K216" t="n">
        <v>0</v>
      </c>
      <c r="L216" t="n">
        <v>0</v>
      </c>
      <c r="M216" t="n">
        <v>0</v>
      </c>
      <c r="N216" t="n">
        <v>0</v>
      </c>
      <c r="O216" t="n">
        <v>0</v>
      </c>
      <c r="P216" t="n">
        <v>0</v>
      </c>
      <c r="Q216" t="n">
        <v>0</v>
      </c>
      <c r="R216" s="2" t="inlineStr"/>
    </row>
    <row r="217" ht="15" customHeight="1">
      <c r="A217" t="inlineStr">
        <is>
          <t>A 19071-2020</t>
        </is>
      </c>
      <c r="B217" s="1" t="n">
        <v>43936</v>
      </c>
      <c r="C217" s="1" t="n">
        <v>45348</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19480-2020</t>
        </is>
      </c>
      <c r="B218" s="1" t="n">
        <v>43936</v>
      </c>
      <c r="C218" s="1" t="n">
        <v>45348</v>
      </c>
      <c r="D218" t="inlineStr">
        <is>
          <t>VÄSTMANLANDS LÄN</t>
        </is>
      </c>
      <c r="E218" t="inlineStr">
        <is>
          <t>SALA</t>
        </is>
      </c>
      <c r="G218" t="n">
        <v>4.8</v>
      </c>
      <c r="H218" t="n">
        <v>0</v>
      </c>
      <c r="I218" t="n">
        <v>0</v>
      </c>
      <c r="J218" t="n">
        <v>0</v>
      </c>
      <c r="K218" t="n">
        <v>0</v>
      </c>
      <c r="L218" t="n">
        <v>0</v>
      </c>
      <c r="M218" t="n">
        <v>0</v>
      </c>
      <c r="N218" t="n">
        <v>0</v>
      </c>
      <c r="O218" t="n">
        <v>0</v>
      </c>
      <c r="P218" t="n">
        <v>0</v>
      </c>
      <c r="Q218" t="n">
        <v>0</v>
      </c>
      <c r="R218" s="2" t="inlineStr"/>
    </row>
    <row r="219" ht="15" customHeight="1">
      <c r="A219" t="inlineStr">
        <is>
          <t>A 22305-2020</t>
        </is>
      </c>
      <c r="B219" s="1" t="n">
        <v>43957</v>
      </c>
      <c r="C219" s="1" t="n">
        <v>45348</v>
      </c>
      <c r="D219" t="inlineStr">
        <is>
          <t>VÄSTMANLANDS LÄN</t>
        </is>
      </c>
      <c r="E219" t="inlineStr">
        <is>
          <t>SALA</t>
        </is>
      </c>
      <c r="G219" t="n">
        <v>2.9</v>
      </c>
      <c r="H219" t="n">
        <v>0</v>
      </c>
      <c r="I219" t="n">
        <v>0</v>
      </c>
      <c r="J219" t="n">
        <v>0</v>
      </c>
      <c r="K219" t="n">
        <v>0</v>
      </c>
      <c r="L219" t="n">
        <v>0</v>
      </c>
      <c r="M219" t="n">
        <v>0</v>
      </c>
      <c r="N219" t="n">
        <v>0</v>
      </c>
      <c r="O219" t="n">
        <v>0</v>
      </c>
      <c r="P219" t="n">
        <v>0</v>
      </c>
      <c r="Q219" t="n">
        <v>0</v>
      </c>
      <c r="R219" s="2" t="inlineStr"/>
    </row>
    <row r="220" ht="15" customHeight="1">
      <c r="A220" t="inlineStr">
        <is>
          <t>A 22058-2020</t>
        </is>
      </c>
      <c r="B220" s="1" t="n">
        <v>43959</v>
      </c>
      <c r="C220" s="1" t="n">
        <v>45348</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24235-2020</t>
        </is>
      </c>
      <c r="B221" s="1" t="n">
        <v>43976</v>
      </c>
      <c r="C221" s="1" t="n">
        <v>45348</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24763-2020</t>
        </is>
      </c>
      <c r="B222" s="1" t="n">
        <v>43978</v>
      </c>
      <c r="C222" s="1" t="n">
        <v>45348</v>
      </c>
      <c r="D222" t="inlineStr">
        <is>
          <t>VÄSTMANLANDS LÄN</t>
        </is>
      </c>
      <c r="E222" t="inlineStr">
        <is>
          <t>SALA</t>
        </is>
      </c>
      <c r="G222" t="n">
        <v>3.6</v>
      </c>
      <c r="H222" t="n">
        <v>0</v>
      </c>
      <c r="I222" t="n">
        <v>0</v>
      </c>
      <c r="J222" t="n">
        <v>0</v>
      </c>
      <c r="K222" t="n">
        <v>0</v>
      </c>
      <c r="L222" t="n">
        <v>0</v>
      </c>
      <c r="M222" t="n">
        <v>0</v>
      </c>
      <c r="N222" t="n">
        <v>0</v>
      </c>
      <c r="O222" t="n">
        <v>0</v>
      </c>
      <c r="P222" t="n">
        <v>0</v>
      </c>
      <c r="Q222" t="n">
        <v>0</v>
      </c>
      <c r="R222" s="2" t="inlineStr"/>
    </row>
    <row r="223" ht="15" customHeight="1">
      <c r="A223" t="inlineStr">
        <is>
          <t>A 26098-2020</t>
        </is>
      </c>
      <c r="B223" s="1" t="n">
        <v>43985</v>
      </c>
      <c r="C223" s="1" t="n">
        <v>45348</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26425-2020</t>
        </is>
      </c>
      <c r="B224" s="1" t="n">
        <v>43987</v>
      </c>
      <c r="C224" s="1" t="n">
        <v>45348</v>
      </c>
      <c r="D224" t="inlineStr">
        <is>
          <t>VÄSTMANLANDS LÄN</t>
        </is>
      </c>
      <c r="E224" t="inlineStr">
        <is>
          <t>SALA</t>
        </is>
      </c>
      <c r="G224" t="n">
        <v>6.3</v>
      </c>
      <c r="H224" t="n">
        <v>0</v>
      </c>
      <c r="I224" t="n">
        <v>0</v>
      </c>
      <c r="J224" t="n">
        <v>0</v>
      </c>
      <c r="K224" t="n">
        <v>0</v>
      </c>
      <c r="L224" t="n">
        <v>0</v>
      </c>
      <c r="M224" t="n">
        <v>0</v>
      </c>
      <c r="N224" t="n">
        <v>0</v>
      </c>
      <c r="O224" t="n">
        <v>0</v>
      </c>
      <c r="P224" t="n">
        <v>0</v>
      </c>
      <c r="Q224" t="n">
        <v>0</v>
      </c>
      <c r="R224" s="2" t="inlineStr"/>
    </row>
    <row r="225" ht="15" customHeight="1">
      <c r="A225" t="inlineStr">
        <is>
          <t>A 26937-2020</t>
        </is>
      </c>
      <c r="B225" s="1" t="n">
        <v>43990</v>
      </c>
      <c r="C225" s="1" t="n">
        <v>45348</v>
      </c>
      <c r="D225" t="inlineStr">
        <is>
          <t>VÄSTMANLANDS LÄN</t>
        </is>
      </c>
      <c r="E225" t="inlineStr">
        <is>
          <t>SALA</t>
        </is>
      </c>
      <c r="F225" t="inlineStr">
        <is>
          <t>Bergvik skog öst AB</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27730-2020</t>
        </is>
      </c>
      <c r="B226" s="1" t="n">
        <v>43994</v>
      </c>
      <c r="C226" s="1" t="n">
        <v>45348</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29845-2020</t>
        </is>
      </c>
      <c r="B227" s="1" t="n">
        <v>44005</v>
      </c>
      <c r="C227" s="1" t="n">
        <v>45348</v>
      </c>
      <c r="D227" t="inlineStr">
        <is>
          <t>VÄSTMANLANDS LÄN</t>
        </is>
      </c>
      <c r="E227" t="inlineStr">
        <is>
          <t>SALA</t>
        </is>
      </c>
      <c r="G227" t="n">
        <v>2.4</v>
      </c>
      <c r="H227" t="n">
        <v>0</v>
      </c>
      <c r="I227" t="n">
        <v>0</v>
      </c>
      <c r="J227" t="n">
        <v>0</v>
      </c>
      <c r="K227" t="n">
        <v>0</v>
      </c>
      <c r="L227" t="n">
        <v>0</v>
      </c>
      <c r="M227" t="n">
        <v>0</v>
      </c>
      <c r="N227" t="n">
        <v>0</v>
      </c>
      <c r="O227" t="n">
        <v>0</v>
      </c>
      <c r="P227" t="n">
        <v>0</v>
      </c>
      <c r="Q227" t="n">
        <v>0</v>
      </c>
      <c r="R227" s="2" t="inlineStr"/>
    </row>
    <row r="228" ht="15" customHeight="1">
      <c r="A228" t="inlineStr">
        <is>
          <t>A 29821-2020</t>
        </is>
      </c>
      <c r="B228" s="1" t="n">
        <v>44005</v>
      </c>
      <c r="C228" s="1" t="n">
        <v>45348</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29925-2020</t>
        </is>
      </c>
      <c r="B229" s="1" t="n">
        <v>44006</v>
      </c>
      <c r="C229" s="1" t="n">
        <v>45348</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30327-2020</t>
        </is>
      </c>
      <c r="B230" s="1" t="n">
        <v>44007</v>
      </c>
      <c r="C230" s="1" t="n">
        <v>45348</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32371-2020</t>
        </is>
      </c>
      <c r="B231" s="1" t="n">
        <v>44018</v>
      </c>
      <c r="C231" s="1" t="n">
        <v>45348</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32367-2020</t>
        </is>
      </c>
      <c r="B232" s="1" t="n">
        <v>44018</v>
      </c>
      <c r="C232" s="1" t="n">
        <v>45348</v>
      </c>
      <c r="D232" t="inlineStr">
        <is>
          <t>VÄSTMANLANDS LÄN</t>
        </is>
      </c>
      <c r="E232" t="inlineStr">
        <is>
          <t>SALA</t>
        </is>
      </c>
      <c r="G232" t="n">
        <v>1.5</v>
      </c>
      <c r="H232" t="n">
        <v>0</v>
      </c>
      <c r="I232" t="n">
        <v>0</v>
      </c>
      <c r="J232" t="n">
        <v>0</v>
      </c>
      <c r="K232" t="n">
        <v>0</v>
      </c>
      <c r="L232" t="n">
        <v>0</v>
      </c>
      <c r="M232" t="n">
        <v>0</v>
      </c>
      <c r="N232" t="n">
        <v>0</v>
      </c>
      <c r="O232" t="n">
        <v>0</v>
      </c>
      <c r="P232" t="n">
        <v>0</v>
      </c>
      <c r="Q232" t="n">
        <v>0</v>
      </c>
      <c r="R232" s="2" t="inlineStr"/>
    </row>
    <row r="233" ht="15" customHeight="1">
      <c r="A233" t="inlineStr">
        <is>
          <t>A 32368-2020</t>
        </is>
      </c>
      <c r="B233" s="1" t="n">
        <v>44018</v>
      </c>
      <c r="C233" s="1" t="n">
        <v>45348</v>
      </c>
      <c r="D233" t="inlineStr">
        <is>
          <t>VÄSTMANLANDS LÄN</t>
        </is>
      </c>
      <c r="E233" t="inlineStr">
        <is>
          <t>SALA</t>
        </is>
      </c>
      <c r="G233" t="n">
        <v>3.4</v>
      </c>
      <c r="H233" t="n">
        <v>0</v>
      </c>
      <c r="I233" t="n">
        <v>0</v>
      </c>
      <c r="J233" t="n">
        <v>0</v>
      </c>
      <c r="K233" t="n">
        <v>0</v>
      </c>
      <c r="L233" t="n">
        <v>0</v>
      </c>
      <c r="M233" t="n">
        <v>0</v>
      </c>
      <c r="N233" t="n">
        <v>0</v>
      </c>
      <c r="O233" t="n">
        <v>0</v>
      </c>
      <c r="P233" t="n">
        <v>0</v>
      </c>
      <c r="Q233" t="n">
        <v>0</v>
      </c>
      <c r="R233" s="2" t="inlineStr"/>
    </row>
    <row r="234" ht="15" customHeight="1">
      <c r="A234" t="inlineStr">
        <is>
          <t>A 32377-2020</t>
        </is>
      </c>
      <c r="B234" s="1" t="n">
        <v>44018</v>
      </c>
      <c r="C234" s="1" t="n">
        <v>45348</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33181-2020</t>
        </is>
      </c>
      <c r="B235" s="1" t="n">
        <v>44021</v>
      </c>
      <c r="C235" s="1" t="n">
        <v>45348</v>
      </c>
      <c r="D235" t="inlineStr">
        <is>
          <t>VÄSTMANLANDS LÄN</t>
        </is>
      </c>
      <c r="E235" t="inlineStr">
        <is>
          <t>SALA</t>
        </is>
      </c>
      <c r="G235" t="n">
        <v>2.8</v>
      </c>
      <c r="H235" t="n">
        <v>0</v>
      </c>
      <c r="I235" t="n">
        <v>0</v>
      </c>
      <c r="J235" t="n">
        <v>0</v>
      </c>
      <c r="K235" t="n">
        <v>0</v>
      </c>
      <c r="L235" t="n">
        <v>0</v>
      </c>
      <c r="M235" t="n">
        <v>0</v>
      </c>
      <c r="N235" t="n">
        <v>0</v>
      </c>
      <c r="O235" t="n">
        <v>0</v>
      </c>
      <c r="P235" t="n">
        <v>0</v>
      </c>
      <c r="Q235" t="n">
        <v>0</v>
      </c>
      <c r="R235" s="2" t="inlineStr"/>
    </row>
    <row r="236" ht="15" customHeight="1">
      <c r="A236" t="inlineStr">
        <is>
          <t>A 34430-2020</t>
        </is>
      </c>
      <c r="B236" s="1" t="n">
        <v>44032</v>
      </c>
      <c r="C236" s="1" t="n">
        <v>45348</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34429-2020</t>
        </is>
      </c>
      <c r="B237" s="1" t="n">
        <v>44032</v>
      </c>
      <c r="C237" s="1" t="n">
        <v>45348</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37008-2020</t>
        </is>
      </c>
      <c r="B238" s="1" t="n">
        <v>44054</v>
      </c>
      <c r="C238" s="1" t="n">
        <v>45348</v>
      </c>
      <c r="D238" t="inlineStr">
        <is>
          <t>VÄSTMANLANDS LÄN</t>
        </is>
      </c>
      <c r="E238" t="inlineStr">
        <is>
          <t>SALA</t>
        </is>
      </c>
      <c r="F238" t="inlineStr">
        <is>
          <t>Kommuner</t>
        </is>
      </c>
      <c r="G238" t="n">
        <v>5.5</v>
      </c>
      <c r="H238" t="n">
        <v>0</v>
      </c>
      <c r="I238" t="n">
        <v>0</v>
      </c>
      <c r="J238" t="n">
        <v>0</v>
      </c>
      <c r="K238" t="n">
        <v>0</v>
      </c>
      <c r="L238" t="n">
        <v>0</v>
      </c>
      <c r="M238" t="n">
        <v>0</v>
      </c>
      <c r="N238" t="n">
        <v>0</v>
      </c>
      <c r="O238" t="n">
        <v>0</v>
      </c>
      <c r="P238" t="n">
        <v>0</v>
      </c>
      <c r="Q238" t="n">
        <v>0</v>
      </c>
      <c r="R238" s="2" t="inlineStr"/>
    </row>
    <row r="239" ht="15" customHeight="1">
      <c r="A239" t="inlineStr">
        <is>
          <t>A 37098-2020</t>
        </is>
      </c>
      <c r="B239" s="1" t="n">
        <v>44054</v>
      </c>
      <c r="C239" s="1" t="n">
        <v>45348</v>
      </c>
      <c r="D239" t="inlineStr">
        <is>
          <t>VÄSTMANLANDS LÄN</t>
        </is>
      </c>
      <c r="E239" t="inlineStr">
        <is>
          <t>SALA</t>
        </is>
      </c>
      <c r="F239" t="inlineStr">
        <is>
          <t>Kommuner</t>
        </is>
      </c>
      <c r="G239" t="n">
        <v>3.8</v>
      </c>
      <c r="H239" t="n">
        <v>0</v>
      </c>
      <c r="I239" t="n">
        <v>0</v>
      </c>
      <c r="J239" t="n">
        <v>0</v>
      </c>
      <c r="K239" t="n">
        <v>0</v>
      </c>
      <c r="L239" t="n">
        <v>0</v>
      </c>
      <c r="M239" t="n">
        <v>0</v>
      </c>
      <c r="N239" t="n">
        <v>0</v>
      </c>
      <c r="O239" t="n">
        <v>0</v>
      </c>
      <c r="P239" t="n">
        <v>0</v>
      </c>
      <c r="Q239" t="n">
        <v>0</v>
      </c>
      <c r="R239" s="2" t="inlineStr"/>
    </row>
    <row r="240" ht="15" customHeight="1">
      <c r="A240" t="inlineStr">
        <is>
          <t>A 37150-2020</t>
        </is>
      </c>
      <c r="B240" s="1" t="n">
        <v>44054</v>
      </c>
      <c r="C240" s="1" t="n">
        <v>45348</v>
      </c>
      <c r="D240" t="inlineStr">
        <is>
          <t>VÄSTMANLANDS LÄN</t>
        </is>
      </c>
      <c r="E240" t="inlineStr">
        <is>
          <t>SALA</t>
        </is>
      </c>
      <c r="F240" t="inlineStr">
        <is>
          <t>Kommuner</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38579-2020</t>
        </is>
      </c>
      <c r="B241" s="1" t="n">
        <v>44061</v>
      </c>
      <c r="C241" s="1" t="n">
        <v>45348</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38713-2020</t>
        </is>
      </c>
      <c r="B242" s="1" t="n">
        <v>44061</v>
      </c>
      <c r="C242" s="1" t="n">
        <v>45348</v>
      </c>
      <c r="D242" t="inlineStr">
        <is>
          <t>VÄSTMANLANDS LÄN</t>
        </is>
      </c>
      <c r="E242" t="inlineStr">
        <is>
          <t>SALA</t>
        </is>
      </c>
      <c r="G242" t="n">
        <v>1.4</v>
      </c>
      <c r="H242" t="n">
        <v>0</v>
      </c>
      <c r="I242" t="n">
        <v>0</v>
      </c>
      <c r="J242" t="n">
        <v>0</v>
      </c>
      <c r="K242" t="n">
        <v>0</v>
      </c>
      <c r="L242" t="n">
        <v>0</v>
      </c>
      <c r="M242" t="n">
        <v>0</v>
      </c>
      <c r="N242" t="n">
        <v>0</v>
      </c>
      <c r="O242" t="n">
        <v>0</v>
      </c>
      <c r="P242" t="n">
        <v>0</v>
      </c>
      <c r="Q242" t="n">
        <v>0</v>
      </c>
      <c r="R242" s="2" t="inlineStr"/>
    </row>
    <row r="243" ht="15" customHeight="1">
      <c r="A243" t="inlineStr">
        <is>
          <t>A 39519-2020</t>
        </is>
      </c>
      <c r="B243" s="1" t="n">
        <v>44064</v>
      </c>
      <c r="C243" s="1" t="n">
        <v>45348</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39818-2020</t>
        </is>
      </c>
      <c r="B244" s="1" t="n">
        <v>44067</v>
      </c>
      <c r="C244" s="1" t="n">
        <v>45348</v>
      </c>
      <c r="D244" t="inlineStr">
        <is>
          <t>VÄSTMANLANDS LÄN</t>
        </is>
      </c>
      <c r="E244" t="inlineStr">
        <is>
          <t>SALA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41493-2020</t>
        </is>
      </c>
      <c r="B245" s="1" t="n">
        <v>44074</v>
      </c>
      <c r="C245" s="1" t="n">
        <v>45348</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41485-2020</t>
        </is>
      </c>
      <c r="B246" s="1" t="n">
        <v>44074</v>
      </c>
      <c r="C246" s="1" t="n">
        <v>45348</v>
      </c>
      <c r="D246" t="inlineStr">
        <is>
          <t>VÄSTMANLANDS LÄN</t>
        </is>
      </c>
      <c r="E246" t="inlineStr">
        <is>
          <t>SALA</t>
        </is>
      </c>
      <c r="G246" t="n">
        <v>4.7</v>
      </c>
      <c r="H246" t="n">
        <v>0</v>
      </c>
      <c r="I246" t="n">
        <v>0</v>
      </c>
      <c r="J246" t="n">
        <v>0</v>
      </c>
      <c r="K246" t="n">
        <v>0</v>
      </c>
      <c r="L246" t="n">
        <v>0</v>
      </c>
      <c r="M246" t="n">
        <v>0</v>
      </c>
      <c r="N246" t="n">
        <v>0</v>
      </c>
      <c r="O246" t="n">
        <v>0</v>
      </c>
      <c r="P246" t="n">
        <v>0</v>
      </c>
      <c r="Q246" t="n">
        <v>0</v>
      </c>
      <c r="R246" s="2" t="inlineStr"/>
    </row>
    <row r="247" ht="15" customHeight="1">
      <c r="A247" t="inlineStr">
        <is>
          <t>A 42344-2020</t>
        </is>
      </c>
      <c r="B247" s="1" t="n">
        <v>44076</v>
      </c>
      <c r="C247" s="1" t="n">
        <v>45348</v>
      </c>
      <c r="D247" t="inlineStr">
        <is>
          <t>VÄSTMANLANDS LÄN</t>
        </is>
      </c>
      <c r="E247" t="inlineStr">
        <is>
          <t>SALA</t>
        </is>
      </c>
      <c r="G247" t="n">
        <v>5.1</v>
      </c>
      <c r="H247" t="n">
        <v>0</v>
      </c>
      <c r="I247" t="n">
        <v>0</v>
      </c>
      <c r="J247" t="n">
        <v>0</v>
      </c>
      <c r="K247" t="n">
        <v>0</v>
      </c>
      <c r="L247" t="n">
        <v>0</v>
      </c>
      <c r="M247" t="n">
        <v>0</v>
      </c>
      <c r="N247" t="n">
        <v>0</v>
      </c>
      <c r="O247" t="n">
        <v>0</v>
      </c>
      <c r="P247" t="n">
        <v>0</v>
      </c>
      <c r="Q247" t="n">
        <v>0</v>
      </c>
      <c r="R247" s="2" t="inlineStr"/>
    </row>
    <row r="248" ht="15" customHeight="1">
      <c r="A248" t="inlineStr">
        <is>
          <t>A 42345-2020</t>
        </is>
      </c>
      <c r="B248" s="1" t="n">
        <v>44076</v>
      </c>
      <c r="C248" s="1" t="n">
        <v>45348</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42346-2020</t>
        </is>
      </c>
      <c r="B249" s="1" t="n">
        <v>44076</v>
      </c>
      <c r="C249" s="1" t="n">
        <v>45348</v>
      </c>
      <c r="D249" t="inlineStr">
        <is>
          <t>VÄSTMANLANDS LÄN</t>
        </is>
      </c>
      <c r="E249" t="inlineStr">
        <is>
          <t>SALA</t>
        </is>
      </c>
      <c r="G249" t="n">
        <v>1.7</v>
      </c>
      <c r="H249" t="n">
        <v>0</v>
      </c>
      <c r="I249" t="n">
        <v>0</v>
      </c>
      <c r="J249" t="n">
        <v>0</v>
      </c>
      <c r="K249" t="n">
        <v>0</v>
      </c>
      <c r="L249" t="n">
        <v>0</v>
      </c>
      <c r="M249" t="n">
        <v>0</v>
      </c>
      <c r="N249" t="n">
        <v>0</v>
      </c>
      <c r="O249" t="n">
        <v>0</v>
      </c>
      <c r="P249" t="n">
        <v>0</v>
      </c>
      <c r="Q249" t="n">
        <v>0</v>
      </c>
      <c r="R249" s="2" t="inlineStr"/>
    </row>
    <row r="250" ht="15" customHeight="1">
      <c r="A250" t="inlineStr">
        <is>
          <t>A 43349-2020</t>
        </is>
      </c>
      <c r="B250" s="1" t="n">
        <v>44081</v>
      </c>
      <c r="C250" s="1" t="n">
        <v>45348</v>
      </c>
      <c r="D250" t="inlineStr">
        <is>
          <t>VÄSTMANLANDS LÄN</t>
        </is>
      </c>
      <c r="E250" t="inlineStr">
        <is>
          <t>SALA</t>
        </is>
      </c>
      <c r="G250" t="n">
        <v>1.8</v>
      </c>
      <c r="H250" t="n">
        <v>0</v>
      </c>
      <c r="I250" t="n">
        <v>0</v>
      </c>
      <c r="J250" t="n">
        <v>0</v>
      </c>
      <c r="K250" t="n">
        <v>0</v>
      </c>
      <c r="L250" t="n">
        <v>0</v>
      </c>
      <c r="M250" t="n">
        <v>0</v>
      </c>
      <c r="N250" t="n">
        <v>0</v>
      </c>
      <c r="O250" t="n">
        <v>0</v>
      </c>
      <c r="P250" t="n">
        <v>0</v>
      </c>
      <c r="Q250" t="n">
        <v>0</v>
      </c>
      <c r="R250" s="2" t="inlineStr"/>
    </row>
    <row r="251" ht="15" customHeight="1">
      <c r="A251" t="inlineStr">
        <is>
          <t>A 44652-2020</t>
        </is>
      </c>
      <c r="B251" s="1" t="n">
        <v>44085</v>
      </c>
      <c r="C251" s="1" t="n">
        <v>45348</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44950-2020</t>
        </is>
      </c>
      <c r="B252" s="1" t="n">
        <v>44088</v>
      </c>
      <c r="C252" s="1" t="n">
        <v>45348</v>
      </c>
      <c r="D252" t="inlineStr">
        <is>
          <t>VÄSTMANLANDS LÄN</t>
        </is>
      </c>
      <c r="E252" t="inlineStr">
        <is>
          <t>SALA</t>
        </is>
      </c>
      <c r="G252" t="n">
        <v>9</v>
      </c>
      <c r="H252" t="n">
        <v>0</v>
      </c>
      <c r="I252" t="n">
        <v>0</v>
      </c>
      <c r="J252" t="n">
        <v>0</v>
      </c>
      <c r="K252" t="n">
        <v>0</v>
      </c>
      <c r="L252" t="n">
        <v>0</v>
      </c>
      <c r="M252" t="n">
        <v>0</v>
      </c>
      <c r="N252" t="n">
        <v>0</v>
      </c>
      <c r="O252" t="n">
        <v>0</v>
      </c>
      <c r="P252" t="n">
        <v>0</v>
      </c>
      <c r="Q252" t="n">
        <v>0</v>
      </c>
      <c r="R252" s="2" t="inlineStr"/>
    </row>
    <row r="253" ht="15" customHeight="1">
      <c r="A253" t="inlineStr">
        <is>
          <t>A 46965-2020</t>
        </is>
      </c>
      <c r="B253" s="1" t="n">
        <v>44096</v>
      </c>
      <c r="C253" s="1" t="n">
        <v>45348</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47054-2020</t>
        </is>
      </c>
      <c r="B254" s="1" t="n">
        <v>44096</v>
      </c>
      <c r="C254" s="1" t="n">
        <v>45348</v>
      </c>
      <c r="D254" t="inlineStr">
        <is>
          <t>VÄSTMANLANDS LÄN</t>
        </is>
      </c>
      <c r="E254" t="inlineStr">
        <is>
          <t>SALA</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47208-2020</t>
        </is>
      </c>
      <c r="B255" s="1" t="n">
        <v>44097</v>
      </c>
      <c r="C255" s="1" t="n">
        <v>45348</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50559-2020</t>
        </is>
      </c>
      <c r="B256" s="1" t="n">
        <v>44110</v>
      </c>
      <c r="C256" s="1" t="n">
        <v>45348</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50801-2020</t>
        </is>
      </c>
      <c r="B257" s="1" t="n">
        <v>44111</v>
      </c>
      <c r="C257" s="1" t="n">
        <v>45348</v>
      </c>
      <c r="D257" t="inlineStr">
        <is>
          <t>VÄSTMANLANDS LÄN</t>
        </is>
      </c>
      <c r="E257" t="inlineStr">
        <is>
          <t>SALA</t>
        </is>
      </c>
      <c r="G257" t="n">
        <v>1.1</v>
      </c>
      <c r="H257" t="n">
        <v>0</v>
      </c>
      <c r="I257" t="n">
        <v>0</v>
      </c>
      <c r="J257" t="n">
        <v>0</v>
      </c>
      <c r="K257" t="n">
        <v>0</v>
      </c>
      <c r="L257" t="n">
        <v>0</v>
      </c>
      <c r="M257" t="n">
        <v>0</v>
      </c>
      <c r="N257" t="n">
        <v>0</v>
      </c>
      <c r="O257" t="n">
        <v>0</v>
      </c>
      <c r="P257" t="n">
        <v>0</v>
      </c>
      <c r="Q257" t="n">
        <v>0</v>
      </c>
      <c r="R257" s="2" t="inlineStr"/>
    </row>
    <row r="258" ht="15" customHeight="1">
      <c r="A258" t="inlineStr">
        <is>
          <t>A 50818-2020</t>
        </is>
      </c>
      <c r="B258" s="1" t="n">
        <v>44111</v>
      </c>
      <c r="C258" s="1" t="n">
        <v>45348</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54322-2020</t>
        </is>
      </c>
      <c r="B259" s="1" t="n">
        <v>44126</v>
      </c>
      <c r="C259" s="1" t="n">
        <v>45348</v>
      </c>
      <c r="D259" t="inlineStr">
        <is>
          <t>VÄSTMANLANDS LÄN</t>
        </is>
      </c>
      <c r="E259" t="inlineStr">
        <is>
          <t>SALA</t>
        </is>
      </c>
      <c r="G259" t="n">
        <v>2</v>
      </c>
      <c r="H259" t="n">
        <v>0</v>
      </c>
      <c r="I259" t="n">
        <v>0</v>
      </c>
      <c r="J259" t="n">
        <v>0</v>
      </c>
      <c r="K259" t="n">
        <v>0</v>
      </c>
      <c r="L259" t="n">
        <v>0</v>
      </c>
      <c r="M259" t="n">
        <v>0</v>
      </c>
      <c r="N259" t="n">
        <v>0</v>
      </c>
      <c r="O259" t="n">
        <v>0</v>
      </c>
      <c r="P259" t="n">
        <v>0</v>
      </c>
      <c r="Q259" t="n">
        <v>0</v>
      </c>
      <c r="R259" s="2" t="inlineStr"/>
    </row>
    <row r="260" ht="15" customHeight="1">
      <c r="A260" t="inlineStr">
        <is>
          <t>A 54923-2020</t>
        </is>
      </c>
      <c r="B260" s="1" t="n">
        <v>44127</v>
      </c>
      <c r="C260" s="1" t="n">
        <v>45348</v>
      </c>
      <c r="D260" t="inlineStr">
        <is>
          <t>VÄSTMANLANDS LÄN</t>
        </is>
      </c>
      <c r="E260" t="inlineStr">
        <is>
          <t>SALA</t>
        </is>
      </c>
      <c r="G260" t="n">
        <v>4.9</v>
      </c>
      <c r="H260" t="n">
        <v>0</v>
      </c>
      <c r="I260" t="n">
        <v>0</v>
      </c>
      <c r="J260" t="n">
        <v>0</v>
      </c>
      <c r="K260" t="n">
        <v>0</v>
      </c>
      <c r="L260" t="n">
        <v>0</v>
      </c>
      <c r="M260" t="n">
        <v>0</v>
      </c>
      <c r="N260" t="n">
        <v>0</v>
      </c>
      <c r="O260" t="n">
        <v>0</v>
      </c>
      <c r="P260" t="n">
        <v>0</v>
      </c>
      <c r="Q260" t="n">
        <v>0</v>
      </c>
      <c r="R260" s="2" t="inlineStr"/>
    </row>
    <row r="261" ht="15" customHeight="1">
      <c r="A261" t="inlineStr">
        <is>
          <t>A 54931-2020</t>
        </is>
      </c>
      <c r="B261" s="1" t="n">
        <v>44127</v>
      </c>
      <c r="C261" s="1" t="n">
        <v>45348</v>
      </c>
      <c r="D261" t="inlineStr">
        <is>
          <t>VÄSTMANLANDS LÄN</t>
        </is>
      </c>
      <c r="E261" t="inlineStr">
        <is>
          <t>SALA</t>
        </is>
      </c>
      <c r="G261" t="n">
        <v>7</v>
      </c>
      <c r="H261" t="n">
        <v>0</v>
      </c>
      <c r="I261" t="n">
        <v>0</v>
      </c>
      <c r="J261" t="n">
        <v>0</v>
      </c>
      <c r="K261" t="n">
        <v>0</v>
      </c>
      <c r="L261" t="n">
        <v>0</v>
      </c>
      <c r="M261" t="n">
        <v>0</v>
      </c>
      <c r="N261" t="n">
        <v>0</v>
      </c>
      <c r="O261" t="n">
        <v>0</v>
      </c>
      <c r="P261" t="n">
        <v>0</v>
      </c>
      <c r="Q261" t="n">
        <v>0</v>
      </c>
      <c r="R261" s="2" t="inlineStr"/>
    </row>
    <row r="262" ht="15" customHeight="1">
      <c r="A262" t="inlineStr">
        <is>
          <t>A 55439-2020</t>
        </is>
      </c>
      <c r="B262" s="1" t="n">
        <v>44130</v>
      </c>
      <c r="C262" s="1" t="n">
        <v>45348</v>
      </c>
      <c r="D262" t="inlineStr">
        <is>
          <t>VÄSTMANLANDS LÄN</t>
        </is>
      </c>
      <c r="E262" t="inlineStr">
        <is>
          <t>SALA</t>
        </is>
      </c>
      <c r="G262" t="n">
        <v>4.3</v>
      </c>
      <c r="H262" t="n">
        <v>0</v>
      </c>
      <c r="I262" t="n">
        <v>0</v>
      </c>
      <c r="J262" t="n">
        <v>0</v>
      </c>
      <c r="K262" t="n">
        <v>0</v>
      </c>
      <c r="L262" t="n">
        <v>0</v>
      </c>
      <c r="M262" t="n">
        <v>0</v>
      </c>
      <c r="N262" t="n">
        <v>0</v>
      </c>
      <c r="O262" t="n">
        <v>0</v>
      </c>
      <c r="P262" t="n">
        <v>0</v>
      </c>
      <c r="Q262" t="n">
        <v>0</v>
      </c>
      <c r="R262" s="2" t="inlineStr"/>
    </row>
    <row r="263" ht="15" customHeight="1">
      <c r="A263" t="inlineStr">
        <is>
          <t>A 55881-2020</t>
        </is>
      </c>
      <c r="B263" s="1" t="n">
        <v>44132</v>
      </c>
      <c r="C263" s="1" t="n">
        <v>45348</v>
      </c>
      <c r="D263" t="inlineStr">
        <is>
          <t>VÄSTMANLANDS LÄN</t>
        </is>
      </c>
      <c r="E263" t="inlineStr">
        <is>
          <t>SALA</t>
        </is>
      </c>
      <c r="G263" t="n">
        <v>3</v>
      </c>
      <c r="H263" t="n">
        <v>0</v>
      </c>
      <c r="I263" t="n">
        <v>0</v>
      </c>
      <c r="J263" t="n">
        <v>0</v>
      </c>
      <c r="K263" t="n">
        <v>0</v>
      </c>
      <c r="L263" t="n">
        <v>0</v>
      </c>
      <c r="M263" t="n">
        <v>0</v>
      </c>
      <c r="N263" t="n">
        <v>0</v>
      </c>
      <c r="O263" t="n">
        <v>0</v>
      </c>
      <c r="P263" t="n">
        <v>0</v>
      </c>
      <c r="Q263" t="n">
        <v>0</v>
      </c>
      <c r="R263" s="2" t="inlineStr"/>
    </row>
    <row r="264" ht="15" customHeight="1">
      <c r="A264" t="inlineStr">
        <is>
          <t>A 56134-2020</t>
        </is>
      </c>
      <c r="B264" s="1" t="n">
        <v>44132</v>
      </c>
      <c r="C264" s="1" t="n">
        <v>45348</v>
      </c>
      <c r="D264" t="inlineStr">
        <is>
          <t>VÄSTMANLANDS LÄN</t>
        </is>
      </c>
      <c r="E264" t="inlineStr">
        <is>
          <t>SALA</t>
        </is>
      </c>
      <c r="G264" t="n">
        <v>4.7</v>
      </c>
      <c r="H264" t="n">
        <v>0</v>
      </c>
      <c r="I264" t="n">
        <v>0</v>
      </c>
      <c r="J264" t="n">
        <v>0</v>
      </c>
      <c r="K264" t="n">
        <v>0</v>
      </c>
      <c r="L264" t="n">
        <v>0</v>
      </c>
      <c r="M264" t="n">
        <v>0</v>
      </c>
      <c r="N264" t="n">
        <v>0</v>
      </c>
      <c r="O264" t="n">
        <v>0</v>
      </c>
      <c r="P264" t="n">
        <v>0</v>
      </c>
      <c r="Q264" t="n">
        <v>0</v>
      </c>
      <c r="R264" s="2" t="inlineStr"/>
    </row>
    <row r="265" ht="15" customHeight="1">
      <c r="A265" t="inlineStr">
        <is>
          <t>A 56098-2020</t>
        </is>
      </c>
      <c r="B265" s="1" t="n">
        <v>44132</v>
      </c>
      <c r="C265" s="1" t="n">
        <v>45348</v>
      </c>
      <c r="D265" t="inlineStr">
        <is>
          <t>VÄSTMANLANDS LÄN</t>
        </is>
      </c>
      <c r="E265" t="inlineStr">
        <is>
          <t>SALA</t>
        </is>
      </c>
      <c r="G265" t="n">
        <v>1.9</v>
      </c>
      <c r="H265" t="n">
        <v>0</v>
      </c>
      <c r="I265" t="n">
        <v>0</v>
      </c>
      <c r="J265" t="n">
        <v>0</v>
      </c>
      <c r="K265" t="n">
        <v>0</v>
      </c>
      <c r="L265" t="n">
        <v>0</v>
      </c>
      <c r="M265" t="n">
        <v>0</v>
      </c>
      <c r="N265" t="n">
        <v>0</v>
      </c>
      <c r="O265" t="n">
        <v>0</v>
      </c>
      <c r="P265" t="n">
        <v>0</v>
      </c>
      <c r="Q265" t="n">
        <v>0</v>
      </c>
      <c r="R265" s="2" t="inlineStr"/>
    </row>
    <row r="266" ht="15" customHeight="1">
      <c r="A266" t="inlineStr">
        <is>
          <t>A 57800-2020</t>
        </is>
      </c>
      <c r="B266" s="1" t="n">
        <v>44141</v>
      </c>
      <c r="C266" s="1" t="n">
        <v>45348</v>
      </c>
      <c r="D266" t="inlineStr">
        <is>
          <t>VÄSTMANLANDS LÄN</t>
        </is>
      </c>
      <c r="E266" t="inlineStr">
        <is>
          <t>SALA</t>
        </is>
      </c>
      <c r="F266" t="inlineStr">
        <is>
          <t>Sveaskog</t>
        </is>
      </c>
      <c r="G266" t="n">
        <v>2.1</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45348</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58781-2020</t>
        </is>
      </c>
      <c r="B268" s="1" t="n">
        <v>44146</v>
      </c>
      <c r="C268" s="1" t="n">
        <v>45348</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58912-2020</t>
        </is>
      </c>
      <c r="B269" s="1" t="n">
        <v>44146</v>
      </c>
      <c r="C269" s="1" t="n">
        <v>45348</v>
      </c>
      <c r="D269" t="inlineStr">
        <is>
          <t>VÄSTMANLANDS LÄN</t>
        </is>
      </c>
      <c r="E269" t="inlineStr">
        <is>
          <t>SALA</t>
        </is>
      </c>
      <c r="G269" t="n">
        <v>1.1</v>
      </c>
      <c r="H269" t="n">
        <v>0</v>
      </c>
      <c r="I269" t="n">
        <v>0</v>
      </c>
      <c r="J269" t="n">
        <v>0</v>
      </c>
      <c r="K269" t="n">
        <v>0</v>
      </c>
      <c r="L269" t="n">
        <v>0</v>
      </c>
      <c r="M269" t="n">
        <v>0</v>
      </c>
      <c r="N269" t="n">
        <v>0</v>
      </c>
      <c r="O269" t="n">
        <v>0</v>
      </c>
      <c r="P269" t="n">
        <v>0</v>
      </c>
      <c r="Q269" t="n">
        <v>0</v>
      </c>
      <c r="R269" s="2" t="inlineStr"/>
    </row>
    <row r="270" ht="15" customHeight="1">
      <c r="A270" t="inlineStr">
        <is>
          <t>A 61415-2020</t>
        </is>
      </c>
      <c r="B270" s="1" t="n">
        <v>44156</v>
      </c>
      <c r="C270" s="1" t="n">
        <v>45348</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62275-2020</t>
        </is>
      </c>
      <c r="B271" s="1" t="n">
        <v>44158</v>
      </c>
      <c r="C271" s="1" t="n">
        <v>45348</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62680-2020</t>
        </is>
      </c>
      <c r="B272" s="1" t="n">
        <v>44161</v>
      </c>
      <c r="C272" s="1" t="n">
        <v>45348</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64940-2020</t>
        </is>
      </c>
      <c r="B273" s="1" t="n">
        <v>44172</v>
      </c>
      <c r="C273" s="1" t="n">
        <v>45348</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66821-2020</t>
        </is>
      </c>
      <c r="B274" s="1" t="n">
        <v>44179</v>
      </c>
      <c r="C274" s="1" t="n">
        <v>45348</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68113-2020</t>
        </is>
      </c>
      <c r="B275" s="1" t="n">
        <v>44182</v>
      </c>
      <c r="C275" s="1" t="n">
        <v>45348</v>
      </c>
      <c r="D275" t="inlineStr">
        <is>
          <t>VÄSTMANLANDS LÄN</t>
        </is>
      </c>
      <c r="E275" t="inlineStr">
        <is>
          <t>SALA</t>
        </is>
      </c>
      <c r="G275" t="n">
        <v>3.6</v>
      </c>
      <c r="H275" t="n">
        <v>0</v>
      </c>
      <c r="I275" t="n">
        <v>0</v>
      </c>
      <c r="J275" t="n">
        <v>0</v>
      </c>
      <c r="K275" t="n">
        <v>0</v>
      </c>
      <c r="L275" t="n">
        <v>0</v>
      </c>
      <c r="M275" t="n">
        <v>0</v>
      </c>
      <c r="N275" t="n">
        <v>0</v>
      </c>
      <c r="O275" t="n">
        <v>0</v>
      </c>
      <c r="P275" t="n">
        <v>0</v>
      </c>
      <c r="Q275" t="n">
        <v>0</v>
      </c>
      <c r="R275" s="2" t="inlineStr"/>
    </row>
    <row r="276" ht="15" customHeight="1">
      <c r="A276" t="inlineStr">
        <is>
          <t>A 69194-2020</t>
        </is>
      </c>
      <c r="B276" s="1" t="n">
        <v>44191</v>
      </c>
      <c r="C276" s="1" t="n">
        <v>45348</v>
      </c>
      <c r="D276" t="inlineStr">
        <is>
          <t>VÄSTMANLANDS LÄN</t>
        </is>
      </c>
      <c r="E276" t="inlineStr">
        <is>
          <t>SALA</t>
        </is>
      </c>
      <c r="G276" t="n">
        <v>0.4</v>
      </c>
      <c r="H276" t="n">
        <v>0</v>
      </c>
      <c r="I276" t="n">
        <v>0</v>
      </c>
      <c r="J276" t="n">
        <v>0</v>
      </c>
      <c r="K276" t="n">
        <v>0</v>
      </c>
      <c r="L276" t="n">
        <v>0</v>
      </c>
      <c r="M276" t="n">
        <v>0</v>
      </c>
      <c r="N276" t="n">
        <v>0</v>
      </c>
      <c r="O276" t="n">
        <v>0</v>
      </c>
      <c r="P276" t="n">
        <v>0</v>
      </c>
      <c r="Q276" t="n">
        <v>0</v>
      </c>
      <c r="R276" s="2" t="inlineStr"/>
    </row>
    <row r="277" ht="15" customHeight="1">
      <c r="A277" t="inlineStr">
        <is>
          <t>A 69192-2020</t>
        </is>
      </c>
      <c r="B277" s="1" t="n">
        <v>44191</v>
      </c>
      <c r="C277" s="1" t="n">
        <v>45348</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69195-2020</t>
        </is>
      </c>
      <c r="B278" s="1" t="n">
        <v>44191</v>
      </c>
      <c r="C278" s="1" t="n">
        <v>45348</v>
      </c>
      <c r="D278" t="inlineStr">
        <is>
          <t>VÄSTMANLANDS LÄN</t>
        </is>
      </c>
      <c r="E278" t="inlineStr">
        <is>
          <t>SALA</t>
        </is>
      </c>
      <c r="G278" t="n">
        <v>1</v>
      </c>
      <c r="H278" t="n">
        <v>0</v>
      </c>
      <c r="I278" t="n">
        <v>0</v>
      </c>
      <c r="J278" t="n">
        <v>0</v>
      </c>
      <c r="K278" t="n">
        <v>0</v>
      </c>
      <c r="L278" t="n">
        <v>0</v>
      </c>
      <c r="M278" t="n">
        <v>0</v>
      </c>
      <c r="N278" t="n">
        <v>0</v>
      </c>
      <c r="O278" t="n">
        <v>0</v>
      </c>
      <c r="P278" t="n">
        <v>0</v>
      </c>
      <c r="Q278" t="n">
        <v>0</v>
      </c>
      <c r="R278" s="2" t="inlineStr"/>
    </row>
    <row r="279" ht="15" customHeight="1">
      <c r="A279" t="inlineStr">
        <is>
          <t>A 69319-2020</t>
        </is>
      </c>
      <c r="B279" s="1" t="n">
        <v>44193</v>
      </c>
      <c r="C279" s="1" t="n">
        <v>45348</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69318-2020</t>
        </is>
      </c>
      <c r="B280" s="1" t="n">
        <v>44193</v>
      </c>
      <c r="C280" s="1" t="n">
        <v>45348</v>
      </c>
      <c r="D280" t="inlineStr">
        <is>
          <t>VÄSTMANLANDS LÄN</t>
        </is>
      </c>
      <c r="E280" t="inlineStr">
        <is>
          <t>SALA</t>
        </is>
      </c>
      <c r="G280" t="n">
        <v>2.2</v>
      </c>
      <c r="H280" t="n">
        <v>0</v>
      </c>
      <c r="I280" t="n">
        <v>0</v>
      </c>
      <c r="J280" t="n">
        <v>0</v>
      </c>
      <c r="K280" t="n">
        <v>0</v>
      </c>
      <c r="L280" t="n">
        <v>0</v>
      </c>
      <c r="M280" t="n">
        <v>0</v>
      </c>
      <c r="N280" t="n">
        <v>0</v>
      </c>
      <c r="O280" t="n">
        <v>0</v>
      </c>
      <c r="P280" t="n">
        <v>0</v>
      </c>
      <c r="Q280" t="n">
        <v>0</v>
      </c>
      <c r="R280" s="2" t="inlineStr"/>
    </row>
    <row r="281" ht="15" customHeight="1">
      <c r="A281" t="inlineStr">
        <is>
          <t>A 69362-2020</t>
        </is>
      </c>
      <c r="B281" s="1" t="n">
        <v>44193</v>
      </c>
      <c r="C281" s="1" t="n">
        <v>45348</v>
      </c>
      <c r="D281" t="inlineStr">
        <is>
          <t>VÄSTMANLANDS LÄN</t>
        </is>
      </c>
      <c r="E281" t="inlineStr">
        <is>
          <t>SALA</t>
        </is>
      </c>
      <c r="G281" t="n">
        <v>13.7</v>
      </c>
      <c r="H281" t="n">
        <v>0</v>
      </c>
      <c r="I281" t="n">
        <v>0</v>
      </c>
      <c r="J281" t="n">
        <v>0</v>
      </c>
      <c r="K281" t="n">
        <v>0</v>
      </c>
      <c r="L281" t="n">
        <v>0</v>
      </c>
      <c r="M281" t="n">
        <v>0</v>
      </c>
      <c r="N281" t="n">
        <v>0</v>
      </c>
      <c r="O281" t="n">
        <v>0</v>
      </c>
      <c r="P281" t="n">
        <v>0</v>
      </c>
      <c r="Q281" t="n">
        <v>0</v>
      </c>
      <c r="R281" s="2" t="inlineStr"/>
    </row>
    <row r="282" ht="15" customHeight="1">
      <c r="A282" t="inlineStr">
        <is>
          <t>A 1599-2021</t>
        </is>
      </c>
      <c r="B282" s="1" t="n">
        <v>44209</v>
      </c>
      <c r="C282" s="1" t="n">
        <v>45348</v>
      </c>
      <c r="D282" t="inlineStr">
        <is>
          <t>VÄSTMANLANDS LÄN</t>
        </is>
      </c>
      <c r="E282" t="inlineStr">
        <is>
          <t>SALA</t>
        </is>
      </c>
      <c r="G282" t="n">
        <v>9.6</v>
      </c>
      <c r="H282" t="n">
        <v>0</v>
      </c>
      <c r="I282" t="n">
        <v>0</v>
      </c>
      <c r="J282" t="n">
        <v>0</v>
      </c>
      <c r="K282" t="n">
        <v>0</v>
      </c>
      <c r="L282" t="n">
        <v>0</v>
      </c>
      <c r="M282" t="n">
        <v>0</v>
      </c>
      <c r="N282" t="n">
        <v>0</v>
      </c>
      <c r="O282" t="n">
        <v>0</v>
      </c>
      <c r="P282" t="n">
        <v>0</v>
      </c>
      <c r="Q282" t="n">
        <v>0</v>
      </c>
      <c r="R282" s="2" t="inlineStr"/>
      <c r="U282">
        <f>HYPERLINK("https://klasma.github.io/Logging_1981/knärot/A 1599-2021 karta knärot.png", "A 1599-2021")</f>
        <v/>
      </c>
      <c r="V282">
        <f>HYPERLINK("https://klasma.github.io/Logging_1981/klagomål/A 1599-2021 FSC-klagomål.docx", "A 1599-2021")</f>
        <v/>
      </c>
      <c r="W282">
        <f>HYPERLINK("https://klasma.github.io/Logging_1981/klagomålsmail/A 1599-2021 FSC-klagomål mail.docx", "A 1599-2021")</f>
        <v/>
      </c>
      <c r="X282">
        <f>HYPERLINK("https://klasma.github.io/Logging_1981/tillsyn/A 1599-2021 tillsynsbegäran.docx", "A 1599-2021")</f>
        <v/>
      </c>
      <c r="Y282">
        <f>HYPERLINK("https://klasma.github.io/Logging_1981/tillsynsmail/A 1599-2021 tillsynsbegäran mail.docx", "A 1599-2021")</f>
        <v/>
      </c>
    </row>
    <row r="283" ht="15" customHeight="1">
      <c r="A283" t="inlineStr">
        <is>
          <t>A 2443-2021</t>
        </is>
      </c>
      <c r="B283" s="1" t="n">
        <v>44214</v>
      </c>
      <c r="C283" s="1" t="n">
        <v>45348</v>
      </c>
      <c r="D283" t="inlineStr">
        <is>
          <t>VÄSTMANLANDS LÄN</t>
        </is>
      </c>
      <c r="E283" t="inlineStr">
        <is>
          <t>SALA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4736-2021</t>
        </is>
      </c>
      <c r="B284" s="1" t="n">
        <v>44225</v>
      </c>
      <c r="C284" s="1" t="n">
        <v>45348</v>
      </c>
      <c r="D284" t="inlineStr">
        <is>
          <t>VÄSTMANLANDS LÄN</t>
        </is>
      </c>
      <c r="E284" t="inlineStr">
        <is>
          <t>SALA</t>
        </is>
      </c>
      <c r="G284" t="n">
        <v>4.2</v>
      </c>
      <c r="H284" t="n">
        <v>0</v>
      </c>
      <c r="I284" t="n">
        <v>0</v>
      </c>
      <c r="J284" t="n">
        <v>0</v>
      </c>
      <c r="K284" t="n">
        <v>0</v>
      </c>
      <c r="L284" t="n">
        <v>0</v>
      </c>
      <c r="M284" t="n">
        <v>0</v>
      </c>
      <c r="N284" t="n">
        <v>0</v>
      </c>
      <c r="O284" t="n">
        <v>0</v>
      </c>
      <c r="P284" t="n">
        <v>0</v>
      </c>
      <c r="Q284" t="n">
        <v>0</v>
      </c>
      <c r="R284" s="2" t="inlineStr"/>
    </row>
    <row r="285" ht="15" customHeight="1">
      <c r="A285" t="inlineStr">
        <is>
          <t>A 6088-2021</t>
        </is>
      </c>
      <c r="B285" s="1" t="n">
        <v>44232</v>
      </c>
      <c r="C285" s="1" t="n">
        <v>45348</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6308-2021</t>
        </is>
      </c>
      <c r="B286" s="1" t="n">
        <v>44235</v>
      </c>
      <c r="C286" s="1" t="n">
        <v>45348</v>
      </c>
      <c r="D286" t="inlineStr">
        <is>
          <t>VÄSTMANLANDS LÄN</t>
        </is>
      </c>
      <c r="E286" t="inlineStr">
        <is>
          <t>SALA</t>
        </is>
      </c>
      <c r="G286" t="n">
        <v>1.4</v>
      </c>
      <c r="H286" t="n">
        <v>0</v>
      </c>
      <c r="I286" t="n">
        <v>0</v>
      </c>
      <c r="J286" t="n">
        <v>0</v>
      </c>
      <c r="K286" t="n">
        <v>0</v>
      </c>
      <c r="L286" t="n">
        <v>0</v>
      </c>
      <c r="M286" t="n">
        <v>0</v>
      </c>
      <c r="N286" t="n">
        <v>0</v>
      </c>
      <c r="O286" t="n">
        <v>0</v>
      </c>
      <c r="P286" t="n">
        <v>0</v>
      </c>
      <c r="Q286" t="n">
        <v>0</v>
      </c>
      <c r="R286" s="2" t="inlineStr"/>
    </row>
    <row r="287" ht="15" customHeight="1">
      <c r="A287" t="inlineStr">
        <is>
          <t>A 7681-2021</t>
        </is>
      </c>
      <c r="B287" s="1" t="n">
        <v>44242</v>
      </c>
      <c r="C287" s="1" t="n">
        <v>45348</v>
      </c>
      <c r="D287" t="inlineStr">
        <is>
          <t>VÄSTMANLANDS LÄN</t>
        </is>
      </c>
      <c r="E287" t="inlineStr">
        <is>
          <t>SALA</t>
        </is>
      </c>
      <c r="F287" t="inlineStr">
        <is>
          <t>Sveaskog</t>
        </is>
      </c>
      <c r="G287" t="n">
        <v>16.1</v>
      </c>
      <c r="H287" t="n">
        <v>0</v>
      </c>
      <c r="I287" t="n">
        <v>0</v>
      </c>
      <c r="J287" t="n">
        <v>0</v>
      </c>
      <c r="K287" t="n">
        <v>0</v>
      </c>
      <c r="L287" t="n">
        <v>0</v>
      </c>
      <c r="M287" t="n">
        <v>0</v>
      </c>
      <c r="N287" t="n">
        <v>0</v>
      </c>
      <c r="O287" t="n">
        <v>0</v>
      </c>
      <c r="P287" t="n">
        <v>0</v>
      </c>
      <c r="Q287" t="n">
        <v>0</v>
      </c>
      <c r="R287" s="2" t="inlineStr"/>
    </row>
    <row r="288" ht="15" customHeight="1">
      <c r="A288" t="inlineStr">
        <is>
          <t>A 7968-2021</t>
        </is>
      </c>
      <c r="B288" s="1" t="n">
        <v>44243</v>
      </c>
      <c r="C288" s="1" t="n">
        <v>45348</v>
      </c>
      <c r="D288" t="inlineStr">
        <is>
          <t>VÄSTMANLANDS LÄN</t>
        </is>
      </c>
      <c r="E288" t="inlineStr">
        <is>
          <t>SALA</t>
        </is>
      </c>
      <c r="G288" t="n">
        <v>3.1</v>
      </c>
      <c r="H288" t="n">
        <v>0</v>
      </c>
      <c r="I288" t="n">
        <v>0</v>
      </c>
      <c r="J288" t="n">
        <v>0</v>
      </c>
      <c r="K288" t="n">
        <v>0</v>
      </c>
      <c r="L288" t="n">
        <v>0</v>
      </c>
      <c r="M288" t="n">
        <v>0</v>
      </c>
      <c r="N288" t="n">
        <v>0</v>
      </c>
      <c r="O288" t="n">
        <v>0</v>
      </c>
      <c r="P288" t="n">
        <v>0</v>
      </c>
      <c r="Q288" t="n">
        <v>0</v>
      </c>
      <c r="R288" s="2" t="inlineStr"/>
    </row>
    <row r="289" ht="15" customHeight="1">
      <c r="A289" t="inlineStr">
        <is>
          <t>A 7955-2021</t>
        </is>
      </c>
      <c r="B289" s="1" t="n">
        <v>44243</v>
      </c>
      <c r="C289" s="1" t="n">
        <v>45348</v>
      </c>
      <c r="D289" t="inlineStr">
        <is>
          <t>VÄSTMANLANDS LÄN</t>
        </is>
      </c>
      <c r="E289" t="inlineStr">
        <is>
          <t>SALA</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8513-2021</t>
        </is>
      </c>
      <c r="B290" s="1" t="n">
        <v>44244</v>
      </c>
      <c r="C290" s="1" t="n">
        <v>45348</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10154-2021</t>
        </is>
      </c>
      <c r="B291" s="1" t="n">
        <v>44256</v>
      </c>
      <c r="C291" s="1" t="n">
        <v>45348</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10812-2021</t>
        </is>
      </c>
      <c r="B292" s="1" t="n">
        <v>44259</v>
      </c>
      <c r="C292" s="1" t="n">
        <v>45348</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11017-2021</t>
        </is>
      </c>
      <c r="B293" s="1" t="n">
        <v>44260</v>
      </c>
      <c r="C293" s="1" t="n">
        <v>45348</v>
      </c>
      <c r="D293" t="inlineStr">
        <is>
          <t>VÄSTMANLANDS LÄN</t>
        </is>
      </c>
      <c r="E293" t="inlineStr">
        <is>
          <t>SALA</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11007-2021</t>
        </is>
      </c>
      <c r="B294" s="1" t="n">
        <v>44260</v>
      </c>
      <c r="C294" s="1" t="n">
        <v>45348</v>
      </c>
      <c r="D294" t="inlineStr">
        <is>
          <t>VÄSTMANLANDS LÄN</t>
        </is>
      </c>
      <c r="E294" t="inlineStr">
        <is>
          <t>SALA</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11560-2021</t>
        </is>
      </c>
      <c r="B295" s="1" t="n">
        <v>44264</v>
      </c>
      <c r="C295" s="1" t="n">
        <v>45348</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13112-2021</t>
        </is>
      </c>
      <c r="B296" s="1" t="n">
        <v>44272</v>
      </c>
      <c r="C296" s="1" t="n">
        <v>45348</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13993-2021</t>
        </is>
      </c>
      <c r="B297" s="1" t="n">
        <v>44277</v>
      </c>
      <c r="C297" s="1" t="n">
        <v>45348</v>
      </c>
      <c r="D297" t="inlineStr">
        <is>
          <t>VÄSTMANLANDS LÄN</t>
        </is>
      </c>
      <c r="E297" t="inlineStr">
        <is>
          <t>SALA</t>
        </is>
      </c>
      <c r="G297" t="n">
        <v>27.6</v>
      </c>
      <c r="H297" t="n">
        <v>0</v>
      </c>
      <c r="I297" t="n">
        <v>0</v>
      </c>
      <c r="J297" t="n">
        <v>0</v>
      </c>
      <c r="K297" t="n">
        <v>0</v>
      </c>
      <c r="L297" t="n">
        <v>0</v>
      </c>
      <c r="M297" t="n">
        <v>0</v>
      </c>
      <c r="N297" t="n">
        <v>0</v>
      </c>
      <c r="O297" t="n">
        <v>0</v>
      </c>
      <c r="P297" t="n">
        <v>0</v>
      </c>
      <c r="Q297" t="n">
        <v>0</v>
      </c>
      <c r="R297" s="2" t="inlineStr"/>
    </row>
    <row r="298" ht="15" customHeight="1">
      <c r="A298" t="inlineStr">
        <is>
          <t>A 14010-2021</t>
        </is>
      </c>
      <c r="B298" s="1" t="n">
        <v>44277</v>
      </c>
      <c r="C298" s="1" t="n">
        <v>45348</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15354-2021</t>
        </is>
      </c>
      <c r="B299" s="1" t="n">
        <v>44284</v>
      </c>
      <c r="C299" s="1" t="n">
        <v>45348</v>
      </c>
      <c r="D299" t="inlineStr">
        <is>
          <t>VÄSTMANLANDS LÄN</t>
        </is>
      </c>
      <c r="E299" t="inlineStr">
        <is>
          <t>SALA</t>
        </is>
      </c>
      <c r="F299" t="inlineStr">
        <is>
          <t>Kyrkan</t>
        </is>
      </c>
      <c r="G299" t="n">
        <v>8.5</v>
      </c>
      <c r="H299" t="n">
        <v>0</v>
      </c>
      <c r="I299" t="n">
        <v>0</v>
      </c>
      <c r="J299" t="n">
        <v>0</v>
      </c>
      <c r="K299" t="n">
        <v>0</v>
      </c>
      <c r="L299" t="n">
        <v>0</v>
      </c>
      <c r="M299" t="n">
        <v>0</v>
      </c>
      <c r="N299" t="n">
        <v>0</v>
      </c>
      <c r="O299" t="n">
        <v>0</v>
      </c>
      <c r="P299" t="n">
        <v>0</v>
      </c>
      <c r="Q299" t="n">
        <v>0</v>
      </c>
      <c r="R299" s="2" t="inlineStr"/>
    </row>
    <row r="300" ht="15" customHeight="1">
      <c r="A300" t="inlineStr">
        <is>
          <t>A 15483-2021</t>
        </is>
      </c>
      <c r="B300" s="1" t="n">
        <v>44285</v>
      </c>
      <c r="C300" s="1" t="n">
        <v>45348</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15584-2021</t>
        </is>
      </c>
      <c r="B301" s="1" t="n">
        <v>44285</v>
      </c>
      <c r="C301" s="1" t="n">
        <v>45348</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16651-2021</t>
        </is>
      </c>
      <c r="B302" s="1" t="n">
        <v>44294</v>
      </c>
      <c r="C302" s="1" t="n">
        <v>45348</v>
      </c>
      <c r="D302" t="inlineStr">
        <is>
          <t>VÄSTMANLANDS LÄN</t>
        </is>
      </c>
      <c r="E302" t="inlineStr">
        <is>
          <t>SALA</t>
        </is>
      </c>
      <c r="G302" t="n">
        <v>7.7</v>
      </c>
      <c r="H302" t="n">
        <v>0</v>
      </c>
      <c r="I302" t="n">
        <v>0</v>
      </c>
      <c r="J302" t="n">
        <v>0</v>
      </c>
      <c r="K302" t="n">
        <v>0</v>
      </c>
      <c r="L302" t="n">
        <v>0</v>
      </c>
      <c r="M302" t="n">
        <v>0</v>
      </c>
      <c r="N302" t="n">
        <v>0</v>
      </c>
      <c r="O302" t="n">
        <v>0</v>
      </c>
      <c r="P302" t="n">
        <v>0</v>
      </c>
      <c r="Q302" t="n">
        <v>0</v>
      </c>
      <c r="R302" s="2" t="inlineStr"/>
    </row>
    <row r="303" ht="15" customHeight="1">
      <c r="A303" t="inlineStr">
        <is>
          <t>A 18046-2021</t>
        </is>
      </c>
      <c r="B303" s="1" t="n">
        <v>44301</v>
      </c>
      <c r="C303" s="1" t="n">
        <v>45348</v>
      </c>
      <c r="D303" t="inlineStr">
        <is>
          <t>VÄSTMANLANDS LÄN</t>
        </is>
      </c>
      <c r="E303" t="inlineStr">
        <is>
          <t>SALA</t>
        </is>
      </c>
      <c r="G303" t="n">
        <v>3.5</v>
      </c>
      <c r="H303" t="n">
        <v>0</v>
      </c>
      <c r="I303" t="n">
        <v>0</v>
      </c>
      <c r="J303" t="n">
        <v>0</v>
      </c>
      <c r="K303" t="n">
        <v>0</v>
      </c>
      <c r="L303" t="n">
        <v>0</v>
      </c>
      <c r="M303" t="n">
        <v>0</v>
      </c>
      <c r="N303" t="n">
        <v>0</v>
      </c>
      <c r="O303" t="n">
        <v>0</v>
      </c>
      <c r="P303" t="n">
        <v>0</v>
      </c>
      <c r="Q303" t="n">
        <v>0</v>
      </c>
      <c r="R303" s="2" t="inlineStr"/>
    </row>
    <row r="304" ht="15" customHeight="1">
      <c r="A304" t="inlineStr">
        <is>
          <t>A 18189-2021</t>
        </is>
      </c>
      <c r="B304" s="1" t="n">
        <v>44302</v>
      </c>
      <c r="C304" s="1" t="n">
        <v>45348</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18259-2021</t>
        </is>
      </c>
      <c r="B305" s="1" t="n">
        <v>44305</v>
      </c>
      <c r="C305" s="1" t="n">
        <v>45348</v>
      </c>
      <c r="D305" t="inlineStr">
        <is>
          <t>VÄSTMANLANDS LÄN</t>
        </is>
      </c>
      <c r="E305" t="inlineStr">
        <is>
          <t>SALA</t>
        </is>
      </c>
      <c r="G305" t="n">
        <v>0</v>
      </c>
      <c r="H305" t="n">
        <v>0</v>
      </c>
      <c r="I305" t="n">
        <v>0</v>
      </c>
      <c r="J305" t="n">
        <v>0</v>
      </c>
      <c r="K305" t="n">
        <v>0</v>
      </c>
      <c r="L305" t="n">
        <v>0</v>
      </c>
      <c r="M305" t="n">
        <v>0</v>
      </c>
      <c r="N305" t="n">
        <v>0</v>
      </c>
      <c r="O305" t="n">
        <v>0</v>
      </c>
      <c r="P305" t="n">
        <v>0</v>
      </c>
      <c r="Q305" t="n">
        <v>0</v>
      </c>
      <c r="R305" s="2" t="inlineStr"/>
    </row>
    <row r="306" ht="15" customHeight="1">
      <c r="A306" t="inlineStr">
        <is>
          <t>A 18378-2021</t>
        </is>
      </c>
      <c r="B306" s="1" t="n">
        <v>44305</v>
      </c>
      <c r="C306" s="1" t="n">
        <v>45348</v>
      </c>
      <c r="D306" t="inlineStr">
        <is>
          <t>VÄSTMANLANDS LÄN</t>
        </is>
      </c>
      <c r="E306" t="inlineStr">
        <is>
          <t>SALA</t>
        </is>
      </c>
      <c r="F306" t="inlineStr">
        <is>
          <t>Kommuner</t>
        </is>
      </c>
      <c r="G306" t="n">
        <v>0.9</v>
      </c>
      <c r="H306" t="n">
        <v>0</v>
      </c>
      <c r="I306" t="n">
        <v>0</v>
      </c>
      <c r="J306" t="n">
        <v>0</v>
      </c>
      <c r="K306" t="n">
        <v>0</v>
      </c>
      <c r="L306" t="n">
        <v>0</v>
      </c>
      <c r="M306" t="n">
        <v>0</v>
      </c>
      <c r="N306" t="n">
        <v>0</v>
      </c>
      <c r="O306" t="n">
        <v>0</v>
      </c>
      <c r="P306" t="n">
        <v>0</v>
      </c>
      <c r="Q306" t="n">
        <v>0</v>
      </c>
      <c r="R306" s="2" t="inlineStr"/>
    </row>
    <row r="307" ht="15" customHeight="1">
      <c r="A307" t="inlineStr">
        <is>
          <t>A 18385-2021</t>
        </is>
      </c>
      <c r="B307" s="1" t="n">
        <v>44305</v>
      </c>
      <c r="C307" s="1" t="n">
        <v>45348</v>
      </c>
      <c r="D307" t="inlineStr">
        <is>
          <t>VÄSTMANLANDS LÄN</t>
        </is>
      </c>
      <c r="E307" t="inlineStr">
        <is>
          <t>SALA</t>
        </is>
      </c>
      <c r="F307" t="inlineStr">
        <is>
          <t>Kommuner</t>
        </is>
      </c>
      <c r="G307" t="n">
        <v>0.6</v>
      </c>
      <c r="H307" t="n">
        <v>0</v>
      </c>
      <c r="I307" t="n">
        <v>0</v>
      </c>
      <c r="J307" t="n">
        <v>0</v>
      </c>
      <c r="K307" t="n">
        <v>0</v>
      </c>
      <c r="L307" t="n">
        <v>0</v>
      </c>
      <c r="M307" t="n">
        <v>0</v>
      </c>
      <c r="N307" t="n">
        <v>0</v>
      </c>
      <c r="O307" t="n">
        <v>0</v>
      </c>
      <c r="P307" t="n">
        <v>0</v>
      </c>
      <c r="Q307" t="n">
        <v>0</v>
      </c>
      <c r="R307" s="2" t="inlineStr"/>
    </row>
    <row r="308" ht="15" customHeight="1">
      <c r="A308" t="inlineStr">
        <is>
          <t>A 18951-2021</t>
        </is>
      </c>
      <c r="B308" s="1" t="n">
        <v>44308</v>
      </c>
      <c r="C308" s="1" t="n">
        <v>45348</v>
      </c>
      <c r="D308" t="inlineStr">
        <is>
          <t>VÄSTMANLANDS LÄN</t>
        </is>
      </c>
      <c r="E308" t="inlineStr">
        <is>
          <t>SALA</t>
        </is>
      </c>
      <c r="G308" t="n">
        <v>0.3</v>
      </c>
      <c r="H308" t="n">
        <v>0</v>
      </c>
      <c r="I308" t="n">
        <v>0</v>
      </c>
      <c r="J308" t="n">
        <v>0</v>
      </c>
      <c r="K308" t="n">
        <v>0</v>
      </c>
      <c r="L308" t="n">
        <v>0</v>
      </c>
      <c r="M308" t="n">
        <v>0</v>
      </c>
      <c r="N308" t="n">
        <v>0</v>
      </c>
      <c r="O308" t="n">
        <v>0</v>
      </c>
      <c r="P308" t="n">
        <v>0</v>
      </c>
      <c r="Q308" t="n">
        <v>0</v>
      </c>
      <c r="R308" s="2" t="inlineStr"/>
    </row>
    <row r="309" ht="15" customHeight="1">
      <c r="A309" t="inlineStr">
        <is>
          <t>A 21458-2021</t>
        </is>
      </c>
      <c r="B309" s="1" t="n">
        <v>44321</v>
      </c>
      <c r="C309" s="1" t="n">
        <v>45348</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21478-2021</t>
        </is>
      </c>
      <c r="B310" s="1" t="n">
        <v>44321</v>
      </c>
      <c r="C310" s="1" t="n">
        <v>45348</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22019-2021</t>
        </is>
      </c>
      <c r="B311" s="1" t="n">
        <v>44323</v>
      </c>
      <c r="C311" s="1" t="n">
        <v>45348</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22026-2021</t>
        </is>
      </c>
      <c r="B312" s="1" t="n">
        <v>44323</v>
      </c>
      <c r="C312" s="1" t="n">
        <v>45348</v>
      </c>
      <c r="D312" t="inlineStr">
        <is>
          <t>VÄSTMANLANDS LÄN</t>
        </is>
      </c>
      <c r="E312" t="inlineStr">
        <is>
          <t>SALA</t>
        </is>
      </c>
      <c r="G312" t="n">
        <v>2.9</v>
      </c>
      <c r="H312" t="n">
        <v>0</v>
      </c>
      <c r="I312" t="n">
        <v>0</v>
      </c>
      <c r="J312" t="n">
        <v>0</v>
      </c>
      <c r="K312" t="n">
        <v>0</v>
      </c>
      <c r="L312" t="n">
        <v>0</v>
      </c>
      <c r="M312" t="n">
        <v>0</v>
      </c>
      <c r="N312" t="n">
        <v>0</v>
      </c>
      <c r="O312" t="n">
        <v>0</v>
      </c>
      <c r="P312" t="n">
        <v>0</v>
      </c>
      <c r="Q312" t="n">
        <v>0</v>
      </c>
      <c r="R312" s="2" t="inlineStr"/>
    </row>
    <row r="313" ht="15" customHeight="1">
      <c r="A313" t="inlineStr">
        <is>
          <t>A 22017-2021</t>
        </is>
      </c>
      <c r="B313" s="1" t="n">
        <v>44323</v>
      </c>
      <c r="C313" s="1" t="n">
        <v>45348</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22362-2021</t>
        </is>
      </c>
      <c r="B314" s="1" t="n">
        <v>44326</v>
      </c>
      <c r="C314" s="1" t="n">
        <v>45348</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23696-2021</t>
        </is>
      </c>
      <c r="B315" s="1" t="n">
        <v>44334</v>
      </c>
      <c r="C315" s="1" t="n">
        <v>45348</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23693-2021</t>
        </is>
      </c>
      <c r="B316" s="1" t="n">
        <v>44334</v>
      </c>
      <c r="C316" s="1" t="n">
        <v>45348</v>
      </c>
      <c r="D316" t="inlineStr">
        <is>
          <t>VÄSTMANLANDS LÄN</t>
        </is>
      </c>
      <c r="E316" t="inlineStr">
        <is>
          <t>SALA</t>
        </is>
      </c>
      <c r="G316" t="n">
        <v>8.4</v>
      </c>
      <c r="H316" t="n">
        <v>0</v>
      </c>
      <c r="I316" t="n">
        <v>0</v>
      </c>
      <c r="J316" t="n">
        <v>0</v>
      </c>
      <c r="K316" t="n">
        <v>0</v>
      </c>
      <c r="L316" t="n">
        <v>0</v>
      </c>
      <c r="M316" t="n">
        <v>0</v>
      </c>
      <c r="N316" t="n">
        <v>0</v>
      </c>
      <c r="O316" t="n">
        <v>0</v>
      </c>
      <c r="P316" t="n">
        <v>0</v>
      </c>
      <c r="Q316" t="n">
        <v>0</v>
      </c>
      <c r="R316" s="2" t="inlineStr"/>
    </row>
    <row r="317" ht="15" customHeight="1">
      <c r="A317" t="inlineStr">
        <is>
          <t>A 24740-2021</t>
        </is>
      </c>
      <c r="B317" s="1" t="n">
        <v>44340</v>
      </c>
      <c r="C317" s="1" t="n">
        <v>45348</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24823-2021</t>
        </is>
      </c>
      <c r="B318" s="1" t="n">
        <v>44340</v>
      </c>
      <c r="C318" s="1" t="n">
        <v>45348</v>
      </c>
      <c r="D318" t="inlineStr">
        <is>
          <t>VÄSTMANLANDS LÄN</t>
        </is>
      </c>
      <c r="E318" t="inlineStr">
        <is>
          <t>SALA</t>
        </is>
      </c>
      <c r="G318" t="n">
        <v>4.9</v>
      </c>
      <c r="H318" t="n">
        <v>0</v>
      </c>
      <c r="I318" t="n">
        <v>0</v>
      </c>
      <c r="J318" t="n">
        <v>0</v>
      </c>
      <c r="K318" t="n">
        <v>0</v>
      </c>
      <c r="L318" t="n">
        <v>0</v>
      </c>
      <c r="M318" t="n">
        <v>0</v>
      </c>
      <c r="N318" t="n">
        <v>0</v>
      </c>
      <c r="O318" t="n">
        <v>0</v>
      </c>
      <c r="P318" t="n">
        <v>0</v>
      </c>
      <c r="Q318" t="n">
        <v>0</v>
      </c>
      <c r="R318" s="2" t="inlineStr"/>
    </row>
    <row r="319" ht="15" customHeight="1">
      <c r="A319" t="inlineStr">
        <is>
          <t>A 24755-2021</t>
        </is>
      </c>
      <c r="B319" s="1" t="n">
        <v>44340</v>
      </c>
      <c r="C319" s="1" t="n">
        <v>45348</v>
      </c>
      <c r="D319" t="inlineStr">
        <is>
          <t>VÄSTMANLANDS LÄN</t>
        </is>
      </c>
      <c r="E319" t="inlineStr">
        <is>
          <t>SALA</t>
        </is>
      </c>
      <c r="G319" t="n">
        <v>1.2</v>
      </c>
      <c r="H319" t="n">
        <v>0</v>
      </c>
      <c r="I319" t="n">
        <v>0</v>
      </c>
      <c r="J319" t="n">
        <v>0</v>
      </c>
      <c r="K319" t="n">
        <v>0</v>
      </c>
      <c r="L319" t="n">
        <v>0</v>
      </c>
      <c r="M319" t="n">
        <v>0</v>
      </c>
      <c r="N319" t="n">
        <v>0</v>
      </c>
      <c r="O319" t="n">
        <v>0</v>
      </c>
      <c r="P319" t="n">
        <v>0</v>
      </c>
      <c r="Q319" t="n">
        <v>0</v>
      </c>
      <c r="R319" s="2" t="inlineStr"/>
    </row>
    <row r="320" ht="15" customHeight="1">
      <c r="A320" t="inlineStr">
        <is>
          <t>A 26579-2021</t>
        </is>
      </c>
      <c r="B320" s="1" t="n">
        <v>44348</v>
      </c>
      <c r="C320" s="1" t="n">
        <v>45348</v>
      </c>
      <c r="D320" t="inlineStr">
        <is>
          <t>VÄSTMANLANDS LÄN</t>
        </is>
      </c>
      <c r="E320" t="inlineStr">
        <is>
          <t>SALA</t>
        </is>
      </c>
      <c r="G320" t="n">
        <v>1.6</v>
      </c>
      <c r="H320" t="n">
        <v>0</v>
      </c>
      <c r="I320" t="n">
        <v>0</v>
      </c>
      <c r="J320" t="n">
        <v>0</v>
      </c>
      <c r="K320" t="n">
        <v>0</v>
      </c>
      <c r="L320" t="n">
        <v>0</v>
      </c>
      <c r="M320" t="n">
        <v>0</v>
      </c>
      <c r="N320" t="n">
        <v>0</v>
      </c>
      <c r="O320" t="n">
        <v>0</v>
      </c>
      <c r="P320" t="n">
        <v>0</v>
      </c>
      <c r="Q320" t="n">
        <v>0</v>
      </c>
      <c r="R320" s="2" t="inlineStr"/>
    </row>
    <row r="321" ht="15" customHeight="1">
      <c r="A321" t="inlineStr">
        <is>
          <t>A 26571-2021</t>
        </is>
      </c>
      <c r="B321" s="1" t="n">
        <v>44348</v>
      </c>
      <c r="C321" s="1" t="n">
        <v>45348</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26570-2021</t>
        </is>
      </c>
      <c r="B322" s="1" t="n">
        <v>44348</v>
      </c>
      <c r="C322" s="1" t="n">
        <v>45348</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26575-2021</t>
        </is>
      </c>
      <c r="B323" s="1" t="n">
        <v>44348</v>
      </c>
      <c r="C323" s="1" t="n">
        <v>45348</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28425-2021</t>
        </is>
      </c>
      <c r="B324" s="1" t="n">
        <v>44356</v>
      </c>
      <c r="C324" s="1" t="n">
        <v>45348</v>
      </c>
      <c r="D324" t="inlineStr">
        <is>
          <t>VÄSTMANLANDS LÄN</t>
        </is>
      </c>
      <c r="E324" t="inlineStr">
        <is>
          <t>SALA</t>
        </is>
      </c>
      <c r="G324" t="n">
        <v>3.7</v>
      </c>
      <c r="H324" t="n">
        <v>0</v>
      </c>
      <c r="I324" t="n">
        <v>0</v>
      </c>
      <c r="J324" t="n">
        <v>0</v>
      </c>
      <c r="K324" t="n">
        <v>0</v>
      </c>
      <c r="L324" t="n">
        <v>0</v>
      </c>
      <c r="M324" t="n">
        <v>0</v>
      </c>
      <c r="N324" t="n">
        <v>0</v>
      </c>
      <c r="O324" t="n">
        <v>0</v>
      </c>
      <c r="P324" t="n">
        <v>0</v>
      </c>
      <c r="Q324" t="n">
        <v>0</v>
      </c>
      <c r="R324" s="2" t="inlineStr"/>
    </row>
    <row r="325" ht="15" customHeight="1">
      <c r="A325" t="inlineStr">
        <is>
          <t>A 30170-2021</t>
        </is>
      </c>
      <c r="B325" s="1" t="n">
        <v>44363</v>
      </c>
      <c r="C325" s="1" t="n">
        <v>45348</v>
      </c>
      <c r="D325" t="inlineStr">
        <is>
          <t>VÄSTMANLANDS LÄN</t>
        </is>
      </c>
      <c r="E325" t="inlineStr">
        <is>
          <t>SALA</t>
        </is>
      </c>
      <c r="G325" t="n">
        <v>7.2</v>
      </c>
      <c r="H325" t="n">
        <v>0</v>
      </c>
      <c r="I325" t="n">
        <v>0</v>
      </c>
      <c r="J325" t="n">
        <v>0</v>
      </c>
      <c r="K325" t="n">
        <v>0</v>
      </c>
      <c r="L325" t="n">
        <v>0</v>
      </c>
      <c r="M325" t="n">
        <v>0</v>
      </c>
      <c r="N325" t="n">
        <v>0</v>
      </c>
      <c r="O325" t="n">
        <v>0</v>
      </c>
      <c r="P325" t="n">
        <v>0</v>
      </c>
      <c r="Q325" t="n">
        <v>0</v>
      </c>
      <c r="R325" s="2" t="inlineStr"/>
    </row>
    <row r="326" ht="15" customHeight="1">
      <c r="A326" t="inlineStr">
        <is>
          <t>A 30859-2021</t>
        </is>
      </c>
      <c r="B326" s="1" t="n">
        <v>44365</v>
      </c>
      <c r="C326" s="1" t="n">
        <v>45348</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30904-2021</t>
        </is>
      </c>
      <c r="B327" s="1" t="n">
        <v>44365</v>
      </c>
      <c r="C327" s="1" t="n">
        <v>45348</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30915-2021</t>
        </is>
      </c>
      <c r="B328" s="1" t="n">
        <v>44365</v>
      </c>
      <c r="C328" s="1" t="n">
        <v>45348</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30925-2021</t>
        </is>
      </c>
      <c r="B329" s="1" t="n">
        <v>44365</v>
      </c>
      <c r="C329" s="1" t="n">
        <v>45348</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30918-2021</t>
        </is>
      </c>
      <c r="B330" s="1" t="n">
        <v>44365</v>
      </c>
      <c r="C330" s="1" t="n">
        <v>45348</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31072-2021</t>
        </is>
      </c>
      <c r="B331" s="1" t="n">
        <v>44368</v>
      </c>
      <c r="C331" s="1" t="n">
        <v>45348</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31082-2021</t>
        </is>
      </c>
      <c r="B332" s="1" t="n">
        <v>44368</v>
      </c>
      <c r="C332" s="1" t="n">
        <v>45348</v>
      </c>
      <c r="D332" t="inlineStr">
        <is>
          <t>VÄSTMANLANDS LÄN</t>
        </is>
      </c>
      <c r="E332" t="inlineStr">
        <is>
          <t>SALA</t>
        </is>
      </c>
      <c r="G332" t="n">
        <v>2</v>
      </c>
      <c r="H332" t="n">
        <v>0</v>
      </c>
      <c r="I332" t="n">
        <v>0</v>
      </c>
      <c r="J332" t="n">
        <v>0</v>
      </c>
      <c r="K332" t="n">
        <v>0</v>
      </c>
      <c r="L332" t="n">
        <v>0</v>
      </c>
      <c r="M332" t="n">
        <v>0</v>
      </c>
      <c r="N332" t="n">
        <v>0</v>
      </c>
      <c r="O332" t="n">
        <v>0</v>
      </c>
      <c r="P332" t="n">
        <v>0</v>
      </c>
      <c r="Q332" t="n">
        <v>0</v>
      </c>
      <c r="R332" s="2" t="inlineStr"/>
    </row>
    <row r="333" ht="15" customHeight="1">
      <c r="A333" t="inlineStr">
        <is>
          <t>A 31452-2021</t>
        </is>
      </c>
      <c r="B333" s="1" t="n">
        <v>44369</v>
      </c>
      <c r="C333" s="1" t="n">
        <v>45348</v>
      </c>
      <c r="D333" t="inlineStr">
        <is>
          <t>VÄSTMANLANDS LÄN</t>
        </is>
      </c>
      <c r="E333" t="inlineStr">
        <is>
          <t>SALA</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31470-2021</t>
        </is>
      </c>
      <c r="B334" s="1" t="n">
        <v>44369</v>
      </c>
      <c r="C334" s="1" t="n">
        <v>45348</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31904-2021</t>
        </is>
      </c>
      <c r="B335" s="1" t="n">
        <v>44370</v>
      </c>
      <c r="C335" s="1" t="n">
        <v>45348</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32610-2021</t>
        </is>
      </c>
      <c r="B336" s="1" t="n">
        <v>44375</v>
      </c>
      <c r="C336" s="1" t="n">
        <v>45348</v>
      </c>
      <c r="D336" t="inlineStr">
        <is>
          <t>VÄSTMANLANDS LÄN</t>
        </is>
      </c>
      <c r="E336" t="inlineStr">
        <is>
          <t>SALA</t>
        </is>
      </c>
      <c r="F336" t="inlineStr">
        <is>
          <t>Sveaskog</t>
        </is>
      </c>
      <c r="G336" t="n">
        <v>4.1</v>
      </c>
      <c r="H336" t="n">
        <v>0</v>
      </c>
      <c r="I336" t="n">
        <v>0</v>
      </c>
      <c r="J336" t="n">
        <v>0</v>
      </c>
      <c r="K336" t="n">
        <v>0</v>
      </c>
      <c r="L336" t="n">
        <v>0</v>
      </c>
      <c r="M336" t="n">
        <v>0</v>
      </c>
      <c r="N336" t="n">
        <v>0</v>
      </c>
      <c r="O336" t="n">
        <v>0</v>
      </c>
      <c r="P336" t="n">
        <v>0</v>
      </c>
      <c r="Q336" t="n">
        <v>0</v>
      </c>
      <c r="R336" s="2" t="inlineStr"/>
    </row>
    <row r="337" ht="15" customHeight="1">
      <c r="A337" t="inlineStr">
        <is>
          <t>A 33762-2021</t>
        </is>
      </c>
      <c r="B337" s="1" t="n">
        <v>44378</v>
      </c>
      <c r="C337" s="1" t="n">
        <v>45348</v>
      </c>
      <c r="D337" t="inlineStr">
        <is>
          <t>VÄSTMANLANDS LÄN</t>
        </is>
      </c>
      <c r="E337" t="inlineStr">
        <is>
          <t>SALA</t>
        </is>
      </c>
      <c r="G337" t="n">
        <v>3.4</v>
      </c>
      <c r="H337" t="n">
        <v>0</v>
      </c>
      <c r="I337" t="n">
        <v>0</v>
      </c>
      <c r="J337" t="n">
        <v>0</v>
      </c>
      <c r="K337" t="n">
        <v>0</v>
      </c>
      <c r="L337" t="n">
        <v>0</v>
      </c>
      <c r="M337" t="n">
        <v>0</v>
      </c>
      <c r="N337" t="n">
        <v>0</v>
      </c>
      <c r="O337" t="n">
        <v>0</v>
      </c>
      <c r="P337" t="n">
        <v>0</v>
      </c>
      <c r="Q337" t="n">
        <v>0</v>
      </c>
      <c r="R337" s="2" t="inlineStr"/>
    </row>
    <row r="338" ht="15" customHeight="1">
      <c r="A338" t="inlineStr">
        <is>
          <t>A 34814-2021</t>
        </is>
      </c>
      <c r="B338" s="1" t="n">
        <v>44383</v>
      </c>
      <c r="C338" s="1" t="n">
        <v>45348</v>
      </c>
      <c r="D338" t="inlineStr">
        <is>
          <t>VÄSTMANLANDS LÄN</t>
        </is>
      </c>
      <c r="E338" t="inlineStr">
        <is>
          <t>SALA</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35207-2021</t>
        </is>
      </c>
      <c r="B339" s="1" t="n">
        <v>44384</v>
      </c>
      <c r="C339" s="1" t="n">
        <v>45348</v>
      </c>
      <c r="D339" t="inlineStr">
        <is>
          <t>VÄSTMANLANDS LÄN</t>
        </is>
      </c>
      <c r="E339" t="inlineStr">
        <is>
          <t>SALA</t>
        </is>
      </c>
      <c r="G339" t="n">
        <v>2.2</v>
      </c>
      <c r="H339" t="n">
        <v>0</v>
      </c>
      <c r="I339" t="n">
        <v>0</v>
      </c>
      <c r="J339" t="n">
        <v>0</v>
      </c>
      <c r="K339" t="n">
        <v>0</v>
      </c>
      <c r="L339" t="n">
        <v>0</v>
      </c>
      <c r="M339" t="n">
        <v>0</v>
      </c>
      <c r="N339" t="n">
        <v>0</v>
      </c>
      <c r="O339" t="n">
        <v>0</v>
      </c>
      <c r="P339" t="n">
        <v>0</v>
      </c>
      <c r="Q339" t="n">
        <v>0</v>
      </c>
      <c r="R339" s="2" t="inlineStr"/>
    </row>
    <row r="340" ht="15" customHeight="1">
      <c r="A340" t="inlineStr">
        <is>
          <t>A 35211-2021</t>
        </is>
      </c>
      <c r="B340" s="1" t="n">
        <v>44384</v>
      </c>
      <c r="C340" s="1" t="n">
        <v>45348</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35451-2021</t>
        </is>
      </c>
      <c r="B341" s="1" t="n">
        <v>44384</v>
      </c>
      <c r="C341" s="1" t="n">
        <v>45348</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35487-2021</t>
        </is>
      </c>
      <c r="B342" s="1" t="n">
        <v>44384</v>
      </c>
      <c r="C342" s="1" t="n">
        <v>45348</v>
      </c>
      <c r="D342" t="inlineStr">
        <is>
          <t>VÄSTMANLANDS LÄN</t>
        </is>
      </c>
      <c r="E342" t="inlineStr">
        <is>
          <t>SALA</t>
        </is>
      </c>
      <c r="G342" t="n">
        <v>1.8</v>
      </c>
      <c r="H342" t="n">
        <v>0</v>
      </c>
      <c r="I342" t="n">
        <v>0</v>
      </c>
      <c r="J342" t="n">
        <v>0</v>
      </c>
      <c r="K342" t="n">
        <v>0</v>
      </c>
      <c r="L342" t="n">
        <v>0</v>
      </c>
      <c r="M342" t="n">
        <v>0</v>
      </c>
      <c r="N342" t="n">
        <v>0</v>
      </c>
      <c r="O342" t="n">
        <v>0</v>
      </c>
      <c r="P342" t="n">
        <v>0</v>
      </c>
      <c r="Q342" t="n">
        <v>0</v>
      </c>
      <c r="R342" s="2" t="inlineStr"/>
    </row>
    <row r="343" ht="15" customHeight="1">
      <c r="A343" t="inlineStr">
        <is>
          <t>A 35482-2021</t>
        </is>
      </c>
      <c r="B343" s="1" t="n">
        <v>44384</v>
      </c>
      <c r="C343" s="1" t="n">
        <v>45348</v>
      </c>
      <c r="D343" t="inlineStr">
        <is>
          <t>VÄSTMANLANDS LÄN</t>
        </is>
      </c>
      <c r="E343" t="inlineStr">
        <is>
          <t>SALA</t>
        </is>
      </c>
      <c r="G343" t="n">
        <v>1.5</v>
      </c>
      <c r="H343" t="n">
        <v>0</v>
      </c>
      <c r="I343" t="n">
        <v>0</v>
      </c>
      <c r="J343" t="n">
        <v>0</v>
      </c>
      <c r="K343" t="n">
        <v>0</v>
      </c>
      <c r="L343" t="n">
        <v>0</v>
      </c>
      <c r="M343" t="n">
        <v>0</v>
      </c>
      <c r="N343" t="n">
        <v>0</v>
      </c>
      <c r="O343" t="n">
        <v>0</v>
      </c>
      <c r="P343" t="n">
        <v>0</v>
      </c>
      <c r="Q343" t="n">
        <v>0</v>
      </c>
      <c r="R343" s="2" t="inlineStr"/>
    </row>
    <row r="344" ht="15" customHeight="1">
      <c r="A344" t="inlineStr">
        <is>
          <t>A 35921-2021</t>
        </is>
      </c>
      <c r="B344" s="1" t="n">
        <v>44388</v>
      </c>
      <c r="C344" s="1" t="n">
        <v>45348</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37703-2021</t>
        </is>
      </c>
      <c r="B345" s="1" t="n">
        <v>44400</v>
      </c>
      <c r="C345" s="1" t="n">
        <v>45348</v>
      </c>
      <c r="D345" t="inlineStr">
        <is>
          <t>VÄSTMANLANDS LÄN</t>
        </is>
      </c>
      <c r="E345" t="inlineStr">
        <is>
          <t>SALA</t>
        </is>
      </c>
      <c r="G345" t="n">
        <v>2.7</v>
      </c>
      <c r="H345" t="n">
        <v>0</v>
      </c>
      <c r="I345" t="n">
        <v>0</v>
      </c>
      <c r="J345" t="n">
        <v>0</v>
      </c>
      <c r="K345" t="n">
        <v>0</v>
      </c>
      <c r="L345" t="n">
        <v>0</v>
      </c>
      <c r="M345" t="n">
        <v>0</v>
      </c>
      <c r="N345" t="n">
        <v>0</v>
      </c>
      <c r="O345" t="n">
        <v>0</v>
      </c>
      <c r="P345" t="n">
        <v>0</v>
      </c>
      <c r="Q345" t="n">
        <v>0</v>
      </c>
      <c r="R345" s="2" t="inlineStr"/>
    </row>
    <row r="346" ht="15" customHeight="1">
      <c r="A346" t="inlineStr">
        <is>
          <t>A 37856-2021</t>
        </is>
      </c>
      <c r="B346" s="1" t="n">
        <v>44403</v>
      </c>
      <c r="C346" s="1" t="n">
        <v>45348</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37872-2021</t>
        </is>
      </c>
      <c r="B347" s="1" t="n">
        <v>44403</v>
      </c>
      <c r="C347" s="1" t="n">
        <v>45348</v>
      </c>
      <c r="D347" t="inlineStr">
        <is>
          <t>VÄSTMANLANDS LÄN</t>
        </is>
      </c>
      <c r="E347" t="inlineStr">
        <is>
          <t>SALA</t>
        </is>
      </c>
      <c r="G347" t="n">
        <v>1.9</v>
      </c>
      <c r="H347" t="n">
        <v>0</v>
      </c>
      <c r="I347" t="n">
        <v>0</v>
      </c>
      <c r="J347" t="n">
        <v>0</v>
      </c>
      <c r="K347" t="n">
        <v>0</v>
      </c>
      <c r="L347" t="n">
        <v>0</v>
      </c>
      <c r="M347" t="n">
        <v>0</v>
      </c>
      <c r="N347" t="n">
        <v>0</v>
      </c>
      <c r="O347" t="n">
        <v>0</v>
      </c>
      <c r="P347" t="n">
        <v>0</v>
      </c>
      <c r="Q347" t="n">
        <v>0</v>
      </c>
      <c r="R347" s="2" t="inlineStr"/>
    </row>
    <row r="348" ht="15" customHeight="1">
      <c r="A348" t="inlineStr">
        <is>
          <t>A 37881-2021</t>
        </is>
      </c>
      <c r="B348" s="1" t="n">
        <v>44403</v>
      </c>
      <c r="C348" s="1" t="n">
        <v>45348</v>
      </c>
      <c r="D348" t="inlineStr">
        <is>
          <t>VÄSTMANLANDS LÄN</t>
        </is>
      </c>
      <c r="E348" t="inlineStr">
        <is>
          <t>SALA</t>
        </is>
      </c>
      <c r="G348" t="n">
        <v>4.6</v>
      </c>
      <c r="H348" t="n">
        <v>0</v>
      </c>
      <c r="I348" t="n">
        <v>0</v>
      </c>
      <c r="J348" t="n">
        <v>0</v>
      </c>
      <c r="K348" t="n">
        <v>0</v>
      </c>
      <c r="L348" t="n">
        <v>0</v>
      </c>
      <c r="M348" t="n">
        <v>0</v>
      </c>
      <c r="N348" t="n">
        <v>0</v>
      </c>
      <c r="O348" t="n">
        <v>0</v>
      </c>
      <c r="P348" t="n">
        <v>0</v>
      </c>
      <c r="Q348" t="n">
        <v>0</v>
      </c>
      <c r="R348" s="2" t="inlineStr"/>
    </row>
    <row r="349" ht="15" customHeight="1">
      <c r="A349" t="inlineStr">
        <is>
          <t>A 38195-2021</t>
        </is>
      </c>
      <c r="B349" s="1" t="n">
        <v>44405</v>
      </c>
      <c r="C349" s="1" t="n">
        <v>45348</v>
      </c>
      <c r="D349" t="inlineStr">
        <is>
          <t>VÄSTMANLANDS LÄN</t>
        </is>
      </c>
      <c r="E349" t="inlineStr">
        <is>
          <t>SALA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38634-2021</t>
        </is>
      </c>
      <c r="B350" s="1" t="n">
        <v>44410</v>
      </c>
      <c r="C350" s="1" t="n">
        <v>45348</v>
      </c>
      <c r="D350" t="inlineStr">
        <is>
          <t>VÄSTMANLANDS LÄN</t>
        </is>
      </c>
      <c r="E350" t="inlineStr">
        <is>
          <t>SALA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39439-2021</t>
        </is>
      </c>
      <c r="B351" s="1" t="n">
        <v>44414</v>
      </c>
      <c r="C351" s="1" t="n">
        <v>45348</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39807-2021</t>
        </is>
      </c>
      <c r="B352" s="1" t="n">
        <v>44417</v>
      </c>
      <c r="C352" s="1" t="n">
        <v>45348</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40157-2021</t>
        </is>
      </c>
      <c r="B353" s="1" t="n">
        <v>44418</v>
      </c>
      <c r="C353" s="1" t="n">
        <v>45348</v>
      </c>
      <c r="D353" t="inlineStr">
        <is>
          <t>VÄSTMANLANDS LÄN</t>
        </is>
      </c>
      <c r="E353" t="inlineStr">
        <is>
          <t>SALA</t>
        </is>
      </c>
      <c r="G353" t="n">
        <v>1.7</v>
      </c>
      <c r="H353" t="n">
        <v>0</v>
      </c>
      <c r="I353" t="n">
        <v>0</v>
      </c>
      <c r="J353" t="n">
        <v>0</v>
      </c>
      <c r="K353" t="n">
        <v>0</v>
      </c>
      <c r="L353" t="n">
        <v>0</v>
      </c>
      <c r="M353" t="n">
        <v>0</v>
      </c>
      <c r="N353" t="n">
        <v>0</v>
      </c>
      <c r="O353" t="n">
        <v>0</v>
      </c>
      <c r="P353" t="n">
        <v>0</v>
      </c>
      <c r="Q353" t="n">
        <v>0</v>
      </c>
      <c r="R353" s="2" t="inlineStr"/>
    </row>
    <row r="354" ht="15" customHeight="1">
      <c r="A354" t="inlineStr">
        <is>
          <t>A 40153-2021</t>
        </is>
      </c>
      <c r="B354" s="1" t="n">
        <v>44418</v>
      </c>
      <c r="C354" s="1" t="n">
        <v>45348</v>
      </c>
      <c r="D354" t="inlineStr">
        <is>
          <t>VÄSTMANLANDS LÄN</t>
        </is>
      </c>
      <c r="E354" t="inlineStr">
        <is>
          <t>SALA</t>
        </is>
      </c>
      <c r="G354" t="n">
        <v>2.8</v>
      </c>
      <c r="H354" t="n">
        <v>0</v>
      </c>
      <c r="I354" t="n">
        <v>0</v>
      </c>
      <c r="J354" t="n">
        <v>0</v>
      </c>
      <c r="K354" t="n">
        <v>0</v>
      </c>
      <c r="L354" t="n">
        <v>0</v>
      </c>
      <c r="M354" t="n">
        <v>0</v>
      </c>
      <c r="N354" t="n">
        <v>0</v>
      </c>
      <c r="O354" t="n">
        <v>0</v>
      </c>
      <c r="P354" t="n">
        <v>0</v>
      </c>
      <c r="Q354" t="n">
        <v>0</v>
      </c>
      <c r="R354" s="2" t="inlineStr"/>
    </row>
    <row r="355" ht="15" customHeight="1">
      <c r="A355" t="inlineStr">
        <is>
          <t>A 40398-2021</t>
        </is>
      </c>
      <c r="B355" s="1" t="n">
        <v>44419</v>
      </c>
      <c r="C355" s="1" t="n">
        <v>45348</v>
      </c>
      <c r="D355" t="inlineStr">
        <is>
          <t>VÄSTMANLANDS LÄN</t>
        </is>
      </c>
      <c r="E355" t="inlineStr">
        <is>
          <t>SALA</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40659-2021</t>
        </is>
      </c>
      <c r="B356" s="1" t="n">
        <v>44420</v>
      </c>
      <c r="C356" s="1" t="n">
        <v>45348</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40871-2021</t>
        </is>
      </c>
      <c r="B357" s="1" t="n">
        <v>44421</v>
      </c>
      <c r="C357" s="1" t="n">
        <v>45348</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41292-2021</t>
        </is>
      </c>
      <c r="B358" s="1" t="n">
        <v>44424</v>
      </c>
      <c r="C358" s="1" t="n">
        <v>45348</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41583-2021</t>
        </is>
      </c>
      <c r="B359" s="1" t="n">
        <v>44425</v>
      </c>
      <c r="C359" s="1" t="n">
        <v>45348</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43292-2021</t>
        </is>
      </c>
      <c r="B360" s="1" t="n">
        <v>44432</v>
      </c>
      <c r="C360" s="1" t="n">
        <v>45348</v>
      </c>
      <c r="D360" t="inlineStr">
        <is>
          <t>VÄSTMANLANDS LÄN</t>
        </is>
      </c>
      <c r="E360" t="inlineStr">
        <is>
          <t>SALA</t>
        </is>
      </c>
      <c r="G360" t="n">
        <v>15</v>
      </c>
      <c r="H360" t="n">
        <v>0</v>
      </c>
      <c r="I360" t="n">
        <v>0</v>
      </c>
      <c r="J360" t="n">
        <v>0</v>
      </c>
      <c r="K360" t="n">
        <v>0</v>
      </c>
      <c r="L360" t="n">
        <v>0</v>
      </c>
      <c r="M360" t="n">
        <v>0</v>
      </c>
      <c r="N360" t="n">
        <v>0</v>
      </c>
      <c r="O360" t="n">
        <v>0</v>
      </c>
      <c r="P360" t="n">
        <v>0</v>
      </c>
      <c r="Q360" t="n">
        <v>0</v>
      </c>
      <c r="R360" s="2" t="inlineStr"/>
    </row>
    <row r="361" ht="15" customHeight="1">
      <c r="A361" t="inlineStr">
        <is>
          <t>A 43509-2021</t>
        </is>
      </c>
      <c r="B361" s="1" t="n">
        <v>44433</v>
      </c>
      <c r="C361" s="1" t="n">
        <v>45348</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46279-2021</t>
        </is>
      </c>
      <c r="B362" s="1" t="n">
        <v>44442</v>
      </c>
      <c r="C362" s="1" t="n">
        <v>45348</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45348</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47683-2021</t>
        </is>
      </c>
      <c r="B364" s="1" t="n">
        <v>44448</v>
      </c>
      <c r="C364" s="1" t="n">
        <v>45348</v>
      </c>
      <c r="D364" t="inlineStr">
        <is>
          <t>VÄSTMANLANDS LÄN</t>
        </is>
      </c>
      <c r="E364" t="inlineStr">
        <is>
          <t>SALA</t>
        </is>
      </c>
      <c r="G364" t="n">
        <v>0.7</v>
      </c>
      <c r="H364" t="n">
        <v>0</v>
      </c>
      <c r="I364" t="n">
        <v>0</v>
      </c>
      <c r="J364" t="n">
        <v>0</v>
      </c>
      <c r="K364" t="n">
        <v>0</v>
      </c>
      <c r="L364" t="n">
        <v>0</v>
      </c>
      <c r="M364" t="n">
        <v>0</v>
      </c>
      <c r="N364" t="n">
        <v>0</v>
      </c>
      <c r="O364" t="n">
        <v>0</v>
      </c>
      <c r="P364" t="n">
        <v>0</v>
      </c>
      <c r="Q364" t="n">
        <v>0</v>
      </c>
      <c r="R364" s="2" t="inlineStr"/>
    </row>
    <row r="365" ht="15" customHeight="1">
      <c r="A365" t="inlineStr">
        <is>
          <t>A 48400-2021</t>
        </is>
      </c>
      <c r="B365" s="1" t="n">
        <v>44449</v>
      </c>
      <c r="C365" s="1" t="n">
        <v>45348</v>
      </c>
      <c r="D365" t="inlineStr">
        <is>
          <t>VÄSTMANLANDS LÄN</t>
        </is>
      </c>
      <c r="E365" t="inlineStr">
        <is>
          <t>SALA</t>
        </is>
      </c>
      <c r="G365" t="n">
        <v>3</v>
      </c>
      <c r="H365" t="n">
        <v>0</v>
      </c>
      <c r="I365" t="n">
        <v>0</v>
      </c>
      <c r="J365" t="n">
        <v>0</v>
      </c>
      <c r="K365" t="n">
        <v>0</v>
      </c>
      <c r="L365" t="n">
        <v>0</v>
      </c>
      <c r="M365" t="n">
        <v>0</v>
      </c>
      <c r="N365" t="n">
        <v>0</v>
      </c>
      <c r="O365" t="n">
        <v>0</v>
      </c>
      <c r="P365" t="n">
        <v>0</v>
      </c>
      <c r="Q365" t="n">
        <v>0</v>
      </c>
      <c r="R365" s="2" t="inlineStr"/>
    </row>
    <row r="366" ht="15" customHeight="1">
      <c r="A366" t="inlineStr">
        <is>
          <t>A 50962-2021</t>
        </is>
      </c>
      <c r="B366" s="1" t="n">
        <v>44460</v>
      </c>
      <c r="C366" s="1" t="n">
        <v>45348</v>
      </c>
      <c r="D366" t="inlineStr">
        <is>
          <t>VÄSTMANLANDS LÄN</t>
        </is>
      </c>
      <c r="E366" t="inlineStr">
        <is>
          <t>SALA</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54030-2021</t>
        </is>
      </c>
      <c r="B367" s="1" t="n">
        <v>44470</v>
      </c>
      <c r="C367" s="1" t="n">
        <v>45348</v>
      </c>
      <c r="D367" t="inlineStr">
        <is>
          <t>VÄSTMANLANDS LÄN</t>
        </is>
      </c>
      <c r="E367" t="inlineStr">
        <is>
          <t>SALA</t>
        </is>
      </c>
      <c r="G367" t="n">
        <v>4.1</v>
      </c>
      <c r="H367" t="n">
        <v>0</v>
      </c>
      <c r="I367" t="n">
        <v>0</v>
      </c>
      <c r="J367" t="n">
        <v>0</v>
      </c>
      <c r="K367" t="n">
        <v>0</v>
      </c>
      <c r="L367" t="n">
        <v>0</v>
      </c>
      <c r="M367" t="n">
        <v>0</v>
      </c>
      <c r="N367" t="n">
        <v>0</v>
      </c>
      <c r="O367" t="n">
        <v>0</v>
      </c>
      <c r="P367" t="n">
        <v>0</v>
      </c>
      <c r="Q367" t="n">
        <v>0</v>
      </c>
      <c r="R367" s="2" t="inlineStr"/>
    </row>
    <row r="368" ht="15" customHeight="1">
      <c r="A368" t="inlineStr">
        <is>
          <t>A 54520-2021</t>
        </is>
      </c>
      <c r="B368" s="1" t="n">
        <v>44473</v>
      </c>
      <c r="C368" s="1" t="n">
        <v>45348</v>
      </c>
      <c r="D368" t="inlineStr">
        <is>
          <t>VÄSTMANLANDS LÄN</t>
        </is>
      </c>
      <c r="E368" t="inlineStr">
        <is>
          <t>SALA</t>
        </is>
      </c>
      <c r="G368" t="n">
        <v>5.8</v>
      </c>
      <c r="H368" t="n">
        <v>0</v>
      </c>
      <c r="I368" t="n">
        <v>0</v>
      </c>
      <c r="J368" t="n">
        <v>0</v>
      </c>
      <c r="K368" t="n">
        <v>0</v>
      </c>
      <c r="L368" t="n">
        <v>0</v>
      </c>
      <c r="M368" t="n">
        <v>0</v>
      </c>
      <c r="N368" t="n">
        <v>0</v>
      </c>
      <c r="O368" t="n">
        <v>0</v>
      </c>
      <c r="P368" t="n">
        <v>0</v>
      </c>
      <c r="Q368" t="n">
        <v>0</v>
      </c>
      <c r="R368" s="2" t="inlineStr"/>
    </row>
    <row r="369" ht="15" customHeight="1">
      <c r="A369" t="inlineStr">
        <is>
          <t>A 57049-2021</t>
        </is>
      </c>
      <c r="B369" s="1" t="n">
        <v>44482</v>
      </c>
      <c r="C369" s="1" t="n">
        <v>45348</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57056-2021</t>
        </is>
      </c>
      <c r="B370" s="1" t="n">
        <v>44482</v>
      </c>
      <c r="C370" s="1" t="n">
        <v>45348</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57000-2021</t>
        </is>
      </c>
      <c r="B371" s="1" t="n">
        <v>44482</v>
      </c>
      <c r="C371" s="1" t="n">
        <v>45348</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57131-2021</t>
        </is>
      </c>
      <c r="B372" s="1" t="n">
        <v>44482</v>
      </c>
      <c r="C372" s="1" t="n">
        <v>45348</v>
      </c>
      <c r="D372" t="inlineStr">
        <is>
          <t>VÄSTMANLANDS LÄN</t>
        </is>
      </c>
      <c r="E372" t="inlineStr">
        <is>
          <t>SALA</t>
        </is>
      </c>
      <c r="G372" t="n">
        <v>2.3</v>
      </c>
      <c r="H372" t="n">
        <v>0</v>
      </c>
      <c r="I372" t="n">
        <v>0</v>
      </c>
      <c r="J372" t="n">
        <v>0</v>
      </c>
      <c r="K372" t="n">
        <v>0</v>
      </c>
      <c r="L372" t="n">
        <v>0</v>
      </c>
      <c r="M372" t="n">
        <v>0</v>
      </c>
      <c r="N372" t="n">
        <v>0</v>
      </c>
      <c r="O372" t="n">
        <v>0</v>
      </c>
      <c r="P372" t="n">
        <v>0</v>
      </c>
      <c r="Q372" t="n">
        <v>0</v>
      </c>
      <c r="R372" s="2" t="inlineStr"/>
    </row>
    <row r="373" ht="15" customHeight="1">
      <c r="A373" t="inlineStr">
        <is>
          <t>A 57517-2021</t>
        </is>
      </c>
      <c r="B373" s="1" t="n">
        <v>44483</v>
      </c>
      <c r="C373" s="1" t="n">
        <v>45348</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57596-2021</t>
        </is>
      </c>
      <c r="B374" s="1" t="n">
        <v>44483</v>
      </c>
      <c r="C374" s="1" t="n">
        <v>45348</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58107-2021</t>
        </is>
      </c>
      <c r="B375" s="1" t="n">
        <v>44487</v>
      </c>
      <c r="C375" s="1" t="n">
        <v>45348</v>
      </c>
      <c r="D375" t="inlineStr">
        <is>
          <t>VÄSTMANLANDS LÄN</t>
        </is>
      </c>
      <c r="E375" t="inlineStr">
        <is>
          <t>SALA</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58106-2021</t>
        </is>
      </c>
      <c r="B376" s="1" t="n">
        <v>44487</v>
      </c>
      <c r="C376" s="1" t="n">
        <v>45348</v>
      </c>
      <c r="D376" t="inlineStr">
        <is>
          <t>VÄSTMANLANDS LÄN</t>
        </is>
      </c>
      <c r="E376" t="inlineStr">
        <is>
          <t>SALA</t>
        </is>
      </c>
      <c r="F376" t="inlineStr">
        <is>
          <t>Sveaskog</t>
        </is>
      </c>
      <c r="G376" t="n">
        <v>4.5</v>
      </c>
      <c r="H376" t="n">
        <v>0</v>
      </c>
      <c r="I376" t="n">
        <v>0</v>
      </c>
      <c r="J376" t="n">
        <v>0</v>
      </c>
      <c r="K376" t="n">
        <v>0</v>
      </c>
      <c r="L376" t="n">
        <v>0</v>
      </c>
      <c r="M376" t="n">
        <v>0</v>
      </c>
      <c r="N376" t="n">
        <v>0</v>
      </c>
      <c r="O376" t="n">
        <v>0</v>
      </c>
      <c r="P376" t="n">
        <v>0</v>
      </c>
      <c r="Q376" t="n">
        <v>0</v>
      </c>
      <c r="R376" s="2" t="inlineStr"/>
    </row>
    <row r="377" ht="15" customHeight="1">
      <c r="A377" t="inlineStr">
        <is>
          <t>A 58522-2021</t>
        </is>
      </c>
      <c r="B377" s="1" t="n">
        <v>44488</v>
      </c>
      <c r="C377" s="1" t="n">
        <v>45348</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58701-2021</t>
        </is>
      </c>
      <c r="B378" s="1" t="n">
        <v>44489</v>
      </c>
      <c r="C378" s="1" t="n">
        <v>45348</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60031-2021</t>
        </is>
      </c>
      <c r="B379" s="1" t="n">
        <v>44495</v>
      </c>
      <c r="C379" s="1" t="n">
        <v>45348</v>
      </c>
      <c r="D379" t="inlineStr">
        <is>
          <t>VÄSTMANLANDS LÄN</t>
        </is>
      </c>
      <c r="E379" t="inlineStr">
        <is>
          <t>SALA</t>
        </is>
      </c>
      <c r="G379" t="n">
        <v>4.3</v>
      </c>
      <c r="H379" t="n">
        <v>0</v>
      </c>
      <c r="I379" t="n">
        <v>0</v>
      </c>
      <c r="J379" t="n">
        <v>0</v>
      </c>
      <c r="K379" t="n">
        <v>0</v>
      </c>
      <c r="L379" t="n">
        <v>0</v>
      </c>
      <c r="M379" t="n">
        <v>0</v>
      </c>
      <c r="N379" t="n">
        <v>0</v>
      </c>
      <c r="O379" t="n">
        <v>0</v>
      </c>
      <c r="P379" t="n">
        <v>0</v>
      </c>
      <c r="Q379" t="n">
        <v>0</v>
      </c>
      <c r="R379" s="2" t="inlineStr"/>
    </row>
    <row r="380" ht="15" customHeight="1">
      <c r="A380" t="inlineStr">
        <is>
          <t>A 60951-2021</t>
        </is>
      </c>
      <c r="B380" s="1" t="n">
        <v>44497</v>
      </c>
      <c r="C380" s="1" t="n">
        <v>45348</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61892-2021</t>
        </is>
      </c>
      <c r="B381" s="1" t="n">
        <v>44502</v>
      </c>
      <c r="C381" s="1" t="n">
        <v>45348</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61874-2021</t>
        </is>
      </c>
      <c r="B382" s="1" t="n">
        <v>44502</v>
      </c>
      <c r="C382" s="1" t="n">
        <v>45348</v>
      </c>
      <c r="D382" t="inlineStr">
        <is>
          <t>VÄSTMANLANDS LÄN</t>
        </is>
      </c>
      <c r="E382" t="inlineStr">
        <is>
          <t>SALA</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61897-2021</t>
        </is>
      </c>
      <c r="B383" s="1" t="n">
        <v>44502</v>
      </c>
      <c r="C383" s="1" t="n">
        <v>45348</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62842-2021</t>
        </is>
      </c>
      <c r="B384" s="1" t="n">
        <v>44504</v>
      </c>
      <c r="C384" s="1" t="n">
        <v>45348</v>
      </c>
      <c r="D384" t="inlineStr">
        <is>
          <t>VÄSTMANLANDS LÄN</t>
        </is>
      </c>
      <c r="E384" t="inlineStr">
        <is>
          <t>SALA</t>
        </is>
      </c>
      <c r="G384" t="n">
        <v>5.3</v>
      </c>
      <c r="H384" t="n">
        <v>0</v>
      </c>
      <c r="I384" t="n">
        <v>0</v>
      </c>
      <c r="J384" t="n">
        <v>0</v>
      </c>
      <c r="K384" t="n">
        <v>0</v>
      </c>
      <c r="L384" t="n">
        <v>0</v>
      </c>
      <c r="M384" t="n">
        <v>0</v>
      </c>
      <c r="N384" t="n">
        <v>0</v>
      </c>
      <c r="O384" t="n">
        <v>0</v>
      </c>
      <c r="P384" t="n">
        <v>0</v>
      </c>
      <c r="Q384" t="n">
        <v>0</v>
      </c>
      <c r="R384" s="2" t="inlineStr"/>
    </row>
    <row r="385" ht="15" customHeight="1">
      <c r="A385" t="inlineStr">
        <is>
          <t>A 62793-2021</t>
        </is>
      </c>
      <c r="B385" s="1" t="n">
        <v>44504</v>
      </c>
      <c r="C385" s="1" t="n">
        <v>45348</v>
      </c>
      <c r="D385" t="inlineStr">
        <is>
          <t>VÄSTMANLANDS LÄN</t>
        </is>
      </c>
      <c r="E385" t="inlineStr">
        <is>
          <t>SALA</t>
        </is>
      </c>
      <c r="G385" t="n">
        <v>5.7</v>
      </c>
      <c r="H385" t="n">
        <v>0</v>
      </c>
      <c r="I385" t="n">
        <v>0</v>
      </c>
      <c r="J385" t="n">
        <v>0</v>
      </c>
      <c r="K385" t="n">
        <v>0</v>
      </c>
      <c r="L385" t="n">
        <v>0</v>
      </c>
      <c r="M385" t="n">
        <v>0</v>
      </c>
      <c r="N385" t="n">
        <v>0</v>
      </c>
      <c r="O385" t="n">
        <v>0</v>
      </c>
      <c r="P385" t="n">
        <v>0</v>
      </c>
      <c r="Q385" t="n">
        <v>0</v>
      </c>
      <c r="R385" s="2" t="inlineStr"/>
    </row>
    <row r="386" ht="15" customHeight="1">
      <c r="A386" t="inlineStr">
        <is>
          <t>A 62833-2021</t>
        </is>
      </c>
      <c r="B386" s="1" t="n">
        <v>44504</v>
      </c>
      <c r="C386" s="1" t="n">
        <v>45348</v>
      </c>
      <c r="D386" t="inlineStr">
        <is>
          <t>VÄSTMANLANDS LÄN</t>
        </is>
      </c>
      <c r="E386" t="inlineStr">
        <is>
          <t>SALA</t>
        </is>
      </c>
      <c r="G386" t="n">
        <v>5</v>
      </c>
      <c r="H386" t="n">
        <v>0</v>
      </c>
      <c r="I386" t="n">
        <v>0</v>
      </c>
      <c r="J386" t="n">
        <v>0</v>
      </c>
      <c r="K386" t="n">
        <v>0</v>
      </c>
      <c r="L386" t="n">
        <v>0</v>
      </c>
      <c r="M386" t="n">
        <v>0</v>
      </c>
      <c r="N386" t="n">
        <v>0</v>
      </c>
      <c r="O386" t="n">
        <v>0</v>
      </c>
      <c r="P386" t="n">
        <v>0</v>
      </c>
      <c r="Q386" t="n">
        <v>0</v>
      </c>
      <c r="R386" s="2" t="inlineStr"/>
    </row>
    <row r="387" ht="15" customHeight="1">
      <c r="A387" t="inlineStr">
        <is>
          <t>A 62850-2021</t>
        </is>
      </c>
      <c r="B387" s="1" t="n">
        <v>44504</v>
      </c>
      <c r="C387" s="1" t="n">
        <v>45348</v>
      </c>
      <c r="D387" t="inlineStr">
        <is>
          <t>VÄSTMANLANDS LÄN</t>
        </is>
      </c>
      <c r="E387" t="inlineStr">
        <is>
          <t>SALA</t>
        </is>
      </c>
      <c r="G387" t="n">
        <v>5.2</v>
      </c>
      <c r="H387" t="n">
        <v>0</v>
      </c>
      <c r="I387" t="n">
        <v>0</v>
      </c>
      <c r="J387" t="n">
        <v>0</v>
      </c>
      <c r="K387" t="n">
        <v>0</v>
      </c>
      <c r="L387" t="n">
        <v>0</v>
      </c>
      <c r="M387" t="n">
        <v>0</v>
      </c>
      <c r="N387" t="n">
        <v>0</v>
      </c>
      <c r="O387" t="n">
        <v>0</v>
      </c>
      <c r="P387" t="n">
        <v>0</v>
      </c>
      <c r="Q387" t="n">
        <v>0</v>
      </c>
      <c r="R387" s="2" t="inlineStr"/>
    </row>
    <row r="388" ht="15" customHeight="1">
      <c r="A388" t="inlineStr">
        <is>
          <t>A 62967-2021</t>
        </is>
      </c>
      <c r="B388" s="1" t="n">
        <v>44505</v>
      </c>
      <c r="C388" s="1" t="n">
        <v>45348</v>
      </c>
      <c r="D388" t="inlineStr">
        <is>
          <t>VÄSTMANLANDS LÄN</t>
        </is>
      </c>
      <c r="E388" t="inlineStr">
        <is>
          <t>SALA</t>
        </is>
      </c>
      <c r="G388" t="n">
        <v>6.1</v>
      </c>
      <c r="H388" t="n">
        <v>0</v>
      </c>
      <c r="I388" t="n">
        <v>0</v>
      </c>
      <c r="J388" t="n">
        <v>0</v>
      </c>
      <c r="K388" t="n">
        <v>0</v>
      </c>
      <c r="L388" t="n">
        <v>0</v>
      </c>
      <c r="M388" t="n">
        <v>0</v>
      </c>
      <c r="N388" t="n">
        <v>0</v>
      </c>
      <c r="O388" t="n">
        <v>0</v>
      </c>
      <c r="P388" t="n">
        <v>0</v>
      </c>
      <c r="Q388" t="n">
        <v>0</v>
      </c>
      <c r="R388" s="2" t="inlineStr"/>
    </row>
    <row r="389" ht="15" customHeight="1">
      <c r="A389" t="inlineStr">
        <is>
          <t>A 63290-2021</t>
        </is>
      </c>
      <c r="B389" s="1" t="n">
        <v>44505</v>
      </c>
      <c r="C389" s="1" t="n">
        <v>45348</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64931-2021</t>
        </is>
      </c>
      <c r="B390" s="1" t="n">
        <v>44512</v>
      </c>
      <c r="C390" s="1" t="n">
        <v>45348</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64932-2021</t>
        </is>
      </c>
      <c r="B391" s="1" t="n">
        <v>44512</v>
      </c>
      <c r="C391" s="1" t="n">
        <v>45348</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65213-2021</t>
        </is>
      </c>
      <c r="B392" s="1" t="n">
        <v>44515</v>
      </c>
      <c r="C392" s="1" t="n">
        <v>45348</v>
      </c>
      <c r="D392" t="inlineStr">
        <is>
          <t>VÄSTMANLANDS LÄN</t>
        </is>
      </c>
      <c r="E392" t="inlineStr">
        <is>
          <t>SALA</t>
        </is>
      </c>
      <c r="G392" t="n">
        <v>0.6</v>
      </c>
      <c r="H392" t="n">
        <v>0</v>
      </c>
      <c r="I392" t="n">
        <v>0</v>
      </c>
      <c r="J392" t="n">
        <v>0</v>
      </c>
      <c r="K392" t="n">
        <v>0</v>
      </c>
      <c r="L392" t="n">
        <v>0</v>
      </c>
      <c r="M392" t="n">
        <v>0</v>
      </c>
      <c r="N392" t="n">
        <v>0</v>
      </c>
      <c r="O392" t="n">
        <v>0</v>
      </c>
      <c r="P392" t="n">
        <v>0</v>
      </c>
      <c r="Q392" t="n">
        <v>0</v>
      </c>
      <c r="R392" s="2" t="inlineStr"/>
    </row>
    <row r="393" ht="15" customHeight="1">
      <c r="A393" t="inlineStr">
        <is>
          <t>A 65321-2021</t>
        </is>
      </c>
      <c r="B393" s="1" t="n">
        <v>44515</v>
      </c>
      <c r="C393" s="1" t="n">
        <v>45348</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65338-2021</t>
        </is>
      </c>
      <c r="B394" s="1" t="n">
        <v>44515</v>
      </c>
      <c r="C394" s="1" t="n">
        <v>45348</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65353-2021</t>
        </is>
      </c>
      <c r="B395" s="1" t="n">
        <v>44515</v>
      </c>
      <c r="C395" s="1" t="n">
        <v>45348</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65490-2021</t>
        </is>
      </c>
      <c r="B396" s="1" t="n">
        <v>44515</v>
      </c>
      <c r="C396" s="1" t="n">
        <v>45348</v>
      </c>
      <c r="D396" t="inlineStr">
        <is>
          <t>VÄSTMANLANDS LÄN</t>
        </is>
      </c>
      <c r="E396" t="inlineStr">
        <is>
          <t>SALA</t>
        </is>
      </c>
      <c r="G396" t="n">
        <v>2.1</v>
      </c>
      <c r="H396" t="n">
        <v>0</v>
      </c>
      <c r="I396" t="n">
        <v>0</v>
      </c>
      <c r="J396" t="n">
        <v>0</v>
      </c>
      <c r="K396" t="n">
        <v>0</v>
      </c>
      <c r="L396" t="n">
        <v>0</v>
      </c>
      <c r="M396" t="n">
        <v>0</v>
      </c>
      <c r="N396" t="n">
        <v>0</v>
      </c>
      <c r="O396" t="n">
        <v>0</v>
      </c>
      <c r="P396" t="n">
        <v>0</v>
      </c>
      <c r="Q396" t="n">
        <v>0</v>
      </c>
      <c r="R396" s="2" t="inlineStr"/>
    </row>
    <row r="397" ht="15" customHeight="1">
      <c r="A397" t="inlineStr">
        <is>
          <t>A 65856-2021</t>
        </is>
      </c>
      <c r="B397" s="1" t="n">
        <v>44517</v>
      </c>
      <c r="C397" s="1" t="n">
        <v>45348</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65818-2021</t>
        </is>
      </c>
      <c r="B398" s="1" t="n">
        <v>44517</v>
      </c>
      <c r="C398" s="1" t="n">
        <v>45348</v>
      </c>
      <c r="D398" t="inlineStr">
        <is>
          <t>VÄSTMANLANDS LÄN</t>
        </is>
      </c>
      <c r="E398" t="inlineStr">
        <is>
          <t>SALA</t>
        </is>
      </c>
      <c r="G398" t="n">
        <v>0.6</v>
      </c>
      <c r="H398" t="n">
        <v>0</v>
      </c>
      <c r="I398" t="n">
        <v>0</v>
      </c>
      <c r="J398" t="n">
        <v>0</v>
      </c>
      <c r="K398" t="n">
        <v>0</v>
      </c>
      <c r="L398" t="n">
        <v>0</v>
      </c>
      <c r="M398" t="n">
        <v>0</v>
      </c>
      <c r="N398" t="n">
        <v>0</v>
      </c>
      <c r="O398" t="n">
        <v>0</v>
      </c>
      <c r="P398" t="n">
        <v>0</v>
      </c>
      <c r="Q398" t="n">
        <v>0</v>
      </c>
      <c r="R398" s="2" t="inlineStr"/>
    </row>
    <row r="399" ht="15" customHeight="1">
      <c r="A399" t="inlineStr">
        <is>
          <t>A 65835-2021</t>
        </is>
      </c>
      <c r="B399" s="1" t="n">
        <v>44517</v>
      </c>
      <c r="C399" s="1" t="n">
        <v>45348</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65860-2021</t>
        </is>
      </c>
      <c r="B400" s="1" t="n">
        <v>44517</v>
      </c>
      <c r="C400" s="1" t="n">
        <v>45348</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66307-2021</t>
        </is>
      </c>
      <c r="B401" s="1" t="n">
        <v>44518</v>
      </c>
      <c r="C401" s="1" t="n">
        <v>45348</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66508-2021</t>
        </is>
      </c>
      <c r="B402" s="1" t="n">
        <v>44519</v>
      </c>
      <c r="C402" s="1" t="n">
        <v>45348</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66563-2021</t>
        </is>
      </c>
      <c r="B403" s="1" t="n">
        <v>44519</v>
      </c>
      <c r="C403" s="1" t="n">
        <v>45348</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66561-2021</t>
        </is>
      </c>
      <c r="B404" s="1" t="n">
        <v>44519</v>
      </c>
      <c r="C404" s="1" t="n">
        <v>45348</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66908-2021</t>
        </is>
      </c>
      <c r="B405" s="1" t="n">
        <v>44522</v>
      </c>
      <c r="C405" s="1" t="n">
        <v>45348</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66830-2021</t>
        </is>
      </c>
      <c r="B406" s="1" t="n">
        <v>44522</v>
      </c>
      <c r="C406" s="1" t="n">
        <v>45348</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67037-2021</t>
        </is>
      </c>
      <c r="B407" s="1" t="n">
        <v>44522</v>
      </c>
      <c r="C407" s="1" t="n">
        <v>45348</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c r="U407">
        <f>HYPERLINK("https://klasma.github.io/Logging_1981/knärot/A 67037-2021 karta knärot.png", "A 67037-2021")</f>
        <v/>
      </c>
      <c r="V407">
        <f>HYPERLINK("https://klasma.github.io/Logging_1981/klagomål/A 67037-2021 FSC-klagomål.docx", "A 67037-2021")</f>
        <v/>
      </c>
      <c r="W407">
        <f>HYPERLINK("https://klasma.github.io/Logging_1981/klagomålsmail/A 67037-2021 FSC-klagomål mail.docx", "A 67037-2021")</f>
        <v/>
      </c>
      <c r="X407">
        <f>HYPERLINK("https://klasma.github.io/Logging_1981/tillsyn/A 67037-2021 tillsynsbegäran.docx", "A 67037-2021")</f>
        <v/>
      </c>
      <c r="Y407">
        <f>HYPERLINK("https://klasma.github.io/Logging_1981/tillsynsmail/A 67037-2021 tillsynsbegäran mail.docx", "A 67037-2021")</f>
        <v/>
      </c>
    </row>
    <row r="408" ht="15" customHeight="1">
      <c r="A408" t="inlineStr">
        <is>
          <t>A 67965-2021</t>
        </is>
      </c>
      <c r="B408" s="1" t="n">
        <v>44525</v>
      </c>
      <c r="C408" s="1" t="n">
        <v>45348</v>
      </c>
      <c r="D408" t="inlineStr">
        <is>
          <t>VÄSTMANLANDS LÄN</t>
        </is>
      </c>
      <c r="E408" t="inlineStr">
        <is>
          <t>SALA</t>
        </is>
      </c>
      <c r="G408" t="n">
        <v>0.6</v>
      </c>
      <c r="H408" t="n">
        <v>0</v>
      </c>
      <c r="I408" t="n">
        <v>0</v>
      </c>
      <c r="J408" t="n">
        <v>0</v>
      </c>
      <c r="K408" t="n">
        <v>0</v>
      </c>
      <c r="L408" t="n">
        <v>0</v>
      </c>
      <c r="M408" t="n">
        <v>0</v>
      </c>
      <c r="N408" t="n">
        <v>0</v>
      </c>
      <c r="O408" t="n">
        <v>0</v>
      </c>
      <c r="P408" t="n">
        <v>0</v>
      </c>
      <c r="Q408" t="n">
        <v>0</v>
      </c>
      <c r="R408" s="2" t="inlineStr"/>
    </row>
    <row r="409" ht="15" customHeight="1">
      <c r="A409" t="inlineStr">
        <is>
          <t>A 67958-2021</t>
        </is>
      </c>
      <c r="B409" s="1" t="n">
        <v>44525</v>
      </c>
      <c r="C409" s="1" t="n">
        <v>45348</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67962-2021</t>
        </is>
      </c>
      <c r="B410" s="1" t="n">
        <v>44525</v>
      </c>
      <c r="C410" s="1" t="n">
        <v>45348</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68355-2021</t>
        </is>
      </c>
      <c r="B411" s="1" t="n">
        <v>44528</v>
      </c>
      <c r="C411" s="1" t="n">
        <v>45348</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68484-2021</t>
        </is>
      </c>
      <c r="B412" s="1" t="n">
        <v>44529</v>
      </c>
      <c r="C412" s="1" t="n">
        <v>45348</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68980-2021</t>
        </is>
      </c>
      <c r="B413" s="1" t="n">
        <v>44529</v>
      </c>
      <c r="C413" s="1" t="n">
        <v>45348</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68864-2021</t>
        </is>
      </c>
      <c r="B414" s="1" t="n">
        <v>44530</v>
      </c>
      <c r="C414" s="1" t="n">
        <v>45348</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69232-2021</t>
        </is>
      </c>
      <c r="B415" s="1" t="n">
        <v>44531</v>
      </c>
      <c r="C415" s="1" t="n">
        <v>45348</v>
      </c>
      <c r="D415" t="inlineStr">
        <is>
          <t>VÄSTMANLANDS LÄN</t>
        </is>
      </c>
      <c r="E415" t="inlineStr">
        <is>
          <t>SALA</t>
        </is>
      </c>
      <c r="G415" t="n">
        <v>2.3</v>
      </c>
      <c r="H415" t="n">
        <v>0</v>
      </c>
      <c r="I415" t="n">
        <v>0</v>
      </c>
      <c r="J415" t="n">
        <v>0</v>
      </c>
      <c r="K415" t="n">
        <v>0</v>
      </c>
      <c r="L415" t="n">
        <v>0</v>
      </c>
      <c r="M415" t="n">
        <v>0</v>
      </c>
      <c r="N415" t="n">
        <v>0</v>
      </c>
      <c r="O415" t="n">
        <v>0</v>
      </c>
      <c r="P415" t="n">
        <v>0</v>
      </c>
      <c r="Q415" t="n">
        <v>0</v>
      </c>
      <c r="R415" s="2" t="inlineStr"/>
    </row>
    <row r="416" ht="15" customHeight="1">
      <c r="A416" t="inlineStr">
        <is>
          <t>A 69236-2021</t>
        </is>
      </c>
      <c r="B416" s="1" t="n">
        <v>44531</v>
      </c>
      <c r="C416" s="1" t="n">
        <v>45348</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70218-2021</t>
        </is>
      </c>
      <c r="B417" s="1" t="n">
        <v>44535</v>
      </c>
      <c r="C417" s="1" t="n">
        <v>45348</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70319-2021</t>
        </is>
      </c>
      <c r="B418" s="1" t="n">
        <v>44536</v>
      </c>
      <c r="C418" s="1" t="n">
        <v>45348</v>
      </c>
      <c r="D418" t="inlineStr">
        <is>
          <t>VÄSTMANLANDS LÄN</t>
        </is>
      </c>
      <c r="E418" t="inlineStr">
        <is>
          <t>SALA</t>
        </is>
      </c>
      <c r="G418" t="n">
        <v>1.6</v>
      </c>
      <c r="H418" t="n">
        <v>0</v>
      </c>
      <c r="I418" t="n">
        <v>0</v>
      </c>
      <c r="J418" t="n">
        <v>0</v>
      </c>
      <c r="K418" t="n">
        <v>0</v>
      </c>
      <c r="L418" t="n">
        <v>0</v>
      </c>
      <c r="M418" t="n">
        <v>0</v>
      </c>
      <c r="N418" t="n">
        <v>0</v>
      </c>
      <c r="O418" t="n">
        <v>0</v>
      </c>
      <c r="P418" t="n">
        <v>0</v>
      </c>
      <c r="Q418" t="n">
        <v>0</v>
      </c>
      <c r="R418" s="2" t="inlineStr"/>
    </row>
    <row r="419" ht="15" customHeight="1">
      <c r="A419" t="inlineStr">
        <is>
          <t>A 70655-2021</t>
        </is>
      </c>
      <c r="B419" s="1" t="n">
        <v>44537</v>
      </c>
      <c r="C419" s="1" t="n">
        <v>45348</v>
      </c>
      <c r="D419" t="inlineStr">
        <is>
          <t>VÄSTMANLANDS LÄN</t>
        </is>
      </c>
      <c r="E419" t="inlineStr">
        <is>
          <t>SALA</t>
        </is>
      </c>
      <c r="G419" t="n">
        <v>4.8</v>
      </c>
      <c r="H419" t="n">
        <v>0</v>
      </c>
      <c r="I419" t="n">
        <v>0</v>
      </c>
      <c r="J419" t="n">
        <v>0</v>
      </c>
      <c r="K419" t="n">
        <v>0</v>
      </c>
      <c r="L419" t="n">
        <v>0</v>
      </c>
      <c r="M419" t="n">
        <v>0</v>
      </c>
      <c r="N419" t="n">
        <v>0</v>
      </c>
      <c r="O419" t="n">
        <v>0</v>
      </c>
      <c r="P419" t="n">
        <v>0</v>
      </c>
      <c r="Q419" t="n">
        <v>0</v>
      </c>
      <c r="R419" s="2" t="inlineStr"/>
    </row>
    <row r="420" ht="15" customHeight="1">
      <c r="A420" t="inlineStr">
        <is>
          <t>A 70958-2021</t>
        </is>
      </c>
      <c r="B420" s="1" t="n">
        <v>44538</v>
      </c>
      <c r="C420" s="1" t="n">
        <v>45348</v>
      </c>
      <c r="D420" t="inlineStr">
        <is>
          <t>VÄSTMANLANDS LÄN</t>
        </is>
      </c>
      <c r="E420" t="inlineStr">
        <is>
          <t>SALA</t>
        </is>
      </c>
      <c r="G420" t="n">
        <v>6.5</v>
      </c>
      <c r="H420" t="n">
        <v>0</v>
      </c>
      <c r="I420" t="n">
        <v>0</v>
      </c>
      <c r="J420" t="n">
        <v>0</v>
      </c>
      <c r="K420" t="n">
        <v>0</v>
      </c>
      <c r="L420" t="n">
        <v>0</v>
      </c>
      <c r="M420" t="n">
        <v>0</v>
      </c>
      <c r="N420" t="n">
        <v>0</v>
      </c>
      <c r="O420" t="n">
        <v>0</v>
      </c>
      <c r="P420" t="n">
        <v>0</v>
      </c>
      <c r="Q420" t="n">
        <v>0</v>
      </c>
      <c r="R420" s="2" t="inlineStr"/>
    </row>
    <row r="421" ht="15" customHeight="1">
      <c r="A421" t="inlineStr">
        <is>
          <t>A 71471-2021</t>
        </is>
      </c>
      <c r="B421" s="1" t="n">
        <v>44540</v>
      </c>
      <c r="C421" s="1" t="n">
        <v>45348</v>
      </c>
      <c r="D421" t="inlineStr">
        <is>
          <t>VÄSTMANLANDS LÄN</t>
        </is>
      </c>
      <c r="E421" t="inlineStr">
        <is>
          <t>SALA</t>
        </is>
      </c>
      <c r="G421" t="n">
        <v>13</v>
      </c>
      <c r="H421" t="n">
        <v>0</v>
      </c>
      <c r="I421" t="n">
        <v>0</v>
      </c>
      <c r="J421" t="n">
        <v>0</v>
      </c>
      <c r="K421" t="n">
        <v>0</v>
      </c>
      <c r="L421" t="n">
        <v>0</v>
      </c>
      <c r="M421" t="n">
        <v>0</v>
      </c>
      <c r="N421" t="n">
        <v>0</v>
      </c>
      <c r="O421" t="n">
        <v>0</v>
      </c>
      <c r="P421" t="n">
        <v>0</v>
      </c>
      <c r="Q421" t="n">
        <v>0</v>
      </c>
      <c r="R421" s="2" t="inlineStr"/>
    </row>
    <row r="422" ht="15" customHeight="1">
      <c r="A422" t="inlineStr">
        <is>
          <t>A 71853-2021</t>
        </is>
      </c>
      <c r="B422" s="1" t="n">
        <v>44543</v>
      </c>
      <c r="C422" s="1" t="n">
        <v>45348</v>
      </c>
      <c r="D422" t="inlineStr">
        <is>
          <t>VÄSTMANLANDS LÄN</t>
        </is>
      </c>
      <c r="E422" t="inlineStr">
        <is>
          <t>SALA</t>
        </is>
      </c>
      <c r="G422" t="n">
        <v>6.5</v>
      </c>
      <c r="H422" t="n">
        <v>0</v>
      </c>
      <c r="I422" t="n">
        <v>0</v>
      </c>
      <c r="J422" t="n">
        <v>0</v>
      </c>
      <c r="K422" t="n">
        <v>0</v>
      </c>
      <c r="L422" t="n">
        <v>0</v>
      </c>
      <c r="M422" t="n">
        <v>0</v>
      </c>
      <c r="N422" t="n">
        <v>0</v>
      </c>
      <c r="O422" t="n">
        <v>0</v>
      </c>
      <c r="P422" t="n">
        <v>0</v>
      </c>
      <c r="Q422" t="n">
        <v>0</v>
      </c>
      <c r="R422" s="2" t="inlineStr"/>
    </row>
    <row r="423" ht="15" customHeight="1">
      <c r="A423" t="inlineStr">
        <is>
          <t>A 72071-2021</t>
        </is>
      </c>
      <c r="B423" s="1" t="n">
        <v>44544</v>
      </c>
      <c r="C423" s="1" t="n">
        <v>45348</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72405-2021</t>
        </is>
      </c>
      <c r="B424" s="1" t="n">
        <v>44545</v>
      </c>
      <c r="C424" s="1" t="n">
        <v>45348</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72389-2021</t>
        </is>
      </c>
      <c r="B425" s="1" t="n">
        <v>44545</v>
      </c>
      <c r="C425" s="1" t="n">
        <v>45348</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72810-2021</t>
        </is>
      </c>
      <c r="B426" s="1" t="n">
        <v>44546</v>
      </c>
      <c r="C426" s="1" t="n">
        <v>45348</v>
      </c>
      <c r="D426" t="inlineStr">
        <is>
          <t>VÄSTMANLANDS LÄN</t>
        </is>
      </c>
      <c r="E426" t="inlineStr">
        <is>
          <t>SALA</t>
        </is>
      </c>
      <c r="G426" t="n">
        <v>3.3</v>
      </c>
      <c r="H426" t="n">
        <v>0</v>
      </c>
      <c r="I426" t="n">
        <v>0</v>
      </c>
      <c r="J426" t="n">
        <v>0</v>
      </c>
      <c r="K426" t="n">
        <v>0</v>
      </c>
      <c r="L426" t="n">
        <v>0</v>
      </c>
      <c r="M426" t="n">
        <v>0</v>
      </c>
      <c r="N426" t="n">
        <v>0</v>
      </c>
      <c r="O426" t="n">
        <v>0</v>
      </c>
      <c r="P426" t="n">
        <v>0</v>
      </c>
      <c r="Q426" t="n">
        <v>0</v>
      </c>
      <c r="R426" s="2" t="inlineStr"/>
    </row>
    <row r="427" ht="15" customHeight="1">
      <c r="A427" t="inlineStr">
        <is>
          <t>A 72805-2021</t>
        </is>
      </c>
      <c r="B427" s="1" t="n">
        <v>44546</v>
      </c>
      <c r="C427" s="1" t="n">
        <v>45348</v>
      </c>
      <c r="D427" t="inlineStr">
        <is>
          <t>VÄSTMANLANDS LÄN</t>
        </is>
      </c>
      <c r="E427" t="inlineStr">
        <is>
          <t>SALA</t>
        </is>
      </c>
      <c r="G427" t="n">
        <v>7.8</v>
      </c>
      <c r="H427" t="n">
        <v>0</v>
      </c>
      <c r="I427" t="n">
        <v>0</v>
      </c>
      <c r="J427" t="n">
        <v>0</v>
      </c>
      <c r="K427" t="n">
        <v>0</v>
      </c>
      <c r="L427" t="n">
        <v>0</v>
      </c>
      <c r="M427" t="n">
        <v>0</v>
      </c>
      <c r="N427" t="n">
        <v>0</v>
      </c>
      <c r="O427" t="n">
        <v>0</v>
      </c>
      <c r="P427" t="n">
        <v>0</v>
      </c>
      <c r="Q427" t="n">
        <v>0</v>
      </c>
      <c r="R427" s="2" t="inlineStr"/>
    </row>
    <row r="428" ht="15" customHeight="1">
      <c r="A428" t="inlineStr">
        <is>
          <t>A 72808-2021</t>
        </is>
      </c>
      <c r="B428" s="1" t="n">
        <v>44546</v>
      </c>
      <c r="C428" s="1" t="n">
        <v>45348</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72776-2021</t>
        </is>
      </c>
      <c r="B429" s="1" t="n">
        <v>44547</v>
      </c>
      <c r="C429" s="1" t="n">
        <v>45348</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73029-2021</t>
        </is>
      </c>
      <c r="B430" s="1" t="n">
        <v>44550</v>
      </c>
      <c r="C430" s="1" t="n">
        <v>45348</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73124-2021</t>
        </is>
      </c>
      <c r="B431" s="1" t="n">
        <v>44550</v>
      </c>
      <c r="C431" s="1" t="n">
        <v>45348</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73219-2021</t>
        </is>
      </c>
      <c r="B432" s="1" t="n">
        <v>44550</v>
      </c>
      <c r="C432" s="1" t="n">
        <v>45348</v>
      </c>
      <c r="D432" t="inlineStr">
        <is>
          <t>VÄSTMANLANDS LÄN</t>
        </is>
      </c>
      <c r="E432" t="inlineStr">
        <is>
          <t>SALA</t>
        </is>
      </c>
      <c r="G432" t="n">
        <v>7.1</v>
      </c>
      <c r="H432" t="n">
        <v>0</v>
      </c>
      <c r="I432" t="n">
        <v>0</v>
      </c>
      <c r="J432" t="n">
        <v>0</v>
      </c>
      <c r="K432" t="n">
        <v>0</v>
      </c>
      <c r="L432" t="n">
        <v>0</v>
      </c>
      <c r="M432" t="n">
        <v>0</v>
      </c>
      <c r="N432" t="n">
        <v>0</v>
      </c>
      <c r="O432" t="n">
        <v>0</v>
      </c>
      <c r="P432" t="n">
        <v>0</v>
      </c>
      <c r="Q432" t="n">
        <v>0</v>
      </c>
      <c r="R432" s="2" t="inlineStr"/>
    </row>
    <row r="433" ht="15" customHeight="1">
      <c r="A433" t="inlineStr">
        <is>
          <t>A 73423-2021</t>
        </is>
      </c>
      <c r="B433" s="1" t="n">
        <v>44551</v>
      </c>
      <c r="C433" s="1" t="n">
        <v>45348</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73519-2021</t>
        </is>
      </c>
      <c r="B434" s="1" t="n">
        <v>44551</v>
      </c>
      <c r="C434" s="1" t="n">
        <v>45348</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73683-2021</t>
        </is>
      </c>
      <c r="B435" s="1" t="n">
        <v>44552</v>
      </c>
      <c r="C435" s="1" t="n">
        <v>45348</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73663-2021</t>
        </is>
      </c>
      <c r="B436" s="1" t="n">
        <v>44552</v>
      </c>
      <c r="C436" s="1" t="n">
        <v>45348</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73673-2021</t>
        </is>
      </c>
      <c r="B437" s="1" t="n">
        <v>44552</v>
      </c>
      <c r="C437" s="1" t="n">
        <v>45348</v>
      </c>
      <c r="D437" t="inlineStr">
        <is>
          <t>VÄSTMANLANDS LÄN</t>
        </is>
      </c>
      <c r="E437" t="inlineStr">
        <is>
          <t>SALA</t>
        </is>
      </c>
      <c r="G437" t="n">
        <v>11.4</v>
      </c>
      <c r="H437" t="n">
        <v>0</v>
      </c>
      <c r="I437" t="n">
        <v>0</v>
      </c>
      <c r="J437" t="n">
        <v>0</v>
      </c>
      <c r="K437" t="n">
        <v>0</v>
      </c>
      <c r="L437" t="n">
        <v>0</v>
      </c>
      <c r="M437" t="n">
        <v>0</v>
      </c>
      <c r="N437" t="n">
        <v>0</v>
      </c>
      <c r="O437" t="n">
        <v>0</v>
      </c>
      <c r="P437" t="n">
        <v>0</v>
      </c>
      <c r="Q437" t="n">
        <v>0</v>
      </c>
      <c r="R437" s="2" t="inlineStr"/>
    </row>
    <row r="438" ht="15" customHeight="1">
      <c r="A438" t="inlineStr">
        <is>
          <t>A 73606-2021</t>
        </is>
      </c>
      <c r="B438" s="1" t="n">
        <v>44552</v>
      </c>
      <c r="C438" s="1" t="n">
        <v>45348</v>
      </c>
      <c r="D438" t="inlineStr">
        <is>
          <t>VÄSTMANLANDS LÄN</t>
        </is>
      </c>
      <c r="E438" t="inlineStr">
        <is>
          <t>SALA</t>
        </is>
      </c>
      <c r="G438" t="n">
        <v>1.5</v>
      </c>
      <c r="H438" t="n">
        <v>0</v>
      </c>
      <c r="I438" t="n">
        <v>0</v>
      </c>
      <c r="J438" t="n">
        <v>0</v>
      </c>
      <c r="K438" t="n">
        <v>0</v>
      </c>
      <c r="L438" t="n">
        <v>0</v>
      </c>
      <c r="M438" t="n">
        <v>0</v>
      </c>
      <c r="N438" t="n">
        <v>0</v>
      </c>
      <c r="O438" t="n">
        <v>0</v>
      </c>
      <c r="P438" t="n">
        <v>0</v>
      </c>
      <c r="Q438" t="n">
        <v>0</v>
      </c>
      <c r="R438" s="2" t="inlineStr"/>
    </row>
    <row r="439" ht="15" customHeight="1">
      <c r="A439" t="inlineStr">
        <is>
          <t>A 73668-2021</t>
        </is>
      </c>
      <c r="B439" s="1" t="n">
        <v>44552</v>
      </c>
      <c r="C439" s="1" t="n">
        <v>45348</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73687-2021</t>
        </is>
      </c>
      <c r="B440" s="1" t="n">
        <v>44552</v>
      </c>
      <c r="C440" s="1" t="n">
        <v>45348</v>
      </c>
      <c r="D440" t="inlineStr">
        <is>
          <t>VÄSTMANLANDS LÄN</t>
        </is>
      </c>
      <c r="E440" t="inlineStr">
        <is>
          <t>SALA</t>
        </is>
      </c>
      <c r="G440" t="n">
        <v>5.6</v>
      </c>
      <c r="H440" t="n">
        <v>0</v>
      </c>
      <c r="I440" t="n">
        <v>0</v>
      </c>
      <c r="J440" t="n">
        <v>0</v>
      </c>
      <c r="K440" t="n">
        <v>0</v>
      </c>
      <c r="L440" t="n">
        <v>0</v>
      </c>
      <c r="M440" t="n">
        <v>0</v>
      </c>
      <c r="N440" t="n">
        <v>0</v>
      </c>
      <c r="O440" t="n">
        <v>0</v>
      </c>
      <c r="P440" t="n">
        <v>0</v>
      </c>
      <c r="Q440" t="n">
        <v>0</v>
      </c>
      <c r="R440" s="2" t="inlineStr"/>
    </row>
    <row r="441" ht="15" customHeight="1">
      <c r="A441" t="inlineStr">
        <is>
          <t>A 73788-2021</t>
        </is>
      </c>
      <c r="B441" s="1" t="n">
        <v>44552</v>
      </c>
      <c r="C441" s="1" t="n">
        <v>45348</v>
      </c>
      <c r="D441" t="inlineStr">
        <is>
          <t>VÄSTMANLANDS LÄN</t>
        </is>
      </c>
      <c r="E441" t="inlineStr">
        <is>
          <t>SALA</t>
        </is>
      </c>
      <c r="G441" t="n">
        <v>0.8</v>
      </c>
      <c r="H441" t="n">
        <v>0</v>
      </c>
      <c r="I441" t="n">
        <v>0</v>
      </c>
      <c r="J441" t="n">
        <v>0</v>
      </c>
      <c r="K441" t="n">
        <v>0</v>
      </c>
      <c r="L441" t="n">
        <v>0</v>
      </c>
      <c r="M441" t="n">
        <v>0</v>
      </c>
      <c r="N441" t="n">
        <v>0</v>
      </c>
      <c r="O441" t="n">
        <v>0</v>
      </c>
      <c r="P441" t="n">
        <v>0</v>
      </c>
      <c r="Q441" t="n">
        <v>0</v>
      </c>
      <c r="R441" s="2" t="inlineStr"/>
    </row>
    <row r="442" ht="15" customHeight="1">
      <c r="A442" t="inlineStr">
        <is>
          <t>A 73835-2021</t>
        </is>
      </c>
      <c r="B442" s="1" t="n">
        <v>44552</v>
      </c>
      <c r="C442" s="1" t="n">
        <v>45348</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74123-2021</t>
        </is>
      </c>
      <c r="B443" s="1" t="n">
        <v>44557</v>
      </c>
      <c r="C443" s="1" t="n">
        <v>45348</v>
      </c>
      <c r="D443" t="inlineStr">
        <is>
          <t>VÄSTMANLANDS LÄN</t>
        </is>
      </c>
      <c r="E443" t="inlineStr">
        <is>
          <t>SALA</t>
        </is>
      </c>
      <c r="F443" t="inlineStr">
        <is>
          <t>Kommuner</t>
        </is>
      </c>
      <c r="G443" t="n">
        <v>11.9</v>
      </c>
      <c r="H443" t="n">
        <v>0</v>
      </c>
      <c r="I443" t="n">
        <v>0</v>
      </c>
      <c r="J443" t="n">
        <v>0</v>
      </c>
      <c r="K443" t="n">
        <v>0</v>
      </c>
      <c r="L443" t="n">
        <v>0</v>
      </c>
      <c r="M443" t="n">
        <v>0</v>
      </c>
      <c r="N443" t="n">
        <v>0</v>
      </c>
      <c r="O443" t="n">
        <v>0</v>
      </c>
      <c r="P443" t="n">
        <v>0</v>
      </c>
      <c r="Q443" t="n">
        <v>0</v>
      </c>
      <c r="R443" s="2" t="inlineStr"/>
    </row>
    <row r="444" ht="15" customHeight="1">
      <c r="A444" t="inlineStr">
        <is>
          <t>A 74277-2021</t>
        </is>
      </c>
      <c r="B444" s="1" t="n">
        <v>44558</v>
      </c>
      <c r="C444" s="1" t="n">
        <v>45348</v>
      </c>
      <c r="D444" t="inlineStr">
        <is>
          <t>VÄSTMANLANDS LÄN</t>
        </is>
      </c>
      <c r="E444" t="inlineStr">
        <is>
          <t>SALA</t>
        </is>
      </c>
      <c r="F444" t="inlineStr">
        <is>
          <t>Kommuner</t>
        </is>
      </c>
      <c r="G444" t="n">
        <v>24.4</v>
      </c>
      <c r="H444" t="n">
        <v>0</v>
      </c>
      <c r="I444" t="n">
        <v>0</v>
      </c>
      <c r="J444" t="n">
        <v>0</v>
      </c>
      <c r="K444" t="n">
        <v>0</v>
      </c>
      <c r="L444" t="n">
        <v>0</v>
      </c>
      <c r="M444" t="n">
        <v>0</v>
      </c>
      <c r="N444" t="n">
        <v>0</v>
      </c>
      <c r="O444" t="n">
        <v>0</v>
      </c>
      <c r="P444" t="n">
        <v>0</v>
      </c>
      <c r="Q444" t="n">
        <v>0</v>
      </c>
      <c r="R444" s="2" t="inlineStr"/>
    </row>
    <row r="445" ht="15" customHeight="1">
      <c r="A445" t="inlineStr">
        <is>
          <t>A 617-2022</t>
        </is>
      </c>
      <c r="B445" s="1" t="n">
        <v>44567</v>
      </c>
      <c r="C445" s="1" t="n">
        <v>45348</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939-2022</t>
        </is>
      </c>
      <c r="B446" s="1" t="n">
        <v>44571</v>
      </c>
      <c r="C446" s="1" t="n">
        <v>45348</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1043-2022</t>
        </is>
      </c>
      <c r="B447" s="1" t="n">
        <v>44571</v>
      </c>
      <c r="C447" s="1" t="n">
        <v>45348</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1162-2022</t>
        </is>
      </c>
      <c r="B448" s="1" t="n">
        <v>44572</v>
      </c>
      <c r="C448" s="1" t="n">
        <v>45348</v>
      </c>
      <c r="D448" t="inlineStr">
        <is>
          <t>VÄSTMANLANDS LÄN</t>
        </is>
      </c>
      <c r="E448" t="inlineStr">
        <is>
          <t>SALA</t>
        </is>
      </c>
      <c r="G448" t="n">
        <v>1.2</v>
      </c>
      <c r="H448" t="n">
        <v>0</v>
      </c>
      <c r="I448" t="n">
        <v>0</v>
      </c>
      <c r="J448" t="n">
        <v>0</v>
      </c>
      <c r="K448" t="n">
        <v>0</v>
      </c>
      <c r="L448" t="n">
        <v>0</v>
      </c>
      <c r="M448" t="n">
        <v>0</v>
      </c>
      <c r="N448" t="n">
        <v>0</v>
      </c>
      <c r="O448" t="n">
        <v>0</v>
      </c>
      <c r="P448" t="n">
        <v>0</v>
      </c>
      <c r="Q448" t="n">
        <v>0</v>
      </c>
      <c r="R448" s="2" t="inlineStr"/>
    </row>
    <row r="449" ht="15" customHeight="1">
      <c r="A449" t="inlineStr">
        <is>
          <t>A 1985-2022</t>
        </is>
      </c>
      <c r="B449" s="1" t="n">
        <v>44575</v>
      </c>
      <c r="C449" s="1" t="n">
        <v>45348</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1993-2022</t>
        </is>
      </c>
      <c r="B450" s="1" t="n">
        <v>44575</v>
      </c>
      <c r="C450" s="1" t="n">
        <v>45348</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2529-2022</t>
        </is>
      </c>
      <c r="B451" s="1" t="n">
        <v>44579</v>
      </c>
      <c r="C451" s="1" t="n">
        <v>45348</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3050-2022</t>
        </is>
      </c>
      <c r="B452" s="1" t="n">
        <v>44582</v>
      </c>
      <c r="C452" s="1" t="n">
        <v>45348</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3201-2022</t>
        </is>
      </c>
      <c r="B453" s="1" t="n">
        <v>44582</v>
      </c>
      <c r="C453" s="1" t="n">
        <v>45348</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3204-2022</t>
        </is>
      </c>
      <c r="B454" s="1" t="n">
        <v>44582</v>
      </c>
      <c r="C454" s="1" t="n">
        <v>45348</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3647-2022</t>
        </is>
      </c>
      <c r="B455" s="1" t="n">
        <v>44586</v>
      </c>
      <c r="C455" s="1" t="n">
        <v>45348</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3888-2022</t>
        </is>
      </c>
      <c r="B456" s="1" t="n">
        <v>44587</v>
      </c>
      <c r="C456" s="1" t="n">
        <v>45348</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3920-2022</t>
        </is>
      </c>
      <c r="B457" s="1" t="n">
        <v>44587</v>
      </c>
      <c r="C457" s="1" t="n">
        <v>45348</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4237-2022</t>
        </is>
      </c>
      <c r="B458" s="1" t="n">
        <v>44588</v>
      </c>
      <c r="C458" s="1" t="n">
        <v>45348</v>
      </c>
      <c r="D458" t="inlineStr">
        <is>
          <t>VÄSTMANLANDS LÄN</t>
        </is>
      </c>
      <c r="E458" t="inlineStr">
        <is>
          <t>SALA</t>
        </is>
      </c>
      <c r="G458" t="n">
        <v>1.2</v>
      </c>
      <c r="H458" t="n">
        <v>0</v>
      </c>
      <c r="I458" t="n">
        <v>0</v>
      </c>
      <c r="J458" t="n">
        <v>0</v>
      </c>
      <c r="K458" t="n">
        <v>0</v>
      </c>
      <c r="L458" t="n">
        <v>0</v>
      </c>
      <c r="M458" t="n">
        <v>0</v>
      </c>
      <c r="N458" t="n">
        <v>0</v>
      </c>
      <c r="O458" t="n">
        <v>0</v>
      </c>
      <c r="P458" t="n">
        <v>0</v>
      </c>
      <c r="Q458" t="n">
        <v>0</v>
      </c>
      <c r="R458" s="2" t="inlineStr"/>
    </row>
    <row r="459" ht="15" customHeight="1">
      <c r="A459" t="inlineStr">
        <is>
          <t>A 4281-2022</t>
        </is>
      </c>
      <c r="B459" s="1" t="n">
        <v>44588</v>
      </c>
      <c r="C459" s="1" t="n">
        <v>45348</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4663-2022</t>
        </is>
      </c>
      <c r="B460" s="1" t="n">
        <v>44592</v>
      </c>
      <c r="C460" s="1" t="n">
        <v>45348</v>
      </c>
      <c r="D460" t="inlineStr">
        <is>
          <t>VÄSTMANLANDS LÄN</t>
        </is>
      </c>
      <c r="E460" t="inlineStr">
        <is>
          <t>SALA</t>
        </is>
      </c>
      <c r="G460" t="n">
        <v>2.5</v>
      </c>
      <c r="H460" t="n">
        <v>0</v>
      </c>
      <c r="I460" t="n">
        <v>0</v>
      </c>
      <c r="J460" t="n">
        <v>0</v>
      </c>
      <c r="K460" t="n">
        <v>0</v>
      </c>
      <c r="L460" t="n">
        <v>0</v>
      </c>
      <c r="M460" t="n">
        <v>0</v>
      </c>
      <c r="N460" t="n">
        <v>0</v>
      </c>
      <c r="O460" t="n">
        <v>0</v>
      </c>
      <c r="P460" t="n">
        <v>0</v>
      </c>
      <c r="Q460" t="n">
        <v>0</v>
      </c>
      <c r="R460" s="2" t="inlineStr"/>
    </row>
    <row r="461" ht="15" customHeight="1">
      <c r="A461" t="inlineStr">
        <is>
          <t>A 4779-2022</t>
        </is>
      </c>
      <c r="B461" s="1" t="n">
        <v>44592</v>
      </c>
      <c r="C461" s="1" t="n">
        <v>45348</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5335-2022</t>
        </is>
      </c>
      <c r="B462" s="1" t="n">
        <v>44594</v>
      </c>
      <c r="C462" s="1" t="n">
        <v>45348</v>
      </c>
      <c r="D462" t="inlineStr">
        <is>
          <t>VÄSTMANLANDS LÄN</t>
        </is>
      </c>
      <c r="E462" t="inlineStr">
        <is>
          <t>SALA</t>
        </is>
      </c>
      <c r="G462" t="n">
        <v>0.6</v>
      </c>
      <c r="H462" t="n">
        <v>0</v>
      </c>
      <c r="I462" t="n">
        <v>0</v>
      </c>
      <c r="J462" t="n">
        <v>0</v>
      </c>
      <c r="K462" t="n">
        <v>0</v>
      </c>
      <c r="L462" t="n">
        <v>0</v>
      </c>
      <c r="M462" t="n">
        <v>0</v>
      </c>
      <c r="N462" t="n">
        <v>0</v>
      </c>
      <c r="O462" t="n">
        <v>0</v>
      </c>
      <c r="P462" t="n">
        <v>0</v>
      </c>
      <c r="Q462" t="n">
        <v>0</v>
      </c>
      <c r="R462" s="2" t="inlineStr"/>
    </row>
    <row r="463" ht="15" customHeight="1">
      <c r="A463" t="inlineStr">
        <is>
          <t>A 5737-2022</t>
        </is>
      </c>
      <c r="B463" s="1" t="n">
        <v>44596</v>
      </c>
      <c r="C463" s="1" t="n">
        <v>45348</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5728-2022</t>
        </is>
      </c>
      <c r="B464" s="1" t="n">
        <v>44596</v>
      </c>
      <c r="C464" s="1" t="n">
        <v>45348</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6097-2022</t>
        </is>
      </c>
      <c r="B465" s="1" t="n">
        <v>44599</v>
      </c>
      <c r="C465" s="1" t="n">
        <v>45348</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6705-2022</t>
        </is>
      </c>
      <c r="B466" s="1" t="n">
        <v>44602</v>
      </c>
      <c r="C466" s="1" t="n">
        <v>45348</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6665-2022</t>
        </is>
      </c>
      <c r="B467" s="1" t="n">
        <v>44602</v>
      </c>
      <c r="C467" s="1" t="n">
        <v>45348</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6667-2022</t>
        </is>
      </c>
      <c r="B468" s="1" t="n">
        <v>44602</v>
      </c>
      <c r="C468" s="1" t="n">
        <v>45348</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6710-2022</t>
        </is>
      </c>
      <c r="B469" s="1" t="n">
        <v>44602</v>
      </c>
      <c r="C469" s="1" t="n">
        <v>45348</v>
      </c>
      <c r="D469" t="inlineStr">
        <is>
          <t>VÄSTMANLANDS LÄN</t>
        </is>
      </c>
      <c r="E469" t="inlineStr">
        <is>
          <t>SALA</t>
        </is>
      </c>
      <c r="G469" t="n">
        <v>6.4</v>
      </c>
      <c r="H469" t="n">
        <v>0</v>
      </c>
      <c r="I469" t="n">
        <v>0</v>
      </c>
      <c r="J469" t="n">
        <v>0</v>
      </c>
      <c r="K469" t="n">
        <v>0</v>
      </c>
      <c r="L469" t="n">
        <v>0</v>
      </c>
      <c r="M469" t="n">
        <v>0</v>
      </c>
      <c r="N469" t="n">
        <v>0</v>
      </c>
      <c r="O469" t="n">
        <v>0</v>
      </c>
      <c r="P469" t="n">
        <v>0</v>
      </c>
      <c r="Q469" t="n">
        <v>0</v>
      </c>
      <c r="R469" s="2" t="inlineStr"/>
    </row>
    <row r="470" ht="15" customHeight="1">
      <c r="A470" t="inlineStr">
        <is>
          <t>A 6957-2022</t>
        </is>
      </c>
      <c r="B470" s="1" t="n">
        <v>44603</v>
      </c>
      <c r="C470" s="1" t="n">
        <v>45348</v>
      </c>
      <c r="D470" t="inlineStr">
        <is>
          <t>VÄSTMANLANDS LÄN</t>
        </is>
      </c>
      <c r="E470" t="inlineStr">
        <is>
          <t>SALA</t>
        </is>
      </c>
      <c r="G470" t="n">
        <v>4.5</v>
      </c>
      <c r="H470" t="n">
        <v>0</v>
      </c>
      <c r="I470" t="n">
        <v>0</v>
      </c>
      <c r="J470" t="n">
        <v>0</v>
      </c>
      <c r="K470" t="n">
        <v>0</v>
      </c>
      <c r="L470" t="n">
        <v>0</v>
      </c>
      <c r="M470" t="n">
        <v>0</v>
      </c>
      <c r="N470" t="n">
        <v>0</v>
      </c>
      <c r="O470" t="n">
        <v>0</v>
      </c>
      <c r="P470" t="n">
        <v>0</v>
      </c>
      <c r="Q470" t="n">
        <v>0</v>
      </c>
      <c r="R470" s="2" t="inlineStr"/>
    </row>
    <row r="471" ht="15" customHeight="1">
      <c r="A471" t="inlineStr">
        <is>
          <t>A 7169-2022</t>
        </is>
      </c>
      <c r="B471" s="1" t="n">
        <v>44604</v>
      </c>
      <c r="C471" s="1" t="n">
        <v>45348</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8130-2022</t>
        </is>
      </c>
      <c r="B472" s="1" t="n">
        <v>44609</v>
      </c>
      <c r="C472" s="1" t="n">
        <v>45348</v>
      </c>
      <c r="D472" t="inlineStr">
        <is>
          <t>VÄSTMANLANDS LÄN</t>
        </is>
      </c>
      <c r="E472" t="inlineStr">
        <is>
          <t>SALA</t>
        </is>
      </c>
      <c r="G472" t="n">
        <v>3.5</v>
      </c>
      <c r="H472" t="n">
        <v>0</v>
      </c>
      <c r="I472" t="n">
        <v>0</v>
      </c>
      <c r="J472" t="n">
        <v>0</v>
      </c>
      <c r="K472" t="n">
        <v>0</v>
      </c>
      <c r="L472" t="n">
        <v>0</v>
      </c>
      <c r="M472" t="n">
        <v>0</v>
      </c>
      <c r="N472" t="n">
        <v>0</v>
      </c>
      <c r="O472" t="n">
        <v>0</v>
      </c>
      <c r="P472" t="n">
        <v>0</v>
      </c>
      <c r="Q472" t="n">
        <v>0</v>
      </c>
      <c r="R472" s="2" t="inlineStr"/>
    </row>
    <row r="473" ht="15" customHeight="1">
      <c r="A473" t="inlineStr">
        <is>
          <t>A 9048-2022</t>
        </is>
      </c>
      <c r="B473" s="1" t="n">
        <v>44615</v>
      </c>
      <c r="C473" s="1" t="n">
        <v>45348</v>
      </c>
      <c r="D473" t="inlineStr">
        <is>
          <t>VÄSTMANLANDS LÄN</t>
        </is>
      </c>
      <c r="E473" t="inlineStr">
        <is>
          <t>SALA</t>
        </is>
      </c>
      <c r="G473" t="n">
        <v>5.2</v>
      </c>
      <c r="H473" t="n">
        <v>0</v>
      </c>
      <c r="I473" t="n">
        <v>0</v>
      </c>
      <c r="J473" t="n">
        <v>0</v>
      </c>
      <c r="K473" t="n">
        <v>0</v>
      </c>
      <c r="L473" t="n">
        <v>0</v>
      </c>
      <c r="M473" t="n">
        <v>0</v>
      </c>
      <c r="N473" t="n">
        <v>0</v>
      </c>
      <c r="O473" t="n">
        <v>0</v>
      </c>
      <c r="P473" t="n">
        <v>0</v>
      </c>
      <c r="Q473" t="n">
        <v>0</v>
      </c>
      <c r="R473" s="2" t="inlineStr"/>
    </row>
    <row r="474" ht="15" customHeight="1">
      <c r="A474" t="inlineStr">
        <is>
          <t>A 9050-2022</t>
        </is>
      </c>
      <c r="B474" s="1" t="n">
        <v>44615</v>
      </c>
      <c r="C474" s="1" t="n">
        <v>45348</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9075-2022</t>
        </is>
      </c>
      <c r="B475" s="1" t="n">
        <v>44615</v>
      </c>
      <c r="C475" s="1" t="n">
        <v>45348</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9335-2022</t>
        </is>
      </c>
      <c r="B476" s="1" t="n">
        <v>44616</v>
      </c>
      <c r="C476" s="1" t="n">
        <v>45348</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9856-2022</t>
        </is>
      </c>
      <c r="B477" s="1" t="n">
        <v>44620</v>
      </c>
      <c r="C477" s="1" t="n">
        <v>45348</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10083-2022</t>
        </is>
      </c>
      <c r="B478" s="1" t="n">
        <v>44621</v>
      </c>
      <c r="C478" s="1" t="n">
        <v>45348</v>
      </c>
      <c r="D478" t="inlineStr">
        <is>
          <t>VÄSTMANLANDS LÄN</t>
        </is>
      </c>
      <c r="E478" t="inlineStr">
        <is>
          <t>SALA</t>
        </is>
      </c>
      <c r="G478" t="n">
        <v>7.8</v>
      </c>
      <c r="H478" t="n">
        <v>0</v>
      </c>
      <c r="I478" t="n">
        <v>0</v>
      </c>
      <c r="J478" t="n">
        <v>0</v>
      </c>
      <c r="K478" t="n">
        <v>0</v>
      </c>
      <c r="L478" t="n">
        <v>0</v>
      </c>
      <c r="M478" t="n">
        <v>0</v>
      </c>
      <c r="N478" t="n">
        <v>0</v>
      </c>
      <c r="O478" t="n">
        <v>0</v>
      </c>
      <c r="P478" t="n">
        <v>0</v>
      </c>
      <c r="Q478" t="n">
        <v>0</v>
      </c>
      <c r="R478" s="2" t="inlineStr"/>
    </row>
    <row r="479" ht="15" customHeight="1">
      <c r="A479" t="inlineStr">
        <is>
          <t>A 10168-2022</t>
        </is>
      </c>
      <c r="B479" s="1" t="n">
        <v>44622</v>
      </c>
      <c r="C479" s="1" t="n">
        <v>45348</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10434-2022</t>
        </is>
      </c>
      <c r="B480" s="1" t="n">
        <v>44623</v>
      </c>
      <c r="C480" s="1" t="n">
        <v>45348</v>
      </c>
      <c r="D480" t="inlineStr">
        <is>
          <t>VÄSTMANLANDS LÄN</t>
        </is>
      </c>
      <c r="E480" t="inlineStr">
        <is>
          <t>SALA</t>
        </is>
      </c>
      <c r="G480" t="n">
        <v>5.5</v>
      </c>
      <c r="H480" t="n">
        <v>0</v>
      </c>
      <c r="I480" t="n">
        <v>0</v>
      </c>
      <c r="J480" t="n">
        <v>0</v>
      </c>
      <c r="K480" t="n">
        <v>0</v>
      </c>
      <c r="L480" t="n">
        <v>0</v>
      </c>
      <c r="M480" t="n">
        <v>0</v>
      </c>
      <c r="N480" t="n">
        <v>0</v>
      </c>
      <c r="O480" t="n">
        <v>0</v>
      </c>
      <c r="P480" t="n">
        <v>0</v>
      </c>
      <c r="Q480" t="n">
        <v>0</v>
      </c>
      <c r="R480" s="2" t="inlineStr"/>
    </row>
    <row r="481" ht="15" customHeight="1">
      <c r="A481" t="inlineStr">
        <is>
          <t>A 10585-2022</t>
        </is>
      </c>
      <c r="B481" s="1" t="n">
        <v>44624</v>
      </c>
      <c r="C481" s="1" t="n">
        <v>45348</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10579-2022</t>
        </is>
      </c>
      <c r="B482" s="1" t="n">
        <v>44624</v>
      </c>
      <c r="C482" s="1" t="n">
        <v>45348</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11370-2022</t>
        </is>
      </c>
      <c r="B483" s="1" t="n">
        <v>44630</v>
      </c>
      <c r="C483" s="1" t="n">
        <v>45348</v>
      </c>
      <c r="D483" t="inlineStr">
        <is>
          <t>VÄSTMANLANDS LÄN</t>
        </is>
      </c>
      <c r="E483" t="inlineStr">
        <is>
          <t>SALA</t>
        </is>
      </c>
      <c r="G483" t="n">
        <v>4.3</v>
      </c>
      <c r="H483" t="n">
        <v>0</v>
      </c>
      <c r="I483" t="n">
        <v>0</v>
      </c>
      <c r="J483" t="n">
        <v>0</v>
      </c>
      <c r="K483" t="n">
        <v>0</v>
      </c>
      <c r="L483" t="n">
        <v>0</v>
      </c>
      <c r="M483" t="n">
        <v>0</v>
      </c>
      <c r="N483" t="n">
        <v>0</v>
      </c>
      <c r="O483" t="n">
        <v>0</v>
      </c>
      <c r="P483" t="n">
        <v>0</v>
      </c>
      <c r="Q483" t="n">
        <v>0</v>
      </c>
      <c r="R483" s="2" t="inlineStr"/>
    </row>
    <row r="484" ht="15" customHeight="1">
      <c r="A484" t="inlineStr">
        <is>
          <t>A 12245-2022</t>
        </is>
      </c>
      <c r="B484" s="1" t="n">
        <v>44637</v>
      </c>
      <c r="C484" s="1" t="n">
        <v>45348</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13608-2022</t>
        </is>
      </c>
      <c r="B485" s="1" t="n">
        <v>44648</v>
      </c>
      <c r="C485" s="1" t="n">
        <v>45348</v>
      </c>
      <c r="D485" t="inlineStr">
        <is>
          <t>VÄSTMANLANDS LÄN</t>
        </is>
      </c>
      <c r="E485" t="inlineStr">
        <is>
          <t>SALA</t>
        </is>
      </c>
      <c r="G485" t="n">
        <v>5.9</v>
      </c>
      <c r="H485" t="n">
        <v>0</v>
      </c>
      <c r="I485" t="n">
        <v>0</v>
      </c>
      <c r="J485" t="n">
        <v>0</v>
      </c>
      <c r="K485" t="n">
        <v>0</v>
      </c>
      <c r="L485" t="n">
        <v>0</v>
      </c>
      <c r="M485" t="n">
        <v>0</v>
      </c>
      <c r="N485" t="n">
        <v>0</v>
      </c>
      <c r="O485" t="n">
        <v>0</v>
      </c>
      <c r="P485" t="n">
        <v>0</v>
      </c>
      <c r="Q485" t="n">
        <v>0</v>
      </c>
      <c r="R485" s="2" t="inlineStr"/>
    </row>
    <row r="486" ht="15" customHeight="1">
      <c r="A486" t="inlineStr">
        <is>
          <t>A 13962-2022</t>
        </is>
      </c>
      <c r="B486" s="1" t="n">
        <v>44650</v>
      </c>
      <c r="C486" s="1" t="n">
        <v>45348</v>
      </c>
      <c r="D486" t="inlineStr">
        <is>
          <t>VÄSTMANLANDS LÄN</t>
        </is>
      </c>
      <c r="E486" t="inlineStr">
        <is>
          <t>SALA</t>
        </is>
      </c>
      <c r="G486" t="n">
        <v>2.3</v>
      </c>
      <c r="H486" t="n">
        <v>0</v>
      </c>
      <c r="I486" t="n">
        <v>0</v>
      </c>
      <c r="J486" t="n">
        <v>0</v>
      </c>
      <c r="K486" t="n">
        <v>0</v>
      </c>
      <c r="L486" t="n">
        <v>0</v>
      </c>
      <c r="M486" t="n">
        <v>0</v>
      </c>
      <c r="N486" t="n">
        <v>0</v>
      </c>
      <c r="O486" t="n">
        <v>0</v>
      </c>
      <c r="P486" t="n">
        <v>0</v>
      </c>
      <c r="Q486" t="n">
        <v>0</v>
      </c>
      <c r="R486" s="2" t="inlineStr"/>
    </row>
    <row r="487" ht="15" customHeight="1">
      <c r="A487" t="inlineStr">
        <is>
          <t>A 15850-2022</t>
        </is>
      </c>
      <c r="B487" s="1" t="n">
        <v>44664</v>
      </c>
      <c r="C487" s="1" t="n">
        <v>45348</v>
      </c>
      <c r="D487" t="inlineStr">
        <is>
          <t>VÄSTMANLANDS LÄN</t>
        </is>
      </c>
      <c r="E487" t="inlineStr">
        <is>
          <t>SALA</t>
        </is>
      </c>
      <c r="G487" t="n">
        <v>1</v>
      </c>
      <c r="H487" t="n">
        <v>0</v>
      </c>
      <c r="I487" t="n">
        <v>0</v>
      </c>
      <c r="J487" t="n">
        <v>0</v>
      </c>
      <c r="K487" t="n">
        <v>0</v>
      </c>
      <c r="L487" t="n">
        <v>0</v>
      </c>
      <c r="M487" t="n">
        <v>0</v>
      </c>
      <c r="N487" t="n">
        <v>0</v>
      </c>
      <c r="O487" t="n">
        <v>0</v>
      </c>
      <c r="P487" t="n">
        <v>0</v>
      </c>
      <c r="Q487" t="n">
        <v>0</v>
      </c>
      <c r="R487" s="2" t="inlineStr"/>
    </row>
    <row r="488" ht="15" customHeight="1">
      <c r="A488" t="inlineStr">
        <is>
          <t>A 16255-2022</t>
        </is>
      </c>
      <c r="B488" s="1" t="n">
        <v>44670</v>
      </c>
      <c r="C488" s="1" t="n">
        <v>45348</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16404-2022</t>
        </is>
      </c>
      <c r="B489" s="1" t="n">
        <v>44671</v>
      </c>
      <c r="C489" s="1" t="n">
        <v>45348</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16768-2022</t>
        </is>
      </c>
      <c r="B490" s="1" t="n">
        <v>44673</v>
      </c>
      <c r="C490" s="1" t="n">
        <v>45348</v>
      </c>
      <c r="D490" t="inlineStr">
        <is>
          <t>VÄSTMANLANDS LÄN</t>
        </is>
      </c>
      <c r="E490" t="inlineStr">
        <is>
          <t>SALA</t>
        </is>
      </c>
      <c r="G490" t="n">
        <v>4.7</v>
      </c>
      <c r="H490" t="n">
        <v>0</v>
      </c>
      <c r="I490" t="n">
        <v>0</v>
      </c>
      <c r="J490" t="n">
        <v>0</v>
      </c>
      <c r="K490" t="n">
        <v>0</v>
      </c>
      <c r="L490" t="n">
        <v>0</v>
      </c>
      <c r="M490" t="n">
        <v>0</v>
      </c>
      <c r="N490" t="n">
        <v>0</v>
      </c>
      <c r="O490" t="n">
        <v>0</v>
      </c>
      <c r="P490" t="n">
        <v>0</v>
      </c>
      <c r="Q490" t="n">
        <v>0</v>
      </c>
      <c r="R490" s="2" t="inlineStr"/>
    </row>
    <row r="491" ht="15" customHeight="1">
      <c r="A491" t="inlineStr">
        <is>
          <t>A 16905-2022</t>
        </is>
      </c>
      <c r="B491" s="1" t="n">
        <v>44676</v>
      </c>
      <c r="C491" s="1" t="n">
        <v>45348</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17897-2022</t>
        </is>
      </c>
      <c r="B492" s="1" t="n">
        <v>44683</v>
      </c>
      <c r="C492" s="1" t="n">
        <v>45348</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19058-2022</t>
        </is>
      </c>
      <c r="B493" s="1" t="n">
        <v>44691</v>
      </c>
      <c r="C493" s="1" t="n">
        <v>45348</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19065-2022</t>
        </is>
      </c>
      <c r="B494" s="1" t="n">
        <v>44691</v>
      </c>
      <c r="C494" s="1" t="n">
        <v>45348</v>
      </c>
      <c r="D494" t="inlineStr">
        <is>
          <t>VÄSTMANLANDS LÄN</t>
        </is>
      </c>
      <c r="E494" t="inlineStr">
        <is>
          <t>SALA</t>
        </is>
      </c>
      <c r="G494" t="n">
        <v>3.4</v>
      </c>
      <c r="H494" t="n">
        <v>0</v>
      </c>
      <c r="I494" t="n">
        <v>0</v>
      </c>
      <c r="J494" t="n">
        <v>0</v>
      </c>
      <c r="K494" t="n">
        <v>0</v>
      </c>
      <c r="L494" t="n">
        <v>0</v>
      </c>
      <c r="M494" t="n">
        <v>0</v>
      </c>
      <c r="N494" t="n">
        <v>0</v>
      </c>
      <c r="O494" t="n">
        <v>0</v>
      </c>
      <c r="P494" t="n">
        <v>0</v>
      </c>
      <c r="Q494" t="n">
        <v>0</v>
      </c>
      <c r="R494" s="2" t="inlineStr"/>
    </row>
    <row r="495" ht="15" customHeight="1">
      <c r="A495" t="inlineStr">
        <is>
          <t>A 19751-2022</t>
        </is>
      </c>
      <c r="B495" s="1" t="n">
        <v>44694</v>
      </c>
      <c r="C495" s="1" t="n">
        <v>45348</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19760-2022</t>
        </is>
      </c>
      <c r="B496" s="1" t="n">
        <v>44694</v>
      </c>
      <c r="C496" s="1" t="n">
        <v>45348</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20344-2022</t>
        </is>
      </c>
      <c r="B497" s="1" t="n">
        <v>44699</v>
      </c>
      <c r="C497" s="1" t="n">
        <v>45348</v>
      </c>
      <c r="D497" t="inlineStr">
        <is>
          <t>VÄSTMANLANDS LÄN</t>
        </is>
      </c>
      <c r="E497" t="inlineStr">
        <is>
          <t>SALA</t>
        </is>
      </c>
      <c r="G497" t="n">
        <v>1.7</v>
      </c>
      <c r="H497" t="n">
        <v>0</v>
      </c>
      <c r="I497" t="n">
        <v>0</v>
      </c>
      <c r="J497" t="n">
        <v>0</v>
      </c>
      <c r="K497" t="n">
        <v>0</v>
      </c>
      <c r="L497" t="n">
        <v>0</v>
      </c>
      <c r="M497" t="n">
        <v>0</v>
      </c>
      <c r="N497" t="n">
        <v>0</v>
      </c>
      <c r="O497" t="n">
        <v>0</v>
      </c>
      <c r="P497" t="n">
        <v>0</v>
      </c>
      <c r="Q497" t="n">
        <v>0</v>
      </c>
      <c r="R497" s="2" t="inlineStr"/>
    </row>
    <row r="498" ht="15" customHeight="1">
      <c r="A498" t="inlineStr">
        <is>
          <t>A 20352-2022</t>
        </is>
      </c>
      <c r="B498" s="1" t="n">
        <v>44699</v>
      </c>
      <c r="C498" s="1" t="n">
        <v>45348</v>
      </c>
      <c r="D498" t="inlineStr">
        <is>
          <t>VÄSTMANLANDS LÄN</t>
        </is>
      </c>
      <c r="E498" t="inlineStr">
        <is>
          <t>SALA</t>
        </is>
      </c>
      <c r="G498" t="n">
        <v>1.3</v>
      </c>
      <c r="H498" t="n">
        <v>0</v>
      </c>
      <c r="I498" t="n">
        <v>0</v>
      </c>
      <c r="J498" t="n">
        <v>0</v>
      </c>
      <c r="K498" t="n">
        <v>0</v>
      </c>
      <c r="L498" t="n">
        <v>0</v>
      </c>
      <c r="M498" t="n">
        <v>0</v>
      </c>
      <c r="N498" t="n">
        <v>0</v>
      </c>
      <c r="O498" t="n">
        <v>0</v>
      </c>
      <c r="P498" t="n">
        <v>0</v>
      </c>
      <c r="Q498" t="n">
        <v>0</v>
      </c>
      <c r="R498" s="2" t="inlineStr"/>
    </row>
    <row r="499" ht="15" customHeight="1">
      <c r="A499" t="inlineStr">
        <is>
          <t>A 20875-2022</t>
        </is>
      </c>
      <c r="B499" s="1" t="n">
        <v>44701</v>
      </c>
      <c r="C499" s="1" t="n">
        <v>45348</v>
      </c>
      <c r="D499" t="inlineStr">
        <is>
          <t>VÄSTMANLANDS LÄN</t>
        </is>
      </c>
      <c r="E499" t="inlineStr">
        <is>
          <t>SALA</t>
        </is>
      </c>
      <c r="G499" t="n">
        <v>2.6</v>
      </c>
      <c r="H499" t="n">
        <v>0</v>
      </c>
      <c r="I499" t="n">
        <v>0</v>
      </c>
      <c r="J499" t="n">
        <v>0</v>
      </c>
      <c r="K499" t="n">
        <v>0</v>
      </c>
      <c r="L499" t="n">
        <v>0</v>
      </c>
      <c r="M499" t="n">
        <v>0</v>
      </c>
      <c r="N499" t="n">
        <v>0</v>
      </c>
      <c r="O499" t="n">
        <v>0</v>
      </c>
      <c r="P499" t="n">
        <v>0</v>
      </c>
      <c r="Q499" t="n">
        <v>0</v>
      </c>
      <c r="R499" s="2" t="inlineStr"/>
    </row>
    <row r="500" ht="15" customHeight="1">
      <c r="A500" t="inlineStr">
        <is>
          <t>A 21055-2022</t>
        </is>
      </c>
      <c r="B500" s="1" t="n">
        <v>44704</v>
      </c>
      <c r="C500" s="1" t="n">
        <v>45348</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21053-2022</t>
        </is>
      </c>
      <c r="B501" s="1" t="n">
        <v>44704</v>
      </c>
      <c r="C501" s="1" t="n">
        <v>45348</v>
      </c>
      <c r="D501" t="inlineStr">
        <is>
          <t>VÄSTMANLANDS LÄN</t>
        </is>
      </c>
      <c r="E501" t="inlineStr">
        <is>
          <t>SALA</t>
        </is>
      </c>
      <c r="G501" t="n">
        <v>2</v>
      </c>
      <c r="H501" t="n">
        <v>0</v>
      </c>
      <c r="I501" t="n">
        <v>0</v>
      </c>
      <c r="J501" t="n">
        <v>0</v>
      </c>
      <c r="K501" t="n">
        <v>0</v>
      </c>
      <c r="L501" t="n">
        <v>0</v>
      </c>
      <c r="M501" t="n">
        <v>0</v>
      </c>
      <c r="N501" t="n">
        <v>0</v>
      </c>
      <c r="O501" t="n">
        <v>0</v>
      </c>
      <c r="P501" t="n">
        <v>0</v>
      </c>
      <c r="Q501" t="n">
        <v>0</v>
      </c>
      <c r="R501" s="2" t="inlineStr"/>
    </row>
    <row r="502" ht="15" customHeight="1">
      <c r="A502" t="inlineStr">
        <is>
          <t>A 21159-2022</t>
        </is>
      </c>
      <c r="B502" s="1" t="n">
        <v>44704</v>
      </c>
      <c r="C502" s="1" t="n">
        <v>45348</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21777-2022</t>
        </is>
      </c>
      <c r="B503" s="1" t="n">
        <v>44708</v>
      </c>
      <c r="C503" s="1" t="n">
        <v>45348</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22397-2022</t>
        </is>
      </c>
      <c r="B504" s="1" t="n">
        <v>44713</v>
      </c>
      <c r="C504" s="1" t="n">
        <v>45348</v>
      </c>
      <c r="D504" t="inlineStr">
        <is>
          <t>VÄSTMANLANDS LÄN</t>
        </is>
      </c>
      <c r="E504" t="inlineStr">
        <is>
          <t>SALA</t>
        </is>
      </c>
      <c r="G504" t="n">
        <v>2.1</v>
      </c>
      <c r="H504" t="n">
        <v>0</v>
      </c>
      <c r="I504" t="n">
        <v>0</v>
      </c>
      <c r="J504" t="n">
        <v>0</v>
      </c>
      <c r="K504" t="n">
        <v>0</v>
      </c>
      <c r="L504" t="n">
        <v>0</v>
      </c>
      <c r="M504" t="n">
        <v>0</v>
      </c>
      <c r="N504" t="n">
        <v>0</v>
      </c>
      <c r="O504" t="n">
        <v>0</v>
      </c>
      <c r="P504" t="n">
        <v>0</v>
      </c>
      <c r="Q504" t="n">
        <v>0</v>
      </c>
      <c r="R504" s="2" t="inlineStr"/>
    </row>
    <row r="505" ht="15" customHeight="1">
      <c r="A505" t="inlineStr">
        <is>
          <t>A 22575-2022</t>
        </is>
      </c>
      <c r="B505" s="1" t="n">
        <v>44713</v>
      </c>
      <c r="C505" s="1" t="n">
        <v>45348</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22562-2022</t>
        </is>
      </c>
      <c r="B506" s="1" t="n">
        <v>44713</v>
      </c>
      <c r="C506" s="1" t="n">
        <v>45348</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22811-2022</t>
        </is>
      </c>
      <c r="B507" s="1" t="n">
        <v>44715</v>
      </c>
      <c r="C507" s="1" t="n">
        <v>45348</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23119-2022</t>
        </is>
      </c>
      <c r="B508" s="1" t="n">
        <v>44719</v>
      </c>
      <c r="C508" s="1" t="n">
        <v>45348</v>
      </c>
      <c r="D508" t="inlineStr">
        <is>
          <t>VÄSTMANLANDS LÄN</t>
        </is>
      </c>
      <c r="E508" t="inlineStr">
        <is>
          <t>SALA</t>
        </is>
      </c>
      <c r="G508" t="n">
        <v>7</v>
      </c>
      <c r="H508" t="n">
        <v>0</v>
      </c>
      <c r="I508" t="n">
        <v>0</v>
      </c>
      <c r="J508" t="n">
        <v>0</v>
      </c>
      <c r="K508" t="n">
        <v>0</v>
      </c>
      <c r="L508" t="n">
        <v>0</v>
      </c>
      <c r="M508" t="n">
        <v>0</v>
      </c>
      <c r="N508" t="n">
        <v>0</v>
      </c>
      <c r="O508" t="n">
        <v>0</v>
      </c>
      <c r="P508" t="n">
        <v>0</v>
      </c>
      <c r="Q508" t="n">
        <v>0</v>
      </c>
      <c r="R508" s="2" t="inlineStr"/>
    </row>
    <row r="509" ht="15" customHeight="1">
      <c r="A509" t="inlineStr">
        <is>
          <t>A 23181-2022</t>
        </is>
      </c>
      <c r="B509" s="1" t="n">
        <v>44719</v>
      </c>
      <c r="C509" s="1" t="n">
        <v>45348</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23180-2022</t>
        </is>
      </c>
      <c r="B510" s="1" t="n">
        <v>44719</v>
      </c>
      <c r="C510" s="1" t="n">
        <v>45348</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23182-2022</t>
        </is>
      </c>
      <c r="B511" s="1" t="n">
        <v>44719</v>
      </c>
      <c r="C511" s="1" t="n">
        <v>45348</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23757-2022</t>
        </is>
      </c>
      <c r="B512" s="1" t="n">
        <v>44722</v>
      </c>
      <c r="C512" s="1" t="n">
        <v>45348</v>
      </c>
      <c r="D512" t="inlineStr">
        <is>
          <t>VÄSTMANLANDS LÄN</t>
        </is>
      </c>
      <c r="E512" t="inlineStr">
        <is>
          <t>SALA</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23847-2022</t>
        </is>
      </c>
      <c r="B513" s="1" t="n">
        <v>44722</v>
      </c>
      <c r="C513" s="1" t="n">
        <v>45348</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24818-2022</t>
        </is>
      </c>
      <c r="B514" s="1" t="n">
        <v>44727</v>
      </c>
      <c r="C514" s="1" t="n">
        <v>45348</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24835-2022</t>
        </is>
      </c>
      <c r="B515" s="1" t="n">
        <v>44727</v>
      </c>
      <c r="C515" s="1" t="n">
        <v>45348</v>
      </c>
      <c r="D515" t="inlineStr">
        <is>
          <t>VÄSTMANLANDS LÄN</t>
        </is>
      </c>
      <c r="E515" t="inlineStr">
        <is>
          <t>SALA</t>
        </is>
      </c>
      <c r="G515" t="n">
        <v>5.8</v>
      </c>
      <c r="H515" t="n">
        <v>0</v>
      </c>
      <c r="I515" t="n">
        <v>0</v>
      </c>
      <c r="J515" t="n">
        <v>0</v>
      </c>
      <c r="K515" t="n">
        <v>0</v>
      </c>
      <c r="L515" t="n">
        <v>0</v>
      </c>
      <c r="M515" t="n">
        <v>0</v>
      </c>
      <c r="N515" t="n">
        <v>0</v>
      </c>
      <c r="O515" t="n">
        <v>0</v>
      </c>
      <c r="P515" t="n">
        <v>0</v>
      </c>
      <c r="Q515" t="n">
        <v>0</v>
      </c>
      <c r="R515" s="2" t="inlineStr"/>
    </row>
    <row r="516" ht="15" customHeight="1">
      <c r="A516" t="inlineStr">
        <is>
          <t>A 24882-2022</t>
        </is>
      </c>
      <c r="B516" s="1" t="n">
        <v>44728</v>
      </c>
      <c r="C516" s="1" t="n">
        <v>45348</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25603-2022</t>
        </is>
      </c>
      <c r="B517" s="1" t="n">
        <v>44732</v>
      </c>
      <c r="C517" s="1" t="n">
        <v>45348</v>
      </c>
      <c r="D517" t="inlineStr">
        <is>
          <t>VÄSTMANLANDS LÄN</t>
        </is>
      </c>
      <c r="E517" t="inlineStr">
        <is>
          <t>SALA</t>
        </is>
      </c>
      <c r="G517" t="n">
        <v>2</v>
      </c>
      <c r="H517" t="n">
        <v>0</v>
      </c>
      <c r="I517" t="n">
        <v>0</v>
      </c>
      <c r="J517" t="n">
        <v>0</v>
      </c>
      <c r="K517" t="n">
        <v>0</v>
      </c>
      <c r="L517" t="n">
        <v>0</v>
      </c>
      <c r="M517" t="n">
        <v>0</v>
      </c>
      <c r="N517" t="n">
        <v>0</v>
      </c>
      <c r="O517" t="n">
        <v>0</v>
      </c>
      <c r="P517" t="n">
        <v>0</v>
      </c>
      <c r="Q517" t="n">
        <v>0</v>
      </c>
      <c r="R517" s="2" t="inlineStr"/>
    </row>
    <row r="518" ht="15" customHeight="1">
      <c r="A518" t="inlineStr">
        <is>
          <t>A 25748-2022</t>
        </is>
      </c>
      <c r="B518" s="1" t="n">
        <v>44732</v>
      </c>
      <c r="C518" s="1" t="n">
        <v>45348</v>
      </c>
      <c r="D518" t="inlineStr">
        <is>
          <t>VÄSTMANLANDS LÄN</t>
        </is>
      </c>
      <c r="E518" t="inlineStr">
        <is>
          <t>SALA</t>
        </is>
      </c>
      <c r="G518" t="n">
        <v>7.7</v>
      </c>
      <c r="H518" t="n">
        <v>0</v>
      </c>
      <c r="I518" t="n">
        <v>0</v>
      </c>
      <c r="J518" t="n">
        <v>0</v>
      </c>
      <c r="K518" t="n">
        <v>0</v>
      </c>
      <c r="L518" t="n">
        <v>0</v>
      </c>
      <c r="M518" t="n">
        <v>0</v>
      </c>
      <c r="N518" t="n">
        <v>0</v>
      </c>
      <c r="O518" t="n">
        <v>0</v>
      </c>
      <c r="P518" t="n">
        <v>0</v>
      </c>
      <c r="Q518" t="n">
        <v>0</v>
      </c>
      <c r="R518" s="2" t="inlineStr"/>
    </row>
    <row r="519" ht="15" customHeight="1">
      <c r="A519" t="inlineStr">
        <is>
          <t>A 27229-2022</t>
        </is>
      </c>
      <c r="B519" s="1" t="n">
        <v>44741</v>
      </c>
      <c r="C519" s="1" t="n">
        <v>45348</v>
      </c>
      <c r="D519" t="inlineStr">
        <is>
          <t>VÄSTMANLANDS LÄN</t>
        </is>
      </c>
      <c r="E519" t="inlineStr">
        <is>
          <t>SALA</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27240-2022</t>
        </is>
      </c>
      <c r="B520" s="1" t="n">
        <v>44741</v>
      </c>
      <c r="C520" s="1" t="n">
        <v>45348</v>
      </c>
      <c r="D520" t="inlineStr">
        <is>
          <t>VÄSTMANLANDS LÄN</t>
        </is>
      </c>
      <c r="E520" t="inlineStr">
        <is>
          <t>SALA</t>
        </is>
      </c>
      <c r="F520" t="inlineStr">
        <is>
          <t>Sveaskog</t>
        </is>
      </c>
      <c r="G520" t="n">
        <v>2.6</v>
      </c>
      <c r="H520" t="n">
        <v>0</v>
      </c>
      <c r="I520" t="n">
        <v>0</v>
      </c>
      <c r="J520" t="n">
        <v>0</v>
      </c>
      <c r="K520" t="n">
        <v>0</v>
      </c>
      <c r="L520" t="n">
        <v>0</v>
      </c>
      <c r="M520" t="n">
        <v>0</v>
      </c>
      <c r="N520" t="n">
        <v>0</v>
      </c>
      <c r="O520" t="n">
        <v>0</v>
      </c>
      <c r="P520" t="n">
        <v>0</v>
      </c>
      <c r="Q520" t="n">
        <v>0</v>
      </c>
      <c r="R520" s="2" t="inlineStr"/>
    </row>
    <row r="521" ht="15" customHeight="1">
      <c r="A521" t="inlineStr">
        <is>
          <t>A 27446-2022</t>
        </is>
      </c>
      <c r="B521" s="1" t="n">
        <v>44742</v>
      </c>
      <c r="C521" s="1" t="n">
        <v>45348</v>
      </c>
      <c r="D521" t="inlineStr">
        <is>
          <t>VÄSTMANLANDS LÄN</t>
        </is>
      </c>
      <c r="E521" t="inlineStr">
        <is>
          <t>SALA</t>
        </is>
      </c>
      <c r="G521" t="n">
        <v>6.7</v>
      </c>
      <c r="H521" t="n">
        <v>0</v>
      </c>
      <c r="I521" t="n">
        <v>0</v>
      </c>
      <c r="J521" t="n">
        <v>0</v>
      </c>
      <c r="K521" t="n">
        <v>0</v>
      </c>
      <c r="L521" t="n">
        <v>0</v>
      </c>
      <c r="M521" t="n">
        <v>0</v>
      </c>
      <c r="N521" t="n">
        <v>0</v>
      </c>
      <c r="O521" t="n">
        <v>0</v>
      </c>
      <c r="P521" t="n">
        <v>0</v>
      </c>
      <c r="Q521" t="n">
        <v>0</v>
      </c>
      <c r="R521" s="2" t="inlineStr"/>
    </row>
    <row r="522" ht="15" customHeight="1">
      <c r="A522" t="inlineStr">
        <is>
          <t>A 27528-2022</t>
        </is>
      </c>
      <c r="B522" s="1" t="n">
        <v>44742</v>
      </c>
      <c r="C522" s="1" t="n">
        <v>45348</v>
      </c>
      <c r="D522" t="inlineStr">
        <is>
          <t>VÄSTMANLANDS LÄN</t>
        </is>
      </c>
      <c r="E522" t="inlineStr">
        <is>
          <t>SALA</t>
        </is>
      </c>
      <c r="G522" t="n">
        <v>3.2</v>
      </c>
      <c r="H522" t="n">
        <v>0</v>
      </c>
      <c r="I522" t="n">
        <v>0</v>
      </c>
      <c r="J522" t="n">
        <v>0</v>
      </c>
      <c r="K522" t="n">
        <v>0</v>
      </c>
      <c r="L522" t="n">
        <v>0</v>
      </c>
      <c r="M522" t="n">
        <v>0</v>
      </c>
      <c r="N522" t="n">
        <v>0</v>
      </c>
      <c r="O522" t="n">
        <v>0</v>
      </c>
      <c r="P522" t="n">
        <v>0</v>
      </c>
      <c r="Q522" t="n">
        <v>0</v>
      </c>
      <c r="R522" s="2" t="inlineStr"/>
    </row>
    <row r="523" ht="15" customHeight="1">
      <c r="A523" t="inlineStr">
        <is>
          <t>A 27486-2022</t>
        </is>
      </c>
      <c r="B523" s="1" t="n">
        <v>44742</v>
      </c>
      <c r="C523" s="1" t="n">
        <v>45348</v>
      </c>
      <c r="D523" t="inlineStr">
        <is>
          <t>VÄSTMANLANDS LÄN</t>
        </is>
      </c>
      <c r="E523" t="inlineStr">
        <is>
          <t>SALA</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28069-2022</t>
        </is>
      </c>
      <c r="B524" s="1" t="n">
        <v>44746</v>
      </c>
      <c r="C524" s="1" t="n">
        <v>45348</v>
      </c>
      <c r="D524" t="inlineStr">
        <is>
          <t>VÄSTMANLANDS LÄN</t>
        </is>
      </c>
      <c r="E524" t="inlineStr">
        <is>
          <t>SALA</t>
        </is>
      </c>
      <c r="G524" t="n">
        <v>2.8</v>
      </c>
      <c r="H524" t="n">
        <v>0</v>
      </c>
      <c r="I524" t="n">
        <v>0</v>
      </c>
      <c r="J524" t="n">
        <v>0</v>
      </c>
      <c r="K524" t="n">
        <v>0</v>
      </c>
      <c r="L524" t="n">
        <v>0</v>
      </c>
      <c r="M524" t="n">
        <v>0</v>
      </c>
      <c r="N524" t="n">
        <v>0</v>
      </c>
      <c r="O524" t="n">
        <v>0</v>
      </c>
      <c r="P524" t="n">
        <v>0</v>
      </c>
      <c r="Q524" t="n">
        <v>0</v>
      </c>
      <c r="R524" s="2" t="inlineStr"/>
    </row>
    <row r="525" ht="15" customHeight="1">
      <c r="A525" t="inlineStr">
        <is>
          <t>A 28215-2022</t>
        </is>
      </c>
      <c r="B525" s="1" t="n">
        <v>44746</v>
      </c>
      <c r="C525" s="1" t="n">
        <v>45348</v>
      </c>
      <c r="D525" t="inlineStr">
        <is>
          <t>VÄSTMANLANDS LÄN</t>
        </is>
      </c>
      <c r="E525" t="inlineStr">
        <is>
          <t>SALA</t>
        </is>
      </c>
      <c r="F525" t="inlineStr">
        <is>
          <t>Kyrkan</t>
        </is>
      </c>
      <c r="G525" t="n">
        <v>1.9</v>
      </c>
      <c r="H525" t="n">
        <v>0</v>
      </c>
      <c r="I525" t="n">
        <v>0</v>
      </c>
      <c r="J525" t="n">
        <v>0</v>
      </c>
      <c r="K525" t="n">
        <v>0</v>
      </c>
      <c r="L525" t="n">
        <v>0</v>
      </c>
      <c r="M525" t="n">
        <v>0</v>
      </c>
      <c r="N525" t="n">
        <v>0</v>
      </c>
      <c r="O525" t="n">
        <v>0</v>
      </c>
      <c r="P525" t="n">
        <v>0</v>
      </c>
      <c r="Q525" t="n">
        <v>0</v>
      </c>
      <c r="R525" s="2" t="inlineStr"/>
    </row>
    <row r="526" ht="15" customHeight="1">
      <c r="A526" t="inlineStr">
        <is>
          <t>A 28402-2022</t>
        </is>
      </c>
      <c r="B526" s="1" t="n">
        <v>44747</v>
      </c>
      <c r="C526" s="1" t="n">
        <v>45348</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28863-2022</t>
        </is>
      </c>
      <c r="B527" s="1" t="n">
        <v>44749</v>
      </c>
      <c r="C527" s="1" t="n">
        <v>45348</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28875-2022</t>
        </is>
      </c>
      <c r="B528" s="1" t="n">
        <v>44749</v>
      </c>
      <c r="C528" s="1" t="n">
        <v>45348</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28999-2022</t>
        </is>
      </c>
      <c r="B529" s="1" t="n">
        <v>44749</v>
      </c>
      <c r="C529" s="1" t="n">
        <v>45348</v>
      </c>
      <c r="D529" t="inlineStr">
        <is>
          <t>VÄSTMANLANDS LÄN</t>
        </is>
      </c>
      <c r="E529" t="inlineStr">
        <is>
          <t>SALA</t>
        </is>
      </c>
      <c r="G529" t="n">
        <v>5.7</v>
      </c>
      <c r="H529" t="n">
        <v>0</v>
      </c>
      <c r="I529" t="n">
        <v>0</v>
      </c>
      <c r="J529" t="n">
        <v>0</v>
      </c>
      <c r="K529" t="n">
        <v>0</v>
      </c>
      <c r="L529" t="n">
        <v>0</v>
      </c>
      <c r="M529" t="n">
        <v>0</v>
      </c>
      <c r="N529" t="n">
        <v>0</v>
      </c>
      <c r="O529" t="n">
        <v>0</v>
      </c>
      <c r="P529" t="n">
        <v>0</v>
      </c>
      <c r="Q529" t="n">
        <v>0</v>
      </c>
      <c r="R529" s="2" t="inlineStr"/>
    </row>
    <row r="530" ht="15" customHeight="1">
      <c r="A530" t="inlineStr">
        <is>
          <t>A 28827-2022</t>
        </is>
      </c>
      <c r="B530" s="1" t="n">
        <v>44749</v>
      </c>
      <c r="C530" s="1" t="n">
        <v>45348</v>
      </c>
      <c r="D530" t="inlineStr">
        <is>
          <t>VÄSTMANLANDS LÄN</t>
        </is>
      </c>
      <c r="E530" t="inlineStr">
        <is>
          <t>SALA</t>
        </is>
      </c>
      <c r="F530" t="inlineStr">
        <is>
          <t>Kommuner</t>
        </is>
      </c>
      <c r="G530" t="n">
        <v>11.9</v>
      </c>
      <c r="H530" t="n">
        <v>0</v>
      </c>
      <c r="I530" t="n">
        <v>0</v>
      </c>
      <c r="J530" t="n">
        <v>0</v>
      </c>
      <c r="K530" t="n">
        <v>0</v>
      </c>
      <c r="L530" t="n">
        <v>0</v>
      </c>
      <c r="M530" t="n">
        <v>0</v>
      </c>
      <c r="N530" t="n">
        <v>0</v>
      </c>
      <c r="O530" t="n">
        <v>0</v>
      </c>
      <c r="P530" t="n">
        <v>0</v>
      </c>
      <c r="Q530" t="n">
        <v>0</v>
      </c>
      <c r="R530" s="2" t="inlineStr"/>
    </row>
    <row r="531" ht="15" customHeight="1">
      <c r="A531" t="inlineStr">
        <is>
          <t>A 28873-2022</t>
        </is>
      </c>
      <c r="B531" s="1" t="n">
        <v>44749</v>
      </c>
      <c r="C531" s="1" t="n">
        <v>45348</v>
      </c>
      <c r="D531" t="inlineStr">
        <is>
          <t>VÄSTMANLANDS LÄN</t>
        </is>
      </c>
      <c r="E531" t="inlineStr">
        <is>
          <t>SALA</t>
        </is>
      </c>
      <c r="G531" t="n">
        <v>2.7</v>
      </c>
      <c r="H531" t="n">
        <v>0</v>
      </c>
      <c r="I531" t="n">
        <v>0</v>
      </c>
      <c r="J531" t="n">
        <v>0</v>
      </c>
      <c r="K531" t="n">
        <v>0</v>
      </c>
      <c r="L531" t="n">
        <v>0</v>
      </c>
      <c r="M531" t="n">
        <v>0</v>
      </c>
      <c r="N531" t="n">
        <v>0</v>
      </c>
      <c r="O531" t="n">
        <v>0</v>
      </c>
      <c r="P531" t="n">
        <v>0</v>
      </c>
      <c r="Q531" t="n">
        <v>0</v>
      </c>
      <c r="R531" s="2" t="inlineStr"/>
    </row>
    <row r="532" ht="15" customHeight="1">
      <c r="A532" t="inlineStr">
        <is>
          <t>A 29002-2022</t>
        </is>
      </c>
      <c r="B532" s="1" t="n">
        <v>44749</v>
      </c>
      <c r="C532" s="1" t="n">
        <v>45348</v>
      </c>
      <c r="D532" t="inlineStr">
        <is>
          <t>VÄSTMANLANDS LÄN</t>
        </is>
      </c>
      <c r="E532" t="inlineStr">
        <is>
          <t>SALA</t>
        </is>
      </c>
      <c r="G532" t="n">
        <v>5.4</v>
      </c>
      <c r="H532" t="n">
        <v>0</v>
      </c>
      <c r="I532" t="n">
        <v>0</v>
      </c>
      <c r="J532" t="n">
        <v>0</v>
      </c>
      <c r="K532" t="n">
        <v>0</v>
      </c>
      <c r="L532" t="n">
        <v>0</v>
      </c>
      <c r="M532" t="n">
        <v>0</v>
      </c>
      <c r="N532" t="n">
        <v>0</v>
      </c>
      <c r="O532" t="n">
        <v>0</v>
      </c>
      <c r="P532" t="n">
        <v>0</v>
      </c>
      <c r="Q532" t="n">
        <v>0</v>
      </c>
      <c r="R532" s="2" t="inlineStr"/>
    </row>
    <row r="533" ht="15" customHeight="1">
      <c r="A533" t="inlineStr">
        <is>
          <t>A 28868-2022</t>
        </is>
      </c>
      <c r="B533" s="1" t="n">
        <v>44749</v>
      </c>
      <c r="C533" s="1" t="n">
        <v>45348</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28874-2022</t>
        </is>
      </c>
      <c r="B534" s="1" t="n">
        <v>44749</v>
      </c>
      <c r="C534" s="1" t="n">
        <v>45348</v>
      </c>
      <c r="D534" t="inlineStr">
        <is>
          <t>VÄSTMANLANDS LÄN</t>
        </is>
      </c>
      <c r="E534" t="inlineStr">
        <is>
          <t>SALA</t>
        </is>
      </c>
      <c r="G534" t="n">
        <v>1.2</v>
      </c>
      <c r="H534" t="n">
        <v>0</v>
      </c>
      <c r="I534" t="n">
        <v>0</v>
      </c>
      <c r="J534" t="n">
        <v>0</v>
      </c>
      <c r="K534" t="n">
        <v>0</v>
      </c>
      <c r="L534" t="n">
        <v>0</v>
      </c>
      <c r="M534" t="n">
        <v>0</v>
      </c>
      <c r="N534" t="n">
        <v>0</v>
      </c>
      <c r="O534" t="n">
        <v>0</v>
      </c>
      <c r="P534" t="n">
        <v>0</v>
      </c>
      <c r="Q534" t="n">
        <v>0</v>
      </c>
      <c r="R534" s="2" t="inlineStr"/>
    </row>
    <row r="535" ht="15" customHeight="1">
      <c r="A535" t="inlineStr">
        <is>
          <t>A 28879-2022</t>
        </is>
      </c>
      <c r="B535" s="1" t="n">
        <v>44749</v>
      </c>
      <c r="C535" s="1" t="n">
        <v>45348</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29235-2022</t>
        </is>
      </c>
      <c r="B536" s="1" t="n">
        <v>44750</v>
      </c>
      <c r="C536" s="1" t="n">
        <v>45348</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29228-2022</t>
        </is>
      </c>
      <c r="B537" s="1" t="n">
        <v>44750</v>
      </c>
      <c r="C537" s="1" t="n">
        <v>45348</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29233-2022</t>
        </is>
      </c>
      <c r="B538" s="1" t="n">
        <v>44750</v>
      </c>
      <c r="C538" s="1" t="n">
        <v>45348</v>
      </c>
      <c r="D538" t="inlineStr">
        <is>
          <t>VÄSTMANLANDS LÄN</t>
        </is>
      </c>
      <c r="E538" t="inlineStr">
        <is>
          <t>SALA</t>
        </is>
      </c>
      <c r="G538" t="n">
        <v>2.4</v>
      </c>
      <c r="H538" t="n">
        <v>0</v>
      </c>
      <c r="I538" t="n">
        <v>0</v>
      </c>
      <c r="J538" t="n">
        <v>0</v>
      </c>
      <c r="K538" t="n">
        <v>0</v>
      </c>
      <c r="L538" t="n">
        <v>0</v>
      </c>
      <c r="M538" t="n">
        <v>0</v>
      </c>
      <c r="N538" t="n">
        <v>0</v>
      </c>
      <c r="O538" t="n">
        <v>0</v>
      </c>
      <c r="P538" t="n">
        <v>0</v>
      </c>
      <c r="Q538" t="n">
        <v>0</v>
      </c>
      <c r="R538" s="2" t="inlineStr"/>
    </row>
    <row r="539" ht="15" customHeight="1">
      <c r="A539" t="inlineStr">
        <is>
          <t>A 29248-2022</t>
        </is>
      </c>
      <c r="B539" s="1" t="n">
        <v>44750</v>
      </c>
      <c r="C539" s="1" t="n">
        <v>45348</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29230-2022</t>
        </is>
      </c>
      <c r="B540" s="1" t="n">
        <v>44750</v>
      </c>
      <c r="C540" s="1" t="n">
        <v>45348</v>
      </c>
      <c r="D540" t="inlineStr">
        <is>
          <t>VÄSTMANLANDS LÄN</t>
        </is>
      </c>
      <c r="E540" t="inlineStr">
        <is>
          <t>SALA</t>
        </is>
      </c>
      <c r="G540" t="n">
        <v>1.1</v>
      </c>
      <c r="H540" t="n">
        <v>0</v>
      </c>
      <c r="I540" t="n">
        <v>0</v>
      </c>
      <c r="J540" t="n">
        <v>0</v>
      </c>
      <c r="K540" t="n">
        <v>0</v>
      </c>
      <c r="L540" t="n">
        <v>0</v>
      </c>
      <c r="M540" t="n">
        <v>0</v>
      </c>
      <c r="N540" t="n">
        <v>0</v>
      </c>
      <c r="O540" t="n">
        <v>0</v>
      </c>
      <c r="P540" t="n">
        <v>0</v>
      </c>
      <c r="Q540" t="n">
        <v>0</v>
      </c>
      <c r="R540" s="2" t="inlineStr"/>
    </row>
    <row r="541" ht="15" customHeight="1">
      <c r="A541" t="inlineStr">
        <is>
          <t>A 29133-2022</t>
        </is>
      </c>
      <c r="B541" s="1" t="n">
        <v>44750</v>
      </c>
      <c r="C541" s="1" t="n">
        <v>45348</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29213-2022</t>
        </is>
      </c>
      <c r="B542" s="1" t="n">
        <v>44750</v>
      </c>
      <c r="C542" s="1" t="n">
        <v>45348</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29963-2022</t>
        </is>
      </c>
      <c r="B543" s="1" t="n">
        <v>44756</v>
      </c>
      <c r="C543" s="1" t="n">
        <v>45348</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29965-2022</t>
        </is>
      </c>
      <c r="B544" s="1" t="n">
        <v>44756</v>
      </c>
      <c r="C544" s="1" t="n">
        <v>45348</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29982-2022</t>
        </is>
      </c>
      <c r="B545" s="1" t="n">
        <v>44756</v>
      </c>
      <c r="C545" s="1" t="n">
        <v>45348</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30360-2022</t>
        </is>
      </c>
      <c r="B546" s="1" t="n">
        <v>44760</v>
      </c>
      <c r="C546" s="1" t="n">
        <v>45348</v>
      </c>
      <c r="D546" t="inlineStr">
        <is>
          <t>VÄSTMANLANDS LÄN</t>
        </is>
      </c>
      <c r="E546" t="inlineStr">
        <is>
          <t>SALA</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30442-2022</t>
        </is>
      </c>
      <c r="B547" s="1" t="n">
        <v>44761</v>
      </c>
      <c r="C547" s="1" t="n">
        <v>45348</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30971-2022</t>
        </is>
      </c>
      <c r="B548" s="1" t="n">
        <v>44768</v>
      </c>
      <c r="C548" s="1" t="n">
        <v>45348</v>
      </c>
      <c r="D548" t="inlineStr">
        <is>
          <t>VÄSTMANLANDS LÄN</t>
        </is>
      </c>
      <c r="E548" t="inlineStr">
        <is>
          <t>SALA</t>
        </is>
      </c>
      <c r="G548" t="n">
        <v>2.4</v>
      </c>
      <c r="H548" t="n">
        <v>0</v>
      </c>
      <c r="I548" t="n">
        <v>0</v>
      </c>
      <c r="J548" t="n">
        <v>0</v>
      </c>
      <c r="K548" t="n">
        <v>0</v>
      </c>
      <c r="L548" t="n">
        <v>0</v>
      </c>
      <c r="M548" t="n">
        <v>0</v>
      </c>
      <c r="N548" t="n">
        <v>0</v>
      </c>
      <c r="O548" t="n">
        <v>0</v>
      </c>
      <c r="P548" t="n">
        <v>0</v>
      </c>
      <c r="Q548" t="n">
        <v>0</v>
      </c>
      <c r="R548" s="2" t="inlineStr"/>
    </row>
    <row r="549" ht="15" customHeight="1">
      <c r="A549" t="inlineStr">
        <is>
          <t>A 31000-2022</t>
        </is>
      </c>
      <c r="B549" s="1" t="n">
        <v>44768</v>
      </c>
      <c r="C549" s="1" t="n">
        <v>45348</v>
      </c>
      <c r="D549" t="inlineStr">
        <is>
          <t>VÄSTMANLANDS LÄN</t>
        </is>
      </c>
      <c r="E549" t="inlineStr">
        <is>
          <t>SALA</t>
        </is>
      </c>
      <c r="G549" t="n">
        <v>5.7</v>
      </c>
      <c r="H549" t="n">
        <v>0</v>
      </c>
      <c r="I549" t="n">
        <v>0</v>
      </c>
      <c r="J549" t="n">
        <v>0</v>
      </c>
      <c r="K549" t="n">
        <v>0</v>
      </c>
      <c r="L549" t="n">
        <v>0</v>
      </c>
      <c r="M549" t="n">
        <v>0</v>
      </c>
      <c r="N549" t="n">
        <v>0</v>
      </c>
      <c r="O549" t="n">
        <v>0</v>
      </c>
      <c r="P549" t="n">
        <v>0</v>
      </c>
      <c r="Q549" t="n">
        <v>0</v>
      </c>
      <c r="R549" s="2" t="inlineStr"/>
    </row>
    <row r="550" ht="15" customHeight="1">
      <c r="A550" t="inlineStr">
        <is>
          <t>A 31373-2022</t>
        </is>
      </c>
      <c r="B550" s="1" t="n">
        <v>44774</v>
      </c>
      <c r="C550" s="1" t="n">
        <v>45348</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31380-2022</t>
        </is>
      </c>
      <c r="B551" s="1" t="n">
        <v>44774</v>
      </c>
      <c r="C551" s="1" t="n">
        <v>45348</v>
      </c>
      <c r="D551" t="inlineStr">
        <is>
          <t>VÄSTMANLANDS LÄN</t>
        </is>
      </c>
      <c r="E551" t="inlineStr">
        <is>
          <t>SALA</t>
        </is>
      </c>
      <c r="G551" t="n">
        <v>4.7</v>
      </c>
      <c r="H551" t="n">
        <v>0</v>
      </c>
      <c r="I551" t="n">
        <v>0</v>
      </c>
      <c r="J551" t="n">
        <v>0</v>
      </c>
      <c r="K551" t="n">
        <v>0</v>
      </c>
      <c r="L551" t="n">
        <v>0</v>
      </c>
      <c r="M551" t="n">
        <v>0</v>
      </c>
      <c r="N551" t="n">
        <v>0</v>
      </c>
      <c r="O551" t="n">
        <v>0</v>
      </c>
      <c r="P551" t="n">
        <v>0</v>
      </c>
      <c r="Q551" t="n">
        <v>0</v>
      </c>
      <c r="R551" s="2" t="inlineStr"/>
    </row>
    <row r="552" ht="15" customHeight="1">
      <c r="A552" t="inlineStr">
        <is>
          <t>A 31387-2022</t>
        </is>
      </c>
      <c r="B552" s="1" t="n">
        <v>44774</v>
      </c>
      <c r="C552" s="1" t="n">
        <v>45348</v>
      </c>
      <c r="D552" t="inlineStr">
        <is>
          <t>VÄSTMANLANDS LÄN</t>
        </is>
      </c>
      <c r="E552" t="inlineStr">
        <is>
          <t>SALA</t>
        </is>
      </c>
      <c r="G552" t="n">
        <v>5.8</v>
      </c>
      <c r="H552" t="n">
        <v>0</v>
      </c>
      <c r="I552" t="n">
        <v>0</v>
      </c>
      <c r="J552" t="n">
        <v>0</v>
      </c>
      <c r="K552" t="n">
        <v>0</v>
      </c>
      <c r="L552" t="n">
        <v>0</v>
      </c>
      <c r="M552" t="n">
        <v>0</v>
      </c>
      <c r="N552" t="n">
        <v>0</v>
      </c>
      <c r="O552" t="n">
        <v>0</v>
      </c>
      <c r="P552" t="n">
        <v>0</v>
      </c>
      <c r="Q552" t="n">
        <v>0</v>
      </c>
      <c r="R552" s="2" t="inlineStr"/>
    </row>
    <row r="553" ht="15" customHeight="1">
      <c r="A553" t="inlineStr">
        <is>
          <t>A 31394-2022</t>
        </is>
      </c>
      <c r="B553" s="1" t="n">
        <v>44774</v>
      </c>
      <c r="C553" s="1" t="n">
        <v>45348</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33309-2022</t>
        </is>
      </c>
      <c r="B554" s="1" t="n">
        <v>44788</v>
      </c>
      <c r="C554" s="1" t="n">
        <v>45348</v>
      </c>
      <c r="D554" t="inlineStr">
        <is>
          <t>VÄSTMANLANDS LÄN</t>
        </is>
      </c>
      <c r="E554" t="inlineStr">
        <is>
          <t>SALA</t>
        </is>
      </c>
      <c r="G554" t="n">
        <v>2.6</v>
      </c>
      <c r="H554" t="n">
        <v>0</v>
      </c>
      <c r="I554" t="n">
        <v>0</v>
      </c>
      <c r="J554" t="n">
        <v>0</v>
      </c>
      <c r="K554" t="n">
        <v>0</v>
      </c>
      <c r="L554" t="n">
        <v>0</v>
      </c>
      <c r="M554" t="n">
        <v>0</v>
      </c>
      <c r="N554" t="n">
        <v>0</v>
      </c>
      <c r="O554" t="n">
        <v>0</v>
      </c>
      <c r="P554" t="n">
        <v>0</v>
      </c>
      <c r="Q554" t="n">
        <v>0</v>
      </c>
      <c r="R554" s="2" t="inlineStr"/>
    </row>
    <row r="555" ht="15" customHeight="1">
      <c r="A555" t="inlineStr">
        <is>
          <t>A 34110-2022</t>
        </is>
      </c>
      <c r="B555" s="1" t="n">
        <v>44791</v>
      </c>
      <c r="C555" s="1" t="n">
        <v>45348</v>
      </c>
      <c r="D555" t="inlineStr">
        <is>
          <t>VÄSTMANLANDS LÄN</t>
        </is>
      </c>
      <c r="E555" t="inlineStr">
        <is>
          <t>SALA</t>
        </is>
      </c>
      <c r="G555" t="n">
        <v>0.2</v>
      </c>
      <c r="H555" t="n">
        <v>0</v>
      </c>
      <c r="I555" t="n">
        <v>0</v>
      </c>
      <c r="J555" t="n">
        <v>0</v>
      </c>
      <c r="K555" t="n">
        <v>0</v>
      </c>
      <c r="L555" t="n">
        <v>0</v>
      </c>
      <c r="M555" t="n">
        <v>0</v>
      </c>
      <c r="N555" t="n">
        <v>0</v>
      </c>
      <c r="O555" t="n">
        <v>0</v>
      </c>
      <c r="P555" t="n">
        <v>0</v>
      </c>
      <c r="Q555" t="n">
        <v>0</v>
      </c>
      <c r="R555" s="2" t="inlineStr"/>
    </row>
    <row r="556" ht="15" customHeight="1">
      <c r="A556" t="inlineStr">
        <is>
          <t>A 34468-2022</t>
        </is>
      </c>
      <c r="B556" s="1" t="n">
        <v>44792</v>
      </c>
      <c r="C556" s="1" t="n">
        <v>45348</v>
      </c>
      <c r="D556" t="inlineStr">
        <is>
          <t>VÄSTMANLANDS LÄN</t>
        </is>
      </c>
      <c r="E556" t="inlineStr">
        <is>
          <t>SALA</t>
        </is>
      </c>
      <c r="F556" t="inlineStr">
        <is>
          <t>Kommuner</t>
        </is>
      </c>
      <c r="G556" t="n">
        <v>1</v>
      </c>
      <c r="H556" t="n">
        <v>0</v>
      </c>
      <c r="I556" t="n">
        <v>0</v>
      </c>
      <c r="J556" t="n">
        <v>0</v>
      </c>
      <c r="K556" t="n">
        <v>0</v>
      </c>
      <c r="L556" t="n">
        <v>0</v>
      </c>
      <c r="M556" t="n">
        <v>0</v>
      </c>
      <c r="N556" t="n">
        <v>0</v>
      </c>
      <c r="O556" t="n">
        <v>0</v>
      </c>
      <c r="P556" t="n">
        <v>0</v>
      </c>
      <c r="Q556" t="n">
        <v>0</v>
      </c>
      <c r="R556" s="2" t="inlineStr"/>
    </row>
    <row r="557" ht="15" customHeight="1">
      <c r="A557" t="inlineStr">
        <is>
          <t>A 34737-2022</t>
        </is>
      </c>
      <c r="B557" s="1" t="n">
        <v>44795</v>
      </c>
      <c r="C557" s="1" t="n">
        <v>45348</v>
      </c>
      <c r="D557" t="inlineStr">
        <is>
          <t>VÄSTMANLANDS LÄN</t>
        </is>
      </c>
      <c r="E557" t="inlineStr">
        <is>
          <t>SALA</t>
        </is>
      </c>
      <c r="G557" t="n">
        <v>1.3</v>
      </c>
      <c r="H557" t="n">
        <v>0</v>
      </c>
      <c r="I557" t="n">
        <v>0</v>
      </c>
      <c r="J557" t="n">
        <v>0</v>
      </c>
      <c r="K557" t="n">
        <v>0</v>
      </c>
      <c r="L557" t="n">
        <v>0</v>
      </c>
      <c r="M557" t="n">
        <v>0</v>
      </c>
      <c r="N557" t="n">
        <v>0</v>
      </c>
      <c r="O557" t="n">
        <v>0</v>
      </c>
      <c r="P557" t="n">
        <v>0</v>
      </c>
      <c r="Q557" t="n">
        <v>0</v>
      </c>
      <c r="R557" s="2" t="inlineStr"/>
    </row>
    <row r="558" ht="15" customHeight="1">
      <c r="A558" t="inlineStr">
        <is>
          <t>A 35410-2022</t>
        </is>
      </c>
      <c r="B558" s="1" t="n">
        <v>44798</v>
      </c>
      <c r="C558" s="1" t="n">
        <v>45348</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35637-2022</t>
        </is>
      </c>
      <c r="B559" s="1" t="n">
        <v>44799</v>
      </c>
      <c r="C559" s="1" t="n">
        <v>45348</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38081-2022</t>
        </is>
      </c>
      <c r="B560" s="1" t="n">
        <v>44811</v>
      </c>
      <c r="C560" s="1" t="n">
        <v>45348</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38161-2022</t>
        </is>
      </c>
      <c r="B561" s="1" t="n">
        <v>44812</v>
      </c>
      <c r="C561" s="1" t="n">
        <v>45348</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39451-2022</t>
        </is>
      </c>
      <c r="B562" s="1" t="n">
        <v>44818</v>
      </c>
      <c r="C562" s="1" t="n">
        <v>45348</v>
      </c>
      <c r="D562" t="inlineStr">
        <is>
          <t>VÄSTMANLANDS LÄN</t>
        </is>
      </c>
      <c r="E562" t="inlineStr">
        <is>
          <t>SALA</t>
        </is>
      </c>
      <c r="G562" t="n">
        <v>9.4</v>
      </c>
      <c r="H562" t="n">
        <v>0</v>
      </c>
      <c r="I562" t="n">
        <v>0</v>
      </c>
      <c r="J562" t="n">
        <v>0</v>
      </c>
      <c r="K562" t="n">
        <v>0</v>
      </c>
      <c r="L562" t="n">
        <v>0</v>
      </c>
      <c r="M562" t="n">
        <v>0</v>
      </c>
      <c r="N562" t="n">
        <v>0</v>
      </c>
      <c r="O562" t="n">
        <v>0</v>
      </c>
      <c r="P562" t="n">
        <v>0</v>
      </c>
      <c r="Q562" t="n">
        <v>0</v>
      </c>
      <c r="R562" s="2" t="inlineStr"/>
    </row>
    <row r="563" ht="15" customHeight="1">
      <c r="A563" t="inlineStr">
        <is>
          <t>A 39600-2022</t>
        </is>
      </c>
      <c r="B563" s="1" t="n">
        <v>44818</v>
      </c>
      <c r="C563" s="1" t="n">
        <v>45348</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39597-2022</t>
        </is>
      </c>
      <c r="B564" s="1" t="n">
        <v>44818</v>
      </c>
      <c r="C564" s="1" t="n">
        <v>45348</v>
      </c>
      <c r="D564" t="inlineStr">
        <is>
          <t>VÄSTMANLANDS LÄN</t>
        </is>
      </c>
      <c r="E564" t="inlineStr">
        <is>
          <t>SALA</t>
        </is>
      </c>
      <c r="G564" t="n">
        <v>2.3</v>
      </c>
      <c r="H564" t="n">
        <v>0</v>
      </c>
      <c r="I564" t="n">
        <v>0</v>
      </c>
      <c r="J564" t="n">
        <v>0</v>
      </c>
      <c r="K564" t="n">
        <v>0</v>
      </c>
      <c r="L564" t="n">
        <v>0</v>
      </c>
      <c r="M564" t="n">
        <v>0</v>
      </c>
      <c r="N564" t="n">
        <v>0</v>
      </c>
      <c r="O564" t="n">
        <v>0</v>
      </c>
      <c r="P564" t="n">
        <v>0</v>
      </c>
      <c r="Q564" t="n">
        <v>0</v>
      </c>
      <c r="R564" s="2" t="inlineStr"/>
    </row>
    <row r="565" ht="15" customHeight="1">
      <c r="A565" t="inlineStr">
        <is>
          <t>A 40094-2022</t>
        </is>
      </c>
      <c r="B565" s="1" t="n">
        <v>44819</v>
      </c>
      <c r="C565" s="1" t="n">
        <v>45348</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40113-2022</t>
        </is>
      </c>
      <c r="B566" s="1" t="n">
        <v>44819</v>
      </c>
      <c r="C566" s="1" t="n">
        <v>45348</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40405-2022</t>
        </is>
      </c>
      <c r="B567" s="1" t="n">
        <v>44823</v>
      </c>
      <c r="C567" s="1" t="n">
        <v>45348</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40597-2022</t>
        </is>
      </c>
      <c r="B568" s="1" t="n">
        <v>44823</v>
      </c>
      <c r="C568" s="1" t="n">
        <v>45348</v>
      </c>
      <c r="D568" t="inlineStr">
        <is>
          <t>VÄSTMANLANDS LÄN</t>
        </is>
      </c>
      <c r="E568" t="inlineStr">
        <is>
          <t>SALA</t>
        </is>
      </c>
      <c r="G568" t="n">
        <v>3.5</v>
      </c>
      <c r="H568" t="n">
        <v>0</v>
      </c>
      <c r="I568" t="n">
        <v>0</v>
      </c>
      <c r="J568" t="n">
        <v>0</v>
      </c>
      <c r="K568" t="n">
        <v>0</v>
      </c>
      <c r="L568" t="n">
        <v>0</v>
      </c>
      <c r="M568" t="n">
        <v>0</v>
      </c>
      <c r="N568" t="n">
        <v>0</v>
      </c>
      <c r="O568" t="n">
        <v>0</v>
      </c>
      <c r="P568" t="n">
        <v>0</v>
      </c>
      <c r="Q568" t="n">
        <v>0</v>
      </c>
      <c r="R568" s="2" t="inlineStr"/>
    </row>
    <row r="569" ht="15" customHeight="1">
      <c r="A569" t="inlineStr">
        <is>
          <t>A 41567-2022</t>
        </is>
      </c>
      <c r="B569" s="1" t="n">
        <v>44827</v>
      </c>
      <c r="C569" s="1" t="n">
        <v>45348</v>
      </c>
      <c r="D569" t="inlineStr">
        <is>
          <t>VÄSTMANLANDS LÄN</t>
        </is>
      </c>
      <c r="E569" t="inlineStr">
        <is>
          <t>SALA</t>
        </is>
      </c>
      <c r="F569" t="inlineStr">
        <is>
          <t>Bergvik skog öst AB</t>
        </is>
      </c>
      <c r="G569" t="n">
        <v>3.9</v>
      </c>
      <c r="H569" t="n">
        <v>0</v>
      </c>
      <c r="I569" t="n">
        <v>0</v>
      </c>
      <c r="J569" t="n">
        <v>0</v>
      </c>
      <c r="K569" t="n">
        <v>0</v>
      </c>
      <c r="L569" t="n">
        <v>0</v>
      </c>
      <c r="M569" t="n">
        <v>0</v>
      </c>
      <c r="N569" t="n">
        <v>0</v>
      </c>
      <c r="O569" t="n">
        <v>0</v>
      </c>
      <c r="P569" t="n">
        <v>0</v>
      </c>
      <c r="Q569" t="n">
        <v>0</v>
      </c>
      <c r="R569" s="2" t="inlineStr"/>
    </row>
    <row r="570" ht="15" customHeight="1">
      <c r="A570" t="inlineStr">
        <is>
          <t>A 41876-2022</t>
        </is>
      </c>
      <c r="B570" s="1" t="n">
        <v>44830</v>
      </c>
      <c r="C570" s="1" t="n">
        <v>45348</v>
      </c>
      <c r="D570" t="inlineStr">
        <is>
          <t>VÄSTMANLANDS LÄN</t>
        </is>
      </c>
      <c r="E570" t="inlineStr">
        <is>
          <t>SALA</t>
        </is>
      </c>
      <c r="G570" t="n">
        <v>3.6</v>
      </c>
      <c r="H570" t="n">
        <v>0</v>
      </c>
      <c r="I570" t="n">
        <v>0</v>
      </c>
      <c r="J570" t="n">
        <v>0</v>
      </c>
      <c r="K570" t="n">
        <v>0</v>
      </c>
      <c r="L570" t="n">
        <v>0</v>
      </c>
      <c r="M570" t="n">
        <v>0</v>
      </c>
      <c r="N570" t="n">
        <v>0</v>
      </c>
      <c r="O570" t="n">
        <v>0</v>
      </c>
      <c r="P570" t="n">
        <v>0</v>
      </c>
      <c r="Q570" t="n">
        <v>0</v>
      </c>
      <c r="R570" s="2" t="inlineStr"/>
    </row>
    <row r="571" ht="15" customHeight="1">
      <c r="A571" t="inlineStr">
        <is>
          <t>A 42416-2022</t>
        </is>
      </c>
      <c r="B571" s="1" t="n">
        <v>44831</v>
      </c>
      <c r="C571" s="1" t="n">
        <v>45348</v>
      </c>
      <c r="D571" t="inlineStr">
        <is>
          <t>VÄSTMANLANDS LÄN</t>
        </is>
      </c>
      <c r="E571" t="inlineStr">
        <is>
          <t>SALA</t>
        </is>
      </c>
      <c r="G571" t="n">
        <v>2.2</v>
      </c>
      <c r="H571" t="n">
        <v>0</v>
      </c>
      <c r="I571" t="n">
        <v>0</v>
      </c>
      <c r="J571" t="n">
        <v>0</v>
      </c>
      <c r="K571" t="n">
        <v>0</v>
      </c>
      <c r="L571" t="n">
        <v>0</v>
      </c>
      <c r="M571" t="n">
        <v>0</v>
      </c>
      <c r="N571" t="n">
        <v>0</v>
      </c>
      <c r="O571" t="n">
        <v>0</v>
      </c>
      <c r="P571" t="n">
        <v>0</v>
      </c>
      <c r="Q571" t="n">
        <v>0</v>
      </c>
      <c r="R571" s="2" t="inlineStr"/>
    </row>
    <row r="572" ht="15" customHeight="1">
      <c r="A572" t="inlineStr">
        <is>
          <t>A 42447-2022</t>
        </is>
      </c>
      <c r="B572" s="1" t="n">
        <v>44831</v>
      </c>
      <c r="C572" s="1" t="n">
        <v>45348</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42414-2022</t>
        </is>
      </c>
      <c r="B573" s="1" t="n">
        <v>44831</v>
      </c>
      <c r="C573" s="1" t="n">
        <v>45348</v>
      </c>
      <c r="D573" t="inlineStr">
        <is>
          <t>VÄSTMANLANDS LÄN</t>
        </is>
      </c>
      <c r="E573" t="inlineStr">
        <is>
          <t>SALA</t>
        </is>
      </c>
      <c r="G573" t="n">
        <v>3.4</v>
      </c>
      <c r="H573" t="n">
        <v>0</v>
      </c>
      <c r="I573" t="n">
        <v>0</v>
      </c>
      <c r="J573" t="n">
        <v>0</v>
      </c>
      <c r="K573" t="n">
        <v>0</v>
      </c>
      <c r="L573" t="n">
        <v>0</v>
      </c>
      <c r="M573" t="n">
        <v>0</v>
      </c>
      <c r="N573" t="n">
        <v>0</v>
      </c>
      <c r="O573" t="n">
        <v>0</v>
      </c>
      <c r="P573" t="n">
        <v>0</v>
      </c>
      <c r="Q573" t="n">
        <v>0</v>
      </c>
      <c r="R573" s="2" t="inlineStr"/>
    </row>
    <row r="574" ht="15" customHeight="1">
      <c r="A574" t="inlineStr">
        <is>
          <t>A 43103-2022</t>
        </is>
      </c>
      <c r="B574" s="1" t="n">
        <v>44833</v>
      </c>
      <c r="C574" s="1" t="n">
        <v>45348</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43101-2022</t>
        </is>
      </c>
      <c r="B575" s="1" t="n">
        <v>44833</v>
      </c>
      <c r="C575" s="1" t="n">
        <v>45348</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44217-2022</t>
        </is>
      </c>
      <c r="B576" s="1" t="n">
        <v>44839</v>
      </c>
      <c r="C576" s="1" t="n">
        <v>45348</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44318-2022</t>
        </is>
      </c>
      <c r="B577" s="1" t="n">
        <v>44839</v>
      </c>
      <c r="C577" s="1" t="n">
        <v>45348</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44224-2022</t>
        </is>
      </c>
      <c r="B578" s="1" t="n">
        <v>44839</v>
      </c>
      <c r="C578" s="1" t="n">
        <v>45348</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44892-2022</t>
        </is>
      </c>
      <c r="B579" s="1" t="n">
        <v>44841</v>
      </c>
      <c r="C579" s="1" t="n">
        <v>45348</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45015-2022</t>
        </is>
      </c>
      <c r="B580" s="1" t="n">
        <v>44841</v>
      </c>
      <c r="C580" s="1" t="n">
        <v>45348</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44935-2022</t>
        </is>
      </c>
      <c r="B581" s="1" t="n">
        <v>44841</v>
      </c>
      <c r="C581" s="1" t="n">
        <v>45348</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45309-2022</t>
        </is>
      </c>
      <c r="B582" s="1" t="n">
        <v>44844</v>
      </c>
      <c r="C582" s="1" t="n">
        <v>45348</v>
      </c>
      <c r="D582" t="inlineStr">
        <is>
          <t>VÄSTMANLANDS LÄN</t>
        </is>
      </c>
      <c r="E582" t="inlineStr">
        <is>
          <t>SALA</t>
        </is>
      </c>
      <c r="G582" t="n">
        <v>10.9</v>
      </c>
      <c r="H582" t="n">
        <v>0</v>
      </c>
      <c r="I582" t="n">
        <v>0</v>
      </c>
      <c r="J582" t="n">
        <v>0</v>
      </c>
      <c r="K582" t="n">
        <v>0</v>
      </c>
      <c r="L582" t="n">
        <v>0</v>
      </c>
      <c r="M582" t="n">
        <v>0</v>
      </c>
      <c r="N582" t="n">
        <v>0</v>
      </c>
      <c r="O582" t="n">
        <v>0</v>
      </c>
      <c r="P582" t="n">
        <v>0</v>
      </c>
      <c r="Q582" t="n">
        <v>0</v>
      </c>
      <c r="R582" s="2" t="inlineStr"/>
    </row>
    <row r="583" ht="15" customHeight="1">
      <c r="A583" t="inlineStr">
        <is>
          <t>A 45517-2022</t>
        </is>
      </c>
      <c r="B583" s="1" t="n">
        <v>44845</v>
      </c>
      <c r="C583" s="1" t="n">
        <v>45348</v>
      </c>
      <c r="D583" t="inlineStr">
        <is>
          <t>VÄSTMANLANDS LÄN</t>
        </is>
      </c>
      <c r="E583" t="inlineStr">
        <is>
          <t>SALA</t>
        </is>
      </c>
      <c r="G583" t="n">
        <v>2.2</v>
      </c>
      <c r="H583" t="n">
        <v>0</v>
      </c>
      <c r="I583" t="n">
        <v>0</v>
      </c>
      <c r="J583" t="n">
        <v>0</v>
      </c>
      <c r="K583" t="n">
        <v>0</v>
      </c>
      <c r="L583" t="n">
        <v>0</v>
      </c>
      <c r="M583" t="n">
        <v>0</v>
      </c>
      <c r="N583" t="n">
        <v>0</v>
      </c>
      <c r="O583" t="n">
        <v>0</v>
      </c>
      <c r="P583" t="n">
        <v>0</v>
      </c>
      <c r="Q583" t="n">
        <v>0</v>
      </c>
      <c r="R583" s="2" t="inlineStr"/>
    </row>
    <row r="584" ht="15" customHeight="1">
      <c r="A584" t="inlineStr">
        <is>
          <t>A 45615-2022</t>
        </is>
      </c>
      <c r="B584" s="1" t="n">
        <v>44845</v>
      </c>
      <c r="C584" s="1" t="n">
        <v>45348</v>
      </c>
      <c r="D584" t="inlineStr">
        <is>
          <t>VÄSTMANLANDS LÄN</t>
        </is>
      </c>
      <c r="E584" t="inlineStr">
        <is>
          <t>SALA</t>
        </is>
      </c>
      <c r="F584" t="inlineStr">
        <is>
          <t>Bergvik skog öst AB</t>
        </is>
      </c>
      <c r="G584" t="n">
        <v>10</v>
      </c>
      <c r="H584" t="n">
        <v>0</v>
      </c>
      <c r="I584" t="n">
        <v>0</v>
      </c>
      <c r="J584" t="n">
        <v>0</v>
      </c>
      <c r="K584" t="n">
        <v>0</v>
      </c>
      <c r="L584" t="n">
        <v>0</v>
      </c>
      <c r="M584" t="n">
        <v>0</v>
      </c>
      <c r="N584" t="n">
        <v>0</v>
      </c>
      <c r="O584" t="n">
        <v>0</v>
      </c>
      <c r="P584" t="n">
        <v>0</v>
      </c>
      <c r="Q584" t="n">
        <v>0</v>
      </c>
      <c r="R584" s="2" t="inlineStr"/>
    </row>
    <row r="585" ht="15" customHeight="1">
      <c r="A585" t="inlineStr">
        <is>
          <t>A 46264-2022</t>
        </is>
      </c>
      <c r="B585" s="1" t="n">
        <v>44847</v>
      </c>
      <c r="C585" s="1" t="n">
        <v>45348</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46460-2022</t>
        </is>
      </c>
      <c r="B586" s="1" t="n">
        <v>44848</v>
      </c>
      <c r="C586" s="1" t="n">
        <v>45348</v>
      </c>
      <c r="D586" t="inlineStr">
        <is>
          <t>VÄSTMANLANDS LÄN</t>
        </is>
      </c>
      <c r="E586" t="inlineStr">
        <is>
          <t>SALA</t>
        </is>
      </c>
      <c r="G586" t="n">
        <v>1.3</v>
      </c>
      <c r="H586" t="n">
        <v>0</v>
      </c>
      <c r="I586" t="n">
        <v>0</v>
      </c>
      <c r="J586" t="n">
        <v>0</v>
      </c>
      <c r="K586" t="n">
        <v>0</v>
      </c>
      <c r="L586" t="n">
        <v>0</v>
      </c>
      <c r="M586" t="n">
        <v>0</v>
      </c>
      <c r="N586" t="n">
        <v>0</v>
      </c>
      <c r="O586" t="n">
        <v>0</v>
      </c>
      <c r="P586" t="n">
        <v>0</v>
      </c>
      <c r="Q586" t="n">
        <v>0</v>
      </c>
      <c r="R586" s="2" t="inlineStr"/>
    </row>
    <row r="587" ht="15" customHeight="1">
      <c r="A587" t="inlineStr">
        <is>
          <t>A 47086-2022</t>
        </is>
      </c>
      <c r="B587" s="1" t="n">
        <v>44852</v>
      </c>
      <c r="C587" s="1" t="n">
        <v>45348</v>
      </c>
      <c r="D587" t="inlineStr">
        <is>
          <t>VÄSTMANLANDS LÄN</t>
        </is>
      </c>
      <c r="E587" t="inlineStr">
        <is>
          <t>SALA</t>
        </is>
      </c>
      <c r="G587" t="n">
        <v>12.5</v>
      </c>
      <c r="H587" t="n">
        <v>0</v>
      </c>
      <c r="I587" t="n">
        <v>0</v>
      </c>
      <c r="J587" t="n">
        <v>0</v>
      </c>
      <c r="K587" t="n">
        <v>0</v>
      </c>
      <c r="L587" t="n">
        <v>0</v>
      </c>
      <c r="M587" t="n">
        <v>0</v>
      </c>
      <c r="N587" t="n">
        <v>0</v>
      </c>
      <c r="O587" t="n">
        <v>0</v>
      </c>
      <c r="P587" t="n">
        <v>0</v>
      </c>
      <c r="Q587" t="n">
        <v>0</v>
      </c>
      <c r="R587" s="2" t="inlineStr"/>
    </row>
    <row r="588" ht="15" customHeight="1">
      <c r="A588" t="inlineStr">
        <is>
          <t>A 47713-2022</t>
        </is>
      </c>
      <c r="B588" s="1" t="n">
        <v>44854</v>
      </c>
      <c r="C588" s="1" t="n">
        <v>45348</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47715-2022</t>
        </is>
      </c>
      <c r="B589" s="1" t="n">
        <v>44854</v>
      </c>
      <c r="C589" s="1" t="n">
        <v>45348</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47909-2022</t>
        </is>
      </c>
      <c r="B590" s="1" t="n">
        <v>44855</v>
      </c>
      <c r="C590" s="1" t="n">
        <v>45348</v>
      </c>
      <c r="D590" t="inlineStr">
        <is>
          <t>VÄSTMANLANDS LÄN</t>
        </is>
      </c>
      <c r="E590" t="inlineStr">
        <is>
          <t>SALA</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48219-2022</t>
        </is>
      </c>
      <c r="B591" s="1" t="n">
        <v>44858</v>
      </c>
      <c r="C591" s="1" t="n">
        <v>45348</v>
      </c>
      <c r="D591" t="inlineStr">
        <is>
          <t>VÄSTMANLANDS LÄN</t>
        </is>
      </c>
      <c r="E591" t="inlineStr">
        <is>
          <t>SALA</t>
        </is>
      </c>
      <c r="G591" t="n">
        <v>3.6</v>
      </c>
      <c r="H591" t="n">
        <v>0</v>
      </c>
      <c r="I591" t="n">
        <v>0</v>
      </c>
      <c r="J591" t="n">
        <v>0</v>
      </c>
      <c r="K591" t="n">
        <v>0</v>
      </c>
      <c r="L591" t="n">
        <v>0</v>
      </c>
      <c r="M591" t="n">
        <v>0</v>
      </c>
      <c r="N591" t="n">
        <v>0</v>
      </c>
      <c r="O591" t="n">
        <v>0</v>
      </c>
      <c r="P591" t="n">
        <v>0</v>
      </c>
      <c r="Q591" t="n">
        <v>0</v>
      </c>
      <c r="R591" s="2" t="inlineStr"/>
    </row>
    <row r="592" ht="15" customHeight="1">
      <c r="A592" t="inlineStr">
        <is>
          <t>A 49086-2022</t>
        </is>
      </c>
      <c r="B592" s="1" t="n">
        <v>44860</v>
      </c>
      <c r="C592" s="1" t="n">
        <v>45348</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49254-2022</t>
        </is>
      </c>
      <c r="B593" s="1" t="n">
        <v>44861</v>
      </c>
      <c r="C593" s="1" t="n">
        <v>45348</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50461-2022</t>
        </is>
      </c>
      <c r="B594" s="1" t="n">
        <v>44861</v>
      </c>
      <c r="C594" s="1" t="n">
        <v>45348</v>
      </c>
      <c r="D594" t="inlineStr">
        <is>
          <t>VÄSTMANLANDS LÄN</t>
        </is>
      </c>
      <c r="E594" t="inlineStr">
        <is>
          <t>SALA</t>
        </is>
      </c>
      <c r="G594" t="n">
        <v>2.2</v>
      </c>
      <c r="H594" t="n">
        <v>0</v>
      </c>
      <c r="I594" t="n">
        <v>0</v>
      </c>
      <c r="J594" t="n">
        <v>0</v>
      </c>
      <c r="K594" t="n">
        <v>0</v>
      </c>
      <c r="L594" t="n">
        <v>0</v>
      </c>
      <c r="M594" t="n">
        <v>0</v>
      </c>
      <c r="N594" t="n">
        <v>0</v>
      </c>
      <c r="O594" t="n">
        <v>0</v>
      </c>
      <c r="P594" t="n">
        <v>0</v>
      </c>
      <c r="Q594" t="n">
        <v>0</v>
      </c>
      <c r="R594" s="2" t="inlineStr"/>
    </row>
    <row r="595" ht="15" customHeight="1">
      <c r="A595" t="inlineStr">
        <is>
          <t>A 50479-2022</t>
        </is>
      </c>
      <c r="B595" s="1" t="n">
        <v>44861</v>
      </c>
      <c r="C595" s="1" t="n">
        <v>45348</v>
      </c>
      <c r="D595" t="inlineStr">
        <is>
          <t>VÄSTMANLANDS LÄN</t>
        </is>
      </c>
      <c r="E595" t="inlineStr">
        <is>
          <t>SALA</t>
        </is>
      </c>
      <c r="G595" t="n">
        <v>0.9</v>
      </c>
      <c r="H595" t="n">
        <v>0</v>
      </c>
      <c r="I595" t="n">
        <v>0</v>
      </c>
      <c r="J595" t="n">
        <v>0</v>
      </c>
      <c r="K595" t="n">
        <v>0</v>
      </c>
      <c r="L595" t="n">
        <v>0</v>
      </c>
      <c r="M595" t="n">
        <v>0</v>
      </c>
      <c r="N595" t="n">
        <v>0</v>
      </c>
      <c r="O595" t="n">
        <v>0</v>
      </c>
      <c r="P595" t="n">
        <v>0</v>
      </c>
      <c r="Q595" t="n">
        <v>0</v>
      </c>
      <c r="R595" s="2" t="inlineStr"/>
    </row>
    <row r="596" ht="15" customHeight="1">
      <c r="A596" t="inlineStr">
        <is>
          <t>A 51279-2022</t>
        </is>
      </c>
      <c r="B596" s="1" t="n">
        <v>44866</v>
      </c>
      <c r="C596" s="1" t="n">
        <v>45348</v>
      </c>
      <c r="D596" t="inlineStr">
        <is>
          <t>VÄSTMANLANDS LÄN</t>
        </is>
      </c>
      <c r="E596" t="inlineStr">
        <is>
          <t>SALA</t>
        </is>
      </c>
      <c r="G596" t="n">
        <v>3.9</v>
      </c>
      <c r="H596" t="n">
        <v>0</v>
      </c>
      <c r="I596" t="n">
        <v>0</v>
      </c>
      <c r="J596" t="n">
        <v>0</v>
      </c>
      <c r="K596" t="n">
        <v>0</v>
      </c>
      <c r="L596" t="n">
        <v>0</v>
      </c>
      <c r="M596" t="n">
        <v>0</v>
      </c>
      <c r="N596" t="n">
        <v>0</v>
      </c>
      <c r="O596" t="n">
        <v>0</v>
      </c>
      <c r="P596" t="n">
        <v>0</v>
      </c>
      <c r="Q596" t="n">
        <v>0</v>
      </c>
      <c r="R596" s="2" t="inlineStr"/>
    </row>
    <row r="597" ht="15" customHeight="1">
      <c r="A597" t="inlineStr">
        <is>
          <t>A 51377-2022</t>
        </is>
      </c>
      <c r="B597" s="1" t="n">
        <v>44866</v>
      </c>
      <c r="C597" s="1" t="n">
        <v>45348</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50795-2022</t>
        </is>
      </c>
      <c r="B598" s="1" t="n">
        <v>44867</v>
      </c>
      <c r="C598" s="1" t="n">
        <v>45348</v>
      </c>
      <c r="D598" t="inlineStr">
        <is>
          <t>VÄSTMANLANDS LÄN</t>
        </is>
      </c>
      <c r="E598" t="inlineStr">
        <is>
          <t>SALA</t>
        </is>
      </c>
      <c r="G598" t="n">
        <v>2.6</v>
      </c>
      <c r="H598" t="n">
        <v>0</v>
      </c>
      <c r="I598" t="n">
        <v>0</v>
      </c>
      <c r="J598" t="n">
        <v>0</v>
      </c>
      <c r="K598" t="n">
        <v>0</v>
      </c>
      <c r="L598" t="n">
        <v>0</v>
      </c>
      <c r="M598" t="n">
        <v>0</v>
      </c>
      <c r="N598" t="n">
        <v>0</v>
      </c>
      <c r="O598" t="n">
        <v>0</v>
      </c>
      <c r="P598" t="n">
        <v>0</v>
      </c>
      <c r="Q598" t="n">
        <v>0</v>
      </c>
      <c r="R598" s="2" t="inlineStr"/>
    </row>
    <row r="599" ht="15" customHeight="1">
      <c r="A599" t="inlineStr">
        <is>
          <t>A 51600-2022</t>
        </is>
      </c>
      <c r="B599" s="1" t="n">
        <v>44871</v>
      </c>
      <c r="C599" s="1" t="n">
        <v>45348</v>
      </c>
      <c r="D599" t="inlineStr">
        <is>
          <t>VÄSTMANLANDS LÄN</t>
        </is>
      </c>
      <c r="E599" t="inlineStr">
        <is>
          <t>SALA</t>
        </is>
      </c>
      <c r="F599" t="inlineStr">
        <is>
          <t>Bergvik skog öst AB</t>
        </is>
      </c>
      <c r="G599" t="n">
        <v>2.7</v>
      </c>
      <c r="H599" t="n">
        <v>0</v>
      </c>
      <c r="I599" t="n">
        <v>0</v>
      </c>
      <c r="J599" t="n">
        <v>0</v>
      </c>
      <c r="K599" t="n">
        <v>0</v>
      </c>
      <c r="L599" t="n">
        <v>0</v>
      </c>
      <c r="M599" t="n">
        <v>0</v>
      </c>
      <c r="N599" t="n">
        <v>0</v>
      </c>
      <c r="O599" t="n">
        <v>0</v>
      </c>
      <c r="P599" t="n">
        <v>0</v>
      </c>
      <c r="Q599" t="n">
        <v>0</v>
      </c>
      <c r="R599" s="2" t="inlineStr"/>
    </row>
    <row r="600" ht="15" customHeight="1">
      <c r="A600" t="inlineStr">
        <is>
          <t>A 51596-2022</t>
        </is>
      </c>
      <c r="B600" s="1" t="n">
        <v>44871</v>
      </c>
      <c r="C600" s="1" t="n">
        <v>45348</v>
      </c>
      <c r="D600" t="inlineStr">
        <is>
          <t>VÄSTMANLANDS LÄN</t>
        </is>
      </c>
      <c r="E600" t="inlineStr">
        <is>
          <t>SALA</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52504-2022</t>
        </is>
      </c>
      <c r="B601" s="1" t="n">
        <v>44874</v>
      </c>
      <c r="C601" s="1" t="n">
        <v>45348</v>
      </c>
      <c r="D601" t="inlineStr">
        <is>
          <t>VÄSTMANLANDS LÄN</t>
        </is>
      </c>
      <c r="E601" t="inlineStr">
        <is>
          <t>SALA</t>
        </is>
      </c>
      <c r="G601" t="n">
        <v>0.9</v>
      </c>
      <c r="H601" t="n">
        <v>0</v>
      </c>
      <c r="I601" t="n">
        <v>0</v>
      </c>
      <c r="J601" t="n">
        <v>0</v>
      </c>
      <c r="K601" t="n">
        <v>0</v>
      </c>
      <c r="L601" t="n">
        <v>0</v>
      </c>
      <c r="M601" t="n">
        <v>0</v>
      </c>
      <c r="N601" t="n">
        <v>0</v>
      </c>
      <c r="O601" t="n">
        <v>0</v>
      </c>
      <c r="P601" t="n">
        <v>0</v>
      </c>
      <c r="Q601" t="n">
        <v>0</v>
      </c>
      <c r="R601" s="2" t="inlineStr"/>
    </row>
    <row r="602" ht="15" customHeight="1">
      <c r="A602" t="inlineStr">
        <is>
          <t>A 52498-2022</t>
        </is>
      </c>
      <c r="B602" s="1" t="n">
        <v>44874</v>
      </c>
      <c r="C602" s="1" t="n">
        <v>45348</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52630-2022</t>
        </is>
      </c>
      <c r="B603" s="1" t="n">
        <v>44874</v>
      </c>
      <c r="C603" s="1" t="n">
        <v>45348</v>
      </c>
      <c r="D603" t="inlineStr">
        <is>
          <t>VÄSTMANLANDS LÄN</t>
        </is>
      </c>
      <c r="E603" t="inlineStr">
        <is>
          <t>SALA</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53425-2022</t>
        </is>
      </c>
      <c r="B604" s="1" t="n">
        <v>44879</v>
      </c>
      <c r="C604" s="1" t="n">
        <v>45348</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53432-2022</t>
        </is>
      </c>
      <c r="B605" s="1" t="n">
        <v>44879</v>
      </c>
      <c r="C605" s="1" t="n">
        <v>45348</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53628-2022</t>
        </is>
      </c>
      <c r="B606" s="1" t="n">
        <v>44879</v>
      </c>
      <c r="C606" s="1" t="n">
        <v>45348</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53630-2022</t>
        </is>
      </c>
      <c r="B607" s="1" t="n">
        <v>44879</v>
      </c>
      <c r="C607" s="1" t="n">
        <v>45348</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53864-2022</t>
        </is>
      </c>
      <c r="B608" s="1" t="n">
        <v>44880</v>
      </c>
      <c r="C608" s="1" t="n">
        <v>45348</v>
      </c>
      <c r="D608" t="inlineStr">
        <is>
          <t>VÄSTMANLANDS LÄN</t>
        </is>
      </c>
      <c r="E608" t="inlineStr">
        <is>
          <t>SALA</t>
        </is>
      </c>
      <c r="G608" t="n">
        <v>5.9</v>
      </c>
      <c r="H608" t="n">
        <v>0</v>
      </c>
      <c r="I608" t="n">
        <v>0</v>
      </c>
      <c r="J608" t="n">
        <v>0</v>
      </c>
      <c r="K608" t="n">
        <v>0</v>
      </c>
      <c r="L608" t="n">
        <v>0</v>
      </c>
      <c r="M608" t="n">
        <v>0</v>
      </c>
      <c r="N608" t="n">
        <v>0</v>
      </c>
      <c r="O608" t="n">
        <v>0</v>
      </c>
      <c r="P608" t="n">
        <v>0</v>
      </c>
      <c r="Q608" t="n">
        <v>0</v>
      </c>
      <c r="R608" s="2" t="inlineStr"/>
    </row>
    <row r="609" ht="15" customHeight="1">
      <c r="A609" t="inlineStr">
        <is>
          <t>A 53735-2022</t>
        </is>
      </c>
      <c r="B609" s="1" t="n">
        <v>44880</v>
      </c>
      <c r="C609" s="1" t="n">
        <v>45348</v>
      </c>
      <c r="D609" t="inlineStr">
        <is>
          <t>VÄSTMANLANDS LÄN</t>
        </is>
      </c>
      <c r="E609" t="inlineStr">
        <is>
          <t>SALA</t>
        </is>
      </c>
      <c r="F609" t="inlineStr">
        <is>
          <t>Bergvik skog öst AB</t>
        </is>
      </c>
      <c r="G609" t="n">
        <v>1.8</v>
      </c>
      <c r="H609" t="n">
        <v>0</v>
      </c>
      <c r="I609" t="n">
        <v>0</v>
      </c>
      <c r="J609" t="n">
        <v>0</v>
      </c>
      <c r="K609" t="n">
        <v>0</v>
      </c>
      <c r="L609" t="n">
        <v>0</v>
      </c>
      <c r="M609" t="n">
        <v>0</v>
      </c>
      <c r="N609" t="n">
        <v>0</v>
      </c>
      <c r="O609" t="n">
        <v>0</v>
      </c>
      <c r="P609" t="n">
        <v>0</v>
      </c>
      <c r="Q609" t="n">
        <v>0</v>
      </c>
      <c r="R609" s="2" t="inlineStr"/>
    </row>
    <row r="610" ht="15" customHeight="1">
      <c r="A610" t="inlineStr">
        <is>
          <t>A 53838-2022</t>
        </is>
      </c>
      <c r="B610" s="1" t="n">
        <v>44880</v>
      </c>
      <c r="C610" s="1" t="n">
        <v>45348</v>
      </c>
      <c r="D610" t="inlineStr">
        <is>
          <t>VÄSTMANLANDS LÄN</t>
        </is>
      </c>
      <c r="E610" t="inlineStr">
        <is>
          <t>SALA</t>
        </is>
      </c>
      <c r="G610" t="n">
        <v>3.9</v>
      </c>
      <c r="H610" t="n">
        <v>0</v>
      </c>
      <c r="I610" t="n">
        <v>0</v>
      </c>
      <c r="J610" t="n">
        <v>0</v>
      </c>
      <c r="K610" t="n">
        <v>0</v>
      </c>
      <c r="L610" t="n">
        <v>0</v>
      </c>
      <c r="M610" t="n">
        <v>0</v>
      </c>
      <c r="N610" t="n">
        <v>0</v>
      </c>
      <c r="O610" t="n">
        <v>0</v>
      </c>
      <c r="P610" t="n">
        <v>0</v>
      </c>
      <c r="Q610" t="n">
        <v>0</v>
      </c>
      <c r="R610" s="2" t="inlineStr"/>
    </row>
    <row r="611" ht="15" customHeight="1">
      <c r="A611" t="inlineStr">
        <is>
          <t>A 53997-2022</t>
        </is>
      </c>
      <c r="B611" s="1" t="n">
        <v>44881</v>
      </c>
      <c r="C611" s="1" t="n">
        <v>45348</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55733-2022</t>
        </is>
      </c>
      <c r="B612" s="1" t="n">
        <v>44888</v>
      </c>
      <c r="C612" s="1" t="n">
        <v>45348</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56089-2022</t>
        </is>
      </c>
      <c r="B613" s="1" t="n">
        <v>44889</v>
      </c>
      <c r="C613" s="1" t="n">
        <v>45348</v>
      </c>
      <c r="D613" t="inlineStr">
        <is>
          <t>VÄSTMANLANDS LÄN</t>
        </is>
      </c>
      <c r="E613" t="inlineStr">
        <is>
          <t>SALA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56088-2022</t>
        </is>
      </c>
      <c r="B614" s="1" t="n">
        <v>44889</v>
      </c>
      <c r="C614" s="1" t="n">
        <v>45348</v>
      </c>
      <c r="D614" t="inlineStr">
        <is>
          <t>VÄSTMANLANDS LÄN</t>
        </is>
      </c>
      <c r="E614" t="inlineStr">
        <is>
          <t>SALA</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56234-2022</t>
        </is>
      </c>
      <c r="B615" s="1" t="n">
        <v>44890</v>
      </c>
      <c r="C615" s="1" t="n">
        <v>45348</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56242-2022</t>
        </is>
      </c>
      <c r="B616" s="1" t="n">
        <v>44890</v>
      </c>
      <c r="C616" s="1" t="n">
        <v>45348</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56535-2022</t>
        </is>
      </c>
      <c r="B617" s="1" t="n">
        <v>44893</v>
      </c>
      <c r="C617" s="1" t="n">
        <v>45348</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56706-2022</t>
        </is>
      </c>
      <c r="B618" s="1" t="n">
        <v>44893</v>
      </c>
      <c r="C618" s="1" t="n">
        <v>45348</v>
      </c>
      <c r="D618" t="inlineStr">
        <is>
          <t>VÄSTMANLANDS LÄN</t>
        </is>
      </c>
      <c r="E618" t="inlineStr">
        <is>
          <t>SALA</t>
        </is>
      </c>
      <c r="G618" t="n">
        <v>4.5</v>
      </c>
      <c r="H618" t="n">
        <v>0</v>
      </c>
      <c r="I618" t="n">
        <v>0</v>
      </c>
      <c r="J618" t="n">
        <v>0</v>
      </c>
      <c r="K618" t="n">
        <v>0</v>
      </c>
      <c r="L618" t="n">
        <v>0</v>
      </c>
      <c r="M618" t="n">
        <v>0</v>
      </c>
      <c r="N618" t="n">
        <v>0</v>
      </c>
      <c r="O618" t="n">
        <v>0</v>
      </c>
      <c r="P618" t="n">
        <v>0</v>
      </c>
      <c r="Q618" t="n">
        <v>0</v>
      </c>
      <c r="R618" s="2" t="inlineStr"/>
    </row>
    <row r="619" ht="15" customHeight="1">
      <c r="A619" t="inlineStr">
        <is>
          <t>A 56547-2022</t>
        </is>
      </c>
      <c r="B619" s="1" t="n">
        <v>44893</v>
      </c>
      <c r="C619" s="1" t="n">
        <v>45348</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56707-2022</t>
        </is>
      </c>
      <c r="B620" s="1" t="n">
        <v>44893</v>
      </c>
      <c r="C620" s="1" t="n">
        <v>45348</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56977-2022</t>
        </is>
      </c>
      <c r="B621" s="1" t="n">
        <v>44894</v>
      </c>
      <c r="C621" s="1" t="n">
        <v>45348</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57371-2022</t>
        </is>
      </c>
      <c r="B622" s="1" t="n">
        <v>44896</v>
      </c>
      <c r="C622" s="1" t="n">
        <v>45348</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58076-2022</t>
        </is>
      </c>
      <c r="B623" s="1" t="n">
        <v>44900</v>
      </c>
      <c r="C623" s="1" t="n">
        <v>45348</v>
      </c>
      <c r="D623" t="inlineStr">
        <is>
          <t>VÄSTMANLANDS LÄN</t>
        </is>
      </c>
      <c r="E623" t="inlineStr">
        <is>
          <t>SALA</t>
        </is>
      </c>
      <c r="G623" t="n">
        <v>6.4</v>
      </c>
      <c r="H623" t="n">
        <v>0</v>
      </c>
      <c r="I623" t="n">
        <v>0</v>
      </c>
      <c r="J623" t="n">
        <v>0</v>
      </c>
      <c r="K623" t="n">
        <v>0</v>
      </c>
      <c r="L623" t="n">
        <v>0</v>
      </c>
      <c r="M623" t="n">
        <v>0</v>
      </c>
      <c r="N623" t="n">
        <v>0</v>
      </c>
      <c r="O623" t="n">
        <v>0</v>
      </c>
      <c r="P623" t="n">
        <v>0</v>
      </c>
      <c r="Q623" t="n">
        <v>0</v>
      </c>
      <c r="R623" s="2" t="inlineStr"/>
    </row>
    <row r="624" ht="15" customHeight="1">
      <c r="A624" t="inlineStr">
        <is>
          <t>A 58496-2022</t>
        </is>
      </c>
      <c r="B624" s="1" t="n">
        <v>44902</v>
      </c>
      <c r="C624" s="1" t="n">
        <v>45348</v>
      </c>
      <c r="D624" t="inlineStr">
        <is>
          <t>VÄSTMANLANDS LÄN</t>
        </is>
      </c>
      <c r="E624" t="inlineStr">
        <is>
          <t>SALA</t>
        </is>
      </c>
      <c r="G624" t="n">
        <v>5.9</v>
      </c>
      <c r="H624" t="n">
        <v>0</v>
      </c>
      <c r="I624" t="n">
        <v>0</v>
      </c>
      <c r="J624" t="n">
        <v>0</v>
      </c>
      <c r="K624" t="n">
        <v>0</v>
      </c>
      <c r="L624" t="n">
        <v>0</v>
      </c>
      <c r="M624" t="n">
        <v>0</v>
      </c>
      <c r="N624" t="n">
        <v>0</v>
      </c>
      <c r="O624" t="n">
        <v>0</v>
      </c>
      <c r="P624" t="n">
        <v>0</v>
      </c>
      <c r="Q624" t="n">
        <v>0</v>
      </c>
      <c r="R624" s="2" t="inlineStr"/>
    </row>
    <row r="625" ht="15" customHeight="1">
      <c r="A625" t="inlineStr">
        <is>
          <t>A 58502-2022</t>
        </is>
      </c>
      <c r="B625" s="1" t="n">
        <v>44902</v>
      </c>
      <c r="C625" s="1" t="n">
        <v>45348</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59019-2022</t>
        </is>
      </c>
      <c r="B626" s="1" t="n">
        <v>44903</v>
      </c>
      <c r="C626" s="1" t="n">
        <v>45348</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59175-2022</t>
        </is>
      </c>
      <c r="B627" s="1" t="n">
        <v>44904</v>
      </c>
      <c r="C627" s="1" t="n">
        <v>45348</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59483-2022</t>
        </is>
      </c>
      <c r="B628" s="1" t="n">
        <v>44907</v>
      </c>
      <c r="C628" s="1" t="n">
        <v>45348</v>
      </c>
      <c r="D628" t="inlineStr">
        <is>
          <t>VÄSTMANLANDS LÄN</t>
        </is>
      </c>
      <c r="E628" t="inlineStr">
        <is>
          <t>SALA</t>
        </is>
      </c>
      <c r="G628" t="n">
        <v>5.2</v>
      </c>
      <c r="H628" t="n">
        <v>0</v>
      </c>
      <c r="I628" t="n">
        <v>0</v>
      </c>
      <c r="J628" t="n">
        <v>0</v>
      </c>
      <c r="K628" t="n">
        <v>0</v>
      </c>
      <c r="L628" t="n">
        <v>0</v>
      </c>
      <c r="M628" t="n">
        <v>0</v>
      </c>
      <c r="N628" t="n">
        <v>0</v>
      </c>
      <c r="O628" t="n">
        <v>0</v>
      </c>
      <c r="P628" t="n">
        <v>0</v>
      </c>
      <c r="Q628" t="n">
        <v>0</v>
      </c>
      <c r="R628" s="2" t="inlineStr"/>
    </row>
    <row r="629" ht="15" customHeight="1">
      <c r="A629" t="inlineStr">
        <is>
          <t>A 60156-2022</t>
        </is>
      </c>
      <c r="B629" s="1" t="n">
        <v>44909</v>
      </c>
      <c r="C629" s="1" t="n">
        <v>45348</v>
      </c>
      <c r="D629" t="inlineStr">
        <is>
          <t>VÄSTMANLANDS LÄN</t>
        </is>
      </c>
      <c r="E629" t="inlineStr">
        <is>
          <t>SALA</t>
        </is>
      </c>
      <c r="G629" t="n">
        <v>3.4</v>
      </c>
      <c r="H629" t="n">
        <v>0</v>
      </c>
      <c r="I629" t="n">
        <v>0</v>
      </c>
      <c r="J629" t="n">
        <v>0</v>
      </c>
      <c r="K629" t="n">
        <v>0</v>
      </c>
      <c r="L629" t="n">
        <v>0</v>
      </c>
      <c r="M629" t="n">
        <v>0</v>
      </c>
      <c r="N629" t="n">
        <v>0</v>
      </c>
      <c r="O629" t="n">
        <v>0</v>
      </c>
      <c r="P629" t="n">
        <v>0</v>
      </c>
      <c r="Q629" t="n">
        <v>0</v>
      </c>
      <c r="R629" s="2" t="inlineStr"/>
    </row>
    <row r="630" ht="15" customHeight="1">
      <c r="A630" t="inlineStr">
        <is>
          <t>A 60379-2022</t>
        </is>
      </c>
      <c r="B630" s="1" t="n">
        <v>44910</v>
      </c>
      <c r="C630" s="1" t="n">
        <v>45348</v>
      </c>
      <c r="D630" t="inlineStr">
        <is>
          <t>VÄSTMANLANDS LÄN</t>
        </is>
      </c>
      <c r="E630" t="inlineStr">
        <is>
          <t>SALA</t>
        </is>
      </c>
      <c r="F630" t="inlineStr">
        <is>
          <t>Kyrkan</t>
        </is>
      </c>
      <c r="G630" t="n">
        <v>2.5</v>
      </c>
      <c r="H630" t="n">
        <v>0</v>
      </c>
      <c r="I630" t="n">
        <v>0</v>
      </c>
      <c r="J630" t="n">
        <v>0</v>
      </c>
      <c r="K630" t="n">
        <v>0</v>
      </c>
      <c r="L630" t="n">
        <v>0</v>
      </c>
      <c r="M630" t="n">
        <v>0</v>
      </c>
      <c r="N630" t="n">
        <v>0</v>
      </c>
      <c r="O630" t="n">
        <v>0</v>
      </c>
      <c r="P630" t="n">
        <v>0</v>
      </c>
      <c r="Q630" t="n">
        <v>0</v>
      </c>
      <c r="R630" s="2" t="inlineStr"/>
    </row>
    <row r="631" ht="15" customHeight="1">
      <c r="A631" t="inlineStr">
        <is>
          <t>A 60703-2022</t>
        </is>
      </c>
      <c r="B631" s="1" t="n">
        <v>44912</v>
      </c>
      <c r="C631" s="1" t="n">
        <v>45348</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60974-2022</t>
        </is>
      </c>
      <c r="B632" s="1" t="n">
        <v>44914</v>
      </c>
      <c r="C632" s="1" t="n">
        <v>45348</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62635-2022</t>
        </is>
      </c>
      <c r="B633" s="1" t="n">
        <v>44917</v>
      </c>
      <c r="C633" s="1" t="n">
        <v>45348</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62654-2022</t>
        </is>
      </c>
      <c r="B634" s="1" t="n">
        <v>44917</v>
      </c>
      <c r="C634" s="1" t="n">
        <v>45348</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62651-2022</t>
        </is>
      </c>
      <c r="B635" s="1" t="n">
        <v>44917</v>
      </c>
      <c r="C635" s="1" t="n">
        <v>45348</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62648-2022</t>
        </is>
      </c>
      <c r="B636" s="1" t="n">
        <v>44917</v>
      </c>
      <c r="C636" s="1" t="n">
        <v>45348</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61985-2022</t>
        </is>
      </c>
      <c r="B637" s="1" t="n">
        <v>44918</v>
      </c>
      <c r="C637" s="1" t="n">
        <v>45348</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62292-2022</t>
        </is>
      </c>
      <c r="B638" s="1" t="n">
        <v>44923</v>
      </c>
      <c r="C638" s="1" t="n">
        <v>45348</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62300-2022</t>
        </is>
      </c>
      <c r="B639" s="1" t="n">
        <v>44923</v>
      </c>
      <c r="C639" s="1" t="n">
        <v>45348</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1196-2023</t>
        </is>
      </c>
      <c r="B640" s="1" t="n">
        <v>44935</v>
      </c>
      <c r="C640" s="1" t="n">
        <v>45348</v>
      </c>
      <c r="D640" t="inlineStr">
        <is>
          <t>VÄSTMANLANDS LÄN</t>
        </is>
      </c>
      <c r="E640" t="inlineStr">
        <is>
          <t>SALA</t>
        </is>
      </c>
      <c r="G640" t="n">
        <v>4.1</v>
      </c>
      <c r="H640" t="n">
        <v>0</v>
      </c>
      <c r="I640" t="n">
        <v>0</v>
      </c>
      <c r="J640" t="n">
        <v>0</v>
      </c>
      <c r="K640" t="n">
        <v>0</v>
      </c>
      <c r="L640" t="n">
        <v>0</v>
      </c>
      <c r="M640" t="n">
        <v>0</v>
      </c>
      <c r="N640" t="n">
        <v>0</v>
      </c>
      <c r="O640" t="n">
        <v>0</v>
      </c>
      <c r="P640" t="n">
        <v>0</v>
      </c>
      <c r="Q640" t="n">
        <v>0</v>
      </c>
      <c r="R640" s="2" t="inlineStr"/>
    </row>
    <row r="641" ht="15" customHeight="1">
      <c r="A641" t="inlineStr">
        <is>
          <t>A 1638-2023</t>
        </is>
      </c>
      <c r="B641" s="1" t="n">
        <v>44937</v>
      </c>
      <c r="C641" s="1" t="n">
        <v>45348</v>
      </c>
      <c r="D641" t="inlineStr">
        <is>
          <t>VÄSTMANLANDS LÄN</t>
        </is>
      </c>
      <c r="E641" t="inlineStr">
        <is>
          <t>SALA</t>
        </is>
      </c>
      <c r="G641" t="n">
        <v>3.1</v>
      </c>
      <c r="H641" t="n">
        <v>0</v>
      </c>
      <c r="I641" t="n">
        <v>0</v>
      </c>
      <c r="J641" t="n">
        <v>0</v>
      </c>
      <c r="K641" t="n">
        <v>0</v>
      </c>
      <c r="L641" t="n">
        <v>0</v>
      </c>
      <c r="M641" t="n">
        <v>0</v>
      </c>
      <c r="N641" t="n">
        <v>0</v>
      </c>
      <c r="O641" t="n">
        <v>0</v>
      </c>
      <c r="P641" t="n">
        <v>0</v>
      </c>
      <c r="Q641" t="n">
        <v>0</v>
      </c>
      <c r="R641" s="2" t="inlineStr"/>
    </row>
    <row r="642" ht="15" customHeight="1">
      <c r="A642" t="inlineStr">
        <is>
          <t>A 1793-2023</t>
        </is>
      </c>
      <c r="B642" s="1" t="n">
        <v>44937</v>
      </c>
      <c r="C642" s="1" t="n">
        <v>45348</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1934-2023</t>
        </is>
      </c>
      <c r="B643" s="1" t="n">
        <v>44939</v>
      </c>
      <c r="C643" s="1" t="n">
        <v>45348</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1967-2023</t>
        </is>
      </c>
      <c r="B644" s="1" t="n">
        <v>44939</v>
      </c>
      <c r="C644" s="1" t="n">
        <v>45348</v>
      </c>
      <c r="D644" t="inlineStr">
        <is>
          <t>VÄSTMANLANDS LÄN</t>
        </is>
      </c>
      <c r="E644" t="inlineStr">
        <is>
          <t>SALA</t>
        </is>
      </c>
      <c r="G644" t="n">
        <v>4.1</v>
      </c>
      <c r="H644" t="n">
        <v>0</v>
      </c>
      <c r="I644" t="n">
        <v>0</v>
      </c>
      <c r="J644" t="n">
        <v>0</v>
      </c>
      <c r="K644" t="n">
        <v>0</v>
      </c>
      <c r="L644" t="n">
        <v>0</v>
      </c>
      <c r="M644" t="n">
        <v>0</v>
      </c>
      <c r="N644" t="n">
        <v>0</v>
      </c>
      <c r="O644" t="n">
        <v>0</v>
      </c>
      <c r="P644" t="n">
        <v>0</v>
      </c>
      <c r="Q644" t="n">
        <v>0</v>
      </c>
      <c r="R644" s="2" t="inlineStr"/>
    </row>
    <row r="645" ht="15" customHeight="1">
      <c r="A645" t="inlineStr">
        <is>
          <t>A 2521-2023</t>
        </is>
      </c>
      <c r="B645" s="1" t="n">
        <v>44943</v>
      </c>
      <c r="C645" s="1" t="n">
        <v>45348</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2900-2023</t>
        </is>
      </c>
      <c r="B646" s="1" t="n">
        <v>44943</v>
      </c>
      <c r="C646" s="1" t="n">
        <v>45348</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3733-2023</t>
        </is>
      </c>
      <c r="B647" s="1" t="n">
        <v>44951</v>
      </c>
      <c r="C647" s="1" t="n">
        <v>45348</v>
      </c>
      <c r="D647" t="inlineStr">
        <is>
          <t>VÄSTMANLANDS LÄN</t>
        </is>
      </c>
      <c r="E647" t="inlineStr">
        <is>
          <t>SALA</t>
        </is>
      </c>
      <c r="G647" t="n">
        <v>3.1</v>
      </c>
      <c r="H647" t="n">
        <v>0</v>
      </c>
      <c r="I647" t="n">
        <v>0</v>
      </c>
      <c r="J647" t="n">
        <v>0</v>
      </c>
      <c r="K647" t="n">
        <v>0</v>
      </c>
      <c r="L647" t="n">
        <v>0</v>
      </c>
      <c r="M647" t="n">
        <v>0</v>
      </c>
      <c r="N647" t="n">
        <v>0</v>
      </c>
      <c r="O647" t="n">
        <v>0</v>
      </c>
      <c r="P647" t="n">
        <v>0</v>
      </c>
      <c r="Q647" t="n">
        <v>0</v>
      </c>
      <c r="R647" s="2" t="inlineStr"/>
    </row>
    <row r="648" ht="15" customHeight="1">
      <c r="A648" t="inlineStr">
        <is>
          <t>A 3810-2023</t>
        </is>
      </c>
      <c r="B648" s="1" t="n">
        <v>44951</v>
      </c>
      <c r="C648" s="1" t="n">
        <v>45348</v>
      </c>
      <c r="D648" t="inlineStr">
        <is>
          <t>VÄSTMANLANDS LÄN</t>
        </is>
      </c>
      <c r="E648" t="inlineStr">
        <is>
          <t>SALA</t>
        </is>
      </c>
      <c r="G648" t="n">
        <v>4.2</v>
      </c>
      <c r="H648" t="n">
        <v>0</v>
      </c>
      <c r="I648" t="n">
        <v>0</v>
      </c>
      <c r="J648" t="n">
        <v>0</v>
      </c>
      <c r="K648" t="n">
        <v>0</v>
      </c>
      <c r="L648" t="n">
        <v>0</v>
      </c>
      <c r="M648" t="n">
        <v>0</v>
      </c>
      <c r="N648" t="n">
        <v>0</v>
      </c>
      <c r="O648" t="n">
        <v>0</v>
      </c>
      <c r="P648" t="n">
        <v>0</v>
      </c>
      <c r="Q648" t="n">
        <v>0</v>
      </c>
      <c r="R648" s="2" t="inlineStr"/>
    </row>
    <row r="649" ht="15" customHeight="1">
      <c r="A649" t="inlineStr">
        <is>
          <t>A 3866-2023</t>
        </is>
      </c>
      <c r="B649" s="1" t="n">
        <v>44951</v>
      </c>
      <c r="C649" s="1" t="n">
        <v>45348</v>
      </c>
      <c r="D649" t="inlineStr">
        <is>
          <t>VÄSTMANLANDS LÄN</t>
        </is>
      </c>
      <c r="E649" t="inlineStr">
        <is>
          <t>SALA</t>
        </is>
      </c>
      <c r="G649" t="n">
        <v>1.7</v>
      </c>
      <c r="H649" t="n">
        <v>0</v>
      </c>
      <c r="I649" t="n">
        <v>0</v>
      </c>
      <c r="J649" t="n">
        <v>0</v>
      </c>
      <c r="K649" t="n">
        <v>0</v>
      </c>
      <c r="L649" t="n">
        <v>0</v>
      </c>
      <c r="M649" t="n">
        <v>0</v>
      </c>
      <c r="N649" t="n">
        <v>0</v>
      </c>
      <c r="O649" t="n">
        <v>0</v>
      </c>
      <c r="P649" t="n">
        <v>0</v>
      </c>
      <c r="Q649" t="n">
        <v>0</v>
      </c>
      <c r="R649" s="2" t="inlineStr"/>
    </row>
    <row r="650" ht="15" customHeight="1">
      <c r="A650" t="inlineStr">
        <is>
          <t>A 4853-2023</t>
        </is>
      </c>
      <c r="B650" s="1" t="n">
        <v>44957</v>
      </c>
      <c r="C650" s="1" t="n">
        <v>45348</v>
      </c>
      <c r="D650" t="inlineStr">
        <is>
          <t>VÄSTMANLANDS LÄN</t>
        </is>
      </c>
      <c r="E650" t="inlineStr">
        <is>
          <t>SALA</t>
        </is>
      </c>
      <c r="G650" t="n">
        <v>2.7</v>
      </c>
      <c r="H650" t="n">
        <v>0</v>
      </c>
      <c r="I650" t="n">
        <v>0</v>
      </c>
      <c r="J650" t="n">
        <v>0</v>
      </c>
      <c r="K650" t="n">
        <v>0</v>
      </c>
      <c r="L650" t="n">
        <v>0</v>
      </c>
      <c r="M650" t="n">
        <v>0</v>
      </c>
      <c r="N650" t="n">
        <v>0</v>
      </c>
      <c r="O650" t="n">
        <v>0</v>
      </c>
      <c r="P650" t="n">
        <v>0</v>
      </c>
      <c r="Q650" t="n">
        <v>0</v>
      </c>
      <c r="R650" s="2" t="inlineStr"/>
    </row>
    <row r="651" ht="15" customHeight="1">
      <c r="A651" t="inlineStr">
        <is>
          <t>A 4637-2023</t>
        </is>
      </c>
      <c r="B651" s="1" t="n">
        <v>44957</v>
      </c>
      <c r="C651" s="1" t="n">
        <v>45348</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4791-2023</t>
        </is>
      </c>
      <c r="B652" s="1" t="n">
        <v>44957</v>
      </c>
      <c r="C652" s="1" t="n">
        <v>45348</v>
      </c>
      <c r="D652" t="inlineStr">
        <is>
          <t>VÄSTMANLANDS LÄN</t>
        </is>
      </c>
      <c r="E652" t="inlineStr">
        <is>
          <t>SALA</t>
        </is>
      </c>
      <c r="G652" t="n">
        <v>2.8</v>
      </c>
      <c r="H652" t="n">
        <v>0</v>
      </c>
      <c r="I652" t="n">
        <v>0</v>
      </c>
      <c r="J652" t="n">
        <v>0</v>
      </c>
      <c r="K652" t="n">
        <v>0</v>
      </c>
      <c r="L652" t="n">
        <v>0</v>
      </c>
      <c r="M652" t="n">
        <v>0</v>
      </c>
      <c r="N652" t="n">
        <v>0</v>
      </c>
      <c r="O652" t="n">
        <v>0</v>
      </c>
      <c r="P652" t="n">
        <v>0</v>
      </c>
      <c r="Q652" t="n">
        <v>0</v>
      </c>
      <c r="R652" s="2" t="inlineStr"/>
    </row>
    <row r="653" ht="15" customHeight="1">
      <c r="A653" t="inlineStr">
        <is>
          <t>A 4797-2023</t>
        </is>
      </c>
      <c r="B653" s="1" t="n">
        <v>44957</v>
      </c>
      <c r="C653" s="1" t="n">
        <v>45348</v>
      </c>
      <c r="D653" t="inlineStr">
        <is>
          <t>VÄSTMANLANDS LÄN</t>
        </is>
      </c>
      <c r="E653" t="inlineStr">
        <is>
          <t>SALA</t>
        </is>
      </c>
      <c r="G653" t="n">
        <v>5.7</v>
      </c>
      <c r="H653" t="n">
        <v>0</v>
      </c>
      <c r="I653" t="n">
        <v>0</v>
      </c>
      <c r="J653" t="n">
        <v>0</v>
      </c>
      <c r="K653" t="n">
        <v>0</v>
      </c>
      <c r="L653" t="n">
        <v>0</v>
      </c>
      <c r="M653" t="n">
        <v>0</v>
      </c>
      <c r="N653" t="n">
        <v>0</v>
      </c>
      <c r="O653" t="n">
        <v>0</v>
      </c>
      <c r="P653" t="n">
        <v>0</v>
      </c>
      <c r="Q653" t="n">
        <v>0</v>
      </c>
      <c r="R653" s="2" t="inlineStr"/>
    </row>
    <row r="654" ht="15" customHeight="1">
      <c r="A654" t="inlineStr">
        <is>
          <t>A 4852-2023</t>
        </is>
      </c>
      <c r="B654" s="1" t="n">
        <v>44957</v>
      </c>
      <c r="C654" s="1" t="n">
        <v>45348</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5782-2023</t>
        </is>
      </c>
      <c r="B655" s="1" t="n">
        <v>44963</v>
      </c>
      <c r="C655" s="1" t="n">
        <v>45348</v>
      </c>
      <c r="D655" t="inlineStr">
        <is>
          <t>VÄSTMANLANDS LÄN</t>
        </is>
      </c>
      <c r="E655" t="inlineStr">
        <is>
          <t>SALA</t>
        </is>
      </c>
      <c r="G655" t="n">
        <v>4.2</v>
      </c>
      <c r="H655" t="n">
        <v>0</v>
      </c>
      <c r="I655" t="n">
        <v>0</v>
      </c>
      <c r="J655" t="n">
        <v>0</v>
      </c>
      <c r="K655" t="n">
        <v>0</v>
      </c>
      <c r="L655" t="n">
        <v>0</v>
      </c>
      <c r="M655" t="n">
        <v>0</v>
      </c>
      <c r="N655" t="n">
        <v>0</v>
      </c>
      <c r="O655" t="n">
        <v>0</v>
      </c>
      <c r="P655" t="n">
        <v>0</v>
      </c>
      <c r="Q655" t="n">
        <v>0</v>
      </c>
      <c r="R655" s="2" t="inlineStr"/>
    </row>
    <row r="656" ht="15" customHeight="1">
      <c r="A656" t="inlineStr">
        <is>
          <t>A 6111-2023</t>
        </is>
      </c>
      <c r="B656" s="1" t="n">
        <v>44964</v>
      </c>
      <c r="C656" s="1" t="n">
        <v>45348</v>
      </c>
      <c r="D656" t="inlineStr">
        <is>
          <t>VÄSTMANLANDS LÄN</t>
        </is>
      </c>
      <c r="E656" t="inlineStr">
        <is>
          <t>SALA</t>
        </is>
      </c>
      <c r="G656" t="n">
        <v>3.7</v>
      </c>
      <c r="H656" t="n">
        <v>0</v>
      </c>
      <c r="I656" t="n">
        <v>0</v>
      </c>
      <c r="J656" t="n">
        <v>0</v>
      </c>
      <c r="K656" t="n">
        <v>0</v>
      </c>
      <c r="L656" t="n">
        <v>0</v>
      </c>
      <c r="M656" t="n">
        <v>0</v>
      </c>
      <c r="N656" t="n">
        <v>0</v>
      </c>
      <c r="O656" t="n">
        <v>0</v>
      </c>
      <c r="P656" t="n">
        <v>0</v>
      </c>
      <c r="Q656" t="n">
        <v>0</v>
      </c>
      <c r="R656" s="2" t="inlineStr"/>
    </row>
    <row r="657" ht="15" customHeight="1">
      <c r="A657" t="inlineStr">
        <is>
          <t>A 6135-2023</t>
        </is>
      </c>
      <c r="B657" s="1" t="n">
        <v>44964</v>
      </c>
      <c r="C657" s="1" t="n">
        <v>45348</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6167-2023</t>
        </is>
      </c>
      <c r="B658" s="1" t="n">
        <v>44964</v>
      </c>
      <c r="C658" s="1" t="n">
        <v>45348</v>
      </c>
      <c r="D658" t="inlineStr">
        <is>
          <t>VÄSTMANLANDS LÄN</t>
        </is>
      </c>
      <c r="E658" t="inlineStr">
        <is>
          <t>SALA</t>
        </is>
      </c>
      <c r="G658" t="n">
        <v>0.7</v>
      </c>
      <c r="H658" t="n">
        <v>0</v>
      </c>
      <c r="I658" t="n">
        <v>0</v>
      </c>
      <c r="J658" t="n">
        <v>0</v>
      </c>
      <c r="K658" t="n">
        <v>0</v>
      </c>
      <c r="L658" t="n">
        <v>0</v>
      </c>
      <c r="M658" t="n">
        <v>0</v>
      </c>
      <c r="N658" t="n">
        <v>0</v>
      </c>
      <c r="O658" t="n">
        <v>0</v>
      </c>
      <c r="P658" t="n">
        <v>0</v>
      </c>
      <c r="Q658" t="n">
        <v>0</v>
      </c>
      <c r="R658" s="2" t="inlineStr"/>
    </row>
    <row r="659" ht="15" customHeight="1">
      <c r="A659" t="inlineStr">
        <is>
          <t>A 6130-2023</t>
        </is>
      </c>
      <c r="B659" s="1" t="n">
        <v>44964</v>
      </c>
      <c r="C659" s="1" t="n">
        <v>45348</v>
      </c>
      <c r="D659" t="inlineStr">
        <is>
          <t>VÄSTMANLANDS LÄN</t>
        </is>
      </c>
      <c r="E659" t="inlineStr">
        <is>
          <t>SALA</t>
        </is>
      </c>
      <c r="G659" t="n">
        <v>8</v>
      </c>
      <c r="H659" t="n">
        <v>0</v>
      </c>
      <c r="I659" t="n">
        <v>0</v>
      </c>
      <c r="J659" t="n">
        <v>0</v>
      </c>
      <c r="K659" t="n">
        <v>0</v>
      </c>
      <c r="L659" t="n">
        <v>0</v>
      </c>
      <c r="M659" t="n">
        <v>0</v>
      </c>
      <c r="N659" t="n">
        <v>0</v>
      </c>
      <c r="O659" t="n">
        <v>0</v>
      </c>
      <c r="P659" t="n">
        <v>0</v>
      </c>
      <c r="Q659" t="n">
        <v>0</v>
      </c>
      <c r="R659" s="2" t="inlineStr"/>
    </row>
    <row r="660" ht="15" customHeight="1">
      <c r="A660" t="inlineStr">
        <is>
          <t>A 6116-2023</t>
        </is>
      </c>
      <c r="B660" s="1" t="n">
        <v>44964</v>
      </c>
      <c r="C660" s="1" t="n">
        <v>45348</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6139-2023</t>
        </is>
      </c>
      <c r="B661" s="1" t="n">
        <v>44964</v>
      </c>
      <c r="C661" s="1" t="n">
        <v>45348</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6869-2023</t>
        </is>
      </c>
      <c r="B662" s="1" t="n">
        <v>44964</v>
      </c>
      <c r="C662" s="1" t="n">
        <v>45348</v>
      </c>
      <c r="D662" t="inlineStr">
        <is>
          <t>VÄSTMANLANDS LÄN</t>
        </is>
      </c>
      <c r="E662" t="inlineStr">
        <is>
          <t>SALA</t>
        </is>
      </c>
      <c r="G662" t="n">
        <v>11.6</v>
      </c>
      <c r="H662" t="n">
        <v>0</v>
      </c>
      <c r="I662" t="n">
        <v>0</v>
      </c>
      <c r="J662" t="n">
        <v>0</v>
      </c>
      <c r="K662" t="n">
        <v>0</v>
      </c>
      <c r="L662" t="n">
        <v>0</v>
      </c>
      <c r="M662" t="n">
        <v>0</v>
      </c>
      <c r="N662" t="n">
        <v>0</v>
      </c>
      <c r="O662" t="n">
        <v>0</v>
      </c>
      <c r="P662" t="n">
        <v>0</v>
      </c>
      <c r="Q662" t="n">
        <v>0</v>
      </c>
      <c r="R662" s="2" t="inlineStr"/>
    </row>
    <row r="663" ht="15" customHeight="1">
      <c r="A663" t="inlineStr">
        <is>
          <t>A 6351-2023</t>
        </is>
      </c>
      <c r="B663" s="1" t="n">
        <v>44965</v>
      </c>
      <c r="C663" s="1" t="n">
        <v>45348</v>
      </c>
      <c r="D663" t="inlineStr">
        <is>
          <t>VÄSTMANLANDS LÄN</t>
        </is>
      </c>
      <c r="E663" t="inlineStr">
        <is>
          <t>SALA</t>
        </is>
      </c>
      <c r="F663" t="inlineStr">
        <is>
          <t>Kommuner</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6851-2023</t>
        </is>
      </c>
      <c r="B664" s="1" t="n">
        <v>44967</v>
      </c>
      <c r="C664" s="1" t="n">
        <v>45348</v>
      </c>
      <c r="D664" t="inlineStr">
        <is>
          <t>VÄSTMANLANDS LÄN</t>
        </is>
      </c>
      <c r="E664" t="inlineStr">
        <is>
          <t>SALA</t>
        </is>
      </c>
      <c r="G664" t="n">
        <v>2.7</v>
      </c>
      <c r="H664" t="n">
        <v>0</v>
      </c>
      <c r="I664" t="n">
        <v>0</v>
      </c>
      <c r="J664" t="n">
        <v>0</v>
      </c>
      <c r="K664" t="n">
        <v>0</v>
      </c>
      <c r="L664" t="n">
        <v>0</v>
      </c>
      <c r="M664" t="n">
        <v>0</v>
      </c>
      <c r="N664" t="n">
        <v>0</v>
      </c>
      <c r="O664" t="n">
        <v>0</v>
      </c>
      <c r="P664" t="n">
        <v>0</v>
      </c>
      <c r="Q664" t="n">
        <v>0</v>
      </c>
      <c r="R664" s="2" t="inlineStr"/>
    </row>
    <row r="665" ht="15" customHeight="1">
      <c r="A665" t="inlineStr">
        <is>
          <t>A 7176-2023</t>
        </is>
      </c>
      <c r="B665" s="1" t="n">
        <v>44970</v>
      </c>
      <c r="C665" s="1" t="n">
        <v>45348</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7193-2023</t>
        </is>
      </c>
      <c r="B666" s="1" t="n">
        <v>44970</v>
      </c>
      <c r="C666" s="1" t="n">
        <v>45348</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7954-2023</t>
        </is>
      </c>
      <c r="B667" s="1" t="n">
        <v>44970</v>
      </c>
      <c r="C667" s="1" t="n">
        <v>45348</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7377-2023</t>
        </is>
      </c>
      <c r="B668" s="1" t="n">
        <v>44971</v>
      </c>
      <c r="C668" s="1" t="n">
        <v>45348</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7351-2023</t>
        </is>
      </c>
      <c r="B669" s="1" t="n">
        <v>44971</v>
      </c>
      <c r="C669" s="1" t="n">
        <v>45348</v>
      </c>
      <c r="D669" t="inlineStr">
        <is>
          <t>VÄSTMANLANDS LÄN</t>
        </is>
      </c>
      <c r="E669" t="inlineStr">
        <is>
          <t>SALA</t>
        </is>
      </c>
      <c r="G669" t="n">
        <v>2.3</v>
      </c>
      <c r="H669" t="n">
        <v>0</v>
      </c>
      <c r="I669" t="n">
        <v>0</v>
      </c>
      <c r="J669" t="n">
        <v>0</v>
      </c>
      <c r="K669" t="n">
        <v>0</v>
      </c>
      <c r="L669" t="n">
        <v>0</v>
      </c>
      <c r="M669" t="n">
        <v>0</v>
      </c>
      <c r="N669" t="n">
        <v>0</v>
      </c>
      <c r="O669" t="n">
        <v>0</v>
      </c>
      <c r="P669" t="n">
        <v>0</v>
      </c>
      <c r="Q669" t="n">
        <v>0</v>
      </c>
      <c r="R669" s="2" t="inlineStr"/>
    </row>
    <row r="670" ht="15" customHeight="1">
      <c r="A670" t="inlineStr">
        <is>
          <t>A 7502-2023</t>
        </is>
      </c>
      <c r="B670" s="1" t="n">
        <v>44971</v>
      </c>
      <c r="C670" s="1" t="n">
        <v>45348</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7664-2023</t>
        </is>
      </c>
      <c r="B671" s="1" t="n">
        <v>44972</v>
      </c>
      <c r="C671" s="1" t="n">
        <v>45348</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7635-2023</t>
        </is>
      </c>
      <c r="B672" s="1" t="n">
        <v>44972</v>
      </c>
      <c r="C672" s="1" t="n">
        <v>45348</v>
      </c>
      <c r="D672" t="inlineStr">
        <is>
          <t>VÄSTMANLANDS LÄN</t>
        </is>
      </c>
      <c r="E672" t="inlineStr">
        <is>
          <t>SALA</t>
        </is>
      </c>
      <c r="G672" t="n">
        <v>1.3</v>
      </c>
      <c r="H672" t="n">
        <v>0</v>
      </c>
      <c r="I672" t="n">
        <v>0</v>
      </c>
      <c r="J672" t="n">
        <v>0</v>
      </c>
      <c r="K672" t="n">
        <v>0</v>
      </c>
      <c r="L672" t="n">
        <v>0</v>
      </c>
      <c r="M672" t="n">
        <v>0</v>
      </c>
      <c r="N672" t="n">
        <v>0</v>
      </c>
      <c r="O672" t="n">
        <v>0</v>
      </c>
      <c r="P672" t="n">
        <v>0</v>
      </c>
      <c r="Q672" t="n">
        <v>0</v>
      </c>
      <c r="R672" s="2" t="inlineStr"/>
    </row>
    <row r="673" ht="15" customHeight="1">
      <c r="A673" t="inlineStr">
        <is>
          <t>A 7772-2023</t>
        </is>
      </c>
      <c r="B673" s="1" t="n">
        <v>44973</v>
      </c>
      <c r="C673" s="1" t="n">
        <v>45348</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7813-2023</t>
        </is>
      </c>
      <c r="B674" s="1" t="n">
        <v>44973</v>
      </c>
      <c r="C674" s="1" t="n">
        <v>45348</v>
      </c>
      <c r="D674" t="inlineStr">
        <is>
          <t>VÄSTMANLANDS LÄN</t>
        </is>
      </c>
      <c r="E674" t="inlineStr">
        <is>
          <t>SALA</t>
        </is>
      </c>
      <c r="F674" t="inlineStr">
        <is>
          <t>Bergvik skog öst AB</t>
        </is>
      </c>
      <c r="G674" t="n">
        <v>1.8</v>
      </c>
      <c r="H674" t="n">
        <v>0</v>
      </c>
      <c r="I674" t="n">
        <v>0</v>
      </c>
      <c r="J674" t="n">
        <v>0</v>
      </c>
      <c r="K674" t="n">
        <v>0</v>
      </c>
      <c r="L674" t="n">
        <v>0</v>
      </c>
      <c r="M674" t="n">
        <v>0</v>
      </c>
      <c r="N674" t="n">
        <v>0</v>
      </c>
      <c r="O674" t="n">
        <v>0</v>
      </c>
      <c r="P674" t="n">
        <v>0</v>
      </c>
      <c r="Q674" t="n">
        <v>0</v>
      </c>
      <c r="R674" s="2" t="inlineStr"/>
    </row>
    <row r="675" ht="15" customHeight="1">
      <c r="A675" t="inlineStr">
        <is>
          <t>A 7747-2023</t>
        </is>
      </c>
      <c r="B675" s="1" t="n">
        <v>44973</v>
      </c>
      <c r="C675" s="1" t="n">
        <v>45348</v>
      </c>
      <c r="D675" t="inlineStr">
        <is>
          <t>VÄSTMANLANDS LÄN</t>
        </is>
      </c>
      <c r="E675" t="inlineStr">
        <is>
          <t>SALA</t>
        </is>
      </c>
      <c r="F675" t="inlineStr">
        <is>
          <t>Övriga Aktiebolag</t>
        </is>
      </c>
      <c r="G675" t="n">
        <v>3.1</v>
      </c>
      <c r="H675" t="n">
        <v>0</v>
      </c>
      <c r="I675" t="n">
        <v>0</v>
      </c>
      <c r="J675" t="n">
        <v>0</v>
      </c>
      <c r="K675" t="n">
        <v>0</v>
      </c>
      <c r="L675" t="n">
        <v>0</v>
      </c>
      <c r="M675" t="n">
        <v>0</v>
      </c>
      <c r="N675" t="n">
        <v>0</v>
      </c>
      <c r="O675" t="n">
        <v>0</v>
      </c>
      <c r="P675" t="n">
        <v>0</v>
      </c>
      <c r="Q675" t="n">
        <v>0</v>
      </c>
      <c r="R675" s="2" t="inlineStr"/>
    </row>
    <row r="676" ht="15" customHeight="1">
      <c r="A676" t="inlineStr">
        <is>
          <t>A 8047-2023</t>
        </is>
      </c>
      <c r="B676" s="1" t="n">
        <v>44974</v>
      </c>
      <c r="C676" s="1" t="n">
        <v>45348</v>
      </c>
      <c r="D676" t="inlineStr">
        <is>
          <t>VÄSTMANLANDS LÄN</t>
        </is>
      </c>
      <c r="E676" t="inlineStr">
        <is>
          <t>SALA</t>
        </is>
      </c>
      <c r="G676" t="n">
        <v>17.4</v>
      </c>
      <c r="H676" t="n">
        <v>0</v>
      </c>
      <c r="I676" t="n">
        <v>0</v>
      </c>
      <c r="J676" t="n">
        <v>0</v>
      </c>
      <c r="K676" t="n">
        <v>0</v>
      </c>
      <c r="L676" t="n">
        <v>0</v>
      </c>
      <c r="M676" t="n">
        <v>0</v>
      </c>
      <c r="N676" t="n">
        <v>0</v>
      </c>
      <c r="O676" t="n">
        <v>0</v>
      </c>
      <c r="P676" t="n">
        <v>0</v>
      </c>
      <c r="Q676" t="n">
        <v>0</v>
      </c>
      <c r="R676" s="2" t="inlineStr"/>
    </row>
    <row r="677" ht="15" customHeight="1">
      <c r="A677" t="inlineStr">
        <is>
          <t>A 8766-2023</t>
        </is>
      </c>
      <c r="B677" s="1" t="n">
        <v>44978</v>
      </c>
      <c r="C677" s="1" t="n">
        <v>45348</v>
      </c>
      <c r="D677" t="inlineStr">
        <is>
          <t>VÄSTMANLANDS LÄN</t>
        </is>
      </c>
      <c r="E677" t="inlineStr">
        <is>
          <t>SALA</t>
        </is>
      </c>
      <c r="G677" t="n">
        <v>1.2</v>
      </c>
      <c r="H677" t="n">
        <v>0</v>
      </c>
      <c r="I677" t="n">
        <v>0</v>
      </c>
      <c r="J677" t="n">
        <v>0</v>
      </c>
      <c r="K677" t="n">
        <v>0</v>
      </c>
      <c r="L677" t="n">
        <v>0</v>
      </c>
      <c r="M677" t="n">
        <v>0</v>
      </c>
      <c r="N677" t="n">
        <v>0</v>
      </c>
      <c r="O677" t="n">
        <v>0</v>
      </c>
      <c r="P677" t="n">
        <v>0</v>
      </c>
      <c r="Q677" t="n">
        <v>0</v>
      </c>
      <c r="R677" s="2" t="inlineStr"/>
    </row>
    <row r="678" ht="15" customHeight="1">
      <c r="A678" t="inlineStr">
        <is>
          <t>A 9051-2023</t>
        </is>
      </c>
      <c r="B678" s="1" t="n">
        <v>44979</v>
      </c>
      <c r="C678" s="1" t="n">
        <v>45348</v>
      </c>
      <c r="D678" t="inlineStr">
        <is>
          <t>VÄSTMANLANDS LÄN</t>
        </is>
      </c>
      <c r="E678" t="inlineStr">
        <is>
          <t>SALA</t>
        </is>
      </c>
      <c r="G678" t="n">
        <v>4.1</v>
      </c>
      <c r="H678" t="n">
        <v>0</v>
      </c>
      <c r="I678" t="n">
        <v>0</v>
      </c>
      <c r="J678" t="n">
        <v>0</v>
      </c>
      <c r="K678" t="n">
        <v>0</v>
      </c>
      <c r="L678" t="n">
        <v>0</v>
      </c>
      <c r="M678" t="n">
        <v>0</v>
      </c>
      <c r="N678" t="n">
        <v>0</v>
      </c>
      <c r="O678" t="n">
        <v>0</v>
      </c>
      <c r="P678" t="n">
        <v>0</v>
      </c>
      <c r="Q678" t="n">
        <v>0</v>
      </c>
      <c r="R678" s="2" t="inlineStr"/>
    </row>
    <row r="679" ht="15" customHeight="1">
      <c r="A679" t="inlineStr">
        <is>
          <t>A 11190-2023</t>
        </is>
      </c>
      <c r="B679" s="1" t="n">
        <v>44992</v>
      </c>
      <c r="C679" s="1" t="n">
        <v>45348</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11166-2023</t>
        </is>
      </c>
      <c r="B680" s="1" t="n">
        <v>44992</v>
      </c>
      <c r="C680" s="1" t="n">
        <v>45348</v>
      </c>
      <c r="D680" t="inlineStr">
        <is>
          <t>VÄSTMANLANDS LÄN</t>
        </is>
      </c>
      <c r="E680" t="inlineStr">
        <is>
          <t>SALA</t>
        </is>
      </c>
      <c r="G680" t="n">
        <v>3.9</v>
      </c>
      <c r="H680" t="n">
        <v>0</v>
      </c>
      <c r="I680" t="n">
        <v>0</v>
      </c>
      <c r="J680" t="n">
        <v>0</v>
      </c>
      <c r="K680" t="n">
        <v>0</v>
      </c>
      <c r="L680" t="n">
        <v>0</v>
      </c>
      <c r="M680" t="n">
        <v>0</v>
      </c>
      <c r="N680" t="n">
        <v>0</v>
      </c>
      <c r="O680" t="n">
        <v>0</v>
      </c>
      <c r="P680" t="n">
        <v>0</v>
      </c>
      <c r="Q680" t="n">
        <v>0</v>
      </c>
      <c r="R680" s="2" t="inlineStr"/>
    </row>
    <row r="681" ht="15" customHeight="1">
      <c r="A681" t="inlineStr">
        <is>
          <t>A 11183-2023</t>
        </is>
      </c>
      <c r="B681" s="1" t="n">
        <v>44992</v>
      </c>
      <c r="C681" s="1" t="n">
        <v>45348</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row r="682" ht="15" customHeight="1">
      <c r="A682" t="inlineStr">
        <is>
          <t>A 11631-2023</t>
        </is>
      </c>
      <c r="B682" s="1" t="n">
        <v>44994</v>
      </c>
      <c r="C682" s="1" t="n">
        <v>45348</v>
      </c>
      <c r="D682" t="inlineStr">
        <is>
          <t>VÄSTMANLANDS LÄN</t>
        </is>
      </c>
      <c r="E682" t="inlineStr">
        <is>
          <t>SALA</t>
        </is>
      </c>
      <c r="F682" t="inlineStr">
        <is>
          <t>Kommuner</t>
        </is>
      </c>
      <c r="G682" t="n">
        <v>1.9</v>
      </c>
      <c r="H682" t="n">
        <v>0</v>
      </c>
      <c r="I682" t="n">
        <v>0</v>
      </c>
      <c r="J682" t="n">
        <v>0</v>
      </c>
      <c r="K682" t="n">
        <v>0</v>
      </c>
      <c r="L682" t="n">
        <v>0</v>
      </c>
      <c r="M682" t="n">
        <v>0</v>
      </c>
      <c r="N682" t="n">
        <v>0</v>
      </c>
      <c r="O682" t="n">
        <v>0</v>
      </c>
      <c r="P682" t="n">
        <v>0</v>
      </c>
      <c r="Q682" t="n">
        <v>0</v>
      </c>
      <c r="R682" s="2" t="inlineStr"/>
    </row>
    <row r="683" ht="15" customHeight="1">
      <c r="A683" t="inlineStr">
        <is>
          <t>A 12231-2023</t>
        </is>
      </c>
      <c r="B683" s="1" t="n">
        <v>44995</v>
      </c>
      <c r="C683" s="1" t="n">
        <v>45348</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12246-2023</t>
        </is>
      </c>
      <c r="B684" s="1" t="n">
        <v>44995</v>
      </c>
      <c r="C684" s="1" t="n">
        <v>45348</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12272-2023</t>
        </is>
      </c>
      <c r="B685" s="1" t="n">
        <v>44995</v>
      </c>
      <c r="C685" s="1" t="n">
        <v>45348</v>
      </c>
      <c r="D685" t="inlineStr">
        <is>
          <t>VÄSTMANLANDS LÄN</t>
        </is>
      </c>
      <c r="E685" t="inlineStr">
        <is>
          <t>SALA</t>
        </is>
      </c>
      <c r="G685" t="n">
        <v>5.2</v>
      </c>
      <c r="H685" t="n">
        <v>0</v>
      </c>
      <c r="I685" t="n">
        <v>0</v>
      </c>
      <c r="J685" t="n">
        <v>0</v>
      </c>
      <c r="K685" t="n">
        <v>0</v>
      </c>
      <c r="L685" t="n">
        <v>0</v>
      </c>
      <c r="M685" t="n">
        <v>0</v>
      </c>
      <c r="N685" t="n">
        <v>0</v>
      </c>
      <c r="O685" t="n">
        <v>0</v>
      </c>
      <c r="P685" t="n">
        <v>0</v>
      </c>
      <c r="Q685" t="n">
        <v>0</v>
      </c>
      <c r="R685" s="2" t="inlineStr"/>
    </row>
    <row r="686" ht="15" customHeight="1">
      <c r="A686" t="inlineStr">
        <is>
          <t>A 12242-2023</t>
        </is>
      </c>
      <c r="B686" s="1" t="n">
        <v>44995</v>
      </c>
      <c r="C686" s="1" t="n">
        <v>45348</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12252-2023</t>
        </is>
      </c>
      <c r="B687" s="1" t="n">
        <v>44995</v>
      </c>
      <c r="C687" s="1" t="n">
        <v>45348</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12225-2023</t>
        </is>
      </c>
      <c r="B688" s="1" t="n">
        <v>44995</v>
      </c>
      <c r="C688" s="1" t="n">
        <v>45348</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12509-2023</t>
        </is>
      </c>
      <c r="B689" s="1" t="n">
        <v>45000</v>
      </c>
      <c r="C689" s="1" t="n">
        <v>45348</v>
      </c>
      <c r="D689" t="inlineStr">
        <is>
          <t>VÄSTMANLANDS LÄN</t>
        </is>
      </c>
      <c r="E689" t="inlineStr">
        <is>
          <t>SALA</t>
        </is>
      </c>
      <c r="G689" t="n">
        <v>13.9</v>
      </c>
      <c r="H689" t="n">
        <v>0</v>
      </c>
      <c r="I689" t="n">
        <v>0</v>
      </c>
      <c r="J689" t="n">
        <v>0</v>
      </c>
      <c r="K689" t="n">
        <v>0</v>
      </c>
      <c r="L689" t="n">
        <v>0</v>
      </c>
      <c r="M689" t="n">
        <v>0</v>
      </c>
      <c r="N689" t="n">
        <v>0</v>
      </c>
      <c r="O689" t="n">
        <v>0</v>
      </c>
      <c r="P689" t="n">
        <v>0</v>
      </c>
      <c r="Q689" t="n">
        <v>0</v>
      </c>
      <c r="R689" s="2" t="inlineStr"/>
    </row>
    <row r="690" ht="15" customHeight="1">
      <c r="A690" t="inlineStr">
        <is>
          <t>A 12510-2023</t>
        </is>
      </c>
      <c r="B690" s="1" t="n">
        <v>45000</v>
      </c>
      <c r="C690" s="1" t="n">
        <v>45348</v>
      </c>
      <c r="D690" t="inlineStr">
        <is>
          <t>VÄSTMANLANDS LÄN</t>
        </is>
      </c>
      <c r="E690" t="inlineStr">
        <is>
          <t>SALA</t>
        </is>
      </c>
      <c r="G690" t="n">
        <v>3.1</v>
      </c>
      <c r="H690" t="n">
        <v>0</v>
      </c>
      <c r="I690" t="n">
        <v>0</v>
      </c>
      <c r="J690" t="n">
        <v>0</v>
      </c>
      <c r="K690" t="n">
        <v>0</v>
      </c>
      <c r="L690" t="n">
        <v>0</v>
      </c>
      <c r="M690" t="n">
        <v>0</v>
      </c>
      <c r="N690" t="n">
        <v>0</v>
      </c>
      <c r="O690" t="n">
        <v>0</v>
      </c>
      <c r="P690" t="n">
        <v>0</v>
      </c>
      <c r="Q690" t="n">
        <v>0</v>
      </c>
      <c r="R690" s="2" t="inlineStr"/>
    </row>
    <row r="691" ht="15" customHeight="1">
      <c r="A691" t="inlineStr">
        <is>
          <t>A 13146-2023</t>
        </is>
      </c>
      <c r="B691" s="1" t="n">
        <v>45002</v>
      </c>
      <c r="C691" s="1" t="n">
        <v>45348</v>
      </c>
      <c r="D691" t="inlineStr">
        <is>
          <t>VÄSTMANLANDS LÄN</t>
        </is>
      </c>
      <c r="E691" t="inlineStr">
        <is>
          <t>SALA</t>
        </is>
      </c>
      <c r="G691" t="n">
        <v>2.5</v>
      </c>
      <c r="H691" t="n">
        <v>0</v>
      </c>
      <c r="I691" t="n">
        <v>0</v>
      </c>
      <c r="J691" t="n">
        <v>0</v>
      </c>
      <c r="K691" t="n">
        <v>0</v>
      </c>
      <c r="L691" t="n">
        <v>0</v>
      </c>
      <c r="M691" t="n">
        <v>0</v>
      </c>
      <c r="N691" t="n">
        <v>0</v>
      </c>
      <c r="O691" t="n">
        <v>0</v>
      </c>
      <c r="P691" t="n">
        <v>0</v>
      </c>
      <c r="Q691" t="n">
        <v>0</v>
      </c>
      <c r="R691" s="2" t="inlineStr"/>
    </row>
    <row r="692" ht="15" customHeight="1">
      <c r="A692" t="inlineStr">
        <is>
          <t>A 13022-2023</t>
        </is>
      </c>
      <c r="B692" s="1" t="n">
        <v>45002</v>
      </c>
      <c r="C692" s="1" t="n">
        <v>45348</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13151-2023</t>
        </is>
      </c>
      <c r="B693" s="1" t="n">
        <v>45002</v>
      </c>
      <c r="C693" s="1" t="n">
        <v>45348</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13128-2023</t>
        </is>
      </c>
      <c r="B694" s="1" t="n">
        <v>45002</v>
      </c>
      <c r="C694" s="1" t="n">
        <v>45348</v>
      </c>
      <c r="D694" t="inlineStr">
        <is>
          <t>VÄSTMANLANDS LÄN</t>
        </is>
      </c>
      <c r="E694" t="inlineStr">
        <is>
          <t>SALA</t>
        </is>
      </c>
      <c r="G694" t="n">
        <v>7.9</v>
      </c>
      <c r="H694" t="n">
        <v>0</v>
      </c>
      <c r="I694" t="n">
        <v>0</v>
      </c>
      <c r="J694" t="n">
        <v>0</v>
      </c>
      <c r="K694" t="n">
        <v>0</v>
      </c>
      <c r="L694" t="n">
        <v>0</v>
      </c>
      <c r="M694" t="n">
        <v>0</v>
      </c>
      <c r="N694" t="n">
        <v>0</v>
      </c>
      <c r="O694" t="n">
        <v>0</v>
      </c>
      <c r="P694" t="n">
        <v>0</v>
      </c>
      <c r="Q694" t="n">
        <v>0</v>
      </c>
      <c r="R694" s="2" t="inlineStr"/>
    </row>
    <row r="695" ht="15" customHeight="1">
      <c r="A695" t="inlineStr">
        <is>
          <t>A 13153-2023</t>
        </is>
      </c>
      <c r="B695" s="1" t="n">
        <v>45002</v>
      </c>
      <c r="C695" s="1" t="n">
        <v>45348</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13059-2023</t>
        </is>
      </c>
      <c r="B696" s="1" t="n">
        <v>45002</v>
      </c>
      <c r="C696" s="1" t="n">
        <v>45348</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13857-2023</t>
        </is>
      </c>
      <c r="B697" s="1" t="n">
        <v>45007</v>
      </c>
      <c r="C697" s="1" t="n">
        <v>45348</v>
      </c>
      <c r="D697" t="inlineStr">
        <is>
          <t>VÄSTMANLANDS LÄN</t>
        </is>
      </c>
      <c r="E697" t="inlineStr">
        <is>
          <t>SALA</t>
        </is>
      </c>
      <c r="G697" t="n">
        <v>5.7</v>
      </c>
      <c r="H697" t="n">
        <v>0</v>
      </c>
      <c r="I697" t="n">
        <v>0</v>
      </c>
      <c r="J697" t="n">
        <v>0</v>
      </c>
      <c r="K697" t="n">
        <v>0</v>
      </c>
      <c r="L697" t="n">
        <v>0</v>
      </c>
      <c r="M697" t="n">
        <v>0</v>
      </c>
      <c r="N697" t="n">
        <v>0</v>
      </c>
      <c r="O697" t="n">
        <v>0</v>
      </c>
      <c r="P697" t="n">
        <v>0</v>
      </c>
      <c r="Q697" t="n">
        <v>0</v>
      </c>
      <c r="R697" s="2" t="inlineStr"/>
    </row>
    <row r="698" ht="15" customHeight="1">
      <c r="A698" t="inlineStr">
        <is>
          <t>A 13833-2023</t>
        </is>
      </c>
      <c r="B698" s="1" t="n">
        <v>45007</v>
      </c>
      <c r="C698" s="1" t="n">
        <v>45348</v>
      </c>
      <c r="D698" t="inlineStr">
        <is>
          <t>VÄSTMANLANDS LÄN</t>
        </is>
      </c>
      <c r="E698" t="inlineStr">
        <is>
          <t>SALA</t>
        </is>
      </c>
      <c r="G698" t="n">
        <v>4.3</v>
      </c>
      <c r="H698" t="n">
        <v>0</v>
      </c>
      <c r="I698" t="n">
        <v>0</v>
      </c>
      <c r="J698" t="n">
        <v>0</v>
      </c>
      <c r="K698" t="n">
        <v>0</v>
      </c>
      <c r="L698" t="n">
        <v>0</v>
      </c>
      <c r="M698" t="n">
        <v>0</v>
      </c>
      <c r="N698" t="n">
        <v>0</v>
      </c>
      <c r="O698" t="n">
        <v>0</v>
      </c>
      <c r="P698" t="n">
        <v>0</v>
      </c>
      <c r="Q698" t="n">
        <v>0</v>
      </c>
      <c r="R698" s="2" t="inlineStr"/>
    </row>
    <row r="699" ht="15" customHeight="1">
      <c r="A699" t="inlineStr">
        <is>
          <t>A 13855-2023</t>
        </is>
      </c>
      <c r="B699" s="1" t="n">
        <v>45007</v>
      </c>
      <c r="C699" s="1" t="n">
        <v>45348</v>
      </c>
      <c r="D699" t="inlineStr">
        <is>
          <t>VÄSTMANLANDS LÄN</t>
        </is>
      </c>
      <c r="E699" t="inlineStr">
        <is>
          <t>SALA</t>
        </is>
      </c>
      <c r="G699" t="n">
        <v>2.9</v>
      </c>
      <c r="H699" t="n">
        <v>0</v>
      </c>
      <c r="I699" t="n">
        <v>0</v>
      </c>
      <c r="J699" t="n">
        <v>0</v>
      </c>
      <c r="K699" t="n">
        <v>0</v>
      </c>
      <c r="L699" t="n">
        <v>0</v>
      </c>
      <c r="M699" t="n">
        <v>0</v>
      </c>
      <c r="N699" t="n">
        <v>0</v>
      </c>
      <c r="O699" t="n">
        <v>0</v>
      </c>
      <c r="P699" t="n">
        <v>0</v>
      </c>
      <c r="Q699" t="n">
        <v>0</v>
      </c>
      <c r="R699" s="2" t="inlineStr"/>
    </row>
    <row r="700" ht="15" customHeight="1">
      <c r="A700" t="inlineStr">
        <is>
          <t>A 13990-2023</t>
        </is>
      </c>
      <c r="B700" s="1" t="n">
        <v>45007</v>
      </c>
      <c r="C700" s="1" t="n">
        <v>45348</v>
      </c>
      <c r="D700" t="inlineStr">
        <is>
          <t>VÄSTMANLANDS LÄN</t>
        </is>
      </c>
      <c r="E700" t="inlineStr">
        <is>
          <t>SALA</t>
        </is>
      </c>
      <c r="G700" t="n">
        <v>2.6</v>
      </c>
      <c r="H700" t="n">
        <v>0</v>
      </c>
      <c r="I700" t="n">
        <v>0</v>
      </c>
      <c r="J700" t="n">
        <v>0</v>
      </c>
      <c r="K700" t="n">
        <v>0</v>
      </c>
      <c r="L700" t="n">
        <v>0</v>
      </c>
      <c r="M700" t="n">
        <v>0</v>
      </c>
      <c r="N700" t="n">
        <v>0</v>
      </c>
      <c r="O700" t="n">
        <v>0</v>
      </c>
      <c r="P700" t="n">
        <v>0</v>
      </c>
      <c r="Q700" t="n">
        <v>0</v>
      </c>
      <c r="R700" s="2" t="inlineStr"/>
    </row>
    <row r="701" ht="15" customHeight="1">
      <c r="A701" t="inlineStr">
        <is>
          <t>A 13987-2023</t>
        </is>
      </c>
      <c r="B701" s="1" t="n">
        <v>45007</v>
      </c>
      <c r="C701" s="1" t="n">
        <v>45348</v>
      </c>
      <c r="D701" t="inlineStr">
        <is>
          <t>VÄSTMANLANDS LÄN</t>
        </is>
      </c>
      <c r="E701" t="inlineStr">
        <is>
          <t>SALA</t>
        </is>
      </c>
      <c r="G701" t="n">
        <v>3.2</v>
      </c>
      <c r="H701" t="n">
        <v>0</v>
      </c>
      <c r="I701" t="n">
        <v>0</v>
      </c>
      <c r="J701" t="n">
        <v>0</v>
      </c>
      <c r="K701" t="n">
        <v>0</v>
      </c>
      <c r="L701" t="n">
        <v>0</v>
      </c>
      <c r="M701" t="n">
        <v>0</v>
      </c>
      <c r="N701" t="n">
        <v>0</v>
      </c>
      <c r="O701" t="n">
        <v>0</v>
      </c>
      <c r="P701" t="n">
        <v>0</v>
      </c>
      <c r="Q701" t="n">
        <v>0</v>
      </c>
      <c r="R701" s="2" t="inlineStr"/>
    </row>
    <row r="702" ht="15" customHeight="1">
      <c r="A702" t="inlineStr">
        <is>
          <t>A 13935-2023</t>
        </is>
      </c>
      <c r="B702" s="1" t="n">
        <v>45008</v>
      </c>
      <c r="C702" s="1" t="n">
        <v>45348</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14578-2023</t>
        </is>
      </c>
      <c r="B703" s="1" t="n">
        <v>45013</v>
      </c>
      <c r="C703" s="1" t="n">
        <v>45348</v>
      </c>
      <c r="D703" t="inlineStr">
        <is>
          <t>VÄSTMANLANDS LÄN</t>
        </is>
      </c>
      <c r="E703" t="inlineStr">
        <is>
          <t>SALA</t>
        </is>
      </c>
      <c r="G703" t="n">
        <v>5.2</v>
      </c>
      <c r="H703" t="n">
        <v>0</v>
      </c>
      <c r="I703" t="n">
        <v>0</v>
      </c>
      <c r="J703" t="n">
        <v>0</v>
      </c>
      <c r="K703" t="n">
        <v>0</v>
      </c>
      <c r="L703" t="n">
        <v>0</v>
      </c>
      <c r="M703" t="n">
        <v>0</v>
      </c>
      <c r="N703" t="n">
        <v>0</v>
      </c>
      <c r="O703" t="n">
        <v>0</v>
      </c>
      <c r="P703" t="n">
        <v>0</v>
      </c>
      <c r="Q703" t="n">
        <v>0</v>
      </c>
      <c r="R703" s="2" t="inlineStr"/>
    </row>
    <row r="704" ht="15" customHeight="1">
      <c r="A704" t="inlineStr">
        <is>
          <t>A 14823-2023</t>
        </is>
      </c>
      <c r="B704" s="1" t="n">
        <v>45014</v>
      </c>
      <c r="C704" s="1" t="n">
        <v>45348</v>
      </c>
      <c r="D704" t="inlineStr">
        <is>
          <t>VÄSTMANLANDS LÄN</t>
        </is>
      </c>
      <c r="E704" t="inlineStr">
        <is>
          <t>SALA</t>
        </is>
      </c>
      <c r="F704" t="inlineStr">
        <is>
          <t>Kyrkan</t>
        </is>
      </c>
      <c r="G704" t="n">
        <v>3.1</v>
      </c>
      <c r="H704" t="n">
        <v>0</v>
      </c>
      <c r="I704" t="n">
        <v>0</v>
      </c>
      <c r="J704" t="n">
        <v>0</v>
      </c>
      <c r="K704" t="n">
        <v>0</v>
      </c>
      <c r="L704" t="n">
        <v>0</v>
      </c>
      <c r="M704" t="n">
        <v>0</v>
      </c>
      <c r="N704" t="n">
        <v>0</v>
      </c>
      <c r="O704" t="n">
        <v>0</v>
      </c>
      <c r="P704" t="n">
        <v>0</v>
      </c>
      <c r="Q704" t="n">
        <v>0</v>
      </c>
      <c r="R704" s="2" t="inlineStr"/>
    </row>
    <row r="705" ht="15" customHeight="1">
      <c r="A705" t="inlineStr">
        <is>
          <t>A 14790-2023</t>
        </is>
      </c>
      <c r="B705" s="1" t="n">
        <v>45014</v>
      </c>
      <c r="C705" s="1" t="n">
        <v>45348</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15589-2023</t>
        </is>
      </c>
      <c r="B706" s="1" t="n">
        <v>45020</v>
      </c>
      <c r="C706" s="1" t="n">
        <v>45348</v>
      </c>
      <c r="D706" t="inlineStr">
        <is>
          <t>VÄSTMANLANDS LÄN</t>
        </is>
      </c>
      <c r="E706" t="inlineStr">
        <is>
          <t>SALA</t>
        </is>
      </c>
      <c r="G706" t="n">
        <v>7.5</v>
      </c>
      <c r="H706" t="n">
        <v>0</v>
      </c>
      <c r="I706" t="n">
        <v>0</v>
      </c>
      <c r="J706" t="n">
        <v>0</v>
      </c>
      <c r="K706" t="n">
        <v>0</v>
      </c>
      <c r="L706" t="n">
        <v>0</v>
      </c>
      <c r="M706" t="n">
        <v>0</v>
      </c>
      <c r="N706" t="n">
        <v>0</v>
      </c>
      <c r="O706" t="n">
        <v>0</v>
      </c>
      <c r="P706" t="n">
        <v>0</v>
      </c>
      <c r="Q706" t="n">
        <v>0</v>
      </c>
      <c r="R706" s="2" t="inlineStr"/>
    </row>
    <row r="707" ht="15" customHeight="1">
      <c r="A707" t="inlineStr">
        <is>
          <t>A 15584-2023</t>
        </is>
      </c>
      <c r="B707" s="1" t="n">
        <v>45020</v>
      </c>
      <c r="C707" s="1" t="n">
        <v>45348</v>
      </c>
      <c r="D707" t="inlineStr">
        <is>
          <t>VÄSTMANLANDS LÄN</t>
        </is>
      </c>
      <c r="E707" t="inlineStr">
        <is>
          <t>SALA</t>
        </is>
      </c>
      <c r="G707" t="n">
        <v>4.2</v>
      </c>
      <c r="H707" t="n">
        <v>0</v>
      </c>
      <c r="I707" t="n">
        <v>0</v>
      </c>
      <c r="J707" t="n">
        <v>0</v>
      </c>
      <c r="K707" t="n">
        <v>0</v>
      </c>
      <c r="L707" t="n">
        <v>0</v>
      </c>
      <c r="M707" t="n">
        <v>0</v>
      </c>
      <c r="N707" t="n">
        <v>0</v>
      </c>
      <c r="O707" t="n">
        <v>0</v>
      </c>
      <c r="P707" t="n">
        <v>0</v>
      </c>
      <c r="Q707" t="n">
        <v>0</v>
      </c>
      <c r="R707" s="2" t="inlineStr"/>
    </row>
    <row r="708" ht="15" customHeight="1">
      <c r="A708" t="inlineStr">
        <is>
          <t>A 16003-2023</t>
        </is>
      </c>
      <c r="B708" s="1" t="n">
        <v>45024</v>
      </c>
      <c r="C708" s="1" t="n">
        <v>45348</v>
      </c>
      <c r="D708" t="inlineStr">
        <is>
          <t>VÄSTMANLANDS LÄN</t>
        </is>
      </c>
      <c r="E708" t="inlineStr">
        <is>
          <t>SALA</t>
        </is>
      </c>
      <c r="G708" t="n">
        <v>6.6</v>
      </c>
      <c r="H708" t="n">
        <v>0</v>
      </c>
      <c r="I708" t="n">
        <v>0</v>
      </c>
      <c r="J708" t="n">
        <v>0</v>
      </c>
      <c r="K708" t="n">
        <v>0</v>
      </c>
      <c r="L708" t="n">
        <v>0</v>
      </c>
      <c r="M708" t="n">
        <v>0</v>
      </c>
      <c r="N708" t="n">
        <v>0</v>
      </c>
      <c r="O708" t="n">
        <v>0</v>
      </c>
      <c r="P708" t="n">
        <v>0</v>
      </c>
      <c r="Q708" t="n">
        <v>0</v>
      </c>
      <c r="R708" s="2" t="inlineStr"/>
    </row>
    <row r="709" ht="15" customHeight="1">
      <c r="A709" t="inlineStr">
        <is>
          <t>A 16002-2023</t>
        </is>
      </c>
      <c r="B709" s="1" t="n">
        <v>45024</v>
      </c>
      <c r="C709" s="1" t="n">
        <v>45348</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16041-2023</t>
        </is>
      </c>
      <c r="B710" s="1" t="n">
        <v>45027</v>
      </c>
      <c r="C710" s="1" t="n">
        <v>45348</v>
      </c>
      <c r="D710" t="inlineStr">
        <is>
          <t>VÄSTMANLANDS LÄN</t>
        </is>
      </c>
      <c r="E710" t="inlineStr">
        <is>
          <t>SALA</t>
        </is>
      </c>
      <c r="G710" t="n">
        <v>3.1</v>
      </c>
      <c r="H710" t="n">
        <v>0</v>
      </c>
      <c r="I710" t="n">
        <v>0</v>
      </c>
      <c r="J710" t="n">
        <v>0</v>
      </c>
      <c r="K710" t="n">
        <v>0</v>
      </c>
      <c r="L710" t="n">
        <v>0</v>
      </c>
      <c r="M710" t="n">
        <v>0</v>
      </c>
      <c r="N710" t="n">
        <v>0</v>
      </c>
      <c r="O710" t="n">
        <v>0</v>
      </c>
      <c r="P710" t="n">
        <v>0</v>
      </c>
      <c r="Q710" t="n">
        <v>0</v>
      </c>
      <c r="R710" s="2" t="inlineStr"/>
    </row>
    <row r="711" ht="15" customHeight="1">
      <c r="A711" t="inlineStr">
        <is>
          <t>A 16142-2023</t>
        </is>
      </c>
      <c r="B711" s="1" t="n">
        <v>45027</v>
      </c>
      <c r="C711" s="1" t="n">
        <v>45348</v>
      </c>
      <c r="D711" t="inlineStr">
        <is>
          <t>VÄSTMANLANDS LÄN</t>
        </is>
      </c>
      <c r="E711" t="inlineStr">
        <is>
          <t>SALA</t>
        </is>
      </c>
      <c r="G711" t="n">
        <v>6.3</v>
      </c>
      <c r="H711" t="n">
        <v>0</v>
      </c>
      <c r="I711" t="n">
        <v>0</v>
      </c>
      <c r="J711" t="n">
        <v>0</v>
      </c>
      <c r="K711" t="n">
        <v>0</v>
      </c>
      <c r="L711" t="n">
        <v>0</v>
      </c>
      <c r="M711" t="n">
        <v>0</v>
      </c>
      <c r="N711" t="n">
        <v>0</v>
      </c>
      <c r="O711" t="n">
        <v>0</v>
      </c>
      <c r="P711" t="n">
        <v>0</v>
      </c>
      <c r="Q711" t="n">
        <v>0</v>
      </c>
      <c r="R711" s="2" t="inlineStr"/>
    </row>
    <row r="712" ht="15" customHeight="1">
      <c r="A712" t="inlineStr">
        <is>
          <t>A 16083-2023</t>
        </is>
      </c>
      <c r="B712" s="1" t="n">
        <v>45027</v>
      </c>
      <c r="C712" s="1" t="n">
        <v>45348</v>
      </c>
      <c r="D712" t="inlineStr">
        <is>
          <t>VÄSTMANLANDS LÄN</t>
        </is>
      </c>
      <c r="E712" t="inlineStr">
        <is>
          <t>SALA</t>
        </is>
      </c>
      <c r="G712" t="n">
        <v>4.4</v>
      </c>
      <c r="H712" t="n">
        <v>0</v>
      </c>
      <c r="I712" t="n">
        <v>0</v>
      </c>
      <c r="J712" t="n">
        <v>0</v>
      </c>
      <c r="K712" t="n">
        <v>0</v>
      </c>
      <c r="L712" t="n">
        <v>0</v>
      </c>
      <c r="M712" t="n">
        <v>0</v>
      </c>
      <c r="N712" t="n">
        <v>0</v>
      </c>
      <c r="O712" t="n">
        <v>0</v>
      </c>
      <c r="P712" t="n">
        <v>0</v>
      </c>
      <c r="Q712" t="n">
        <v>0</v>
      </c>
      <c r="R712" s="2" t="inlineStr"/>
    </row>
    <row r="713" ht="15" customHeight="1">
      <c r="A713" t="inlineStr">
        <is>
          <t>A 16638-2023</t>
        </is>
      </c>
      <c r="B713" s="1" t="n">
        <v>45027</v>
      </c>
      <c r="C713" s="1" t="n">
        <v>45348</v>
      </c>
      <c r="D713" t="inlineStr">
        <is>
          <t>VÄSTMANLANDS LÄN</t>
        </is>
      </c>
      <c r="E713" t="inlineStr">
        <is>
          <t>SALA</t>
        </is>
      </c>
      <c r="G713" t="n">
        <v>14.8</v>
      </c>
      <c r="H713" t="n">
        <v>0</v>
      </c>
      <c r="I713" t="n">
        <v>0</v>
      </c>
      <c r="J713" t="n">
        <v>0</v>
      </c>
      <c r="K713" t="n">
        <v>0</v>
      </c>
      <c r="L713" t="n">
        <v>0</v>
      </c>
      <c r="M713" t="n">
        <v>0</v>
      </c>
      <c r="N713" t="n">
        <v>0</v>
      </c>
      <c r="O713" t="n">
        <v>0</v>
      </c>
      <c r="P713" t="n">
        <v>0</v>
      </c>
      <c r="Q713" t="n">
        <v>0</v>
      </c>
      <c r="R713" s="2" t="inlineStr"/>
    </row>
    <row r="714" ht="15" customHeight="1">
      <c r="A714" t="inlineStr">
        <is>
          <t>A 16693-2023</t>
        </is>
      </c>
      <c r="B714" s="1" t="n">
        <v>45028</v>
      </c>
      <c r="C714" s="1" t="n">
        <v>45348</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16546-2023</t>
        </is>
      </c>
      <c r="B715" s="1" t="n">
        <v>45029</v>
      </c>
      <c r="C715" s="1" t="n">
        <v>45348</v>
      </c>
      <c r="D715" t="inlineStr">
        <is>
          <t>VÄSTMANLANDS LÄN</t>
        </is>
      </c>
      <c r="E715" t="inlineStr">
        <is>
          <t>SALA</t>
        </is>
      </c>
      <c r="F715" t="inlineStr">
        <is>
          <t>Sveaskog</t>
        </is>
      </c>
      <c r="G715" t="n">
        <v>0.5</v>
      </c>
      <c r="H715" t="n">
        <v>0</v>
      </c>
      <c r="I715" t="n">
        <v>0</v>
      </c>
      <c r="J715" t="n">
        <v>0</v>
      </c>
      <c r="K715" t="n">
        <v>0</v>
      </c>
      <c r="L715" t="n">
        <v>0</v>
      </c>
      <c r="M715" t="n">
        <v>0</v>
      </c>
      <c r="N715" t="n">
        <v>0</v>
      </c>
      <c r="O715" t="n">
        <v>0</v>
      </c>
      <c r="P715" t="n">
        <v>0</v>
      </c>
      <c r="Q715" t="n">
        <v>0</v>
      </c>
      <c r="R715" s="2" t="inlineStr"/>
    </row>
    <row r="716" ht="15" customHeight="1">
      <c r="A716" t="inlineStr">
        <is>
          <t>A 16543-2023</t>
        </is>
      </c>
      <c r="B716" s="1" t="n">
        <v>45029</v>
      </c>
      <c r="C716" s="1" t="n">
        <v>45348</v>
      </c>
      <c r="D716" t="inlineStr">
        <is>
          <t>VÄSTMANLANDS LÄN</t>
        </is>
      </c>
      <c r="E716" t="inlineStr">
        <is>
          <t>SALA</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16544-2023</t>
        </is>
      </c>
      <c r="B717" s="1" t="n">
        <v>45029</v>
      </c>
      <c r="C717" s="1" t="n">
        <v>45348</v>
      </c>
      <c r="D717" t="inlineStr">
        <is>
          <t>VÄSTMANLANDS LÄN</t>
        </is>
      </c>
      <c r="E717" t="inlineStr">
        <is>
          <t>SALA</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16547-2023</t>
        </is>
      </c>
      <c r="B718" s="1" t="n">
        <v>45029</v>
      </c>
      <c r="C718" s="1" t="n">
        <v>45348</v>
      </c>
      <c r="D718" t="inlineStr">
        <is>
          <t>VÄSTMANLANDS LÄN</t>
        </is>
      </c>
      <c r="E718" t="inlineStr">
        <is>
          <t>SALA</t>
        </is>
      </c>
      <c r="F718" t="inlineStr">
        <is>
          <t>Sveaskog</t>
        </is>
      </c>
      <c r="G718" t="n">
        <v>11.2</v>
      </c>
      <c r="H718" t="n">
        <v>0</v>
      </c>
      <c r="I718" t="n">
        <v>0</v>
      </c>
      <c r="J718" t="n">
        <v>0</v>
      </c>
      <c r="K718" t="n">
        <v>0</v>
      </c>
      <c r="L718" t="n">
        <v>0</v>
      </c>
      <c r="M718" t="n">
        <v>0</v>
      </c>
      <c r="N718" t="n">
        <v>0</v>
      </c>
      <c r="O718" t="n">
        <v>0</v>
      </c>
      <c r="P718" t="n">
        <v>0</v>
      </c>
      <c r="Q718" t="n">
        <v>0</v>
      </c>
      <c r="R718" s="2" t="inlineStr"/>
    </row>
    <row r="719" ht="15" customHeight="1">
      <c r="A719" t="inlineStr">
        <is>
          <t>A 16545-2023</t>
        </is>
      </c>
      <c r="B719" s="1" t="n">
        <v>45029</v>
      </c>
      <c r="C719" s="1" t="n">
        <v>45348</v>
      </c>
      <c r="D719" t="inlineStr">
        <is>
          <t>VÄSTMANLANDS LÄN</t>
        </is>
      </c>
      <c r="E719" t="inlineStr">
        <is>
          <t>SALA</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16984-2023</t>
        </is>
      </c>
      <c r="B720" s="1" t="n">
        <v>45033</v>
      </c>
      <c r="C720" s="1" t="n">
        <v>45348</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17079-2023</t>
        </is>
      </c>
      <c r="B721" s="1" t="n">
        <v>45034</v>
      </c>
      <c r="C721" s="1" t="n">
        <v>45348</v>
      </c>
      <c r="D721" t="inlineStr">
        <is>
          <t>VÄSTMANLANDS LÄN</t>
        </is>
      </c>
      <c r="E721" t="inlineStr">
        <is>
          <t>SALA</t>
        </is>
      </c>
      <c r="G721" t="n">
        <v>1.1</v>
      </c>
      <c r="H721" t="n">
        <v>0</v>
      </c>
      <c r="I721" t="n">
        <v>0</v>
      </c>
      <c r="J721" t="n">
        <v>0</v>
      </c>
      <c r="K721" t="n">
        <v>0</v>
      </c>
      <c r="L721" t="n">
        <v>0</v>
      </c>
      <c r="M721" t="n">
        <v>0</v>
      </c>
      <c r="N721" t="n">
        <v>0</v>
      </c>
      <c r="O721" t="n">
        <v>0</v>
      </c>
      <c r="P721" t="n">
        <v>0</v>
      </c>
      <c r="Q721" t="n">
        <v>0</v>
      </c>
      <c r="R721" s="2" t="inlineStr"/>
    </row>
    <row r="722" ht="15" customHeight="1">
      <c r="A722" t="inlineStr">
        <is>
          <t>A 17117-2023</t>
        </is>
      </c>
      <c r="B722" s="1" t="n">
        <v>45034</v>
      </c>
      <c r="C722" s="1" t="n">
        <v>45348</v>
      </c>
      <c r="D722" t="inlineStr">
        <is>
          <t>VÄSTMANLANDS LÄN</t>
        </is>
      </c>
      <c r="E722" t="inlineStr">
        <is>
          <t>SALA</t>
        </is>
      </c>
      <c r="G722" t="n">
        <v>0.4</v>
      </c>
      <c r="H722" t="n">
        <v>0</v>
      </c>
      <c r="I722" t="n">
        <v>0</v>
      </c>
      <c r="J722" t="n">
        <v>0</v>
      </c>
      <c r="K722" t="n">
        <v>0</v>
      </c>
      <c r="L722" t="n">
        <v>0</v>
      </c>
      <c r="M722" t="n">
        <v>0</v>
      </c>
      <c r="N722" t="n">
        <v>0</v>
      </c>
      <c r="O722" t="n">
        <v>0</v>
      </c>
      <c r="P722" t="n">
        <v>0</v>
      </c>
      <c r="Q722" t="n">
        <v>0</v>
      </c>
      <c r="R722" s="2" t="inlineStr"/>
    </row>
    <row r="723" ht="15" customHeight="1">
      <c r="A723" t="inlineStr">
        <is>
          <t>A 17109-2023</t>
        </is>
      </c>
      <c r="B723" s="1" t="n">
        <v>45034</v>
      </c>
      <c r="C723" s="1" t="n">
        <v>45348</v>
      </c>
      <c r="D723" t="inlineStr">
        <is>
          <t>VÄSTMANLANDS LÄN</t>
        </is>
      </c>
      <c r="E723" t="inlineStr">
        <is>
          <t>SALA</t>
        </is>
      </c>
      <c r="G723" t="n">
        <v>5.8</v>
      </c>
      <c r="H723" t="n">
        <v>0</v>
      </c>
      <c r="I723" t="n">
        <v>0</v>
      </c>
      <c r="J723" t="n">
        <v>0</v>
      </c>
      <c r="K723" t="n">
        <v>0</v>
      </c>
      <c r="L723" t="n">
        <v>0</v>
      </c>
      <c r="M723" t="n">
        <v>0</v>
      </c>
      <c r="N723" t="n">
        <v>0</v>
      </c>
      <c r="O723" t="n">
        <v>0</v>
      </c>
      <c r="P723" t="n">
        <v>0</v>
      </c>
      <c r="Q723" t="n">
        <v>0</v>
      </c>
      <c r="R723" s="2" t="inlineStr"/>
    </row>
    <row r="724" ht="15" customHeight="1">
      <c r="A724" t="inlineStr">
        <is>
          <t>A 17120-2023</t>
        </is>
      </c>
      <c r="B724" s="1" t="n">
        <v>45034</v>
      </c>
      <c r="C724" s="1" t="n">
        <v>45348</v>
      </c>
      <c r="D724" t="inlineStr">
        <is>
          <t>VÄSTMANLANDS LÄN</t>
        </is>
      </c>
      <c r="E724" t="inlineStr">
        <is>
          <t>SALA</t>
        </is>
      </c>
      <c r="G724" t="n">
        <v>0.1</v>
      </c>
      <c r="H724" t="n">
        <v>0</v>
      </c>
      <c r="I724" t="n">
        <v>0</v>
      </c>
      <c r="J724" t="n">
        <v>0</v>
      </c>
      <c r="K724" t="n">
        <v>0</v>
      </c>
      <c r="L724" t="n">
        <v>0</v>
      </c>
      <c r="M724" t="n">
        <v>0</v>
      </c>
      <c r="N724" t="n">
        <v>0</v>
      </c>
      <c r="O724" t="n">
        <v>0</v>
      </c>
      <c r="P724" t="n">
        <v>0</v>
      </c>
      <c r="Q724" t="n">
        <v>0</v>
      </c>
      <c r="R724" s="2" t="inlineStr"/>
    </row>
    <row r="725" ht="15" customHeight="1">
      <c r="A725" t="inlineStr">
        <is>
          <t>A 18100-2023</t>
        </is>
      </c>
      <c r="B725" s="1" t="n">
        <v>45040</v>
      </c>
      <c r="C725" s="1" t="n">
        <v>45348</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18431-2023</t>
        </is>
      </c>
      <c r="B726" s="1" t="n">
        <v>45042</v>
      </c>
      <c r="C726" s="1" t="n">
        <v>45348</v>
      </c>
      <c r="D726" t="inlineStr">
        <is>
          <t>VÄSTMANLANDS LÄN</t>
        </is>
      </c>
      <c r="E726" t="inlineStr">
        <is>
          <t>SALA</t>
        </is>
      </c>
      <c r="G726" t="n">
        <v>1.9</v>
      </c>
      <c r="H726" t="n">
        <v>0</v>
      </c>
      <c r="I726" t="n">
        <v>0</v>
      </c>
      <c r="J726" t="n">
        <v>0</v>
      </c>
      <c r="K726" t="n">
        <v>0</v>
      </c>
      <c r="L726" t="n">
        <v>0</v>
      </c>
      <c r="M726" t="n">
        <v>0</v>
      </c>
      <c r="N726" t="n">
        <v>0</v>
      </c>
      <c r="O726" t="n">
        <v>0</v>
      </c>
      <c r="P726" t="n">
        <v>0</v>
      </c>
      <c r="Q726" t="n">
        <v>0</v>
      </c>
      <c r="R726" s="2" t="inlineStr"/>
    </row>
    <row r="727" ht="15" customHeight="1">
      <c r="A727" t="inlineStr">
        <is>
          <t>A 18877-2023</t>
        </is>
      </c>
      <c r="B727" s="1" t="n">
        <v>45044</v>
      </c>
      <c r="C727" s="1" t="n">
        <v>45348</v>
      </c>
      <c r="D727" t="inlineStr">
        <is>
          <t>VÄSTMANLANDS LÄN</t>
        </is>
      </c>
      <c r="E727" t="inlineStr">
        <is>
          <t>SALA</t>
        </is>
      </c>
      <c r="F727" t="inlineStr">
        <is>
          <t>Kommuner</t>
        </is>
      </c>
      <c r="G727" t="n">
        <v>4.4</v>
      </c>
      <c r="H727" t="n">
        <v>0</v>
      </c>
      <c r="I727" t="n">
        <v>0</v>
      </c>
      <c r="J727" t="n">
        <v>0</v>
      </c>
      <c r="K727" t="n">
        <v>0</v>
      </c>
      <c r="L727" t="n">
        <v>0</v>
      </c>
      <c r="M727" t="n">
        <v>0</v>
      </c>
      <c r="N727" t="n">
        <v>0</v>
      </c>
      <c r="O727" t="n">
        <v>0</v>
      </c>
      <c r="P727" t="n">
        <v>0</v>
      </c>
      <c r="Q727" t="n">
        <v>0</v>
      </c>
      <c r="R727" s="2" t="inlineStr"/>
    </row>
    <row r="728" ht="15" customHeight="1">
      <c r="A728" t="inlineStr">
        <is>
          <t>A 19916-2023</t>
        </is>
      </c>
      <c r="B728" s="1" t="n">
        <v>45054</v>
      </c>
      <c r="C728" s="1" t="n">
        <v>45348</v>
      </c>
      <c r="D728" t="inlineStr">
        <is>
          <t>VÄSTMANLANDS LÄN</t>
        </is>
      </c>
      <c r="E728" t="inlineStr">
        <is>
          <t>SALA</t>
        </is>
      </c>
      <c r="G728" t="n">
        <v>9.9</v>
      </c>
      <c r="H728" t="n">
        <v>0</v>
      </c>
      <c r="I728" t="n">
        <v>0</v>
      </c>
      <c r="J728" t="n">
        <v>0</v>
      </c>
      <c r="K728" t="n">
        <v>0</v>
      </c>
      <c r="L728" t="n">
        <v>0</v>
      </c>
      <c r="M728" t="n">
        <v>0</v>
      </c>
      <c r="N728" t="n">
        <v>0</v>
      </c>
      <c r="O728" t="n">
        <v>0</v>
      </c>
      <c r="P728" t="n">
        <v>0</v>
      </c>
      <c r="Q728" t="n">
        <v>0</v>
      </c>
      <c r="R728" s="2" t="inlineStr"/>
    </row>
    <row r="729" ht="15" customHeight="1">
      <c r="A729" t="inlineStr">
        <is>
          <t>A 20568-2023</t>
        </is>
      </c>
      <c r="B729" s="1" t="n">
        <v>45055</v>
      </c>
      <c r="C729" s="1" t="n">
        <v>45348</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20567-2023</t>
        </is>
      </c>
      <c r="B730" s="1" t="n">
        <v>45055</v>
      </c>
      <c r="C730" s="1" t="n">
        <v>45348</v>
      </c>
      <c r="D730" t="inlineStr">
        <is>
          <t>VÄSTMANLANDS LÄN</t>
        </is>
      </c>
      <c r="E730" t="inlineStr">
        <is>
          <t>SALA</t>
        </is>
      </c>
      <c r="G730" t="n">
        <v>1.4</v>
      </c>
      <c r="H730" t="n">
        <v>0</v>
      </c>
      <c r="I730" t="n">
        <v>0</v>
      </c>
      <c r="J730" t="n">
        <v>0</v>
      </c>
      <c r="K730" t="n">
        <v>0</v>
      </c>
      <c r="L730" t="n">
        <v>0</v>
      </c>
      <c r="M730" t="n">
        <v>0</v>
      </c>
      <c r="N730" t="n">
        <v>0</v>
      </c>
      <c r="O730" t="n">
        <v>0</v>
      </c>
      <c r="P730" t="n">
        <v>0</v>
      </c>
      <c r="Q730" t="n">
        <v>0</v>
      </c>
      <c r="R730" s="2" t="inlineStr"/>
    </row>
    <row r="731" ht="15" customHeight="1">
      <c r="A731" t="inlineStr">
        <is>
          <t>A 20405-2023</t>
        </is>
      </c>
      <c r="B731" s="1" t="n">
        <v>45056</v>
      </c>
      <c r="C731" s="1" t="n">
        <v>45348</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20587-2023</t>
        </is>
      </c>
      <c r="B732" s="1" t="n">
        <v>45057</v>
      </c>
      <c r="C732" s="1" t="n">
        <v>45348</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21455-2023</t>
        </is>
      </c>
      <c r="B733" s="1" t="n">
        <v>45058</v>
      </c>
      <c r="C733" s="1" t="n">
        <v>45348</v>
      </c>
      <c r="D733" t="inlineStr">
        <is>
          <t>VÄSTMANLANDS LÄN</t>
        </is>
      </c>
      <c r="E733" t="inlineStr">
        <is>
          <t>SALA</t>
        </is>
      </c>
      <c r="G733" t="n">
        <v>6.4</v>
      </c>
      <c r="H733" t="n">
        <v>0</v>
      </c>
      <c r="I733" t="n">
        <v>0</v>
      </c>
      <c r="J733" t="n">
        <v>0</v>
      </c>
      <c r="K733" t="n">
        <v>0</v>
      </c>
      <c r="L733" t="n">
        <v>0</v>
      </c>
      <c r="M733" t="n">
        <v>0</v>
      </c>
      <c r="N733" t="n">
        <v>0</v>
      </c>
      <c r="O733" t="n">
        <v>0</v>
      </c>
      <c r="P733" t="n">
        <v>0</v>
      </c>
      <c r="Q733" t="n">
        <v>0</v>
      </c>
      <c r="R733" s="2" t="inlineStr"/>
    </row>
    <row r="734" ht="15" customHeight="1">
      <c r="A734" t="inlineStr">
        <is>
          <t>A 22097-2023</t>
        </is>
      </c>
      <c r="B734" s="1" t="n">
        <v>45065</v>
      </c>
      <c r="C734" s="1" t="n">
        <v>45348</v>
      </c>
      <c r="D734" t="inlineStr">
        <is>
          <t>VÄSTMANLANDS LÄN</t>
        </is>
      </c>
      <c r="E734" t="inlineStr">
        <is>
          <t>SALA</t>
        </is>
      </c>
      <c r="G734" t="n">
        <v>3.6</v>
      </c>
      <c r="H734" t="n">
        <v>0</v>
      </c>
      <c r="I734" t="n">
        <v>0</v>
      </c>
      <c r="J734" t="n">
        <v>0</v>
      </c>
      <c r="K734" t="n">
        <v>0</v>
      </c>
      <c r="L734" t="n">
        <v>0</v>
      </c>
      <c r="M734" t="n">
        <v>0</v>
      </c>
      <c r="N734" t="n">
        <v>0</v>
      </c>
      <c r="O734" t="n">
        <v>0</v>
      </c>
      <c r="P734" t="n">
        <v>0</v>
      </c>
      <c r="Q734" t="n">
        <v>0</v>
      </c>
      <c r="R734" s="2" t="inlineStr"/>
    </row>
    <row r="735" ht="15" customHeight="1">
      <c r="A735" t="inlineStr">
        <is>
          <t>A 22076-2023</t>
        </is>
      </c>
      <c r="B735" s="1" t="n">
        <v>45069</v>
      </c>
      <c r="C735" s="1" t="n">
        <v>45348</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22146-2023</t>
        </is>
      </c>
      <c r="B736" s="1" t="n">
        <v>45069</v>
      </c>
      <c r="C736" s="1" t="n">
        <v>45348</v>
      </c>
      <c r="D736" t="inlineStr">
        <is>
          <t>VÄSTMANLANDS LÄN</t>
        </is>
      </c>
      <c r="E736" t="inlineStr">
        <is>
          <t>SALA</t>
        </is>
      </c>
      <c r="F736" t="inlineStr">
        <is>
          <t>Kommuner</t>
        </is>
      </c>
      <c r="G736" t="n">
        <v>9.9</v>
      </c>
      <c r="H736" t="n">
        <v>0</v>
      </c>
      <c r="I736" t="n">
        <v>0</v>
      </c>
      <c r="J736" t="n">
        <v>0</v>
      </c>
      <c r="K736" t="n">
        <v>0</v>
      </c>
      <c r="L736" t="n">
        <v>0</v>
      </c>
      <c r="M736" t="n">
        <v>0</v>
      </c>
      <c r="N736" t="n">
        <v>0</v>
      </c>
      <c r="O736" t="n">
        <v>0</v>
      </c>
      <c r="P736" t="n">
        <v>0</v>
      </c>
      <c r="Q736" t="n">
        <v>0</v>
      </c>
      <c r="R736" s="2" t="inlineStr"/>
    </row>
    <row r="737" ht="15" customHeight="1">
      <c r="A737" t="inlineStr">
        <is>
          <t>A 22091-2023</t>
        </is>
      </c>
      <c r="B737" s="1" t="n">
        <v>45069</v>
      </c>
      <c r="C737" s="1" t="n">
        <v>45348</v>
      </c>
      <c r="D737" t="inlineStr">
        <is>
          <t>VÄSTMANLANDS LÄN</t>
        </is>
      </c>
      <c r="E737" t="inlineStr">
        <is>
          <t>SALA</t>
        </is>
      </c>
      <c r="G737" t="n">
        <v>2.2</v>
      </c>
      <c r="H737" t="n">
        <v>0</v>
      </c>
      <c r="I737" t="n">
        <v>0</v>
      </c>
      <c r="J737" t="n">
        <v>0</v>
      </c>
      <c r="K737" t="n">
        <v>0</v>
      </c>
      <c r="L737" t="n">
        <v>0</v>
      </c>
      <c r="M737" t="n">
        <v>0</v>
      </c>
      <c r="N737" t="n">
        <v>0</v>
      </c>
      <c r="O737" t="n">
        <v>0</v>
      </c>
      <c r="P737" t="n">
        <v>0</v>
      </c>
      <c r="Q737" t="n">
        <v>0</v>
      </c>
      <c r="R737" s="2" t="inlineStr"/>
    </row>
    <row r="738" ht="15" customHeight="1">
      <c r="A738" t="inlineStr">
        <is>
          <t>A 22082-2023</t>
        </is>
      </c>
      <c r="B738" s="1" t="n">
        <v>45069</v>
      </c>
      <c r="C738" s="1" t="n">
        <v>45348</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22523-2023</t>
        </is>
      </c>
      <c r="B739" s="1" t="n">
        <v>45069</v>
      </c>
      <c r="C739" s="1" t="n">
        <v>45348</v>
      </c>
      <c r="D739" t="inlineStr">
        <is>
          <t>VÄSTMANLANDS LÄN</t>
        </is>
      </c>
      <c r="E739" t="inlineStr">
        <is>
          <t>SALA</t>
        </is>
      </c>
      <c r="G739" t="n">
        <v>2.4</v>
      </c>
      <c r="H739" t="n">
        <v>0</v>
      </c>
      <c r="I739" t="n">
        <v>0</v>
      </c>
      <c r="J739" t="n">
        <v>0</v>
      </c>
      <c r="K739" t="n">
        <v>0</v>
      </c>
      <c r="L739" t="n">
        <v>0</v>
      </c>
      <c r="M739" t="n">
        <v>0</v>
      </c>
      <c r="N739" t="n">
        <v>0</v>
      </c>
      <c r="O739" t="n">
        <v>0</v>
      </c>
      <c r="P739" t="n">
        <v>0</v>
      </c>
      <c r="Q739" t="n">
        <v>0</v>
      </c>
      <c r="R739" s="2" t="inlineStr"/>
    </row>
    <row r="740" ht="15" customHeight="1">
      <c r="A740" t="inlineStr">
        <is>
          <t>A 22921-2023</t>
        </is>
      </c>
      <c r="B740" s="1" t="n">
        <v>45070</v>
      </c>
      <c r="C740" s="1" t="n">
        <v>45348</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22963-2023</t>
        </is>
      </c>
      <c r="B741" s="1" t="n">
        <v>45072</v>
      </c>
      <c r="C741" s="1" t="n">
        <v>45348</v>
      </c>
      <c r="D741" t="inlineStr">
        <is>
          <t>VÄSTMANLANDS LÄN</t>
        </is>
      </c>
      <c r="E741" t="inlineStr">
        <is>
          <t>SALA</t>
        </is>
      </c>
      <c r="G741" t="n">
        <v>1.2</v>
      </c>
      <c r="H741" t="n">
        <v>0</v>
      </c>
      <c r="I741" t="n">
        <v>0</v>
      </c>
      <c r="J741" t="n">
        <v>0</v>
      </c>
      <c r="K741" t="n">
        <v>0</v>
      </c>
      <c r="L741" t="n">
        <v>0</v>
      </c>
      <c r="M741" t="n">
        <v>0</v>
      </c>
      <c r="N741" t="n">
        <v>0</v>
      </c>
      <c r="O741" t="n">
        <v>0</v>
      </c>
      <c r="P741" t="n">
        <v>0</v>
      </c>
      <c r="Q741" t="n">
        <v>0</v>
      </c>
      <c r="R741" s="2" t="inlineStr"/>
    </row>
    <row r="742" ht="15" customHeight="1">
      <c r="A742" t="inlineStr">
        <is>
          <t>A 22961-2023</t>
        </is>
      </c>
      <c r="B742" s="1" t="n">
        <v>45072</v>
      </c>
      <c r="C742" s="1" t="n">
        <v>45348</v>
      </c>
      <c r="D742" t="inlineStr">
        <is>
          <t>VÄSTMANLANDS LÄN</t>
        </is>
      </c>
      <c r="E742" t="inlineStr">
        <is>
          <t>SALA</t>
        </is>
      </c>
      <c r="G742" t="n">
        <v>2.7</v>
      </c>
      <c r="H742" t="n">
        <v>0</v>
      </c>
      <c r="I742" t="n">
        <v>0</v>
      </c>
      <c r="J742" t="n">
        <v>0</v>
      </c>
      <c r="K742" t="n">
        <v>0</v>
      </c>
      <c r="L742" t="n">
        <v>0</v>
      </c>
      <c r="M742" t="n">
        <v>0</v>
      </c>
      <c r="N742" t="n">
        <v>0</v>
      </c>
      <c r="O742" t="n">
        <v>0</v>
      </c>
      <c r="P742" t="n">
        <v>0</v>
      </c>
      <c r="Q742" t="n">
        <v>0</v>
      </c>
      <c r="R742" s="2" t="inlineStr"/>
    </row>
    <row r="743" ht="15" customHeight="1">
      <c r="A743" t="inlineStr">
        <is>
          <t>A 23145-2023</t>
        </is>
      </c>
      <c r="B743" s="1" t="n">
        <v>45075</v>
      </c>
      <c r="C743" s="1" t="n">
        <v>45348</v>
      </c>
      <c r="D743" t="inlineStr">
        <is>
          <t>VÄSTMANLANDS LÄN</t>
        </is>
      </c>
      <c r="E743" t="inlineStr">
        <is>
          <t>SALA</t>
        </is>
      </c>
      <c r="G743" t="n">
        <v>5.3</v>
      </c>
      <c r="H743" t="n">
        <v>0</v>
      </c>
      <c r="I743" t="n">
        <v>0</v>
      </c>
      <c r="J743" t="n">
        <v>0</v>
      </c>
      <c r="K743" t="n">
        <v>0</v>
      </c>
      <c r="L743" t="n">
        <v>0</v>
      </c>
      <c r="M743" t="n">
        <v>0</v>
      </c>
      <c r="N743" t="n">
        <v>0</v>
      </c>
      <c r="O743" t="n">
        <v>0</v>
      </c>
      <c r="P743" t="n">
        <v>0</v>
      </c>
      <c r="Q743" t="n">
        <v>0</v>
      </c>
      <c r="R743" s="2" t="inlineStr"/>
    </row>
    <row r="744" ht="15" customHeight="1">
      <c r="A744" t="inlineStr">
        <is>
          <t>A 23146-2023</t>
        </is>
      </c>
      <c r="B744" s="1" t="n">
        <v>45075</v>
      </c>
      <c r="C744" s="1" t="n">
        <v>45348</v>
      </c>
      <c r="D744" t="inlineStr">
        <is>
          <t>VÄSTMANLANDS LÄN</t>
        </is>
      </c>
      <c r="E744" t="inlineStr">
        <is>
          <t>SALA</t>
        </is>
      </c>
      <c r="G744" t="n">
        <v>1.7</v>
      </c>
      <c r="H744" t="n">
        <v>0</v>
      </c>
      <c r="I744" t="n">
        <v>0</v>
      </c>
      <c r="J744" t="n">
        <v>0</v>
      </c>
      <c r="K744" t="n">
        <v>0</v>
      </c>
      <c r="L744" t="n">
        <v>0</v>
      </c>
      <c r="M744" t="n">
        <v>0</v>
      </c>
      <c r="N744" t="n">
        <v>0</v>
      </c>
      <c r="O744" t="n">
        <v>0</v>
      </c>
      <c r="P744" t="n">
        <v>0</v>
      </c>
      <c r="Q744" t="n">
        <v>0</v>
      </c>
      <c r="R744" s="2" t="inlineStr"/>
    </row>
    <row r="745" ht="15" customHeight="1">
      <c r="A745" t="inlineStr">
        <is>
          <t>A 23224-2023</t>
        </is>
      </c>
      <c r="B745" s="1" t="n">
        <v>45075</v>
      </c>
      <c r="C745" s="1" t="n">
        <v>45348</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23222-2023</t>
        </is>
      </c>
      <c r="B746" s="1" t="n">
        <v>45075</v>
      </c>
      <c r="C746" s="1" t="n">
        <v>45348</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23232-2023</t>
        </is>
      </c>
      <c r="B747" s="1" t="n">
        <v>45075</v>
      </c>
      <c r="C747" s="1" t="n">
        <v>45348</v>
      </c>
      <c r="D747" t="inlineStr">
        <is>
          <t>VÄSTMANLANDS LÄN</t>
        </is>
      </c>
      <c r="E747" t="inlineStr">
        <is>
          <t>SALA</t>
        </is>
      </c>
      <c r="G747" t="n">
        <v>1.6</v>
      </c>
      <c r="H747" t="n">
        <v>0</v>
      </c>
      <c r="I747" t="n">
        <v>0</v>
      </c>
      <c r="J747" t="n">
        <v>0</v>
      </c>
      <c r="K747" t="n">
        <v>0</v>
      </c>
      <c r="L747" t="n">
        <v>0</v>
      </c>
      <c r="M747" t="n">
        <v>0</v>
      </c>
      <c r="N747" t="n">
        <v>0</v>
      </c>
      <c r="O747" t="n">
        <v>0</v>
      </c>
      <c r="P747" t="n">
        <v>0</v>
      </c>
      <c r="Q747" t="n">
        <v>0</v>
      </c>
      <c r="R747" s="2" t="inlineStr"/>
    </row>
    <row r="748" ht="15" customHeight="1">
      <c r="A748" t="inlineStr">
        <is>
          <t>A 23374-2023</t>
        </is>
      </c>
      <c r="B748" s="1" t="n">
        <v>45076</v>
      </c>
      <c r="C748" s="1" t="n">
        <v>45348</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23372-2023</t>
        </is>
      </c>
      <c r="B749" s="1" t="n">
        <v>45076</v>
      </c>
      <c r="C749" s="1" t="n">
        <v>45348</v>
      </c>
      <c r="D749" t="inlineStr">
        <is>
          <t>VÄSTMANLANDS LÄN</t>
        </is>
      </c>
      <c r="E749" t="inlineStr">
        <is>
          <t>SALA</t>
        </is>
      </c>
      <c r="G749" t="n">
        <v>2.2</v>
      </c>
      <c r="H749" t="n">
        <v>0</v>
      </c>
      <c r="I749" t="n">
        <v>0</v>
      </c>
      <c r="J749" t="n">
        <v>0</v>
      </c>
      <c r="K749" t="n">
        <v>0</v>
      </c>
      <c r="L749" t="n">
        <v>0</v>
      </c>
      <c r="M749" t="n">
        <v>0</v>
      </c>
      <c r="N749" t="n">
        <v>0</v>
      </c>
      <c r="O749" t="n">
        <v>0</v>
      </c>
      <c r="P749" t="n">
        <v>0</v>
      </c>
      <c r="Q749" t="n">
        <v>0</v>
      </c>
      <c r="R749" s="2" t="inlineStr"/>
    </row>
    <row r="750" ht="15" customHeight="1">
      <c r="A750" t="inlineStr">
        <is>
          <t>A 23659-2023</t>
        </is>
      </c>
      <c r="B750" s="1" t="n">
        <v>45077</v>
      </c>
      <c r="C750" s="1" t="n">
        <v>45348</v>
      </c>
      <c r="D750" t="inlineStr">
        <is>
          <t>VÄSTMANLANDS LÄN</t>
        </is>
      </c>
      <c r="E750" t="inlineStr">
        <is>
          <t>SALA</t>
        </is>
      </c>
      <c r="G750" t="n">
        <v>2.5</v>
      </c>
      <c r="H750" t="n">
        <v>0</v>
      </c>
      <c r="I750" t="n">
        <v>0</v>
      </c>
      <c r="J750" t="n">
        <v>0</v>
      </c>
      <c r="K750" t="n">
        <v>0</v>
      </c>
      <c r="L750" t="n">
        <v>0</v>
      </c>
      <c r="M750" t="n">
        <v>0</v>
      </c>
      <c r="N750" t="n">
        <v>0</v>
      </c>
      <c r="O750" t="n">
        <v>0</v>
      </c>
      <c r="P750" t="n">
        <v>0</v>
      </c>
      <c r="Q750" t="n">
        <v>0</v>
      </c>
      <c r="R750" s="2" t="inlineStr"/>
    </row>
    <row r="751" ht="15" customHeight="1">
      <c r="A751" t="inlineStr">
        <is>
          <t>A 24248-2023</t>
        </is>
      </c>
      <c r="B751" s="1" t="n">
        <v>45079</v>
      </c>
      <c r="C751" s="1" t="n">
        <v>45348</v>
      </c>
      <c r="D751" t="inlineStr">
        <is>
          <t>VÄSTMANLANDS LÄN</t>
        </is>
      </c>
      <c r="E751" t="inlineStr">
        <is>
          <t>SALA</t>
        </is>
      </c>
      <c r="F751" t="inlineStr">
        <is>
          <t>Sveaskog</t>
        </is>
      </c>
      <c r="G751" t="n">
        <v>2</v>
      </c>
      <c r="H751" t="n">
        <v>0</v>
      </c>
      <c r="I751" t="n">
        <v>0</v>
      </c>
      <c r="J751" t="n">
        <v>0</v>
      </c>
      <c r="K751" t="n">
        <v>0</v>
      </c>
      <c r="L751" t="n">
        <v>0</v>
      </c>
      <c r="M751" t="n">
        <v>0</v>
      </c>
      <c r="N751" t="n">
        <v>0</v>
      </c>
      <c r="O751" t="n">
        <v>0</v>
      </c>
      <c r="P751" t="n">
        <v>0</v>
      </c>
      <c r="Q751" t="n">
        <v>0</v>
      </c>
      <c r="R751" s="2" t="inlineStr"/>
    </row>
    <row r="752" ht="15" customHeight="1">
      <c r="A752" t="inlineStr">
        <is>
          <t>A 24495-2023</t>
        </is>
      </c>
      <c r="B752" s="1" t="n">
        <v>45082</v>
      </c>
      <c r="C752" s="1" t="n">
        <v>45348</v>
      </c>
      <c r="D752" t="inlineStr">
        <is>
          <t>VÄSTMANLANDS LÄN</t>
        </is>
      </c>
      <c r="E752" t="inlineStr">
        <is>
          <t>SALA</t>
        </is>
      </c>
      <c r="G752" t="n">
        <v>5.2</v>
      </c>
      <c r="H752" t="n">
        <v>0</v>
      </c>
      <c r="I752" t="n">
        <v>0</v>
      </c>
      <c r="J752" t="n">
        <v>0</v>
      </c>
      <c r="K752" t="n">
        <v>0</v>
      </c>
      <c r="L752" t="n">
        <v>0</v>
      </c>
      <c r="M752" t="n">
        <v>0</v>
      </c>
      <c r="N752" t="n">
        <v>0</v>
      </c>
      <c r="O752" t="n">
        <v>0</v>
      </c>
      <c r="P752" t="n">
        <v>0</v>
      </c>
      <c r="Q752" t="n">
        <v>0</v>
      </c>
      <c r="R752" s="2" t="inlineStr"/>
    </row>
    <row r="753" ht="15" customHeight="1">
      <c r="A753" t="inlineStr">
        <is>
          <t>A 24585-2023</t>
        </is>
      </c>
      <c r="B753" s="1" t="n">
        <v>45083</v>
      </c>
      <c r="C753" s="1" t="n">
        <v>45348</v>
      </c>
      <c r="D753" t="inlineStr">
        <is>
          <t>VÄSTMANLANDS LÄN</t>
        </is>
      </c>
      <c r="E753" t="inlineStr">
        <is>
          <t>SALA</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24584-2023</t>
        </is>
      </c>
      <c r="B754" s="1" t="n">
        <v>45083</v>
      </c>
      <c r="C754" s="1" t="n">
        <v>45348</v>
      </c>
      <c r="D754" t="inlineStr">
        <is>
          <t>VÄSTMANLANDS LÄN</t>
        </is>
      </c>
      <c r="E754" t="inlineStr">
        <is>
          <t>SALA</t>
        </is>
      </c>
      <c r="F754" t="inlineStr">
        <is>
          <t>Sveaskog</t>
        </is>
      </c>
      <c r="G754" t="n">
        <v>7.2</v>
      </c>
      <c r="H754" t="n">
        <v>0</v>
      </c>
      <c r="I754" t="n">
        <v>0</v>
      </c>
      <c r="J754" t="n">
        <v>0</v>
      </c>
      <c r="K754" t="n">
        <v>0</v>
      </c>
      <c r="L754" t="n">
        <v>0</v>
      </c>
      <c r="M754" t="n">
        <v>0</v>
      </c>
      <c r="N754" t="n">
        <v>0</v>
      </c>
      <c r="O754" t="n">
        <v>0</v>
      </c>
      <c r="P754" t="n">
        <v>0</v>
      </c>
      <c r="Q754" t="n">
        <v>0</v>
      </c>
      <c r="R754" s="2" t="inlineStr"/>
    </row>
    <row r="755" ht="15" customHeight="1">
      <c r="A755" t="inlineStr">
        <is>
          <t>A 24586-2023</t>
        </is>
      </c>
      <c r="B755" s="1" t="n">
        <v>45083</v>
      </c>
      <c r="C755" s="1" t="n">
        <v>45348</v>
      </c>
      <c r="D755" t="inlineStr">
        <is>
          <t>VÄSTMANLANDS LÄN</t>
        </is>
      </c>
      <c r="E755" t="inlineStr">
        <is>
          <t>SALA</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24773-2023</t>
        </is>
      </c>
      <c r="B756" s="1" t="n">
        <v>45084</v>
      </c>
      <c r="C756" s="1" t="n">
        <v>45348</v>
      </c>
      <c r="D756" t="inlineStr">
        <is>
          <t>VÄSTMANLANDS LÄN</t>
        </is>
      </c>
      <c r="E756" t="inlineStr">
        <is>
          <t>SALA</t>
        </is>
      </c>
      <c r="G756" t="n">
        <v>5</v>
      </c>
      <c r="H756" t="n">
        <v>0</v>
      </c>
      <c r="I756" t="n">
        <v>0</v>
      </c>
      <c r="J756" t="n">
        <v>0</v>
      </c>
      <c r="K756" t="n">
        <v>0</v>
      </c>
      <c r="L756" t="n">
        <v>0</v>
      </c>
      <c r="M756" t="n">
        <v>0</v>
      </c>
      <c r="N756" t="n">
        <v>0</v>
      </c>
      <c r="O756" t="n">
        <v>0</v>
      </c>
      <c r="P756" t="n">
        <v>0</v>
      </c>
      <c r="Q756" t="n">
        <v>0</v>
      </c>
      <c r="R756" s="2" t="inlineStr"/>
    </row>
    <row r="757" ht="15" customHeight="1">
      <c r="A757" t="inlineStr">
        <is>
          <t>A 24777-2023</t>
        </is>
      </c>
      <c r="B757" s="1" t="n">
        <v>45084</v>
      </c>
      <c r="C757" s="1" t="n">
        <v>45348</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24944-2023</t>
        </is>
      </c>
      <c r="B758" s="1" t="n">
        <v>45085</v>
      </c>
      <c r="C758" s="1" t="n">
        <v>45348</v>
      </c>
      <c r="D758" t="inlineStr">
        <is>
          <t>VÄSTMANLANDS LÄN</t>
        </is>
      </c>
      <c r="E758" t="inlineStr">
        <is>
          <t>SALA</t>
        </is>
      </c>
      <c r="G758" t="n">
        <v>3.8</v>
      </c>
      <c r="H758" t="n">
        <v>0</v>
      </c>
      <c r="I758" t="n">
        <v>0</v>
      </c>
      <c r="J758" t="n">
        <v>0</v>
      </c>
      <c r="K758" t="n">
        <v>0</v>
      </c>
      <c r="L758" t="n">
        <v>0</v>
      </c>
      <c r="M758" t="n">
        <v>0</v>
      </c>
      <c r="N758" t="n">
        <v>0</v>
      </c>
      <c r="O758" t="n">
        <v>0</v>
      </c>
      <c r="P758" t="n">
        <v>0</v>
      </c>
      <c r="Q758" t="n">
        <v>0</v>
      </c>
      <c r="R758" s="2" t="inlineStr"/>
    </row>
    <row r="759" ht="15" customHeight="1">
      <c r="A759" t="inlineStr">
        <is>
          <t>A 25260-2023</t>
        </is>
      </c>
      <c r="B759" s="1" t="n">
        <v>45086</v>
      </c>
      <c r="C759" s="1" t="n">
        <v>45348</v>
      </c>
      <c r="D759" t="inlineStr">
        <is>
          <t>VÄSTMANLANDS LÄN</t>
        </is>
      </c>
      <c r="E759" t="inlineStr">
        <is>
          <t>SALA</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25233-2023</t>
        </is>
      </c>
      <c r="B760" s="1" t="n">
        <v>45086</v>
      </c>
      <c r="C760" s="1" t="n">
        <v>45348</v>
      </c>
      <c r="D760" t="inlineStr">
        <is>
          <t>VÄSTMANLANDS LÄN</t>
        </is>
      </c>
      <c r="E760" t="inlineStr">
        <is>
          <t>SALA</t>
        </is>
      </c>
      <c r="F760" t="inlineStr">
        <is>
          <t>Kommuner</t>
        </is>
      </c>
      <c r="G760" t="n">
        <v>4.7</v>
      </c>
      <c r="H760" t="n">
        <v>0</v>
      </c>
      <c r="I760" t="n">
        <v>0</v>
      </c>
      <c r="J760" t="n">
        <v>0</v>
      </c>
      <c r="K760" t="n">
        <v>0</v>
      </c>
      <c r="L760" t="n">
        <v>0</v>
      </c>
      <c r="M760" t="n">
        <v>0</v>
      </c>
      <c r="N760" t="n">
        <v>0</v>
      </c>
      <c r="O760" t="n">
        <v>0</v>
      </c>
      <c r="P760" t="n">
        <v>0</v>
      </c>
      <c r="Q760" t="n">
        <v>0</v>
      </c>
      <c r="R760" s="2" t="inlineStr"/>
    </row>
    <row r="761" ht="15" customHeight="1">
      <c r="A761" t="inlineStr">
        <is>
          <t>A 26229-2023</t>
        </is>
      </c>
      <c r="B761" s="1" t="n">
        <v>45086</v>
      </c>
      <c r="C761" s="1" t="n">
        <v>45348</v>
      </c>
      <c r="D761" t="inlineStr">
        <is>
          <t>VÄSTMANLANDS LÄN</t>
        </is>
      </c>
      <c r="E761" t="inlineStr">
        <is>
          <t>SALA</t>
        </is>
      </c>
      <c r="G761" t="n">
        <v>6.6</v>
      </c>
      <c r="H761" t="n">
        <v>0</v>
      </c>
      <c r="I761" t="n">
        <v>0</v>
      </c>
      <c r="J761" t="n">
        <v>0</v>
      </c>
      <c r="K761" t="n">
        <v>0</v>
      </c>
      <c r="L761" t="n">
        <v>0</v>
      </c>
      <c r="M761" t="n">
        <v>0</v>
      </c>
      <c r="N761" t="n">
        <v>0</v>
      </c>
      <c r="O761" t="n">
        <v>0</v>
      </c>
      <c r="P761" t="n">
        <v>0</v>
      </c>
      <c r="Q761" t="n">
        <v>0</v>
      </c>
      <c r="R761" s="2" t="inlineStr"/>
    </row>
    <row r="762" ht="15" customHeight="1">
      <c r="A762" t="inlineStr">
        <is>
          <t>A 25566-2023</t>
        </is>
      </c>
      <c r="B762" s="1" t="n">
        <v>45089</v>
      </c>
      <c r="C762" s="1" t="n">
        <v>45348</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25571-2023</t>
        </is>
      </c>
      <c r="B763" s="1" t="n">
        <v>45089</v>
      </c>
      <c r="C763" s="1" t="n">
        <v>45348</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25576-2023</t>
        </is>
      </c>
      <c r="B764" s="1" t="n">
        <v>45089</v>
      </c>
      <c r="C764" s="1" t="n">
        <v>45348</v>
      </c>
      <c r="D764" t="inlineStr">
        <is>
          <t>VÄSTMANLANDS LÄN</t>
        </is>
      </c>
      <c r="E764" t="inlineStr">
        <is>
          <t>SALA</t>
        </is>
      </c>
      <c r="G764" t="n">
        <v>1</v>
      </c>
      <c r="H764" t="n">
        <v>0</v>
      </c>
      <c r="I764" t="n">
        <v>0</v>
      </c>
      <c r="J764" t="n">
        <v>0</v>
      </c>
      <c r="K764" t="n">
        <v>0</v>
      </c>
      <c r="L764" t="n">
        <v>0</v>
      </c>
      <c r="M764" t="n">
        <v>0</v>
      </c>
      <c r="N764" t="n">
        <v>0</v>
      </c>
      <c r="O764" t="n">
        <v>0</v>
      </c>
      <c r="P764" t="n">
        <v>0</v>
      </c>
      <c r="Q764" t="n">
        <v>0</v>
      </c>
      <c r="R764" s="2" t="inlineStr"/>
    </row>
    <row r="765" ht="15" customHeight="1">
      <c r="A765" t="inlineStr">
        <is>
          <t>A 25580-2023</t>
        </is>
      </c>
      <c r="B765" s="1" t="n">
        <v>45089</v>
      </c>
      <c r="C765" s="1" t="n">
        <v>45348</v>
      </c>
      <c r="D765" t="inlineStr">
        <is>
          <t>VÄSTMANLANDS LÄN</t>
        </is>
      </c>
      <c r="E765" t="inlineStr">
        <is>
          <t>SALA</t>
        </is>
      </c>
      <c r="G765" t="n">
        <v>0.8</v>
      </c>
      <c r="H765" t="n">
        <v>0</v>
      </c>
      <c r="I765" t="n">
        <v>0</v>
      </c>
      <c r="J765" t="n">
        <v>0</v>
      </c>
      <c r="K765" t="n">
        <v>0</v>
      </c>
      <c r="L765" t="n">
        <v>0</v>
      </c>
      <c r="M765" t="n">
        <v>0</v>
      </c>
      <c r="N765" t="n">
        <v>0</v>
      </c>
      <c r="O765" t="n">
        <v>0</v>
      </c>
      <c r="P765" t="n">
        <v>0</v>
      </c>
      <c r="Q765" t="n">
        <v>0</v>
      </c>
      <c r="R765" s="2" t="inlineStr"/>
    </row>
    <row r="766" ht="15" customHeight="1">
      <c r="A766" t="inlineStr">
        <is>
          <t>A 25894-2023</t>
        </is>
      </c>
      <c r="B766" s="1" t="n">
        <v>45090</v>
      </c>
      <c r="C766" s="1" t="n">
        <v>45348</v>
      </c>
      <c r="D766" t="inlineStr">
        <is>
          <t>VÄSTMANLANDS LÄN</t>
        </is>
      </c>
      <c r="E766" t="inlineStr">
        <is>
          <t>SALA</t>
        </is>
      </c>
      <c r="G766" t="n">
        <v>3.2</v>
      </c>
      <c r="H766" t="n">
        <v>0</v>
      </c>
      <c r="I766" t="n">
        <v>0</v>
      </c>
      <c r="J766" t="n">
        <v>0</v>
      </c>
      <c r="K766" t="n">
        <v>0</v>
      </c>
      <c r="L766" t="n">
        <v>0</v>
      </c>
      <c r="M766" t="n">
        <v>0</v>
      </c>
      <c r="N766" t="n">
        <v>0</v>
      </c>
      <c r="O766" t="n">
        <v>0</v>
      </c>
      <c r="P766" t="n">
        <v>0</v>
      </c>
      <c r="Q766" t="n">
        <v>0</v>
      </c>
      <c r="R766" s="2" t="inlineStr"/>
    </row>
    <row r="767" ht="15" customHeight="1">
      <c r="A767" t="inlineStr">
        <is>
          <t>A 26607-2023</t>
        </is>
      </c>
      <c r="B767" s="1" t="n">
        <v>45090</v>
      </c>
      <c r="C767" s="1" t="n">
        <v>45348</v>
      </c>
      <c r="D767" t="inlineStr">
        <is>
          <t>VÄSTMANLANDS LÄN</t>
        </is>
      </c>
      <c r="E767" t="inlineStr">
        <is>
          <t>SALA</t>
        </is>
      </c>
      <c r="G767" t="n">
        <v>4.8</v>
      </c>
      <c r="H767" t="n">
        <v>0</v>
      </c>
      <c r="I767" t="n">
        <v>0</v>
      </c>
      <c r="J767" t="n">
        <v>0</v>
      </c>
      <c r="K767" t="n">
        <v>0</v>
      </c>
      <c r="L767" t="n">
        <v>0</v>
      </c>
      <c r="M767" t="n">
        <v>0</v>
      </c>
      <c r="N767" t="n">
        <v>0</v>
      </c>
      <c r="O767" t="n">
        <v>0</v>
      </c>
      <c r="P767" t="n">
        <v>0</v>
      </c>
      <c r="Q767" t="n">
        <v>0</v>
      </c>
      <c r="R767" s="2" t="inlineStr"/>
    </row>
    <row r="768" ht="15" customHeight="1">
      <c r="A768" t="inlineStr">
        <is>
          <t>A 26505-2023</t>
        </is>
      </c>
      <c r="B768" s="1" t="n">
        <v>45092</v>
      </c>
      <c r="C768" s="1" t="n">
        <v>45348</v>
      </c>
      <c r="D768" t="inlineStr">
        <is>
          <t>VÄSTMANLANDS LÄN</t>
        </is>
      </c>
      <c r="E768" t="inlineStr">
        <is>
          <t>SALA</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26509-2023</t>
        </is>
      </c>
      <c r="B769" s="1" t="n">
        <v>45092</v>
      </c>
      <c r="C769" s="1" t="n">
        <v>45348</v>
      </c>
      <c r="D769" t="inlineStr">
        <is>
          <t>VÄSTMANLANDS LÄN</t>
        </is>
      </c>
      <c r="E769" t="inlineStr">
        <is>
          <t>SALA</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26508-2023</t>
        </is>
      </c>
      <c r="B770" s="1" t="n">
        <v>45092</v>
      </c>
      <c r="C770" s="1" t="n">
        <v>45348</v>
      </c>
      <c r="D770" t="inlineStr">
        <is>
          <t>VÄSTMANLANDS LÄN</t>
        </is>
      </c>
      <c r="E770" t="inlineStr">
        <is>
          <t>SALA</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26416-2023</t>
        </is>
      </c>
      <c r="B771" s="1" t="n">
        <v>45092</v>
      </c>
      <c r="C771" s="1" t="n">
        <v>45348</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26507-2023</t>
        </is>
      </c>
      <c r="B772" s="1" t="n">
        <v>45092</v>
      </c>
      <c r="C772" s="1" t="n">
        <v>45348</v>
      </c>
      <c r="D772" t="inlineStr">
        <is>
          <t>VÄSTMANLANDS LÄN</t>
        </is>
      </c>
      <c r="E772" t="inlineStr">
        <is>
          <t>SALA</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26692-2023</t>
        </is>
      </c>
      <c r="B773" s="1" t="n">
        <v>45093</v>
      </c>
      <c r="C773" s="1" t="n">
        <v>45348</v>
      </c>
      <c r="D773" t="inlineStr">
        <is>
          <t>VÄSTMANLANDS LÄN</t>
        </is>
      </c>
      <c r="E773" t="inlineStr">
        <is>
          <t>SALA</t>
        </is>
      </c>
      <c r="G773" t="n">
        <v>1.8</v>
      </c>
      <c r="H773" t="n">
        <v>0</v>
      </c>
      <c r="I773" t="n">
        <v>0</v>
      </c>
      <c r="J773" t="n">
        <v>0</v>
      </c>
      <c r="K773" t="n">
        <v>0</v>
      </c>
      <c r="L773" t="n">
        <v>0</v>
      </c>
      <c r="M773" t="n">
        <v>0</v>
      </c>
      <c r="N773" t="n">
        <v>0</v>
      </c>
      <c r="O773" t="n">
        <v>0</v>
      </c>
      <c r="P773" t="n">
        <v>0</v>
      </c>
      <c r="Q773" t="n">
        <v>0</v>
      </c>
      <c r="R773" s="2" t="inlineStr"/>
    </row>
    <row r="774" ht="15" customHeight="1">
      <c r="A774" t="inlineStr">
        <is>
          <t>A 26761-2023</t>
        </is>
      </c>
      <c r="B774" s="1" t="n">
        <v>45093</v>
      </c>
      <c r="C774" s="1" t="n">
        <v>45348</v>
      </c>
      <c r="D774" t="inlineStr">
        <is>
          <t>VÄSTMANLANDS LÄN</t>
        </is>
      </c>
      <c r="E774" t="inlineStr">
        <is>
          <t>SALA</t>
        </is>
      </c>
      <c r="G774" t="n">
        <v>4.3</v>
      </c>
      <c r="H774" t="n">
        <v>0</v>
      </c>
      <c r="I774" t="n">
        <v>0</v>
      </c>
      <c r="J774" t="n">
        <v>0</v>
      </c>
      <c r="K774" t="n">
        <v>0</v>
      </c>
      <c r="L774" t="n">
        <v>0</v>
      </c>
      <c r="M774" t="n">
        <v>0</v>
      </c>
      <c r="N774" t="n">
        <v>0</v>
      </c>
      <c r="O774" t="n">
        <v>0</v>
      </c>
      <c r="P774" t="n">
        <v>0</v>
      </c>
      <c r="Q774" t="n">
        <v>0</v>
      </c>
      <c r="R774" s="2" t="inlineStr"/>
    </row>
    <row r="775" ht="15" customHeight="1">
      <c r="A775" t="inlineStr">
        <is>
          <t>A 27023-2023</t>
        </is>
      </c>
      <c r="B775" s="1" t="n">
        <v>45094</v>
      </c>
      <c r="C775" s="1" t="n">
        <v>45348</v>
      </c>
      <c r="D775" t="inlineStr">
        <is>
          <t>VÄSTMANLANDS LÄN</t>
        </is>
      </c>
      <c r="E775" t="inlineStr">
        <is>
          <t>SALA</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27038-2023</t>
        </is>
      </c>
      <c r="B776" s="1" t="n">
        <v>45095</v>
      </c>
      <c r="C776" s="1" t="n">
        <v>45348</v>
      </c>
      <c r="D776" t="inlineStr">
        <is>
          <t>VÄSTMANLANDS LÄN</t>
        </is>
      </c>
      <c r="E776" t="inlineStr">
        <is>
          <t>SALA</t>
        </is>
      </c>
      <c r="G776" t="n">
        <v>0.8</v>
      </c>
      <c r="H776" t="n">
        <v>0</v>
      </c>
      <c r="I776" t="n">
        <v>0</v>
      </c>
      <c r="J776" t="n">
        <v>0</v>
      </c>
      <c r="K776" t="n">
        <v>0</v>
      </c>
      <c r="L776" t="n">
        <v>0</v>
      </c>
      <c r="M776" t="n">
        <v>0</v>
      </c>
      <c r="N776" t="n">
        <v>0</v>
      </c>
      <c r="O776" t="n">
        <v>0</v>
      </c>
      <c r="P776" t="n">
        <v>0</v>
      </c>
      <c r="Q776" t="n">
        <v>0</v>
      </c>
      <c r="R776" s="2" t="inlineStr"/>
    </row>
    <row r="777" ht="15" customHeight="1">
      <c r="A777" t="inlineStr">
        <is>
          <t>A 27228-2023</t>
        </is>
      </c>
      <c r="B777" s="1" t="n">
        <v>45096</v>
      </c>
      <c r="C777" s="1" t="n">
        <v>45348</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27255-2023</t>
        </is>
      </c>
      <c r="B778" s="1" t="n">
        <v>45096</v>
      </c>
      <c r="C778" s="1" t="n">
        <v>45348</v>
      </c>
      <c r="D778" t="inlineStr">
        <is>
          <t>VÄSTMANLANDS LÄN</t>
        </is>
      </c>
      <c r="E778" t="inlineStr">
        <is>
          <t>SALA</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27424-2023</t>
        </is>
      </c>
      <c r="B779" s="1" t="n">
        <v>45097</v>
      </c>
      <c r="C779" s="1" t="n">
        <v>45348</v>
      </c>
      <c r="D779" t="inlineStr">
        <is>
          <t>VÄSTMANLANDS LÄN</t>
        </is>
      </c>
      <c r="E779" t="inlineStr">
        <is>
          <t>SALA</t>
        </is>
      </c>
      <c r="G779" t="n">
        <v>0.7</v>
      </c>
      <c r="H779" t="n">
        <v>0</v>
      </c>
      <c r="I779" t="n">
        <v>0</v>
      </c>
      <c r="J779" t="n">
        <v>0</v>
      </c>
      <c r="K779" t="n">
        <v>0</v>
      </c>
      <c r="L779" t="n">
        <v>0</v>
      </c>
      <c r="M779" t="n">
        <v>0</v>
      </c>
      <c r="N779" t="n">
        <v>0</v>
      </c>
      <c r="O779" t="n">
        <v>0</v>
      </c>
      <c r="P779" t="n">
        <v>0</v>
      </c>
      <c r="Q779" t="n">
        <v>0</v>
      </c>
      <c r="R779" s="2" t="inlineStr"/>
    </row>
    <row r="780" ht="15" customHeight="1">
      <c r="A780" t="inlineStr">
        <is>
          <t>A 27638-2023</t>
        </is>
      </c>
      <c r="B780" s="1" t="n">
        <v>45097</v>
      </c>
      <c r="C780" s="1" t="n">
        <v>45348</v>
      </c>
      <c r="D780" t="inlineStr">
        <is>
          <t>VÄSTMANLANDS LÄN</t>
        </is>
      </c>
      <c r="E780" t="inlineStr">
        <is>
          <t>SALA</t>
        </is>
      </c>
      <c r="G780" t="n">
        <v>8.4</v>
      </c>
      <c r="H780" t="n">
        <v>0</v>
      </c>
      <c r="I780" t="n">
        <v>0</v>
      </c>
      <c r="J780" t="n">
        <v>0</v>
      </c>
      <c r="K780" t="n">
        <v>0</v>
      </c>
      <c r="L780" t="n">
        <v>0</v>
      </c>
      <c r="M780" t="n">
        <v>0</v>
      </c>
      <c r="N780" t="n">
        <v>0</v>
      </c>
      <c r="O780" t="n">
        <v>0</v>
      </c>
      <c r="P780" t="n">
        <v>0</v>
      </c>
      <c r="Q780" t="n">
        <v>0</v>
      </c>
      <c r="R780" s="2" t="inlineStr"/>
    </row>
    <row r="781" ht="15" customHeight="1">
      <c r="A781" t="inlineStr">
        <is>
          <t>A 27657-2023</t>
        </is>
      </c>
      <c r="B781" s="1" t="n">
        <v>45097</v>
      </c>
      <c r="C781" s="1" t="n">
        <v>45348</v>
      </c>
      <c r="D781" t="inlineStr">
        <is>
          <t>VÄSTMANLANDS LÄN</t>
        </is>
      </c>
      <c r="E781" t="inlineStr">
        <is>
          <t>SALA</t>
        </is>
      </c>
      <c r="G781" t="n">
        <v>0.1</v>
      </c>
      <c r="H781" t="n">
        <v>0</v>
      </c>
      <c r="I781" t="n">
        <v>0</v>
      </c>
      <c r="J781" t="n">
        <v>0</v>
      </c>
      <c r="K781" t="n">
        <v>0</v>
      </c>
      <c r="L781" t="n">
        <v>0</v>
      </c>
      <c r="M781" t="n">
        <v>0</v>
      </c>
      <c r="N781" t="n">
        <v>0</v>
      </c>
      <c r="O781" t="n">
        <v>0</v>
      </c>
      <c r="P781" t="n">
        <v>0</v>
      </c>
      <c r="Q781" t="n">
        <v>0</v>
      </c>
      <c r="R781" s="2" t="inlineStr"/>
    </row>
    <row r="782" ht="15" customHeight="1">
      <c r="A782" t="inlineStr">
        <is>
          <t>A 27744-2023</t>
        </is>
      </c>
      <c r="B782" s="1" t="n">
        <v>45098</v>
      </c>
      <c r="C782" s="1" t="n">
        <v>45348</v>
      </c>
      <c r="D782" t="inlineStr">
        <is>
          <t>VÄSTMANLANDS LÄN</t>
        </is>
      </c>
      <c r="E782" t="inlineStr">
        <is>
          <t>SALA</t>
        </is>
      </c>
      <c r="G782" t="n">
        <v>5.7</v>
      </c>
      <c r="H782" t="n">
        <v>0</v>
      </c>
      <c r="I782" t="n">
        <v>0</v>
      </c>
      <c r="J782" t="n">
        <v>0</v>
      </c>
      <c r="K782" t="n">
        <v>0</v>
      </c>
      <c r="L782" t="n">
        <v>0</v>
      </c>
      <c r="M782" t="n">
        <v>0</v>
      </c>
      <c r="N782" t="n">
        <v>0</v>
      </c>
      <c r="O782" t="n">
        <v>0</v>
      </c>
      <c r="P782" t="n">
        <v>0</v>
      </c>
      <c r="Q782" t="n">
        <v>0</v>
      </c>
      <c r="R782" s="2" t="inlineStr"/>
    </row>
    <row r="783" ht="15" customHeight="1">
      <c r="A783" t="inlineStr">
        <is>
          <t>A 27834-2023</t>
        </is>
      </c>
      <c r="B783" s="1" t="n">
        <v>45098</v>
      </c>
      <c r="C783" s="1" t="n">
        <v>45348</v>
      </c>
      <c r="D783" t="inlineStr">
        <is>
          <t>VÄSTMANLANDS LÄN</t>
        </is>
      </c>
      <c r="E783" t="inlineStr">
        <is>
          <t>SALA</t>
        </is>
      </c>
      <c r="G783" t="n">
        <v>5</v>
      </c>
      <c r="H783" t="n">
        <v>0</v>
      </c>
      <c r="I783" t="n">
        <v>0</v>
      </c>
      <c r="J783" t="n">
        <v>0</v>
      </c>
      <c r="K783" t="n">
        <v>0</v>
      </c>
      <c r="L783" t="n">
        <v>0</v>
      </c>
      <c r="M783" t="n">
        <v>0</v>
      </c>
      <c r="N783" t="n">
        <v>0</v>
      </c>
      <c r="O783" t="n">
        <v>0</v>
      </c>
      <c r="P783" t="n">
        <v>0</v>
      </c>
      <c r="Q783" t="n">
        <v>0</v>
      </c>
      <c r="R783" s="2" t="inlineStr"/>
    </row>
    <row r="784" ht="15" customHeight="1">
      <c r="A784" t="inlineStr">
        <is>
          <t>A 27824-2023</t>
        </is>
      </c>
      <c r="B784" s="1" t="n">
        <v>45098</v>
      </c>
      <c r="C784" s="1" t="n">
        <v>45348</v>
      </c>
      <c r="D784" t="inlineStr">
        <is>
          <t>VÄSTMANLANDS LÄN</t>
        </is>
      </c>
      <c r="E784" t="inlineStr">
        <is>
          <t>SALA</t>
        </is>
      </c>
      <c r="G784" t="n">
        <v>5.3</v>
      </c>
      <c r="H784" t="n">
        <v>0</v>
      </c>
      <c r="I784" t="n">
        <v>0</v>
      </c>
      <c r="J784" t="n">
        <v>0</v>
      </c>
      <c r="K784" t="n">
        <v>0</v>
      </c>
      <c r="L784" t="n">
        <v>0</v>
      </c>
      <c r="M784" t="n">
        <v>0</v>
      </c>
      <c r="N784" t="n">
        <v>0</v>
      </c>
      <c r="O784" t="n">
        <v>0</v>
      </c>
      <c r="P784" t="n">
        <v>0</v>
      </c>
      <c r="Q784" t="n">
        <v>0</v>
      </c>
      <c r="R784" s="2" t="inlineStr"/>
    </row>
    <row r="785" ht="15" customHeight="1">
      <c r="A785" t="inlineStr">
        <is>
          <t>A 27749-2023</t>
        </is>
      </c>
      <c r="B785" s="1" t="n">
        <v>45098</v>
      </c>
      <c r="C785" s="1" t="n">
        <v>45348</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29542-2023</t>
        </is>
      </c>
      <c r="B786" s="1" t="n">
        <v>45098</v>
      </c>
      <c r="C786" s="1" t="n">
        <v>45348</v>
      </c>
      <c r="D786" t="inlineStr">
        <is>
          <t>VÄSTMANLANDS LÄN</t>
        </is>
      </c>
      <c r="E786" t="inlineStr">
        <is>
          <t>SALA</t>
        </is>
      </c>
      <c r="G786" t="n">
        <v>4.8</v>
      </c>
      <c r="H786" t="n">
        <v>0</v>
      </c>
      <c r="I786" t="n">
        <v>0</v>
      </c>
      <c r="J786" t="n">
        <v>0</v>
      </c>
      <c r="K786" t="n">
        <v>0</v>
      </c>
      <c r="L786" t="n">
        <v>0</v>
      </c>
      <c r="M786" t="n">
        <v>0</v>
      </c>
      <c r="N786" t="n">
        <v>0</v>
      </c>
      <c r="O786" t="n">
        <v>0</v>
      </c>
      <c r="P786" t="n">
        <v>0</v>
      </c>
      <c r="Q786" t="n">
        <v>0</v>
      </c>
      <c r="R786" s="2" t="inlineStr"/>
    </row>
    <row r="787" ht="15" customHeight="1">
      <c r="A787" t="inlineStr">
        <is>
          <t>A 28328-2023</t>
        </is>
      </c>
      <c r="B787" s="1" t="n">
        <v>45099</v>
      </c>
      <c r="C787" s="1" t="n">
        <v>45348</v>
      </c>
      <c r="D787" t="inlineStr">
        <is>
          <t>VÄSTMANLANDS LÄN</t>
        </is>
      </c>
      <c r="E787" t="inlineStr">
        <is>
          <t>SALA</t>
        </is>
      </c>
      <c r="G787" t="n">
        <v>1.8</v>
      </c>
      <c r="H787" t="n">
        <v>0</v>
      </c>
      <c r="I787" t="n">
        <v>0</v>
      </c>
      <c r="J787" t="n">
        <v>0</v>
      </c>
      <c r="K787" t="n">
        <v>0</v>
      </c>
      <c r="L787" t="n">
        <v>0</v>
      </c>
      <c r="M787" t="n">
        <v>0</v>
      </c>
      <c r="N787" t="n">
        <v>0</v>
      </c>
      <c r="O787" t="n">
        <v>0</v>
      </c>
      <c r="P787" t="n">
        <v>0</v>
      </c>
      <c r="Q787" t="n">
        <v>0</v>
      </c>
      <c r="R787" s="2" t="inlineStr"/>
    </row>
    <row r="788" ht="15" customHeight="1">
      <c r="A788" t="inlineStr">
        <is>
          <t>A 28696-2023</t>
        </is>
      </c>
      <c r="B788" s="1" t="n">
        <v>45103</v>
      </c>
      <c r="C788" s="1" t="n">
        <v>45348</v>
      </c>
      <c r="D788" t="inlineStr">
        <is>
          <t>VÄSTMANLANDS LÄN</t>
        </is>
      </c>
      <c r="E788" t="inlineStr">
        <is>
          <t>SALA</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29241-2023</t>
        </is>
      </c>
      <c r="B789" s="1" t="n">
        <v>45105</v>
      </c>
      <c r="C789" s="1" t="n">
        <v>45348</v>
      </c>
      <c r="D789" t="inlineStr">
        <is>
          <t>VÄSTMANLANDS LÄN</t>
        </is>
      </c>
      <c r="E789" t="inlineStr">
        <is>
          <t>SALA</t>
        </is>
      </c>
      <c r="F789" t="inlineStr">
        <is>
          <t>Kommuner</t>
        </is>
      </c>
      <c r="G789" t="n">
        <v>4.8</v>
      </c>
      <c r="H789" t="n">
        <v>0</v>
      </c>
      <c r="I789" t="n">
        <v>0</v>
      </c>
      <c r="J789" t="n">
        <v>0</v>
      </c>
      <c r="K789" t="n">
        <v>0</v>
      </c>
      <c r="L789" t="n">
        <v>0</v>
      </c>
      <c r="M789" t="n">
        <v>0</v>
      </c>
      <c r="N789" t="n">
        <v>0</v>
      </c>
      <c r="O789" t="n">
        <v>0</v>
      </c>
      <c r="P789" t="n">
        <v>0</v>
      </c>
      <c r="Q789" t="n">
        <v>0</v>
      </c>
      <c r="R789" s="2" t="inlineStr"/>
    </row>
    <row r="790" ht="15" customHeight="1">
      <c r="A790" t="inlineStr">
        <is>
          <t>A 29727-2023</t>
        </is>
      </c>
      <c r="B790" s="1" t="n">
        <v>45107</v>
      </c>
      <c r="C790" s="1" t="n">
        <v>45348</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31945-2023</t>
        </is>
      </c>
      <c r="B791" s="1" t="n">
        <v>45107</v>
      </c>
      <c r="C791" s="1" t="n">
        <v>45348</v>
      </c>
      <c r="D791" t="inlineStr">
        <is>
          <t>VÄSTMANLANDS LÄN</t>
        </is>
      </c>
      <c r="E791" t="inlineStr">
        <is>
          <t>SALA</t>
        </is>
      </c>
      <c r="G791" t="n">
        <v>2.1</v>
      </c>
      <c r="H791" t="n">
        <v>0</v>
      </c>
      <c r="I791" t="n">
        <v>0</v>
      </c>
      <c r="J791" t="n">
        <v>0</v>
      </c>
      <c r="K791" t="n">
        <v>0</v>
      </c>
      <c r="L791" t="n">
        <v>0</v>
      </c>
      <c r="M791" t="n">
        <v>0</v>
      </c>
      <c r="N791" t="n">
        <v>0</v>
      </c>
      <c r="O791" t="n">
        <v>0</v>
      </c>
      <c r="P791" t="n">
        <v>0</v>
      </c>
      <c r="Q791" t="n">
        <v>0</v>
      </c>
      <c r="R791" s="2" t="inlineStr"/>
    </row>
    <row r="792" ht="15" customHeight="1">
      <c r="A792" t="inlineStr">
        <is>
          <t>A 31950-2023</t>
        </is>
      </c>
      <c r="B792" s="1" t="n">
        <v>45107</v>
      </c>
      <c r="C792" s="1" t="n">
        <v>45348</v>
      </c>
      <c r="D792" t="inlineStr">
        <is>
          <t>VÄSTMANLANDS LÄN</t>
        </is>
      </c>
      <c r="E792" t="inlineStr">
        <is>
          <t>SALA</t>
        </is>
      </c>
      <c r="G792" t="n">
        <v>2</v>
      </c>
      <c r="H792" t="n">
        <v>0</v>
      </c>
      <c r="I792" t="n">
        <v>0</v>
      </c>
      <c r="J792" t="n">
        <v>0</v>
      </c>
      <c r="K792" t="n">
        <v>0</v>
      </c>
      <c r="L792" t="n">
        <v>0</v>
      </c>
      <c r="M792" t="n">
        <v>0</v>
      </c>
      <c r="N792" t="n">
        <v>0</v>
      </c>
      <c r="O792" t="n">
        <v>0</v>
      </c>
      <c r="P792" t="n">
        <v>0</v>
      </c>
      <c r="Q792" t="n">
        <v>0</v>
      </c>
      <c r="R792" s="2" t="inlineStr"/>
    </row>
    <row r="793" ht="15" customHeight="1">
      <c r="A793" t="inlineStr">
        <is>
          <t>A 31953-2023</t>
        </is>
      </c>
      <c r="B793" s="1" t="n">
        <v>45107</v>
      </c>
      <c r="C793" s="1" t="n">
        <v>45348</v>
      </c>
      <c r="D793" t="inlineStr">
        <is>
          <t>VÄSTMANLANDS LÄN</t>
        </is>
      </c>
      <c r="E793" t="inlineStr">
        <is>
          <t>SALA</t>
        </is>
      </c>
      <c r="G793" t="n">
        <v>1.5</v>
      </c>
      <c r="H793" t="n">
        <v>0</v>
      </c>
      <c r="I793" t="n">
        <v>0</v>
      </c>
      <c r="J793" t="n">
        <v>0</v>
      </c>
      <c r="K793" t="n">
        <v>0</v>
      </c>
      <c r="L793" t="n">
        <v>0</v>
      </c>
      <c r="M793" t="n">
        <v>0</v>
      </c>
      <c r="N793" t="n">
        <v>0</v>
      </c>
      <c r="O793" t="n">
        <v>0</v>
      </c>
      <c r="P793" t="n">
        <v>0</v>
      </c>
      <c r="Q793" t="n">
        <v>0</v>
      </c>
      <c r="R793" s="2" t="inlineStr"/>
    </row>
    <row r="794" ht="15" customHeight="1">
      <c r="A794" t="inlineStr">
        <is>
          <t>A 31298-2023</t>
        </is>
      </c>
      <c r="B794" s="1" t="n">
        <v>45114</v>
      </c>
      <c r="C794" s="1" t="n">
        <v>45348</v>
      </c>
      <c r="D794" t="inlineStr">
        <is>
          <t>VÄSTMANLANDS LÄN</t>
        </is>
      </c>
      <c r="E794" t="inlineStr">
        <is>
          <t>SALA</t>
        </is>
      </c>
      <c r="G794" t="n">
        <v>3</v>
      </c>
      <c r="H794" t="n">
        <v>0</v>
      </c>
      <c r="I794" t="n">
        <v>0</v>
      </c>
      <c r="J794" t="n">
        <v>0</v>
      </c>
      <c r="K794" t="n">
        <v>0</v>
      </c>
      <c r="L794" t="n">
        <v>0</v>
      </c>
      <c r="M794" t="n">
        <v>0</v>
      </c>
      <c r="N794" t="n">
        <v>0</v>
      </c>
      <c r="O794" t="n">
        <v>0</v>
      </c>
      <c r="P794" t="n">
        <v>0</v>
      </c>
      <c r="Q794" t="n">
        <v>0</v>
      </c>
      <c r="R794" s="2" t="inlineStr"/>
    </row>
    <row r="795" ht="15" customHeight="1">
      <c r="A795" t="inlineStr">
        <is>
          <t>A 31315-2023</t>
        </is>
      </c>
      <c r="B795" s="1" t="n">
        <v>45114</v>
      </c>
      <c r="C795" s="1" t="n">
        <v>45348</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31646-2023</t>
        </is>
      </c>
      <c r="B796" s="1" t="n">
        <v>45117</v>
      </c>
      <c r="C796" s="1" t="n">
        <v>45348</v>
      </c>
      <c r="D796" t="inlineStr">
        <is>
          <t>VÄSTMANLANDS LÄN</t>
        </is>
      </c>
      <c r="E796" t="inlineStr">
        <is>
          <t>SALA</t>
        </is>
      </c>
      <c r="G796" t="n">
        <v>3.5</v>
      </c>
      <c r="H796" t="n">
        <v>0</v>
      </c>
      <c r="I796" t="n">
        <v>0</v>
      </c>
      <c r="J796" t="n">
        <v>0</v>
      </c>
      <c r="K796" t="n">
        <v>0</v>
      </c>
      <c r="L796" t="n">
        <v>0</v>
      </c>
      <c r="M796" t="n">
        <v>0</v>
      </c>
      <c r="N796" t="n">
        <v>0</v>
      </c>
      <c r="O796" t="n">
        <v>0</v>
      </c>
      <c r="P796" t="n">
        <v>0</v>
      </c>
      <c r="Q796" t="n">
        <v>0</v>
      </c>
      <c r="R796" s="2" t="inlineStr"/>
    </row>
    <row r="797" ht="15" customHeight="1">
      <c r="A797" t="inlineStr">
        <is>
          <t>A 31859-2023</t>
        </is>
      </c>
      <c r="B797" s="1" t="n">
        <v>45118</v>
      </c>
      <c r="C797" s="1" t="n">
        <v>45348</v>
      </c>
      <c r="D797" t="inlineStr">
        <is>
          <t>VÄSTMANLANDS LÄN</t>
        </is>
      </c>
      <c r="E797" t="inlineStr">
        <is>
          <t>SALA</t>
        </is>
      </c>
      <c r="G797" t="n">
        <v>0.5</v>
      </c>
      <c r="H797" t="n">
        <v>0</v>
      </c>
      <c r="I797" t="n">
        <v>0</v>
      </c>
      <c r="J797" t="n">
        <v>0</v>
      </c>
      <c r="K797" t="n">
        <v>0</v>
      </c>
      <c r="L797" t="n">
        <v>0</v>
      </c>
      <c r="M797" t="n">
        <v>0</v>
      </c>
      <c r="N797" t="n">
        <v>0</v>
      </c>
      <c r="O797" t="n">
        <v>0</v>
      </c>
      <c r="P797" t="n">
        <v>0</v>
      </c>
      <c r="Q797" t="n">
        <v>0</v>
      </c>
      <c r="R797" s="2" t="inlineStr"/>
      <c r="U797">
        <f>HYPERLINK("https://klasma.github.io/Logging_1981/knärot/A 31859-2023 karta knärot.png", "A 31859-2023")</f>
        <v/>
      </c>
      <c r="V797">
        <f>HYPERLINK("https://klasma.github.io/Logging_1981/klagomål/A 31859-2023 FSC-klagomål.docx", "A 31859-2023")</f>
        <v/>
      </c>
      <c r="W797">
        <f>HYPERLINK("https://klasma.github.io/Logging_1981/klagomålsmail/A 31859-2023 FSC-klagomål mail.docx", "A 31859-2023")</f>
        <v/>
      </c>
      <c r="X797">
        <f>HYPERLINK("https://klasma.github.io/Logging_1981/tillsyn/A 31859-2023 tillsynsbegäran.docx", "A 31859-2023")</f>
        <v/>
      </c>
      <c r="Y797">
        <f>HYPERLINK("https://klasma.github.io/Logging_1981/tillsynsmail/A 31859-2023 tillsynsbegäran mail.docx", "A 31859-2023")</f>
        <v/>
      </c>
    </row>
    <row r="798" ht="15" customHeight="1">
      <c r="A798" t="inlineStr">
        <is>
          <t>A 32945-2023</t>
        </is>
      </c>
      <c r="B798" s="1" t="n">
        <v>45125</v>
      </c>
      <c r="C798" s="1" t="n">
        <v>45348</v>
      </c>
      <c r="D798" t="inlineStr">
        <is>
          <t>VÄSTMANLANDS LÄN</t>
        </is>
      </c>
      <c r="E798" t="inlineStr">
        <is>
          <t>SALA</t>
        </is>
      </c>
      <c r="G798" t="n">
        <v>1.5</v>
      </c>
      <c r="H798" t="n">
        <v>0</v>
      </c>
      <c r="I798" t="n">
        <v>0</v>
      </c>
      <c r="J798" t="n">
        <v>0</v>
      </c>
      <c r="K798" t="n">
        <v>0</v>
      </c>
      <c r="L798" t="n">
        <v>0</v>
      </c>
      <c r="M798" t="n">
        <v>0</v>
      </c>
      <c r="N798" t="n">
        <v>0</v>
      </c>
      <c r="O798" t="n">
        <v>0</v>
      </c>
      <c r="P798" t="n">
        <v>0</v>
      </c>
      <c r="Q798" t="n">
        <v>0</v>
      </c>
      <c r="R798" s="2" t="inlineStr"/>
    </row>
    <row r="799" ht="15" customHeight="1">
      <c r="A799" t="inlineStr">
        <is>
          <t>A 33152-2023</t>
        </is>
      </c>
      <c r="B799" s="1" t="n">
        <v>45126</v>
      </c>
      <c r="C799" s="1" t="n">
        <v>45348</v>
      </c>
      <c r="D799" t="inlineStr">
        <is>
          <t>VÄSTMANLANDS LÄN</t>
        </is>
      </c>
      <c r="E799" t="inlineStr">
        <is>
          <t>SALA</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33151-2023</t>
        </is>
      </c>
      <c r="B800" s="1" t="n">
        <v>45126</v>
      </c>
      <c r="C800" s="1" t="n">
        <v>45348</v>
      </c>
      <c r="D800" t="inlineStr">
        <is>
          <t>VÄSTMANLANDS LÄN</t>
        </is>
      </c>
      <c r="E800" t="inlineStr">
        <is>
          <t>SALA</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33180-2023</t>
        </is>
      </c>
      <c r="B801" s="1" t="n">
        <v>45127</v>
      </c>
      <c r="C801" s="1" t="n">
        <v>45348</v>
      </c>
      <c r="D801" t="inlineStr">
        <is>
          <t>VÄSTMANLANDS LÄN</t>
        </is>
      </c>
      <c r="E801" t="inlineStr">
        <is>
          <t>SALA</t>
        </is>
      </c>
      <c r="G801" t="n">
        <v>2.5</v>
      </c>
      <c r="H801" t="n">
        <v>0</v>
      </c>
      <c r="I801" t="n">
        <v>0</v>
      </c>
      <c r="J801" t="n">
        <v>0</v>
      </c>
      <c r="K801" t="n">
        <v>0</v>
      </c>
      <c r="L801" t="n">
        <v>0</v>
      </c>
      <c r="M801" t="n">
        <v>0</v>
      </c>
      <c r="N801" t="n">
        <v>0</v>
      </c>
      <c r="O801" t="n">
        <v>0</v>
      </c>
      <c r="P801" t="n">
        <v>0</v>
      </c>
      <c r="Q801" t="n">
        <v>0</v>
      </c>
      <c r="R801" s="2" t="inlineStr"/>
    </row>
    <row r="802" ht="15" customHeight="1">
      <c r="A802" t="inlineStr">
        <is>
          <t>A 33273-2023</t>
        </is>
      </c>
      <c r="B802" s="1" t="n">
        <v>45127</v>
      </c>
      <c r="C802" s="1" t="n">
        <v>45348</v>
      </c>
      <c r="D802" t="inlineStr">
        <is>
          <t>VÄSTMANLANDS LÄN</t>
        </is>
      </c>
      <c r="E802" t="inlineStr">
        <is>
          <t>SALA</t>
        </is>
      </c>
      <c r="G802" t="n">
        <v>2.6</v>
      </c>
      <c r="H802" t="n">
        <v>0</v>
      </c>
      <c r="I802" t="n">
        <v>0</v>
      </c>
      <c r="J802" t="n">
        <v>0</v>
      </c>
      <c r="K802" t="n">
        <v>0</v>
      </c>
      <c r="L802" t="n">
        <v>0</v>
      </c>
      <c r="M802" t="n">
        <v>0</v>
      </c>
      <c r="N802" t="n">
        <v>0</v>
      </c>
      <c r="O802" t="n">
        <v>0</v>
      </c>
      <c r="P802" t="n">
        <v>0</v>
      </c>
      <c r="Q802" t="n">
        <v>0</v>
      </c>
      <c r="R802" s="2" t="inlineStr"/>
    </row>
    <row r="803" ht="15" customHeight="1">
      <c r="A803" t="inlineStr">
        <is>
          <t>A 33527-2023</t>
        </is>
      </c>
      <c r="B803" s="1" t="n">
        <v>45131</v>
      </c>
      <c r="C803" s="1" t="n">
        <v>45348</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34361-2023</t>
        </is>
      </c>
      <c r="B804" s="1" t="n">
        <v>45131</v>
      </c>
      <c r="C804" s="1" t="n">
        <v>45348</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33732-2023</t>
        </is>
      </c>
      <c r="B805" s="1" t="n">
        <v>45133</v>
      </c>
      <c r="C805" s="1" t="n">
        <v>45348</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33743-2023</t>
        </is>
      </c>
      <c r="B806" s="1" t="n">
        <v>45133</v>
      </c>
      <c r="C806" s="1" t="n">
        <v>45348</v>
      </c>
      <c r="D806" t="inlineStr">
        <is>
          <t>VÄSTMANLANDS LÄN</t>
        </is>
      </c>
      <c r="E806" t="inlineStr">
        <is>
          <t>SALA</t>
        </is>
      </c>
      <c r="G806" t="n">
        <v>4.6</v>
      </c>
      <c r="H806" t="n">
        <v>0</v>
      </c>
      <c r="I806" t="n">
        <v>0</v>
      </c>
      <c r="J806" t="n">
        <v>0</v>
      </c>
      <c r="K806" t="n">
        <v>0</v>
      </c>
      <c r="L806" t="n">
        <v>0</v>
      </c>
      <c r="M806" t="n">
        <v>0</v>
      </c>
      <c r="N806" t="n">
        <v>0</v>
      </c>
      <c r="O806" t="n">
        <v>0</v>
      </c>
      <c r="P806" t="n">
        <v>0</v>
      </c>
      <c r="Q806" t="n">
        <v>0</v>
      </c>
      <c r="R806" s="2" t="inlineStr"/>
    </row>
    <row r="807" ht="15" customHeight="1">
      <c r="A807" t="inlineStr">
        <is>
          <t>A 34494-2023</t>
        </is>
      </c>
      <c r="B807" s="1" t="n">
        <v>45133</v>
      </c>
      <c r="C807" s="1" t="n">
        <v>45348</v>
      </c>
      <c r="D807" t="inlineStr">
        <is>
          <t>VÄSTMANLANDS LÄN</t>
        </is>
      </c>
      <c r="E807" t="inlineStr">
        <is>
          <t>SALA</t>
        </is>
      </c>
      <c r="G807" t="n">
        <v>0.8</v>
      </c>
      <c r="H807" t="n">
        <v>0</v>
      </c>
      <c r="I807" t="n">
        <v>0</v>
      </c>
      <c r="J807" t="n">
        <v>0</v>
      </c>
      <c r="K807" t="n">
        <v>0</v>
      </c>
      <c r="L807" t="n">
        <v>0</v>
      </c>
      <c r="M807" t="n">
        <v>0</v>
      </c>
      <c r="N807" t="n">
        <v>0</v>
      </c>
      <c r="O807" t="n">
        <v>0</v>
      </c>
      <c r="P807" t="n">
        <v>0</v>
      </c>
      <c r="Q807" t="n">
        <v>0</v>
      </c>
      <c r="R807" s="2" t="inlineStr"/>
    </row>
    <row r="808" ht="15" customHeight="1">
      <c r="A808" t="inlineStr">
        <is>
          <t>A 34215-2023</t>
        </is>
      </c>
      <c r="B808" s="1" t="n">
        <v>45138</v>
      </c>
      <c r="C808" s="1" t="n">
        <v>45348</v>
      </c>
      <c r="D808" t="inlineStr">
        <is>
          <t>VÄSTMANLANDS LÄN</t>
        </is>
      </c>
      <c r="E808" t="inlineStr">
        <is>
          <t>SALA</t>
        </is>
      </c>
      <c r="G808" t="n">
        <v>0.9</v>
      </c>
      <c r="H808" t="n">
        <v>0</v>
      </c>
      <c r="I808" t="n">
        <v>0</v>
      </c>
      <c r="J808" t="n">
        <v>0</v>
      </c>
      <c r="K808" t="n">
        <v>0</v>
      </c>
      <c r="L808" t="n">
        <v>0</v>
      </c>
      <c r="M808" t="n">
        <v>0</v>
      </c>
      <c r="N808" t="n">
        <v>0</v>
      </c>
      <c r="O808" t="n">
        <v>0</v>
      </c>
      <c r="P808" t="n">
        <v>0</v>
      </c>
      <c r="Q808" t="n">
        <v>0</v>
      </c>
      <c r="R808" s="2" t="inlineStr"/>
    </row>
    <row r="809" ht="15" customHeight="1">
      <c r="A809" t="inlineStr">
        <is>
          <t>A 34867-2023</t>
        </is>
      </c>
      <c r="B809" s="1" t="n">
        <v>45142</v>
      </c>
      <c r="C809" s="1" t="n">
        <v>45348</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35434-2023</t>
        </is>
      </c>
      <c r="B810" s="1" t="n">
        <v>45146</v>
      </c>
      <c r="C810" s="1" t="n">
        <v>45348</v>
      </c>
      <c r="D810" t="inlineStr">
        <is>
          <t>VÄSTMANLANDS LÄN</t>
        </is>
      </c>
      <c r="E810" t="inlineStr">
        <is>
          <t>SALA</t>
        </is>
      </c>
      <c r="G810" t="n">
        <v>2.5</v>
      </c>
      <c r="H810" t="n">
        <v>0</v>
      </c>
      <c r="I810" t="n">
        <v>0</v>
      </c>
      <c r="J810" t="n">
        <v>0</v>
      </c>
      <c r="K810" t="n">
        <v>0</v>
      </c>
      <c r="L810" t="n">
        <v>0</v>
      </c>
      <c r="M810" t="n">
        <v>0</v>
      </c>
      <c r="N810" t="n">
        <v>0</v>
      </c>
      <c r="O810" t="n">
        <v>0</v>
      </c>
      <c r="P810" t="n">
        <v>0</v>
      </c>
      <c r="Q810" t="n">
        <v>0</v>
      </c>
      <c r="R810" s="2" t="inlineStr"/>
    </row>
    <row r="811" ht="15" customHeight="1">
      <c r="A811" t="inlineStr">
        <is>
          <t>A 36393-2023</t>
        </is>
      </c>
      <c r="B811" s="1" t="n">
        <v>45152</v>
      </c>
      <c r="C811" s="1" t="n">
        <v>45348</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36858-2023</t>
        </is>
      </c>
      <c r="B812" s="1" t="n">
        <v>45154</v>
      </c>
      <c r="C812" s="1" t="n">
        <v>45348</v>
      </c>
      <c r="D812" t="inlineStr">
        <is>
          <t>VÄSTMANLANDS LÄN</t>
        </is>
      </c>
      <c r="E812" t="inlineStr">
        <is>
          <t>SALA</t>
        </is>
      </c>
      <c r="G812" t="n">
        <v>2.1</v>
      </c>
      <c r="H812" t="n">
        <v>0</v>
      </c>
      <c r="I812" t="n">
        <v>0</v>
      </c>
      <c r="J812" t="n">
        <v>0</v>
      </c>
      <c r="K812" t="n">
        <v>0</v>
      </c>
      <c r="L812" t="n">
        <v>0</v>
      </c>
      <c r="M812" t="n">
        <v>0</v>
      </c>
      <c r="N812" t="n">
        <v>0</v>
      </c>
      <c r="O812" t="n">
        <v>0</v>
      </c>
      <c r="P812" t="n">
        <v>0</v>
      </c>
      <c r="Q812" t="n">
        <v>0</v>
      </c>
      <c r="R812" s="2" t="inlineStr"/>
    </row>
    <row r="813" ht="15" customHeight="1">
      <c r="A813" t="inlineStr">
        <is>
          <t>A 38773-2023</t>
        </is>
      </c>
      <c r="B813" s="1" t="n">
        <v>45161</v>
      </c>
      <c r="C813" s="1" t="n">
        <v>45348</v>
      </c>
      <c r="D813" t="inlineStr">
        <is>
          <t>VÄSTMANLANDS LÄN</t>
        </is>
      </c>
      <c r="E813" t="inlineStr">
        <is>
          <t>SALA</t>
        </is>
      </c>
      <c r="G813" t="n">
        <v>12.5</v>
      </c>
      <c r="H813" t="n">
        <v>0</v>
      </c>
      <c r="I813" t="n">
        <v>0</v>
      </c>
      <c r="J813" t="n">
        <v>0</v>
      </c>
      <c r="K813" t="n">
        <v>0</v>
      </c>
      <c r="L813" t="n">
        <v>0</v>
      </c>
      <c r="M813" t="n">
        <v>0</v>
      </c>
      <c r="N813" t="n">
        <v>0</v>
      </c>
      <c r="O813" t="n">
        <v>0</v>
      </c>
      <c r="P813" t="n">
        <v>0</v>
      </c>
      <c r="Q813" t="n">
        <v>0</v>
      </c>
      <c r="R813" s="2" t="inlineStr"/>
    </row>
    <row r="814" ht="15" customHeight="1">
      <c r="A814" t="inlineStr">
        <is>
          <t>A 38561-2023</t>
        </is>
      </c>
      <c r="B814" s="1" t="n">
        <v>45162</v>
      </c>
      <c r="C814" s="1" t="n">
        <v>45348</v>
      </c>
      <c r="D814" t="inlineStr">
        <is>
          <t>VÄSTMANLANDS LÄN</t>
        </is>
      </c>
      <c r="E814" t="inlineStr">
        <is>
          <t>SALA</t>
        </is>
      </c>
      <c r="G814" t="n">
        <v>2.9</v>
      </c>
      <c r="H814" t="n">
        <v>0</v>
      </c>
      <c r="I814" t="n">
        <v>0</v>
      </c>
      <c r="J814" t="n">
        <v>0</v>
      </c>
      <c r="K814" t="n">
        <v>0</v>
      </c>
      <c r="L814" t="n">
        <v>0</v>
      </c>
      <c r="M814" t="n">
        <v>0</v>
      </c>
      <c r="N814" t="n">
        <v>0</v>
      </c>
      <c r="O814" t="n">
        <v>0</v>
      </c>
      <c r="P814" t="n">
        <v>0</v>
      </c>
      <c r="Q814" t="n">
        <v>0</v>
      </c>
      <c r="R814" s="2" t="inlineStr"/>
    </row>
    <row r="815" ht="15" customHeight="1">
      <c r="A815" t="inlineStr">
        <is>
          <t>A 39011-2023</t>
        </is>
      </c>
      <c r="B815" s="1" t="n">
        <v>45162</v>
      </c>
      <c r="C815" s="1" t="n">
        <v>45348</v>
      </c>
      <c r="D815" t="inlineStr">
        <is>
          <t>VÄSTMANLANDS LÄN</t>
        </is>
      </c>
      <c r="E815" t="inlineStr">
        <is>
          <t>SALA</t>
        </is>
      </c>
      <c r="G815" t="n">
        <v>1.6</v>
      </c>
      <c r="H815" t="n">
        <v>0</v>
      </c>
      <c r="I815" t="n">
        <v>0</v>
      </c>
      <c r="J815" t="n">
        <v>0</v>
      </c>
      <c r="K815" t="n">
        <v>0</v>
      </c>
      <c r="L815" t="n">
        <v>0</v>
      </c>
      <c r="M815" t="n">
        <v>0</v>
      </c>
      <c r="N815" t="n">
        <v>0</v>
      </c>
      <c r="O815" t="n">
        <v>0</v>
      </c>
      <c r="P815" t="n">
        <v>0</v>
      </c>
      <c r="Q815" t="n">
        <v>0</v>
      </c>
      <c r="R815" s="2" t="inlineStr"/>
    </row>
    <row r="816" ht="15" customHeight="1">
      <c r="A816" t="inlineStr">
        <is>
          <t>A 39604-2023</t>
        </is>
      </c>
      <c r="B816" s="1" t="n">
        <v>45163</v>
      </c>
      <c r="C816" s="1" t="n">
        <v>45348</v>
      </c>
      <c r="D816" t="inlineStr">
        <is>
          <t>VÄSTMANLANDS LÄN</t>
        </is>
      </c>
      <c r="E816" t="inlineStr">
        <is>
          <t>SALA</t>
        </is>
      </c>
      <c r="G816" t="n">
        <v>2.7</v>
      </c>
      <c r="H816" t="n">
        <v>0</v>
      </c>
      <c r="I816" t="n">
        <v>0</v>
      </c>
      <c r="J816" t="n">
        <v>0</v>
      </c>
      <c r="K816" t="n">
        <v>0</v>
      </c>
      <c r="L816" t="n">
        <v>0</v>
      </c>
      <c r="M816" t="n">
        <v>0</v>
      </c>
      <c r="N816" t="n">
        <v>0</v>
      </c>
      <c r="O816" t="n">
        <v>0</v>
      </c>
      <c r="P816" t="n">
        <v>0</v>
      </c>
      <c r="Q816" t="n">
        <v>0</v>
      </c>
      <c r="R816" s="2" t="inlineStr"/>
    </row>
    <row r="817" ht="15" customHeight="1">
      <c r="A817" t="inlineStr">
        <is>
          <t>A 39714-2023</t>
        </is>
      </c>
      <c r="B817" s="1" t="n">
        <v>45167</v>
      </c>
      <c r="C817" s="1" t="n">
        <v>45348</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39708-2023</t>
        </is>
      </c>
      <c r="B818" s="1" t="n">
        <v>45167</v>
      </c>
      <c r="C818" s="1" t="n">
        <v>45348</v>
      </c>
      <c r="D818" t="inlineStr">
        <is>
          <t>VÄSTMANLANDS LÄN</t>
        </is>
      </c>
      <c r="E818" t="inlineStr">
        <is>
          <t>SALA</t>
        </is>
      </c>
      <c r="G818" t="n">
        <v>5.3</v>
      </c>
      <c r="H818" t="n">
        <v>0</v>
      </c>
      <c r="I818" t="n">
        <v>0</v>
      </c>
      <c r="J818" t="n">
        <v>0</v>
      </c>
      <c r="K818" t="n">
        <v>0</v>
      </c>
      <c r="L818" t="n">
        <v>0</v>
      </c>
      <c r="M818" t="n">
        <v>0</v>
      </c>
      <c r="N818" t="n">
        <v>0</v>
      </c>
      <c r="O818" t="n">
        <v>0</v>
      </c>
      <c r="P818" t="n">
        <v>0</v>
      </c>
      <c r="Q818" t="n">
        <v>0</v>
      </c>
      <c r="R818" s="2" t="inlineStr"/>
    </row>
    <row r="819" ht="15" customHeight="1">
      <c r="A819" t="inlineStr">
        <is>
          <t>A 39713-2023</t>
        </is>
      </c>
      <c r="B819" s="1" t="n">
        <v>45167</v>
      </c>
      <c r="C819" s="1" t="n">
        <v>45348</v>
      </c>
      <c r="D819" t="inlineStr">
        <is>
          <t>VÄSTMANLANDS LÄN</t>
        </is>
      </c>
      <c r="E819" t="inlineStr">
        <is>
          <t>SALA</t>
        </is>
      </c>
      <c r="G819" t="n">
        <v>3.1</v>
      </c>
      <c r="H819" t="n">
        <v>0</v>
      </c>
      <c r="I819" t="n">
        <v>0</v>
      </c>
      <c r="J819" t="n">
        <v>0</v>
      </c>
      <c r="K819" t="n">
        <v>0</v>
      </c>
      <c r="L819" t="n">
        <v>0</v>
      </c>
      <c r="M819" t="n">
        <v>0</v>
      </c>
      <c r="N819" t="n">
        <v>0</v>
      </c>
      <c r="O819" t="n">
        <v>0</v>
      </c>
      <c r="P819" t="n">
        <v>0</v>
      </c>
      <c r="Q819" t="n">
        <v>0</v>
      </c>
      <c r="R819" s="2" t="inlineStr"/>
    </row>
    <row r="820" ht="15" customHeight="1">
      <c r="A820" t="inlineStr">
        <is>
          <t>A 40214-2023</t>
        </is>
      </c>
      <c r="B820" s="1" t="n">
        <v>45169</v>
      </c>
      <c r="C820" s="1" t="n">
        <v>45348</v>
      </c>
      <c r="D820" t="inlineStr">
        <is>
          <t>VÄSTMANLANDS LÄN</t>
        </is>
      </c>
      <c r="E820" t="inlineStr">
        <is>
          <t>SALA</t>
        </is>
      </c>
      <c r="G820" t="n">
        <v>5.5</v>
      </c>
      <c r="H820" t="n">
        <v>0</v>
      </c>
      <c r="I820" t="n">
        <v>0</v>
      </c>
      <c r="J820" t="n">
        <v>0</v>
      </c>
      <c r="K820" t="n">
        <v>0</v>
      </c>
      <c r="L820" t="n">
        <v>0</v>
      </c>
      <c r="M820" t="n">
        <v>0</v>
      </c>
      <c r="N820" t="n">
        <v>0</v>
      </c>
      <c r="O820" t="n">
        <v>0</v>
      </c>
      <c r="P820" t="n">
        <v>0</v>
      </c>
      <c r="Q820" t="n">
        <v>0</v>
      </c>
      <c r="R820" s="2" t="inlineStr"/>
    </row>
    <row r="821" ht="15" customHeight="1">
      <c r="A821" t="inlineStr">
        <is>
          <t>A 41613-2023</t>
        </is>
      </c>
      <c r="B821" s="1" t="n">
        <v>45173</v>
      </c>
      <c r="C821" s="1" t="n">
        <v>45348</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41619-2023</t>
        </is>
      </c>
      <c r="B822" s="1" t="n">
        <v>45173</v>
      </c>
      <c r="C822" s="1" t="n">
        <v>45348</v>
      </c>
      <c r="D822" t="inlineStr">
        <is>
          <t>VÄSTMANLANDS LÄN</t>
        </is>
      </c>
      <c r="E822" t="inlineStr">
        <is>
          <t>SALA</t>
        </is>
      </c>
      <c r="G822" t="n">
        <v>1</v>
      </c>
      <c r="H822" t="n">
        <v>0</v>
      </c>
      <c r="I822" t="n">
        <v>0</v>
      </c>
      <c r="J822" t="n">
        <v>0</v>
      </c>
      <c r="K822" t="n">
        <v>0</v>
      </c>
      <c r="L822" t="n">
        <v>0</v>
      </c>
      <c r="M822" t="n">
        <v>0</v>
      </c>
      <c r="N822" t="n">
        <v>0</v>
      </c>
      <c r="O822" t="n">
        <v>0</v>
      </c>
      <c r="P822" t="n">
        <v>0</v>
      </c>
      <c r="Q822" t="n">
        <v>0</v>
      </c>
      <c r="R822" s="2" t="inlineStr"/>
    </row>
    <row r="823" ht="15" customHeight="1">
      <c r="A823" t="inlineStr">
        <is>
          <t>A 42312-2023</t>
        </is>
      </c>
      <c r="B823" s="1" t="n">
        <v>45175</v>
      </c>
      <c r="C823" s="1" t="n">
        <v>45348</v>
      </c>
      <c r="D823" t="inlineStr">
        <is>
          <t>VÄSTMANLANDS LÄN</t>
        </is>
      </c>
      <c r="E823" t="inlineStr">
        <is>
          <t>SALA</t>
        </is>
      </c>
      <c r="G823" t="n">
        <v>2.2</v>
      </c>
      <c r="H823" t="n">
        <v>0</v>
      </c>
      <c r="I823" t="n">
        <v>0</v>
      </c>
      <c r="J823" t="n">
        <v>0</v>
      </c>
      <c r="K823" t="n">
        <v>0</v>
      </c>
      <c r="L823" t="n">
        <v>0</v>
      </c>
      <c r="M823" t="n">
        <v>0</v>
      </c>
      <c r="N823" t="n">
        <v>0</v>
      </c>
      <c r="O823" t="n">
        <v>0</v>
      </c>
      <c r="P823" t="n">
        <v>0</v>
      </c>
      <c r="Q823" t="n">
        <v>0</v>
      </c>
      <c r="R823" s="2" t="inlineStr"/>
    </row>
    <row r="824" ht="15" customHeight="1">
      <c r="A824" t="inlineStr">
        <is>
          <t>A 42938-2023</t>
        </is>
      </c>
      <c r="B824" s="1" t="n">
        <v>45179</v>
      </c>
      <c r="C824" s="1" t="n">
        <v>45348</v>
      </c>
      <c r="D824" t="inlineStr">
        <is>
          <t>VÄSTMANLANDS LÄN</t>
        </is>
      </c>
      <c r="E824" t="inlineStr">
        <is>
          <t>SALA</t>
        </is>
      </c>
      <c r="G824" t="n">
        <v>10.9</v>
      </c>
      <c r="H824" t="n">
        <v>0</v>
      </c>
      <c r="I824" t="n">
        <v>0</v>
      </c>
      <c r="J824" t="n">
        <v>0</v>
      </c>
      <c r="K824" t="n">
        <v>0</v>
      </c>
      <c r="L824" t="n">
        <v>0</v>
      </c>
      <c r="M824" t="n">
        <v>0</v>
      </c>
      <c r="N824" t="n">
        <v>0</v>
      </c>
      <c r="O824" t="n">
        <v>0</v>
      </c>
      <c r="P824" t="n">
        <v>0</v>
      </c>
      <c r="Q824" t="n">
        <v>0</v>
      </c>
      <c r="R824" s="2" t="inlineStr"/>
    </row>
    <row r="825" ht="15" customHeight="1">
      <c r="A825" t="inlineStr">
        <is>
          <t>A 42984-2023</t>
        </is>
      </c>
      <c r="B825" s="1" t="n">
        <v>45179</v>
      </c>
      <c r="C825" s="1" t="n">
        <v>45348</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42991-2023</t>
        </is>
      </c>
      <c r="B826" s="1" t="n">
        <v>45179</v>
      </c>
      <c r="C826" s="1" t="n">
        <v>45348</v>
      </c>
      <c r="D826" t="inlineStr">
        <is>
          <t>VÄSTMANLANDS LÄN</t>
        </is>
      </c>
      <c r="E826" t="inlineStr">
        <is>
          <t>SALA</t>
        </is>
      </c>
      <c r="G826" t="n">
        <v>3.6</v>
      </c>
      <c r="H826" t="n">
        <v>0</v>
      </c>
      <c r="I826" t="n">
        <v>0</v>
      </c>
      <c r="J826" t="n">
        <v>0</v>
      </c>
      <c r="K826" t="n">
        <v>0</v>
      </c>
      <c r="L826" t="n">
        <v>0</v>
      </c>
      <c r="M826" t="n">
        <v>0</v>
      </c>
      <c r="N826" t="n">
        <v>0</v>
      </c>
      <c r="O826" t="n">
        <v>0</v>
      </c>
      <c r="P826" t="n">
        <v>0</v>
      </c>
      <c r="Q826" t="n">
        <v>0</v>
      </c>
      <c r="R826" s="2" t="inlineStr"/>
    </row>
    <row r="827" ht="15" customHeight="1">
      <c r="A827" t="inlineStr">
        <is>
          <t>A 44247-2023</t>
        </is>
      </c>
      <c r="B827" s="1" t="n">
        <v>45182</v>
      </c>
      <c r="C827" s="1" t="n">
        <v>45348</v>
      </c>
      <c r="D827" t="inlineStr">
        <is>
          <t>VÄSTMANLANDS LÄN</t>
        </is>
      </c>
      <c r="E827" t="inlineStr">
        <is>
          <t>SALA</t>
        </is>
      </c>
      <c r="G827" t="n">
        <v>1.7</v>
      </c>
      <c r="H827" t="n">
        <v>0</v>
      </c>
      <c r="I827" t="n">
        <v>0</v>
      </c>
      <c r="J827" t="n">
        <v>0</v>
      </c>
      <c r="K827" t="n">
        <v>0</v>
      </c>
      <c r="L827" t="n">
        <v>0</v>
      </c>
      <c r="M827" t="n">
        <v>0</v>
      </c>
      <c r="N827" t="n">
        <v>0</v>
      </c>
      <c r="O827" t="n">
        <v>0</v>
      </c>
      <c r="P827" t="n">
        <v>0</v>
      </c>
      <c r="Q827" t="n">
        <v>0</v>
      </c>
      <c r="R827" s="2" t="inlineStr"/>
    </row>
    <row r="828" ht="15" customHeight="1">
      <c r="A828" t="inlineStr">
        <is>
          <t>A 43188-2023</t>
        </is>
      </c>
      <c r="B828" s="1" t="n">
        <v>45183</v>
      </c>
      <c r="C828" s="1" t="n">
        <v>45348</v>
      </c>
      <c r="D828" t="inlineStr">
        <is>
          <t>VÄSTMANLANDS LÄN</t>
        </is>
      </c>
      <c r="E828" t="inlineStr">
        <is>
          <t>SALA</t>
        </is>
      </c>
      <c r="G828" t="n">
        <v>1.2</v>
      </c>
      <c r="H828" t="n">
        <v>0</v>
      </c>
      <c r="I828" t="n">
        <v>0</v>
      </c>
      <c r="J828" t="n">
        <v>0</v>
      </c>
      <c r="K828" t="n">
        <v>0</v>
      </c>
      <c r="L828" t="n">
        <v>0</v>
      </c>
      <c r="M828" t="n">
        <v>0</v>
      </c>
      <c r="N828" t="n">
        <v>0</v>
      </c>
      <c r="O828" t="n">
        <v>0</v>
      </c>
      <c r="P828" t="n">
        <v>0</v>
      </c>
      <c r="Q828" t="n">
        <v>0</v>
      </c>
      <c r="R828" s="2" t="inlineStr"/>
    </row>
    <row r="829" ht="15" customHeight="1">
      <c r="A829" t="inlineStr">
        <is>
          <t>A 43184-2023</t>
        </is>
      </c>
      <c r="B829" s="1" t="n">
        <v>45183</v>
      </c>
      <c r="C829" s="1" t="n">
        <v>45348</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43205-2023</t>
        </is>
      </c>
      <c r="B830" s="1" t="n">
        <v>45183</v>
      </c>
      <c r="C830" s="1" t="n">
        <v>45348</v>
      </c>
      <c r="D830" t="inlineStr">
        <is>
          <t>VÄSTMANLANDS LÄN</t>
        </is>
      </c>
      <c r="E830" t="inlineStr">
        <is>
          <t>SALA</t>
        </is>
      </c>
      <c r="G830" t="n">
        <v>2.1</v>
      </c>
      <c r="H830" t="n">
        <v>0</v>
      </c>
      <c r="I830" t="n">
        <v>0</v>
      </c>
      <c r="J830" t="n">
        <v>0</v>
      </c>
      <c r="K830" t="n">
        <v>0</v>
      </c>
      <c r="L830" t="n">
        <v>0</v>
      </c>
      <c r="M830" t="n">
        <v>0</v>
      </c>
      <c r="N830" t="n">
        <v>0</v>
      </c>
      <c r="O830" t="n">
        <v>0</v>
      </c>
      <c r="P830" t="n">
        <v>0</v>
      </c>
      <c r="Q830" t="n">
        <v>0</v>
      </c>
      <c r="R830" s="2" t="inlineStr"/>
    </row>
    <row r="831" ht="15" customHeight="1">
      <c r="A831" t="inlineStr">
        <is>
          <t>A 43176-2023</t>
        </is>
      </c>
      <c r="B831" s="1" t="n">
        <v>45183</v>
      </c>
      <c r="C831" s="1" t="n">
        <v>45348</v>
      </c>
      <c r="D831" t="inlineStr">
        <is>
          <t>VÄSTMANLANDS LÄN</t>
        </is>
      </c>
      <c r="E831" t="inlineStr">
        <is>
          <t>SALA</t>
        </is>
      </c>
      <c r="G831" t="n">
        <v>1.2</v>
      </c>
      <c r="H831" t="n">
        <v>0</v>
      </c>
      <c r="I831" t="n">
        <v>0</v>
      </c>
      <c r="J831" t="n">
        <v>0</v>
      </c>
      <c r="K831" t="n">
        <v>0</v>
      </c>
      <c r="L831" t="n">
        <v>0</v>
      </c>
      <c r="M831" t="n">
        <v>0</v>
      </c>
      <c r="N831" t="n">
        <v>0</v>
      </c>
      <c r="O831" t="n">
        <v>0</v>
      </c>
      <c r="P831" t="n">
        <v>0</v>
      </c>
      <c r="Q831" t="n">
        <v>0</v>
      </c>
      <c r="R831" s="2" t="inlineStr"/>
    </row>
    <row r="832" ht="15" customHeight="1">
      <c r="A832" t="inlineStr">
        <is>
          <t>A 43187-2023</t>
        </is>
      </c>
      <c r="B832" s="1" t="n">
        <v>45183</v>
      </c>
      <c r="C832" s="1" t="n">
        <v>45348</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43363-2023</t>
        </is>
      </c>
      <c r="B833" s="1" t="n">
        <v>45183</v>
      </c>
      <c r="C833" s="1" t="n">
        <v>45348</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43362-2023</t>
        </is>
      </c>
      <c r="B834" s="1" t="n">
        <v>45183</v>
      </c>
      <c r="C834" s="1" t="n">
        <v>45348</v>
      </c>
      <c r="D834" t="inlineStr">
        <is>
          <t>VÄSTMANLANDS LÄN</t>
        </is>
      </c>
      <c r="E834" t="inlineStr">
        <is>
          <t>SALA</t>
        </is>
      </c>
      <c r="G834" t="n">
        <v>2</v>
      </c>
      <c r="H834" t="n">
        <v>0</v>
      </c>
      <c r="I834" t="n">
        <v>0</v>
      </c>
      <c r="J834" t="n">
        <v>0</v>
      </c>
      <c r="K834" t="n">
        <v>0</v>
      </c>
      <c r="L834" t="n">
        <v>0</v>
      </c>
      <c r="M834" t="n">
        <v>0</v>
      </c>
      <c r="N834" t="n">
        <v>0</v>
      </c>
      <c r="O834" t="n">
        <v>0</v>
      </c>
      <c r="P834" t="n">
        <v>0</v>
      </c>
      <c r="Q834" t="n">
        <v>0</v>
      </c>
      <c r="R834" s="2" t="inlineStr"/>
    </row>
    <row r="835" ht="15" customHeight="1">
      <c r="A835" t="inlineStr">
        <is>
          <t>A 44713-2023</t>
        </is>
      </c>
      <c r="B835" s="1" t="n">
        <v>45184</v>
      </c>
      <c r="C835" s="1" t="n">
        <v>45348</v>
      </c>
      <c r="D835" t="inlineStr">
        <is>
          <t>VÄSTMANLANDS LÄN</t>
        </is>
      </c>
      <c r="E835" t="inlineStr">
        <is>
          <t>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44720-2023</t>
        </is>
      </c>
      <c r="B836" s="1" t="n">
        <v>45184</v>
      </c>
      <c r="C836" s="1" t="n">
        <v>45348</v>
      </c>
      <c r="D836" t="inlineStr">
        <is>
          <t>VÄSTMANLANDS LÄN</t>
        </is>
      </c>
      <c r="E836" t="inlineStr">
        <is>
          <t>SALA</t>
        </is>
      </c>
      <c r="F836" t="inlineStr">
        <is>
          <t>Kyrkan</t>
        </is>
      </c>
      <c r="G836" t="n">
        <v>2.3</v>
      </c>
      <c r="H836" t="n">
        <v>0</v>
      </c>
      <c r="I836" t="n">
        <v>0</v>
      </c>
      <c r="J836" t="n">
        <v>0</v>
      </c>
      <c r="K836" t="n">
        <v>0</v>
      </c>
      <c r="L836" t="n">
        <v>0</v>
      </c>
      <c r="M836" t="n">
        <v>0</v>
      </c>
      <c r="N836" t="n">
        <v>0</v>
      </c>
      <c r="O836" t="n">
        <v>0</v>
      </c>
      <c r="P836" t="n">
        <v>0</v>
      </c>
      <c r="Q836" t="n">
        <v>0</v>
      </c>
      <c r="R836" s="2" t="inlineStr"/>
    </row>
    <row r="837" ht="15" customHeight="1">
      <c r="A837" t="inlineStr">
        <is>
          <t>A 44297-2023</t>
        </is>
      </c>
      <c r="B837" s="1" t="n">
        <v>45188</v>
      </c>
      <c r="C837" s="1" t="n">
        <v>45348</v>
      </c>
      <c r="D837" t="inlineStr">
        <is>
          <t>VÄSTMANLANDS LÄN</t>
        </is>
      </c>
      <c r="E837" t="inlineStr">
        <is>
          <t>SALA</t>
        </is>
      </c>
      <c r="G837" t="n">
        <v>2.7</v>
      </c>
      <c r="H837" t="n">
        <v>0</v>
      </c>
      <c r="I837" t="n">
        <v>0</v>
      </c>
      <c r="J837" t="n">
        <v>0</v>
      </c>
      <c r="K837" t="n">
        <v>0</v>
      </c>
      <c r="L837" t="n">
        <v>0</v>
      </c>
      <c r="M837" t="n">
        <v>0</v>
      </c>
      <c r="N837" t="n">
        <v>0</v>
      </c>
      <c r="O837" t="n">
        <v>0</v>
      </c>
      <c r="P837" t="n">
        <v>0</v>
      </c>
      <c r="Q837" t="n">
        <v>0</v>
      </c>
      <c r="R837" s="2" t="inlineStr"/>
    </row>
    <row r="838" ht="15" customHeight="1">
      <c r="A838" t="inlineStr">
        <is>
          <t>A 44846-2023</t>
        </is>
      </c>
      <c r="B838" s="1" t="n">
        <v>45190</v>
      </c>
      <c r="C838" s="1" t="n">
        <v>45348</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44857-2023</t>
        </is>
      </c>
      <c r="B839" s="1" t="n">
        <v>45190</v>
      </c>
      <c r="C839" s="1" t="n">
        <v>45348</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46352-2023</t>
        </is>
      </c>
      <c r="B840" s="1" t="n">
        <v>45192</v>
      </c>
      <c r="C840" s="1" t="n">
        <v>45348</v>
      </c>
      <c r="D840" t="inlineStr">
        <is>
          <t>VÄSTMANLANDS LÄN</t>
        </is>
      </c>
      <c r="E840" t="inlineStr">
        <is>
          <t>SALA</t>
        </is>
      </c>
      <c r="G840" t="n">
        <v>1.9</v>
      </c>
      <c r="H840" t="n">
        <v>0</v>
      </c>
      <c r="I840" t="n">
        <v>0</v>
      </c>
      <c r="J840" t="n">
        <v>0</v>
      </c>
      <c r="K840" t="n">
        <v>0</v>
      </c>
      <c r="L840" t="n">
        <v>0</v>
      </c>
      <c r="M840" t="n">
        <v>0</v>
      </c>
      <c r="N840" t="n">
        <v>0</v>
      </c>
      <c r="O840" t="n">
        <v>0</v>
      </c>
      <c r="P840" t="n">
        <v>0</v>
      </c>
      <c r="Q840" t="n">
        <v>0</v>
      </c>
      <c r="R840" s="2" t="inlineStr"/>
    </row>
    <row r="841" ht="15" customHeight="1">
      <c r="A841" t="inlineStr">
        <is>
          <t>A 46355-2023</t>
        </is>
      </c>
      <c r="B841" s="1" t="n">
        <v>45192</v>
      </c>
      <c r="C841" s="1" t="n">
        <v>45348</v>
      </c>
      <c r="D841" t="inlineStr">
        <is>
          <t>VÄSTMANLANDS LÄN</t>
        </is>
      </c>
      <c r="E841" t="inlineStr">
        <is>
          <t>SALA</t>
        </is>
      </c>
      <c r="G841" t="n">
        <v>12</v>
      </c>
      <c r="H841" t="n">
        <v>0</v>
      </c>
      <c r="I841" t="n">
        <v>0</v>
      </c>
      <c r="J841" t="n">
        <v>0</v>
      </c>
      <c r="K841" t="n">
        <v>0</v>
      </c>
      <c r="L841" t="n">
        <v>0</v>
      </c>
      <c r="M841" t="n">
        <v>0</v>
      </c>
      <c r="N841" t="n">
        <v>0</v>
      </c>
      <c r="O841" t="n">
        <v>0</v>
      </c>
      <c r="P841" t="n">
        <v>0</v>
      </c>
      <c r="Q841" t="n">
        <v>0</v>
      </c>
      <c r="R841" s="2" t="inlineStr"/>
    </row>
    <row r="842" ht="15" customHeight="1">
      <c r="A842" t="inlineStr">
        <is>
          <t>A 46350-2023</t>
        </is>
      </c>
      <c r="B842" s="1" t="n">
        <v>45192</v>
      </c>
      <c r="C842" s="1" t="n">
        <v>45348</v>
      </c>
      <c r="D842" t="inlineStr">
        <is>
          <t>VÄSTMANLANDS LÄN</t>
        </is>
      </c>
      <c r="E842" t="inlineStr">
        <is>
          <t>SALA</t>
        </is>
      </c>
      <c r="G842" t="n">
        <v>4.8</v>
      </c>
      <c r="H842" t="n">
        <v>0</v>
      </c>
      <c r="I842" t="n">
        <v>0</v>
      </c>
      <c r="J842" t="n">
        <v>0</v>
      </c>
      <c r="K842" t="n">
        <v>0</v>
      </c>
      <c r="L842" t="n">
        <v>0</v>
      </c>
      <c r="M842" t="n">
        <v>0</v>
      </c>
      <c r="N842" t="n">
        <v>0</v>
      </c>
      <c r="O842" t="n">
        <v>0</v>
      </c>
      <c r="P842" t="n">
        <v>0</v>
      </c>
      <c r="Q842" t="n">
        <v>0</v>
      </c>
      <c r="R842" s="2" t="inlineStr"/>
    </row>
    <row r="843" ht="15" customHeight="1">
      <c r="A843" t="inlineStr">
        <is>
          <t>A 45531-2023</t>
        </is>
      </c>
      <c r="B843" s="1" t="n">
        <v>45194</v>
      </c>
      <c r="C843" s="1" t="n">
        <v>45348</v>
      </c>
      <c r="D843" t="inlineStr">
        <is>
          <t>VÄSTMANLANDS LÄN</t>
        </is>
      </c>
      <c r="E843" t="inlineStr">
        <is>
          <t>SALA</t>
        </is>
      </c>
      <c r="G843" t="n">
        <v>0.7</v>
      </c>
      <c r="H843" t="n">
        <v>0</v>
      </c>
      <c r="I843" t="n">
        <v>0</v>
      </c>
      <c r="J843" t="n">
        <v>0</v>
      </c>
      <c r="K843" t="n">
        <v>0</v>
      </c>
      <c r="L843" t="n">
        <v>0</v>
      </c>
      <c r="M843" t="n">
        <v>0</v>
      </c>
      <c r="N843" t="n">
        <v>0</v>
      </c>
      <c r="O843" t="n">
        <v>0</v>
      </c>
      <c r="P843" t="n">
        <v>0</v>
      </c>
      <c r="Q843" t="n">
        <v>0</v>
      </c>
      <c r="R843" s="2" t="inlineStr"/>
    </row>
    <row r="844" ht="15" customHeight="1">
      <c r="A844" t="inlineStr">
        <is>
          <t>A 45602-2023</t>
        </is>
      </c>
      <c r="B844" s="1" t="n">
        <v>45194</v>
      </c>
      <c r="C844" s="1" t="n">
        <v>45348</v>
      </c>
      <c r="D844" t="inlineStr">
        <is>
          <t>VÄSTMANLANDS LÄN</t>
        </is>
      </c>
      <c r="E844" t="inlineStr">
        <is>
          <t>SALA</t>
        </is>
      </c>
      <c r="G844" t="n">
        <v>1.9</v>
      </c>
      <c r="H844" t="n">
        <v>0</v>
      </c>
      <c r="I844" t="n">
        <v>0</v>
      </c>
      <c r="J844" t="n">
        <v>0</v>
      </c>
      <c r="K844" t="n">
        <v>0</v>
      </c>
      <c r="L844" t="n">
        <v>0</v>
      </c>
      <c r="M844" t="n">
        <v>0</v>
      </c>
      <c r="N844" t="n">
        <v>0</v>
      </c>
      <c r="O844" t="n">
        <v>0</v>
      </c>
      <c r="P844" t="n">
        <v>0</v>
      </c>
      <c r="Q844" t="n">
        <v>0</v>
      </c>
      <c r="R844" s="2" t="inlineStr"/>
    </row>
    <row r="845" ht="15" customHeight="1">
      <c r="A845" t="inlineStr">
        <is>
          <t>A 45790-2023</t>
        </is>
      </c>
      <c r="B845" s="1" t="n">
        <v>45195</v>
      </c>
      <c r="C845" s="1" t="n">
        <v>45348</v>
      </c>
      <c r="D845" t="inlineStr">
        <is>
          <t>VÄSTMANLANDS LÄN</t>
        </is>
      </c>
      <c r="E845" t="inlineStr">
        <is>
          <t>SALA</t>
        </is>
      </c>
      <c r="G845" t="n">
        <v>5.7</v>
      </c>
      <c r="H845" t="n">
        <v>0</v>
      </c>
      <c r="I845" t="n">
        <v>0</v>
      </c>
      <c r="J845" t="n">
        <v>0</v>
      </c>
      <c r="K845" t="n">
        <v>0</v>
      </c>
      <c r="L845" t="n">
        <v>0</v>
      </c>
      <c r="M845" t="n">
        <v>0</v>
      </c>
      <c r="N845" t="n">
        <v>0</v>
      </c>
      <c r="O845" t="n">
        <v>0</v>
      </c>
      <c r="P845" t="n">
        <v>0</v>
      </c>
      <c r="Q845" t="n">
        <v>0</v>
      </c>
      <c r="R845" s="2" t="inlineStr"/>
    </row>
    <row r="846" ht="15" customHeight="1">
      <c r="A846" t="inlineStr">
        <is>
          <t>A 46226-2023</t>
        </is>
      </c>
      <c r="B846" s="1" t="n">
        <v>45196</v>
      </c>
      <c r="C846" s="1" t="n">
        <v>45348</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47501-2023</t>
        </is>
      </c>
      <c r="B847" s="1" t="n">
        <v>45202</v>
      </c>
      <c r="C847" s="1" t="n">
        <v>45348</v>
      </c>
      <c r="D847" t="inlineStr">
        <is>
          <t>VÄSTMANLANDS LÄN</t>
        </is>
      </c>
      <c r="E847" t="inlineStr">
        <is>
          <t>SALA</t>
        </is>
      </c>
      <c r="G847" t="n">
        <v>0.9</v>
      </c>
      <c r="H847" t="n">
        <v>0</v>
      </c>
      <c r="I847" t="n">
        <v>0</v>
      </c>
      <c r="J847" t="n">
        <v>0</v>
      </c>
      <c r="K847" t="n">
        <v>0</v>
      </c>
      <c r="L847" t="n">
        <v>0</v>
      </c>
      <c r="M847" t="n">
        <v>0</v>
      </c>
      <c r="N847" t="n">
        <v>0</v>
      </c>
      <c r="O847" t="n">
        <v>0</v>
      </c>
      <c r="P847" t="n">
        <v>0</v>
      </c>
      <c r="Q847" t="n">
        <v>0</v>
      </c>
      <c r="R847" s="2" t="inlineStr"/>
    </row>
    <row r="848" ht="15" customHeight="1">
      <c r="A848" t="inlineStr">
        <is>
          <t>A 50876-2023</t>
        </is>
      </c>
      <c r="B848" s="1" t="n">
        <v>45211</v>
      </c>
      <c r="C848" s="1" t="n">
        <v>45348</v>
      </c>
      <c r="D848" t="inlineStr">
        <is>
          <t>VÄSTMANLANDS LÄN</t>
        </is>
      </c>
      <c r="E848" t="inlineStr">
        <is>
          <t>SALA</t>
        </is>
      </c>
      <c r="G848" t="n">
        <v>1.9</v>
      </c>
      <c r="H848" t="n">
        <v>0</v>
      </c>
      <c r="I848" t="n">
        <v>0</v>
      </c>
      <c r="J848" t="n">
        <v>0</v>
      </c>
      <c r="K848" t="n">
        <v>0</v>
      </c>
      <c r="L848" t="n">
        <v>0</v>
      </c>
      <c r="M848" t="n">
        <v>0</v>
      </c>
      <c r="N848" t="n">
        <v>0</v>
      </c>
      <c r="O848" t="n">
        <v>0</v>
      </c>
      <c r="P848" t="n">
        <v>0</v>
      </c>
      <c r="Q848" t="n">
        <v>0</v>
      </c>
      <c r="R848" s="2" t="inlineStr"/>
    </row>
    <row r="849" ht="15" customHeight="1">
      <c r="A849" t="inlineStr">
        <is>
          <t>A 50241-2023</t>
        </is>
      </c>
      <c r="B849" s="1" t="n">
        <v>45216</v>
      </c>
      <c r="C849" s="1" t="n">
        <v>45348</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51203-2023</t>
        </is>
      </c>
      <c r="B850" s="1" t="n">
        <v>45219</v>
      </c>
      <c r="C850" s="1" t="n">
        <v>45348</v>
      </c>
      <c r="D850" t="inlineStr">
        <is>
          <t>VÄSTMANLANDS LÄN</t>
        </is>
      </c>
      <c r="E850" t="inlineStr">
        <is>
          <t>SALA</t>
        </is>
      </c>
      <c r="F850" t="inlineStr">
        <is>
          <t>Kommuner</t>
        </is>
      </c>
      <c r="G850" t="n">
        <v>2.7</v>
      </c>
      <c r="H850" t="n">
        <v>0</v>
      </c>
      <c r="I850" t="n">
        <v>0</v>
      </c>
      <c r="J850" t="n">
        <v>0</v>
      </c>
      <c r="K850" t="n">
        <v>0</v>
      </c>
      <c r="L850" t="n">
        <v>0</v>
      </c>
      <c r="M850" t="n">
        <v>0</v>
      </c>
      <c r="N850" t="n">
        <v>0</v>
      </c>
      <c r="O850" t="n">
        <v>0</v>
      </c>
      <c r="P850" t="n">
        <v>0</v>
      </c>
      <c r="Q850" t="n">
        <v>0</v>
      </c>
      <c r="R850" s="2" t="inlineStr"/>
    </row>
    <row r="851" ht="15" customHeight="1">
      <c r="A851" t="inlineStr">
        <is>
          <t>A 51848-2023</t>
        </is>
      </c>
      <c r="B851" s="1" t="n">
        <v>45223</v>
      </c>
      <c r="C851" s="1" t="n">
        <v>45348</v>
      </c>
      <c r="D851" t="inlineStr">
        <is>
          <t>VÄSTMANLANDS LÄN</t>
        </is>
      </c>
      <c r="E851" t="inlineStr">
        <is>
          <t>SALA</t>
        </is>
      </c>
      <c r="G851" t="n">
        <v>7</v>
      </c>
      <c r="H851" t="n">
        <v>0</v>
      </c>
      <c r="I851" t="n">
        <v>0</v>
      </c>
      <c r="J851" t="n">
        <v>0</v>
      </c>
      <c r="K851" t="n">
        <v>0</v>
      </c>
      <c r="L851" t="n">
        <v>0</v>
      </c>
      <c r="M851" t="n">
        <v>0</v>
      </c>
      <c r="N851" t="n">
        <v>0</v>
      </c>
      <c r="O851" t="n">
        <v>0</v>
      </c>
      <c r="P851" t="n">
        <v>0</v>
      </c>
      <c r="Q851" t="n">
        <v>0</v>
      </c>
      <c r="R851" s="2" t="inlineStr"/>
    </row>
    <row r="852" ht="15" customHeight="1">
      <c r="A852" t="inlineStr">
        <is>
          <t>A 52654-2023</t>
        </is>
      </c>
      <c r="B852" s="1" t="n">
        <v>45225</v>
      </c>
      <c r="C852" s="1" t="n">
        <v>45348</v>
      </c>
      <c r="D852" t="inlineStr">
        <is>
          <t>VÄSTMANLANDS LÄN</t>
        </is>
      </c>
      <c r="E852" t="inlineStr">
        <is>
          <t>SALA</t>
        </is>
      </c>
      <c r="G852" t="n">
        <v>4.6</v>
      </c>
      <c r="H852" t="n">
        <v>0</v>
      </c>
      <c r="I852" t="n">
        <v>0</v>
      </c>
      <c r="J852" t="n">
        <v>0</v>
      </c>
      <c r="K852" t="n">
        <v>0</v>
      </c>
      <c r="L852" t="n">
        <v>0</v>
      </c>
      <c r="M852" t="n">
        <v>0</v>
      </c>
      <c r="N852" t="n">
        <v>0</v>
      </c>
      <c r="O852" t="n">
        <v>0</v>
      </c>
      <c r="P852" t="n">
        <v>0</v>
      </c>
      <c r="Q852" t="n">
        <v>0</v>
      </c>
      <c r="R852" s="2" t="inlineStr"/>
    </row>
    <row r="853" ht="15" customHeight="1">
      <c r="A853" t="inlineStr">
        <is>
          <t>A 54910-2023</t>
        </is>
      </c>
      <c r="B853" s="1" t="n">
        <v>45229</v>
      </c>
      <c r="C853" s="1" t="n">
        <v>45348</v>
      </c>
      <c r="D853" t="inlineStr">
        <is>
          <t>VÄSTMANLANDS LÄN</t>
        </is>
      </c>
      <c r="E853" t="inlineStr">
        <is>
          <t>SALA</t>
        </is>
      </c>
      <c r="G853" t="n">
        <v>2.4</v>
      </c>
      <c r="H853" t="n">
        <v>0</v>
      </c>
      <c r="I853" t="n">
        <v>0</v>
      </c>
      <c r="J853" t="n">
        <v>0</v>
      </c>
      <c r="K853" t="n">
        <v>0</v>
      </c>
      <c r="L853" t="n">
        <v>0</v>
      </c>
      <c r="M853" t="n">
        <v>0</v>
      </c>
      <c r="N853" t="n">
        <v>0</v>
      </c>
      <c r="O853" t="n">
        <v>0</v>
      </c>
      <c r="P853" t="n">
        <v>0</v>
      </c>
      <c r="Q853" t="n">
        <v>0</v>
      </c>
      <c r="R853" s="2" t="inlineStr"/>
    </row>
    <row r="854" ht="15" customHeight="1">
      <c r="A854" t="inlineStr">
        <is>
          <t>A 55024-2023</t>
        </is>
      </c>
      <c r="B854" s="1" t="n">
        <v>45229</v>
      </c>
      <c r="C854" s="1" t="n">
        <v>45348</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55032-2023</t>
        </is>
      </c>
      <c r="B855" s="1" t="n">
        <v>45229</v>
      </c>
      <c r="C855" s="1" t="n">
        <v>45348</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55035-2023</t>
        </is>
      </c>
      <c r="B856" s="1" t="n">
        <v>45229</v>
      </c>
      <c r="C856" s="1" t="n">
        <v>45348</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55040-2023</t>
        </is>
      </c>
      <c r="B857" s="1" t="n">
        <v>45229</v>
      </c>
      <c r="C857" s="1" t="n">
        <v>45348</v>
      </c>
      <c r="D857" t="inlineStr">
        <is>
          <t>VÄSTMANLANDS LÄN</t>
        </is>
      </c>
      <c r="E857" t="inlineStr">
        <is>
          <t>SALA</t>
        </is>
      </c>
      <c r="G857" t="n">
        <v>3.3</v>
      </c>
      <c r="H857" t="n">
        <v>0</v>
      </c>
      <c r="I857" t="n">
        <v>0</v>
      </c>
      <c r="J857" t="n">
        <v>0</v>
      </c>
      <c r="K857" t="n">
        <v>0</v>
      </c>
      <c r="L857" t="n">
        <v>0</v>
      </c>
      <c r="M857" t="n">
        <v>0</v>
      </c>
      <c r="N857" t="n">
        <v>0</v>
      </c>
      <c r="O857" t="n">
        <v>0</v>
      </c>
      <c r="P857" t="n">
        <v>0</v>
      </c>
      <c r="Q857" t="n">
        <v>0</v>
      </c>
      <c r="R857" s="2" t="inlineStr"/>
    </row>
    <row r="858" ht="15" customHeight="1">
      <c r="A858" t="inlineStr">
        <is>
          <t>A 53877-2023</t>
        </is>
      </c>
      <c r="B858" s="1" t="n">
        <v>45231</v>
      </c>
      <c r="C858" s="1" t="n">
        <v>45348</v>
      </c>
      <c r="D858" t="inlineStr">
        <is>
          <t>VÄSTMANLANDS LÄN</t>
        </is>
      </c>
      <c r="E858" t="inlineStr">
        <is>
          <t>SALA</t>
        </is>
      </c>
      <c r="G858" t="n">
        <v>3.2</v>
      </c>
      <c r="H858" t="n">
        <v>0</v>
      </c>
      <c r="I858" t="n">
        <v>0</v>
      </c>
      <c r="J858" t="n">
        <v>0</v>
      </c>
      <c r="K858" t="n">
        <v>0</v>
      </c>
      <c r="L858" t="n">
        <v>0</v>
      </c>
      <c r="M858" t="n">
        <v>0</v>
      </c>
      <c r="N858" t="n">
        <v>0</v>
      </c>
      <c r="O858" t="n">
        <v>0</v>
      </c>
      <c r="P858" t="n">
        <v>0</v>
      </c>
      <c r="Q858" t="n">
        <v>0</v>
      </c>
      <c r="R858" s="2" t="inlineStr"/>
    </row>
    <row r="859" ht="15" customHeight="1">
      <c r="A859" t="inlineStr">
        <is>
          <t>A 53951-2023</t>
        </is>
      </c>
      <c r="B859" s="1" t="n">
        <v>45231</v>
      </c>
      <c r="C859" s="1" t="n">
        <v>45348</v>
      </c>
      <c r="D859" t="inlineStr">
        <is>
          <t>VÄSTMANLANDS LÄN</t>
        </is>
      </c>
      <c r="E859" t="inlineStr">
        <is>
          <t>SALA</t>
        </is>
      </c>
      <c r="F859" t="inlineStr">
        <is>
          <t>Kommuner</t>
        </is>
      </c>
      <c r="G859" t="n">
        <v>8.4</v>
      </c>
      <c r="H859" t="n">
        <v>0</v>
      </c>
      <c r="I859" t="n">
        <v>0</v>
      </c>
      <c r="J859" t="n">
        <v>0</v>
      </c>
      <c r="K859" t="n">
        <v>0</v>
      </c>
      <c r="L859" t="n">
        <v>0</v>
      </c>
      <c r="M859" t="n">
        <v>0</v>
      </c>
      <c r="N859" t="n">
        <v>0</v>
      </c>
      <c r="O859" t="n">
        <v>0</v>
      </c>
      <c r="P859" t="n">
        <v>0</v>
      </c>
      <c r="Q859" t="n">
        <v>0</v>
      </c>
      <c r="R859" s="2" t="inlineStr"/>
      <c r="U859">
        <f>HYPERLINK("https://klasma.github.io/Logging_1981/knärot/A 53951-2023 karta knärot.png", "A 53951-2023")</f>
        <v/>
      </c>
      <c r="V859">
        <f>HYPERLINK("https://klasma.github.io/Logging_1981/klagomål/A 53951-2023 FSC-klagomål.docx", "A 53951-2023")</f>
        <v/>
      </c>
      <c r="W859">
        <f>HYPERLINK("https://klasma.github.io/Logging_1981/klagomålsmail/A 53951-2023 FSC-klagomål mail.docx", "A 53951-2023")</f>
        <v/>
      </c>
      <c r="X859">
        <f>HYPERLINK("https://klasma.github.io/Logging_1981/tillsyn/A 53951-2023 tillsynsbegäran.docx", "A 53951-2023")</f>
        <v/>
      </c>
      <c r="Y859">
        <f>HYPERLINK("https://klasma.github.io/Logging_1981/tillsynsmail/A 53951-2023 tillsynsbegäran mail.docx", "A 53951-2023")</f>
        <v/>
      </c>
    </row>
    <row r="860" ht="15" customHeight="1">
      <c r="A860" t="inlineStr">
        <is>
          <t>A 54125-2023</t>
        </is>
      </c>
      <c r="B860" s="1" t="n">
        <v>45232</v>
      </c>
      <c r="C860" s="1" t="n">
        <v>45348</v>
      </c>
      <c r="D860" t="inlineStr">
        <is>
          <t>VÄSTMANLANDS LÄN</t>
        </is>
      </c>
      <c r="E860" t="inlineStr">
        <is>
          <t>SALA</t>
        </is>
      </c>
      <c r="G860" t="n">
        <v>3.7</v>
      </c>
      <c r="H860" t="n">
        <v>0</v>
      </c>
      <c r="I860" t="n">
        <v>0</v>
      </c>
      <c r="J860" t="n">
        <v>0</v>
      </c>
      <c r="K860" t="n">
        <v>0</v>
      </c>
      <c r="L860" t="n">
        <v>0</v>
      </c>
      <c r="M860" t="n">
        <v>0</v>
      </c>
      <c r="N860" t="n">
        <v>0</v>
      </c>
      <c r="O860" t="n">
        <v>0</v>
      </c>
      <c r="P860" t="n">
        <v>0</v>
      </c>
      <c r="Q860" t="n">
        <v>0</v>
      </c>
      <c r="R860" s="2" t="inlineStr"/>
    </row>
    <row r="861" ht="15" customHeight="1">
      <c r="A861" t="inlineStr">
        <is>
          <t>A 54114-2023</t>
        </is>
      </c>
      <c r="B861" s="1" t="n">
        <v>45232</v>
      </c>
      <c r="C861" s="1" t="n">
        <v>45348</v>
      </c>
      <c r="D861" t="inlineStr">
        <is>
          <t>VÄSTMANLANDS LÄN</t>
        </is>
      </c>
      <c r="E861" t="inlineStr">
        <is>
          <t>SALA</t>
        </is>
      </c>
      <c r="G861" t="n">
        <v>1.6</v>
      </c>
      <c r="H861" t="n">
        <v>0</v>
      </c>
      <c r="I861" t="n">
        <v>0</v>
      </c>
      <c r="J861" t="n">
        <v>0</v>
      </c>
      <c r="K861" t="n">
        <v>0</v>
      </c>
      <c r="L861" t="n">
        <v>0</v>
      </c>
      <c r="M861" t="n">
        <v>0</v>
      </c>
      <c r="N861" t="n">
        <v>0</v>
      </c>
      <c r="O861" t="n">
        <v>0</v>
      </c>
      <c r="P861" t="n">
        <v>0</v>
      </c>
      <c r="Q861" t="n">
        <v>0</v>
      </c>
      <c r="R861" s="2" t="inlineStr"/>
    </row>
    <row r="862" ht="15" customHeight="1">
      <c r="A862" t="inlineStr">
        <is>
          <t>A 54118-2023</t>
        </is>
      </c>
      <c r="B862" s="1" t="n">
        <v>45232</v>
      </c>
      <c r="C862" s="1" t="n">
        <v>45348</v>
      </c>
      <c r="D862" t="inlineStr">
        <is>
          <t>VÄSTMANLANDS LÄN</t>
        </is>
      </c>
      <c r="E862" t="inlineStr">
        <is>
          <t>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55556-2023</t>
        </is>
      </c>
      <c r="B863" s="1" t="n">
        <v>45232</v>
      </c>
      <c r="C863" s="1" t="n">
        <v>45348</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55550-2023</t>
        </is>
      </c>
      <c r="B864" s="1" t="n">
        <v>45232</v>
      </c>
      <c r="C864" s="1" t="n">
        <v>45348</v>
      </c>
      <c r="D864" t="inlineStr">
        <is>
          <t>VÄSTMANLANDS LÄN</t>
        </is>
      </c>
      <c r="E864" t="inlineStr">
        <is>
          <t>SALA</t>
        </is>
      </c>
      <c r="G864" t="n">
        <v>9.9</v>
      </c>
      <c r="H864" t="n">
        <v>0</v>
      </c>
      <c r="I864" t="n">
        <v>0</v>
      </c>
      <c r="J864" t="n">
        <v>0</v>
      </c>
      <c r="K864" t="n">
        <v>0</v>
      </c>
      <c r="L864" t="n">
        <v>0</v>
      </c>
      <c r="M864" t="n">
        <v>0</v>
      </c>
      <c r="N864" t="n">
        <v>0</v>
      </c>
      <c r="O864" t="n">
        <v>0</v>
      </c>
      <c r="P864" t="n">
        <v>0</v>
      </c>
      <c r="Q864" t="n">
        <v>0</v>
      </c>
      <c r="R864" s="2" t="inlineStr"/>
    </row>
    <row r="865" ht="15" customHeight="1">
      <c r="A865" t="inlineStr">
        <is>
          <t>A 56057-2023</t>
        </is>
      </c>
      <c r="B865" s="1" t="n">
        <v>45233</v>
      </c>
      <c r="C865" s="1" t="n">
        <v>45348</v>
      </c>
      <c r="D865" t="inlineStr">
        <is>
          <t>VÄSTMANLANDS LÄN</t>
        </is>
      </c>
      <c r="E865" t="inlineStr">
        <is>
          <t>SALA</t>
        </is>
      </c>
      <c r="G865" t="n">
        <v>0.6</v>
      </c>
      <c r="H865" t="n">
        <v>0</v>
      </c>
      <c r="I865" t="n">
        <v>0</v>
      </c>
      <c r="J865" t="n">
        <v>0</v>
      </c>
      <c r="K865" t="n">
        <v>0</v>
      </c>
      <c r="L865" t="n">
        <v>0</v>
      </c>
      <c r="M865" t="n">
        <v>0</v>
      </c>
      <c r="N865" t="n">
        <v>0</v>
      </c>
      <c r="O865" t="n">
        <v>0</v>
      </c>
      <c r="P865" t="n">
        <v>0</v>
      </c>
      <c r="Q865" t="n">
        <v>0</v>
      </c>
      <c r="R865" s="2" t="inlineStr"/>
    </row>
    <row r="866" ht="15" customHeight="1">
      <c r="A866" t="inlineStr">
        <is>
          <t>A 56064-2023</t>
        </is>
      </c>
      <c r="B866" s="1" t="n">
        <v>45233</v>
      </c>
      <c r="C866" s="1" t="n">
        <v>45348</v>
      </c>
      <c r="D866" t="inlineStr">
        <is>
          <t>VÄSTMANLANDS LÄN</t>
        </is>
      </c>
      <c r="E866" t="inlineStr">
        <is>
          <t>SALA</t>
        </is>
      </c>
      <c r="G866" t="n">
        <v>0.8</v>
      </c>
      <c r="H866" t="n">
        <v>0</v>
      </c>
      <c r="I866" t="n">
        <v>0</v>
      </c>
      <c r="J866" t="n">
        <v>0</v>
      </c>
      <c r="K866" t="n">
        <v>0</v>
      </c>
      <c r="L866" t="n">
        <v>0</v>
      </c>
      <c r="M866" t="n">
        <v>0</v>
      </c>
      <c r="N866" t="n">
        <v>0</v>
      </c>
      <c r="O866" t="n">
        <v>0</v>
      </c>
      <c r="P866" t="n">
        <v>0</v>
      </c>
      <c r="Q866" t="n">
        <v>0</v>
      </c>
      <c r="R866" s="2" t="inlineStr"/>
    </row>
    <row r="867" ht="15" customHeight="1">
      <c r="A867" t="inlineStr">
        <is>
          <t>A 54719-2023</t>
        </is>
      </c>
      <c r="B867" s="1" t="n">
        <v>45236</v>
      </c>
      <c r="C867" s="1" t="n">
        <v>45348</v>
      </c>
      <c r="D867" t="inlineStr">
        <is>
          <t>VÄSTMANLANDS LÄN</t>
        </is>
      </c>
      <c r="E867" t="inlineStr">
        <is>
          <t>SALA</t>
        </is>
      </c>
      <c r="G867" t="n">
        <v>5.8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45348</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45348</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45348</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45348</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45348</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45348</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45348</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45348</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45348</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45348</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45348</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45348</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45348</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45348</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45348</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45348</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45348</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45348</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45348</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45348</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45348</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45348</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45348</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45348</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45348</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45348</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45348</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45348</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45348</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45348</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45348</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45348</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45348</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45348</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45348</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45348</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45348</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45348</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45348</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45348</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45348</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45348</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45348</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45348</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45348</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45348</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2927-2024</t>
        </is>
      </c>
      <c r="B914" s="1" t="n">
        <v>45315</v>
      </c>
      <c r="C914" s="1" t="n">
        <v>45348</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2925-2024</t>
        </is>
      </c>
      <c r="B915" s="1" t="n">
        <v>45315</v>
      </c>
      <c r="C915" s="1" t="n">
        <v>45348</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45348</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45348</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3525-2024</t>
        </is>
      </c>
      <c r="B918" s="1" t="n">
        <v>45320</v>
      </c>
      <c r="C918" s="1" t="n">
        <v>45348</v>
      </c>
      <c r="D918" t="inlineStr">
        <is>
          <t>VÄSTMANLANDS LÄN</t>
        </is>
      </c>
      <c r="E918" t="inlineStr">
        <is>
          <t>SALA</t>
        </is>
      </c>
      <c r="G918" t="n">
        <v>3.5</v>
      </c>
      <c r="H918" t="n">
        <v>0</v>
      </c>
      <c r="I918" t="n">
        <v>0</v>
      </c>
      <c r="J918" t="n">
        <v>0</v>
      </c>
      <c r="K918" t="n">
        <v>0</v>
      </c>
      <c r="L918" t="n">
        <v>0</v>
      </c>
      <c r="M918" t="n">
        <v>0</v>
      </c>
      <c r="N918" t="n">
        <v>0</v>
      </c>
      <c r="O918" t="n">
        <v>0</v>
      </c>
      <c r="P918" t="n">
        <v>0</v>
      </c>
      <c r="Q918" t="n">
        <v>0</v>
      </c>
      <c r="R918" s="2" t="inlineStr"/>
    </row>
    <row r="919" ht="15" customHeight="1">
      <c r="A919" t="inlineStr">
        <is>
          <t>A 3577-2024</t>
        </is>
      </c>
      <c r="B919" s="1" t="n">
        <v>45320</v>
      </c>
      <c r="C919" s="1" t="n">
        <v>45348</v>
      </c>
      <c r="D919" t="inlineStr">
        <is>
          <t>VÄSTMANLANDS LÄN</t>
        </is>
      </c>
      <c r="E919" t="inlineStr">
        <is>
          <t>SALA</t>
        </is>
      </c>
      <c r="F919" t="inlineStr">
        <is>
          <t>Kommuner</t>
        </is>
      </c>
      <c r="G919" t="n">
        <v>7.2</v>
      </c>
      <c r="H919" t="n">
        <v>0</v>
      </c>
      <c r="I919" t="n">
        <v>0</v>
      </c>
      <c r="J919" t="n">
        <v>0</v>
      </c>
      <c r="K919" t="n">
        <v>0</v>
      </c>
      <c r="L919" t="n">
        <v>0</v>
      </c>
      <c r="M919" t="n">
        <v>0</v>
      </c>
      <c r="N919" t="n">
        <v>0</v>
      </c>
      <c r="O919" t="n">
        <v>0</v>
      </c>
      <c r="P919" t="n">
        <v>0</v>
      </c>
      <c r="Q919" t="n">
        <v>0</v>
      </c>
      <c r="R919" s="2" t="inlineStr"/>
    </row>
    <row r="920" ht="15" customHeight="1">
      <c r="A920" t="inlineStr">
        <is>
          <t>A 3560-2024</t>
        </is>
      </c>
      <c r="B920" s="1" t="n">
        <v>45320</v>
      </c>
      <c r="C920" s="1" t="n">
        <v>45348</v>
      </c>
      <c r="D920" t="inlineStr">
        <is>
          <t>VÄSTMANLANDS LÄN</t>
        </is>
      </c>
      <c r="E920" t="inlineStr">
        <is>
          <t>SALA</t>
        </is>
      </c>
      <c r="F920" t="inlineStr">
        <is>
          <t>Kommuner</t>
        </is>
      </c>
      <c r="G920" t="n">
        <v>4.2</v>
      </c>
      <c r="H920" t="n">
        <v>0</v>
      </c>
      <c r="I920" t="n">
        <v>0</v>
      </c>
      <c r="J920" t="n">
        <v>0</v>
      </c>
      <c r="K920" t="n">
        <v>0</v>
      </c>
      <c r="L920" t="n">
        <v>0</v>
      </c>
      <c r="M920" t="n">
        <v>0</v>
      </c>
      <c r="N920" t="n">
        <v>0</v>
      </c>
      <c r="O920" t="n">
        <v>0</v>
      </c>
      <c r="P920" t="n">
        <v>0</v>
      </c>
      <c r="Q920" t="n">
        <v>0</v>
      </c>
      <c r="R920" s="2" t="inlineStr"/>
    </row>
    <row r="921" ht="15" customHeight="1">
      <c r="A921" t="inlineStr">
        <is>
          <t>A 3551-2024</t>
        </is>
      </c>
      <c r="B921" s="1" t="n">
        <v>45320</v>
      </c>
      <c r="C921" s="1" t="n">
        <v>45348</v>
      </c>
      <c r="D921" t="inlineStr">
        <is>
          <t>VÄSTMANLANDS LÄN</t>
        </is>
      </c>
      <c r="E921" t="inlineStr">
        <is>
          <t>SALA</t>
        </is>
      </c>
      <c r="F921" t="inlineStr">
        <is>
          <t>Kommuner</t>
        </is>
      </c>
      <c r="G921" t="n">
        <v>6</v>
      </c>
      <c r="H921" t="n">
        <v>0</v>
      </c>
      <c r="I921" t="n">
        <v>0</v>
      </c>
      <c r="J921" t="n">
        <v>0</v>
      </c>
      <c r="K921" t="n">
        <v>0</v>
      </c>
      <c r="L921" t="n">
        <v>0</v>
      </c>
      <c r="M921" t="n">
        <v>0</v>
      </c>
      <c r="N921" t="n">
        <v>0</v>
      </c>
      <c r="O921" t="n">
        <v>0</v>
      </c>
      <c r="P921" t="n">
        <v>0</v>
      </c>
      <c r="Q921" t="n">
        <v>0</v>
      </c>
      <c r="R921" s="2" t="inlineStr"/>
    </row>
    <row r="922" ht="15" customHeight="1">
      <c r="A922" t="inlineStr">
        <is>
          <t>A 3527-2024</t>
        </is>
      </c>
      <c r="B922" s="1" t="n">
        <v>45320</v>
      </c>
      <c r="C922" s="1" t="n">
        <v>45348</v>
      </c>
      <c r="D922" t="inlineStr">
        <is>
          <t>VÄSTMANLANDS LÄN</t>
        </is>
      </c>
      <c r="E922" t="inlineStr">
        <is>
          <t>SALA</t>
        </is>
      </c>
      <c r="G922" t="n">
        <v>1.7</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45348</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45348</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5477-2024</t>
        </is>
      </c>
      <c r="B925" s="1" t="n">
        <v>45333</v>
      </c>
      <c r="C925" s="1" t="n">
        <v>45348</v>
      </c>
      <c r="D925" t="inlineStr">
        <is>
          <t>VÄSTMANLANDS LÄN</t>
        </is>
      </c>
      <c r="E925" t="inlineStr">
        <is>
          <t>SALA</t>
        </is>
      </c>
      <c r="G925" t="n">
        <v>2.3</v>
      </c>
      <c r="H925" t="n">
        <v>0</v>
      </c>
      <c r="I925" t="n">
        <v>0</v>
      </c>
      <c r="J925" t="n">
        <v>0</v>
      </c>
      <c r="K925" t="n">
        <v>0</v>
      </c>
      <c r="L925" t="n">
        <v>0</v>
      </c>
      <c r="M925" t="n">
        <v>0</v>
      </c>
      <c r="N925" t="n">
        <v>0</v>
      </c>
      <c r="O925" t="n">
        <v>0</v>
      </c>
      <c r="P925" t="n">
        <v>0</v>
      </c>
      <c r="Q925" t="n">
        <v>0</v>
      </c>
      <c r="R925" s="2" t="inlineStr"/>
    </row>
    <row r="926" ht="15" customHeight="1">
      <c r="A926" t="inlineStr">
        <is>
          <t>A 5478-2024</t>
        </is>
      </c>
      <c r="B926" s="1" t="n">
        <v>45333</v>
      </c>
      <c r="C926" s="1" t="n">
        <v>45348</v>
      </c>
      <c r="D926" t="inlineStr">
        <is>
          <t>VÄSTMANLANDS LÄN</t>
        </is>
      </c>
      <c r="E926" t="inlineStr">
        <is>
          <t>SALA</t>
        </is>
      </c>
      <c r="G926" t="n">
        <v>1.5</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45348</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5977-2024</t>
        </is>
      </c>
      <c r="B928" s="1" t="n">
        <v>45336</v>
      </c>
      <c r="C928" s="1" t="n">
        <v>45348</v>
      </c>
      <c r="D928" t="inlineStr">
        <is>
          <t>VÄSTMANLANDS LÄN</t>
        </is>
      </c>
      <c r="E928" t="inlineStr">
        <is>
          <t>SALA</t>
        </is>
      </c>
      <c r="G928" t="n">
        <v>13.1</v>
      </c>
      <c r="H928" t="n">
        <v>0</v>
      </c>
      <c r="I928" t="n">
        <v>0</v>
      </c>
      <c r="J928" t="n">
        <v>0</v>
      </c>
      <c r="K928" t="n">
        <v>0</v>
      </c>
      <c r="L928" t="n">
        <v>0</v>
      </c>
      <c r="M928" t="n">
        <v>0</v>
      </c>
      <c r="N928" t="n">
        <v>0</v>
      </c>
      <c r="O928" t="n">
        <v>0</v>
      </c>
      <c r="P928" t="n">
        <v>0</v>
      </c>
      <c r="Q928" t="n">
        <v>0</v>
      </c>
      <c r="R928" s="2" t="inlineStr"/>
    </row>
    <row r="929" ht="15" customHeight="1">
      <c r="A929" t="inlineStr">
        <is>
          <t>A 5984-2024</t>
        </is>
      </c>
      <c r="B929" s="1" t="n">
        <v>45336</v>
      </c>
      <c r="C929" s="1" t="n">
        <v>45348</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45348</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45348</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6538-2024</t>
        </is>
      </c>
      <c r="B932" s="1" t="n">
        <v>45338</v>
      </c>
      <c r="C932" s="1" t="n">
        <v>45348</v>
      </c>
      <c r="D932" t="inlineStr">
        <is>
          <t>VÄSTMANLANDS LÄN</t>
        </is>
      </c>
      <c r="E932" t="inlineStr">
        <is>
          <t>SALA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6601-2024</t>
        </is>
      </c>
      <c r="B933" s="1" t="n">
        <v>45338</v>
      </c>
      <c r="C933" s="1" t="n">
        <v>45348</v>
      </c>
      <c r="D933" t="inlineStr">
        <is>
          <t>VÄSTMANLANDS LÄN</t>
        </is>
      </c>
      <c r="E933" t="inlineStr">
        <is>
          <t>SALA</t>
        </is>
      </c>
      <c r="G933" t="n">
        <v>4</v>
      </c>
      <c r="H933" t="n">
        <v>0</v>
      </c>
      <c r="I933" t="n">
        <v>0</v>
      </c>
      <c r="J933" t="n">
        <v>0</v>
      </c>
      <c r="K933" t="n">
        <v>0</v>
      </c>
      <c r="L933" t="n">
        <v>0</v>
      </c>
      <c r="M933" t="n">
        <v>0</v>
      </c>
      <c r="N933" t="n">
        <v>0</v>
      </c>
      <c r="O933" t="n">
        <v>0</v>
      </c>
      <c r="P933" t="n">
        <v>0</v>
      </c>
      <c r="Q933" t="n">
        <v>0</v>
      </c>
      <c r="R933" s="2" t="inlineStr"/>
    </row>
    <row r="934" ht="15" customHeight="1">
      <c r="A934" t="inlineStr">
        <is>
          <t>A 6585-2024</t>
        </is>
      </c>
      <c r="B934" s="1" t="n">
        <v>45338</v>
      </c>
      <c r="C934" s="1" t="n">
        <v>45348</v>
      </c>
      <c r="D934" t="inlineStr">
        <is>
          <t>VÄSTMANLANDS LÄN</t>
        </is>
      </c>
      <c r="E934" t="inlineStr">
        <is>
          <t>SALA</t>
        </is>
      </c>
      <c r="G934" t="n">
        <v>9.699999999999999</v>
      </c>
      <c r="H934" t="n">
        <v>0</v>
      </c>
      <c r="I934" t="n">
        <v>0</v>
      </c>
      <c r="J934" t="n">
        <v>0</v>
      </c>
      <c r="K934" t="n">
        <v>0</v>
      </c>
      <c r="L934" t="n">
        <v>0</v>
      </c>
      <c r="M934" t="n">
        <v>0</v>
      </c>
      <c r="N934" t="n">
        <v>0</v>
      </c>
      <c r="O934" t="n">
        <v>0</v>
      </c>
      <c r="P934" t="n">
        <v>0</v>
      </c>
      <c r="Q934" t="n">
        <v>0</v>
      </c>
      <c r="R934" s="2" t="inlineStr"/>
    </row>
    <row r="935" ht="15" customHeight="1">
      <c r="A935" t="inlineStr">
        <is>
          <t>A 6572-2024</t>
        </is>
      </c>
      <c r="B935" s="1" t="n">
        <v>45338</v>
      </c>
      <c r="C935" s="1" t="n">
        <v>45348</v>
      </c>
      <c r="D935" t="inlineStr">
        <is>
          <t>VÄSTMANLANDS LÄN</t>
        </is>
      </c>
      <c r="E935" t="inlineStr">
        <is>
          <t>SALA</t>
        </is>
      </c>
      <c r="G935" t="n">
        <v>0.5</v>
      </c>
      <c r="H935" t="n">
        <v>0</v>
      </c>
      <c r="I935" t="n">
        <v>0</v>
      </c>
      <c r="J935" t="n">
        <v>0</v>
      </c>
      <c r="K935" t="n">
        <v>0</v>
      </c>
      <c r="L935" t="n">
        <v>0</v>
      </c>
      <c r="M935" t="n">
        <v>0</v>
      </c>
      <c r="N935" t="n">
        <v>0</v>
      </c>
      <c r="O935" t="n">
        <v>0</v>
      </c>
      <c r="P935" t="n">
        <v>0</v>
      </c>
      <c r="Q935" t="n">
        <v>0</v>
      </c>
      <c r="R935" s="2" t="inlineStr"/>
    </row>
    <row r="936" ht="15" customHeight="1">
      <c r="A936" t="inlineStr">
        <is>
          <t>A 6541-2024</t>
        </is>
      </c>
      <c r="B936" s="1" t="n">
        <v>45338</v>
      </c>
      <c r="C936" s="1" t="n">
        <v>45348</v>
      </c>
      <c r="D936" t="inlineStr">
        <is>
          <t>VÄSTMANLANDS LÄN</t>
        </is>
      </c>
      <c r="E936" t="inlineStr">
        <is>
          <t>SALA</t>
        </is>
      </c>
      <c r="G936" t="n">
        <v>0.8</v>
      </c>
      <c r="H936" t="n">
        <v>0</v>
      </c>
      <c r="I936" t="n">
        <v>0</v>
      </c>
      <c r="J936" t="n">
        <v>0</v>
      </c>
      <c r="K936" t="n">
        <v>0</v>
      </c>
      <c r="L936" t="n">
        <v>0</v>
      </c>
      <c r="M936" t="n">
        <v>0</v>
      </c>
      <c r="N936" t="n">
        <v>0</v>
      </c>
      <c r="O936" t="n">
        <v>0</v>
      </c>
      <c r="P936" t="n">
        <v>0</v>
      </c>
      <c r="Q936" t="n">
        <v>0</v>
      </c>
      <c r="R936" s="2" t="inlineStr"/>
    </row>
    <row r="937">
      <c r="A937" t="inlineStr">
        <is>
          <t>A 6657-2024</t>
        </is>
      </c>
      <c r="B937" s="1" t="n">
        <v>45341</v>
      </c>
      <c r="C937" s="1" t="n">
        <v>45348</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2024-02-26T12:59:04Z</dcterms:created>
  <dcterms:modified xmlns:dcterms="http://purl.org/dc/terms/" xmlns:xsi="http://www.w3.org/2001/XMLSchema-instance" xsi:type="dcterms:W3CDTF">2024-02-26T12:59:05Z</dcterms:modified>
</cp:coreProperties>
</file>