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45940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45940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45940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45940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45940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45940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45940</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45940</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54934-2020</t>
        </is>
      </c>
      <c r="B10" s="1" t="n">
        <v>44127</v>
      </c>
      <c r="C10" s="1" t="n">
        <v>45940</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45940</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3566-2024</t>
        </is>
      </c>
      <c r="B12" s="1" t="n">
        <v>45320.63596064815</v>
      </c>
      <c r="C12" s="1" t="n">
        <v>45940</v>
      </c>
      <c r="D12" t="inlineStr">
        <is>
          <t>VÄSTMANLANDS LÄN</t>
        </is>
      </c>
      <c r="E12" t="inlineStr">
        <is>
          <t>SALA</t>
        </is>
      </c>
      <c r="F12" t="inlineStr">
        <is>
          <t>Kommuner</t>
        </is>
      </c>
      <c r="G12" t="n">
        <v>4.3</v>
      </c>
      <c r="H12" t="n">
        <v>3</v>
      </c>
      <c r="I12" t="n">
        <v>1</v>
      </c>
      <c r="J12" t="n">
        <v>0</v>
      </c>
      <c r="K12" t="n">
        <v>2</v>
      </c>
      <c r="L12" t="n">
        <v>0</v>
      </c>
      <c r="M12" t="n">
        <v>0</v>
      </c>
      <c r="N12" t="n">
        <v>0</v>
      </c>
      <c r="O12" t="n">
        <v>2</v>
      </c>
      <c r="P12" t="n">
        <v>2</v>
      </c>
      <c r="Q12" t="n">
        <v>5</v>
      </c>
      <c r="R12" s="2" t="inlineStr">
        <is>
          <t>Knärot
Vågticka
Vedticka
Fläcknycklar
Mattlummer</t>
        </is>
      </c>
      <c r="S12">
        <f>HYPERLINK("https://klasma.github.io/Logging_1981/artfynd/A 3566-2024 artfynd.xlsx", "A 3566-2024")</f>
        <v/>
      </c>
      <c r="T12">
        <f>HYPERLINK("https://klasma.github.io/Logging_1981/kartor/A 3566-2024 karta.png", "A 3566-2024")</f>
        <v/>
      </c>
      <c r="U12">
        <f>HYPERLINK("https://klasma.github.io/Logging_1981/knärot/A 3566-2024 karta knärot.png", "A 3566-2024")</f>
        <v/>
      </c>
      <c r="V12">
        <f>HYPERLINK("https://klasma.github.io/Logging_1981/klagomål/A 3566-2024 FSC-klagomål.docx", "A 3566-2024")</f>
        <v/>
      </c>
      <c r="W12">
        <f>HYPERLINK("https://klasma.github.io/Logging_1981/klagomålsmail/A 3566-2024 FSC-klagomål mail.docx", "A 3566-2024")</f>
        <v/>
      </c>
      <c r="X12">
        <f>HYPERLINK("https://klasma.github.io/Logging_1981/tillsyn/A 3566-2024 tillsynsbegäran.docx", "A 3566-2024")</f>
        <v/>
      </c>
      <c r="Y12">
        <f>HYPERLINK("https://klasma.github.io/Logging_1981/tillsynsmail/A 3566-2024 tillsynsbegäran mail.docx", "A 3566-2024")</f>
        <v/>
      </c>
    </row>
    <row r="13" ht="15" customHeight="1">
      <c r="A13" t="inlineStr">
        <is>
          <t>A 34752-2023</t>
        </is>
      </c>
      <c r="B13" s="1" t="n">
        <v>45141</v>
      </c>
      <c r="C13" s="1" t="n">
        <v>45940</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27488-2023</t>
        </is>
      </c>
      <c r="B14" s="1" t="n">
        <v>45097</v>
      </c>
      <c r="C14" s="1" t="n">
        <v>45940</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10344-2025</t>
        </is>
      </c>
      <c r="B15" s="1" t="n">
        <v>45720</v>
      </c>
      <c r="C15" s="1" t="n">
        <v>45940</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53009-2024</t>
        </is>
      </c>
      <c r="B16" s="1" t="n">
        <v>45610</v>
      </c>
      <c r="C16" s="1" t="n">
        <v>45940</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45940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45940</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53019-2024</t>
        </is>
      </c>
      <c r="B19" s="1" t="n">
        <v>45610</v>
      </c>
      <c r="C19" s="1" t="n">
        <v>45940</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4264-2024</t>
        </is>
      </c>
      <c r="B20" s="1" t="n">
        <v>45324</v>
      </c>
      <c r="C20" s="1" t="n">
        <v>45940</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34065-2025</t>
        </is>
      </c>
      <c r="B21" s="1" t="n">
        <v>45845.42806712963</v>
      </c>
      <c r="C21" s="1" t="n">
        <v>45940</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Leptoporus mollis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35461-2024</t>
        </is>
      </c>
      <c r="B22" s="1" t="n">
        <v>45531</v>
      </c>
      <c r="C22" s="1" t="n">
        <v>45940</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47475-2024</t>
        </is>
      </c>
      <c r="B23" s="1" t="n">
        <v>45587.57552083334</v>
      </c>
      <c r="C23" s="1" t="n">
        <v>45940</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40895-2025</t>
        </is>
      </c>
      <c r="B24" s="1" t="n">
        <v>45897.61241898148</v>
      </c>
      <c r="C24" s="1" t="n">
        <v>45940</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3567-2024</t>
        </is>
      </c>
      <c r="B25" s="1" t="n">
        <v>45320.63706018519</v>
      </c>
      <c r="C25" s="1" t="n">
        <v>45940</v>
      </c>
      <c r="D25" t="inlineStr">
        <is>
          <t>VÄSTMANLANDS LÄN</t>
        </is>
      </c>
      <c r="E25" t="inlineStr">
        <is>
          <t>SALA</t>
        </is>
      </c>
      <c r="F25" t="inlineStr">
        <is>
          <t>Kommuner</t>
        </is>
      </c>
      <c r="G25" t="n">
        <v>4.1</v>
      </c>
      <c r="H25" t="n">
        <v>1</v>
      </c>
      <c r="I25" t="n">
        <v>2</v>
      </c>
      <c r="J25" t="n">
        <v>0</v>
      </c>
      <c r="K25" t="n">
        <v>1</v>
      </c>
      <c r="L25" t="n">
        <v>0</v>
      </c>
      <c r="M25" t="n">
        <v>0</v>
      </c>
      <c r="N25" t="n">
        <v>0</v>
      </c>
      <c r="O25" t="n">
        <v>1</v>
      </c>
      <c r="P25" t="n">
        <v>1</v>
      </c>
      <c r="Q25" t="n">
        <v>3</v>
      </c>
      <c r="R25" s="2" t="inlineStr">
        <is>
          <t>Knärot
Guldlockmossa
Vedticka</t>
        </is>
      </c>
      <c r="S25">
        <f>HYPERLINK("https://klasma.github.io/Logging_1981/artfynd/A 3567-2024 artfynd.xlsx", "A 3567-2024")</f>
        <v/>
      </c>
      <c r="T25">
        <f>HYPERLINK("https://klasma.github.io/Logging_1981/kartor/A 3567-2024 karta.png", "A 3567-2024")</f>
        <v/>
      </c>
      <c r="U25">
        <f>HYPERLINK("https://klasma.github.io/Logging_1981/knärot/A 3567-2024 karta knärot.png", "A 3567-2024")</f>
        <v/>
      </c>
      <c r="V25">
        <f>HYPERLINK("https://klasma.github.io/Logging_1981/klagomål/A 3567-2024 FSC-klagomål.docx", "A 3567-2024")</f>
        <v/>
      </c>
      <c r="W25">
        <f>HYPERLINK("https://klasma.github.io/Logging_1981/klagomålsmail/A 3567-2024 FSC-klagomål mail.docx", "A 3567-2024")</f>
        <v/>
      </c>
      <c r="X25">
        <f>HYPERLINK("https://klasma.github.io/Logging_1981/tillsyn/A 3567-2024 tillsynsbegäran.docx", "A 3567-2024")</f>
        <v/>
      </c>
      <c r="Y25">
        <f>HYPERLINK("https://klasma.github.io/Logging_1981/tillsynsmail/A 3567-2024 tillsynsbegäran mail.docx", "A 3567-2024")</f>
        <v/>
      </c>
    </row>
    <row r="26" ht="15" customHeight="1">
      <c r="A26" t="inlineStr">
        <is>
          <t>A 62768-2021</t>
        </is>
      </c>
      <c r="B26" s="1" t="n">
        <v>44504</v>
      </c>
      <c r="C26" s="1" t="n">
        <v>45940</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28215-2022</t>
        </is>
      </c>
      <c r="B27" s="1" t="n">
        <v>44746</v>
      </c>
      <c r="C27" s="1" t="n">
        <v>45940</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45940</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45940</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61454-2024</t>
        </is>
      </c>
      <c r="B30" s="1" t="n">
        <v>45646</v>
      </c>
      <c r="C30" s="1" t="n">
        <v>45940</v>
      </c>
      <c r="D30" t="inlineStr">
        <is>
          <t>VÄSTMANLANDS LÄN</t>
        </is>
      </c>
      <c r="E30" t="inlineStr">
        <is>
          <t>SALA</t>
        </is>
      </c>
      <c r="G30" t="n">
        <v>15</v>
      </c>
      <c r="H30" t="n">
        <v>2</v>
      </c>
      <c r="I30" t="n">
        <v>0</v>
      </c>
      <c r="J30" t="n">
        <v>0</v>
      </c>
      <c r="K30" t="n">
        <v>1</v>
      </c>
      <c r="L30" t="n">
        <v>0</v>
      </c>
      <c r="M30" t="n">
        <v>0</v>
      </c>
      <c r="N30" t="n">
        <v>0</v>
      </c>
      <c r="O30" t="n">
        <v>1</v>
      </c>
      <c r="P30" t="n">
        <v>1</v>
      </c>
      <c r="Q30" t="n">
        <v>2</v>
      </c>
      <c r="R30" s="2" t="inlineStr">
        <is>
          <t>Knärot
Mindre vattensalamander</t>
        </is>
      </c>
      <c r="S30">
        <f>HYPERLINK("https://klasma.github.io/Logging_1981/artfynd/A 61454-2024 artfynd.xlsx", "A 61454-2024")</f>
        <v/>
      </c>
      <c r="T30">
        <f>HYPERLINK("https://klasma.github.io/Logging_1981/kartor/A 61454-2024 karta.png", "A 61454-2024")</f>
        <v/>
      </c>
      <c r="U30">
        <f>HYPERLINK("https://klasma.github.io/Logging_1981/knärot/A 61454-2024 karta knärot.png", "A 61454-2024")</f>
        <v/>
      </c>
      <c r="V30">
        <f>HYPERLINK("https://klasma.github.io/Logging_1981/klagomål/A 61454-2024 FSC-klagomål.docx", "A 61454-2024")</f>
        <v/>
      </c>
      <c r="W30">
        <f>HYPERLINK("https://klasma.github.io/Logging_1981/klagomålsmail/A 61454-2024 FSC-klagomål mail.docx", "A 61454-2024")</f>
        <v/>
      </c>
      <c r="X30">
        <f>HYPERLINK("https://klasma.github.io/Logging_1981/tillsyn/A 61454-2024 tillsynsbegäran.docx", "A 61454-2024")</f>
        <v/>
      </c>
      <c r="Y30">
        <f>HYPERLINK("https://klasma.github.io/Logging_1981/tillsynsmail/A 61454-2024 tillsynsbegäran mail.docx", "A 61454-2024")</f>
        <v/>
      </c>
    </row>
    <row r="31" ht="15" customHeight="1">
      <c r="A31" t="inlineStr">
        <is>
          <t>A 11846-2024</t>
        </is>
      </c>
      <c r="B31" s="1" t="n">
        <v>45376.4047337963</v>
      </c>
      <c r="C31" s="1" t="n">
        <v>45940</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13029-2023</t>
        </is>
      </c>
      <c r="B32" s="1" t="n">
        <v>45001</v>
      </c>
      <c r="C32" s="1" t="n">
        <v>45940</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24872-2025</t>
        </is>
      </c>
      <c r="B33" s="1" t="n">
        <v>45799.49038194444</v>
      </c>
      <c r="C33" s="1" t="n">
        <v>45940</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1500-2022</t>
        </is>
      </c>
      <c r="B34" s="1" t="n">
        <v>44573.54357638889</v>
      </c>
      <c r="C34" s="1" t="n">
        <v>45940</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45940</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12444-2024</t>
        </is>
      </c>
      <c r="B36" s="1" t="n">
        <v>45379.46285879629</v>
      </c>
      <c r="C36" s="1" t="n">
        <v>45940</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45940</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13973-2021</t>
        </is>
      </c>
      <c r="B38" s="1" t="n">
        <v>44277</v>
      </c>
      <c r="C38" s="1" t="n">
        <v>45940</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29727-2023</t>
        </is>
      </c>
      <c r="B39" s="1" t="n">
        <v>45107</v>
      </c>
      <c r="C39" s="1" t="n">
        <v>45940</v>
      </c>
      <c r="D39" t="inlineStr">
        <is>
          <t>VÄSTMANLANDS LÄN</t>
        </is>
      </c>
      <c r="E39" t="inlineStr">
        <is>
          <t>SALA</t>
        </is>
      </c>
      <c r="G39" t="n">
        <v>1.9</v>
      </c>
      <c r="H39" t="n">
        <v>0</v>
      </c>
      <c r="I39" t="n">
        <v>0</v>
      </c>
      <c r="J39" t="n">
        <v>1</v>
      </c>
      <c r="K39" t="n">
        <v>0</v>
      </c>
      <c r="L39" t="n">
        <v>0</v>
      </c>
      <c r="M39" t="n">
        <v>0</v>
      </c>
      <c r="N39" t="n">
        <v>0</v>
      </c>
      <c r="O39" t="n">
        <v>1</v>
      </c>
      <c r="P39" t="n">
        <v>0</v>
      </c>
      <c r="Q39" t="n">
        <v>1</v>
      </c>
      <c r="R39" s="2" t="inlineStr">
        <is>
          <t>Vedtrappmossa</t>
        </is>
      </c>
      <c r="S39">
        <f>HYPERLINK("https://klasma.github.io/Logging_1981/artfynd/A 29727-2023 artfynd.xlsx", "A 29727-2023")</f>
        <v/>
      </c>
      <c r="T39">
        <f>HYPERLINK("https://klasma.github.io/Logging_1981/kartor/A 29727-2023 karta.png", "A 29727-2023")</f>
        <v/>
      </c>
      <c r="V39">
        <f>HYPERLINK("https://klasma.github.io/Logging_1981/klagomål/A 29727-2023 FSC-klagomål.docx", "A 29727-2023")</f>
        <v/>
      </c>
      <c r="W39">
        <f>HYPERLINK("https://klasma.github.io/Logging_1981/klagomålsmail/A 29727-2023 FSC-klagomål mail.docx", "A 29727-2023")</f>
        <v/>
      </c>
      <c r="X39">
        <f>HYPERLINK("https://klasma.github.io/Logging_1981/tillsyn/A 29727-2023 tillsynsbegäran.docx", "A 29727-2023")</f>
        <v/>
      </c>
      <c r="Y39">
        <f>HYPERLINK("https://klasma.github.io/Logging_1981/tillsynsmail/A 29727-2023 tillsynsbegäran mail.docx", "A 29727-2023")</f>
        <v/>
      </c>
    </row>
    <row r="40" ht="15" customHeight="1">
      <c r="A40" t="inlineStr">
        <is>
          <t>A 43705-2022</t>
        </is>
      </c>
      <c r="B40" s="1" t="n">
        <v>44837</v>
      </c>
      <c r="C40" s="1" t="n">
        <v>45940</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69362-2020</t>
        </is>
      </c>
      <c r="B41" s="1" t="n">
        <v>44193</v>
      </c>
      <c r="C41" s="1" t="n">
        <v>45940</v>
      </c>
      <c r="D41" t="inlineStr">
        <is>
          <t>VÄSTMANLANDS LÄN</t>
        </is>
      </c>
      <c r="E41" t="inlineStr">
        <is>
          <t>SALA</t>
        </is>
      </c>
      <c r="G41" t="n">
        <v>13.7</v>
      </c>
      <c r="H41" t="n">
        <v>1</v>
      </c>
      <c r="I41" t="n">
        <v>0</v>
      </c>
      <c r="J41" t="n">
        <v>1</v>
      </c>
      <c r="K41" t="n">
        <v>0</v>
      </c>
      <c r="L41" t="n">
        <v>0</v>
      </c>
      <c r="M41" t="n">
        <v>0</v>
      </c>
      <c r="N41" t="n">
        <v>0</v>
      </c>
      <c r="O41" t="n">
        <v>1</v>
      </c>
      <c r="P41" t="n">
        <v>0</v>
      </c>
      <c r="Q41" t="n">
        <v>1</v>
      </c>
      <c r="R41" s="2" t="inlineStr">
        <is>
          <t>Havsörn</t>
        </is>
      </c>
      <c r="S41">
        <f>HYPERLINK("https://klasma.github.io/Logging_1981/artfynd/A 69362-2020 artfynd.xlsx", "A 69362-2020")</f>
        <v/>
      </c>
      <c r="T41">
        <f>HYPERLINK("https://klasma.github.io/Logging_1981/kartor/A 69362-2020 karta.png", "A 69362-2020")</f>
        <v/>
      </c>
      <c r="V41">
        <f>HYPERLINK("https://klasma.github.io/Logging_1981/klagomål/A 69362-2020 FSC-klagomål.docx", "A 69362-2020")</f>
        <v/>
      </c>
      <c r="W41">
        <f>HYPERLINK("https://klasma.github.io/Logging_1981/klagomålsmail/A 69362-2020 FSC-klagomål mail.docx", "A 69362-2020")</f>
        <v/>
      </c>
      <c r="X41">
        <f>HYPERLINK("https://klasma.github.io/Logging_1981/tillsyn/A 69362-2020 tillsynsbegäran.docx", "A 69362-2020")</f>
        <v/>
      </c>
      <c r="Y41">
        <f>HYPERLINK("https://klasma.github.io/Logging_1981/tillsynsmail/A 69362-2020 tillsynsbegäran mail.docx", "A 69362-2020")</f>
        <v/>
      </c>
      <c r="Z41">
        <f>HYPERLINK("https://klasma.github.io/Logging_1981/fåglar/A 69362-2020 prioriterade fågelarter.docx", "A 69362-2020")</f>
        <v/>
      </c>
    </row>
    <row r="42" ht="15" customHeight="1">
      <c r="A42" t="inlineStr">
        <is>
          <t>A 21738-2025</t>
        </is>
      </c>
      <c r="B42" s="1" t="n">
        <v>45783.59173611111</v>
      </c>
      <c r="C42" s="1" t="n">
        <v>45940</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22950-2025</t>
        </is>
      </c>
      <c r="B43" s="1" t="n">
        <v>45790.50728009259</v>
      </c>
      <c r="C43" s="1" t="n">
        <v>45940</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41270-2024</t>
        </is>
      </c>
      <c r="B44" s="1" t="n">
        <v>45559</v>
      </c>
      <c r="C44" s="1" t="n">
        <v>45940</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37166-2024</t>
        </is>
      </c>
      <c r="B45" s="1" t="n">
        <v>45539</v>
      </c>
      <c r="C45" s="1" t="n">
        <v>45940</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37166-2024 artfynd.xlsx", "A 37166-2024")</f>
        <v/>
      </c>
      <c r="T45">
        <f>HYPERLINK("https://klasma.github.io/Logging_1981/kartor/A 37166-2024 karta.png", "A 37166-2024")</f>
        <v/>
      </c>
      <c r="U45">
        <f>HYPERLINK("https://klasma.github.io/Logging_1981/knärot/A 37166-2024 karta knärot.png", "A 37166-2024")</f>
        <v/>
      </c>
      <c r="V45">
        <f>HYPERLINK("https://klasma.github.io/Logging_1981/klagomål/A 37166-2024 FSC-klagomål.docx", "A 37166-2024")</f>
        <v/>
      </c>
      <c r="W45">
        <f>HYPERLINK("https://klasma.github.io/Logging_1981/klagomålsmail/A 37166-2024 FSC-klagomål mail.docx", "A 37166-2024")</f>
        <v/>
      </c>
      <c r="X45">
        <f>HYPERLINK("https://klasma.github.io/Logging_1981/tillsyn/A 37166-2024 tillsynsbegäran.docx", "A 37166-2024")</f>
        <v/>
      </c>
      <c r="Y45">
        <f>HYPERLINK("https://klasma.github.io/Logging_1981/tillsynsmail/A 37166-2024 tillsynsbegäran mail.docx", "A 37166-2024")</f>
        <v/>
      </c>
    </row>
    <row r="46" ht="15" customHeight="1">
      <c r="A46" t="inlineStr">
        <is>
          <t>A 14775-2023</t>
        </is>
      </c>
      <c r="B46" s="1" t="n">
        <v>45014</v>
      </c>
      <c r="C46" s="1" t="n">
        <v>45940</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45940</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60852-2024</t>
        </is>
      </c>
      <c r="B48" s="1" t="n">
        <v>45644</v>
      </c>
      <c r="C48" s="1" t="n">
        <v>45940</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19361-2025</t>
        </is>
      </c>
      <c r="B49" s="1" t="n">
        <v>45769.63357638889</v>
      </c>
      <c r="C49" s="1" t="n">
        <v>45940</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45940</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32594-2025</t>
        </is>
      </c>
      <c r="B51" s="1" t="n">
        <v>45838</v>
      </c>
      <c r="C51" s="1" t="n">
        <v>45940</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43175-2023</t>
        </is>
      </c>
      <c r="B52" s="1" t="n">
        <v>45183</v>
      </c>
      <c r="C52" s="1" t="n">
        <v>45940</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22350-2024</t>
        </is>
      </c>
      <c r="B53" s="1" t="n">
        <v>45446</v>
      </c>
      <c r="C53" s="1" t="n">
        <v>45940</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Blåsippa</t>
        </is>
      </c>
      <c r="S53">
        <f>HYPERLINK("https://klasma.github.io/Logging_1981/artfynd/A 22350-2024 artfynd.xlsx", "A 22350-2024")</f>
        <v/>
      </c>
      <c r="T53">
        <f>HYPERLINK("https://klasma.github.io/Logging_1981/kartor/A 22350-2024 karta.png", "A 22350-2024")</f>
        <v/>
      </c>
      <c r="V53">
        <f>HYPERLINK("https://klasma.github.io/Logging_1981/klagomål/A 22350-2024 FSC-klagomål.docx", "A 22350-2024")</f>
        <v/>
      </c>
      <c r="W53">
        <f>HYPERLINK("https://klasma.github.io/Logging_1981/klagomålsmail/A 22350-2024 FSC-klagomål mail.docx", "A 22350-2024")</f>
        <v/>
      </c>
      <c r="X53">
        <f>HYPERLINK("https://klasma.github.io/Logging_1981/tillsyn/A 22350-2024 tillsynsbegäran.docx", "A 22350-2024")</f>
        <v/>
      </c>
      <c r="Y53">
        <f>HYPERLINK("https://klasma.github.io/Logging_1981/tillsynsmail/A 22350-2024 tillsynsbegäran mail.docx", "A 22350-2024")</f>
        <v/>
      </c>
    </row>
    <row r="54" ht="15" customHeight="1">
      <c r="A54" t="inlineStr">
        <is>
          <t>A 48705-2025</t>
        </is>
      </c>
      <c r="B54" s="1" t="n">
        <v>45936.62290509259</v>
      </c>
      <c r="C54" s="1" t="n">
        <v>45940</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56014-2020</t>
        </is>
      </c>
      <c r="B55" s="1" t="n">
        <v>44132</v>
      </c>
      <c r="C55" s="1" t="n">
        <v>45940</v>
      </c>
      <c r="D55" t="inlineStr">
        <is>
          <t>VÄSTMANLANDS LÄN</t>
        </is>
      </c>
      <c r="E55" t="inlineStr">
        <is>
          <t>SALA</t>
        </is>
      </c>
      <c r="G55" t="n">
        <v>5.6</v>
      </c>
      <c r="H55" t="n">
        <v>0</v>
      </c>
      <c r="I55" t="n">
        <v>0</v>
      </c>
      <c r="J55" t="n">
        <v>0</v>
      </c>
      <c r="K55" t="n">
        <v>1</v>
      </c>
      <c r="L55" t="n">
        <v>0</v>
      </c>
      <c r="M55" t="n">
        <v>0</v>
      </c>
      <c r="N55" t="n">
        <v>0</v>
      </c>
      <c r="O55" t="n">
        <v>1</v>
      </c>
      <c r="P55" t="n">
        <v>1</v>
      </c>
      <c r="Q55" t="n">
        <v>1</v>
      </c>
      <c r="R55" s="2" t="inlineStr">
        <is>
          <t>Blackticka</t>
        </is>
      </c>
      <c r="S55">
        <f>HYPERLINK("https://klasma.github.io/Logging_1981/artfynd/A 56014-2020 artfynd.xlsx", "A 56014-2020")</f>
        <v/>
      </c>
      <c r="T55">
        <f>HYPERLINK("https://klasma.github.io/Logging_1981/kartor/A 56014-2020 karta.png", "A 56014-2020")</f>
        <v/>
      </c>
      <c r="V55">
        <f>HYPERLINK("https://klasma.github.io/Logging_1981/klagomål/A 56014-2020 FSC-klagomål.docx", "A 56014-2020")</f>
        <v/>
      </c>
      <c r="W55">
        <f>HYPERLINK("https://klasma.github.io/Logging_1981/klagomålsmail/A 56014-2020 FSC-klagomål mail.docx", "A 56014-2020")</f>
        <v/>
      </c>
      <c r="X55">
        <f>HYPERLINK("https://klasma.github.io/Logging_1981/tillsyn/A 56014-2020 tillsynsbegäran.docx", "A 56014-2020")</f>
        <v/>
      </c>
      <c r="Y55">
        <f>HYPERLINK("https://klasma.github.io/Logging_1981/tillsynsmail/A 56014-2020 tillsynsbegäran mail.docx", "A 56014-2020")</f>
        <v/>
      </c>
    </row>
    <row r="56" ht="15" customHeight="1">
      <c r="A56" t="inlineStr">
        <is>
          <t>A 43068-2024</t>
        </is>
      </c>
      <c r="B56" s="1" t="n">
        <v>45567</v>
      </c>
      <c r="C56" s="1" t="n">
        <v>45940</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45940</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55550-2023</t>
        </is>
      </c>
      <c r="B58" s="1" t="n">
        <v>45232</v>
      </c>
      <c r="C58" s="1" t="n">
        <v>45940</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29985-2022</t>
        </is>
      </c>
      <c r="B59" s="1" t="n">
        <v>44756</v>
      </c>
      <c r="C59" s="1" t="n">
        <v>45940</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38255-2025</t>
        </is>
      </c>
      <c r="B60" s="1" t="n">
        <v>45883.38020833334</v>
      </c>
      <c r="C60" s="1" t="n">
        <v>45940</v>
      </c>
      <c r="D60" t="inlineStr">
        <is>
          <t>VÄSTMANLANDS LÄN</t>
        </is>
      </c>
      <c r="E60" t="inlineStr">
        <is>
          <t>SALA</t>
        </is>
      </c>
      <c r="G60" t="n">
        <v>0.9</v>
      </c>
      <c r="H60" t="n">
        <v>1</v>
      </c>
      <c r="I60" t="n">
        <v>0</v>
      </c>
      <c r="J60" t="n">
        <v>0</v>
      </c>
      <c r="K60" t="n">
        <v>1</v>
      </c>
      <c r="L60" t="n">
        <v>0</v>
      </c>
      <c r="M60" t="n">
        <v>0</v>
      </c>
      <c r="N60" t="n">
        <v>0</v>
      </c>
      <c r="O60" t="n">
        <v>1</v>
      </c>
      <c r="P60" t="n">
        <v>1</v>
      </c>
      <c r="Q60" t="n">
        <v>1</v>
      </c>
      <c r="R60" s="2" t="inlineStr">
        <is>
          <t>Knärot</t>
        </is>
      </c>
      <c r="S60">
        <f>HYPERLINK("https://klasma.github.io/Logging_1981/artfynd/A 38255-2025 artfynd.xlsx", "A 38255-2025")</f>
        <v/>
      </c>
      <c r="T60">
        <f>HYPERLINK("https://klasma.github.io/Logging_1981/kartor/A 38255-2025 karta.png", "A 38255-2025")</f>
        <v/>
      </c>
      <c r="U60">
        <f>HYPERLINK("https://klasma.github.io/Logging_1981/knärot/A 38255-2025 karta knärot.png", "A 38255-2025")</f>
        <v/>
      </c>
      <c r="V60">
        <f>HYPERLINK("https://klasma.github.io/Logging_1981/klagomål/A 38255-2025 FSC-klagomål.docx", "A 38255-2025")</f>
        <v/>
      </c>
      <c r="W60">
        <f>HYPERLINK("https://klasma.github.io/Logging_1981/klagomålsmail/A 38255-2025 FSC-klagomål mail.docx", "A 38255-2025")</f>
        <v/>
      </c>
      <c r="X60">
        <f>HYPERLINK("https://klasma.github.io/Logging_1981/tillsyn/A 38255-2025 tillsynsbegäran.docx", "A 38255-2025")</f>
        <v/>
      </c>
      <c r="Y60">
        <f>HYPERLINK("https://klasma.github.io/Logging_1981/tillsynsmail/A 38255-2025 tillsynsbegäran mail.docx", "A 38255-2025")</f>
        <v/>
      </c>
    </row>
    <row r="61" ht="15" customHeight="1">
      <c r="A61" t="inlineStr">
        <is>
          <t>A 7731-2023</t>
        </is>
      </c>
      <c r="B61" s="1" t="n">
        <v>44973</v>
      </c>
      <c r="C61" s="1" t="n">
        <v>45940</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45940</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58314-2020</t>
        </is>
      </c>
      <c r="B63" s="1" t="n">
        <v>44145</v>
      </c>
      <c r="C63" s="1" t="n">
        <v>45940</v>
      </c>
      <c r="D63" t="inlineStr">
        <is>
          <t>VÄSTMANLANDS LÄN</t>
        </is>
      </c>
      <c r="E63" t="inlineStr">
        <is>
          <t>SALA</t>
        </is>
      </c>
      <c r="G63" t="n">
        <v>0.9</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45940</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45940</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45940</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45940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45940</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45940</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45940</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45940</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45940</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45940</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45940</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45940</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45940</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45940</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45940</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45940</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45940</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45940</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45940</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45940</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45940</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45940</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45940</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45940</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45940</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45940</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45940</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45940</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45940</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45940</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45940</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45940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45940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45940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45940</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45940</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45940</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45940</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45940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45940</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45940</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45940</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45940</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45940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45940</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45940</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45940</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45940</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45940</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45940</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45940</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45940</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45940</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45940</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45940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45940</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45940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45940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45940</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45940</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45940</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45940</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45940</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67962-2021</t>
        </is>
      </c>
      <c r="B127" s="1" t="n">
        <v>44525</v>
      </c>
      <c r="C127" s="1" t="n">
        <v>45940</v>
      </c>
      <c r="D127" t="inlineStr">
        <is>
          <t>VÄSTMANLANDS LÄN</t>
        </is>
      </c>
      <c r="E127" t="inlineStr">
        <is>
          <t>SALA</t>
        </is>
      </c>
      <c r="G127" t="n">
        <v>1.4</v>
      </c>
      <c r="H127" t="n">
        <v>0</v>
      </c>
      <c r="I127" t="n">
        <v>0</v>
      </c>
      <c r="J127" t="n">
        <v>0</v>
      </c>
      <c r="K127" t="n">
        <v>0</v>
      </c>
      <c r="L127" t="n">
        <v>0</v>
      </c>
      <c r="M127" t="n">
        <v>0</v>
      </c>
      <c r="N127" t="n">
        <v>0</v>
      </c>
      <c r="O127" t="n">
        <v>0</v>
      </c>
      <c r="P127" t="n">
        <v>0</v>
      </c>
      <c r="Q127" t="n">
        <v>0</v>
      </c>
      <c r="R127" s="2" t="inlineStr"/>
    </row>
    <row r="128" ht="15" customHeight="1">
      <c r="A128" t="inlineStr">
        <is>
          <t>A 29235-2022</t>
        </is>
      </c>
      <c r="B128" s="1" t="n">
        <v>44750</v>
      </c>
      <c r="C128" s="1" t="n">
        <v>45940</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45940</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58781-2020</t>
        </is>
      </c>
      <c r="B130" s="1" t="n">
        <v>44146</v>
      </c>
      <c r="C130" s="1" t="n">
        <v>45940</v>
      </c>
      <c r="D130" t="inlineStr">
        <is>
          <t>VÄSTMANLANDS LÄN</t>
        </is>
      </c>
      <c r="E130" t="inlineStr">
        <is>
          <t>SALA</t>
        </is>
      </c>
      <c r="G130" t="n">
        <v>1.2</v>
      </c>
      <c r="H130" t="n">
        <v>0</v>
      </c>
      <c r="I130" t="n">
        <v>0</v>
      </c>
      <c r="J130" t="n">
        <v>0</v>
      </c>
      <c r="K130" t="n">
        <v>0</v>
      </c>
      <c r="L130" t="n">
        <v>0</v>
      </c>
      <c r="M130" t="n">
        <v>0</v>
      </c>
      <c r="N130" t="n">
        <v>0</v>
      </c>
      <c r="O130" t="n">
        <v>0</v>
      </c>
      <c r="P130" t="n">
        <v>0</v>
      </c>
      <c r="Q130" t="n">
        <v>0</v>
      </c>
      <c r="R130" s="2" t="inlineStr"/>
    </row>
    <row r="131" ht="15" customHeight="1">
      <c r="A131" t="inlineStr">
        <is>
          <t>A 25603-2022</t>
        </is>
      </c>
      <c r="B131" s="1" t="n">
        <v>44732</v>
      </c>
      <c r="C131" s="1" t="n">
        <v>45940</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72405-2021</t>
        </is>
      </c>
      <c r="B132" s="1" t="n">
        <v>44545</v>
      </c>
      <c r="C132" s="1" t="n">
        <v>45940</v>
      </c>
      <c r="D132" t="inlineStr">
        <is>
          <t>VÄSTMANLANDS LÄN</t>
        </is>
      </c>
      <c r="E132" t="inlineStr">
        <is>
          <t>SALA</t>
        </is>
      </c>
      <c r="G132" t="n">
        <v>1</v>
      </c>
      <c r="H132" t="n">
        <v>0</v>
      </c>
      <c r="I132" t="n">
        <v>0</v>
      </c>
      <c r="J132" t="n">
        <v>0</v>
      </c>
      <c r="K132" t="n">
        <v>0</v>
      </c>
      <c r="L132" t="n">
        <v>0</v>
      </c>
      <c r="M132" t="n">
        <v>0</v>
      </c>
      <c r="N132" t="n">
        <v>0</v>
      </c>
      <c r="O132" t="n">
        <v>0</v>
      </c>
      <c r="P132" t="n">
        <v>0</v>
      </c>
      <c r="Q132" t="n">
        <v>0</v>
      </c>
      <c r="R132" s="2" t="inlineStr"/>
    </row>
    <row r="133" ht="15" customHeight="1">
      <c r="A133" t="inlineStr">
        <is>
          <t>A 61415-2020</t>
        </is>
      </c>
      <c r="B133" s="1" t="n">
        <v>44156</v>
      </c>
      <c r="C133" s="1" t="n">
        <v>45940</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63290-2021</t>
        </is>
      </c>
      <c r="B134" s="1" t="n">
        <v>44505</v>
      </c>
      <c r="C134" s="1" t="n">
        <v>45940</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53628-2022</t>
        </is>
      </c>
      <c r="B135" s="1" t="n">
        <v>44879.87171296297</v>
      </c>
      <c r="C135" s="1" t="n">
        <v>45940</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24882-2022</t>
        </is>
      </c>
      <c r="B136" s="1" t="n">
        <v>44728.56488425926</v>
      </c>
      <c r="C136" s="1" t="n">
        <v>45940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23757-2022</t>
        </is>
      </c>
      <c r="B137" s="1" t="n">
        <v>44722.37339120371</v>
      </c>
      <c r="C137" s="1" t="n">
        <v>45940</v>
      </c>
      <c r="D137" t="inlineStr">
        <is>
          <t>VÄSTMANLANDS LÄN</t>
        </is>
      </c>
      <c r="E137" t="inlineStr">
        <is>
          <t>SALA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23847-2022</t>
        </is>
      </c>
      <c r="B138" s="1" t="n">
        <v>44722</v>
      </c>
      <c r="C138" s="1" t="n">
        <v>45940</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73519-2021</t>
        </is>
      </c>
      <c r="B139" s="1" t="n">
        <v>44551</v>
      </c>
      <c r="C139" s="1" t="n">
        <v>45940</v>
      </c>
      <c r="D139" t="inlineStr">
        <is>
          <t>VÄSTMANLANDS LÄN</t>
        </is>
      </c>
      <c r="E139" t="inlineStr">
        <is>
          <t>SALA</t>
        </is>
      </c>
      <c r="G139" t="n">
        <v>0.3</v>
      </c>
      <c r="H139" t="n">
        <v>0</v>
      </c>
      <c r="I139" t="n">
        <v>0</v>
      </c>
      <c r="J139" t="n">
        <v>0</v>
      </c>
      <c r="K139" t="n">
        <v>0</v>
      </c>
      <c r="L139" t="n">
        <v>0</v>
      </c>
      <c r="M139" t="n">
        <v>0</v>
      </c>
      <c r="N139" t="n">
        <v>0</v>
      </c>
      <c r="O139" t="n">
        <v>0</v>
      </c>
      <c r="P139" t="n">
        <v>0</v>
      </c>
      <c r="Q139" t="n">
        <v>0</v>
      </c>
      <c r="R139" s="2" t="inlineStr"/>
    </row>
    <row r="140" ht="15" customHeight="1">
      <c r="A140" t="inlineStr">
        <is>
          <t>A 37881-2021</t>
        </is>
      </c>
      <c r="B140" s="1" t="n">
        <v>44403</v>
      </c>
      <c r="C140" s="1" t="n">
        <v>45940</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72805-2021</t>
        </is>
      </c>
      <c r="B141" s="1" t="n">
        <v>44546</v>
      </c>
      <c r="C141" s="1" t="n">
        <v>45940</v>
      </c>
      <c r="D141" t="inlineStr">
        <is>
          <t>VÄSTMANLANDS LÄN</t>
        </is>
      </c>
      <c r="E141" t="inlineStr">
        <is>
          <t>SALA</t>
        </is>
      </c>
      <c r="G141" t="n">
        <v>7.8</v>
      </c>
      <c r="H141" t="n">
        <v>0</v>
      </c>
      <c r="I141" t="n">
        <v>0</v>
      </c>
      <c r="J141" t="n">
        <v>0</v>
      </c>
      <c r="K141" t="n">
        <v>0</v>
      </c>
      <c r="L141" t="n">
        <v>0</v>
      </c>
      <c r="M141" t="n">
        <v>0</v>
      </c>
      <c r="N141" t="n">
        <v>0</v>
      </c>
      <c r="O141" t="n">
        <v>0</v>
      </c>
      <c r="P141" t="n">
        <v>0</v>
      </c>
      <c r="Q141" t="n">
        <v>0</v>
      </c>
      <c r="R141" s="2" t="inlineStr"/>
    </row>
    <row r="142" ht="15" customHeight="1">
      <c r="A142" t="inlineStr">
        <is>
          <t>A 72808-2021</t>
        </is>
      </c>
      <c r="B142" s="1" t="n">
        <v>44546</v>
      </c>
      <c r="C142" s="1" t="n">
        <v>45940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70218-2021</t>
        </is>
      </c>
      <c r="B143" s="1" t="n">
        <v>44535.6571412037</v>
      </c>
      <c r="C143" s="1" t="n">
        <v>45940</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30915-2021</t>
        </is>
      </c>
      <c r="B144" s="1" t="n">
        <v>44365</v>
      </c>
      <c r="C144" s="1" t="n">
        <v>45940</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30918-2021</t>
        </is>
      </c>
      <c r="B145" s="1" t="n">
        <v>44365.60569444444</v>
      </c>
      <c r="C145" s="1" t="n">
        <v>45940</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22562-2022</t>
        </is>
      </c>
      <c r="B146" s="1" t="n">
        <v>44713</v>
      </c>
      <c r="C146" s="1" t="n">
        <v>45940</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3204-2022</t>
        </is>
      </c>
      <c r="B147" s="1" t="n">
        <v>44582</v>
      </c>
      <c r="C147" s="1" t="n">
        <v>45940</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30904-2021</t>
        </is>
      </c>
      <c r="B148" s="1" t="n">
        <v>44365.5983449074</v>
      </c>
      <c r="C148" s="1" t="n">
        <v>45940</v>
      </c>
      <c r="D148" t="inlineStr">
        <is>
          <t>VÄSTMANLANDS LÄN</t>
        </is>
      </c>
      <c r="E148" t="inlineStr">
        <is>
          <t>SALA</t>
        </is>
      </c>
      <c r="G148" t="n">
        <v>1.9</v>
      </c>
      <c r="H148" t="n">
        <v>0</v>
      </c>
      <c r="I148" t="n">
        <v>0</v>
      </c>
      <c r="J148" t="n">
        <v>0</v>
      </c>
      <c r="K148" t="n">
        <v>0</v>
      </c>
      <c r="L148" t="n">
        <v>0</v>
      </c>
      <c r="M148" t="n">
        <v>0</v>
      </c>
      <c r="N148" t="n">
        <v>0</v>
      </c>
      <c r="O148" t="n">
        <v>0</v>
      </c>
      <c r="P148" t="n">
        <v>0</v>
      </c>
      <c r="Q148" t="n">
        <v>0</v>
      </c>
      <c r="R148" s="2" t="inlineStr"/>
    </row>
    <row r="149" ht="15" customHeight="1">
      <c r="A149" t="inlineStr">
        <is>
          <t>A 51596-2022</t>
        </is>
      </c>
      <c r="B149" s="1" t="n">
        <v>44871</v>
      </c>
      <c r="C149" s="1" t="n">
        <v>45940</v>
      </c>
      <c r="D149" t="inlineStr">
        <is>
          <t>VÄSTMANLANDS LÄN</t>
        </is>
      </c>
      <c r="E149" t="inlineStr">
        <is>
          <t>SALA</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66508-2021</t>
        </is>
      </c>
      <c r="B150" s="1" t="n">
        <v>44519.33401620371</v>
      </c>
      <c r="C150" s="1" t="n">
        <v>45940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31452-2021</t>
        </is>
      </c>
      <c r="B151" s="1" t="n">
        <v>44369</v>
      </c>
      <c r="C151" s="1" t="n">
        <v>45940</v>
      </c>
      <c r="D151" t="inlineStr">
        <is>
          <t>VÄSTMANLANDS LÄN</t>
        </is>
      </c>
      <c r="E151" t="inlineStr">
        <is>
          <t>SALA</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40113-2022</t>
        </is>
      </c>
      <c r="B152" s="1" t="n">
        <v>44819</v>
      </c>
      <c r="C152" s="1" t="n">
        <v>45940</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26570-2021</t>
        </is>
      </c>
      <c r="B153" s="1" t="n">
        <v>44348</v>
      </c>
      <c r="C153" s="1" t="n">
        <v>45940</v>
      </c>
      <c r="D153" t="inlineStr">
        <is>
          <t>VÄSTMANLANDS LÄN</t>
        </is>
      </c>
      <c r="E153" t="inlineStr">
        <is>
          <t>SALA</t>
        </is>
      </c>
      <c r="G153" t="n">
        <v>2.5</v>
      </c>
      <c r="H153" t="n">
        <v>0</v>
      </c>
      <c r="I153" t="n">
        <v>0</v>
      </c>
      <c r="J153" t="n">
        <v>0</v>
      </c>
      <c r="K153" t="n">
        <v>0</v>
      </c>
      <c r="L153" t="n">
        <v>0</v>
      </c>
      <c r="M153" t="n">
        <v>0</v>
      </c>
      <c r="N153" t="n">
        <v>0</v>
      </c>
      <c r="O153" t="n">
        <v>0</v>
      </c>
      <c r="P153" t="n">
        <v>0</v>
      </c>
      <c r="Q153" t="n">
        <v>0</v>
      </c>
      <c r="R153" s="2" t="inlineStr"/>
    </row>
    <row r="154" ht="15" customHeight="1">
      <c r="A154" t="inlineStr">
        <is>
          <t>A 22811-2022</t>
        </is>
      </c>
      <c r="B154" s="1" t="n">
        <v>44715</v>
      </c>
      <c r="C154" s="1" t="n">
        <v>45940</v>
      </c>
      <c r="D154" t="inlineStr">
        <is>
          <t>VÄSTMANLANDS LÄN</t>
        </is>
      </c>
      <c r="E154" t="inlineStr">
        <is>
          <t>SALA</t>
        </is>
      </c>
      <c r="G154" t="n">
        <v>5</v>
      </c>
      <c r="H154" t="n">
        <v>0</v>
      </c>
      <c r="I154" t="n">
        <v>0</v>
      </c>
      <c r="J154" t="n">
        <v>0</v>
      </c>
      <c r="K154" t="n">
        <v>0</v>
      </c>
      <c r="L154" t="n">
        <v>0</v>
      </c>
      <c r="M154" t="n">
        <v>0</v>
      </c>
      <c r="N154" t="n">
        <v>0</v>
      </c>
      <c r="O154" t="n">
        <v>0</v>
      </c>
      <c r="P154" t="n">
        <v>0</v>
      </c>
      <c r="Q154" t="n">
        <v>0</v>
      </c>
      <c r="R154" s="2" t="inlineStr"/>
    </row>
    <row r="155" ht="15" customHeight="1">
      <c r="A155" t="inlineStr">
        <is>
          <t>A 65213-2021</t>
        </is>
      </c>
      <c r="B155" s="1" t="n">
        <v>44515</v>
      </c>
      <c r="C155" s="1" t="n">
        <v>45940</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23181-2022</t>
        </is>
      </c>
      <c r="B156" s="1" t="n">
        <v>44719.79537037037</v>
      </c>
      <c r="C156" s="1" t="n">
        <v>45940</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65860-2021</t>
        </is>
      </c>
      <c r="B157" s="1" t="n">
        <v>44517.38163194444</v>
      </c>
      <c r="C157" s="1" t="n">
        <v>45940</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9075-2022</t>
        </is>
      </c>
      <c r="B158" s="1" t="n">
        <v>44615.47800925926</v>
      </c>
      <c r="C158" s="1" t="n">
        <v>45940</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45940</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29233-2022</t>
        </is>
      </c>
      <c r="B160" s="1" t="n">
        <v>44750</v>
      </c>
      <c r="C160" s="1" t="n">
        <v>45940</v>
      </c>
      <c r="D160" t="inlineStr">
        <is>
          <t>VÄSTMANLANDS LÄN</t>
        </is>
      </c>
      <c r="E160" t="inlineStr">
        <is>
          <t>SALA</t>
        </is>
      </c>
      <c r="G160" t="n">
        <v>2.4</v>
      </c>
      <c r="H160" t="n">
        <v>0</v>
      </c>
      <c r="I160" t="n">
        <v>0</v>
      </c>
      <c r="J160" t="n">
        <v>0</v>
      </c>
      <c r="K160" t="n">
        <v>0</v>
      </c>
      <c r="L160" t="n">
        <v>0</v>
      </c>
      <c r="M160" t="n">
        <v>0</v>
      </c>
      <c r="N160" t="n">
        <v>0</v>
      </c>
      <c r="O160" t="n">
        <v>0</v>
      </c>
      <c r="P160" t="n">
        <v>0</v>
      </c>
      <c r="Q160" t="n">
        <v>0</v>
      </c>
      <c r="R160" s="2" t="inlineStr"/>
    </row>
    <row r="161" ht="15" customHeight="1">
      <c r="A161" t="inlineStr">
        <is>
          <t>A 29002-2022</t>
        </is>
      </c>
      <c r="B161" s="1" t="n">
        <v>44749</v>
      </c>
      <c r="C161" s="1" t="n">
        <v>45940</v>
      </c>
      <c r="D161" t="inlineStr">
        <is>
          <t>VÄSTMANLANDS LÄN</t>
        </is>
      </c>
      <c r="E161" t="inlineStr">
        <is>
          <t>SALA</t>
        </is>
      </c>
      <c r="G161" t="n">
        <v>5.4</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45940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8130-2022</t>
        </is>
      </c>
      <c r="B163" s="1" t="n">
        <v>44609.5984837963</v>
      </c>
      <c r="C163" s="1" t="n">
        <v>45940</v>
      </c>
      <c r="D163" t="inlineStr">
        <is>
          <t>VÄSTMANLANDS LÄN</t>
        </is>
      </c>
      <c r="E163" t="inlineStr">
        <is>
          <t>SALA</t>
        </is>
      </c>
      <c r="G163" t="n">
        <v>3.5</v>
      </c>
      <c r="H163" t="n">
        <v>0</v>
      </c>
      <c r="I163" t="n">
        <v>0</v>
      </c>
      <c r="J163" t="n">
        <v>0</v>
      </c>
      <c r="K163" t="n">
        <v>0</v>
      </c>
      <c r="L163" t="n">
        <v>0</v>
      </c>
      <c r="M163" t="n">
        <v>0</v>
      </c>
      <c r="N163" t="n">
        <v>0</v>
      </c>
      <c r="O163" t="n">
        <v>0</v>
      </c>
      <c r="P163" t="n">
        <v>0</v>
      </c>
      <c r="Q163" t="n">
        <v>0</v>
      </c>
      <c r="R163" s="2" t="inlineStr"/>
    </row>
    <row r="164" ht="15" customHeight="1">
      <c r="A164" t="inlineStr">
        <is>
          <t>A 40094-2022</t>
        </is>
      </c>
      <c r="B164" s="1" t="n">
        <v>44819</v>
      </c>
      <c r="C164" s="1" t="n">
        <v>45940</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66830-2021</t>
        </is>
      </c>
      <c r="B165" s="1" t="n">
        <v>44522.40886574074</v>
      </c>
      <c r="C165" s="1" t="n">
        <v>45940</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58912-2020</t>
        </is>
      </c>
      <c r="B166" s="1" t="n">
        <v>44146</v>
      </c>
      <c r="C166" s="1" t="n">
        <v>45940</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28402-2022</t>
        </is>
      </c>
      <c r="B167" s="1" t="n">
        <v>44747</v>
      </c>
      <c r="C167" s="1" t="n">
        <v>45940</v>
      </c>
      <c r="D167" t="inlineStr">
        <is>
          <t>VÄSTMANLANDS LÄN</t>
        </is>
      </c>
      <c r="E167" t="inlineStr">
        <is>
          <t>SALA</t>
        </is>
      </c>
      <c r="G167" t="n">
        <v>0.6</v>
      </c>
      <c r="H167" t="n">
        <v>0</v>
      </c>
      <c r="I167" t="n">
        <v>0</v>
      </c>
      <c r="J167" t="n">
        <v>0</v>
      </c>
      <c r="K167" t="n">
        <v>0</v>
      </c>
      <c r="L167" t="n">
        <v>0</v>
      </c>
      <c r="M167" t="n">
        <v>0</v>
      </c>
      <c r="N167" t="n">
        <v>0</v>
      </c>
      <c r="O167" t="n">
        <v>0</v>
      </c>
      <c r="P167" t="n">
        <v>0</v>
      </c>
      <c r="Q167" t="n">
        <v>0</v>
      </c>
      <c r="R167" s="2" t="inlineStr"/>
    </row>
    <row r="168" ht="15" customHeight="1">
      <c r="A168" t="inlineStr">
        <is>
          <t>A 14047-2021</t>
        </is>
      </c>
      <c r="B168" s="1" t="n">
        <v>44277</v>
      </c>
      <c r="C168" s="1" t="n">
        <v>45940</v>
      </c>
      <c r="D168" t="inlineStr">
        <is>
          <t>VÄSTMANLANDS LÄN</t>
        </is>
      </c>
      <c r="E168" t="inlineStr">
        <is>
          <t>SALA</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73606-2021</t>
        </is>
      </c>
      <c r="B169" s="1" t="n">
        <v>44552</v>
      </c>
      <c r="C169" s="1" t="n">
        <v>45940</v>
      </c>
      <c r="D169" t="inlineStr">
        <is>
          <t>VÄSTMANLANDS LÄN</t>
        </is>
      </c>
      <c r="E169" t="inlineStr">
        <is>
          <t>SALA</t>
        </is>
      </c>
      <c r="G169" t="n">
        <v>1.5</v>
      </c>
      <c r="H169" t="n">
        <v>0</v>
      </c>
      <c r="I169" t="n">
        <v>0</v>
      </c>
      <c r="J169" t="n">
        <v>0</v>
      </c>
      <c r="K169" t="n">
        <v>0</v>
      </c>
      <c r="L169" t="n">
        <v>0</v>
      </c>
      <c r="M169" t="n">
        <v>0</v>
      </c>
      <c r="N169" t="n">
        <v>0</v>
      </c>
      <c r="O169" t="n">
        <v>0</v>
      </c>
      <c r="P169" t="n">
        <v>0</v>
      </c>
      <c r="Q169" t="n">
        <v>0</v>
      </c>
      <c r="R169" s="2" t="inlineStr"/>
    </row>
    <row r="170" ht="15" customHeight="1">
      <c r="A170" t="inlineStr">
        <is>
          <t>A 41876-2022</t>
        </is>
      </c>
      <c r="B170" s="1" t="n">
        <v>44829.97008101852</v>
      </c>
      <c r="C170" s="1" t="n">
        <v>45940</v>
      </c>
      <c r="D170" t="inlineStr">
        <is>
          <t>VÄSTMANLANDS LÄN</t>
        </is>
      </c>
      <c r="E170" t="inlineStr">
        <is>
          <t>SALA</t>
        </is>
      </c>
      <c r="G170" t="n">
        <v>3.6</v>
      </c>
      <c r="H170" t="n">
        <v>0</v>
      </c>
      <c r="I170" t="n">
        <v>0</v>
      </c>
      <c r="J170" t="n">
        <v>0</v>
      </c>
      <c r="K170" t="n">
        <v>0</v>
      </c>
      <c r="L170" t="n">
        <v>0</v>
      </c>
      <c r="M170" t="n">
        <v>0</v>
      </c>
      <c r="N170" t="n">
        <v>0</v>
      </c>
      <c r="O170" t="n">
        <v>0</v>
      </c>
      <c r="P170" t="n">
        <v>0</v>
      </c>
      <c r="Q170" t="n">
        <v>0</v>
      </c>
      <c r="R170" s="2" t="inlineStr"/>
    </row>
    <row r="171" ht="15" customHeight="1">
      <c r="A171" t="inlineStr">
        <is>
          <t>A 67958-2021</t>
        </is>
      </c>
      <c r="B171" s="1" t="n">
        <v>44525</v>
      </c>
      <c r="C171" s="1" t="n">
        <v>45940</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67965-2021</t>
        </is>
      </c>
      <c r="B172" s="1" t="n">
        <v>44525</v>
      </c>
      <c r="C172" s="1" t="n">
        <v>45940</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53630-2022</t>
        </is>
      </c>
      <c r="B173" s="1" t="n">
        <v>44879.87533564815</v>
      </c>
      <c r="C173" s="1" t="n">
        <v>45940</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69192-2020</t>
        </is>
      </c>
      <c r="B174" s="1" t="n">
        <v>44191</v>
      </c>
      <c r="C174" s="1" t="n">
        <v>45940</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53735-2022</t>
        </is>
      </c>
      <c r="B175" s="1" t="n">
        <v>44880.42752314815</v>
      </c>
      <c r="C175" s="1" t="n">
        <v>45940</v>
      </c>
      <c r="D175" t="inlineStr">
        <is>
          <t>VÄSTMANLANDS LÄN</t>
        </is>
      </c>
      <c r="E175" t="inlineStr">
        <is>
          <t>SALA</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45940</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65856-2021</t>
        </is>
      </c>
      <c r="B177" s="1" t="n">
        <v>44517</v>
      </c>
      <c r="C177" s="1" t="n">
        <v>45940</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7681-2021</t>
        </is>
      </c>
      <c r="B178" s="1" t="n">
        <v>44242</v>
      </c>
      <c r="C178" s="1" t="n">
        <v>45940</v>
      </c>
      <c r="D178" t="inlineStr">
        <is>
          <t>VÄSTMANLANDS LÄN</t>
        </is>
      </c>
      <c r="E178" t="inlineStr">
        <is>
          <t>SALA</t>
        </is>
      </c>
      <c r="F178" t="inlineStr">
        <is>
          <t>Sveaskog</t>
        </is>
      </c>
      <c r="G178" t="n">
        <v>16.1</v>
      </c>
      <c r="H178" t="n">
        <v>0</v>
      </c>
      <c r="I178" t="n">
        <v>0</v>
      </c>
      <c r="J178" t="n">
        <v>0</v>
      </c>
      <c r="K178" t="n">
        <v>0</v>
      </c>
      <c r="L178" t="n">
        <v>0</v>
      </c>
      <c r="M178" t="n">
        <v>0</v>
      </c>
      <c r="N178" t="n">
        <v>0</v>
      </c>
      <c r="O178" t="n">
        <v>0</v>
      </c>
      <c r="P178" t="n">
        <v>0</v>
      </c>
      <c r="Q178" t="n">
        <v>0</v>
      </c>
      <c r="R178" s="2" t="inlineStr"/>
    </row>
    <row r="179" ht="15" customHeight="1">
      <c r="A179" t="inlineStr">
        <is>
          <t>A 14919-2025</t>
        </is>
      </c>
      <c r="B179" s="1" t="n">
        <v>45743.54256944444</v>
      </c>
      <c r="C179" s="1" t="n">
        <v>45940</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14920-2025</t>
        </is>
      </c>
      <c r="B180" s="1" t="n">
        <v>45743</v>
      </c>
      <c r="C180" s="1" t="n">
        <v>45940</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40398-2021</t>
        </is>
      </c>
      <c r="B181" s="1" t="n">
        <v>44419</v>
      </c>
      <c r="C181" s="1" t="n">
        <v>45940</v>
      </c>
      <c r="D181" t="inlineStr">
        <is>
          <t>VÄSTMANLANDS LÄN</t>
        </is>
      </c>
      <c r="E181" t="inlineStr">
        <is>
          <t>SALA</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56098-2020</t>
        </is>
      </c>
      <c r="B182" s="1" t="n">
        <v>44132</v>
      </c>
      <c r="C182" s="1" t="n">
        <v>45940</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60545-2024</t>
        </is>
      </c>
      <c r="B183" s="1" t="n">
        <v>45643</v>
      </c>
      <c r="C183" s="1" t="n">
        <v>45940</v>
      </c>
      <c r="D183" t="inlineStr">
        <is>
          <t>VÄSTMANLANDS LÄN</t>
        </is>
      </c>
      <c r="E183" t="inlineStr">
        <is>
          <t>SALA</t>
        </is>
      </c>
      <c r="G183" t="n">
        <v>3.3</v>
      </c>
      <c r="H183" t="n">
        <v>0</v>
      </c>
      <c r="I183" t="n">
        <v>0</v>
      </c>
      <c r="J183" t="n">
        <v>0</v>
      </c>
      <c r="K183" t="n">
        <v>0</v>
      </c>
      <c r="L183" t="n">
        <v>0</v>
      </c>
      <c r="M183" t="n">
        <v>0</v>
      </c>
      <c r="N183" t="n">
        <v>0</v>
      </c>
      <c r="O183" t="n">
        <v>0</v>
      </c>
      <c r="P183" t="n">
        <v>0</v>
      </c>
      <c r="Q183" t="n">
        <v>0</v>
      </c>
      <c r="R183" s="2" t="inlineStr"/>
    </row>
    <row r="184" ht="15" customHeight="1">
      <c r="A184" t="inlineStr">
        <is>
          <t>A 60547-2024</t>
        </is>
      </c>
      <c r="B184" s="1" t="n">
        <v>45643</v>
      </c>
      <c r="C184" s="1" t="n">
        <v>45940</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10168-2022</t>
        </is>
      </c>
      <c r="B185" s="1" t="n">
        <v>44622.37693287037</v>
      </c>
      <c r="C185" s="1" t="n">
        <v>45940</v>
      </c>
      <c r="D185" t="inlineStr">
        <is>
          <t>VÄSTMANLANDS LÄN</t>
        </is>
      </c>
      <c r="E185" t="inlineStr">
        <is>
          <t>SALA</t>
        </is>
      </c>
      <c r="G185" t="n">
        <v>2.1</v>
      </c>
      <c r="H185" t="n">
        <v>0</v>
      </c>
      <c r="I185" t="n">
        <v>0</v>
      </c>
      <c r="J185" t="n">
        <v>0</v>
      </c>
      <c r="K185" t="n">
        <v>0</v>
      </c>
      <c r="L185" t="n">
        <v>0</v>
      </c>
      <c r="M185" t="n">
        <v>0</v>
      </c>
      <c r="N185" t="n">
        <v>0</v>
      </c>
      <c r="O185" t="n">
        <v>0</v>
      </c>
      <c r="P185" t="n">
        <v>0</v>
      </c>
      <c r="Q185" t="n">
        <v>0</v>
      </c>
      <c r="R185" s="2" t="inlineStr"/>
    </row>
    <row r="186" ht="15" customHeight="1">
      <c r="A186" t="inlineStr">
        <is>
          <t>A 43362-2023</t>
        </is>
      </c>
      <c r="B186" s="1" t="n">
        <v>45183</v>
      </c>
      <c r="C186" s="1" t="n">
        <v>45940</v>
      </c>
      <c r="D186" t="inlineStr">
        <is>
          <t>VÄSTMANLANDS LÄN</t>
        </is>
      </c>
      <c r="E186" t="inlineStr">
        <is>
          <t>SALA</t>
        </is>
      </c>
      <c r="G186" t="n">
        <v>2</v>
      </c>
      <c r="H186" t="n">
        <v>0</v>
      </c>
      <c r="I186" t="n">
        <v>0</v>
      </c>
      <c r="J186" t="n">
        <v>0</v>
      </c>
      <c r="K186" t="n">
        <v>0</v>
      </c>
      <c r="L186" t="n">
        <v>0</v>
      </c>
      <c r="M186" t="n">
        <v>0</v>
      </c>
      <c r="N186" t="n">
        <v>0</v>
      </c>
      <c r="O186" t="n">
        <v>0</v>
      </c>
      <c r="P186" t="n">
        <v>0</v>
      </c>
      <c r="Q186" t="n">
        <v>0</v>
      </c>
      <c r="R186" s="2" t="inlineStr"/>
    </row>
    <row r="187" ht="15" customHeight="1">
      <c r="A187" t="inlineStr">
        <is>
          <t>A 65818-2021</t>
        </is>
      </c>
      <c r="B187" s="1" t="n">
        <v>44517</v>
      </c>
      <c r="C187" s="1" t="n">
        <v>45940</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2900-2023</t>
        </is>
      </c>
      <c r="B188" s="1" t="n">
        <v>44943</v>
      </c>
      <c r="C188" s="1" t="n">
        <v>45940</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1985-2022</t>
        </is>
      </c>
      <c r="B189" s="1" t="n">
        <v>44575</v>
      </c>
      <c r="C189" s="1" t="n">
        <v>45940</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6030-2024</t>
        </is>
      </c>
      <c r="B190" s="1" t="n">
        <v>45336.62782407407</v>
      </c>
      <c r="C190" s="1" t="n">
        <v>45940</v>
      </c>
      <c r="D190" t="inlineStr">
        <is>
          <t>VÄSTMANLANDS LÄN</t>
        </is>
      </c>
      <c r="E190" t="inlineStr">
        <is>
          <t>SALA</t>
        </is>
      </c>
      <c r="G190" t="n">
        <v>3.9</v>
      </c>
      <c r="H190" t="n">
        <v>0</v>
      </c>
      <c r="I190" t="n">
        <v>0</v>
      </c>
      <c r="J190" t="n">
        <v>0</v>
      </c>
      <c r="K190" t="n">
        <v>0</v>
      </c>
      <c r="L190" t="n">
        <v>0</v>
      </c>
      <c r="M190" t="n">
        <v>0</v>
      </c>
      <c r="N190" t="n">
        <v>0</v>
      </c>
      <c r="O190" t="n">
        <v>0</v>
      </c>
      <c r="P190" t="n">
        <v>0</v>
      </c>
      <c r="Q190" t="n">
        <v>0</v>
      </c>
      <c r="R190" s="2" t="inlineStr"/>
    </row>
    <row r="191" ht="15" customHeight="1">
      <c r="A191" t="inlineStr">
        <is>
          <t>A 55881-2020</t>
        </is>
      </c>
      <c r="B191" s="1" t="n">
        <v>44132</v>
      </c>
      <c r="C191" s="1" t="n">
        <v>45940</v>
      </c>
      <c r="D191" t="inlineStr">
        <is>
          <t>VÄSTMANLANDS LÄN</t>
        </is>
      </c>
      <c r="E191" t="inlineStr">
        <is>
          <t>SALA</t>
        </is>
      </c>
      <c r="G191" t="n">
        <v>3</v>
      </c>
      <c r="H191" t="n">
        <v>0</v>
      </c>
      <c r="I191" t="n">
        <v>0</v>
      </c>
      <c r="J191" t="n">
        <v>0</v>
      </c>
      <c r="K191" t="n">
        <v>0</v>
      </c>
      <c r="L191" t="n">
        <v>0</v>
      </c>
      <c r="M191" t="n">
        <v>0</v>
      </c>
      <c r="N191" t="n">
        <v>0</v>
      </c>
      <c r="O191" t="n">
        <v>0</v>
      </c>
      <c r="P191" t="n">
        <v>0</v>
      </c>
      <c r="Q191" t="n">
        <v>0</v>
      </c>
      <c r="R191" s="2" t="inlineStr"/>
    </row>
    <row r="192" ht="15" customHeight="1">
      <c r="A192" t="inlineStr">
        <is>
          <t>A 52630-2022</t>
        </is>
      </c>
      <c r="B192" s="1" t="n">
        <v>44874</v>
      </c>
      <c r="C192" s="1" t="n">
        <v>45940</v>
      </c>
      <c r="D192" t="inlineStr">
        <is>
          <t>VÄSTMANLANDS LÄN</t>
        </is>
      </c>
      <c r="E192" t="inlineStr">
        <is>
          <t>SALA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27261-2024</t>
        </is>
      </c>
      <c r="B193" s="1" t="n">
        <v>45471</v>
      </c>
      <c r="C193" s="1" t="n">
        <v>45940</v>
      </c>
      <c r="D193" t="inlineStr">
        <is>
          <t>VÄSTMANLANDS LÄN</t>
        </is>
      </c>
      <c r="E193" t="inlineStr">
        <is>
          <t>SALA</t>
        </is>
      </c>
      <c r="G193" t="n">
        <v>6.1</v>
      </c>
      <c r="H193" t="n">
        <v>0</v>
      </c>
      <c r="I193" t="n">
        <v>0</v>
      </c>
      <c r="J193" t="n">
        <v>0</v>
      </c>
      <c r="K193" t="n">
        <v>0</v>
      </c>
      <c r="L193" t="n">
        <v>0</v>
      </c>
      <c r="M193" t="n">
        <v>0</v>
      </c>
      <c r="N193" t="n">
        <v>0</v>
      </c>
      <c r="O193" t="n">
        <v>0</v>
      </c>
      <c r="P193" t="n">
        <v>0</v>
      </c>
      <c r="Q193" t="n">
        <v>0</v>
      </c>
      <c r="R193" s="2" t="inlineStr"/>
    </row>
    <row r="194" ht="15" customHeight="1">
      <c r="A194" t="inlineStr">
        <is>
          <t>A 9050-2022</t>
        </is>
      </c>
      <c r="B194" s="1" t="n">
        <v>44615.45451388889</v>
      </c>
      <c r="C194" s="1" t="n">
        <v>45940</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14690-2025</t>
        </is>
      </c>
      <c r="B195" s="1" t="n">
        <v>45742.58212962963</v>
      </c>
      <c r="C195" s="1" t="n">
        <v>45940</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35976-2024</t>
        </is>
      </c>
      <c r="B196" s="1" t="n">
        <v>45533.49555555556</v>
      </c>
      <c r="C196" s="1" t="n">
        <v>45940</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49254-2022</t>
        </is>
      </c>
      <c r="B197" s="1" t="n">
        <v>44861</v>
      </c>
      <c r="C197" s="1" t="n">
        <v>45940</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55556-2023</t>
        </is>
      </c>
      <c r="B198" s="1" t="n">
        <v>45232</v>
      </c>
      <c r="C198" s="1" t="n">
        <v>45940</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2521-2025</t>
        </is>
      </c>
      <c r="B199" s="1" t="n">
        <v>45674</v>
      </c>
      <c r="C199" s="1" t="n">
        <v>45940</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57650-2024</t>
        </is>
      </c>
      <c r="B200" s="1" t="n">
        <v>45630</v>
      </c>
      <c r="C200" s="1" t="n">
        <v>45940</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50479-2022</t>
        </is>
      </c>
      <c r="B201" s="1" t="n">
        <v>44861</v>
      </c>
      <c r="C201" s="1" t="n">
        <v>45940</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4736-2021</t>
        </is>
      </c>
      <c r="B202" s="1" t="n">
        <v>44225</v>
      </c>
      <c r="C202" s="1" t="n">
        <v>45940</v>
      </c>
      <c r="D202" t="inlineStr">
        <is>
          <t>VÄSTMANLANDS LÄN</t>
        </is>
      </c>
      <c r="E202" t="inlineStr">
        <is>
          <t>SALA</t>
        </is>
      </c>
      <c r="G202" t="n">
        <v>4.2</v>
      </c>
      <c r="H202" t="n">
        <v>0</v>
      </c>
      <c r="I202" t="n">
        <v>0</v>
      </c>
      <c r="J202" t="n">
        <v>0</v>
      </c>
      <c r="K202" t="n">
        <v>0</v>
      </c>
      <c r="L202" t="n">
        <v>0</v>
      </c>
      <c r="M202" t="n">
        <v>0</v>
      </c>
      <c r="N202" t="n">
        <v>0</v>
      </c>
      <c r="O202" t="n">
        <v>0</v>
      </c>
      <c r="P202" t="n">
        <v>0</v>
      </c>
      <c r="Q202" t="n">
        <v>0</v>
      </c>
      <c r="R202" s="2" t="inlineStr"/>
    </row>
    <row r="203" ht="15" customHeight="1">
      <c r="A203" t="inlineStr">
        <is>
          <t>A 11370-2022</t>
        </is>
      </c>
      <c r="B203" s="1" t="n">
        <v>44630</v>
      </c>
      <c r="C203" s="1" t="n">
        <v>45940</v>
      </c>
      <c r="D203" t="inlineStr">
        <is>
          <t>VÄSTMANLANDS LÄN</t>
        </is>
      </c>
      <c r="E203" t="inlineStr">
        <is>
          <t>SALA</t>
        </is>
      </c>
      <c r="G203" t="n">
        <v>4.3</v>
      </c>
      <c r="H203" t="n">
        <v>0</v>
      </c>
      <c r="I203" t="n">
        <v>0</v>
      </c>
      <c r="J203" t="n">
        <v>0</v>
      </c>
      <c r="K203" t="n">
        <v>0</v>
      </c>
      <c r="L203" t="n">
        <v>0</v>
      </c>
      <c r="M203" t="n">
        <v>0</v>
      </c>
      <c r="N203" t="n">
        <v>0</v>
      </c>
      <c r="O203" t="n">
        <v>0</v>
      </c>
      <c r="P203" t="n">
        <v>0</v>
      </c>
      <c r="Q203" t="n">
        <v>0</v>
      </c>
      <c r="R203" s="2" t="inlineStr"/>
    </row>
    <row r="204" ht="15" customHeight="1">
      <c r="A204" t="inlineStr">
        <is>
          <t>A 45790-2023</t>
        </is>
      </c>
      <c r="B204" s="1" t="n">
        <v>45195.45958333334</v>
      </c>
      <c r="C204" s="1" t="n">
        <v>45940</v>
      </c>
      <c r="D204" t="inlineStr">
        <is>
          <t>VÄSTMANLANDS LÄN</t>
        </is>
      </c>
      <c r="E204" t="inlineStr">
        <is>
          <t>SALA</t>
        </is>
      </c>
      <c r="G204" t="n">
        <v>5.7</v>
      </c>
      <c r="H204" t="n">
        <v>0</v>
      </c>
      <c r="I204" t="n">
        <v>0</v>
      </c>
      <c r="J204" t="n">
        <v>0</v>
      </c>
      <c r="K204" t="n">
        <v>0</v>
      </c>
      <c r="L204" t="n">
        <v>0</v>
      </c>
      <c r="M204" t="n">
        <v>0</v>
      </c>
      <c r="N204" t="n">
        <v>0</v>
      </c>
      <c r="O204" t="n">
        <v>0</v>
      </c>
      <c r="P204" t="n">
        <v>0</v>
      </c>
      <c r="Q204" t="n">
        <v>0</v>
      </c>
      <c r="R204" s="2" t="inlineStr"/>
    </row>
    <row r="205" ht="15" customHeight="1">
      <c r="A205" t="inlineStr">
        <is>
          <t>A 60548-2024</t>
        </is>
      </c>
      <c r="B205" s="1" t="n">
        <v>45643.80978009259</v>
      </c>
      <c r="C205" s="1" t="n">
        <v>45940</v>
      </c>
      <c r="D205" t="inlineStr">
        <is>
          <t>VÄSTMANLANDS LÄN</t>
        </is>
      </c>
      <c r="E205" t="inlineStr">
        <is>
          <t>SALA</t>
        </is>
      </c>
      <c r="G205" t="n">
        <v>1.6</v>
      </c>
      <c r="H205" t="n">
        <v>0</v>
      </c>
      <c r="I205" t="n">
        <v>0</v>
      </c>
      <c r="J205" t="n">
        <v>0</v>
      </c>
      <c r="K205" t="n">
        <v>0</v>
      </c>
      <c r="L205" t="n">
        <v>0</v>
      </c>
      <c r="M205" t="n">
        <v>0</v>
      </c>
      <c r="N205" t="n">
        <v>0</v>
      </c>
      <c r="O205" t="n">
        <v>0</v>
      </c>
      <c r="P205" t="n">
        <v>0</v>
      </c>
      <c r="Q205" t="n">
        <v>0</v>
      </c>
      <c r="R205" s="2" t="inlineStr"/>
    </row>
    <row r="206" ht="15" customHeight="1">
      <c r="A206" t="inlineStr">
        <is>
          <t>A 57000-2021</t>
        </is>
      </c>
      <c r="B206" s="1" t="n">
        <v>44482.46760416667</v>
      </c>
      <c r="C206" s="1" t="n">
        <v>45940</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26761-2023</t>
        </is>
      </c>
      <c r="B207" s="1" t="n">
        <v>45093</v>
      </c>
      <c r="C207" s="1" t="n">
        <v>45940</v>
      </c>
      <c r="D207" t="inlineStr">
        <is>
          <t>VÄSTMANLANDS LÄN</t>
        </is>
      </c>
      <c r="E207" t="inlineStr">
        <is>
          <t>SALA</t>
        </is>
      </c>
      <c r="G207" t="n">
        <v>4.3</v>
      </c>
      <c r="H207" t="n">
        <v>0</v>
      </c>
      <c r="I207" t="n">
        <v>0</v>
      </c>
      <c r="J207" t="n">
        <v>0</v>
      </c>
      <c r="K207" t="n">
        <v>0</v>
      </c>
      <c r="L207" t="n">
        <v>0</v>
      </c>
      <c r="M207" t="n">
        <v>0</v>
      </c>
      <c r="N207" t="n">
        <v>0</v>
      </c>
      <c r="O207" t="n">
        <v>0</v>
      </c>
      <c r="P207" t="n">
        <v>0</v>
      </c>
      <c r="Q207" t="n">
        <v>0</v>
      </c>
      <c r="R207" s="2" t="inlineStr"/>
    </row>
    <row r="208" ht="15" customHeight="1">
      <c r="A208" t="inlineStr">
        <is>
          <t>A 26579-2021</t>
        </is>
      </c>
      <c r="B208" s="1" t="n">
        <v>44348</v>
      </c>
      <c r="C208" s="1" t="n">
        <v>45940</v>
      </c>
      <c r="D208" t="inlineStr">
        <is>
          <t>VÄSTMANLANDS LÄN</t>
        </is>
      </c>
      <c r="E208" t="inlineStr">
        <is>
          <t>SALA</t>
        </is>
      </c>
      <c r="G208" t="n">
        <v>1.6</v>
      </c>
      <c r="H208" t="n">
        <v>0</v>
      </c>
      <c r="I208" t="n">
        <v>0</v>
      </c>
      <c r="J208" t="n">
        <v>0</v>
      </c>
      <c r="K208" t="n">
        <v>0</v>
      </c>
      <c r="L208" t="n">
        <v>0</v>
      </c>
      <c r="M208" t="n">
        <v>0</v>
      </c>
      <c r="N208" t="n">
        <v>0</v>
      </c>
      <c r="O208" t="n">
        <v>0</v>
      </c>
      <c r="P208" t="n">
        <v>0</v>
      </c>
      <c r="Q208" t="n">
        <v>0</v>
      </c>
      <c r="R208" s="2" t="inlineStr"/>
    </row>
    <row r="209" ht="15" customHeight="1">
      <c r="A209" t="inlineStr">
        <is>
          <t>A 13188-2025</t>
        </is>
      </c>
      <c r="B209" s="1" t="n">
        <v>45735.39246527778</v>
      </c>
      <c r="C209" s="1" t="n">
        <v>45940</v>
      </c>
      <c r="D209" t="inlineStr">
        <is>
          <t>VÄSTMANLANDS LÄN</t>
        </is>
      </c>
      <c r="E209" t="inlineStr">
        <is>
          <t>SALA</t>
        </is>
      </c>
      <c r="F209" t="inlineStr">
        <is>
          <t>Naturvårdsverket</t>
        </is>
      </c>
      <c r="G209" t="n">
        <v>18.4</v>
      </c>
      <c r="H209" t="n">
        <v>0</v>
      </c>
      <c r="I209" t="n">
        <v>0</v>
      </c>
      <c r="J209" t="n">
        <v>0</v>
      </c>
      <c r="K209" t="n">
        <v>0</v>
      </c>
      <c r="L209" t="n">
        <v>0</v>
      </c>
      <c r="M209" t="n">
        <v>0</v>
      </c>
      <c r="N209" t="n">
        <v>0</v>
      </c>
      <c r="O209" t="n">
        <v>0</v>
      </c>
      <c r="P209" t="n">
        <v>0</v>
      </c>
      <c r="Q209" t="n">
        <v>0</v>
      </c>
      <c r="R209" s="2" t="inlineStr"/>
    </row>
    <row r="210" ht="15" customHeight="1">
      <c r="A210" t="inlineStr">
        <is>
          <t>A 55035-2023</t>
        </is>
      </c>
      <c r="B210" s="1" t="n">
        <v>45229</v>
      </c>
      <c r="C210" s="1" t="n">
        <v>45940</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60249-2023</t>
        </is>
      </c>
      <c r="B211" s="1" t="n">
        <v>45258</v>
      </c>
      <c r="C211" s="1" t="n">
        <v>45940</v>
      </c>
      <c r="D211" t="inlineStr">
        <is>
          <t>VÄSTMANLANDS LÄN</t>
        </is>
      </c>
      <c r="E211" t="inlineStr">
        <is>
          <t>SALA</t>
        </is>
      </c>
      <c r="G211" t="n">
        <v>2</v>
      </c>
      <c r="H211" t="n">
        <v>0</v>
      </c>
      <c r="I211" t="n">
        <v>0</v>
      </c>
      <c r="J211" t="n">
        <v>0</v>
      </c>
      <c r="K211" t="n">
        <v>0</v>
      </c>
      <c r="L211" t="n">
        <v>0</v>
      </c>
      <c r="M211" t="n">
        <v>0</v>
      </c>
      <c r="N211" t="n">
        <v>0</v>
      </c>
      <c r="O211" t="n">
        <v>0</v>
      </c>
      <c r="P211" t="n">
        <v>0</v>
      </c>
      <c r="Q211" t="n">
        <v>0</v>
      </c>
      <c r="R211" s="2" t="inlineStr"/>
    </row>
    <row r="212" ht="15" customHeight="1">
      <c r="A212" t="inlineStr">
        <is>
          <t>A 2928-2024</t>
        </is>
      </c>
      <c r="B212" s="1" t="n">
        <v>45315.59041666667</v>
      </c>
      <c r="C212" s="1" t="n">
        <v>45940</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73673-2021</t>
        </is>
      </c>
      <c r="B213" s="1" t="n">
        <v>44552.46501157407</v>
      </c>
      <c r="C213" s="1" t="n">
        <v>45940</v>
      </c>
      <c r="D213" t="inlineStr">
        <is>
          <t>VÄSTMANLANDS LÄN</t>
        </is>
      </c>
      <c r="E213" t="inlineStr">
        <is>
          <t>SALA</t>
        </is>
      </c>
      <c r="G213" t="n">
        <v>11.4</v>
      </c>
      <c r="H213" t="n">
        <v>0</v>
      </c>
      <c r="I213" t="n">
        <v>0</v>
      </c>
      <c r="J213" t="n">
        <v>0</v>
      </c>
      <c r="K213" t="n">
        <v>0</v>
      </c>
      <c r="L213" t="n">
        <v>0</v>
      </c>
      <c r="M213" t="n">
        <v>0</v>
      </c>
      <c r="N213" t="n">
        <v>0</v>
      </c>
      <c r="O213" t="n">
        <v>0</v>
      </c>
      <c r="P213" t="n">
        <v>0</v>
      </c>
      <c r="Q213" t="n">
        <v>0</v>
      </c>
      <c r="R213" s="2" t="inlineStr"/>
    </row>
    <row r="214" ht="15" customHeight="1">
      <c r="A214" t="inlineStr">
        <is>
          <t>A 64932-2021</t>
        </is>
      </c>
      <c r="B214" s="1" t="n">
        <v>44512</v>
      </c>
      <c r="C214" s="1" t="n">
        <v>45940</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23431-2024</t>
        </is>
      </c>
      <c r="B215" s="1" t="n">
        <v>45453</v>
      </c>
      <c r="C215" s="1" t="n">
        <v>45940</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40871-2021</t>
        </is>
      </c>
      <c r="B216" s="1" t="n">
        <v>44421</v>
      </c>
      <c r="C216" s="1" t="n">
        <v>45940</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21168-2025</t>
        </is>
      </c>
      <c r="B217" s="1" t="n">
        <v>45777</v>
      </c>
      <c r="C217" s="1" t="n">
        <v>45940</v>
      </c>
      <c r="D217" t="inlineStr">
        <is>
          <t>VÄSTMANLANDS LÄN</t>
        </is>
      </c>
      <c r="E217" t="inlineStr">
        <is>
          <t>SALA</t>
        </is>
      </c>
      <c r="G217" t="n">
        <v>4.5</v>
      </c>
      <c r="H217" t="n">
        <v>0</v>
      </c>
      <c r="I217" t="n">
        <v>0</v>
      </c>
      <c r="J217" t="n">
        <v>0</v>
      </c>
      <c r="K217" t="n">
        <v>0</v>
      </c>
      <c r="L217" t="n">
        <v>0</v>
      </c>
      <c r="M217" t="n">
        <v>0</v>
      </c>
      <c r="N217" t="n">
        <v>0</v>
      </c>
      <c r="O217" t="n">
        <v>0</v>
      </c>
      <c r="P217" t="n">
        <v>0</v>
      </c>
      <c r="Q217" t="n">
        <v>0</v>
      </c>
      <c r="R217" s="2" t="inlineStr"/>
    </row>
    <row r="218" ht="15" customHeight="1">
      <c r="A218" t="inlineStr">
        <is>
          <t>A 31597-2024</t>
        </is>
      </c>
      <c r="B218" s="1" t="n">
        <v>45506</v>
      </c>
      <c r="C218" s="1" t="n">
        <v>45940</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31599-2024</t>
        </is>
      </c>
      <c r="B219" s="1" t="n">
        <v>45506</v>
      </c>
      <c r="C219" s="1" t="n">
        <v>45940</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31601-2024</t>
        </is>
      </c>
      <c r="B220" s="1" t="n">
        <v>45506</v>
      </c>
      <c r="C220" s="1" t="n">
        <v>45940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31608-2024</t>
        </is>
      </c>
      <c r="B221" s="1" t="n">
        <v>45506</v>
      </c>
      <c r="C221" s="1" t="n">
        <v>45940</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31612-2024</t>
        </is>
      </c>
      <c r="B222" s="1" t="n">
        <v>45506</v>
      </c>
      <c r="C222" s="1" t="n">
        <v>45940</v>
      </c>
      <c r="D222" t="inlineStr">
        <is>
          <t>VÄSTMANLANDS LÄN</t>
        </is>
      </c>
      <c r="E222" t="inlineStr">
        <is>
          <t>SALA</t>
        </is>
      </c>
      <c r="G222" t="n">
        <v>3.2</v>
      </c>
      <c r="H222" t="n">
        <v>0</v>
      </c>
      <c r="I222" t="n">
        <v>0</v>
      </c>
      <c r="J222" t="n">
        <v>0</v>
      </c>
      <c r="K222" t="n">
        <v>0</v>
      </c>
      <c r="L222" t="n">
        <v>0</v>
      </c>
      <c r="M222" t="n">
        <v>0</v>
      </c>
      <c r="N222" t="n">
        <v>0</v>
      </c>
      <c r="O222" t="n">
        <v>0</v>
      </c>
      <c r="P222" t="n">
        <v>0</v>
      </c>
      <c r="Q222" t="n">
        <v>0</v>
      </c>
      <c r="R222" s="2" t="inlineStr"/>
    </row>
    <row r="223" ht="15" customHeight="1">
      <c r="A223" t="inlineStr">
        <is>
          <t>A 14271-2025</t>
        </is>
      </c>
      <c r="B223" s="1" t="n">
        <v>45740.64129629629</v>
      </c>
      <c r="C223" s="1" t="n">
        <v>45940</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52500-2024</t>
        </is>
      </c>
      <c r="B224" s="1" t="n">
        <v>45609</v>
      </c>
      <c r="C224" s="1" t="n">
        <v>45940</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58107-2021</t>
        </is>
      </c>
      <c r="B225" s="1" t="n">
        <v>44487</v>
      </c>
      <c r="C225" s="1" t="n">
        <v>45940</v>
      </c>
      <c r="D225" t="inlineStr">
        <is>
          <t>VÄSTMANLANDS LÄN</t>
        </is>
      </c>
      <c r="E225" t="inlineStr">
        <is>
          <t>SALA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21721-2025</t>
        </is>
      </c>
      <c r="B226" s="1" t="n">
        <v>45783</v>
      </c>
      <c r="C226" s="1" t="n">
        <v>45940</v>
      </c>
      <c r="D226" t="inlineStr">
        <is>
          <t>VÄSTMANLANDS LÄN</t>
        </is>
      </c>
      <c r="E226" t="inlineStr">
        <is>
          <t>SALA</t>
        </is>
      </c>
      <c r="G226" t="n">
        <v>6.1</v>
      </c>
      <c r="H226" t="n">
        <v>0</v>
      </c>
      <c r="I226" t="n">
        <v>0</v>
      </c>
      <c r="J226" t="n">
        <v>0</v>
      </c>
      <c r="K226" t="n">
        <v>0</v>
      </c>
      <c r="L226" t="n">
        <v>0</v>
      </c>
      <c r="M226" t="n">
        <v>0</v>
      </c>
      <c r="N226" t="n">
        <v>0</v>
      </c>
      <c r="O226" t="n">
        <v>0</v>
      </c>
      <c r="P226" t="n">
        <v>0</v>
      </c>
      <c r="Q226" t="n">
        <v>0</v>
      </c>
      <c r="R226" s="2" t="inlineStr"/>
    </row>
    <row r="227" ht="15" customHeight="1">
      <c r="A227" t="inlineStr">
        <is>
          <t>A 54199-2024</t>
        </is>
      </c>
      <c r="B227" s="1" t="n">
        <v>45616.64703703704</v>
      </c>
      <c r="C227" s="1" t="n">
        <v>45940</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21754-2025</t>
        </is>
      </c>
      <c r="B228" s="1" t="n">
        <v>45783.61837962963</v>
      </c>
      <c r="C228" s="1" t="n">
        <v>45940</v>
      </c>
      <c r="D228" t="inlineStr">
        <is>
          <t>VÄSTMANLANDS LÄN</t>
        </is>
      </c>
      <c r="E228" t="inlineStr">
        <is>
          <t>SALA</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21751-2025</t>
        </is>
      </c>
      <c r="B229" s="1" t="n">
        <v>45783.61372685185</v>
      </c>
      <c r="C229" s="1" t="n">
        <v>45940</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56949-2023</t>
        </is>
      </c>
      <c r="B230" s="1" t="n">
        <v>45244.61589120371</v>
      </c>
      <c r="C230" s="1" t="n">
        <v>45940</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53164-2024</t>
        </is>
      </c>
      <c r="B231" s="1" t="n">
        <v>45611.64887731482</v>
      </c>
      <c r="C231" s="1" t="n">
        <v>45940</v>
      </c>
      <c r="D231" t="inlineStr">
        <is>
          <t>VÄSTMANLANDS LÄN</t>
        </is>
      </c>
      <c r="E231" t="inlineStr">
        <is>
          <t>SALA</t>
        </is>
      </c>
      <c r="G231" t="n">
        <v>2.6</v>
      </c>
      <c r="H231" t="n">
        <v>0</v>
      </c>
      <c r="I231" t="n">
        <v>0</v>
      </c>
      <c r="J231" t="n">
        <v>0</v>
      </c>
      <c r="K231" t="n">
        <v>0</v>
      </c>
      <c r="L231" t="n">
        <v>0</v>
      </c>
      <c r="M231" t="n">
        <v>0</v>
      </c>
      <c r="N231" t="n">
        <v>0</v>
      </c>
      <c r="O231" t="n">
        <v>0</v>
      </c>
      <c r="P231" t="n">
        <v>0</v>
      </c>
      <c r="Q231" t="n">
        <v>0</v>
      </c>
      <c r="R231" s="2" t="inlineStr"/>
    </row>
    <row r="232" ht="15" customHeight="1">
      <c r="A232" t="inlineStr">
        <is>
          <t>A 6312-2025</t>
        </is>
      </c>
      <c r="B232" s="1" t="n">
        <v>45698</v>
      </c>
      <c r="C232" s="1" t="n">
        <v>45940</v>
      </c>
      <c r="D232" t="inlineStr">
        <is>
          <t>VÄSTMANLANDS LÄN</t>
        </is>
      </c>
      <c r="E232" t="inlineStr">
        <is>
          <t>SALA</t>
        </is>
      </c>
      <c r="G232" t="n">
        <v>1.2</v>
      </c>
      <c r="H232" t="n">
        <v>0</v>
      </c>
      <c r="I232" t="n">
        <v>0</v>
      </c>
      <c r="J232" t="n">
        <v>0</v>
      </c>
      <c r="K232" t="n">
        <v>0</v>
      </c>
      <c r="L232" t="n">
        <v>0</v>
      </c>
      <c r="M232" t="n">
        <v>0</v>
      </c>
      <c r="N232" t="n">
        <v>0</v>
      </c>
      <c r="O232" t="n">
        <v>0</v>
      </c>
      <c r="P232" t="n">
        <v>0</v>
      </c>
      <c r="Q232" t="n">
        <v>0</v>
      </c>
      <c r="R232" s="2" t="inlineStr"/>
    </row>
    <row r="233" ht="15" customHeight="1">
      <c r="A233" t="inlineStr">
        <is>
          <t>A 35462-2024</t>
        </is>
      </c>
      <c r="B233" s="1" t="n">
        <v>45531</v>
      </c>
      <c r="C233" s="1" t="n">
        <v>45940</v>
      </c>
      <c r="D233" t="inlineStr">
        <is>
          <t>VÄSTMANLANDS LÄN</t>
        </is>
      </c>
      <c r="E233" t="inlineStr">
        <is>
          <t>SALA</t>
        </is>
      </c>
      <c r="G233" t="n">
        <v>0.6</v>
      </c>
      <c r="H233" t="n">
        <v>0</v>
      </c>
      <c r="I233" t="n">
        <v>0</v>
      </c>
      <c r="J233" t="n">
        <v>0</v>
      </c>
      <c r="K233" t="n">
        <v>0</v>
      </c>
      <c r="L233" t="n">
        <v>0</v>
      </c>
      <c r="M233" t="n">
        <v>0</v>
      </c>
      <c r="N233" t="n">
        <v>0</v>
      </c>
      <c r="O233" t="n">
        <v>0</v>
      </c>
      <c r="P233" t="n">
        <v>0</v>
      </c>
      <c r="Q233" t="n">
        <v>0</v>
      </c>
      <c r="R233" s="2" t="inlineStr"/>
    </row>
    <row r="234" ht="15" customHeight="1">
      <c r="A234" t="inlineStr">
        <is>
          <t>A 14024-2025</t>
        </is>
      </c>
      <c r="B234" s="1" t="n">
        <v>45740.34650462963</v>
      </c>
      <c r="C234" s="1" t="n">
        <v>45940</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44857-2023</t>
        </is>
      </c>
      <c r="B235" s="1" t="n">
        <v>45190.58479166667</v>
      </c>
      <c r="C235" s="1" t="n">
        <v>45940</v>
      </c>
      <c r="D235" t="inlineStr">
        <is>
          <t>VÄSTMANLANDS LÄN</t>
        </is>
      </c>
      <c r="E235" t="inlineStr">
        <is>
          <t>SALA</t>
        </is>
      </c>
      <c r="G235" t="n">
        <v>1</v>
      </c>
      <c r="H235" t="n">
        <v>0</v>
      </c>
      <c r="I235" t="n">
        <v>0</v>
      </c>
      <c r="J235" t="n">
        <v>0</v>
      </c>
      <c r="K235" t="n">
        <v>0</v>
      </c>
      <c r="L235" t="n">
        <v>0</v>
      </c>
      <c r="M235" t="n">
        <v>0</v>
      </c>
      <c r="N235" t="n">
        <v>0</v>
      </c>
      <c r="O235" t="n">
        <v>0</v>
      </c>
      <c r="P235" t="n">
        <v>0</v>
      </c>
      <c r="Q235" t="n">
        <v>0</v>
      </c>
      <c r="R235" s="2" t="inlineStr"/>
    </row>
    <row r="236" ht="15" customHeight="1">
      <c r="A236" t="inlineStr">
        <is>
          <t>A 26692-2023</t>
        </is>
      </c>
      <c r="B236" s="1" t="n">
        <v>45093.360625</v>
      </c>
      <c r="C236" s="1" t="n">
        <v>45940</v>
      </c>
      <c r="D236" t="inlineStr">
        <is>
          <t>VÄSTMANLANDS LÄN</t>
        </is>
      </c>
      <c r="E236" t="inlineStr">
        <is>
          <t>SALA</t>
        </is>
      </c>
      <c r="G236" t="n">
        <v>1.8</v>
      </c>
      <c r="H236" t="n">
        <v>0</v>
      </c>
      <c r="I236" t="n">
        <v>0</v>
      </c>
      <c r="J236" t="n">
        <v>0</v>
      </c>
      <c r="K236" t="n">
        <v>0</v>
      </c>
      <c r="L236" t="n">
        <v>0</v>
      </c>
      <c r="M236" t="n">
        <v>0</v>
      </c>
      <c r="N236" t="n">
        <v>0</v>
      </c>
      <c r="O236" t="n">
        <v>0</v>
      </c>
      <c r="P236" t="n">
        <v>0</v>
      </c>
      <c r="Q236" t="n">
        <v>0</v>
      </c>
      <c r="R236" s="2" t="inlineStr"/>
    </row>
    <row r="237" ht="15" customHeight="1">
      <c r="A237" t="inlineStr">
        <is>
          <t>A 37587-2024</t>
        </is>
      </c>
      <c r="B237" s="1" t="n">
        <v>45541</v>
      </c>
      <c r="C237" s="1" t="n">
        <v>45940</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96-2024</t>
        </is>
      </c>
      <c r="B238" s="1" t="n">
        <v>45293.85872685185</v>
      </c>
      <c r="C238" s="1" t="n">
        <v>45940</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54910-2023</t>
        </is>
      </c>
      <c r="B239" s="1" t="n">
        <v>45229</v>
      </c>
      <c r="C239" s="1" t="n">
        <v>45940</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62449-2023</t>
        </is>
      </c>
      <c r="B240" s="1" t="n">
        <v>45268.49008101852</v>
      </c>
      <c r="C240" s="1" t="n">
        <v>45940</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54118-2023</t>
        </is>
      </c>
      <c r="B241" s="1" t="n">
        <v>45232</v>
      </c>
      <c r="C241" s="1" t="n">
        <v>45940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17458-2024</t>
        </is>
      </c>
      <c r="B242" s="1" t="n">
        <v>45415</v>
      </c>
      <c r="C242" s="1" t="n">
        <v>45940</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62654-2022</t>
        </is>
      </c>
      <c r="B243" s="1" t="n">
        <v>44917</v>
      </c>
      <c r="C243" s="1" t="n">
        <v>45940</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43188-2023</t>
        </is>
      </c>
      <c r="B244" s="1" t="n">
        <v>45183</v>
      </c>
      <c r="C244" s="1" t="n">
        <v>45940</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43205-2023</t>
        </is>
      </c>
      <c r="B245" s="1" t="n">
        <v>45183</v>
      </c>
      <c r="C245" s="1" t="n">
        <v>45940</v>
      </c>
      <c r="D245" t="inlineStr">
        <is>
          <t>VÄSTMANLANDS LÄN</t>
        </is>
      </c>
      <c r="E245" t="inlineStr">
        <is>
          <t>SALA</t>
        </is>
      </c>
      <c r="G245" t="n">
        <v>2.1</v>
      </c>
      <c r="H245" t="n">
        <v>0</v>
      </c>
      <c r="I245" t="n">
        <v>0</v>
      </c>
      <c r="J245" t="n">
        <v>0</v>
      </c>
      <c r="K245" t="n">
        <v>0</v>
      </c>
      <c r="L245" t="n">
        <v>0</v>
      </c>
      <c r="M245" t="n">
        <v>0</v>
      </c>
      <c r="N245" t="n">
        <v>0</v>
      </c>
      <c r="O245" t="n">
        <v>0</v>
      </c>
      <c r="P245" t="n">
        <v>0</v>
      </c>
      <c r="Q245" t="n">
        <v>0</v>
      </c>
      <c r="R245" s="2" t="inlineStr"/>
    </row>
    <row r="246" ht="15" customHeight="1">
      <c r="A246" t="inlineStr">
        <is>
          <t>A 61892-2021</t>
        </is>
      </c>
      <c r="B246" s="1" t="n">
        <v>44502</v>
      </c>
      <c r="C246" s="1" t="n">
        <v>45940</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29213-2022</t>
        </is>
      </c>
      <c r="B247" s="1" t="n">
        <v>44750.57474537037</v>
      </c>
      <c r="C247" s="1" t="n">
        <v>45940</v>
      </c>
      <c r="D247" t="inlineStr">
        <is>
          <t>VÄSTMANLANDS LÄN</t>
        </is>
      </c>
      <c r="E247" t="inlineStr">
        <is>
          <t>SALA</t>
        </is>
      </c>
      <c r="G247" t="n">
        <v>1</v>
      </c>
      <c r="H247" t="n">
        <v>0</v>
      </c>
      <c r="I247" t="n">
        <v>0</v>
      </c>
      <c r="J247" t="n">
        <v>0</v>
      </c>
      <c r="K247" t="n">
        <v>0</v>
      </c>
      <c r="L247" t="n">
        <v>0</v>
      </c>
      <c r="M247" t="n">
        <v>0</v>
      </c>
      <c r="N247" t="n">
        <v>0</v>
      </c>
      <c r="O247" t="n">
        <v>0</v>
      </c>
      <c r="P247" t="n">
        <v>0</v>
      </c>
      <c r="Q247" t="n">
        <v>0</v>
      </c>
      <c r="R247" s="2" t="inlineStr"/>
    </row>
    <row r="248" ht="15" customHeight="1">
      <c r="A248" t="inlineStr">
        <is>
          <t>A 64724-2023</t>
        </is>
      </c>
      <c r="B248" s="1" t="n">
        <v>45281.7602662037</v>
      </c>
      <c r="C248" s="1" t="n">
        <v>45940</v>
      </c>
      <c r="D248" t="inlineStr">
        <is>
          <t>VÄSTMANLANDS LÄN</t>
        </is>
      </c>
      <c r="E248" t="inlineStr">
        <is>
          <t>SALA</t>
        </is>
      </c>
      <c r="G248" t="n">
        <v>2.3</v>
      </c>
      <c r="H248" t="n">
        <v>0</v>
      </c>
      <c r="I248" t="n">
        <v>0</v>
      </c>
      <c r="J248" t="n">
        <v>0</v>
      </c>
      <c r="K248" t="n">
        <v>0</v>
      </c>
      <c r="L248" t="n">
        <v>0</v>
      </c>
      <c r="M248" t="n">
        <v>0</v>
      </c>
      <c r="N248" t="n">
        <v>0</v>
      </c>
      <c r="O248" t="n">
        <v>0</v>
      </c>
      <c r="P248" t="n">
        <v>0</v>
      </c>
      <c r="Q248" t="n">
        <v>0</v>
      </c>
      <c r="R248" s="2" t="inlineStr"/>
    </row>
    <row r="249" ht="15" customHeight="1">
      <c r="A249" t="inlineStr">
        <is>
          <t>A 56543-2024</t>
        </is>
      </c>
      <c r="B249" s="1" t="n">
        <v>45625</v>
      </c>
      <c r="C249" s="1" t="n">
        <v>45940</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34814-2021</t>
        </is>
      </c>
      <c r="B250" s="1" t="n">
        <v>44383</v>
      </c>
      <c r="C250" s="1" t="n">
        <v>45940</v>
      </c>
      <c r="D250" t="inlineStr">
        <is>
          <t>VÄSTMANLANDS LÄN</t>
        </is>
      </c>
      <c r="E250" t="inlineStr">
        <is>
          <t>SALA</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31950-2023</t>
        </is>
      </c>
      <c r="B251" s="1" t="n">
        <v>45107</v>
      </c>
      <c r="C251" s="1" t="n">
        <v>45940</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59483-2022</t>
        </is>
      </c>
      <c r="B252" s="1" t="n">
        <v>44907.45679398148</v>
      </c>
      <c r="C252" s="1" t="n">
        <v>45940</v>
      </c>
      <c r="D252" t="inlineStr">
        <is>
          <t>VÄSTMANLANDS LÄN</t>
        </is>
      </c>
      <c r="E252" t="inlineStr">
        <is>
          <t>SALA</t>
        </is>
      </c>
      <c r="G252" t="n">
        <v>5.2</v>
      </c>
      <c r="H252" t="n">
        <v>0</v>
      </c>
      <c r="I252" t="n">
        <v>0</v>
      </c>
      <c r="J252" t="n">
        <v>0</v>
      </c>
      <c r="K252" t="n">
        <v>0</v>
      </c>
      <c r="L252" t="n">
        <v>0</v>
      </c>
      <c r="M252" t="n">
        <v>0</v>
      </c>
      <c r="N252" t="n">
        <v>0</v>
      </c>
      <c r="O252" t="n">
        <v>0</v>
      </c>
      <c r="P252" t="n">
        <v>0</v>
      </c>
      <c r="Q252" t="n">
        <v>0</v>
      </c>
      <c r="R252" s="2" t="inlineStr"/>
    </row>
    <row r="253" ht="15" customHeight="1">
      <c r="A253" t="inlineStr">
        <is>
          <t>A 25748-2022</t>
        </is>
      </c>
      <c r="B253" s="1" t="n">
        <v>44732</v>
      </c>
      <c r="C253" s="1" t="n">
        <v>45940</v>
      </c>
      <c r="D253" t="inlineStr">
        <is>
          <t>VÄSTMANLANDS LÄN</t>
        </is>
      </c>
      <c r="E253" t="inlineStr">
        <is>
          <t>SALA</t>
        </is>
      </c>
      <c r="G253" t="n">
        <v>7.7</v>
      </c>
      <c r="H253" t="n">
        <v>0</v>
      </c>
      <c r="I253" t="n">
        <v>0</v>
      </c>
      <c r="J253" t="n">
        <v>0</v>
      </c>
      <c r="K253" t="n">
        <v>0</v>
      </c>
      <c r="L253" t="n">
        <v>0</v>
      </c>
      <c r="M253" t="n">
        <v>0</v>
      </c>
      <c r="N253" t="n">
        <v>0</v>
      </c>
      <c r="O253" t="n">
        <v>0</v>
      </c>
      <c r="P253" t="n">
        <v>0</v>
      </c>
      <c r="Q253" t="n">
        <v>0</v>
      </c>
      <c r="R253" s="2" t="inlineStr"/>
    </row>
    <row r="254" ht="15" customHeight="1">
      <c r="A254" t="inlineStr">
        <is>
          <t>A 21968-2024</t>
        </is>
      </c>
      <c r="B254" s="1" t="n">
        <v>45443</v>
      </c>
      <c r="C254" s="1" t="n">
        <v>45940</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7176-2023</t>
        </is>
      </c>
      <c r="B255" s="1" t="n">
        <v>44970</v>
      </c>
      <c r="C255" s="1" t="n">
        <v>45940</v>
      </c>
      <c r="D255" t="inlineStr">
        <is>
          <t>VÄSTMANLANDS LÄN</t>
        </is>
      </c>
      <c r="E255" t="inlineStr">
        <is>
          <t>SALA</t>
        </is>
      </c>
      <c r="G255" t="n">
        <v>1.5</v>
      </c>
      <c r="H255" t="n">
        <v>0</v>
      </c>
      <c r="I255" t="n">
        <v>0</v>
      </c>
      <c r="J255" t="n">
        <v>0</v>
      </c>
      <c r="K255" t="n">
        <v>0</v>
      </c>
      <c r="L255" t="n">
        <v>0</v>
      </c>
      <c r="M255" t="n">
        <v>0</v>
      </c>
      <c r="N255" t="n">
        <v>0</v>
      </c>
      <c r="O255" t="n">
        <v>0</v>
      </c>
      <c r="P255" t="n">
        <v>0</v>
      </c>
      <c r="Q255" t="n">
        <v>0</v>
      </c>
      <c r="R255" s="2" t="inlineStr"/>
    </row>
    <row r="256" ht="15" customHeight="1">
      <c r="A256" t="inlineStr">
        <is>
          <t>A 3733-2023</t>
        </is>
      </c>
      <c r="B256" s="1" t="n">
        <v>44951.42501157407</v>
      </c>
      <c r="C256" s="1" t="n">
        <v>45940</v>
      </c>
      <c r="D256" t="inlineStr">
        <is>
          <t>VÄSTMANLANDS LÄN</t>
        </is>
      </c>
      <c r="E256" t="inlineStr">
        <is>
          <t>SALA</t>
        </is>
      </c>
      <c r="G256" t="n">
        <v>3.1</v>
      </c>
      <c r="H256" t="n">
        <v>0</v>
      </c>
      <c r="I256" t="n">
        <v>0</v>
      </c>
      <c r="J256" t="n">
        <v>0</v>
      </c>
      <c r="K256" t="n">
        <v>0</v>
      </c>
      <c r="L256" t="n">
        <v>0</v>
      </c>
      <c r="M256" t="n">
        <v>0</v>
      </c>
      <c r="N256" t="n">
        <v>0</v>
      </c>
      <c r="O256" t="n">
        <v>0</v>
      </c>
      <c r="P256" t="n">
        <v>0</v>
      </c>
      <c r="Q256" t="n">
        <v>0</v>
      </c>
      <c r="R256" s="2" t="inlineStr"/>
    </row>
    <row r="257" ht="15" customHeight="1">
      <c r="A257" t="inlineStr">
        <is>
          <t>A 6136-2025</t>
        </is>
      </c>
      <c r="B257" s="1" t="n">
        <v>45698.37601851852</v>
      </c>
      <c r="C257" s="1" t="n">
        <v>45940</v>
      </c>
      <c r="D257" t="inlineStr">
        <is>
          <t>VÄSTMANLANDS LÄN</t>
        </is>
      </c>
      <c r="E257" t="inlineStr">
        <is>
          <t>SALA</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6190-2025</t>
        </is>
      </c>
      <c r="B258" s="1" t="n">
        <v>45698</v>
      </c>
      <c r="C258" s="1" t="n">
        <v>45940</v>
      </c>
      <c r="D258" t="inlineStr">
        <is>
          <t>VÄSTMANLANDS LÄN</t>
        </is>
      </c>
      <c r="E258" t="inlineStr">
        <is>
          <t>SALA</t>
        </is>
      </c>
      <c r="F258" t="inlineStr">
        <is>
          <t>Bergvik skog öst AB</t>
        </is>
      </c>
      <c r="G258" t="n">
        <v>4.6</v>
      </c>
      <c r="H258" t="n">
        <v>0</v>
      </c>
      <c r="I258" t="n">
        <v>0</v>
      </c>
      <c r="J258" t="n">
        <v>0</v>
      </c>
      <c r="K258" t="n">
        <v>0</v>
      </c>
      <c r="L258" t="n">
        <v>0</v>
      </c>
      <c r="M258" t="n">
        <v>0</v>
      </c>
      <c r="N258" t="n">
        <v>0</v>
      </c>
      <c r="O258" t="n">
        <v>0</v>
      </c>
      <c r="P258" t="n">
        <v>0</v>
      </c>
      <c r="Q258" t="n">
        <v>0</v>
      </c>
      <c r="R258" s="2" t="inlineStr"/>
    </row>
    <row r="259" ht="15" customHeight="1">
      <c r="A259" t="inlineStr">
        <is>
          <t>A 16767-2024</t>
        </is>
      </c>
      <c r="B259" s="1" t="n">
        <v>45411.38171296296</v>
      </c>
      <c r="C259" s="1" t="n">
        <v>45940</v>
      </c>
      <c r="D259" t="inlineStr">
        <is>
          <t>VÄSTMANLANDS LÄN</t>
        </is>
      </c>
      <c r="E259" t="inlineStr">
        <is>
          <t>SALA</t>
        </is>
      </c>
      <c r="G259" t="n">
        <v>2.5</v>
      </c>
      <c r="H259" t="n">
        <v>0</v>
      </c>
      <c r="I259" t="n">
        <v>0</v>
      </c>
      <c r="J259" t="n">
        <v>0</v>
      </c>
      <c r="K259" t="n">
        <v>0</v>
      </c>
      <c r="L259" t="n">
        <v>0</v>
      </c>
      <c r="M259" t="n">
        <v>0</v>
      </c>
      <c r="N259" t="n">
        <v>0</v>
      </c>
      <c r="O259" t="n">
        <v>0</v>
      </c>
      <c r="P259" t="n">
        <v>0</v>
      </c>
      <c r="Q259" t="n">
        <v>0</v>
      </c>
      <c r="R259" s="2" t="inlineStr"/>
    </row>
    <row r="260" ht="15" customHeight="1">
      <c r="A260" t="inlineStr">
        <is>
          <t>A 16160-2024</t>
        </is>
      </c>
      <c r="B260" s="1" t="n">
        <v>45406</v>
      </c>
      <c r="C260" s="1" t="n">
        <v>45940</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43600-2024</t>
        </is>
      </c>
      <c r="B261" s="1" t="n">
        <v>45569</v>
      </c>
      <c r="C261" s="1" t="n">
        <v>45940</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31405-2024</t>
        </is>
      </c>
      <c r="B262" s="1" t="n">
        <v>45505.5490625</v>
      </c>
      <c r="C262" s="1" t="n">
        <v>45940</v>
      </c>
      <c r="D262" t="inlineStr">
        <is>
          <t>VÄSTMANLANDS LÄN</t>
        </is>
      </c>
      <c r="E262" t="inlineStr">
        <is>
          <t>SALA</t>
        </is>
      </c>
      <c r="G262" t="n">
        <v>5.2</v>
      </c>
      <c r="H262" t="n">
        <v>0</v>
      </c>
      <c r="I262" t="n">
        <v>0</v>
      </c>
      <c r="J262" t="n">
        <v>0</v>
      </c>
      <c r="K262" t="n">
        <v>0</v>
      </c>
      <c r="L262" t="n">
        <v>0</v>
      </c>
      <c r="M262" t="n">
        <v>0</v>
      </c>
      <c r="N262" t="n">
        <v>0</v>
      </c>
      <c r="O262" t="n">
        <v>0</v>
      </c>
      <c r="P262" t="n">
        <v>0</v>
      </c>
      <c r="Q262" t="n">
        <v>0</v>
      </c>
      <c r="R262" s="2" t="inlineStr"/>
    </row>
    <row r="263" ht="15" customHeight="1">
      <c r="A263" t="inlineStr">
        <is>
          <t>A 6097-2022</t>
        </is>
      </c>
      <c r="B263" s="1" t="n">
        <v>44599</v>
      </c>
      <c r="C263" s="1" t="n">
        <v>45940</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22616-2025</t>
        </is>
      </c>
      <c r="B264" s="1" t="n">
        <v>45789.42752314815</v>
      </c>
      <c r="C264" s="1" t="n">
        <v>45940</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39597-2022</t>
        </is>
      </c>
      <c r="B265" s="1" t="n">
        <v>44818</v>
      </c>
      <c r="C265" s="1" t="n">
        <v>45940</v>
      </c>
      <c r="D265" t="inlineStr">
        <is>
          <t>VÄSTMANLANDS LÄN</t>
        </is>
      </c>
      <c r="E265" t="inlineStr">
        <is>
          <t>SALA</t>
        </is>
      </c>
      <c r="G265" t="n">
        <v>2.3</v>
      </c>
      <c r="H265" t="n">
        <v>0</v>
      </c>
      <c r="I265" t="n">
        <v>0</v>
      </c>
      <c r="J265" t="n">
        <v>0</v>
      </c>
      <c r="K265" t="n">
        <v>0</v>
      </c>
      <c r="L265" t="n">
        <v>0</v>
      </c>
      <c r="M265" t="n">
        <v>0</v>
      </c>
      <c r="N265" t="n">
        <v>0</v>
      </c>
      <c r="O265" t="n">
        <v>0</v>
      </c>
      <c r="P265" t="n">
        <v>0</v>
      </c>
      <c r="Q265" t="n">
        <v>0</v>
      </c>
      <c r="R265" s="2" t="inlineStr"/>
    </row>
    <row r="266" ht="15" customHeight="1">
      <c r="A266" t="inlineStr">
        <is>
          <t>A 22353-2025</t>
        </is>
      </c>
      <c r="B266" s="1" t="n">
        <v>45786</v>
      </c>
      <c r="C266" s="1" t="n">
        <v>45940</v>
      </c>
      <c r="D266" t="inlineStr">
        <is>
          <t>VÄSTMANLANDS LÄN</t>
        </is>
      </c>
      <c r="E266" t="inlineStr">
        <is>
          <t>SALA</t>
        </is>
      </c>
      <c r="G266" t="n">
        <v>2.5</v>
      </c>
      <c r="H266" t="n">
        <v>0</v>
      </c>
      <c r="I266" t="n">
        <v>0</v>
      </c>
      <c r="J266" t="n">
        <v>0</v>
      </c>
      <c r="K266" t="n">
        <v>0</v>
      </c>
      <c r="L266" t="n">
        <v>0</v>
      </c>
      <c r="M266" t="n">
        <v>0</v>
      </c>
      <c r="N266" t="n">
        <v>0</v>
      </c>
      <c r="O266" t="n">
        <v>0</v>
      </c>
      <c r="P266" t="n">
        <v>0</v>
      </c>
      <c r="Q266" t="n">
        <v>0</v>
      </c>
      <c r="R266" s="2" t="inlineStr"/>
    </row>
    <row r="267" ht="15" customHeight="1">
      <c r="A267" t="inlineStr">
        <is>
          <t>A 16760-2024</t>
        </is>
      </c>
      <c r="B267" s="1" t="n">
        <v>45411</v>
      </c>
      <c r="C267" s="1" t="n">
        <v>45940</v>
      </c>
      <c r="D267" t="inlineStr">
        <is>
          <t>VÄSTMANLANDS LÄN</t>
        </is>
      </c>
      <c r="E267" t="inlineStr">
        <is>
          <t>SALA</t>
        </is>
      </c>
      <c r="G267" t="n">
        <v>2.6</v>
      </c>
      <c r="H267" t="n">
        <v>0</v>
      </c>
      <c r="I267" t="n">
        <v>0</v>
      </c>
      <c r="J267" t="n">
        <v>0</v>
      </c>
      <c r="K267" t="n">
        <v>0</v>
      </c>
      <c r="L267" t="n">
        <v>0</v>
      </c>
      <c r="M267" t="n">
        <v>0</v>
      </c>
      <c r="N267" t="n">
        <v>0</v>
      </c>
      <c r="O267" t="n">
        <v>0</v>
      </c>
      <c r="P267" t="n">
        <v>0</v>
      </c>
      <c r="Q267" t="n">
        <v>0</v>
      </c>
      <c r="R267" s="2" t="inlineStr"/>
    </row>
    <row r="268" ht="15" customHeight="1">
      <c r="A268" t="inlineStr">
        <is>
          <t>A 22383-2025</t>
        </is>
      </c>
      <c r="B268" s="1" t="n">
        <v>45786</v>
      </c>
      <c r="C268" s="1" t="n">
        <v>45940</v>
      </c>
      <c r="D268" t="inlineStr">
        <is>
          <t>VÄSTMANLANDS LÄN</t>
        </is>
      </c>
      <c r="E268" t="inlineStr">
        <is>
          <t>SALA</t>
        </is>
      </c>
      <c r="G268" t="n">
        <v>2.2</v>
      </c>
      <c r="H268" t="n">
        <v>0</v>
      </c>
      <c r="I268" t="n">
        <v>0</v>
      </c>
      <c r="J268" t="n">
        <v>0</v>
      </c>
      <c r="K268" t="n">
        <v>0</v>
      </c>
      <c r="L268" t="n">
        <v>0</v>
      </c>
      <c r="M268" t="n">
        <v>0</v>
      </c>
      <c r="N268" t="n">
        <v>0</v>
      </c>
      <c r="O268" t="n">
        <v>0</v>
      </c>
      <c r="P268" t="n">
        <v>0</v>
      </c>
      <c r="Q268" t="n">
        <v>0</v>
      </c>
      <c r="R268" s="2" t="inlineStr"/>
    </row>
    <row r="269" ht="15" customHeight="1">
      <c r="A269" t="inlineStr">
        <is>
          <t>A 22921-2023</t>
        </is>
      </c>
      <c r="B269" s="1" t="n">
        <v>45070</v>
      </c>
      <c r="C269" s="1" t="n">
        <v>45940</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13022-2023</t>
        </is>
      </c>
      <c r="B270" s="1" t="n">
        <v>45002.33291666667</v>
      </c>
      <c r="C270" s="1" t="n">
        <v>45940</v>
      </c>
      <c r="D270" t="inlineStr">
        <is>
          <t>VÄSTMANLANDS LÄN</t>
        </is>
      </c>
      <c r="E270" t="inlineStr">
        <is>
          <t>SALA</t>
        </is>
      </c>
      <c r="G270" t="n">
        <v>1.5</v>
      </c>
      <c r="H270" t="n">
        <v>0</v>
      </c>
      <c r="I270" t="n">
        <v>0</v>
      </c>
      <c r="J270" t="n">
        <v>0</v>
      </c>
      <c r="K270" t="n">
        <v>0</v>
      </c>
      <c r="L270" t="n">
        <v>0</v>
      </c>
      <c r="M270" t="n">
        <v>0</v>
      </c>
      <c r="N270" t="n">
        <v>0</v>
      </c>
      <c r="O270" t="n">
        <v>0</v>
      </c>
      <c r="P270" t="n">
        <v>0</v>
      </c>
      <c r="Q270" t="n">
        <v>0</v>
      </c>
      <c r="R270" s="2" t="inlineStr"/>
    </row>
    <row r="271" ht="15" customHeight="1">
      <c r="A271" t="inlineStr">
        <is>
          <t>A 4853-2023</t>
        </is>
      </c>
      <c r="B271" s="1" t="n">
        <v>44957.73234953704</v>
      </c>
      <c r="C271" s="1" t="n">
        <v>45940</v>
      </c>
      <c r="D271" t="inlineStr">
        <is>
          <t>VÄSTMANLANDS LÄN</t>
        </is>
      </c>
      <c r="E271" t="inlineStr">
        <is>
          <t>SALA</t>
        </is>
      </c>
      <c r="G271" t="n">
        <v>2.7</v>
      </c>
      <c r="H271" t="n">
        <v>0</v>
      </c>
      <c r="I271" t="n">
        <v>0</v>
      </c>
      <c r="J271" t="n">
        <v>0</v>
      </c>
      <c r="K271" t="n">
        <v>0</v>
      </c>
      <c r="L271" t="n">
        <v>0</v>
      </c>
      <c r="M271" t="n">
        <v>0</v>
      </c>
      <c r="N271" t="n">
        <v>0</v>
      </c>
      <c r="O271" t="n">
        <v>0</v>
      </c>
      <c r="P271" t="n">
        <v>0</v>
      </c>
      <c r="Q271" t="n">
        <v>0</v>
      </c>
      <c r="R271" s="2" t="inlineStr"/>
    </row>
    <row r="272" ht="15" customHeight="1">
      <c r="A272" t="inlineStr">
        <is>
          <t>A 12246-2023</t>
        </is>
      </c>
      <c r="B272" s="1" t="n">
        <v>44995</v>
      </c>
      <c r="C272" s="1" t="n">
        <v>45940</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6127-2025</t>
        </is>
      </c>
      <c r="B273" s="1" t="n">
        <v>45698</v>
      </c>
      <c r="C273" s="1" t="n">
        <v>45940</v>
      </c>
      <c r="D273" t="inlineStr">
        <is>
          <t>VÄSTMANLANDS LÄN</t>
        </is>
      </c>
      <c r="E273" t="inlineStr">
        <is>
          <t>SALA</t>
        </is>
      </c>
      <c r="F273" t="inlineStr">
        <is>
          <t>Bergvik skog öst AB</t>
        </is>
      </c>
      <c r="G273" t="n">
        <v>4.3</v>
      </c>
      <c r="H273" t="n">
        <v>0</v>
      </c>
      <c r="I273" t="n">
        <v>0</v>
      </c>
      <c r="J273" t="n">
        <v>0</v>
      </c>
      <c r="K273" t="n">
        <v>0</v>
      </c>
      <c r="L273" t="n">
        <v>0</v>
      </c>
      <c r="M273" t="n">
        <v>0</v>
      </c>
      <c r="N273" t="n">
        <v>0</v>
      </c>
      <c r="O273" t="n">
        <v>0</v>
      </c>
      <c r="P273" t="n">
        <v>0</v>
      </c>
      <c r="Q273" t="n">
        <v>0</v>
      </c>
      <c r="R273" s="2" t="inlineStr"/>
    </row>
    <row r="274" ht="15" customHeight="1">
      <c r="A274" t="inlineStr">
        <is>
          <t>A 36858-2023</t>
        </is>
      </c>
      <c r="B274" s="1" t="n">
        <v>45154.55184027777</v>
      </c>
      <c r="C274" s="1" t="n">
        <v>45940</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22624-2025</t>
        </is>
      </c>
      <c r="B275" s="1" t="n">
        <v>45789.43327546296</v>
      </c>
      <c r="C275" s="1" t="n">
        <v>45940</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55024-2023</t>
        </is>
      </c>
      <c r="B276" s="1" t="n">
        <v>45229</v>
      </c>
      <c r="C276" s="1" t="n">
        <v>45940</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55032-2023</t>
        </is>
      </c>
      <c r="B277" s="1" t="n">
        <v>45229</v>
      </c>
      <c r="C277" s="1" t="n">
        <v>45940</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988-2025</t>
        </is>
      </c>
      <c r="B278" s="1" t="n">
        <v>45666.44038194444</v>
      </c>
      <c r="C278" s="1" t="n">
        <v>45940</v>
      </c>
      <c r="D278" t="inlineStr">
        <is>
          <t>VÄSTMANLANDS LÄN</t>
        </is>
      </c>
      <c r="E278" t="inlineStr">
        <is>
          <t>SALA</t>
        </is>
      </c>
      <c r="G278" t="n">
        <v>1.3</v>
      </c>
      <c r="H278" t="n">
        <v>0</v>
      </c>
      <c r="I278" t="n">
        <v>0</v>
      </c>
      <c r="J278" t="n">
        <v>0</v>
      </c>
      <c r="K278" t="n">
        <v>0</v>
      </c>
      <c r="L278" t="n">
        <v>0</v>
      </c>
      <c r="M278" t="n">
        <v>0</v>
      </c>
      <c r="N278" t="n">
        <v>0</v>
      </c>
      <c r="O278" t="n">
        <v>0</v>
      </c>
      <c r="P278" t="n">
        <v>0</v>
      </c>
      <c r="Q278" t="n">
        <v>0</v>
      </c>
      <c r="R278" s="2" t="inlineStr"/>
    </row>
    <row r="279" ht="15" customHeight="1">
      <c r="A279" t="inlineStr">
        <is>
          <t>A 60328-2024</t>
        </is>
      </c>
      <c r="B279" s="1" t="n">
        <v>45643.38416666666</v>
      </c>
      <c r="C279" s="1" t="n">
        <v>45940</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20352-2022</t>
        </is>
      </c>
      <c r="B280" s="1" t="n">
        <v>44699.37318287037</v>
      </c>
      <c r="C280" s="1" t="n">
        <v>45940</v>
      </c>
      <c r="D280" t="inlineStr">
        <is>
          <t>VÄSTMANLANDS LÄN</t>
        </is>
      </c>
      <c r="E280" t="inlineStr">
        <is>
          <t>SALA</t>
        </is>
      </c>
      <c r="G280" t="n">
        <v>1.3</v>
      </c>
      <c r="H280" t="n">
        <v>0</v>
      </c>
      <c r="I280" t="n">
        <v>0</v>
      </c>
      <c r="J280" t="n">
        <v>0</v>
      </c>
      <c r="K280" t="n">
        <v>0</v>
      </c>
      <c r="L280" t="n">
        <v>0</v>
      </c>
      <c r="M280" t="n">
        <v>0</v>
      </c>
      <c r="N280" t="n">
        <v>0</v>
      </c>
      <c r="O280" t="n">
        <v>0</v>
      </c>
      <c r="P280" t="n">
        <v>0</v>
      </c>
      <c r="Q280" t="n">
        <v>0</v>
      </c>
      <c r="R280" s="2" t="inlineStr"/>
    </row>
    <row r="281" ht="15" customHeight="1">
      <c r="A281" t="inlineStr">
        <is>
          <t>A 22370-2025</t>
        </is>
      </c>
      <c r="B281" s="1" t="n">
        <v>45786</v>
      </c>
      <c r="C281" s="1" t="n">
        <v>45940</v>
      </c>
      <c r="D281" t="inlineStr">
        <is>
          <t>VÄSTMANLANDS LÄN</t>
        </is>
      </c>
      <c r="E281" t="inlineStr">
        <is>
          <t>SALA</t>
        </is>
      </c>
      <c r="G281" t="n">
        <v>3.2</v>
      </c>
      <c r="H281" t="n">
        <v>0</v>
      </c>
      <c r="I281" t="n">
        <v>0</v>
      </c>
      <c r="J281" t="n">
        <v>0</v>
      </c>
      <c r="K281" t="n">
        <v>0</v>
      </c>
      <c r="L281" t="n">
        <v>0</v>
      </c>
      <c r="M281" t="n">
        <v>0</v>
      </c>
      <c r="N281" t="n">
        <v>0</v>
      </c>
      <c r="O281" t="n">
        <v>0</v>
      </c>
      <c r="P281" t="n">
        <v>0</v>
      </c>
      <c r="Q281" t="n">
        <v>0</v>
      </c>
      <c r="R281" s="2" t="inlineStr"/>
    </row>
    <row r="282" ht="15" customHeight="1">
      <c r="A282" t="inlineStr">
        <is>
          <t>A 35016-2024</t>
        </is>
      </c>
      <c r="B282" s="1" t="n">
        <v>45527.59115740741</v>
      </c>
      <c r="C282" s="1" t="n">
        <v>45940</v>
      </c>
      <c r="D282" t="inlineStr">
        <is>
          <t>VÄSTMANLANDS LÄN</t>
        </is>
      </c>
      <c r="E282" t="inlineStr">
        <is>
          <t>SALA</t>
        </is>
      </c>
      <c r="G282" t="n">
        <v>0.4</v>
      </c>
      <c r="H282" t="n">
        <v>0</v>
      </c>
      <c r="I282" t="n">
        <v>0</v>
      </c>
      <c r="J282" t="n">
        <v>0</v>
      </c>
      <c r="K282" t="n">
        <v>0</v>
      </c>
      <c r="L282" t="n">
        <v>0</v>
      </c>
      <c r="M282" t="n">
        <v>0</v>
      </c>
      <c r="N282" t="n">
        <v>0</v>
      </c>
      <c r="O282" t="n">
        <v>0</v>
      </c>
      <c r="P282" t="n">
        <v>0</v>
      </c>
      <c r="Q282" t="n">
        <v>0</v>
      </c>
      <c r="R282" s="2" t="inlineStr"/>
    </row>
    <row r="283" ht="15" customHeight="1">
      <c r="A283" t="inlineStr">
        <is>
          <t>A 5032-2025</t>
        </is>
      </c>
      <c r="B283" s="1" t="n">
        <v>45691</v>
      </c>
      <c r="C283" s="1" t="n">
        <v>45940</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25897-2024</t>
        </is>
      </c>
      <c r="B284" s="1" t="n">
        <v>45467.54435185185</v>
      </c>
      <c r="C284" s="1" t="n">
        <v>45940</v>
      </c>
      <c r="D284" t="inlineStr">
        <is>
          <t>VÄSTMANLANDS LÄN</t>
        </is>
      </c>
      <c r="E284" t="inlineStr">
        <is>
          <t>SALA</t>
        </is>
      </c>
      <c r="G284" t="n">
        <v>9.9</v>
      </c>
      <c r="H284" t="n">
        <v>0</v>
      </c>
      <c r="I284" t="n">
        <v>0</v>
      </c>
      <c r="J284" t="n">
        <v>0</v>
      </c>
      <c r="K284" t="n">
        <v>0</v>
      </c>
      <c r="L284" t="n">
        <v>0</v>
      </c>
      <c r="M284" t="n">
        <v>0</v>
      </c>
      <c r="N284" t="n">
        <v>0</v>
      </c>
      <c r="O284" t="n">
        <v>0</v>
      </c>
      <c r="P284" t="n">
        <v>0</v>
      </c>
      <c r="Q284" t="n">
        <v>0</v>
      </c>
      <c r="R284" s="2" t="inlineStr"/>
    </row>
    <row r="285" ht="15" customHeight="1">
      <c r="A285" t="inlineStr">
        <is>
          <t>A 31072-2021</t>
        </is>
      </c>
      <c r="B285" s="1" t="n">
        <v>44368</v>
      </c>
      <c r="C285" s="1" t="n">
        <v>45940</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42447-2022</t>
        </is>
      </c>
      <c r="B286" s="1" t="n">
        <v>44831</v>
      </c>
      <c r="C286" s="1" t="n">
        <v>45940</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17117-2023</t>
        </is>
      </c>
      <c r="B287" s="1" t="n">
        <v>45034</v>
      </c>
      <c r="C287" s="1" t="n">
        <v>45940</v>
      </c>
      <c r="D287" t="inlineStr">
        <is>
          <t>VÄSTMANLANDS LÄN</t>
        </is>
      </c>
      <c r="E287" t="inlineStr">
        <is>
          <t>SALA</t>
        </is>
      </c>
      <c r="G287" t="n">
        <v>0.4</v>
      </c>
      <c r="H287" t="n">
        <v>0</v>
      </c>
      <c r="I287" t="n">
        <v>0</v>
      </c>
      <c r="J287" t="n">
        <v>0</v>
      </c>
      <c r="K287" t="n">
        <v>0</v>
      </c>
      <c r="L287" t="n">
        <v>0</v>
      </c>
      <c r="M287" t="n">
        <v>0</v>
      </c>
      <c r="N287" t="n">
        <v>0</v>
      </c>
      <c r="O287" t="n">
        <v>0</v>
      </c>
      <c r="P287" t="n">
        <v>0</v>
      </c>
      <c r="Q287" t="n">
        <v>0</v>
      </c>
      <c r="R287" s="2" t="inlineStr"/>
    </row>
    <row r="288" ht="15" customHeight="1">
      <c r="A288" t="inlineStr">
        <is>
          <t>A 13130-2025</t>
        </is>
      </c>
      <c r="B288" s="1" t="n">
        <v>45734</v>
      </c>
      <c r="C288" s="1" t="n">
        <v>45940</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33732-2023</t>
        </is>
      </c>
      <c r="B289" s="1" t="n">
        <v>45133.32409722222</v>
      </c>
      <c r="C289" s="1" t="n">
        <v>45940</v>
      </c>
      <c r="D289" t="inlineStr">
        <is>
          <t>VÄSTMANLANDS LÄN</t>
        </is>
      </c>
      <c r="E289" t="inlineStr">
        <is>
          <t>SALA</t>
        </is>
      </c>
      <c r="G289" t="n">
        <v>2</v>
      </c>
      <c r="H289" t="n">
        <v>0</v>
      </c>
      <c r="I289" t="n">
        <v>0</v>
      </c>
      <c r="J289" t="n">
        <v>0</v>
      </c>
      <c r="K289" t="n">
        <v>0</v>
      </c>
      <c r="L289" t="n">
        <v>0</v>
      </c>
      <c r="M289" t="n">
        <v>0</v>
      </c>
      <c r="N289" t="n">
        <v>0</v>
      </c>
      <c r="O289" t="n">
        <v>0</v>
      </c>
      <c r="P289" t="n">
        <v>0</v>
      </c>
      <c r="Q289" t="n">
        <v>0</v>
      </c>
      <c r="R289" s="2" t="inlineStr"/>
    </row>
    <row r="290" ht="15" customHeight="1">
      <c r="A290" t="inlineStr">
        <is>
          <t>A 57371-2022</t>
        </is>
      </c>
      <c r="B290" s="1" t="n">
        <v>44896.43832175926</v>
      </c>
      <c r="C290" s="1" t="n">
        <v>45940</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59909-2024</t>
        </is>
      </c>
      <c r="B291" s="1" t="n">
        <v>45641</v>
      </c>
      <c r="C291" s="1" t="n">
        <v>45940</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22019-2021</t>
        </is>
      </c>
      <c r="B292" s="1" t="n">
        <v>44323</v>
      </c>
      <c r="C292" s="1" t="n">
        <v>45940</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41292-2021</t>
        </is>
      </c>
      <c r="B293" s="1" t="n">
        <v>44424</v>
      </c>
      <c r="C293" s="1" t="n">
        <v>45940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19243-2025</t>
        </is>
      </c>
      <c r="B294" s="1" t="n">
        <v>45769</v>
      </c>
      <c r="C294" s="1" t="n">
        <v>45940</v>
      </c>
      <c r="D294" t="inlineStr">
        <is>
          <t>VÄSTMANLANDS LÄN</t>
        </is>
      </c>
      <c r="E294" t="inlineStr">
        <is>
          <t>SALA</t>
        </is>
      </c>
      <c r="F294" t="inlineStr">
        <is>
          <t>Bergvik skog öst AB</t>
        </is>
      </c>
      <c r="G294" t="n">
        <v>1.5</v>
      </c>
      <c r="H294" t="n">
        <v>0</v>
      </c>
      <c r="I294" t="n">
        <v>0</v>
      </c>
      <c r="J294" t="n">
        <v>0</v>
      </c>
      <c r="K294" t="n">
        <v>0</v>
      </c>
      <c r="L294" t="n">
        <v>0</v>
      </c>
      <c r="M294" t="n">
        <v>0</v>
      </c>
      <c r="N294" t="n">
        <v>0</v>
      </c>
      <c r="O294" t="n">
        <v>0</v>
      </c>
      <c r="P294" t="n">
        <v>0</v>
      </c>
      <c r="Q294" t="n">
        <v>0</v>
      </c>
      <c r="R294" s="2" t="inlineStr"/>
    </row>
    <row r="295" ht="15" customHeight="1">
      <c r="A295" t="inlineStr">
        <is>
          <t>A 55784-2024</t>
        </is>
      </c>
      <c r="B295" s="1" t="n">
        <v>45623</v>
      </c>
      <c r="C295" s="1" t="n">
        <v>45940</v>
      </c>
      <c r="D295" t="inlineStr">
        <is>
          <t>VÄSTMANLANDS LÄN</t>
        </is>
      </c>
      <c r="E295" t="inlineStr">
        <is>
          <t>SALA</t>
        </is>
      </c>
      <c r="F295" t="inlineStr">
        <is>
          <t>Bergvik skog öst AB</t>
        </is>
      </c>
      <c r="G295" t="n">
        <v>28.4</v>
      </c>
      <c r="H295" t="n">
        <v>0</v>
      </c>
      <c r="I295" t="n">
        <v>0</v>
      </c>
      <c r="J295" t="n">
        <v>0</v>
      </c>
      <c r="K295" t="n">
        <v>0</v>
      </c>
      <c r="L295" t="n">
        <v>0</v>
      </c>
      <c r="M295" t="n">
        <v>0</v>
      </c>
      <c r="N295" t="n">
        <v>0</v>
      </c>
      <c r="O295" t="n">
        <v>0</v>
      </c>
      <c r="P295" t="n">
        <v>0</v>
      </c>
      <c r="Q295" t="n">
        <v>0</v>
      </c>
      <c r="R295" s="2" t="inlineStr"/>
    </row>
    <row r="296" ht="15" customHeight="1">
      <c r="A296" t="inlineStr">
        <is>
          <t>A 16651-2021</t>
        </is>
      </c>
      <c r="B296" s="1" t="n">
        <v>44294.50096064815</v>
      </c>
      <c r="C296" s="1" t="n">
        <v>45940</v>
      </c>
      <c r="D296" t="inlineStr">
        <is>
          <t>VÄSTMANLANDS LÄN</t>
        </is>
      </c>
      <c r="E296" t="inlineStr">
        <is>
          <t>SALA</t>
        </is>
      </c>
      <c r="G296" t="n">
        <v>7.7</v>
      </c>
      <c r="H296" t="n">
        <v>0</v>
      </c>
      <c r="I296" t="n">
        <v>0</v>
      </c>
      <c r="J296" t="n">
        <v>0</v>
      </c>
      <c r="K296" t="n">
        <v>0</v>
      </c>
      <c r="L296" t="n">
        <v>0</v>
      </c>
      <c r="M296" t="n">
        <v>0</v>
      </c>
      <c r="N296" t="n">
        <v>0</v>
      </c>
      <c r="O296" t="n">
        <v>0</v>
      </c>
      <c r="P296" t="n">
        <v>0</v>
      </c>
      <c r="Q296" t="n">
        <v>0</v>
      </c>
      <c r="R296" s="2" t="inlineStr"/>
    </row>
    <row r="297" ht="15" customHeight="1">
      <c r="A297" t="inlineStr">
        <is>
          <t>A 23804-2025</t>
        </is>
      </c>
      <c r="B297" s="1" t="n">
        <v>45793.55995370371</v>
      </c>
      <c r="C297" s="1" t="n">
        <v>45940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22126-2025</t>
        </is>
      </c>
      <c r="B298" s="1" t="n">
        <v>45785</v>
      </c>
      <c r="C298" s="1" t="n">
        <v>45940</v>
      </c>
      <c r="D298" t="inlineStr">
        <is>
          <t>VÄSTMANLANDS LÄN</t>
        </is>
      </c>
      <c r="E298" t="inlineStr">
        <is>
          <t>SALA</t>
        </is>
      </c>
      <c r="G298" t="n">
        <v>10.6</v>
      </c>
      <c r="H298" t="n">
        <v>0</v>
      </c>
      <c r="I298" t="n">
        <v>0</v>
      </c>
      <c r="J298" t="n">
        <v>0</v>
      </c>
      <c r="K298" t="n">
        <v>0</v>
      </c>
      <c r="L298" t="n">
        <v>0</v>
      </c>
      <c r="M298" t="n">
        <v>0</v>
      </c>
      <c r="N298" t="n">
        <v>0</v>
      </c>
      <c r="O298" t="n">
        <v>0</v>
      </c>
      <c r="P298" t="n">
        <v>0</v>
      </c>
      <c r="Q298" t="n">
        <v>0</v>
      </c>
      <c r="R298" s="2" t="inlineStr"/>
    </row>
    <row r="299" ht="15" customHeight="1">
      <c r="A299" t="inlineStr">
        <is>
          <t>A 19297-2025</t>
        </is>
      </c>
      <c r="B299" s="1" t="n">
        <v>45769.56261574074</v>
      </c>
      <c r="C299" s="1" t="n">
        <v>45940</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23810-2025</t>
        </is>
      </c>
      <c r="B300" s="1" t="n">
        <v>45793.56989583333</v>
      </c>
      <c r="C300" s="1" t="n">
        <v>45940</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19803-2024</t>
        </is>
      </c>
      <c r="B301" s="1" t="n">
        <v>45432</v>
      </c>
      <c r="C301" s="1" t="n">
        <v>45940</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51464-2024</t>
        </is>
      </c>
      <c r="B302" s="1" t="n">
        <v>45604.49768518518</v>
      </c>
      <c r="C302" s="1" t="n">
        <v>45940</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54603-2024</t>
        </is>
      </c>
      <c r="B303" s="1" t="n">
        <v>45617.68224537037</v>
      </c>
      <c r="C303" s="1" t="n">
        <v>45940</v>
      </c>
      <c r="D303" t="inlineStr">
        <is>
          <t>VÄSTMANLANDS LÄN</t>
        </is>
      </c>
      <c r="E303" t="inlineStr">
        <is>
          <t>SALA</t>
        </is>
      </c>
      <c r="G303" t="n">
        <v>1</v>
      </c>
      <c r="H303" t="n">
        <v>0</v>
      </c>
      <c r="I303" t="n">
        <v>0</v>
      </c>
      <c r="J303" t="n">
        <v>0</v>
      </c>
      <c r="K303" t="n">
        <v>0</v>
      </c>
      <c r="L303" t="n">
        <v>0</v>
      </c>
      <c r="M303" t="n">
        <v>0</v>
      </c>
      <c r="N303" t="n">
        <v>0</v>
      </c>
      <c r="O303" t="n">
        <v>0</v>
      </c>
      <c r="P303" t="n">
        <v>0</v>
      </c>
      <c r="Q303" t="n">
        <v>0</v>
      </c>
      <c r="R303" s="2" t="inlineStr"/>
    </row>
    <row r="304" ht="15" customHeight="1">
      <c r="A304" t="inlineStr">
        <is>
          <t>A 69232-2021</t>
        </is>
      </c>
      <c r="B304" s="1" t="n">
        <v>44531.39696759259</v>
      </c>
      <c r="C304" s="1" t="n">
        <v>45940</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7196-2025</t>
        </is>
      </c>
      <c r="B305" s="1" t="n">
        <v>45702</v>
      </c>
      <c r="C305" s="1" t="n">
        <v>45940</v>
      </c>
      <c r="D305" t="inlineStr">
        <is>
          <t>VÄSTMANLANDS LÄN</t>
        </is>
      </c>
      <c r="E305" t="inlineStr">
        <is>
          <t>SALA</t>
        </is>
      </c>
      <c r="G305" t="n">
        <v>1.3</v>
      </c>
      <c r="H305" t="n">
        <v>0</v>
      </c>
      <c r="I305" t="n">
        <v>0</v>
      </c>
      <c r="J305" t="n">
        <v>0</v>
      </c>
      <c r="K305" t="n">
        <v>0</v>
      </c>
      <c r="L305" t="n">
        <v>0</v>
      </c>
      <c r="M305" t="n">
        <v>0</v>
      </c>
      <c r="N305" t="n">
        <v>0</v>
      </c>
      <c r="O305" t="n">
        <v>0</v>
      </c>
      <c r="P305" t="n">
        <v>0</v>
      </c>
      <c r="Q305" t="n">
        <v>0</v>
      </c>
      <c r="R305" s="2" t="inlineStr"/>
    </row>
    <row r="306" ht="15" customHeight="1">
      <c r="A306" t="inlineStr">
        <is>
          <t>A 40597-2022</t>
        </is>
      </c>
      <c r="B306" s="1" t="n">
        <v>44823.84862268518</v>
      </c>
      <c r="C306" s="1" t="n">
        <v>45940</v>
      </c>
      <c r="D306" t="inlineStr">
        <is>
          <t>VÄSTMANLANDS LÄN</t>
        </is>
      </c>
      <c r="E306" t="inlineStr">
        <is>
          <t>SALA</t>
        </is>
      </c>
      <c r="G306" t="n">
        <v>3.5</v>
      </c>
      <c r="H306" t="n">
        <v>0</v>
      </c>
      <c r="I306" t="n">
        <v>0</v>
      </c>
      <c r="J306" t="n">
        <v>0</v>
      </c>
      <c r="K306" t="n">
        <v>0</v>
      </c>
      <c r="L306" t="n">
        <v>0</v>
      </c>
      <c r="M306" t="n">
        <v>0</v>
      </c>
      <c r="N306" t="n">
        <v>0</v>
      </c>
      <c r="O306" t="n">
        <v>0</v>
      </c>
      <c r="P306" t="n">
        <v>0</v>
      </c>
      <c r="Q306" t="n">
        <v>0</v>
      </c>
      <c r="R306" s="2" t="inlineStr"/>
    </row>
    <row r="307" ht="15" customHeight="1">
      <c r="A307" t="inlineStr">
        <is>
          <t>A 24169-2025</t>
        </is>
      </c>
      <c r="B307" s="1" t="n">
        <v>45796</v>
      </c>
      <c r="C307" s="1" t="n">
        <v>45940</v>
      </c>
      <c r="D307" t="inlineStr">
        <is>
          <t>VÄSTMANLANDS LÄN</t>
        </is>
      </c>
      <c r="E307" t="inlineStr">
        <is>
          <t>SALA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11210-2025</t>
        </is>
      </c>
      <c r="B308" s="1" t="n">
        <v>45726</v>
      </c>
      <c r="C308" s="1" t="n">
        <v>45940</v>
      </c>
      <c r="D308" t="inlineStr">
        <is>
          <t>VÄSTMANLANDS LÄN</t>
        </is>
      </c>
      <c r="E308" t="inlineStr">
        <is>
          <t>SALA</t>
        </is>
      </c>
      <c r="G308" t="n">
        <v>4.1</v>
      </c>
      <c r="H308" t="n">
        <v>0</v>
      </c>
      <c r="I308" t="n">
        <v>0</v>
      </c>
      <c r="J308" t="n">
        <v>0</v>
      </c>
      <c r="K308" t="n">
        <v>0</v>
      </c>
      <c r="L308" t="n">
        <v>0</v>
      </c>
      <c r="M308" t="n">
        <v>0</v>
      </c>
      <c r="N308" t="n">
        <v>0</v>
      </c>
      <c r="O308" t="n">
        <v>0</v>
      </c>
      <c r="P308" t="n">
        <v>0</v>
      </c>
      <c r="Q308" t="n">
        <v>0</v>
      </c>
      <c r="R308" s="2" t="inlineStr"/>
    </row>
    <row r="309" ht="15" customHeight="1">
      <c r="A309" t="inlineStr">
        <is>
          <t>A 19398-2025</t>
        </is>
      </c>
      <c r="B309" s="1" t="n">
        <v>45769</v>
      </c>
      <c r="C309" s="1" t="n">
        <v>45940</v>
      </c>
      <c r="D309" t="inlineStr">
        <is>
          <t>VÄSTMANLANDS LÄN</t>
        </is>
      </c>
      <c r="E309" t="inlineStr">
        <is>
          <t>SALA</t>
        </is>
      </c>
      <c r="G309" t="n">
        <v>0.4</v>
      </c>
      <c r="H309" t="n">
        <v>0</v>
      </c>
      <c r="I309" t="n">
        <v>0</v>
      </c>
      <c r="J309" t="n">
        <v>0</v>
      </c>
      <c r="K309" t="n">
        <v>0</v>
      </c>
      <c r="L309" t="n">
        <v>0</v>
      </c>
      <c r="M309" t="n">
        <v>0</v>
      </c>
      <c r="N309" t="n">
        <v>0</v>
      </c>
      <c r="O309" t="n">
        <v>0</v>
      </c>
      <c r="P309" t="n">
        <v>0</v>
      </c>
      <c r="Q309" t="n">
        <v>0</v>
      </c>
      <c r="R309" s="2" t="inlineStr"/>
    </row>
    <row r="310" ht="15" customHeight="1">
      <c r="A310" t="inlineStr">
        <is>
          <t>A 7166-2025</t>
        </is>
      </c>
      <c r="B310" s="1" t="n">
        <v>45702</v>
      </c>
      <c r="C310" s="1" t="n">
        <v>45940</v>
      </c>
      <c r="D310" t="inlineStr">
        <is>
          <t>VÄSTMANLANDS LÄN</t>
        </is>
      </c>
      <c r="E310" t="inlineStr">
        <is>
          <t>SALA</t>
        </is>
      </c>
      <c r="G310" t="n">
        <v>6.1</v>
      </c>
      <c r="H310" t="n">
        <v>0</v>
      </c>
      <c r="I310" t="n">
        <v>0</v>
      </c>
      <c r="J310" t="n">
        <v>0</v>
      </c>
      <c r="K310" t="n">
        <v>0</v>
      </c>
      <c r="L310" t="n">
        <v>0</v>
      </c>
      <c r="M310" t="n">
        <v>0</v>
      </c>
      <c r="N310" t="n">
        <v>0</v>
      </c>
      <c r="O310" t="n">
        <v>0</v>
      </c>
      <c r="P310" t="n">
        <v>0</v>
      </c>
      <c r="Q310" t="n">
        <v>0</v>
      </c>
      <c r="R310" s="2" t="inlineStr"/>
    </row>
    <row r="311" ht="15" customHeight="1">
      <c r="A311" t="inlineStr">
        <is>
          <t>A 36393-2023</t>
        </is>
      </c>
      <c r="B311" s="1" t="n">
        <v>45152</v>
      </c>
      <c r="C311" s="1" t="n">
        <v>45940</v>
      </c>
      <c r="D311" t="inlineStr">
        <is>
          <t>VÄSTMANLANDS LÄN</t>
        </is>
      </c>
      <c r="E311" t="inlineStr">
        <is>
          <t>SALA</t>
        </is>
      </c>
      <c r="G311" t="n">
        <v>0.9</v>
      </c>
      <c r="H311" t="n">
        <v>0</v>
      </c>
      <c r="I311" t="n">
        <v>0</v>
      </c>
      <c r="J311" t="n">
        <v>0</v>
      </c>
      <c r="K311" t="n">
        <v>0</v>
      </c>
      <c r="L311" t="n">
        <v>0</v>
      </c>
      <c r="M311" t="n">
        <v>0</v>
      </c>
      <c r="N311" t="n">
        <v>0</v>
      </c>
      <c r="O311" t="n">
        <v>0</v>
      </c>
      <c r="P311" t="n">
        <v>0</v>
      </c>
      <c r="Q311" t="n">
        <v>0</v>
      </c>
      <c r="R311" s="2" t="inlineStr"/>
    </row>
    <row r="312" ht="15" customHeight="1">
      <c r="A312" t="inlineStr">
        <is>
          <t>A 26416-2023</t>
        </is>
      </c>
      <c r="B312" s="1" t="n">
        <v>45092.38087962963</v>
      </c>
      <c r="C312" s="1" t="n">
        <v>45940</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4797-2023</t>
        </is>
      </c>
      <c r="B313" s="1" t="n">
        <v>44957</v>
      </c>
      <c r="C313" s="1" t="n">
        <v>45940</v>
      </c>
      <c r="D313" t="inlineStr">
        <is>
          <t>VÄSTMANLANDS LÄN</t>
        </is>
      </c>
      <c r="E313" t="inlineStr">
        <is>
          <t>SALA</t>
        </is>
      </c>
      <c r="G313" t="n">
        <v>5.7</v>
      </c>
      <c r="H313" t="n">
        <v>0</v>
      </c>
      <c r="I313" t="n">
        <v>0</v>
      </c>
      <c r="J313" t="n">
        <v>0</v>
      </c>
      <c r="K313" t="n">
        <v>0</v>
      </c>
      <c r="L313" t="n">
        <v>0</v>
      </c>
      <c r="M313" t="n">
        <v>0</v>
      </c>
      <c r="N313" t="n">
        <v>0</v>
      </c>
      <c r="O313" t="n">
        <v>0</v>
      </c>
      <c r="P313" t="n">
        <v>0</v>
      </c>
      <c r="Q313" t="n">
        <v>0</v>
      </c>
      <c r="R313" s="2" t="inlineStr"/>
    </row>
    <row r="314" ht="15" customHeight="1">
      <c r="A314" t="inlineStr">
        <is>
          <t>A 24944-2023</t>
        </is>
      </c>
      <c r="B314" s="1" t="n">
        <v>45085</v>
      </c>
      <c r="C314" s="1" t="n">
        <v>45940</v>
      </c>
      <c r="D314" t="inlineStr">
        <is>
          <t>VÄSTMANLANDS LÄN</t>
        </is>
      </c>
      <c r="E314" t="inlineStr">
        <is>
          <t>SALA</t>
        </is>
      </c>
      <c r="G314" t="n">
        <v>3.8</v>
      </c>
      <c r="H314" t="n">
        <v>0</v>
      </c>
      <c r="I314" t="n">
        <v>0</v>
      </c>
      <c r="J314" t="n">
        <v>0</v>
      </c>
      <c r="K314" t="n">
        <v>0</v>
      </c>
      <c r="L314" t="n">
        <v>0</v>
      </c>
      <c r="M314" t="n">
        <v>0</v>
      </c>
      <c r="N314" t="n">
        <v>0</v>
      </c>
      <c r="O314" t="n">
        <v>0</v>
      </c>
      <c r="P314" t="n">
        <v>0</v>
      </c>
      <c r="Q314" t="n">
        <v>0</v>
      </c>
      <c r="R314" s="2" t="inlineStr"/>
    </row>
    <row r="315" ht="15" customHeight="1">
      <c r="A315" t="inlineStr">
        <is>
          <t>A 61517-2024</t>
        </is>
      </c>
      <c r="B315" s="1" t="n">
        <v>45645</v>
      </c>
      <c r="C315" s="1" t="n">
        <v>45940</v>
      </c>
      <c r="D315" t="inlineStr">
        <is>
          <t>VÄSTMANLANDS LÄN</t>
        </is>
      </c>
      <c r="E315" t="inlineStr">
        <is>
          <t>SALA</t>
        </is>
      </c>
      <c r="G315" t="n">
        <v>0.6</v>
      </c>
      <c r="H315" t="n">
        <v>0</v>
      </c>
      <c r="I315" t="n">
        <v>0</v>
      </c>
      <c r="J315" t="n">
        <v>0</v>
      </c>
      <c r="K315" t="n">
        <v>0</v>
      </c>
      <c r="L315" t="n">
        <v>0</v>
      </c>
      <c r="M315" t="n">
        <v>0</v>
      </c>
      <c r="N315" t="n">
        <v>0</v>
      </c>
      <c r="O315" t="n">
        <v>0</v>
      </c>
      <c r="P315" t="n">
        <v>0</v>
      </c>
      <c r="Q315" t="n">
        <v>0</v>
      </c>
      <c r="R315" s="2" t="inlineStr"/>
    </row>
    <row r="316" ht="15" customHeight="1">
      <c r="A316" t="inlineStr">
        <is>
          <t>A 64925-2023</t>
        </is>
      </c>
      <c r="B316" s="1" t="n">
        <v>45282</v>
      </c>
      <c r="C316" s="1" t="n">
        <v>45940</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1638-2023</t>
        </is>
      </c>
      <c r="B317" s="1" t="n">
        <v>44937</v>
      </c>
      <c r="C317" s="1" t="n">
        <v>45940</v>
      </c>
      <c r="D317" t="inlineStr">
        <is>
          <t>VÄSTMANLANDS LÄN</t>
        </is>
      </c>
      <c r="E317" t="inlineStr">
        <is>
          <t>SALA</t>
        </is>
      </c>
      <c r="G317" t="n">
        <v>3.1</v>
      </c>
      <c r="H317" t="n">
        <v>0</v>
      </c>
      <c r="I317" t="n">
        <v>0</v>
      </c>
      <c r="J317" t="n">
        <v>0</v>
      </c>
      <c r="K317" t="n">
        <v>0</v>
      </c>
      <c r="L317" t="n">
        <v>0</v>
      </c>
      <c r="M317" t="n">
        <v>0</v>
      </c>
      <c r="N317" t="n">
        <v>0</v>
      </c>
      <c r="O317" t="n">
        <v>0</v>
      </c>
      <c r="P317" t="n">
        <v>0</v>
      </c>
      <c r="Q317" t="n">
        <v>0</v>
      </c>
      <c r="R317" s="2" t="inlineStr"/>
    </row>
    <row r="318" ht="15" customHeight="1">
      <c r="A318" t="inlineStr">
        <is>
          <t>A 23406-2024</t>
        </is>
      </c>
      <c r="B318" s="1" t="n">
        <v>45453.58296296297</v>
      </c>
      <c r="C318" s="1" t="n">
        <v>45940</v>
      </c>
      <c r="D318" t="inlineStr">
        <is>
          <t>VÄSTMANLANDS LÄN</t>
        </is>
      </c>
      <c r="E318" t="inlineStr">
        <is>
          <t>SALA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66821-2020</t>
        </is>
      </c>
      <c r="B319" s="1" t="n">
        <v>44179.88008101852</v>
      </c>
      <c r="C319" s="1" t="n">
        <v>45940</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28661-2024</t>
        </is>
      </c>
      <c r="B320" s="1" t="n">
        <v>45478</v>
      </c>
      <c r="C320" s="1" t="n">
        <v>45940</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16133-2025</t>
        </is>
      </c>
      <c r="B321" s="1" t="n">
        <v>45750</v>
      </c>
      <c r="C321" s="1" t="n">
        <v>45940</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15099-2025</t>
        </is>
      </c>
      <c r="B322" s="1" t="n">
        <v>45744.3434837963</v>
      </c>
      <c r="C322" s="1" t="n">
        <v>45940</v>
      </c>
      <c r="D322" t="inlineStr">
        <is>
          <t>VÄSTMANLANDS LÄN</t>
        </is>
      </c>
      <c r="E322" t="inlineStr">
        <is>
          <t>SALA</t>
        </is>
      </c>
      <c r="F322" t="inlineStr">
        <is>
          <t>Sveaskog</t>
        </is>
      </c>
      <c r="G322" t="n">
        <v>14.4</v>
      </c>
      <c r="H322" t="n">
        <v>0</v>
      </c>
      <c r="I322" t="n">
        <v>0</v>
      </c>
      <c r="J322" t="n">
        <v>0</v>
      </c>
      <c r="K322" t="n">
        <v>0</v>
      </c>
      <c r="L322" t="n">
        <v>0</v>
      </c>
      <c r="M322" t="n">
        <v>0</v>
      </c>
      <c r="N322" t="n">
        <v>0</v>
      </c>
      <c r="O322" t="n">
        <v>0</v>
      </c>
      <c r="P322" t="n">
        <v>0</v>
      </c>
      <c r="Q322" t="n">
        <v>0</v>
      </c>
      <c r="R322" s="2" t="inlineStr"/>
    </row>
    <row r="323" ht="15" customHeight="1">
      <c r="A323" t="inlineStr">
        <is>
          <t>A 15972-2024</t>
        </is>
      </c>
      <c r="B323" s="1" t="n">
        <v>45405.56498842593</v>
      </c>
      <c r="C323" s="1" t="n">
        <v>45940</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27255-2023</t>
        </is>
      </c>
      <c r="B324" s="1" t="n">
        <v>45096</v>
      </c>
      <c r="C324" s="1" t="n">
        <v>45940</v>
      </c>
      <c r="D324" t="inlineStr">
        <is>
          <t>VÄSTMANLANDS LÄN</t>
        </is>
      </c>
      <c r="E324" t="inlineStr">
        <is>
          <t>SALA</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37958-2024</t>
        </is>
      </c>
      <c r="B325" s="1" t="n">
        <v>45544</v>
      </c>
      <c r="C325" s="1" t="n">
        <v>45940</v>
      </c>
      <c r="D325" t="inlineStr">
        <is>
          <t>VÄSTMANLANDS LÄN</t>
        </is>
      </c>
      <c r="E325" t="inlineStr">
        <is>
          <t>SALA</t>
        </is>
      </c>
      <c r="G325" t="n">
        <v>5.6</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45940</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45940</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24460-2025</t>
        </is>
      </c>
      <c r="B328" s="1" t="n">
        <v>45798</v>
      </c>
      <c r="C328" s="1" t="n">
        <v>45940</v>
      </c>
      <c r="D328" t="inlineStr">
        <is>
          <t>VÄSTMANLANDS LÄN</t>
        </is>
      </c>
      <c r="E328" t="inlineStr">
        <is>
          <t>SALA</t>
        </is>
      </c>
      <c r="F328" t="inlineStr">
        <is>
          <t>Bergvik skog öst AB</t>
        </is>
      </c>
      <c r="G328" t="n">
        <v>2.6</v>
      </c>
      <c r="H328" t="n">
        <v>0</v>
      </c>
      <c r="I328" t="n">
        <v>0</v>
      </c>
      <c r="J328" t="n">
        <v>0</v>
      </c>
      <c r="K328" t="n">
        <v>0</v>
      </c>
      <c r="L328" t="n">
        <v>0</v>
      </c>
      <c r="M328" t="n">
        <v>0</v>
      </c>
      <c r="N328" t="n">
        <v>0</v>
      </c>
      <c r="O328" t="n">
        <v>0</v>
      </c>
      <c r="P328" t="n">
        <v>0</v>
      </c>
      <c r="Q328" t="n">
        <v>0</v>
      </c>
      <c r="R328" s="2" t="inlineStr"/>
    </row>
    <row r="329" ht="15" customHeight="1">
      <c r="A329" t="inlineStr">
        <is>
          <t>A 24463-2025</t>
        </is>
      </c>
      <c r="B329" s="1" t="n">
        <v>45798</v>
      </c>
      <c r="C329" s="1" t="n">
        <v>45940</v>
      </c>
      <c r="D329" t="inlineStr">
        <is>
          <t>VÄSTMANLANDS LÄN</t>
        </is>
      </c>
      <c r="E329" t="inlineStr">
        <is>
          <t>SALA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1555-2024</t>
        </is>
      </c>
      <c r="B330" s="1" t="n">
        <v>45306</v>
      </c>
      <c r="C330" s="1" t="n">
        <v>45940</v>
      </c>
      <c r="D330" t="inlineStr">
        <is>
          <t>VÄSTMANLANDS LÄN</t>
        </is>
      </c>
      <c r="E330" t="inlineStr">
        <is>
          <t>SALA</t>
        </is>
      </c>
      <c r="G330" t="n">
        <v>1.3</v>
      </c>
      <c r="H330" t="n">
        <v>0</v>
      </c>
      <c r="I330" t="n">
        <v>0</v>
      </c>
      <c r="J330" t="n">
        <v>0</v>
      </c>
      <c r="K330" t="n">
        <v>0</v>
      </c>
      <c r="L330" t="n">
        <v>0</v>
      </c>
      <c r="M330" t="n">
        <v>0</v>
      </c>
      <c r="N330" t="n">
        <v>0</v>
      </c>
      <c r="O330" t="n">
        <v>0</v>
      </c>
      <c r="P330" t="n">
        <v>0</v>
      </c>
      <c r="Q330" t="n">
        <v>0</v>
      </c>
      <c r="R330" s="2" t="inlineStr"/>
    </row>
    <row r="331" ht="15" customHeight="1">
      <c r="A331" t="inlineStr">
        <is>
          <t>A 16328-2025</t>
        </is>
      </c>
      <c r="B331" s="1" t="n">
        <v>45751</v>
      </c>
      <c r="C331" s="1" t="n">
        <v>45940</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7197-2025</t>
        </is>
      </c>
      <c r="B332" s="1" t="n">
        <v>45702</v>
      </c>
      <c r="C332" s="1" t="n">
        <v>45940</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55065-2024</t>
        </is>
      </c>
      <c r="B333" s="1" t="n">
        <v>45618</v>
      </c>
      <c r="C333" s="1" t="n">
        <v>45940</v>
      </c>
      <c r="D333" t="inlineStr">
        <is>
          <t>VÄSTMANLANDS LÄN</t>
        </is>
      </c>
      <c r="E333" t="inlineStr">
        <is>
          <t>SALA</t>
        </is>
      </c>
      <c r="G333" t="n">
        <v>3.5</v>
      </c>
      <c r="H333" t="n">
        <v>0</v>
      </c>
      <c r="I333" t="n">
        <v>0</v>
      </c>
      <c r="J333" t="n">
        <v>0</v>
      </c>
      <c r="K333" t="n">
        <v>0</v>
      </c>
      <c r="L333" t="n">
        <v>0</v>
      </c>
      <c r="M333" t="n">
        <v>0</v>
      </c>
      <c r="N333" t="n">
        <v>0</v>
      </c>
      <c r="O333" t="n">
        <v>0</v>
      </c>
      <c r="P333" t="n">
        <v>0</v>
      </c>
      <c r="Q333" t="n">
        <v>0</v>
      </c>
      <c r="R333" s="2" t="inlineStr"/>
    </row>
    <row r="334" ht="15" customHeight="1">
      <c r="A334" t="inlineStr">
        <is>
          <t>A 24907-2025</t>
        </is>
      </c>
      <c r="B334" s="1" t="n">
        <v>45799</v>
      </c>
      <c r="C334" s="1" t="n">
        <v>45940</v>
      </c>
      <c r="D334" t="inlineStr">
        <is>
          <t>VÄSTMANLANDS LÄN</t>
        </is>
      </c>
      <c r="E334" t="inlineStr">
        <is>
          <t>SALA</t>
        </is>
      </c>
      <c r="G334" t="n">
        <v>3.5</v>
      </c>
      <c r="H334" t="n">
        <v>0</v>
      </c>
      <c r="I334" t="n">
        <v>0</v>
      </c>
      <c r="J334" t="n">
        <v>0</v>
      </c>
      <c r="K334" t="n">
        <v>0</v>
      </c>
      <c r="L334" t="n">
        <v>0</v>
      </c>
      <c r="M334" t="n">
        <v>0</v>
      </c>
      <c r="N334" t="n">
        <v>0</v>
      </c>
      <c r="O334" t="n">
        <v>0</v>
      </c>
      <c r="P334" t="n">
        <v>0</v>
      </c>
      <c r="Q334" t="n">
        <v>0</v>
      </c>
      <c r="R334" s="2" t="inlineStr"/>
    </row>
    <row r="335" ht="15" customHeight="1">
      <c r="A335" t="inlineStr">
        <is>
          <t>A 24910-2025</t>
        </is>
      </c>
      <c r="B335" s="1" t="n">
        <v>45799.53775462963</v>
      </c>
      <c r="C335" s="1" t="n">
        <v>45940</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66908-2021</t>
        </is>
      </c>
      <c r="B336" s="1" t="n">
        <v>44522</v>
      </c>
      <c r="C336" s="1" t="n">
        <v>45940</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73835-2021</t>
        </is>
      </c>
      <c r="B337" s="1" t="n">
        <v>44552.92112268518</v>
      </c>
      <c r="C337" s="1" t="n">
        <v>45940</v>
      </c>
      <c r="D337" t="inlineStr">
        <is>
          <t>VÄSTMANLANDS LÄN</t>
        </is>
      </c>
      <c r="E337" t="inlineStr">
        <is>
          <t>SALA</t>
        </is>
      </c>
      <c r="G337" t="n">
        <v>2</v>
      </c>
      <c r="H337" t="n">
        <v>0</v>
      </c>
      <c r="I337" t="n">
        <v>0</v>
      </c>
      <c r="J337" t="n">
        <v>0</v>
      </c>
      <c r="K337" t="n">
        <v>0</v>
      </c>
      <c r="L337" t="n">
        <v>0</v>
      </c>
      <c r="M337" t="n">
        <v>0</v>
      </c>
      <c r="N337" t="n">
        <v>0</v>
      </c>
      <c r="O337" t="n">
        <v>0</v>
      </c>
      <c r="P337" t="n">
        <v>0</v>
      </c>
      <c r="Q337" t="n">
        <v>0</v>
      </c>
      <c r="R337" s="2" t="inlineStr"/>
    </row>
    <row r="338" ht="15" customHeight="1">
      <c r="A338" t="inlineStr">
        <is>
          <t>A 57800-2020</t>
        </is>
      </c>
      <c r="B338" s="1" t="n">
        <v>44141</v>
      </c>
      <c r="C338" s="1" t="n">
        <v>45940</v>
      </c>
      <c r="D338" t="inlineStr">
        <is>
          <t>VÄSTMANLANDS LÄN</t>
        </is>
      </c>
      <c r="E338" t="inlineStr">
        <is>
          <t>SALA</t>
        </is>
      </c>
      <c r="F338" t="inlineStr">
        <is>
          <t>Sveaskog</t>
        </is>
      </c>
      <c r="G338" t="n">
        <v>2.1</v>
      </c>
      <c r="H338" t="n">
        <v>0</v>
      </c>
      <c r="I338" t="n">
        <v>0</v>
      </c>
      <c r="J338" t="n">
        <v>0</v>
      </c>
      <c r="K338" t="n">
        <v>0</v>
      </c>
      <c r="L338" t="n">
        <v>0</v>
      </c>
      <c r="M338" t="n">
        <v>0</v>
      </c>
      <c r="N338" t="n">
        <v>0</v>
      </c>
      <c r="O338" t="n">
        <v>0</v>
      </c>
      <c r="P338" t="n">
        <v>0</v>
      </c>
      <c r="Q338" t="n">
        <v>0</v>
      </c>
      <c r="R338" s="2" t="inlineStr"/>
    </row>
    <row r="339" ht="15" customHeight="1">
      <c r="A339" t="inlineStr">
        <is>
          <t>A 3810-2023</t>
        </is>
      </c>
      <c r="B339" s="1" t="n">
        <v>44951.60454861111</v>
      </c>
      <c r="C339" s="1" t="n">
        <v>45940</v>
      </c>
      <c r="D339" t="inlineStr">
        <is>
          <t>VÄSTMANLANDS LÄN</t>
        </is>
      </c>
      <c r="E339" t="inlineStr">
        <is>
          <t>SALA</t>
        </is>
      </c>
      <c r="G339" t="n">
        <v>4.2</v>
      </c>
      <c r="H339" t="n">
        <v>0</v>
      </c>
      <c r="I339" t="n">
        <v>0</v>
      </c>
      <c r="J339" t="n">
        <v>0</v>
      </c>
      <c r="K339" t="n">
        <v>0</v>
      </c>
      <c r="L339" t="n">
        <v>0</v>
      </c>
      <c r="M339" t="n">
        <v>0</v>
      </c>
      <c r="N339" t="n">
        <v>0</v>
      </c>
      <c r="O339" t="n">
        <v>0</v>
      </c>
      <c r="P339" t="n">
        <v>0</v>
      </c>
      <c r="Q339" t="n">
        <v>0</v>
      </c>
      <c r="R339" s="2" t="inlineStr"/>
    </row>
    <row r="340" ht="15" customHeight="1">
      <c r="A340" t="inlineStr">
        <is>
          <t>A 15756-2025</t>
        </is>
      </c>
      <c r="B340" s="1" t="n">
        <v>45748.56810185185</v>
      </c>
      <c r="C340" s="1" t="n">
        <v>45940</v>
      </c>
      <c r="D340" t="inlineStr">
        <is>
          <t>VÄSTMANLANDS LÄN</t>
        </is>
      </c>
      <c r="E340" t="inlineStr">
        <is>
          <t>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31000-2022</t>
        </is>
      </c>
      <c r="B341" s="1" t="n">
        <v>44768</v>
      </c>
      <c r="C341" s="1" t="n">
        <v>45940</v>
      </c>
      <c r="D341" t="inlineStr">
        <is>
          <t>VÄSTMANLANDS LÄN</t>
        </is>
      </c>
      <c r="E341" t="inlineStr">
        <is>
          <t>SALA</t>
        </is>
      </c>
      <c r="G341" t="n">
        <v>5.7</v>
      </c>
      <c r="H341" t="n">
        <v>0</v>
      </c>
      <c r="I341" t="n">
        <v>0</v>
      </c>
      <c r="J341" t="n">
        <v>0</v>
      </c>
      <c r="K341" t="n">
        <v>0</v>
      </c>
      <c r="L341" t="n">
        <v>0</v>
      </c>
      <c r="M341" t="n">
        <v>0</v>
      </c>
      <c r="N341" t="n">
        <v>0</v>
      </c>
      <c r="O341" t="n">
        <v>0</v>
      </c>
      <c r="P341" t="n">
        <v>0</v>
      </c>
      <c r="Q341" t="n">
        <v>0</v>
      </c>
      <c r="R341" s="2" t="inlineStr"/>
    </row>
    <row r="342" ht="15" customHeight="1">
      <c r="A342" t="inlineStr">
        <is>
          <t>A 13752-2025</t>
        </is>
      </c>
      <c r="B342" s="1" t="n">
        <v>45737.41416666667</v>
      </c>
      <c r="C342" s="1" t="n">
        <v>45940</v>
      </c>
      <c r="D342" t="inlineStr">
        <is>
          <t>VÄSTMANLANDS LÄN</t>
        </is>
      </c>
      <c r="E342" t="inlineStr">
        <is>
          <t>SALA</t>
        </is>
      </c>
      <c r="G342" t="n">
        <v>0.4</v>
      </c>
      <c r="H342" t="n">
        <v>0</v>
      </c>
      <c r="I342" t="n">
        <v>0</v>
      </c>
      <c r="J342" t="n">
        <v>0</v>
      </c>
      <c r="K342" t="n">
        <v>0</v>
      </c>
      <c r="L342" t="n">
        <v>0</v>
      </c>
      <c r="M342" t="n">
        <v>0</v>
      </c>
      <c r="N342" t="n">
        <v>0</v>
      </c>
      <c r="O342" t="n">
        <v>0</v>
      </c>
      <c r="P342" t="n">
        <v>0</v>
      </c>
      <c r="Q342" t="n">
        <v>0</v>
      </c>
      <c r="R342" s="2" t="inlineStr"/>
    </row>
    <row r="343" ht="15" customHeight="1">
      <c r="A343" t="inlineStr">
        <is>
          <t>A 37183-2024</t>
        </is>
      </c>
      <c r="B343" s="1" t="n">
        <v>45539</v>
      </c>
      <c r="C343" s="1" t="n">
        <v>45940</v>
      </c>
      <c r="D343" t="inlineStr">
        <is>
          <t>VÄSTMANLANDS LÄN</t>
        </is>
      </c>
      <c r="E343" t="inlineStr">
        <is>
          <t>SALA</t>
        </is>
      </c>
      <c r="G343" t="n">
        <v>1.2</v>
      </c>
      <c r="H343" t="n">
        <v>0</v>
      </c>
      <c r="I343" t="n">
        <v>0</v>
      </c>
      <c r="J343" t="n">
        <v>0</v>
      </c>
      <c r="K343" t="n">
        <v>0</v>
      </c>
      <c r="L343" t="n">
        <v>0</v>
      </c>
      <c r="M343" t="n">
        <v>0</v>
      </c>
      <c r="N343" t="n">
        <v>0</v>
      </c>
      <c r="O343" t="n">
        <v>0</v>
      </c>
      <c r="P343" t="n">
        <v>0</v>
      </c>
      <c r="Q343" t="n">
        <v>0</v>
      </c>
      <c r="R343" s="2" t="inlineStr"/>
    </row>
    <row r="344" ht="15" customHeight="1">
      <c r="A344" t="inlineStr">
        <is>
          <t>A 2927-2024</t>
        </is>
      </c>
      <c r="B344" s="1" t="n">
        <v>45315.58989583333</v>
      </c>
      <c r="C344" s="1" t="n">
        <v>45940</v>
      </c>
      <c r="D344" t="inlineStr">
        <is>
          <t>VÄSTMANLANDS LÄN</t>
        </is>
      </c>
      <c r="E344" t="inlineStr">
        <is>
          <t>SALA</t>
        </is>
      </c>
      <c r="G344" t="n">
        <v>2.5</v>
      </c>
      <c r="H344" t="n">
        <v>0</v>
      </c>
      <c r="I344" t="n">
        <v>0</v>
      </c>
      <c r="J344" t="n">
        <v>0</v>
      </c>
      <c r="K344" t="n">
        <v>0</v>
      </c>
      <c r="L344" t="n">
        <v>0</v>
      </c>
      <c r="M344" t="n">
        <v>0</v>
      </c>
      <c r="N344" t="n">
        <v>0</v>
      </c>
      <c r="O344" t="n">
        <v>0</v>
      </c>
      <c r="P344" t="n">
        <v>0</v>
      </c>
      <c r="Q344" t="n">
        <v>0</v>
      </c>
      <c r="R344" s="2" t="inlineStr"/>
    </row>
    <row r="345" ht="15" customHeight="1">
      <c r="A345" t="inlineStr">
        <is>
          <t>A 26854-2024</t>
        </is>
      </c>
      <c r="B345" s="1" t="n">
        <v>45470</v>
      </c>
      <c r="C345" s="1" t="n">
        <v>45940</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27229-2022</t>
        </is>
      </c>
      <c r="B346" s="1" t="n">
        <v>44741</v>
      </c>
      <c r="C346" s="1" t="n">
        <v>45940</v>
      </c>
      <c r="D346" t="inlineStr">
        <is>
          <t>VÄSTMANLANDS LÄN</t>
        </is>
      </c>
      <c r="E346" t="inlineStr">
        <is>
          <t>SALA</t>
        </is>
      </c>
      <c r="F346" t="inlineStr">
        <is>
          <t>Kommuner</t>
        </is>
      </c>
      <c r="G346" t="n">
        <v>1.4</v>
      </c>
      <c r="H346" t="n">
        <v>0</v>
      </c>
      <c r="I346" t="n">
        <v>0</v>
      </c>
      <c r="J346" t="n">
        <v>0</v>
      </c>
      <c r="K346" t="n">
        <v>0</v>
      </c>
      <c r="L346" t="n">
        <v>0</v>
      </c>
      <c r="M346" t="n">
        <v>0</v>
      </c>
      <c r="N346" t="n">
        <v>0</v>
      </c>
      <c r="O346" t="n">
        <v>0</v>
      </c>
      <c r="P346" t="n">
        <v>0</v>
      </c>
      <c r="Q346" t="n">
        <v>0</v>
      </c>
      <c r="R346" s="2" t="inlineStr"/>
    </row>
    <row r="347" ht="15" customHeight="1">
      <c r="A347" t="inlineStr">
        <is>
          <t>A 12252-2023</t>
        </is>
      </c>
      <c r="B347" s="1" t="n">
        <v>44995</v>
      </c>
      <c r="C347" s="1" t="n">
        <v>45940</v>
      </c>
      <c r="D347" t="inlineStr">
        <is>
          <t>VÄSTMANLANDS LÄN</t>
        </is>
      </c>
      <c r="E347" t="inlineStr">
        <is>
          <t>SALA</t>
        </is>
      </c>
      <c r="G347" t="n">
        <v>2.6</v>
      </c>
      <c r="H347" t="n">
        <v>0</v>
      </c>
      <c r="I347" t="n">
        <v>0</v>
      </c>
      <c r="J347" t="n">
        <v>0</v>
      </c>
      <c r="K347" t="n">
        <v>0</v>
      </c>
      <c r="L347" t="n">
        <v>0</v>
      </c>
      <c r="M347" t="n">
        <v>0</v>
      </c>
      <c r="N347" t="n">
        <v>0</v>
      </c>
      <c r="O347" t="n">
        <v>0</v>
      </c>
      <c r="P347" t="n">
        <v>0</v>
      </c>
      <c r="Q347" t="n">
        <v>0</v>
      </c>
      <c r="R347" s="2" t="inlineStr"/>
    </row>
    <row r="348" ht="15" customHeight="1">
      <c r="A348" t="inlineStr">
        <is>
          <t>A 1793-2023</t>
        </is>
      </c>
      <c r="B348" s="1" t="n">
        <v>44937</v>
      </c>
      <c r="C348" s="1" t="n">
        <v>45940</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10909-2024</t>
        </is>
      </c>
      <c r="B349" s="1" t="n">
        <v>45370</v>
      </c>
      <c r="C349" s="1" t="n">
        <v>45940</v>
      </c>
      <c r="D349" t="inlineStr">
        <is>
          <t>VÄSTMANLANDS LÄN</t>
        </is>
      </c>
      <c r="E349" t="inlineStr">
        <is>
          <t>SALA</t>
        </is>
      </c>
      <c r="G349" t="n">
        <v>3.3</v>
      </c>
      <c r="H349" t="n">
        <v>0</v>
      </c>
      <c r="I349" t="n">
        <v>0</v>
      </c>
      <c r="J349" t="n">
        <v>0</v>
      </c>
      <c r="K349" t="n">
        <v>0</v>
      </c>
      <c r="L349" t="n">
        <v>0</v>
      </c>
      <c r="M349" t="n">
        <v>0</v>
      </c>
      <c r="N349" t="n">
        <v>0</v>
      </c>
      <c r="O349" t="n">
        <v>0</v>
      </c>
      <c r="P349" t="n">
        <v>0</v>
      </c>
      <c r="Q349" t="n">
        <v>0</v>
      </c>
      <c r="R349" s="2" t="inlineStr"/>
    </row>
    <row r="350" ht="15" customHeight="1">
      <c r="A350" t="inlineStr">
        <is>
          <t>A 29248-2022</t>
        </is>
      </c>
      <c r="B350" s="1" t="n">
        <v>44750</v>
      </c>
      <c r="C350" s="1" t="n">
        <v>45940</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6154-2025</t>
        </is>
      </c>
      <c r="B351" s="1" t="n">
        <v>45698.40719907408</v>
      </c>
      <c r="C351" s="1" t="n">
        <v>45940</v>
      </c>
      <c r="D351" t="inlineStr">
        <is>
          <t>VÄSTMANLANDS LÄN</t>
        </is>
      </c>
      <c r="E351" t="inlineStr">
        <is>
          <t>SALA</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22397-2022</t>
        </is>
      </c>
      <c r="B352" s="1" t="n">
        <v>44713</v>
      </c>
      <c r="C352" s="1" t="n">
        <v>45940</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28863-2022</t>
        </is>
      </c>
      <c r="B353" s="1" t="n">
        <v>44749.50649305555</v>
      </c>
      <c r="C353" s="1" t="n">
        <v>45940</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48570-2024</t>
        </is>
      </c>
      <c r="B354" s="1" t="n">
        <v>45591</v>
      </c>
      <c r="C354" s="1" t="n">
        <v>45940</v>
      </c>
      <c r="D354" t="inlineStr">
        <is>
          <t>VÄSTMANLANDS LÄN</t>
        </is>
      </c>
      <c r="E354" t="inlineStr">
        <is>
          <t>SALA</t>
        </is>
      </c>
      <c r="G354" t="n">
        <v>3</v>
      </c>
      <c r="H354" t="n">
        <v>0</v>
      </c>
      <c r="I354" t="n">
        <v>0</v>
      </c>
      <c r="J354" t="n">
        <v>0</v>
      </c>
      <c r="K354" t="n">
        <v>0</v>
      </c>
      <c r="L354" t="n">
        <v>0</v>
      </c>
      <c r="M354" t="n">
        <v>0</v>
      </c>
      <c r="N354" t="n">
        <v>0</v>
      </c>
      <c r="O354" t="n">
        <v>0</v>
      </c>
      <c r="P354" t="n">
        <v>0</v>
      </c>
      <c r="Q354" t="n">
        <v>0</v>
      </c>
      <c r="R354" s="2" t="inlineStr"/>
    </row>
    <row r="355" ht="15" customHeight="1">
      <c r="A355" t="inlineStr">
        <is>
          <t>A 10812-2021</t>
        </is>
      </c>
      <c r="B355" s="1" t="n">
        <v>44259</v>
      </c>
      <c r="C355" s="1" t="n">
        <v>45940</v>
      </c>
      <c r="D355" t="inlineStr">
        <is>
          <t>VÄSTMANLANDS LÄN</t>
        </is>
      </c>
      <c r="E355" t="inlineStr">
        <is>
          <t>SALA</t>
        </is>
      </c>
      <c r="G355" t="n">
        <v>0.7</v>
      </c>
      <c r="H355" t="n">
        <v>0</v>
      </c>
      <c r="I355" t="n">
        <v>0</v>
      </c>
      <c r="J355" t="n">
        <v>0</v>
      </c>
      <c r="K355" t="n">
        <v>0</v>
      </c>
      <c r="L355" t="n">
        <v>0</v>
      </c>
      <c r="M355" t="n">
        <v>0</v>
      </c>
      <c r="N355" t="n">
        <v>0</v>
      </c>
      <c r="O355" t="n">
        <v>0</v>
      </c>
      <c r="P355" t="n">
        <v>0</v>
      </c>
      <c r="Q355" t="n">
        <v>0</v>
      </c>
      <c r="R355" s="2" t="inlineStr"/>
    </row>
    <row r="356" ht="15" customHeight="1">
      <c r="A356" t="inlineStr">
        <is>
          <t>A 25260-2023</t>
        </is>
      </c>
      <c r="B356" s="1" t="n">
        <v>45086</v>
      </c>
      <c r="C356" s="1" t="n">
        <v>45940</v>
      </c>
      <c r="D356" t="inlineStr">
        <is>
          <t>VÄSTMANLANDS LÄN</t>
        </is>
      </c>
      <c r="E356" t="inlineStr">
        <is>
          <t>SALA</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46279-2021</t>
        </is>
      </c>
      <c r="B357" s="1" t="n">
        <v>44442.57797453704</v>
      </c>
      <c r="C357" s="1" t="n">
        <v>45940</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57404-2024</t>
        </is>
      </c>
      <c r="B358" s="1" t="n">
        <v>45629.71967592592</v>
      </c>
      <c r="C358" s="1" t="n">
        <v>45940</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57883-2024</t>
        </is>
      </c>
      <c r="B359" s="1" t="n">
        <v>45630</v>
      </c>
      <c r="C359" s="1" t="n">
        <v>45940</v>
      </c>
      <c r="D359" t="inlineStr">
        <is>
          <t>VÄSTMANLANDS LÄN</t>
        </is>
      </c>
      <c r="E359" t="inlineStr">
        <is>
          <t>SALA</t>
        </is>
      </c>
      <c r="G359" t="n">
        <v>5.4</v>
      </c>
      <c r="H359" t="n">
        <v>0</v>
      </c>
      <c r="I359" t="n">
        <v>0</v>
      </c>
      <c r="J359" t="n">
        <v>0</v>
      </c>
      <c r="K359" t="n">
        <v>0</v>
      </c>
      <c r="L359" t="n">
        <v>0</v>
      </c>
      <c r="M359" t="n">
        <v>0</v>
      </c>
      <c r="N359" t="n">
        <v>0</v>
      </c>
      <c r="O359" t="n">
        <v>0</v>
      </c>
      <c r="P359" t="n">
        <v>0</v>
      </c>
      <c r="Q359" t="n">
        <v>0</v>
      </c>
      <c r="R359" s="2" t="inlineStr"/>
    </row>
    <row r="360" ht="15" customHeight="1">
      <c r="A360" t="inlineStr">
        <is>
          <t>A 13128-2023</t>
        </is>
      </c>
      <c r="B360" s="1" t="n">
        <v>45002</v>
      </c>
      <c r="C360" s="1" t="n">
        <v>45940</v>
      </c>
      <c r="D360" t="inlineStr">
        <is>
          <t>VÄSTMANLANDS LÄN</t>
        </is>
      </c>
      <c r="E360" t="inlineStr">
        <is>
          <t>SALA</t>
        </is>
      </c>
      <c r="G360" t="n">
        <v>7.9</v>
      </c>
      <c r="H360" t="n">
        <v>0</v>
      </c>
      <c r="I360" t="n">
        <v>0</v>
      </c>
      <c r="J360" t="n">
        <v>0</v>
      </c>
      <c r="K360" t="n">
        <v>0</v>
      </c>
      <c r="L360" t="n">
        <v>0</v>
      </c>
      <c r="M360" t="n">
        <v>0</v>
      </c>
      <c r="N360" t="n">
        <v>0</v>
      </c>
      <c r="O360" t="n">
        <v>0</v>
      </c>
      <c r="P360" t="n">
        <v>0</v>
      </c>
      <c r="Q360" t="n">
        <v>0</v>
      </c>
      <c r="R360" s="2" t="inlineStr"/>
    </row>
    <row r="361" ht="15" customHeight="1">
      <c r="A361" t="inlineStr">
        <is>
          <t>A 16769-2024</t>
        </is>
      </c>
      <c r="B361" s="1" t="n">
        <v>45411.38738425926</v>
      </c>
      <c r="C361" s="1" t="n">
        <v>45940</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18877-2023</t>
        </is>
      </c>
      <c r="B362" s="1" t="n">
        <v>45044</v>
      </c>
      <c r="C362" s="1" t="n">
        <v>45940</v>
      </c>
      <c r="D362" t="inlineStr">
        <is>
          <t>VÄSTMANLANDS LÄN</t>
        </is>
      </c>
      <c r="E362" t="inlineStr">
        <is>
          <t>SALA</t>
        </is>
      </c>
      <c r="F362" t="inlineStr">
        <is>
          <t>Kommuner</t>
        </is>
      </c>
      <c r="G362" t="n">
        <v>4.4</v>
      </c>
      <c r="H362" t="n">
        <v>0</v>
      </c>
      <c r="I362" t="n">
        <v>0</v>
      </c>
      <c r="J362" t="n">
        <v>0</v>
      </c>
      <c r="K362" t="n">
        <v>0</v>
      </c>
      <c r="L362" t="n">
        <v>0</v>
      </c>
      <c r="M362" t="n">
        <v>0</v>
      </c>
      <c r="N362" t="n">
        <v>0</v>
      </c>
      <c r="O362" t="n">
        <v>0</v>
      </c>
      <c r="P362" t="n">
        <v>0</v>
      </c>
      <c r="Q362" t="n">
        <v>0</v>
      </c>
      <c r="R362" s="2" t="inlineStr"/>
    </row>
    <row r="363" ht="15" customHeight="1">
      <c r="A363" t="inlineStr">
        <is>
          <t>A 44544-2024</t>
        </is>
      </c>
      <c r="B363" s="1" t="n">
        <v>45574.46119212963</v>
      </c>
      <c r="C363" s="1" t="n">
        <v>45940</v>
      </c>
      <c r="D363" t="inlineStr">
        <is>
          <t>VÄSTMANLANDS LÄN</t>
        </is>
      </c>
      <c r="E363" t="inlineStr">
        <is>
          <t>SALA</t>
        </is>
      </c>
      <c r="G363" t="n">
        <v>3.3</v>
      </c>
      <c r="H363" t="n">
        <v>0</v>
      </c>
      <c r="I363" t="n">
        <v>0</v>
      </c>
      <c r="J363" t="n">
        <v>0</v>
      </c>
      <c r="K363" t="n">
        <v>0</v>
      </c>
      <c r="L363" t="n">
        <v>0</v>
      </c>
      <c r="M363" t="n">
        <v>0</v>
      </c>
      <c r="N363" t="n">
        <v>0</v>
      </c>
      <c r="O363" t="n">
        <v>0</v>
      </c>
      <c r="P363" t="n">
        <v>0</v>
      </c>
      <c r="Q363" t="n">
        <v>0</v>
      </c>
      <c r="R363" s="2" t="inlineStr"/>
    </row>
    <row r="364" ht="15" customHeight="1">
      <c r="A364" t="inlineStr">
        <is>
          <t>A 60379-2022</t>
        </is>
      </c>
      <c r="B364" s="1" t="n">
        <v>44910</v>
      </c>
      <c r="C364" s="1" t="n">
        <v>45940</v>
      </c>
      <c r="D364" t="inlineStr">
        <is>
          <t>VÄSTMANLANDS LÄN</t>
        </is>
      </c>
      <c r="E364" t="inlineStr">
        <is>
          <t>SALA</t>
        </is>
      </c>
      <c r="F364" t="inlineStr">
        <is>
          <t>Kyrkan</t>
        </is>
      </c>
      <c r="G364" t="n">
        <v>2.5</v>
      </c>
      <c r="H364" t="n">
        <v>0</v>
      </c>
      <c r="I364" t="n">
        <v>0</v>
      </c>
      <c r="J364" t="n">
        <v>0</v>
      </c>
      <c r="K364" t="n">
        <v>0</v>
      </c>
      <c r="L364" t="n">
        <v>0</v>
      </c>
      <c r="M364" t="n">
        <v>0</v>
      </c>
      <c r="N364" t="n">
        <v>0</v>
      </c>
      <c r="O364" t="n">
        <v>0</v>
      </c>
      <c r="P364" t="n">
        <v>0</v>
      </c>
      <c r="Q364" t="n">
        <v>0</v>
      </c>
      <c r="R364" s="2" t="inlineStr"/>
    </row>
    <row r="365" ht="15" customHeight="1">
      <c r="A365" t="inlineStr">
        <is>
          <t>A 56547-2022</t>
        </is>
      </c>
      <c r="B365" s="1" t="n">
        <v>44893.48284722222</v>
      </c>
      <c r="C365" s="1" t="n">
        <v>45940</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29542-2023</t>
        </is>
      </c>
      <c r="B366" s="1" t="n">
        <v>45098</v>
      </c>
      <c r="C366" s="1" t="n">
        <v>45940</v>
      </c>
      <c r="D366" t="inlineStr">
        <is>
          <t>VÄSTMANLANDS LÄN</t>
        </is>
      </c>
      <c r="E366" t="inlineStr">
        <is>
          <t>SALA</t>
        </is>
      </c>
      <c r="G366" t="n">
        <v>4.8</v>
      </c>
      <c r="H366" t="n">
        <v>0</v>
      </c>
      <c r="I366" t="n">
        <v>0</v>
      </c>
      <c r="J366" t="n">
        <v>0</v>
      </c>
      <c r="K366" t="n">
        <v>0</v>
      </c>
      <c r="L366" t="n">
        <v>0</v>
      </c>
      <c r="M366" t="n">
        <v>0</v>
      </c>
      <c r="N366" t="n">
        <v>0</v>
      </c>
      <c r="O366" t="n">
        <v>0</v>
      </c>
      <c r="P366" t="n">
        <v>0</v>
      </c>
      <c r="Q366" t="n">
        <v>0</v>
      </c>
      <c r="R366" s="2" t="inlineStr"/>
    </row>
    <row r="367" ht="15" customHeight="1">
      <c r="A367" t="inlineStr">
        <is>
          <t>A 24864-2024</t>
        </is>
      </c>
      <c r="B367" s="1" t="n">
        <v>45461.48888888889</v>
      </c>
      <c r="C367" s="1" t="n">
        <v>45940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16638-2023</t>
        </is>
      </c>
      <c r="B368" s="1" t="n">
        <v>45027</v>
      </c>
      <c r="C368" s="1" t="n">
        <v>45940</v>
      </c>
      <c r="D368" t="inlineStr">
        <is>
          <t>VÄSTMANLANDS LÄN</t>
        </is>
      </c>
      <c r="E368" t="inlineStr">
        <is>
          <t>SALA</t>
        </is>
      </c>
      <c r="G368" t="n">
        <v>14.8</v>
      </c>
      <c r="H368" t="n">
        <v>0</v>
      </c>
      <c r="I368" t="n">
        <v>0</v>
      </c>
      <c r="J368" t="n">
        <v>0</v>
      </c>
      <c r="K368" t="n">
        <v>0</v>
      </c>
      <c r="L368" t="n">
        <v>0</v>
      </c>
      <c r="M368" t="n">
        <v>0</v>
      </c>
      <c r="N368" t="n">
        <v>0</v>
      </c>
      <c r="O368" t="n">
        <v>0</v>
      </c>
      <c r="P368" t="n">
        <v>0</v>
      </c>
      <c r="Q368" t="n">
        <v>0</v>
      </c>
      <c r="R368" s="2" t="inlineStr"/>
    </row>
    <row r="369" ht="15" customHeight="1">
      <c r="A369" t="inlineStr">
        <is>
          <t>A 37190-2024</t>
        </is>
      </c>
      <c r="B369" s="1" t="n">
        <v>45539</v>
      </c>
      <c r="C369" s="1" t="n">
        <v>45940</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26661-2025</t>
        </is>
      </c>
      <c r="B370" s="1" t="n">
        <v>45810</v>
      </c>
      <c r="C370" s="1" t="n">
        <v>45940</v>
      </c>
      <c r="D370" t="inlineStr">
        <is>
          <t>VÄSTMANLANDS LÄN</t>
        </is>
      </c>
      <c r="E370" t="inlineStr">
        <is>
          <t>SALA</t>
        </is>
      </c>
      <c r="G370" t="n">
        <v>3.5</v>
      </c>
      <c r="H370" t="n">
        <v>0</v>
      </c>
      <c r="I370" t="n">
        <v>0</v>
      </c>
      <c r="J370" t="n">
        <v>0</v>
      </c>
      <c r="K370" t="n">
        <v>0</v>
      </c>
      <c r="L370" t="n">
        <v>0</v>
      </c>
      <c r="M370" t="n">
        <v>0</v>
      </c>
      <c r="N370" t="n">
        <v>0</v>
      </c>
      <c r="O370" t="n">
        <v>0</v>
      </c>
      <c r="P370" t="n">
        <v>0</v>
      </c>
      <c r="Q370" t="n">
        <v>0</v>
      </c>
      <c r="R370" s="2" t="inlineStr"/>
    </row>
    <row r="371" ht="15" customHeight="1">
      <c r="A371" t="inlineStr">
        <is>
          <t>A 24755-2021</t>
        </is>
      </c>
      <c r="B371" s="1" t="n">
        <v>44340</v>
      </c>
      <c r="C371" s="1" t="n">
        <v>45940</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23222-2023</t>
        </is>
      </c>
      <c r="B372" s="1" t="n">
        <v>45075</v>
      </c>
      <c r="C372" s="1" t="n">
        <v>45940</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23224-2023</t>
        </is>
      </c>
      <c r="B373" s="1" t="n">
        <v>45075.65040509259</v>
      </c>
      <c r="C373" s="1" t="n">
        <v>45940</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22026-2021</t>
        </is>
      </c>
      <c r="B374" s="1" t="n">
        <v>44323</v>
      </c>
      <c r="C374" s="1" t="n">
        <v>45940</v>
      </c>
      <c r="D374" t="inlineStr">
        <is>
          <t>VÄSTMANLANDS LÄN</t>
        </is>
      </c>
      <c r="E374" t="inlineStr">
        <is>
          <t>SALA</t>
        </is>
      </c>
      <c r="G374" t="n">
        <v>2.9</v>
      </c>
      <c r="H374" t="n">
        <v>0</v>
      </c>
      <c r="I374" t="n">
        <v>0</v>
      </c>
      <c r="J374" t="n">
        <v>0</v>
      </c>
      <c r="K374" t="n">
        <v>0</v>
      </c>
      <c r="L374" t="n">
        <v>0</v>
      </c>
      <c r="M374" t="n">
        <v>0</v>
      </c>
      <c r="N374" t="n">
        <v>0</v>
      </c>
      <c r="O374" t="n">
        <v>0</v>
      </c>
      <c r="P374" t="n">
        <v>0</v>
      </c>
      <c r="Q374" t="n">
        <v>0</v>
      </c>
      <c r="R374" s="2" t="inlineStr"/>
    </row>
    <row r="375" ht="15" customHeight="1">
      <c r="A375" t="inlineStr">
        <is>
          <t>A 61717-2024</t>
        </is>
      </c>
      <c r="B375" s="1" t="n">
        <v>45648</v>
      </c>
      <c r="C375" s="1" t="n">
        <v>45940</v>
      </c>
      <c r="D375" t="inlineStr">
        <is>
          <t>VÄSTMANLANDS LÄN</t>
        </is>
      </c>
      <c r="E375" t="inlineStr">
        <is>
          <t>SALA</t>
        </is>
      </c>
      <c r="G375" t="n">
        <v>3.7</v>
      </c>
      <c r="H375" t="n">
        <v>0</v>
      </c>
      <c r="I375" t="n">
        <v>0</v>
      </c>
      <c r="J375" t="n">
        <v>0</v>
      </c>
      <c r="K375" t="n">
        <v>0</v>
      </c>
      <c r="L375" t="n">
        <v>0</v>
      </c>
      <c r="M375" t="n">
        <v>0</v>
      </c>
      <c r="N375" t="n">
        <v>0</v>
      </c>
      <c r="O375" t="n">
        <v>0</v>
      </c>
      <c r="P375" t="n">
        <v>0</v>
      </c>
      <c r="Q375" t="n">
        <v>0</v>
      </c>
      <c r="R375" s="2" t="inlineStr"/>
    </row>
    <row r="376" ht="15" customHeight="1">
      <c r="A376" t="inlineStr">
        <is>
          <t>A 68864-2021</t>
        </is>
      </c>
      <c r="B376" s="1" t="n">
        <v>44530</v>
      </c>
      <c r="C376" s="1" t="n">
        <v>45940</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17495-2024</t>
        </is>
      </c>
      <c r="B377" s="1" t="n">
        <v>45415</v>
      </c>
      <c r="C377" s="1" t="n">
        <v>45940</v>
      </c>
      <c r="D377" t="inlineStr">
        <is>
          <t>VÄSTMANLANDS LÄN</t>
        </is>
      </c>
      <c r="E377" t="inlineStr">
        <is>
          <t>SALA</t>
        </is>
      </c>
      <c r="G377" t="n">
        <v>3.1</v>
      </c>
      <c r="H377" t="n">
        <v>0</v>
      </c>
      <c r="I377" t="n">
        <v>0</v>
      </c>
      <c r="J377" t="n">
        <v>0</v>
      </c>
      <c r="K377" t="n">
        <v>0</v>
      </c>
      <c r="L377" t="n">
        <v>0</v>
      </c>
      <c r="M377" t="n">
        <v>0</v>
      </c>
      <c r="N377" t="n">
        <v>0</v>
      </c>
      <c r="O377" t="n">
        <v>0</v>
      </c>
      <c r="P377" t="n">
        <v>0</v>
      </c>
      <c r="Q377" t="n">
        <v>0</v>
      </c>
      <c r="R377" s="2" t="inlineStr"/>
    </row>
    <row r="378" ht="15" customHeight="1">
      <c r="A378" t="inlineStr">
        <is>
          <t>A 19065-2022</t>
        </is>
      </c>
      <c r="B378" s="1" t="n">
        <v>44691.44309027777</v>
      </c>
      <c r="C378" s="1" t="n">
        <v>45940</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28696-2023</t>
        </is>
      </c>
      <c r="B379" s="1" t="n">
        <v>45103.71759259259</v>
      </c>
      <c r="C379" s="1" t="n">
        <v>45940</v>
      </c>
      <c r="D379" t="inlineStr">
        <is>
          <t>VÄSTMANLANDS LÄN</t>
        </is>
      </c>
      <c r="E379" t="inlineStr">
        <is>
          <t>SALA</t>
        </is>
      </c>
      <c r="F379" t="inlineStr">
        <is>
          <t>Kommuner</t>
        </is>
      </c>
      <c r="G379" t="n">
        <v>5.9</v>
      </c>
      <c r="H379" t="n">
        <v>0</v>
      </c>
      <c r="I379" t="n">
        <v>0</v>
      </c>
      <c r="J379" t="n">
        <v>0</v>
      </c>
      <c r="K379" t="n">
        <v>0</v>
      </c>
      <c r="L379" t="n">
        <v>0</v>
      </c>
      <c r="M379" t="n">
        <v>0</v>
      </c>
      <c r="N379" t="n">
        <v>0</v>
      </c>
      <c r="O379" t="n">
        <v>0</v>
      </c>
      <c r="P379" t="n">
        <v>0</v>
      </c>
      <c r="Q379" t="n">
        <v>0</v>
      </c>
      <c r="R379" s="2" t="inlineStr"/>
    </row>
    <row r="380" ht="15" customHeight="1">
      <c r="A380" t="inlineStr">
        <is>
          <t>A 6691-2025</t>
        </is>
      </c>
      <c r="B380" s="1" t="n">
        <v>45700.50625</v>
      </c>
      <c r="C380" s="1" t="n">
        <v>45940</v>
      </c>
      <c r="D380" t="inlineStr">
        <is>
          <t>VÄSTMANLANDS LÄN</t>
        </is>
      </c>
      <c r="E380" t="inlineStr">
        <is>
          <t>SALA</t>
        </is>
      </c>
      <c r="G380" t="n">
        <v>2.1</v>
      </c>
      <c r="H380" t="n">
        <v>0</v>
      </c>
      <c r="I380" t="n">
        <v>0</v>
      </c>
      <c r="J380" t="n">
        <v>0</v>
      </c>
      <c r="K380" t="n">
        <v>0</v>
      </c>
      <c r="L380" t="n">
        <v>0</v>
      </c>
      <c r="M380" t="n">
        <v>0</v>
      </c>
      <c r="N380" t="n">
        <v>0</v>
      </c>
      <c r="O380" t="n">
        <v>0</v>
      </c>
      <c r="P380" t="n">
        <v>0</v>
      </c>
      <c r="Q380" t="n">
        <v>0</v>
      </c>
      <c r="R380" s="2" t="inlineStr"/>
    </row>
    <row r="381" ht="15" customHeight="1">
      <c r="A381" t="inlineStr">
        <is>
          <t>A 37612-2024</t>
        </is>
      </c>
      <c r="B381" s="1" t="n">
        <v>45541</v>
      </c>
      <c r="C381" s="1" t="n">
        <v>45940</v>
      </c>
      <c r="D381" t="inlineStr">
        <is>
          <t>VÄSTMANLANDS LÄN</t>
        </is>
      </c>
      <c r="E381" t="inlineStr">
        <is>
          <t>SALA</t>
        </is>
      </c>
      <c r="G381" t="n">
        <v>2.2</v>
      </c>
      <c r="H381" t="n">
        <v>0</v>
      </c>
      <c r="I381" t="n">
        <v>0</v>
      </c>
      <c r="J381" t="n">
        <v>0</v>
      </c>
      <c r="K381" t="n">
        <v>0</v>
      </c>
      <c r="L381" t="n">
        <v>0</v>
      </c>
      <c r="M381" t="n">
        <v>0</v>
      </c>
      <c r="N381" t="n">
        <v>0</v>
      </c>
      <c r="O381" t="n">
        <v>0</v>
      </c>
      <c r="P381" t="n">
        <v>0</v>
      </c>
      <c r="Q381" t="n">
        <v>0</v>
      </c>
      <c r="R381" s="2" t="inlineStr"/>
    </row>
    <row r="382" ht="15" customHeight="1">
      <c r="A382" t="inlineStr">
        <is>
          <t>A 1934-2023</t>
        </is>
      </c>
      <c r="B382" s="1" t="n">
        <v>44939.43024305555</v>
      </c>
      <c r="C382" s="1" t="n">
        <v>45940</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35519-2024</t>
        </is>
      </c>
      <c r="B383" s="1" t="n">
        <v>45531</v>
      </c>
      <c r="C383" s="1" t="n">
        <v>45940</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37615-2024</t>
        </is>
      </c>
      <c r="B384" s="1" t="n">
        <v>45541.50673611111</v>
      </c>
      <c r="C384" s="1" t="n">
        <v>45940</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18158-2025</t>
        </is>
      </c>
      <c r="B385" s="1" t="n">
        <v>45761</v>
      </c>
      <c r="C385" s="1" t="n">
        <v>45940</v>
      </c>
      <c r="D385" t="inlineStr">
        <is>
          <t>VÄSTMANLANDS LÄN</t>
        </is>
      </c>
      <c r="E385" t="inlineStr">
        <is>
          <t>SALA</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27989-2025</t>
        </is>
      </c>
      <c r="B386" s="1" t="n">
        <v>45817.58716435185</v>
      </c>
      <c r="C386" s="1" t="n">
        <v>45940</v>
      </c>
      <c r="D386" t="inlineStr">
        <is>
          <t>VÄSTMANLANDS LÄN</t>
        </is>
      </c>
      <c r="E386" t="inlineStr">
        <is>
          <t>SALA</t>
        </is>
      </c>
      <c r="G386" t="n">
        <v>1.9</v>
      </c>
      <c r="H386" t="n">
        <v>0</v>
      </c>
      <c r="I386" t="n">
        <v>0</v>
      </c>
      <c r="J386" t="n">
        <v>0</v>
      </c>
      <c r="K386" t="n">
        <v>0</v>
      </c>
      <c r="L386" t="n">
        <v>0</v>
      </c>
      <c r="M386" t="n">
        <v>0</v>
      </c>
      <c r="N386" t="n">
        <v>0</v>
      </c>
      <c r="O386" t="n">
        <v>0</v>
      </c>
      <c r="P386" t="n">
        <v>0</v>
      </c>
      <c r="Q386" t="n">
        <v>0</v>
      </c>
      <c r="R386" s="2" t="inlineStr"/>
    </row>
    <row r="387" ht="15" customHeight="1">
      <c r="A387" t="inlineStr">
        <is>
          <t>A 50241-2023</t>
        </is>
      </c>
      <c r="B387" s="1" t="n">
        <v>45216</v>
      </c>
      <c r="C387" s="1" t="n">
        <v>45940</v>
      </c>
      <c r="D387" t="inlineStr">
        <is>
          <t>VÄSTMANLANDS LÄN</t>
        </is>
      </c>
      <c r="E387" t="inlineStr">
        <is>
          <t>SALA</t>
        </is>
      </c>
      <c r="G387" t="n">
        <v>1.9</v>
      </c>
      <c r="H387" t="n">
        <v>0</v>
      </c>
      <c r="I387" t="n">
        <v>0</v>
      </c>
      <c r="J387" t="n">
        <v>0</v>
      </c>
      <c r="K387" t="n">
        <v>0</v>
      </c>
      <c r="L387" t="n">
        <v>0</v>
      </c>
      <c r="M387" t="n">
        <v>0</v>
      </c>
      <c r="N387" t="n">
        <v>0</v>
      </c>
      <c r="O387" t="n">
        <v>0</v>
      </c>
      <c r="P387" t="n">
        <v>0</v>
      </c>
      <c r="Q387" t="n">
        <v>0</v>
      </c>
      <c r="R387" s="2" t="inlineStr"/>
    </row>
    <row r="388" ht="15" customHeight="1">
      <c r="A388" t="inlineStr">
        <is>
          <t>A 27981-2025</t>
        </is>
      </c>
      <c r="B388" s="1" t="n">
        <v>45817.57471064815</v>
      </c>
      <c r="C388" s="1" t="n">
        <v>45940</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30971-2022</t>
        </is>
      </c>
      <c r="B389" s="1" t="n">
        <v>44768.46725694444</v>
      </c>
      <c r="C389" s="1" t="n">
        <v>45940</v>
      </c>
      <c r="D389" t="inlineStr">
        <is>
          <t>VÄSTMANLANDS LÄN</t>
        </is>
      </c>
      <c r="E389" t="inlineStr">
        <is>
          <t>SALA</t>
        </is>
      </c>
      <c r="G389" t="n">
        <v>2.4</v>
      </c>
      <c r="H389" t="n">
        <v>0</v>
      </c>
      <c r="I389" t="n">
        <v>0</v>
      </c>
      <c r="J389" t="n">
        <v>0</v>
      </c>
      <c r="K389" t="n">
        <v>0</v>
      </c>
      <c r="L389" t="n">
        <v>0</v>
      </c>
      <c r="M389" t="n">
        <v>0</v>
      </c>
      <c r="N389" t="n">
        <v>0</v>
      </c>
      <c r="O389" t="n">
        <v>0</v>
      </c>
      <c r="P389" t="n">
        <v>0</v>
      </c>
      <c r="Q389" t="n">
        <v>0</v>
      </c>
      <c r="R389" s="2" t="inlineStr"/>
    </row>
    <row r="390" ht="15" customHeight="1">
      <c r="A390" t="inlineStr">
        <is>
          <t>A 9962-2025</t>
        </is>
      </c>
      <c r="B390" s="1" t="n">
        <v>45719.37072916667</v>
      </c>
      <c r="C390" s="1" t="n">
        <v>45940</v>
      </c>
      <c r="D390" t="inlineStr">
        <is>
          <t>VÄSTMANLANDS LÄN</t>
        </is>
      </c>
      <c r="E390" t="inlineStr">
        <is>
          <t>SALA</t>
        </is>
      </c>
      <c r="G390" t="n">
        <v>4.5</v>
      </c>
      <c r="H390" t="n">
        <v>0</v>
      </c>
      <c r="I390" t="n">
        <v>0</v>
      </c>
      <c r="J390" t="n">
        <v>0</v>
      </c>
      <c r="K390" t="n">
        <v>0</v>
      </c>
      <c r="L390" t="n">
        <v>0</v>
      </c>
      <c r="M390" t="n">
        <v>0</v>
      </c>
      <c r="N390" t="n">
        <v>0</v>
      </c>
      <c r="O390" t="n">
        <v>0</v>
      </c>
      <c r="P390" t="n">
        <v>0</v>
      </c>
      <c r="Q390" t="n">
        <v>0</v>
      </c>
      <c r="R390" s="2" t="inlineStr"/>
    </row>
    <row r="391" ht="15" customHeight="1">
      <c r="A391" t="inlineStr">
        <is>
          <t>A 35637-2022</t>
        </is>
      </c>
      <c r="B391" s="1" t="n">
        <v>44799.55194444444</v>
      </c>
      <c r="C391" s="1" t="n">
        <v>45940</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28193-2025</t>
        </is>
      </c>
      <c r="B392" s="1" t="n">
        <v>45818.425625</v>
      </c>
      <c r="C392" s="1" t="n">
        <v>45940</v>
      </c>
      <c r="D392" t="inlineStr">
        <is>
          <t>VÄSTMANLANDS LÄN</t>
        </is>
      </c>
      <c r="E392" t="inlineStr">
        <is>
          <t>SALA</t>
        </is>
      </c>
      <c r="G392" t="n">
        <v>1.8</v>
      </c>
      <c r="H392" t="n">
        <v>0</v>
      </c>
      <c r="I392" t="n">
        <v>0</v>
      </c>
      <c r="J392" t="n">
        <v>0</v>
      </c>
      <c r="K392" t="n">
        <v>0</v>
      </c>
      <c r="L392" t="n">
        <v>0</v>
      </c>
      <c r="M392" t="n">
        <v>0</v>
      </c>
      <c r="N392" t="n">
        <v>0</v>
      </c>
      <c r="O392" t="n">
        <v>0</v>
      </c>
      <c r="P392" t="n">
        <v>0</v>
      </c>
      <c r="Q392" t="n">
        <v>0</v>
      </c>
      <c r="R392" s="2" t="inlineStr"/>
    </row>
    <row r="393" ht="15" customHeight="1">
      <c r="A393" t="inlineStr">
        <is>
          <t>A 19304-2025</t>
        </is>
      </c>
      <c r="B393" s="1" t="n">
        <v>45769</v>
      </c>
      <c r="C393" s="1" t="n">
        <v>45940</v>
      </c>
      <c r="D393" t="inlineStr">
        <is>
          <t>VÄSTMANLANDS LÄN</t>
        </is>
      </c>
      <c r="E393" t="inlineStr">
        <is>
          <t>SALA</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37602-2024</t>
        </is>
      </c>
      <c r="B394" s="1" t="n">
        <v>45541</v>
      </c>
      <c r="C394" s="1" t="n">
        <v>45940</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27038-2023</t>
        </is>
      </c>
      <c r="B395" s="1" t="n">
        <v>45095</v>
      </c>
      <c r="C395" s="1" t="n">
        <v>45940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28284-2025</t>
        </is>
      </c>
      <c r="B396" s="1" t="n">
        <v>45818.58893518519</v>
      </c>
      <c r="C396" s="1" t="n">
        <v>45940</v>
      </c>
      <c r="D396" t="inlineStr">
        <is>
          <t>VÄSTMANLANDS LÄN</t>
        </is>
      </c>
      <c r="E396" t="inlineStr">
        <is>
          <t>SALA</t>
        </is>
      </c>
      <c r="G396" t="n">
        <v>2.4</v>
      </c>
      <c r="H396" t="n">
        <v>0</v>
      </c>
      <c r="I396" t="n">
        <v>0</v>
      </c>
      <c r="J396" t="n">
        <v>0</v>
      </c>
      <c r="K396" t="n">
        <v>0</v>
      </c>
      <c r="L396" t="n">
        <v>0</v>
      </c>
      <c r="M396" t="n">
        <v>0</v>
      </c>
      <c r="N396" t="n">
        <v>0</v>
      </c>
      <c r="O396" t="n">
        <v>0</v>
      </c>
      <c r="P396" t="n">
        <v>0</v>
      </c>
      <c r="Q396" t="n">
        <v>0</v>
      </c>
      <c r="R396" s="2" t="inlineStr"/>
    </row>
    <row r="397" ht="15" customHeight="1">
      <c r="A397" t="inlineStr">
        <is>
          <t>A 18762-2024</t>
        </is>
      </c>
      <c r="B397" s="1" t="n">
        <v>45426.55240740741</v>
      </c>
      <c r="C397" s="1" t="n">
        <v>45940</v>
      </c>
      <c r="D397" t="inlineStr">
        <is>
          <t>VÄSTMANLANDS LÄN</t>
        </is>
      </c>
      <c r="E397" t="inlineStr">
        <is>
          <t>SALA</t>
        </is>
      </c>
      <c r="G397" t="n">
        <v>6.2</v>
      </c>
      <c r="H397" t="n">
        <v>0</v>
      </c>
      <c r="I397" t="n">
        <v>0</v>
      </c>
      <c r="J397" t="n">
        <v>0</v>
      </c>
      <c r="K397" t="n">
        <v>0</v>
      </c>
      <c r="L397" t="n">
        <v>0</v>
      </c>
      <c r="M397" t="n">
        <v>0</v>
      </c>
      <c r="N397" t="n">
        <v>0</v>
      </c>
      <c r="O397" t="n">
        <v>0</v>
      </c>
      <c r="P397" t="n">
        <v>0</v>
      </c>
      <c r="Q397" t="n">
        <v>0</v>
      </c>
      <c r="R397" s="2" t="inlineStr"/>
    </row>
    <row r="398" ht="15" customHeight="1">
      <c r="A398" t="inlineStr">
        <is>
          <t>A 39011-2023</t>
        </is>
      </c>
      <c r="B398" s="1" t="n">
        <v>45162</v>
      </c>
      <c r="C398" s="1" t="n">
        <v>45940</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46352-2023</t>
        </is>
      </c>
      <c r="B399" s="1" t="n">
        <v>45192</v>
      </c>
      <c r="C399" s="1" t="n">
        <v>45940</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43751-2021</t>
        </is>
      </c>
      <c r="B400" s="1" t="n">
        <v>44433</v>
      </c>
      <c r="C400" s="1" t="n">
        <v>45940</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1128-2025</t>
        </is>
      </c>
      <c r="B401" s="1" t="n">
        <v>45666.68469907407</v>
      </c>
      <c r="C401" s="1" t="n">
        <v>45940</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28278-2025</t>
        </is>
      </c>
      <c r="B402" s="1" t="n">
        <v>45818.58454861111</v>
      </c>
      <c r="C402" s="1" t="n">
        <v>45940</v>
      </c>
      <c r="D402" t="inlineStr">
        <is>
          <t>VÄSTMANLANDS LÄN</t>
        </is>
      </c>
      <c r="E402" t="inlineStr">
        <is>
          <t>SALA</t>
        </is>
      </c>
      <c r="G402" t="n">
        <v>7.6</v>
      </c>
      <c r="H402" t="n">
        <v>0</v>
      </c>
      <c r="I402" t="n">
        <v>0</v>
      </c>
      <c r="J402" t="n">
        <v>0</v>
      </c>
      <c r="K402" t="n">
        <v>0</v>
      </c>
      <c r="L402" t="n">
        <v>0</v>
      </c>
      <c r="M402" t="n">
        <v>0</v>
      </c>
      <c r="N402" t="n">
        <v>0</v>
      </c>
      <c r="O402" t="n">
        <v>0</v>
      </c>
      <c r="P402" t="n">
        <v>0</v>
      </c>
      <c r="Q402" t="n">
        <v>0</v>
      </c>
      <c r="R402" s="2" t="inlineStr"/>
    </row>
    <row r="403" ht="15" customHeight="1">
      <c r="A403" t="inlineStr">
        <is>
          <t>A 23182-2022</t>
        </is>
      </c>
      <c r="B403" s="1" t="n">
        <v>44719.79707175926</v>
      </c>
      <c r="C403" s="1" t="n">
        <v>45940</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73673-2021</t>
        </is>
      </c>
      <c r="B404" s="1" t="n">
        <v>44552.46501157407</v>
      </c>
      <c r="C404" s="1" t="n">
        <v>45940</v>
      </c>
      <c r="D404" t="inlineStr">
        <is>
          <t>VÄSTMANLANDS LÄN</t>
        </is>
      </c>
      <c r="E404" t="inlineStr">
        <is>
          <t>SALA</t>
        </is>
      </c>
      <c r="G404" t="n">
        <v>11.4</v>
      </c>
      <c r="H404" t="n">
        <v>0</v>
      </c>
      <c r="I404" t="n">
        <v>0</v>
      </c>
      <c r="J404" t="n">
        <v>0</v>
      </c>
      <c r="K404" t="n">
        <v>0</v>
      </c>
      <c r="L404" t="n">
        <v>0</v>
      </c>
      <c r="M404" t="n">
        <v>0</v>
      </c>
      <c r="N404" t="n">
        <v>0</v>
      </c>
      <c r="O404" t="n">
        <v>0</v>
      </c>
      <c r="P404" t="n">
        <v>0</v>
      </c>
      <c r="Q404" t="n">
        <v>0</v>
      </c>
      <c r="R404" s="2" t="inlineStr"/>
    </row>
    <row r="405" ht="15" customHeight="1">
      <c r="A405" t="inlineStr">
        <is>
          <t>A 31950-2023</t>
        </is>
      </c>
      <c r="B405" s="1" t="n">
        <v>45107</v>
      </c>
      <c r="C405" s="1" t="n">
        <v>45940</v>
      </c>
      <c r="D405" t="inlineStr">
        <is>
          <t>VÄSTMANLANDS LÄN</t>
        </is>
      </c>
      <c r="E405" t="inlineStr">
        <is>
          <t>SALA</t>
        </is>
      </c>
      <c r="G405" t="n">
        <v>0.1</v>
      </c>
      <c r="H405" t="n">
        <v>0</v>
      </c>
      <c r="I405" t="n">
        <v>0</v>
      </c>
      <c r="J405" t="n">
        <v>0</v>
      </c>
      <c r="K405" t="n">
        <v>0</v>
      </c>
      <c r="L405" t="n">
        <v>0</v>
      </c>
      <c r="M405" t="n">
        <v>0</v>
      </c>
      <c r="N405" t="n">
        <v>0</v>
      </c>
      <c r="O405" t="n">
        <v>0</v>
      </c>
      <c r="P405" t="n">
        <v>0</v>
      </c>
      <c r="Q405" t="n">
        <v>0</v>
      </c>
      <c r="R405" s="2" t="inlineStr"/>
    </row>
    <row r="406" ht="15" customHeight="1">
      <c r="A406" t="inlineStr">
        <is>
          <t>A 56540-2024</t>
        </is>
      </c>
      <c r="B406" s="1" t="n">
        <v>45625</v>
      </c>
      <c r="C406" s="1" t="n">
        <v>45940</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6116-2023</t>
        </is>
      </c>
      <c r="B407" s="1" t="n">
        <v>44964</v>
      </c>
      <c r="C407" s="1" t="n">
        <v>45940</v>
      </c>
      <c r="D407" t="inlineStr">
        <is>
          <t>VÄSTMANLANDS LÄN</t>
        </is>
      </c>
      <c r="E407" t="inlineStr">
        <is>
          <t>SALA</t>
        </is>
      </c>
      <c r="G407" t="n">
        <v>1.9</v>
      </c>
      <c r="H407" t="n">
        <v>0</v>
      </c>
      <c r="I407" t="n">
        <v>0</v>
      </c>
      <c r="J407" t="n">
        <v>0</v>
      </c>
      <c r="K407" t="n">
        <v>0</v>
      </c>
      <c r="L407" t="n">
        <v>0</v>
      </c>
      <c r="M407" t="n">
        <v>0</v>
      </c>
      <c r="N407" t="n">
        <v>0</v>
      </c>
      <c r="O407" t="n">
        <v>0</v>
      </c>
      <c r="P407" t="n">
        <v>0</v>
      </c>
      <c r="Q407" t="n">
        <v>0</v>
      </c>
      <c r="R407" s="2" t="inlineStr"/>
    </row>
    <row r="408" ht="15" customHeight="1">
      <c r="A408" t="inlineStr">
        <is>
          <t>A 31859-2023</t>
        </is>
      </c>
      <c r="B408" s="1" t="n">
        <v>45118</v>
      </c>
      <c r="C408" s="1" t="n">
        <v>45940</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c r="U408">
        <f>HYPERLINK("https://klasma.github.io/Logging_1981/knärot/A 31859-2023 karta knärot.png", "A 31859-2023")</f>
        <v/>
      </c>
      <c r="V408">
        <f>HYPERLINK("https://klasma.github.io/Logging_1981/klagomål/A 31859-2023 FSC-klagomål.docx", "A 31859-2023")</f>
        <v/>
      </c>
      <c r="W408">
        <f>HYPERLINK("https://klasma.github.io/Logging_1981/klagomålsmail/A 31859-2023 FSC-klagomål mail.docx", "A 31859-2023")</f>
        <v/>
      </c>
      <c r="X408">
        <f>HYPERLINK("https://klasma.github.io/Logging_1981/tillsyn/A 31859-2023 tillsynsbegäran.docx", "A 31859-2023")</f>
        <v/>
      </c>
      <c r="Y408">
        <f>HYPERLINK("https://klasma.github.io/Logging_1981/tillsynsmail/A 31859-2023 tillsynsbegäran mail.docx", "A 31859-2023")</f>
        <v/>
      </c>
    </row>
    <row r="409" ht="15" customHeight="1">
      <c r="A409" t="inlineStr">
        <is>
          <t>A 7469-2025</t>
        </is>
      </c>
      <c r="B409" s="1" t="n">
        <v>45705</v>
      </c>
      <c r="C409" s="1" t="n">
        <v>45940</v>
      </c>
      <c r="D409" t="inlineStr">
        <is>
          <t>VÄSTMANLANDS LÄN</t>
        </is>
      </c>
      <c r="E409" t="inlineStr">
        <is>
          <t>SALA</t>
        </is>
      </c>
      <c r="G409" t="n">
        <v>2.1</v>
      </c>
      <c r="H409" t="n">
        <v>0</v>
      </c>
      <c r="I409" t="n">
        <v>0</v>
      </c>
      <c r="J409" t="n">
        <v>0</v>
      </c>
      <c r="K409" t="n">
        <v>0</v>
      </c>
      <c r="L409" t="n">
        <v>0</v>
      </c>
      <c r="M409" t="n">
        <v>0</v>
      </c>
      <c r="N409" t="n">
        <v>0</v>
      </c>
      <c r="O409" t="n">
        <v>0</v>
      </c>
      <c r="P409" t="n">
        <v>0</v>
      </c>
      <c r="Q409" t="n">
        <v>0</v>
      </c>
      <c r="R409" s="2" t="inlineStr"/>
    </row>
    <row r="410" ht="15" customHeight="1">
      <c r="A410" t="inlineStr">
        <is>
          <t>A 25860-2024</t>
        </is>
      </c>
      <c r="B410" s="1" t="n">
        <v>45467.46278935186</v>
      </c>
      <c r="C410" s="1" t="n">
        <v>45940</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10154-2021</t>
        </is>
      </c>
      <c r="B411" s="1" t="n">
        <v>44256</v>
      </c>
      <c r="C411" s="1" t="n">
        <v>45940</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28628-2025</t>
        </is>
      </c>
      <c r="B412" s="1" t="n">
        <v>45819.62158564815</v>
      </c>
      <c r="C412" s="1" t="n">
        <v>45940</v>
      </c>
      <c r="D412" t="inlineStr">
        <is>
          <t>VÄSTMANLANDS LÄN</t>
        </is>
      </c>
      <c r="E412" t="inlineStr">
        <is>
          <t>SALA</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56916-2022</t>
        </is>
      </c>
      <c r="B413" s="1" t="n">
        <v>44888</v>
      </c>
      <c r="C413" s="1" t="n">
        <v>45940</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28632-2025</t>
        </is>
      </c>
      <c r="B414" s="1" t="n">
        <v>45819.62344907408</v>
      </c>
      <c r="C414" s="1" t="n">
        <v>45940</v>
      </c>
      <c r="D414" t="inlineStr">
        <is>
          <t>VÄSTMANLANDS LÄN</t>
        </is>
      </c>
      <c r="E414" t="inlineStr">
        <is>
          <t>SALA</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28630-2025</t>
        </is>
      </c>
      <c r="B415" s="1" t="n">
        <v>45819.62274305556</v>
      </c>
      <c r="C415" s="1" t="n">
        <v>45940</v>
      </c>
      <c r="D415" t="inlineStr">
        <is>
          <t>VÄSTMANLANDS LÄN</t>
        </is>
      </c>
      <c r="E415" t="inlineStr">
        <is>
          <t>SALA</t>
        </is>
      </c>
      <c r="F415" t="inlineStr">
        <is>
          <t>Sveaskog</t>
        </is>
      </c>
      <c r="G415" t="n">
        <v>9</v>
      </c>
      <c r="H415" t="n">
        <v>0</v>
      </c>
      <c r="I415" t="n">
        <v>0</v>
      </c>
      <c r="J415" t="n">
        <v>0</v>
      </c>
      <c r="K415" t="n">
        <v>0</v>
      </c>
      <c r="L415" t="n">
        <v>0</v>
      </c>
      <c r="M415" t="n">
        <v>0</v>
      </c>
      <c r="N415" t="n">
        <v>0</v>
      </c>
      <c r="O415" t="n">
        <v>0</v>
      </c>
      <c r="P415" t="n">
        <v>0</v>
      </c>
      <c r="Q415" t="n">
        <v>0</v>
      </c>
      <c r="R415" s="2" t="inlineStr"/>
    </row>
    <row r="416" ht="15" customHeight="1">
      <c r="A416" t="inlineStr">
        <is>
          <t>A 60034-2024</t>
        </is>
      </c>
      <c r="B416" s="1" t="n">
        <v>45642.46261574074</v>
      </c>
      <c r="C416" s="1" t="n">
        <v>45940</v>
      </c>
      <c r="D416" t="inlineStr">
        <is>
          <t>VÄSTMANLANDS LÄN</t>
        </is>
      </c>
      <c r="E416" t="inlineStr">
        <is>
          <t>SALA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28837-2025</t>
        </is>
      </c>
      <c r="B417" s="1" t="n">
        <v>45820.56243055555</v>
      </c>
      <c r="C417" s="1" t="n">
        <v>45940</v>
      </c>
      <c r="D417" t="inlineStr">
        <is>
          <t>VÄSTMANLANDS LÄN</t>
        </is>
      </c>
      <c r="E417" t="inlineStr">
        <is>
          <t>SALA</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28849-2025</t>
        </is>
      </c>
      <c r="B418" s="1" t="n">
        <v>45820</v>
      </c>
      <c r="C418" s="1" t="n">
        <v>45940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29085-2025</t>
        </is>
      </c>
      <c r="B419" s="1" t="n">
        <v>45821</v>
      </c>
      <c r="C419" s="1" t="n">
        <v>45940</v>
      </c>
      <c r="D419" t="inlineStr">
        <is>
          <t>VÄSTMANLANDS LÄN</t>
        </is>
      </c>
      <c r="E419" t="inlineStr">
        <is>
          <t>SALA</t>
        </is>
      </c>
      <c r="G419" t="n">
        <v>3.5</v>
      </c>
      <c r="H419" t="n">
        <v>0</v>
      </c>
      <c r="I419" t="n">
        <v>0</v>
      </c>
      <c r="J419" t="n">
        <v>0</v>
      </c>
      <c r="K419" t="n">
        <v>0</v>
      </c>
      <c r="L419" t="n">
        <v>0</v>
      </c>
      <c r="M419" t="n">
        <v>0</v>
      </c>
      <c r="N419" t="n">
        <v>0</v>
      </c>
      <c r="O419" t="n">
        <v>0</v>
      </c>
      <c r="P419" t="n">
        <v>0</v>
      </c>
      <c r="Q419" t="n">
        <v>0</v>
      </c>
      <c r="R419" s="2" t="inlineStr"/>
    </row>
    <row r="420" ht="15" customHeight="1">
      <c r="A420" t="inlineStr">
        <is>
          <t>A 34867-2023</t>
        </is>
      </c>
      <c r="B420" s="1" t="n">
        <v>45142.33481481481</v>
      </c>
      <c r="C420" s="1" t="n">
        <v>45940</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29691-2025</t>
        </is>
      </c>
      <c r="B421" s="1" t="n">
        <v>45825.53645833334</v>
      </c>
      <c r="C421" s="1" t="n">
        <v>45940</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11631-2023</t>
        </is>
      </c>
      <c r="B422" s="1" t="n">
        <v>44994.44001157407</v>
      </c>
      <c r="C422" s="1" t="n">
        <v>45940</v>
      </c>
      <c r="D422" t="inlineStr">
        <is>
          <t>VÄSTMANLANDS LÄN</t>
        </is>
      </c>
      <c r="E422" t="inlineStr">
        <is>
          <t>SALA</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71471-2021</t>
        </is>
      </c>
      <c r="B423" s="1" t="n">
        <v>44540.53421296296</v>
      </c>
      <c r="C423" s="1" t="n">
        <v>45940</v>
      </c>
      <c r="D423" t="inlineStr">
        <is>
          <t>VÄSTMANLANDS LÄN</t>
        </is>
      </c>
      <c r="E423" t="inlineStr">
        <is>
          <t>SALA</t>
        </is>
      </c>
      <c r="G423" t="n">
        <v>13</v>
      </c>
      <c r="H423" t="n">
        <v>0</v>
      </c>
      <c r="I423" t="n">
        <v>0</v>
      </c>
      <c r="J423" t="n">
        <v>0</v>
      </c>
      <c r="K423" t="n">
        <v>0</v>
      </c>
      <c r="L423" t="n">
        <v>0</v>
      </c>
      <c r="M423" t="n">
        <v>0</v>
      </c>
      <c r="N423" t="n">
        <v>0</v>
      </c>
      <c r="O423" t="n">
        <v>0</v>
      </c>
      <c r="P423" t="n">
        <v>0</v>
      </c>
      <c r="Q423" t="n">
        <v>0</v>
      </c>
      <c r="R423" s="2" t="inlineStr"/>
    </row>
    <row r="424" ht="15" customHeight="1">
      <c r="A424" t="inlineStr">
        <is>
          <t>A 60541-2024</t>
        </is>
      </c>
      <c r="B424" s="1" t="n">
        <v>45643</v>
      </c>
      <c r="C424" s="1" t="n">
        <v>45940</v>
      </c>
      <c r="D424" t="inlineStr">
        <is>
          <t>VÄSTMANLANDS LÄN</t>
        </is>
      </c>
      <c r="E424" t="inlineStr">
        <is>
          <t>SALA</t>
        </is>
      </c>
      <c r="G424" t="n">
        <v>10.6</v>
      </c>
      <c r="H424" t="n">
        <v>0</v>
      </c>
      <c r="I424" t="n">
        <v>0</v>
      </c>
      <c r="J424" t="n">
        <v>0</v>
      </c>
      <c r="K424" t="n">
        <v>0</v>
      </c>
      <c r="L424" t="n">
        <v>0</v>
      </c>
      <c r="M424" t="n">
        <v>0</v>
      </c>
      <c r="N424" t="n">
        <v>0</v>
      </c>
      <c r="O424" t="n">
        <v>0</v>
      </c>
      <c r="P424" t="n">
        <v>0</v>
      </c>
      <c r="Q424" t="n">
        <v>0</v>
      </c>
      <c r="R424" s="2" t="inlineStr"/>
    </row>
    <row r="425" ht="15" customHeight="1">
      <c r="A425" t="inlineStr">
        <is>
          <t>A 13987-2023</t>
        </is>
      </c>
      <c r="B425" s="1" t="n">
        <v>45007</v>
      </c>
      <c r="C425" s="1" t="n">
        <v>45940</v>
      </c>
      <c r="D425" t="inlineStr">
        <is>
          <t>VÄSTMANLANDS LÄN</t>
        </is>
      </c>
      <c r="E425" t="inlineStr">
        <is>
          <t>SALA</t>
        </is>
      </c>
      <c r="G425" t="n">
        <v>3.2</v>
      </c>
      <c r="H425" t="n">
        <v>0</v>
      </c>
      <c r="I425" t="n">
        <v>0</v>
      </c>
      <c r="J425" t="n">
        <v>0</v>
      </c>
      <c r="K425" t="n">
        <v>0</v>
      </c>
      <c r="L425" t="n">
        <v>0</v>
      </c>
      <c r="M425" t="n">
        <v>0</v>
      </c>
      <c r="N425" t="n">
        <v>0</v>
      </c>
      <c r="O425" t="n">
        <v>0</v>
      </c>
      <c r="P425" t="n">
        <v>0</v>
      </c>
      <c r="Q425" t="n">
        <v>0</v>
      </c>
      <c r="R425" s="2" t="inlineStr"/>
    </row>
    <row r="426" ht="15" customHeight="1">
      <c r="A426" t="inlineStr">
        <is>
          <t>A 13990-2023</t>
        </is>
      </c>
      <c r="B426" s="1" t="n">
        <v>45007</v>
      </c>
      <c r="C426" s="1" t="n">
        <v>45940</v>
      </c>
      <c r="D426" t="inlineStr">
        <is>
          <t>VÄSTMANLANDS LÄN</t>
        </is>
      </c>
      <c r="E426" t="inlineStr">
        <is>
          <t>SALA</t>
        </is>
      </c>
      <c r="G426" t="n">
        <v>2.6</v>
      </c>
      <c r="H426" t="n">
        <v>0</v>
      </c>
      <c r="I426" t="n">
        <v>0</v>
      </c>
      <c r="J426" t="n">
        <v>0</v>
      </c>
      <c r="K426" t="n">
        <v>0</v>
      </c>
      <c r="L426" t="n">
        <v>0</v>
      </c>
      <c r="M426" t="n">
        <v>0</v>
      </c>
      <c r="N426" t="n">
        <v>0</v>
      </c>
      <c r="O426" t="n">
        <v>0</v>
      </c>
      <c r="P426" t="n">
        <v>0</v>
      </c>
      <c r="Q426" t="n">
        <v>0</v>
      </c>
      <c r="R426" s="2" t="inlineStr"/>
    </row>
    <row r="427" ht="15" customHeight="1">
      <c r="A427" t="inlineStr">
        <is>
          <t>A 8775-2024</t>
        </is>
      </c>
      <c r="B427" s="1" t="n">
        <v>45356</v>
      </c>
      <c r="C427" s="1" t="n">
        <v>45940</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48710-2024</t>
        </is>
      </c>
      <c r="B428" s="1" t="n">
        <v>45593.53636574074</v>
      </c>
      <c r="C428" s="1" t="n">
        <v>45940</v>
      </c>
      <c r="D428" t="inlineStr">
        <is>
          <t>VÄSTMANLANDS LÄN</t>
        </is>
      </c>
      <c r="E428" t="inlineStr">
        <is>
          <t>SALA</t>
        </is>
      </c>
      <c r="G428" t="n">
        <v>6.5</v>
      </c>
      <c r="H428" t="n">
        <v>0</v>
      </c>
      <c r="I428" t="n">
        <v>0</v>
      </c>
      <c r="J428" t="n">
        <v>0</v>
      </c>
      <c r="K428" t="n">
        <v>0</v>
      </c>
      <c r="L428" t="n">
        <v>0</v>
      </c>
      <c r="M428" t="n">
        <v>0</v>
      </c>
      <c r="N428" t="n">
        <v>0</v>
      </c>
      <c r="O428" t="n">
        <v>0</v>
      </c>
      <c r="P428" t="n">
        <v>0</v>
      </c>
      <c r="Q428" t="n">
        <v>0</v>
      </c>
      <c r="R428" s="2" t="inlineStr"/>
    </row>
    <row r="429" ht="15" customHeight="1">
      <c r="A429" t="inlineStr">
        <is>
          <t>A 29826-2025</t>
        </is>
      </c>
      <c r="B429" s="1" t="n">
        <v>45825.85761574074</v>
      </c>
      <c r="C429" s="1" t="n">
        <v>45940</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16404-2022</t>
        </is>
      </c>
      <c r="B430" s="1" t="n">
        <v>44671</v>
      </c>
      <c r="C430" s="1" t="n">
        <v>45940</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45940</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17051-2025</t>
        </is>
      </c>
      <c r="B432" s="1" t="n">
        <v>45755</v>
      </c>
      <c r="C432" s="1" t="n">
        <v>45940</v>
      </c>
      <c r="D432" t="inlineStr">
        <is>
          <t>VÄSTMANLANDS LÄN</t>
        </is>
      </c>
      <c r="E432" t="inlineStr">
        <is>
          <t>SALA</t>
        </is>
      </c>
      <c r="G432" t="n">
        <v>2.9</v>
      </c>
      <c r="H432" t="n">
        <v>0</v>
      </c>
      <c r="I432" t="n">
        <v>0</v>
      </c>
      <c r="J432" t="n">
        <v>0</v>
      </c>
      <c r="K432" t="n">
        <v>0</v>
      </c>
      <c r="L432" t="n">
        <v>0</v>
      </c>
      <c r="M432" t="n">
        <v>0</v>
      </c>
      <c r="N432" t="n">
        <v>0</v>
      </c>
      <c r="O432" t="n">
        <v>0</v>
      </c>
      <c r="P432" t="n">
        <v>0</v>
      </c>
      <c r="Q432" t="n">
        <v>0</v>
      </c>
      <c r="R432" s="2" t="inlineStr"/>
    </row>
    <row r="433" ht="15" customHeight="1">
      <c r="A433" t="inlineStr">
        <is>
          <t>A 43509-2021</t>
        </is>
      </c>
      <c r="B433" s="1" t="n">
        <v>44433</v>
      </c>
      <c r="C433" s="1" t="n">
        <v>45940</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24248-2023</t>
        </is>
      </c>
      <c r="B434" s="1" t="n">
        <v>45079</v>
      </c>
      <c r="C434" s="1" t="n">
        <v>45940</v>
      </c>
      <c r="D434" t="inlineStr">
        <is>
          <t>VÄSTMANLANDS LÄN</t>
        </is>
      </c>
      <c r="E434" t="inlineStr">
        <is>
          <t>SALA</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54959-2024</t>
        </is>
      </c>
      <c r="B435" s="1" t="n">
        <v>45619</v>
      </c>
      <c r="C435" s="1" t="n">
        <v>45940</v>
      </c>
      <c r="D435" t="inlineStr">
        <is>
          <t>VÄSTMANLANDS LÄN</t>
        </is>
      </c>
      <c r="E435" t="inlineStr">
        <is>
          <t>SALA</t>
        </is>
      </c>
      <c r="G435" t="n">
        <v>1.3</v>
      </c>
      <c r="H435" t="n">
        <v>0</v>
      </c>
      <c r="I435" t="n">
        <v>0</v>
      </c>
      <c r="J435" t="n">
        <v>0</v>
      </c>
      <c r="K435" t="n">
        <v>0</v>
      </c>
      <c r="L435" t="n">
        <v>0</v>
      </c>
      <c r="M435" t="n">
        <v>0</v>
      </c>
      <c r="N435" t="n">
        <v>0</v>
      </c>
      <c r="O435" t="n">
        <v>0</v>
      </c>
      <c r="P435" t="n">
        <v>0</v>
      </c>
      <c r="Q435" t="n">
        <v>0</v>
      </c>
      <c r="R435" s="2" t="inlineStr"/>
    </row>
    <row r="436" ht="15" customHeight="1">
      <c r="A436" t="inlineStr">
        <is>
          <t>A 56964-2023</t>
        </is>
      </c>
      <c r="B436" s="1" t="n">
        <v>45244.63140046296</v>
      </c>
      <c r="C436" s="1" t="n">
        <v>45940</v>
      </c>
      <c r="D436" t="inlineStr">
        <is>
          <t>VÄSTMANLANDS LÄN</t>
        </is>
      </c>
      <c r="E436" t="inlineStr">
        <is>
          <t>SALA</t>
        </is>
      </c>
      <c r="G436" t="n">
        <v>4.6</v>
      </c>
      <c r="H436" t="n">
        <v>0</v>
      </c>
      <c r="I436" t="n">
        <v>0</v>
      </c>
      <c r="J436" t="n">
        <v>0</v>
      </c>
      <c r="K436" t="n">
        <v>0</v>
      </c>
      <c r="L436" t="n">
        <v>0</v>
      </c>
      <c r="M436" t="n">
        <v>0</v>
      </c>
      <c r="N436" t="n">
        <v>0</v>
      </c>
      <c r="O436" t="n">
        <v>0</v>
      </c>
      <c r="P436" t="n">
        <v>0</v>
      </c>
      <c r="Q436" t="n">
        <v>0</v>
      </c>
      <c r="R436" s="2" t="inlineStr"/>
    </row>
    <row r="437" ht="15" customHeight="1">
      <c r="A437" t="inlineStr">
        <is>
          <t>A 37337-2024</t>
        </is>
      </c>
      <c r="B437" s="1" t="n">
        <v>45540</v>
      </c>
      <c r="C437" s="1" t="n">
        <v>45940</v>
      </c>
      <c r="D437" t="inlineStr">
        <is>
          <t>VÄSTMANLANDS LÄN</t>
        </is>
      </c>
      <c r="E437" t="inlineStr">
        <is>
          <t>SALA</t>
        </is>
      </c>
      <c r="G437" t="n">
        <v>6.5</v>
      </c>
      <c r="H437" t="n">
        <v>0</v>
      </c>
      <c r="I437" t="n">
        <v>0</v>
      </c>
      <c r="J437" t="n">
        <v>0</v>
      </c>
      <c r="K437" t="n">
        <v>0</v>
      </c>
      <c r="L437" t="n">
        <v>0</v>
      </c>
      <c r="M437" t="n">
        <v>0</v>
      </c>
      <c r="N437" t="n">
        <v>0</v>
      </c>
      <c r="O437" t="n">
        <v>0</v>
      </c>
      <c r="P437" t="n">
        <v>0</v>
      </c>
      <c r="Q437" t="n">
        <v>0</v>
      </c>
      <c r="R437" s="2" t="inlineStr"/>
    </row>
    <row r="438" ht="15" customHeight="1">
      <c r="A438" t="inlineStr">
        <is>
          <t>A 17120-2023</t>
        </is>
      </c>
      <c r="B438" s="1" t="n">
        <v>45034</v>
      </c>
      <c r="C438" s="1" t="n">
        <v>45940</v>
      </c>
      <c r="D438" t="inlineStr">
        <is>
          <t>VÄSTMANLANDS LÄN</t>
        </is>
      </c>
      <c r="E438" t="inlineStr">
        <is>
          <t>SALA</t>
        </is>
      </c>
      <c r="G438" t="n">
        <v>0.1</v>
      </c>
      <c r="H438" t="n">
        <v>0</v>
      </c>
      <c r="I438" t="n">
        <v>0</v>
      </c>
      <c r="J438" t="n">
        <v>0</v>
      </c>
      <c r="K438" t="n">
        <v>0</v>
      </c>
      <c r="L438" t="n">
        <v>0</v>
      </c>
      <c r="M438" t="n">
        <v>0</v>
      </c>
      <c r="N438" t="n">
        <v>0</v>
      </c>
      <c r="O438" t="n">
        <v>0</v>
      </c>
      <c r="P438" t="n">
        <v>0</v>
      </c>
      <c r="Q438" t="n">
        <v>0</v>
      </c>
      <c r="R438" s="2" t="inlineStr"/>
    </row>
    <row r="439" ht="15" customHeight="1">
      <c r="A439" t="inlineStr">
        <is>
          <t>A 34494-2023</t>
        </is>
      </c>
      <c r="B439" s="1" t="n">
        <v>45133</v>
      </c>
      <c r="C439" s="1" t="n">
        <v>45940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10579-2022</t>
        </is>
      </c>
      <c r="B440" s="1" t="n">
        <v>44624</v>
      </c>
      <c r="C440" s="1" t="n">
        <v>45940</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46915-2025</t>
        </is>
      </c>
      <c r="B441" s="1" t="n">
        <v>45929.42114583333</v>
      </c>
      <c r="C441" s="1" t="n">
        <v>45940</v>
      </c>
      <c r="D441" t="inlineStr">
        <is>
          <t>VÄSTMANLANDS LÄN</t>
        </is>
      </c>
      <c r="E441" t="inlineStr">
        <is>
          <t>SALA</t>
        </is>
      </c>
      <c r="G441" t="n">
        <v>1.5</v>
      </c>
      <c r="H441" t="n">
        <v>0</v>
      </c>
      <c r="I441" t="n">
        <v>0</v>
      </c>
      <c r="J441" t="n">
        <v>0</v>
      </c>
      <c r="K441" t="n">
        <v>0</v>
      </c>
      <c r="L441" t="n">
        <v>0</v>
      </c>
      <c r="M441" t="n">
        <v>0</v>
      </c>
      <c r="N441" t="n">
        <v>0</v>
      </c>
      <c r="O441" t="n">
        <v>0</v>
      </c>
      <c r="P441" t="n">
        <v>0</v>
      </c>
      <c r="Q441" t="n">
        <v>0</v>
      </c>
      <c r="R441" s="2" t="inlineStr"/>
    </row>
    <row r="442" ht="15" customHeight="1">
      <c r="A442" t="inlineStr">
        <is>
          <t>A 9335-2022</t>
        </is>
      </c>
      <c r="B442" s="1" t="n">
        <v>44616.56579861111</v>
      </c>
      <c r="C442" s="1" t="n">
        <v>45940</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10559-2024</t>
        </is>
      </c>
      <c r="B443" s="1" t="n">
        <v>45366</v>
      </c>
      <c r="C443" s="1" t="n">
        <v>45940</v>
      </c>
      <c r="D443" t="inlineStr">
        <is>
          <t>VÄSTMANLANDS LÄN</t>
        </is>
      </c>
      <c r="E443" t="inlineStr">
        <is>
          <t>SALA</t>
        </is>
      </c>
      <c r="G443" t="n">
        <v>0.3</v>
      </c>
      <c r="H443" t="n">
        <v>0</v>
      </c>
      <c r="I443" t="n">
        <v>0</v>
      </c>
      <c r="J443" t="n">
        <v>0</v>
      </c>
      <c r="K443" t="n">
        <v>0</v>
      </c>
      <c r="L443" t="n">
        <v>0</v>
      </c>
      <c r="M443" t="n">
        <v>0</v>
      </c>
      <c r="N443" t="n">
        <v>0</v>
      </c>
      <c r="O443" t="n">
        <v>0</v>
      </c>
      <c r="P443" t="n">
        <v>0</v>
      </c>
      <c r="Q443" t="n">
        <v>0</v>
      </c>
      <c r="R443" s="2" t="inlineStr"/>
    </row>
    <row r="444" ht="15" customHeight="1">
      <c r="A444" t="inlineStr">
        <is>
          <t>A 45313-2024</t>
        </is>
      </c>
      <c r="B444" s="1" t="n">
        <v>45576</v>
      </c>
      <c r="C444" s="1" t="n">
        <v>45940</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46597-2025</t>
        </is>
      </c>
      <c r="B445" s="1" t="n">
        <v>45926.40113425926</v>
      </c>
      <c r="C445" s="1" t="n">
        <v>45940</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40214-2023</t>
        </is>
      </c>
      <c r="B446" s="1" t="n">
        <v>45169.45173611111</v>
      </c>
      <c r="C446" s="1" t="n">
        <v>45940</v>
      </c>
      <c r="D446" t="inlineStr">
        <is>
          <t>VÄSTMANLANDS LÄN</t>
        </is>
      </c>
      <c r="E446" t="inlineStr">
        <is>
          <t>SALA</t>
        </is>
      </c>
      <c r="G446" t="n">
        <v>5.5</v>
      </c>
      <c r="H446" t="n">
        <v>0</v>
      </c>
      <c r="I446" t="n">
        <v>0</v>
      </c>
      <c r="J446" t="n">
        <v>0</v>
      </c>
      <c r="K446" t="n">
        <v>0</v>
      </c>
      <c r="L446" t="n">
        <v>0</v>
      </c>
      <c r="M446" t="n">
        <v>0</v>
      </c>
      <c r="N446" t="n">
        <v>0</v>
      </c>
      <c r="O446" t="n">
        <v>0</v>
      </c>
      <c r="P446" t="n">
        <v>0</v>
      </c>
      <c r="Q446" t="n">
        <v>0</v>
      </c>
      <c r="R446" s="2" t="inlineStr"/>
    </row>
    <row r="447" ht="15" customHeight="1">
      <c r="A447" t="inlineStr">
        <is>
          <t>A 23119-2022</t>
        </is>
      </c>
      <c r="B447" s="1" t="n">
        <v>44719.56697916667</v>
      </c>
      <c r="C447" s="1" t="n">
        <v>45940</v>
      </c>
      <c r="D447" t="inlineStr">
        <is>
          <t>VÄSTMANLANDS LÄN</t>
        </is>
      </c>
      <c r="E447" t="inlineStr">
        <is>
          <t>SALA</t>
        </is>
      </c>
      <c r="G447" t="n">
        <v>7</v>
      </c>
      <c r="H447" t="n">
        <v>0</v>
      </c>
      <c r="I447" t="n">
        <v>0</v>
      </c>
      <c r="J447" t="n">
        <v>0</v>
      </c>
      <c r="K447" t="n">
        <v>0</v>
      </c>
      <c r="L447" t="n">
        <v>0</v>
      </c>
      <c r="M447" t="n">
        <v>0</v>
      </c>
      <c r="N447" t="n">
        <v>0</v>
      </c>
      <c r="O447" t="n">
        <v>0</v>
      </c>
      <c r="P447" t="n">
        <v>0</v>
      </c>
      <c r="Q447" t="n">
        <v>0</v>
      </c>
      <c r="R447" s="2" t="inlineStr"/>
    </row>
    <row r="448" ht="15" customHeight="1">
      <c r="A448" t="inlineStr">
        <is>
          <t>A 9856-2022</t>
        </is>
      </c>
      <c r="B448" s="1" t="n">
        <v>44620</v>
      </c>
      <c r="C448" s="1" t="n">
        <v>45940</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18100-2023</t>
        </is>
      </c>
      <c r="B449" s="1" t="n">
        <v>45040</v>
      </c>
      <c r="C449" s="1" t="n">
        <v>45940</v>
      </c>
      <c r="D449" t="inlineStr">
        <is>
          <t>VÄSTMANLANDS LÄN</t>
        </is>
      </c>
      <c r="E449" t="inlineStr">
        <is>
          <t>SALA</t>
        </is>
      </c>
      <c r="G449" t="n">
        <v>1.8</v>
      </c>
      <c r="H449" t="n">
        <v>0</v>
      </c>
      <c r="I449" t="n">
        <v>0</v>
      </c>
      <c r="J449" t="n">
        <v>0</v>
      </c>
      <c r="K449" t="n">
        <v>0</v>
      </c>
      <c r="L449" t="n">
        <v>0</v>
      </c>
      <c r="M449" t="n">
        <v>0</v>
      </c>
      <c r="N449" t="n">
        <v>0</v>
      </c>
      <c r="O449" t="n">
        <v>0</v>
      </c>
      <c r="P449" t="n">
        <v>0</v>
      </c>
      <c r="Q449" t="n">
        <v>0</v>
      </c>
      <c r="R449" s="2" t="inlineStr"/>
    </row>
    <row r="450" ht="15" customHeight="1">
      <c r="A450" t="inlineStr">
        <is>
          <t>A 1196-2023</t>
        </is>
      </c>
      <c r="B450" s="1" t="n">
        <v>44935.82290509259</v>
      </c>
      <c r="C450" s="1" t="n">
        <v>45940</v>
      </c>
      <c r="D450" t="inlineStr">
        <is>
          <t>VÄSTMANLANDS LÄN</t>
        </is>
      </c>
      <c r="E450" t="inlineStr">
        <is>
          <t>SALA</t>
        </is>
      </c>
      <c r="G450" t="n">
        <v>4.1</v>
      </c>
      <c r="H450" t="n">
        <v>0</v>
      </c>
      <c r="I450" t="n">
        <v>0</v>
      </c>
      <c r="J450" t="n">
        <v>0</v>
      </c>
      <c r="K450" t="n">
        <v>0</v>
      </c>
      <c r="L450" t="n">
        <v>0</v>
      </c>
      <c r="M450" t="n">
        <v>0</v>
      </c>
      <c r="N450" t="n">
        <v>0</v>
      </c>
      <c r="O450" t="n">
        <v>0</v>
      </c>
      <c r="P450" t="n">
        <v>0</v>
      </c>
      <c r="Q450" t="n">
        <v>0</v>
      </c>
      <c r="R450" s="2" t="inlineStr"/>
    </row>
    <row r="451" ht="15" customHeight="1">
      <c r="A451" t="inlineStr">
        <is>
          <t>A 31608-2025</t>
        </is>
      </c>
      <c r="B451" s="1" t="n">
        <v>45833</v>
      </c>
      <c r="C451" s="1" t="n">
        <v>45940</v>
      </c>
      <c r="D451" t="inlineStr">
        <is>
          <t>VÄSTMANLANDS LÄN</t>
        </is>
      </c>
      <c r="E451" t="inlineStr">
        <is>
          <t>SALA</t>
        </is>
      </c>
      <c r="G451" t="n">
        <v>6.1</v>
      </c>
      <c r="H451" t="n">
        <v>0</v>
      </c>
      <c r="I451" t="n">
        <v>0</v>
      </c>
      <c r="J451" t="n">
        <v>0</v>
      </c>
      <c r="K451" t="n">
        <v>0</v>
      </c>
      <c r="L451" t="n">
        <v>0</v>
      </c>
      <c r="M451" t="n">
        <v>0</v>
      </c>
      <c r="N451" t="n">
        <v>0</v>
      </c>
      <c r="O451" t="n">
        <v>0</v>
      </c>
      <c r="P451" t="n">
        <v>0</v>
      </c>
      <c r="Q451" t="n">
        <v>0</v>
      </c>
      <c r="R451" s="2" t="inlineStr"/>
    </row>
    <row r="452" ht="15" customHeight="1">
      <c r="A452" t="inlineStr">
        <is>
          <t>A 30866-2025</t>
        </is>
      </c>
      <c r="B452" s="1" t="n">
        <v>45832.3246875</v>
      </c>
      <c r="C452" s="1" t="n">
        <v>45940</v>
      </c>
      <c r="D452" t="inlineStr">
        <is>
          <t>VÄSTMANLANDS LÄN</t>
        </is>
      </c>
      <c r="E452" t="inlineStr">
        <is>
          <t>SALA</t>
        </is>
      </c>
      <c r="G452" t="n">
        <v>14.3</v>
      </c>
      <c r="H452" t="n">
        <v>0</v>
      </c>
      <c r="I452" t="n">
        <v>0</v>
      </c>
      <c r="J452" t="n">
        <v>0</v>
      </c>
      <c r="K452" t="n">
        <v>0</v>
      </c>
      <c r="L452" t="n">
        <v>0</v>
      </c>
      <c r="M452" t="n">
        <v>0</v>
      </c>
      <c r="N452" t="n">
        <v>0</v>
      </c>
      <c r="O452" t="n">
        <v>0</v>
      </c>
      <c r="P452" t="n">
        <v>0</v>
      </c>
      <c r="Q452" t="n">
        <v>0</v>
      </c>
      <c r="R452" s="2" t="inlineStr"/>
    </row>
    <row r="453" ht="15" customHeight="1">
      <c r="A453" t="inlineStr">
        <is>
          <t>A 30874-2025</t>
        </is>
      </c>
      <c r="B453" s="1" t="n">
        <v>45832.34430555555</v>
      </c>
      <c r="C453" s="1" t="n">
        <v>45940</v>
      </c>
      <c r="D453" t="inlineStr">
        <is>
          <t>VÄSTMANLANDS LÄN</t>
        </is>
      </c>
      <c r="E453" t="inlineStr">
        <is>
          <t>SALA</t>
        </is>
      </c>
      <c r="G453" t="n">
        <v>8.4</v>
      </c>
      <c r="H453" t="n">
        <v>0</v>
      </c>
      <c r="I453" t="n">
        <v>0</v>
      </c>
      <c r="J453" t="n">
        <v>0</v>
      </c>
      <c r="K453" t="n">
        <v>0</v>
      </c>
      <c r="L453" t="n">
        <v>0</v>
      </c>
      <c r="M453" t="n">
        <v>0</v>
      </c>
      <c r="N453" t="n">
        <v>0</v>
      </c>
      <c r="O453" t="n">
        <v>0</v>
      </c>
      <c r="P453" t="n">
        <v>0</v>
      </c>
      <c r="Q453" t="n">
        <v>0</v>
      </c>
      <c r="R453" s="2" t="inlineStr"/>
    </row>
    <row r="454" ht="15" customHeight="1">
      <c r="A454" t="inlineStr">
        <is>
          <t>A 31573-2025</t>
        </is>
      </c>
      <c r="B454" s="1" t="n">
        <v>45833</v>
      </c>
      <c r="C454" s="1" t="n">
        <v>45940</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31288-2025</t>
        </is>
      </c>
      <c r="B455" s="1" t="n">
        <v>45833</v>
      </c>
      <c r="C455" s="1" t="n">
        <v>45940</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31554-2025</t>
        </is>
      </c>
      <c r="B456" s="1" t="n">
        <v>45833</v>
      </c>
      <c r="C456" s="1" t="n">
        <v>45940</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30899-2025</t>
        </is>
      </c>
      <c r="B457" s="1" t="n">
        <v>45832.35767361111</v>
      </c>
      <c r="C457" s="1" t="n">
        <v>45940</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52503-2024</t>
        </is>
      </c>
      <c r="B458" s="1" t="n">
        <v>45609.58806712963</v>
      </c>
      <c r="C458" s="1" t="n">
        <v>45940</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23374-2023</t>
        </is>
      </c>
      <c r="B459" s="1" t="n">
        <v>45076.4399537037</v>
      </c>
      <c r="C459" s="1" t="n">
        <v>45940</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6134-2024</t>
        </is>
      </c>
      <c r="B460" s="1" t="n">
        <v>45337</v>
      </c>
      <c r="C460" s="1" t="n">
        <v>45940</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48117-2024</t>
        </is>
      </c>
      <c r="B461" s="1" t="n">
        <v>45589</v>
      </c>
      <c r="C461" s="1" t="n">
        <v>45940</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31065-2025</t>
        </is>
      </c>
      <c r="B462" s="1" t="n">
        <v>45832.57571759259</v>
      </c>
      <c r="C462" s="1" t="n">
        <v>45940</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31296-2025</t>
        </is>
      </c>
      <c r="B463" s="1" t="n">
        <v>45833.36765046296</v>
      </c>
      <c r="C463" s="1" t="n">
        <v>45940</v>
      </c>
      <c r="D463" t="inlineStr">
        <is>
          <t>VÄSTMANLANDS LÄN</t>
        </is>
      </c>
      <c r="E463" t="inlineStr">
        <is>
          <t>SALA</t>
        </is>
      </c>
      <c r="G463" t="n">
        <v>3.7</v>
      </c>
      <c r="H463" t="n">
        <v>0</v>
      </c>
      <c r="I463" t="n">
        <v>0</v>
      </c>
      <c r="J463" t="n">
        <v>0</v>
      </c>
      <c r="K463" t="n">
        <v>0</v>
      </c>
      <c r="L463" t="n">
        <v>0</v>
      </c>
      <c r="M463" t="n">
        <v>0</v>
      </c>
      <c r="N463" t="n">
        <v>0</v>
      </c>
      <c r="O463" t="n">
        <v>0</v>
      </c>
      <c r="P463" t="n">
        <v>0</v>
      </c>
      <c r="Q463" t="n">
        <v>0</v>
      </c>
      <c r="R463" s="2" t="inlineStr"/>
    </row>
    <row r="464" ht="15" customHeight="1">
      <c r="A464" t="inlineStr">
        <is>
          <t>A 31082-2021</t>
        </is>
      </c>
      <c r="B464" s="1" t="n">
        <v>44368</v>
      </c>
      <c r="C464" s="1" t="n">
        <v>45940</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31748-2025</t>
        </is>
      </c>
      <c r="B465" s="1" t="n">
        <v>45834</v>
      </c>
      <c r="C465" s="1" t="n">
        <v>45940</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7953-2024</t>
        </is>
      </c>
      <c r="B466" s="1" t="n">
        <v>45350</v>
      </c>
      <c r="C466" s="1" t="n">
        <v>45940</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32210-2025</t>
        </is>
      </c>
      <c r="B467" s="1" t="n">
        <v>45835</v>
      </c>
      <c r="C467" s="1" t="n">
        <v>45940</v>
      </c>
      <c r="D467" t="inlineStr">
        <is>
          <t>VÄSTMANLANDS LÄN</t>
        </is>
      </c>
      <c r="E467" t="inlineStr">
        <is>
          <t>SALA</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30028-2024</t>
        </is>
      </c>
      <c r="B468" s="1" t="n">
        <v>45485</v>
      </c>
      <c r="C468" s="1" t="n">
        <v>45940</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7950-2025</t>
        </is>
      </c>
      <c r="B469" s="1" t="n">
        <v>45707.41799768519</v>
      </c>
      <c r="C469" s="1" t="n">
        <v>45940</v>
      </c>
      <c r="D469" t="inlineStr">
        <is>
          <t>VÄSTMANLANDS LÄN</t>
        </is>
      </c>
      <c r="E469" t="inlineStr">
        <is>
          <t>SALA</t>
        </is>
      </c>
      <c r="G469" t="n">
        <v>3.2</v>
      </c>
      <c r="H469" t="n">
        <v>0</v>
      </c>
      <c r="I469" t="n">
        <v>0</v>
      </c>
      <c r="J469" t="n">
        <v>0</v>
      </c>
      <c r="K469" t="n">
        <v>0</v>
      </c>
      <c r="L469" t="n">
        <v>0</v>
      </c>
      <c r="M469" t="n">
        <v>0</v>
      </c>
      <c r="N469" t="n">
        <v>0</v>
      </c>
      <c r="O469" t="n">
        <v>0</v>
      </c>
      <c r="P469" t="n">
        <v>0</v>
      </c>
      <c r="Q469" t="n">
        <v>0</v>
      </c>
      <c r="R469" s="2" t="inlineStr"/>
    </row>
    <row r="470" ht="15" customHeight="1">
      <c r="A470" t="inlineStr">
        <is>
          <t>A 31610-2025</t>
        </is>
      </c>
      <c r="B470" s="1" t="n">
        <v>45833.78650462963</v>
      </c>
      <c r="C470" s="1" t="n">
        <v>45940</v>
      </c>
      <c r="D470" t="inlineStr">
        <is>
          <t>VÄSTMANLANDS LÄN</t>
        </is>
      </c>
      <c r="E470" t="inlineStr">
        <is>
          <t>SALA</t>
        </is>
      </c>
      <c r="G470" t="n">
        <v>8</v>
      </c>
      <c r="H470" t="n">
        <v>0</v>
      </c>
      <c r="I470" t="n">
        <v>0</v>
      </c>
      <c r="J470" t="n">
        <v>0</v>
      </c>
      <c r="K470" t="n">
        <v>0</v>
      </c>
      <c r="L470" t="n">
        <v>0</v>
      </c>
      <c r="M470" t="n">
        <v>0</v>
      </c>
      <c r="N470" t="n">
        <v>0</v>
      </c>
      <c r="O470" t="n">
        <v>0</v>
      </c>
      <c r="P470" t="n">
        <v>0</v>
      </c>
      <c r="Q470" t="n">
        <v>0</v>
      </c>
      <c r="R470" s="2" t="inlineStr"/>
    </row>
    <row r="471" ht="15" customHeight="1">
      <c r="A471" t="inlineStr">
        <is>
          <t>A 32201-2025</t>
        </is>
      </c>
      <c r="B471" s="1" t="n">
        <v>45835</v>
      </c>
      <c r="C471" s="1" t="n">
        <v>45940</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31612-2025</t>
        </is>
      </c>
      <c r="B472" s="1" t="n">
        <v>45833.80056712963</v>
      </c>
      <c r="C472" s="1" t="n">
        <v>45940</v>
      </c>
      <c r="D472" t="inlineStr">
        <is>
          <t>VÄSTMANLANDS LÄN</t>
        </is>
      </c>
      <c r="E472" t="inlineStr">
        <is>
          <t>SALA</t>
        </is>
      </c>
      <c r="G472" t="n">
        <v>6.3</v>
      </c>
      <c r="H472" t="n">
        <v>0</v>
      </c>
      <c r="I472" t="n">
        <v>0</v>
      </c>
      <c r="J472" t="n">
        <v>0</v>
      </c>
      <c r="K472" t="n">
        <v>0</v>
      </c>
      <c r="L472" t="n">
        <v>0</v>
      </c>
      <c r="M472" t="n">
        <v>0</v>
      </c>
      <c r="N472" t="n">
        <v>0</v>
      </c>
      <c r="O472" t="n">
        <v>0</v>
      </c>
      <c r="P472" t="n">
        <v>0</v>
      </c>
      <c r="Q472" t="n">
        <v>0</v>
      </c>
      <c r="R472" s="2" t="inlineStr"/>
    </row>
    <row r="473" ht="15" customHeight="1">
      <c r="A473" t="inlineStr">
        <is>
          <t>A 38574-2025</t>
        </is>
      </c>
      <c r="B473" s="1" t="n">
        <v>45884.46390046296</v>
      </c>
      <c r="C473" s="1" t="n">
        <v>45940</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31470-2021</t>
        </is>
      </c>
      <c r="B474" s="1" t="n">
        <v>44369</v>
      </c>
      <c r="C474" s="1" t="n">
        <v>45940</v>
      </c>
      <c r="D474" t="inlineStr">
        <is>
          <t>VÄSTMANLANDS LÄN</t>
        </is>
      </c>
      <c r="E474" t="inlineStr">
        <is>
          <t>SALA</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31860-2025</t>
        </is>
      </c>
      <c r="B475" s="1" t="n">
        <v>45834</v>
      </c>
      <c r="C475" s="1" t="n">
        <v>45940</v>
      </c>
      <c r="D475" t="inlineStr">
        <is>
          <t>VÄSTMANLANDS LÄN</t>
        </is>
      </c>
      <c r="E475" t="inlineStr">
        <is>
          <t>SALA</t>
        </is>
      </c>
      <c r="G475" t="n">
        <v>7.4</v>
      </c>
      <c r="H475" t="n">
        <v>0</v>
      </c>
      <c r="I475" t="n">
        <v>0</v>
      </c>
      <c r="J475" t="n">
        <v>0</v>
      </c>
      <c r="K475" t="n">
        <v>0</v>
      </c>
      <c r="L475" t="n">
        <v>0</v>
      </c>
      <c r="M475" t="n">
        <v>0</v>
      </c>
      <c r="N475" t="n">
        <v>0</v>
      </c>
      <c r="O475" t="n">
        <v>0</v>
      </c>
      <c r="P475" t="n">
        <v>0</v>
      </c>
      <c r="Q475" t="n">
        <v>0</v>
      </c>
      <c r="R475" s="2" t="inlineStr"/>
    </row>
    <row r="476" ht="15" customHeight="1">
      <c r="A476" t="inlineStr">
        <is>
          <t>A 32207-2025</t>
        </is>
      </c>
      <c r="B476" s="1" t="n">
        <v>45835</v>
      </c>
      <c r="C476" s="1" t="n">
        <v>45940</v>
      </c>
      <c r="D476" t="inlineStr">
        <is>
          <t>VÄSTMANLANDS LÄN</t>
        </is>
      </c>
      <c r="E476" t="inlineStr">
        <is>
          <t>SALA</t>
        </is>
      </c>
      <c r="F476" t="inlineStr">
        <is>
          <t>Bergvik skog öst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31762-2025</t>
        </is>
      </c>
      <c r="B477" s="1" t="n">
        <v>45834.49288194445</v>
      </c>
      <c r="C477" s="1" t="n">
        <v>45940</v>
      </c>
      <c r="D477" t="inlineStr">
        <is>
          <t>VÄSTMANLANDS LÄN</t>
        </is>
      </c>
      <c r="E477" t="inlineStr">
        <is>
          <t>SALA</t>
        </is>
      </c>
      <c r="G477" t="n">
        <v>5.9</v>
      </c>
      <c r="H477" t="n">
        <v>0</v>
      </c>
      <c r="I477" t="n">
        <v>0</v>
      </c>
      <c r="J477" t="n">
        <v>0</v>
      </c>
      <c r="K477" t="n">
        <v>0</v>
      </c>
      <c r="L477" t="n">
        <v>0</v>
      </c>
      <c r="M477" t="n">
        <v>0</v>
      </c>
      <c r="N477" t="n">
        <v>0</v>
      </c>
      <c r="O477" t="n">
        <v>0</v>
      </c>
      <c r="P477" t="n">
        <v>0</v>
      </c>
      <c r="Q477" t="n">
        <v>0</v>
      </c>
      <c r="R477" s="2" t="inlineStr"/>
    </row>
    <row r="478" ht="15" customHeight="1">
      <c r="A478" t="inlineStr">
        <is>
          <t>A 24175-2024</t>
        </is>
      </c>
      <c r="B478" s="1" t="n">
        <v>45456</v>
      </c>
      <c r="C478" s="1" t="n">
        <v>45940</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31771-2025</t>
        </is>
      </c>
      <c r="B479" s="1" t="n">
        <v>45834.50910879629</v>
      </c>
      <c r="C479" s="1" t="n">
        <v>45940</v>
      </c>
      <c r="D479" t="inlineStr">
        <is>
          <t>VÄSTMANLANDS LÄN</t>
        </is>
      </c>
      <c r="E479" t="inlineStr">
        <is>
          <t>SALA</t>
        </is>
      </c>
      <c r="G479" t="n">
        <v>5.1</v>
      </c>
      <c r="H479" t="n">
        <v>0</v>
      </c>
      <c r="I479" t="n">
        <v>0</v>
      </c>
      <c r="J479" t="n">
        <v>0</v>
      </c>
      <c r="K479" t="n">
        <v>0</v>
      </c>
      <c r="L479" t="n">
        <v>0</v>
      </c>
      <c r="M479" t="n">
        <v>0</v>
      </c>
      <c r="N479" t="n">
        <v>0</v>
      </c>
      <c r="O479" t="n">
        <v>0</v>
      </c>
      <c r="P479" t="n">
        <v>0</v>
      </c>
      <c r="Q479" t="n">
        <v>0</v>
      </c>
      <c r="R479" s="2" t="inlineStr"/>
    </row>
    <row r="480" ht="15" customHeight="1">
      <c r="A480" t="inlineStr">
        <is>
          <t>A 32205-2025</t>
        </is>
      </c>
      <c r="B480" s="1" t="n">
        <v>45835</v>
      </c>
      <c r="C480" s="1" t="n">
        <v>45940</v>
      </c>
      <c r="D480" t="inlineStr">
        <is>
          <t>VÄSTMANLANDS LÄN</t>
        </is>
      </c>
      <c r="E480" t="inlineStr">
        <is>
          <t>SALA</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32286-2025</t>
        </is>
      </c>
      <c r="B481" s="1" t="n">
        <v>45835</v>
      </c>
      <c r="C481" s="1" t="n">
        <v>45940</v>
      </c>
      <c r="D481" t="inlineStr">
        <is>
          <t>VÄSTMANLANDS LÄN</t>
        </is>
      </c>
      <c r="E481" t="inlineStr">
        <is>
          <t>SALA</t>
        </is>
      </c>
      <c r="G481" t="n">
        <v>6.4</v>
      </c>
      <c r="H481" t="n">
        <v>0</v>
      </c>
      <c r="I481" t="n">
        <v>0</v>
      </c>
      <c r="J481" t="n">
        <v>0</v>
      </c>
      <c r="K481" t="n">
        <v>0</v>
      </c>
      <c r="L481" t="n">
        <v>0</v>
      </c>
      <c r="M481" t="n">
        <v>0</v>
      </c>
      <c r="N481" t="n">
        <v>0</v>
      </c>
      <c r="O481" t="n">
        <v>0</v>
      </c>
      <c r="P481" t="n">
        <v>0</v>
      </c>
      <c r="Q481" t="n">
        <v>0</v>
      </c>
      <c r="R481" s="2" t="inlineStr"/>
    </row>
    <row r="482" ht="15" customHeight="1">
      <c r="A482" t="inlineStr">
        <is>
          <t>A 27657-2023</t>
        </is>
      </c>
      <c r="B482" s="1" t="n">
        <v>45097.76631944445</v>
      </c>
      <c r="C482" s="1" t="n">
        <v>45940</v>
      </c>
      <c r="D482" t="inlineStr">
        <is>
          <t>VÄSTMANLANDS LÄN</t>
        </is>
      </c>
      <c r="E482" t="inlineStr">
        <is>
          <t>SALA</t>
        </is>
      </c>
      <c r="G482" t="n">
        <v>0.1</v>
      </c>
      <c r="H482" t="n">
        <v>0</v>
      </c>
      <c r="I482" t="n">
        <v>0</v>
      </c>
      <c r="J482" t="n">
        <v>0</v>
      </c>
      <c r="K482" t="n">
        <v>0</v>
      </c>
      <c r="L482" t="n">
        <v>0</v>
      </c>
      <c r="M482" t="n">
        <v>0</v>
      </c>
      <c r="N482" t="n">
        <v>0</v>
      </c>
      <c r="O482" t="n">
        <v>0</v>
      </c>
      <c r="P482" t="n">
        <v>0</v>
      </c>
      <c r="Q482" t="n">
        <v>0</v>
      </c>
      <c r="R482" s="2" t="inlineStr"/>
    </row>
    <row r="483" ht="15" customHeight="1">
      <c r="A483" t="inlineStr">
        <is>
          <t>A 28328-2023</t>
        </is>
      </c>
      <c r="B483" s="1" t="n">
        <v>45099.71063657408</v>
      </c>
      <c r="C483" s="1" t="n">
        <v>45940</v>
      </c>
      <c r="D483" t="inlineStr">
        <is>
          <t>VÄSTMANLANDS LÄN</t>
        </is>
      </c>
      <c r="E483" t="inlineStr">
        <is>
          <t>SALA</t>
        </is>
      </c>
      <c r="G483" t="n">
        <v>1.8</v>
      </c>
      <c r="H483" t="n">
        <v>0</v>
      </c>
      <c r="I483" t="n">
        <v>0</v>
      </c>
      <c r="J483" t="n">
        <v>0</v>
      </c>
      <c r="K483" t="n">
        <v>0</v>
      </c>
      <c r="L483" t="n">
        <v>0</v>
      </c>
      <c r="M483" t="n">
        <v>0</v>
      </c>
      <c r="N483" t="n">
        <v>0</v>
      </c>
      <c r="O483" t="n">
        <v>0</v>
      </c>
      <c r="P483" t="n">
        <v>0</v>
      </c>
      <c r="Q483" t="n">
        <v>0</v>
      </c>
      <c r="R483" s="2" t="inlineStr"/>
    </row>
    <row r="484" ht="15" customHeight="1">
      <c r="A484" t="inlineStr">
        <is>
          <t>A 13855-2023</t>
        </is>
      </c>
      <c r="B484" s="1" t="n">
        <v>45007</v>
      </c>
      <c r="C484" s="1" t="n">
        <v>45940</v>
      </c>
      <c r="D484" t="inlineStr">
        <is>
          <t>VÄSTMANLANDS LÄN</t>
        </is>
      </c>
      <c r="E484" t="inlineStr">
        <is>
          <t>SALA</t>
        </is>
      </c>
      <c r="G484" t="n">
        <v>2.9</v>
      </c>
      <c r="H484" t="n">
        <v>0</v>
      </c>
      <c r="I484" t="n">
        <v>0</v>
      </c>
      <c r="J484" t="n">
        <v>0</v>
      </c>
      <c r="K484" t="n">
        <v>0</v>
      </c>
      <c r="L484" t="n">
        <v>0</v>
      </c>
      <c r="M484" t="n">
        <v>0</v>
      </c>
      <c r="N484" t="n">
        <v>0</v>
      </c>
      <c r="O484" t="n">
        <v>0</v>
      </c>
      <c r="P484" t="n">
        <v>0</v>
      </c>
      <c r="Q484" t="n">
        <v>0</v>
      </c>
      <c r="R484" s="2" t="inlineStr"/>
    </row>
    <row r="485" ht="15" customHeight="1">
      <c r="A485" t="inlineStr">
        <is>
          <t>A 33309-2022</t>
        </is>
      </c>
      <c r="B485" s="1" t="n">
        <v>44788.40986111111</v>
      </c>
      <c r="C485" s="1" t="n">
        <v>45940</v>
      </c>
      <c r="D485" t="inlineStr">
        <is>
          <t>VÄSTMANLANDS LÄN</t>
        </is>
      </c>
      <c r="E485" t="inlineStr">
        <is>
          <t>SALA</t>
        </is>
      </c>
      <c r="G485" t="n">
        <v>2.6</v>
      </c>
      <c r="H485" t="n">
        <v>0</v>
      </c>
      <c r="I485" t="n">
        <v>0</v>
      </c>
      <c r="J485" t="n">
        <v>0</v>
      </c>
      <c r="K485" t="n">
        <v>0</v>
      </c>
      <c r="L485" t="n">
        <v>0</v>
      </c>
      <c r="M485" t="n">
        <v>0</v>
      </c>
      <c r="N485" t="n">
        <v>0</v>
      </c>
      <c r="O485" t="n">
        <v>0</v>
      </c>
      <c r="P485" t="n">
        <v>0</v>
      </c>
      <c r="Q485" t="n">
        <v>0</v>
      </c>
      <c r="R485" s="2" t="inlineStr"/>
    </row>
    <row r="486" ht="15" customHeight="1">
      <c r="A486" t="inlineStr">
        <is>
          <t>A 32902-2025</t>
        </is>
      </c>
      <c r="B486" s="1" t="n">
        <v>45839</v>
      </c>
      <c r="C486" s="1" t="n">
        <v>45940</v>
      </c>
      <c r="D486" t="inlineStr">
        <is>
          <t>VÄSTMANLANDS LÄN</t>
        </is>
      </c>
      <c r="E486" t="inlineStr">
        <is>
          <t>SALA</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61715-2024</t>
        </is>
      </c>
      <c r="B487" s="1" t="n">
        <v>45648.89519675926</v>
      </c>
      <c r="C487" s="1" t="n">
        <v>45940</v>
      </c>
      <c r="D487" t="inlineStr">
        <is>
          <t>VÄSTMANLANDS LÄN</t>
        </is>
      </c>
      <c r="E487" t="inlineStr">
        <is>
          <t>SALA</t>
        </is>
      </c>
      <c r="G487" t="n">
        <v>2.5</v>
      </c>
      <c r="H487" t="n">
        <v>0</v>
      </c>
      <c r="I487" t="n">
        <v>0</v>
      </c>
      <c r="J487" t="n">
        <v>0</v>
      </c>
      <c r="K487" t="n">
        <v>0</v>
      </c>
      <c r="L487" t="n">
        <v>0</v>
      </c>
      <c r="M487" t="n">
        <v>0</v>
      </c>
      <c r="N487" t="n">
        <v>0</v>
      </c>
      <c r="O487" t="n">
        <v>0</v>
      </c>
      <c r="P487" t="n">
        <v>0</v>
      </c>
      <c r="Q487" t="n">
        <v>0</v>
      </c>
      <c r="R487" s="2" t="inlineStr"/>
    </row>
    <row r="488" ht="15" customHeight="1">
      <c r="A488" t="inlineStr">
        <is>
          <t>A 47909-2022</t>
        </is>
      </c>
      <c r="B488" s="1" t="n">
        <v>44855</v>
      </c>
      <c r="C488" s="1" t="n">
        <v>45940</v>
      </c>
      <c r="D488" t="inlineStr">
        <is>
          <t>VÄSTMANLANDS LÄN</t>
        </is>
      </c>
      <c r="E488" t="inlineStr">
        <is>
          <t>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38195-2021</t>
        </is>
      </c>
      <c r="B489" s="1" t="n">
        <v>44405</v>
      </c>
      <c r="C489" s="1" t="n">
        <v>45940</v>
      </c>
      <c r="D489" t="inlineStr">
        <is>
          <t>VÄSTMANLANDS LÄN</t>
        </is>
      </c>
      <c r="E489" t="inlineStr">
        <is>
          <t>SALA</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6132-2025</t>
        </is>
      </c>
      <c r="B490" s="1" t="n">
        <v>45698</v>
      </c>
      <c r="C490" s="1" t="n">
        <v>45940</v>
      </c>
      <c r="D490" t="inlineStr">
        <is>
          <t>VÄSTMANLANDS LÄN</t>
        </is>
      </c>
      <c r="E490" t="inlineStr">
        <is>
          <t>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44708.48194444444</v>
      </c>
      <c r="C491" s="1" t="n">
        <v>45940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11389-2024</t>
        </is>
      </c>
      <c r="B492" s="1" t="n">
        <v>45372.45016203704</v>
      </c>
      <c r="C492" s="1" t="n">
        <v>45940</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54923-2020</t>
        </is>
      </c>
      <c r="B493" s="1" t="n">
        <v>44127</v>
      </c>
      <c r="C493" s="1" t="n">
        <v>45940</v>
      </c>
      <c r="D493" t="inlineStr">
        <is>
          <t>VÄSTMANLANDS LÄN</t>
        </is>
      </c>
      <c r="E493" t="inlineStr">
        <is>
          <t>SALA</t>
        </is>
      </c>
      <c r="G493" t="n">
        <v>4.9</v>
      </c>
      <c r="H493" t="n">
        <v>0</v>
      </c>
      <c r="I493" t="n">
        <v>0</v>
      </c>
      <c r="J493" t="n">
        <v>0</v>
      </c>
      <c r="K493" t="n">
        <v>0</v>
      </c>
      <c r="L493" t="n">
        <v>0</v>
      </c>
      <c r="M493" t="n">
        <v>0</v>
      </c>
      <c r="N493" t="n">
        <v>0</v>
      </c>
      <c r="O493" t="n">
        <v>0</v>
      </c>
      <c r="P493" t="n">
        <v>0</v>
      </c>
      <c r="Q493" t="n">
        <v>0</v>
      </c>
      <c r="R493" s="2" t="inlineStr"/>
    </row>
    <row r="494" ht="15" customHeight="1">
      <c r="A494" t="inlineStr">
        <is>
          <t>A 15272-2025</t>
        </is>
      </c>
      <c r="B494" s="1" t="n">
        <v>45744</v>
      </c>
      <c r="C494" s="1" t="n">
        <v>45940</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11183-2023</t>
        </is>
      </c>
      <c r="B495" s="1" t="n">
        <v>44992.57782407408</v>
      </c>
      <c r="C495" s="1" t="n">
        <v>45940</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11190-2023</t>
        </is>
      </c>
      <c r="B496" s="1" t="n">
        <v>44992</v>
      </c>
      <c r="C496" s="1" t="n">
        <v>45940</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2925-2024</t>
        </is>
      </c>
      <c r="B497" s="1" t="n">
        <v>45315.58909722222</v>
      </c>
      <c r="C497" s="1" t="n">
        <v>45940</v>
      </c>
      <c r="D497" t="inlineStr">
        <is>
          <t>VÄSTMANLANDS LÄN</t>
        </is>
      </c>
      <c r="E497" t="inlineStr">
        <is>
          <t>SALA</t>
        </is>
      </c>
      <c r="G497" t="n">
        <v>1.3</v>
      </c>
      <c r="H497" t="n">
        <v>0</v>
      </c>
      <c r="I497" t="n">
        <v>0</v>
      </c>
      <c r="J497" t="n">
        <v>0</v>
      </c>
      <c r="K497" t="n">
        <v>0</v>
      </c>
      <c r="L497" t="n">
        <v>0</v>
      </c>
      <c r="M497" t="n">
        <v>0</v>
      </c>
      <c r="N497" t="n">
        <v>0</v>
      </c>
      <c r="O497" t="n">
        <v>0</v>
      </c>
      <c r="P497" t="n">
        <v>0</v>
      </c>
      <c r="Q497" t="n">
        <v>0</v>
      </c>
      <c r="R497" s="2" t="inlineStr"/>
    </row>
    <row r="498" ht="15" customHeight="1">
      <c r="A498" t="inlineStr">
        <is>
          <t>A 53838-2022</t>
        </is>
      </c>
      <c r="B498" s="1" t="n">
        <v>44880.59363425926</v>
      </c>
      <c r="C498" s="1" t="n">
        <v>45940</v>
      </c>
      <c r="D498" t="inlineStr">
        <is>
          <t>VÄSTMANLANDS LÄN</t>
        </is>
      </c>
      <c r="E498" t="inlineStr">
        <is>
          <t>SALA</t>
        </is>
      </c>
      <c r="G498" t="n">
        <v>3.9</v>
      </c>
      <c r="H498" t="n">
        <v>0</v>
      </c>
      <c r="I498" t="n">
        <v>0</v>
      </c>
      <c r="J498" t="n">
        <v>0</v>
      </c>
      <c r="K498" t="n">
        <v>0</v>
      </c>
      <c r="L498" t="n">
        <v>0</v>
      </c>
      <c r="M498" t="n">
        <v>0</v>
      </c>
      <c r="N498" t="n">
        <v>0</v>
      </c>
      <c r="O498" t="n">
        <v>0</v>
      </c>
      <c r="P498" t="n">
        <v>0</v>
      </c>
      <c r="Q498" t="n">
        <v>0</v>
      </c>
      <c r="R498" s="2" t="inlineStr"/>
    </row>
    <row r="499" ht="15" customHeight="1">
      <c r="A499" t="inlineStr">
        <is>
          <t>A 6088-2021</t>
        </is>
      </c>
      <c r="B499" s="1" t="n">
        <v>44232</v>
      </c>
      <c r="C499" s="1" t="n">
        <v>45940</v>
      </c>
      <c r="D499" t="inlineStr">
        <is>
          <t>VÄSTMANLANDS LÄN</t>
        </is>
      </c>
      <c r="E499" t="inlineStr">
        <is>
          <t>SALA</t>
        </is>
      </c>
      <c r="G499" t="n">
        <v>0.2</v>
      </c>
      <c r="H499" t="n">
        <v>0</v>
      </c>
      <c r="I499" t="n">
        <v>0</v>
      </c>
      <c r="J499" t="n">
        <v>0</v>
      </c>
      <c r="K499" t="n">
        <v>0</v>
      </c>
      <c r="L499" t="n">
        <v>0</v>
      </c>
      <c r="M499" t="n">
        <v>0</v>
      </c>
      <c r="N499" t="n">
        <v>0</v>
      </c>
      <c r="O499" t="n">
        <v>0</v>
      </c>
      <c r="P499" t="n">
        <v>0</v>
      </c>
      <c r="Q499" t="n">
        <v>0</v>
      </c>
      <c r="R499" s="2" t="inlineStr"/>
    </row>
    <row r="500" ht="15" customHeight="1">
      <c r="A500" t="inlineStr">
        <is>
          <t>A 53166-2024</t>
        </is>
      </c>
      <c r="B500" s="1" t="n">
        <v>45611</v>
      </c>
      <c r="C500" s="1" t="n">
        <v>45940</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28827-2022</t>
        </is>
      </c>
      <c r="B501" s="1" t="n">
        <v>44749.45561342593</v>
      </c>
      <c r="C501" s="1" t="n">
        <v>45940</v>
      </c>
      <c r="D501" t="inlineStr">
        <is>
          <t>VÄSTMANLANDS LÄN</t>
        </is>
      </c>
      <c r="E501" t="inlineStr">
        <is>
          <t>SALA</t>
        </is>
      </c>
      <c r="F501" t="inlineStr">
        <is>
          <t>Kommuner</t>
        </is>
      </c>
      <c r="G501" t="n">
        <v>11.9</v>
      </c>
      <c r="H501" t="n">
        <v>0</v>
      </c>
      <c r="I501" t="n">
        <v>0</v>
      </c>
      <c r="J501" t="n">
        <v>0</v>
      </c>
      <c r="K501" t="n">
        <v>0</v>
      </c>
      <c r="L501" t="n">
        <v>0</v>
      </c>
      <c r="M501" t="n">
        <v>0</v>
      </c>
      <c r="N501" t="n">
        <v>0</v>
      </c>
      <c r="O501" t="n">
        <v>0</v>
      </c>
      <c r="P501" t="n">
        <v>0</v>
      </c>
      <c r="Q501" t="n">
        <v>0</v>
      </c>
      <c r="R501" s="2" t="inlineStr"/>
    </row>
    <row r="502" ht="15" customHeight="1">
      <c r="A502" t="inlineStr">
        <is>
          <t>A 17866-2025</t>
        </is>
      </c>
      <c r="B502" s="1" t="n">
        <v>45758</v>
      </c>
      <c r="C502" s="1" t="n">
        <v>45940</v>
      </c>
      <c r="D502" t="inlineStr">
        <is>
          <t>VÄSTMANLANDS LÄN</t>
        </is>
      </c>
      <c r="E502" t="inlineStr">
        <is>
          <t>SALA</t>
        </is>
      </c>
      <c r="F502" t="inlineStr">
        <is>
          <t>Bergvik skog öst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54836-2024</t>
        </is>
      </c>
      <c r="B503" s="1" t="n">
        <v>45618</v>
      </c>
      <c r="C503" s="1" t="n">
        <v>45940</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64729-2023</t>
        </is>
      </c>
      <c r="B504" s="1" t="n">
        <v>45281</v>
      </c>
      <c r="C504" s="1" t="n">
        <v>45940</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10585-2022</t>
        </is>
      </c>
      <c r="B505" s="1" t="n">
        <v>44624</v>
      </c>
      <c r="C505" s="1" t="n">
        <v>45940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39439-2021</t>
        </is>
      </c>
      <c r="B506" s="1" t="n">
        <v>44414</v>
      </c>
      <c r="C506" s="1" t="n">
        <v>45940</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22523-2023</t>
        </is>
      </c>
      <c r="B507" s="1" t="n">
        <v>45069</v>
      </c>
      <c r="C507" s="1" t="n">
        <v>45940</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31609-2024</t>
        </is>
      </c>
      <c r="B508" s="1" t="n">
        <v>45506</v>
      </c>
      <c r="C508" s="1" t="n">
        <v>45940</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56057-2023</t>
        </is>
      </c>
      <c r="B509" s="1" t="n">
        <v>45233</v>
      </c>
      <c r="C509" s="1" t="n">
        <v>45940</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31864-2025</t>
        </is>
      </c>
      <c r="B510" s="1" t="n">
        <v>45834.63819444444</v>
      </c>
      <c r="C510" s="1" t="n">
        <v>45940</v>
      </c>
      <c r="D510" t="inlineStr">
        <is>
          <t>VÄSTMANLANDS LÄN</t>
        </is>
      </c>
      <c r="E510" t="inlineStr">
        <is>
          <t>SALA</t>
        </is>
      </c>
      <c r="G510" t="n">
        <v>6.3</v>
      </c>
      <c r="H510" t="n">
        <v>0</v>
      </c>
      <c r="I510" t="n">
        <v>0</v>
      </c>
      <c r="J510" t="n">
        <v>0</v>
      </c>
      <c r="K510" t="n">
        <v>0</v>
      </c>
      <c r="L510" t="n">
        <v>0</v>
      </c>
      <c r="M510" t="n">
        <v>0</v>
      </c>
      <c r="N510" t="n">
        <v>0</v>
      </c>
      <c r="O510" t="n">
        <v>0</v>
      </c>
      <c r="P510" t="n">
        <v>0</v>
      </c>
      <c r="Q510" t="n">
        <v>0</v>
      </c>
      <c r="R510" s="2" t="inlineStr"/>
    </row>
    <row r="511" ht="15" customHeight="1">
      <c r="A511" t="inlineStr">
        <is>
          <t>A 3332-2024</t>
        </is>
      </c>
      <c r="B511" s="1" t="n">
        <v>45317</v>
      </c>
      <c r="C511" s="1" t="n">
        <v>45940</v>
      </c>
      <c r="D511" t="inlineStr">
        <is>
          <t>VÄSTMANLANDS LÄN</t>
        </is>
      </c>
      <c r="E511" t="inlineStr">
        <is>
          <t>SALA</t>
        </is>
      </c>
      <c r="G511" t="n">
        <v>2</v>
      </c>
      <c r="H511" t="n">
        <v>0</v>
      </c>
      <c r="I511" t="n">
        <v>0</v>
      </c>
      <c r="J511" t="n">
        <v>0</v>
      </c>
      <c r="K511" t="n">
        <v>0</v>
      </c>
      <c r="L511" t="n">
        <v>0</v>
      </c>
      <c r="M511" t="n">
        <v>0</v>
      </c>
      <c r="N511" t="n">
        <v>0</v>
      </c>
      <c r="O511" t="n">
        <v>0</v>
      </c>
      <c r="P511" t="n">
        <v>0</v>
      </c>
      <c r="Q511" t="n">
        <v>0</v>
      </c>
      <c r="R511" s="2" t="inlineStr"/>
    </row>
    <row r="512" ht="15" customHeight="1">
      <c r="A512" t="inlineStr">
        <is>
          <t>A 34069-2025</t>
        </is>
      </c>
      <c r="B512" s="1" t="n">
        <v>45845.43560185185</v>
      </c>
      <c r="C512" s="1" t="n">
        <v>45940</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c r="U512">
        <f>HYPERLINK("https://klasma.github.io/Logging_1981/knärot/A 34069-2025 karta knärot.png", "A 34069-2025")</f>
        <v/>
      </c>
      <c r="V512">
        <f>HYPERLINK("https://klasma.github.io/Logging_1981/klagomål/A 34069-2025 FSC-klagomål.docx", "A 34069-2025")</f>
        <v/>
      </c>
      <c r="W512">
        <f>HYPERLINK("https://klasma.github.io/Logging_1981/klagomålsmail/A 34069-2025 FSC-klagomål mail.docx", "A 34069-2025")</f>
        <v/>
      </c>
      <c r="X512">
        <f>HYPERLINK("https://klasma.github.io/Logging_1981/tillsyn/A 34069-2025 tillsynsbegäran.docx", "A 34069-2025")</f>
        <v/>
      </c>
      <c r="Y512">
        <f>HYPERLINK("https://klasma.github.io/Logging_1981/tillsynsmail/A 34069-2025 tillsynsbegäran mail.docx", "A 34069-2025")</f>
        <v/>
      </c>
    </row>
    <row r="513" ht="15" customHeight="1">
      <c r="A513" t="inlineStr">
        <is>
          <t>A 62635-2022</t>
        </is>
      </c>
      <c r="B513" s="1" t="n">
        <v>44917</v>
      </c>
      <c r="C513" s="1" t="n">
        <v>45940</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4852-2023</t>
        </is>
      </c>
      <c r="B514" s="1" t="n">
        <v>44957.72496527778</v>
      </c>
      <c r="C514" s="1" t="n">
        <v>45940</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2529-2022</t>
        </is>
      </c>
      <c r="B515" s="1" t="n">
        <v>44579.86452546297</v>
      </c>
      <c r="C515" s="1" t="n">
        <v>45940</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39714-2023</t>
        </is>
      </c>
      <c r="B516" s="1" t="n">
        <v>45167.62133101852</v>
      </c>
      <c r="C516" s="1" t="n">
        <v>45940</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15744-2025</t>
        </is>
      </c>
      <c r="B517" s="1" t="n">
        <v>45748</v>
      </c>
      <c r="C517" s="1" t="n">
        <v>45940</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16651-2021</t>
        </is>
      </c>
      <c r="B518" s="1" t="n">
        <v>44294.50096064815</v>
      </c>
      <c r="C518" s="1" t="n">
        <v>45940</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13471-2025</t>
        </is>
      </c>
      <c r="B519" s="1" t="n">
        <v>45736.40579861111</v>
      </c>
      <c r="C519" s="1" t="n">
        <v>45940</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15681-2025</t>
        </is>
      </c>
      <c r="B520" s="1" t="n">
        <v>45748.45454861111</v>
      </c>
      <c r="C520" s="1" t="n">
        <v>45940</v>
      </c>
      <c r="D520" t="inlineStr">
        <is>
          <t>VÄSTMANLANDS LÄN</t>
        </is>
      </c>
      <c r="E520" t="inlineStr">
        <is>
          <t>SALA</t>
        </is>
      </c>
      <c r="F520" t="inlineStr">
        <is>
          <t>Bergvik skog öst AB</t>
        </is>
      </c>
      <c r="G520" t="n">
        <v>4.3</v>
      </c>
      <c r="H520" t="n">
        <v>0</v>
      </c>
      <c r="I520" t="n">
        <v>0</v>
      </c>
      <c r="J520" t="n">
        <v>0</v>
      </c>
      <c r="K520" t="n">
        <v>0</v>
      </c>
      <c r="L520" t="n">
        <v>0</v>
      </c>
      <c r="M520" t="n">
        <v>0</v>
      </c>
      <c r="N520" t="n">
        <v>0</v>
      </c>
      <c r="O520" t="n">
        <v>0</v>
      </c>
      <c r="P520" t="n">
        <v>0</v>
      </c>
      <c r="Q520" t="n">
        <v>0</v>
      </c>
      <c r="R520" s="2" t="inlineStr"/>
    </row>
    <row r="521" ht="15" customHeight="1">
      <c r="A521" t="inlineStr">
        <is>
          <t>A 42984-2023</t>
        </is>
      </c>
      <c r="B521" s="1" t="n">
        <v>45179</v>
      </c>
      <c r="C521" s="1" t="n">
        <v>45940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18431-2023</t>
        </is>
      </c>
      <c r="B522" s="1" t="n">
        <v>45042</v>
      </c>
      <c r="C522" s="1" t="n">
        <v>45940</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27424-2023</t>
        </is>
      </c>
      <c r="B523" s="1" t="n">
        <v>45097.37690972222</v>
      </c>
      <c r="C523" s="1" t="n">
        <v>45940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58701-2021</t>
        </is>
      </c>
      <c r="B524" s="1" t="n">
        <v>44489.46454861111</v>
      </c>
      <c r="C524" s="1" t="n">
        <v>45940</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38636-2024</t>
        </is>
      </c>
      <c r="B525" s="1" t="n">
        <v>45546</v>
      </c>
      <c r="C525" s="1" t="n">
        <v>45940</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11244-2024</t>
        </is>
      </c>
      <c r="B526" s="1" t="n">
        <v>45371</v>
      </c>
      <c r="C526" s="1" t="n">
        <v>45940</v>
      </c>
      <c r="D526" t="inlineStr">
        <is>
          <t>VÄSTMANLANDS LÄN</t>
        </is>
      </c>
      <c r="E526" t="inlineStr">
        <is>
          <t>SALA</t>
        </is>
      </c>
      <c r="G526" t="n">
        <v>1.2</v>
      </c>
      <c r="H526" t="n">
        <v>0</v>
      </c>
      <c r="I526" t="n">
        <v>0</v>
      </c>
      <c r="J526" t="n">
        <v>0</v>
      </c>
      <c r="K526" t="n">
        <v>0</v>
      </c>
      <c r="L526" t="n">
        <v>0</v>
      </c>
      <c r="M526" t="n">
        <v>0</v>
      </c>
      <c r="N526" t="n">
        <v>0</v>
      </c>
      <c r="O526" t="n">
        <v>0</v>
      </c>
      <c r="P526" t="n">
        <v>0</v>
      </c>
      <c r="Q526" t="n">
        <v>0</v>
      </c>
      <c r="R526" s="2" t="inlineStr"/>
    </row>
    <row r="527" ht="15" customHeight="1">
      <c r="A527" t="inlineStr">
        <is>
          <t>A 12225-2023</t>
        </is>
      </c>
      <c r="B527" s="1" t="n">
        <v>44995</v>
      </c>
      <c r="C527" s="1" t="n">
        <v>45940</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56535-2022</t>
        </is>
      </c>
      <c r="B528" s="1" t="n">
        <v>44893.47173611111</v>
      </c>
      <c r="C528" s="1" t="n">
        <v>45940</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61874-2021</t>
        </is>
      </c>
      <c r="B529" s="1" t="n">
        <v>44502</v>
      </c>
      <c r="C529" s="1" t="n">
        <v>45940</v>
      </c>
      <c r="D529" t="inlineStr">
        <is>
          <t>VÄSTMANLANDS LÄN</t>
        </is>
      </c>
      <c r="E529" t="inlineStr">
        <is>
          <t>SALA</t>
        </is>
      </c>
      <c r="F529" t="inlineStr">
        <is>
          <t>Kyrkan</t>
        </is>
      </c>
      <c r="G529" t="n">
        <v>1.3</v>
      </c>
      <c r="H529" t="n">
        <v>0</v>
      </c>
      <c r="I529" t="n">
        <v>0</v>
      </c>
      <c r="J529" t="n">
        <v>0</v>
      </c>
      <c r="K529" t="n">
        <v>0</v>
      </c>
      <c r="L529" t="n">
        <v>0</v>
      </c>
      <c r="M529" t="n">
        <v>0</v>
      </c>
      <c r="N529" t="n">
        <v>0</v>
      </c>
      <c r="O529" t="n">
        <v>0</v>
      </c>
      <c r="P529" t="n">
        <v>0</v>
      </c>
      <c r="Q529" t="n">
        <v>0</v>
      </c>
      <c r="R529" s="2" t="inlineStr"/>
    </row>
    <row r="530" ht="15" customHeight="1">
      <c r="A530" t="inlineStr">
        <is>
          <t>A 62651-2022</t>
        </is>
      </c>
      <c r="B530" s="1" t="n">
        <v>44917</v>
      </c>
      <c r="C530" s="1" t="n">
        <v>45940</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60550-2024</t>
        </is>
      </c>
      <c r="B531" s="1" t="n">
        <v>45643</v>
      </c>
      <c r="C531" s="1" t="n">
        <v>45940</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39167-2025</t>
        </is>
      </c>
      <c r="B532" s="1" t="n">
        <v>45888</v>
      </c>
      <c r="C532" s="1" t="n">
        <v>45940</v>
      </c>
      <c r="D532" t="inlineStr">
        <is>
          <t>VÄSTMANLANDS LÄN</t>
        </is>
      </c>
      <c r="E532" t="inlineStr">
        <is>
          <t>SALA</t>
        </is>
      </c>
      <c r="G532" t="n">
        <v>5.5</v>
      </c>
      <c r="H532" t="n">
        <v>0</v>
      </c>
      <c r="I532" t="n">
        <v>0</v>
      </c>
      <c r="J532" t="n">
        <v>0</v>
      </c>
      <c r="K532" t="n">
        <v>0</v>
      </c>
      <c r="L532" t="n">
        <v>0</v>
      </c>
      <c r="M532" t="n">
        <v>0</v>
      </c>
      <c r="N532" t="n">
        <v>0</v>
      </c>
      <c r="O532" t="n">
        <v>0</v>
      </c>
      <c r="P532" t="n">
        <v>0</v>
      </c>
      <c r="Q532" t="n">
        <v>0</v>
      </c>
      <c r="R532" s="2" t="inlineStr"/>
    </row>
    <row r="533" ht="15" customHeight="1">
      <c r="A533" t="inlineStr">
        <is>
          <t>A 39182-2025</t>
        </is>
      </c>
      <c r="B533" s="1" t="n">
        <v>45888.66204861111</v>
      </c>
      <c r="C533" s="1" t="n">
        <v>45940</v>
      </c>
      <c r="D533" t="inlineStr">
        <is>
          <t>VÄSTMANLANDS LÄN</t>
        </is>
      </c>
      <c r="E533" t="inlineStr">
        <is>
          <t>SALA</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15968-2024</t>
        </is>
      </c>
      <c r="B534" s="1" t="n">
        <v>45405.56021990741</v>
      </c>
      <c r="C534" s="1" t="n">
        <v>45940</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46661-2025</t>
        </is>
      </c>
      <c r="B535" s="1" t="n">
        <v>45926</v>
      </c>
      <c r="C535" s="1" t="n">
        <v>45940</v>
      </c>
      <c r="D535" t="inlineStr">
        <is>
          <t>VÄSTMANLANDS LÄN</t>
        </is>
      </c>
      <c r="E535" t="inlineStr">
        <is>
          <t>SALA</t>
        </is>
      </c>
      <c r="G535" t="n">
        <v>0.8</v>
      </c>
      <c r="H535" t="n">
        <v>0</v>
      </c>
      <c r="I535" t="n">
        <v>0</v>
      </c>
      <c r="J535" t="n">
        <v>0</v>
      </c>
      <c r="K535" t="n">
        <v>0</v>
      </c>
      <c r="L535" t="n">
        <v>0</v>
      </c>
      <c r="M535" t="n">
        <v>0</v>
      </c>
      <c r="N535" t="n">
        <v>0</v>
      </c>
      <c r="O535" t="n">
        <v>0</v>
      </c>
      <c r="P535" t="n">
        <v>0</v>
      </c>
      <c r="Q535" t="n">
        <v>0</v>
      </c>
      <c r="R535" s="2" t="inlineStr"/>
    </row>
    <row r="536" ht="15" customHeight="1">
      <c r="A536" t="inlineStr">
        <is>
          <t>A 60730-2023</t>
        </is>
      </c>
      <c r="B536" s="1" t="n">
        <v>45260</v>
      </c>
      <c r="C536" s="1" t="n">
        <v>45940</v>
      </c>
      <c r="D536" t="inlineStr">
        <is>
          <t>VÄSTMANLANDS LÄN</t>
        </is>
      </c>
      <c r="E536" t="inlineStr">
        <is>
          <t>SALA</t>
        </is>
      </c>
      <c r="G536" t="n">
        <v>1.3</v>
      </c>
      <c r="H536" t="n">
        <v>0</v>
      </c>
      <c r="I536" t="n">
        <v>0</v>
      </c>
      <c r="J536" t="n">
        <v>0</v>
      </c>
      <c r="K536" t="n">
        <v>0</v>
      </c>
      <c r="L536" t="n">
        <v>0</v>
      </c>
      <c r="M536" t="n">
        <v>0</v>
      </c>
      <c r="N536" t="n">
        <v>0</v>
      </c>
      <c r="O536" t="n">
        <v>0</v>
      </c>
      <c r="P536" t="n">
        <v>0</v>
      </c>
      <c r="Q536" t="n">
        <v>0</v>
      </c>
      <c r="R536" s="2" t="inlineStr"/>
    </row>
    <row r="537" ht="15" customHeight="1">
      <c r="A537" t="inlineStr">
        <is>
          <t>A 60731-2023</t>
        </is>
      </c>
      <c r="B537" s="1" t="n">
        <v>45260</v>
      </c>
      <c r="C537" s="1" t="n">
        <v>45940</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13746-2025</t>
        </is>
      </c>
      <c r="B538" s="1" t="n">
        <v>45737.40944444444</v>
      </c>
      <c r="C538" s="1" t="n">
        <v>45940</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18461-2024</t>
        </is>
      </c>
      <c r="B539" s="1" t="n">
        <v>45425.47435185185</v>
      </c>
      <c r="C539" s="1" t="n">
        <v>45940</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4663-2022</t>
        </is>
      </c>
      <c r="B540" s="1" t="n">
        <v>44592.45429398148</v>
      </c>
      <c r="C540" s="1" t="n">
        <v>45940</v>
      </c>
      <c r="D540" t="inlineStr">
        <is>
          <t>VÄSTMANLANDS LÄN</t>
        </is>
      </c>
      <c r="E540" t="inlineStr">
        <is>
          <t>SALA</t>
        </is>
      </c>
      <c r="G540" t="n">
        <v>2.5</v>
      </c>
      <c r="H540" t="n">
        <v>0</v>
      </c>
      <c r="I540" t="n">
        <v>0</v>
      </c>
      <c r="J540" t="n">
        <v>0</v>
      </c>
      <c r="K540" t="n">
        <v>0</v>
      </c>
      <c r="L540" t="n">
        <v>0</v>
      </c>
      <c r="M540" t="n">
        <v>0</v>
      </c>
      <c r="N540" t="n">
        <v>0</v>
      </c>
      <c r="O540" t="n">
        <v>0</v>
      </c>
      <c r="P540" t="n">
        <v>0</v>
      </c>
      <c r="Q540" t="n">
        <v>0</v>
      </c>
      <c r="R540" s="2" t="inlineStr"/>
    </row>
    <row r="541" ht="15" customHeight="1">
      <c r="A541" t="inlineStr">
        <is>
          <t>A 41414-2025</t>
        </is>
      </c>
      <c r="B541" s="1" t="n">
        <v>45901.360625</v>
      </c>
      <c r="C541" s="1" t="n">
        <v>45940</v>
      </c>
      <c r="D541" t="inlineStr">
        <is>
          <t>VÄSTMANLANDS LÄN</t>
        </is>
      </c>
      <c r="E541" t="inlineStr">
        <is>
          <t>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41431-2025</t>
        </is>
      </c>
      <c r="B542" s="1" t="n">
        <v>45901.39347222223</v>
      </c>
      <c r="C542" s="1" t="n">
        <v>45940</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29230-2022</t>
        </is>
      </c>
      <c r="B543" s="1" t="n">
        <v>44750</v>
      </c>
      <c r="C543" s="1" t="n">
        <v>45940</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59175-2022</t>
        </is>
      </c>
      <c r="B544" s="1" t="n">
        <v>44904.48502314815</v>
      </c>
      <c r="C544" s="1" t="n">
        <v>45940</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47577-2025</t>
        </is>
      </c>
      <c r="B545" s="1" t="n">
        <v>45931.4047337963</v>
      </c>
      <c r="C545" s="1" t="n">
        <v>45940</v>
      </c>
      <c r="D545" t="inlineStr">
        <is>
          <t>VÄSTMANLANDS LÄN</t>
        </is>
      </c>
      <c r="E545" t="inlineStr">
        <is>
          <t>SALA</t>
        </is>
      </c>
      <c r="G545" t="n">
        <v>3.7</v>
      </c>
      <c r="H545" t="n">
        <v>0</v>
      </c>
      <c r="I545" t="n">
        <v>0</v>
      </c>
      <c r="J545" t="n">
        <v>0</v>
      </c>
      <c r="K545" t="n">
        <v>0</v>
      </c>
      <c r="L545" t="n">
        <v>0</v>
      </c>
      <c r="M545" t="n">
        <v>0</v>
      </c>
      <c r="N545" t="n">
        <v>0</v>
      </c>
      <c r="O545" t="n">
        <v>0</v>
      </c>
      <c r="P545" t="n">
        <v>0</v>
      </c>
      <c r="Q545" t="n">
        <v>0</v>
      </c>
      <c r="R545" s="2" t="inlineStr"/>
    </row>
    <row r="546" ht="15" customHeight="1">
      <c r="A546" t="inlineStr">
        <is>
          <t>A 19381-2025</t>
        </is>
      </c>
      <c r="B546" s="1" t="n">
        <v>45769</v>
      </c>
      <c r="C546" s="1" t="n">
        <v>45940</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42938-2023</t>
        </is>
      </c>
      <c r="B547" s="1" t="n">
        <v>45179</v>
      </c>
      <c r="C547" s="1" t="n">
        <v>45940</v>
      </c>
      <c r="D547" t="inlineStr">
        <is>
          <t>VÄSTMANLANDS LÄN</t>
        </is>
      </c>
      <c r="E547" t="inlineStr">
        <is>
          <t>SALA</t>
        </is>
      </c>
      <c r="G547" t="n">
        <v>10.9</v>
      </c>
      <c r="H547" t="n">
        <v>0</v>
      </c>
      <c r="I547" t="n">
        <v>0</v>
      </c>
      <c r="J547" t="n">
        <v>0</v>
      </c>
      <c r="K547" t="n">
        <v>0</v>
      </c>
      <c r="L547" t="n">
        <v>0</v>
      </c>
      <c r="M547" t="n">
        <v>0</v>
      </c>
      <c r="N547" t="n">
        <v>0</v>
      </c>
      <c r="O547" t="n">
        <v>0</v>
      </c>
      <c r="P547" t="n">
        <v>0</v>
      </c>
      <c r="Q547" t="n">
        <v>0</v>
      </c>
      <c r="R547" s="2" t="inlineStr"/>
    </row>
    <row r="548" ht="15" customHeight="1">
      <c r="A548" t="inlineStr">
        <is>
          <t>A 6032-2025</t>
        </is>
      </c>
      <c r="B548" s="1" t="n">
        <v>45695.6371875</v>
      </c>
      <c r="C548" s="1" t="n">
        <v>45940</v>
      </c>
      <c r="D548" t="inlineStr">
        <is>
          <t>VÄSTMANLANDS LÄN</t>
        </is>
      </c>
      <c r="E548" t="inlineStr">
        <is>
          <t>SALA</t>
        </is>
      </c>
      <c r="F548" t="inlineStr">
        <is>
          <t>Bergvik skog öst AB</t>
        </is>
      </c>
      <c r="G548" t="n">
        <v>8.1</v>
      </c>
      <c r="H548" t="n">
        <v>0</v>
      </c>
      <c r="I548" t="n">
        <v>0</v>
      </c>
      <c r="J548" t="n">
        <v>0</v>
      </c>
      <c r="K548" t="n">
        <v>0</v>
      </c>
      <c r="L548" t="n">
        <v>0</v>
      </c>
      <c r="M548" t="n">
        <v>0</v>
      </c>
      <c r="N548" t="n">
        <v>0</v>
      </c>
      <c r="O548" t="n">
        <v>0</v>
      </c>
      <c r="P548" t="n">
        <v>0</v>
      </c>
      <c r="Q548" t="n">
        <v>0</v>
      </c>
      <c r="R548" s="2" t="inlineStr"/>
    </row>
    <row r="549" ht="15" customHeight="1">
      <c r="A549" t="inlineStr">
        <is>
          <t>A 19222-2025</t>
        </is>
      </c>
      <c r="B549" s="1" t="n">
        <v>45769</v>
      </c>
      <c r="C549" s="1" t="n">
        <v>45940</v>
      </c>
      <c r="D549" t="inlineStr">
        <is>
          <t>VÄSTMANLANDS LÄN</t>
        </is>
      </c>
      <c r="E549" t="inlineStr">
        <is>
          <t>SALA</t>
        </is>
      </c>
      <c r="G549" t="n">
        <v>1.8</v>
      </c>
      <c r="H549" t="n">
        <v>0</v>
      </c>
      <c r="I549" t="n">
        <v>0</v>
      </c>
      <c r="J549" t="n">
        <v>0</v>
      </c>
      <c r="K549" t="n">
        <v>0</v>
      </c>
      <c r="L549" t="n">
        <v>0</v>
      </c>
      <c r="M549" t="n">
        <v>0</v>
      </c>
      <c r="N549" t="n">
        <v>0</v>
      </c>
      <c r="O549" t="n">
        <v>0</v>
      </c>
      <c r="P549" t="n">
        <v>0</v>
      </c>
      <c r="Q549" t="n">
        <v>0</v>
      </c>
      <c r="R549" s="2" t="inlineStr"/>
    </row>
    <row r="550" ht="15" customHeight="1">
      <c r="A550" t="inlineStr">
        <is>
          <t>A 19241-2025</t>
        </is>
      </c>
      <c r="B550" s="1" t="n">
        <v>45769</v>
      </c>
      <c r="C550" s="1" t="n">
        <v>45940</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60823-2024</t>
        </is>
      </c>
      <c r="B551" s="1" t="n">
        <v>45644</v>
      </c>
      <c r="C551" s="1" t="n">
        <v>45940</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41230-2025</t>
        </is>
      </c>
      <c r="B552" s="1" t="n">
        <v>45898</v>
      </c>
      <c r="C552" s="1" t="n">
        <v>45940</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35775-2025</t>
        </is>
      </c>
      <c r="B553" s="1" t="n">
        <v>45860</v>
      </c>
      <c r="C553" s="1" t="n">
        <v>45940</v>
      </c>
      <c r="D553" t="inlineStr">
        <is>
          <t>VÄSTMANLANDS LÄN</t>
        </is>
      </c>
      <c r="E553" t="inlineStr">
        <is>
          <t>SALA</t>
        </is>
      </c>
      <c r="G553" t="n">
        <v>2.6</v>
      </c>
      <c r="H553" t="n">
        <v>0</v>
      </c>
      <c r="I553" t="n">
        <v>0</v>
      </c>
      <c r="J553" t="n">
        <v>0</v>
      </c>
      <c r="K553" t="n">
        <v>0</v>
      </c>
      <c r="L553" t="n">
        <v>0</v>
      </c>
      <c r="M553" t="n">
        <v>0</v>
      </c>
      <c r="N553" t="n">
        <v>0</v>
      </c>
      <c r="O553" t="n">
        <v>0</v>
      </c>
      <c r="P553" t="n">
        <v>0</v>
      </c>
      <c r="Q553" t="n">
        <v>0</v>
      </c>
      <c r="R553" s="2" t="inlineStr"/>
    </row>
    <row r="554" ht="15" customHeight="1">
      <c r="A554" t="inlineStr">
        <is>
          <t>A 35779-2025</t>
        </is>
      </c>
      <c r="B554" s="1" t="n">
        <v>45860.69495370371</v>
      </c>
      <c r="C554" s="1" t="n">
        <v>45940</v>
      </c>
      <c r="D554" t="inlineStr">
        <is>
          <t>VÄSTMANLANDS LÄN</t>
        </is>
      </c>
      <c r="E554" t="inlineStr">
        <is>
          <t>SALA</t>
        </is>
      </c>
      <c r="G554" t="n">
        <v>2.4</v>
      </c>
      <c r="H554" t="n">
        <v>0</v>
      </c>
      <c r="I554" t="n">
        <v>0</v>
      </c>
      <c r="J554" t="n">
        <v>0</v>
      </c>
      <c r="K554" t="n">
        <v>0</v>
      </c>
      <c r="L554" t="n">
        <v>0</v>
      </c>
      <c r="M554" t="n">
        <v>0</v>
      </c>
      <c r="N554" t="n">
        <v>0</v>
      </c>
      <c r="O554" t="n">
        <v>0</v>
      </c>
      <c r="P554" t="n">
        <v>0</v>
      </c>
      <c r="Q554" t="n">
        <v>0</v>
      </c>
      <c r="R554" s="2" t="inlineStr"/>
    </row>
    <row r="555" ht="15" customHeight="1">
      <c r="A555" t="inlineStr">
        <is>
          <t>A 61681-2024</t>
        </is>
      </c>
      <c r="B555" s="1" t="n">
        <v>45647</v>
      </c>
      <c r="C555" s="1" t="n">
        <v>45940</v>
      </c>
      <c r="D555" t="inlineStr">
        <is>
          <t>VÄSTMANLANDS LÄN</t>
        </is>
      </c>
      <c r="E555" t="inlineStr">
        <is>
          <t>SALA</t>
        </is>
      </c>
      <c r="F555" t="inlineStr">
        <is>
          <t>Kommuner</t>
        </is>
      </c>
      <c r="G555" t="n">
        <v>1</v>
      </c>
      <c r="H555" t="n">
        <v>0</v>
      </c>
      <c r="I555" t="n">
        <v>0</v>
      </c>
      <c r="J555" t="n">
        <v>0</v>
      </c>
      <c r="K555" t="n">
        <v>0</v>
      </c>
      <c r="L555" t="n">
        <v>0</v>
      </c>
      <c r="M555" t="n">
        <v>0</v>
      </c>
      <c r="N555" t="n">
        <v>0</v>
      </c>
      <c r="O555" t="n">
        <v>0</v>
      </c>
      <c r="P555" t="n">
        <v>0</v>
      </c>
      <c r="Q555" t="n">
        <v>0</v>
      </c>
      <c r="R555" s="2" t="inlineStr"/>
    </row>
    <row r="556" ht="15" customHeight="1">
      <c r="A556" t="inlineStr">
        <is>
          <t>A 35776-2025</t>
        </is>
      </c>
      <c r="B556" s="1" t="n">
        <v>45860.69211805556</v>
      </c>
      <c r="C556" s="1" t="n">
        <v>45940</v>
      </c>
      <c r="D556" t="inlineStr">
        <is>
          <t>VÄSTMANLANDS LÄN</t>
        </is>
      </c>
      <c r="E556" t="inlineStr">
        <is>
          <t>SALA</t>
        </is>
      </c>
      <c r="G556" t="n">
        <v>14.2</v>
      </c>
      <c r="H556" t="n">
        <v>0</v>
      </c>
      <c r="I556" t="n">
        <v>0</v>
      </c>
      <c r="J556" t="n">
        <v>0</v>
      </c>
      <c r="K556" t="n">
        <v>0</v>
      </c>
      <c r="L556" t="n">
        <v>0</v>
      </c>
      <c r="M556" t="n">
        <v>0</v>
      </c>
      <c r="N556" t="n">
        <v>0</v>
      </c>
      <c r="O556" t="n">
        <v>0</v>
      </c>
      <c r="P556" t="n">
        <v>0</v>
      </c>
      <c r="Q556" t="n">
        <v>0</v>
      </c>
      <c r="R556" s="2" t="inlineStr"/>
    </row>
    <row r="557" ht="15" customHeight="1">
      <c r="A557" t="inlineStr">
        <is>
          <t>A 35715-2025</t>
        </is>
      </c>
      <c r="B557" s="1" t="n">
        <v>45860.42148148148</v>
      </c>
      <c r="C557" s="1" t="n">
        <v>45940</v>
      </c>
      <c r="D557" t="inlineStr">
        <is>
          <t>VÄSTMANLANDS LÄN</t>
        </is>
      </c>
      <c r="E557" t="inlineStr">
        <is>
          <t>SALA</t>
        </is>
      </c>
      <c r="G557" t="n">
        <v>3.8</v>
      </c>
      <c r="H557" t="n">
        <v>0</v>
      </c>
      <c r="I557" t="n">
        <v>0</v>
      </c>
      <c r="J557" t="n">
        <v>0</v>
      </c>
      <c r="K557" t="n">
        <v>0</v>
      </c>
      <c r="L557" t="n">
        <v>0</v>
      </c>
      <c r="M557" t="n">
        <v>0</v>
      </c>
      <c r="N557" t="n">
        <v>0</v>
      </c>
      <c r="O557" t="n">
        <v>0</v>
      </c>
      <c r="P557" t="n">
        <v>0</v>
      </c>
      <c r="Q557" t="n">
        <v>0</v>
      </c>
      <c r="R557" s="2" t="inlineStr"/>
    </row>
    <row r="558" ht="15" customHeight="1">
      <c r="A558" t="inlineStr">
        <is>
          <t>A 48057-2025</t>
        </is>
      </c>
      <c r="B558" s="1" t="n">
        <v>45932.67947916667</v>
      </c>
      <c r="C558" s="1" t="n">
        <v>45940</v>
      </c>
      <c r="D558" t="inlineStr">
        <is>
          <t>VÄSTMANLANDS LÄN</t>
        </is>
      </c>
      <c r="E558" t="inlineStr">
        <is>
          <t>SALA</t>
        </is>
      </c>
      <c r="G558" t="n">
        <v>4.3</v>
      </c>
      <c r="H558" t="n">
        <v>0</v>
      </c>
      <c r="I558" t="n">
        <v>0</v>
      </c>
      <c r="J558" t="n">
        <v>0</v>
      </c>
      <c r="K558" t="n">
        <v>0</v>
      </c>
      <c r="L558" t="n">
        <v>0</v>
      </c>
      <c r="M558" t="n">
        <v>0</v>
      </c>
      <c r="N558" t="n">
        <v>0</v>
      </c>
      <c r="O558" t="n">
        <v>0</v>
      </c>
      <c r="P558" t="n">
        <v>0</v>
      </c>
      <c r="Q558" t="n">
        <v>0</v>
      </c>
      <c r="R558" s="2" t="inlineStr"/>
    </row>
    <row r="559" ht="15" customHeight="1">
      <c r="A559" t="inlineStr">
        <is>
          <t>A 2766-2024</t>
        </is>
      </c>
      <c r="B559" s="1" t="n">
        <v>45314.60950231482</v>
      </c>
      <c r="C559" s="1" t="n">
        <v>45940</v>
      </c>
      <c r="D559" t="inlineStr">
        <is>
          <t>VÄSTMANLANDS LÄN</t>
        </is>
      </c>
      <c r="E559" t="inlineStr">
        <is>
          <t>SALA</t>
        </is>
      </c>
      <c r="G559" t="n">
        <v>2.8</v>
      </c>
      <c r="H559" t="n">
        <v>0</v>
      </c>
      <c r="I559" t="n">
        <v>0</v>
      </c>
      <c r="J559" t="n">
        <v>0</v>
      </c>
      <c r="K559" t="n">
        <v>0</v>
      </c>
      <c r="L559" t="n">
        <v>0</v>
      </c>
      <c r="M559" t="n">
        <v>0</v>
      </c>
      <c r="N559" t="n">
        <v>0</v>
      </c>
      <c r="O559" t="n">
        <v>0</v>
      </c>
      <c r="P559" t="n">
        <v>0</v>
      </c>
      <c r="Q559" t="n">
        <v>0</v>
      </c>
      <c r="R559" s="2" t="inlineStr"/>
    </row>
    <row r="560" ht="15" customHeight="1">
      <c r="A560" t="inlineStr">
        <is>
          <t>A 52498-2022</t>
        </is>
      </c>
      <c r="B560" s="1" t="n">
        <v>44874.50152777778</v>
      </c>
      <c r="C560" s="1" t="n">
        <v>45940</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35651-2025</t>
        </is>
      </c>
      <c r="B561" s="1" t="n">
        <v>45859.52435185185</v>
      </c>
      <c r="C561" s="1" t="n">
        <v>45940</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6351-2023</t>
        </is>
      </c>
      <c r="B562" s="1" t="n">
        <v>44965</v>
      </c>
      <c r="C562" s="1" t="n">
        <v>45940</v>
      </c>
      <c r="D562" t="inlineStr">
        <is>
          <t>VÄSTMANLANDS LÄN</t>
        </is>
      </c>
      <c r="E562" t="inlineStr">
        <is>
          <t>SALA</t>
        </is>
      </c>
      <c r="F562" t="inlineStr">
        <is>
          <t>Kommuner</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35774-2025</t>
        </is>
      </c>
      <c r="B563" s="1" t="n">
        <v>45860.68780092592</v>
      </c>
      <c r="C563" s="1" t="n">
        <v>45940</v>
      </c>
      <c r="D563" t="inlineStr">
        <is>
          <t>VÄSTMANLANDS LÄN</t>
        </is>
      </c>
      <c r="E563" t="inlineStr">
        <is>
          <t>SALA</t>
        </is>
      </c>
      <c r="G563" t="n">
        <v>6.5</v>
      </c>
      <c r="H563" t="n">
        <v>0</v>
      </c>
      <c r="I563" t="n">
        <v>0</v>
      </c>
      <c r="J563" t="n">
        <v>0</v>
      </c>
      <c r="K563" t="n">
        <v>0</v>
      </c>
      <c r="L563" t="n">
        <v>0</v>
      </c>
      <c r="M563" t="n">
        <v>0</v>
      </c>
      <c r="N563" t="n">
        <v>0</v>
      </c>
      <c r="O563" t="n">
        <v>0</v>
      </c>
      <c r="P563" t="n">
        <v>0</v>
      </c>
      <c r="Q563" t="n">
        <v>0</v>
      </c>
      <c r="R563" s="2" t="inlineStr"/>
    </row>
    <row r="564" ht="15" customHeight="1">
      <c r="A564" t="inlineStr">
        <is>
          <t>A 45187-2024</t>
        </is>
      </c>
      <c r="B564" s="1" t="n">
        <v>45575</v>
      </c>
      <c r="C564" s="1" t="n">
        <v>45940</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42421-2025</t>
        </is>
      </c>
      <c r="B565" s="1" t="n">
        <v>45905.40067129629</v>
      </c>
      <c r="C565" s="1" t="n">
        <v>45940</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33527-2023</t>
        </is>
      </c>
      <c r="B566" s="1" t="n">
        <v>45131</v>
      </c>
      <c r="C566" s="1" t="n">
        <v>45940</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7377-2023</t>
        </is>
      </c>
      <c r="B567" s="1" t="n">
        <v>44971</v>
      </c>
      <c r="C567" s="1" t="n">
        <v>45940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6308-2021</t>
        </is>
      </c>
      <c r="B568" s="1" t="n">
        <v>44235</v>
      </c>
      <c r="C568" s="1" t="n">
        <v>45940</v>
      </c>
      <c r="D568" t="inlineStr">
        <is>
          <t>VÄSTMANLANDS LÄN</t>
        </is>
      </c>
      <c r="E568" t="inlineStr">
        <is>
          <t>SALA</t>
        </is>
      </c>
      <c r="G568" t="n">
        <v>1.4</v>
      </c>
      <c r="H568" t="n">
        <v>0</v>
      </c>
      <c r="I568" t="n">
        <v>0</v>
      </c>
      <c r="J568" t="n">
        <v>0</v>
      </c>
      <c r="K568" t="n">
        <v>0</v>
      </c>
      <c r="L568" t="n">
        <v>0</v>
      </c>
      <c r="M568" t="n">
        <v>0</v>
      </c>
      <c r="N568" t="n">
        <v>0</v>
      </c>
      <c r="O568" t="n">
        <v>0</v>
      </c>
      <c r="P568" t="n">
        <v>0</v>
      </c>
      <c r="Q568" t="n">
        <v>0</v>
      </c>
      <c r="R568" s="2" t="inlineStr"/>
    </row>
    <row r="569" ht="15" customHeight="1">
      <c r="A569" t="inlineStr">
        <is>
          <t>A 21159-2022</t>
        </is>
      </c>
      <c r="B569" s="1" t="n">
        <v>44704</v>
      </c>
      <c r="C569" s="1" t="n">
        <v>45940</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48710-2025</t>
        </is>
      </c>
      <c r="B570" s="1" t="n">
        <v>45936.63184027778</v>
      </c>
      <c r="C570" s="1" t="n">
        <v>45940</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49661-2024</t>
        </is>
      </c>
      <c r="B571" s="1" t="n">
        <v>45596</v>
      </c>
      <c r="C571" s="1" t="n">
        <v>45940</v>
      </c>
      <c r="D571" t="inlineStr">
        <is>
          <t>VÄSTMANLANDS LÄN</t>
        </is>
      </c>
      <c r="E571" t="inlineStr">
        <is>
          <t>SALA</t>
        </is>
      </c>
      <c r="G571" t="n">
        <v>6.7</v>
      </c>
      <c r="H571" t="n">
        <v>0</v>
      </c>
      <c r="I571" t="n">
        <v>0</v>
      </c>
      <c r="J571" t="n">
        <v>0</v>
      </c>
      <c r="K571" t="n">
        <v>0</v>
      </c>
      <c r="L571" t="n">
        <v>0</v>
      </c>
      <c r="M571" t="n">
        <v>0</v>
      </c>
      <c r="N571" t="n">
        <v>0</v>
      </c>
      <c r="O571" t="n">
        <v>0</v>
      </c>
      <c r="P571" t="n">
        <v>0</v>
      </c>
      <c r="Q571" t="n">
        <v>0</v>
      </c>
      <c r="R571" s="2" t="inlineStr"/>
    </row>
    <row r="572" ht="15" customHeight="1">
      <c r="A572" t="inlineStr">
        <is>
          <t>A 59297-2023</t>
        </is>
      </c>
      <c r="B572" s="1" t="n">
        <v>45253</v>
      </c>
      <c r="C572" s="1" t="n">
        <v>45940</v>
      </c>
      <c r="D572" t="inlineStr">
        <is>
          <t>VÄSTMANLANDS LÄN</t>
        </is>
      </c>
      <c r="E572" t="inlineStr">
        <is>
          <t>SALA</t>
        </is>
      </c>
      <c r="G572" t="n">
        <v>2</v>
      </c>
      <c r="H572" t="n">
        <v>0</v>
      </c>
      <c r="I572" t="n">
        <v>0</v>
      </c>
      <c r="J572" t="n">
        <v>0</v>
      </c>
      <c r="K572" t="n">
        <v>0</v>
      </c>
      <c r="L572" t="n">
        <v>0</v>
      </c>
      <c r="M572" t="n">
        <v>0</v>
      </c>
      <c r="N572" t="n">
        <v>0</v>
      </c>
      <c r="O572" t="n">
        <v>0</v>
      </c>
      <c r="P572" t="n">
        <v>0</v>
      </c>
      <c r="Q572" t="n">
        <v>0</v>
      </c>
      <c r="R572" s="2" t="inlineStr"/>
    </row>
    <row r="573" ht="15" customHeight="1">
      <c r="A573" t="inlineStr">
        <is>
          <t>A 15965-2024</t>
        </is>
      </c>
      <c r="B573" s="1" t="n">
        <v>45405.55740740741</v>
      </c>
      <c r="C573" s="1" t="n">
        <v>45940</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23180-2022</t>
        </is>
      </c>
      <c r="B574" s="1" t="n">
        <v>44719.79344907407</v>
      </c>
      <c r="C574" s="1" t="n">
        <v>45940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21455-2023</t>
        </is>
      </c>
      <c r="B575" s="1" t="n">
        <v>45058</v>
      </c>
      <c r="C575" s="1" t="n">
        <v>45940</v>
      </c>
      <c r="D575" t="inlineStr">
        <is>
          <t>VÄSTMANLANDS LÄN</t>
        </is>
      </c>
      <c r="E575" t="inlineStr">
        <is>
          <t>SALA</t>
        </is>
      </c>
      <c r="G575" t="n">
        <v>6.4</v>
      </c>
      <c r="H575" t="n">
        <v>0</v>
      </c>
      <c r="I575" t="n">
        <v>0</v>
      </c>
      <c r="J575" t="n">
        <v>0</v>
      </c>
      <c r="K575" t="n">
        <v>0</v>
      </c>
      <c r="L575" t="n">
        <v>0</v>
      </c>
      <c r="M575" t="n">
        <v>0</v>
      </c>
      <c r="N575" t="n">
        <v>0</v>
      </c>
      <c r="O575" t="n">
        <v>0</v>
      </c>
      <c r="P575" t="n">
        <v>0</v>
      </c>
      <c r="Q575" t="n">
        <v>0</v>
      </c>
      <c r="R575" s="2" t="inlineStr"/>
    </row>
    <row r="576" ht="15" customHeight="1">
      <c r="A576" t="inlineStr">
        <is>
          <t>A 56688-2024</t>
        </is>
      </c>
      <c r="B576" s="1" t="n">
        <v>45627.66478009259</v>
      </c>
      <c r="C576" s="1" t="n">
        <v>45940</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36060-2025</t>
        </is>
      </c>
      <c r="B577" s="1" t="n">
        <v>45866.39469907407</v>
      </c>
      <c r="C577" s="1" t="n">
        <v>45940</v>
      </c>
      <c r="D577" t="inlineStr">
        <is>
          <t>VÄSTMANLANDS LÄN</t>
        </is>
      </c>
      <c r="E577" t="inlineStr">
        <is>
          <t>SALA</t>
        </is>
      </c>
      <c r="F577" t="inlineStr">
        <is>
          <t>Kommuner</t>
        </is>
      </c>
      <c r="G577" t="n">
        <v>4.3</v>
      </c>
      <c r="H577" t="n">
        <v>0</v>
      </c>
      <c r="I577" t="n">
        <v>0</v>
      </c>
      <c r="J577" t="n">
        <v>0</v>
      </c>
      <c r="K577" t="n">
        <v>0</v>
      </c>
      <c r="L577" t="n">
        <v>0</v>
      </c>
      <c r="M577" t="n">
        <v>0</v>
      </c>
      <c r="N577" t="n">
        <v>0</v>
      </c>
      <c r="O577" t="n">
        <v>0</v>
      </c>
      <c r="P577" t="n">
        <v>0</v>
      </c>
      <c r="Q577" t="n">
        <v>0</v>
      </c>
      <c r="R577" s="2" t="inlineStr"/>
    </row>
    <row r="578" ht="15" customHeight="1">
      <c r="A578" t="inlineStr">
        <is>
          <t>A 43031-2025</t>
        </is>
      </c>
      <c r="B578" s="1" t="n">
        <v>45909.53856481481</v>
      </c>
      <c r="C578" s="1" t="n">
        <v>45940</v>
      </c>
      <c r="D578" t="inlineStr">
        <is>
          <t>VÄSTMANLANDS LÄN</t>
        </is>
      </c>
      <c r="E578" t="inlineStr">
        <is>
          <t>SALA</t>
        </is>
      </c>
      <c r="G578" t="n">
        <v>0.2</v>
      </c>
      <c r="H578" t="n">
        <v>0</v>
      </c>
      <c r="I578" t="n">
        <v>0</v>
      </c>
      <c r="J578" t="n">
        <v>0</v>
      </c>
      <c r="K578" t="n">
        <v>0</v>
      </c>
      <c r="L578" t="n">
        <v>0</v>
      </c>
      <c r="M578" t="n">
        <v>0</v>
      </c>
      <c r="N578" t="n">
        <v>0</v>
      </c>
      <c r="O578" t="n">
        <v>0</v>
      </c>
      <c r="P578" t="n">
        <v>0</v>
      </c>
      <c r="Q578" t="n">
        <v>0</v>
      </c>
      <c r="R578" s="2" t="inlineStr"/>
    </row>
    <row r="579" ht="15" customHeight="1">
      <c r="A579" t="inlineStr">
        <is>
          <t>A 36031-2025</t>
        </is>
      </c>
      <c r="B579" s="1" t="n">
        <v>45865.46111111111</v>
      </c>
      <c r="C579" s="1" t="n">
        <v>45940</v>
      </c>
      <c r="D579" t="inlineStr">
        <is>
          <t>VÄSTMANLANDS LÄN</t>
        </is>
      </c>
      <c r="E579" t="inlineStr">
        <is>
          <t>SALA</t>
        </is>
      </c>
      <c r="G579" t="n">
        <v>7.2</v>
      </c>
      <c r="H579" t="n">
        <v>0</v>
      </c>
      <c r="I579" t="n">
        <v>0</v>
      </c>
      <c r="J579" t="n">
        <v>0</v>
      </c>
      <c r="K579" t="n">
        <v>0</v>
      </c>
      <c r="L579" t="n">
        <v>0</v>
      </c>
      <c r="M579" t="n">
        <v>0</v>
      </c>
      <c r="N579" t="n">
        <v>0</v>
      </c>
      <c r="O579" t="n">
        <v>0</v>
      </c>
      <c r="P579" t="n">
        <v>0</v>
      </c>
      <c r="Q579" t="n">
        <v>0</v>
      </c>
      <c r="R579" s="2" t="inlineStr"/>
    </row>
    <row r="580" ht="15" customHeight="1">
      <c r="A580" t="inlineStr">
        <is>
          <t>A 36043-2025</t>
        </is>
      </c>
      <c r="B580" s="1" t="n">
        <v>45866.35333333333</v>
      </c>
      <c r="C580" s="1" t="n">
        <v>45940</v>
      </c>
      <c r="D580" t="inlineStr">
        <is>
          <t>VÄSTMANLANDS LÄN</t>
        </is>
      </c>
      <c r="E580" t="inlineStr">
        <is>
          <t>SALA</t>
        </is>
      </c>
      <c r="F580" t="inlineStr">
        <is>
          <t>Kommuner</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36032-2025</t>
        </is>
      </c>
      <c r="B581" s="1" t="n">
        <v>45865.48740740741</v>
      </c>
      <c r="C581" s="1" t="n">
        <v>45940</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16159-2024</t>
        </is>
      </c>
      <c r="B582" s="1" t="n">
        <v>45406</v>
      </c>
      <c r="C582" s="1" t="n">
        <v>45940</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36049-2025</t>
        </is>
      </c>
      <c r="B583" s="1" t="n">
        <v>45866.37065972222</v>
      </c>
      <c r="C583" s="1" t="n">
        <v>45940</v>
      </c>
      <c r="D583" t="inlineStr">
        <is>
          <t>VÄSTMANLANDS LÄN</t>
        </is>
      </c>
      <c r="E583" t="inlineStr">
        <is>
          <t>SALA</t>
        </is>
      </c>
      <c r="F583" t="inlineStr">
        <is>
          <t>Kommuner</t>
        </is>
      </c>
      <c r="G583" t="n">
        <v>1.9</v>
      </c>
      <c r="H583" t="n">
        <v>0</v>
      </c>
      <c r="I583" t="n">
        <v>0</v>
      </c>
      <c r="J583" t="n">
        <v>0</v>
      </c>
      <c r="K583" t="n">
        <v>0</v>
      </c>
      <c r="L583" t="n">
        <v>0</v>
      </c>
      <c r="M583" t="n">
        <v>0</v>
      </c>
      <c r="N583" t="n">
        <v>0</v>
      </c>
      <c r="O583" t="n">
        <v>0</v>
      </c>
      <c r="P583" t="n">
        <v>0</v>
      </c>
      <c r="Q583" t="n">
        <v>0</v>
      </c>
      <c r="R583" s="2" t="inlineStr"/>
    </row>
    <row r="584" ht="15" customHeight="1">
      <c r="A584" t="inlineStr">
        <is>
          <t>A 48910-2025</t>
        </is>
      </c>
      <c r="B584" s="1" t="n">
        <v>45937.48649305556</v>
      </c>
      <c r="C584" s="1" t="n">
        <v>45940</v>
      </c>
      <c r="D584" t="inlineStr">
        <is>
          <t>VÄSTMANLANDS LÄN</t>
        </is>
      </c>
      <c r="E584" t="inlineStr">
        <is>
          <t>SALA</t>
        </is>
      </c>
      <c r="G584" t="n">
        <v>7.8</v>
      </c>
      <c r="H584" t="n">
        <v>0</v>
      </c>
      <c r="I584" t="n">
        <v>0</v>
      </c>
      <c r="J584" t="n">
        <v>0</v>
      </c>
      <c r="K584" t="n">
        <v>0</v>
      </c>
      <c r="L584" t="n">
        <v>0</v>
      </c>
      <c r="M584" t="n">
        <v>0</v>
      </c>
      <c r="N584" t="n">
        <v>0</v>
      </c>
      <c r="O584" t="n">
        <v>0</v>
      </c>
      <c r="P584" t="n">
        <v>0</v>
      </c>
      <c r="Q584" t="n">
        <v>0</v>
      </c>
      <c r="R584" s="2" t="inlineStr"/>
    </row>
    <row r="585" ht="15" customHeight="1">
      <c r="A585" t="inlineStr">
        <is>
          <t>A 66307-2021</t>
        </is>
      </c>
      <c r="B585" s="1" t="n">
        <v>44518.48670138889</v>
      </c>
      <c r="C585" s="1" t="n">
        <v>45940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43028-2025</t>
        </is>
      </c>
      <c r="B586" s="1" t="n">
        <v>45909.53472222222</v>
      </c>
      <c r="C586" s="1" t="n">
        <v>45940</v>
      </c>
      <c r="D586" t="inlineStr">
        <is>
          <t>VÄSTMANLANDS LÄN</t>
        </is>
      </c>
      <c r="E586" t="inlineStr">
        <is>
          <t>SALA</t>
        </is>
      </c>
      <c r="G586" t="n">
        <v>3.8</v>
      </c>
      <c r="H586" t="n">
        <v>0</v>
      </c>
      <c r="I586" t="n">
        <v>0</v>
      </c>
      <c r="J586" t="n">
        <v>0</v>
      </c>
      <c r="K586" t="n">
        <v>0</v>
      </c>
      <c r="L586" t="n">
        <v>0</v>
      </c>
      <c r="M586" t="n">
        <v>0</v>
      </c>
      <c r="N586" t="n">
        <v>0</v>
      </c>
      <c r="O586" t="n">
        <v>0</v>
      </c>
      <c r="P586" t="n">
        <v>0</v>
      </c>
      <c r="Q586" t="n">
        <v>0</v>
      </c>
      <c r="R586" s="2" t="inlineStr"/>
    </row>
    <row r="587" ht="15" customHeight="1">
      <c r="A587" t="inlineStr">
        <is>
          <t>A 36045-2025</t>
        </is>
      </c>
      <c r="B587" s="1" t="n">
        <v>45866.36200231482</v>
      </c>
      <c r="C587" s="1" t="n">
        <v>45940</v>
      </c>
      <c r="D587" t="inlineStr">
        <is>
          <t>VÄSTMANLANDS LÄN</t>
        </is>
      </c>
      <c r="E587" t="inlineStr">
        <is>
          <t>SALA</t>
        </is>
      </c>
      <c r="F587" t="inlineStr">
        <is>
          <t>Kommuner</t>
        </is>
      </c>
      <c r="G587" t="n">
        <v>1.7</v>
      </c>
      <c r="H587" t="n">
        <v>0</v>
      </c>
      <c r="I587" t="n">
        <v>0</v>
      </c>
      <c r="J587" t="n">
        <v>0</v>
      </c>
      <c r="K587" t="n">
        <v>0</v>
      </c>
      <c r="L587" t="n">
        <v>0</v>
      </c>
      <c r="M587" t="n">
        <v>0</v>
      </c>
      <c r="N587" t="n">
        <v>0</v>
      </c>
      <c r="O587" t="n">
        <v>0</v>
      </c>
      <c r="P587" t="n">
        <v>0</v>
      </c>
      <c r="Q587" t="n">
        <v>0</v>
      </c>
      <c r="R587" s="2" t="inlineStr"/>
    </row>
    <row r="588" ht="15" customHeight="1">
      <c r="A588" t="inlineStr">
        <is>
          <t>A 43328-2025</t>
        </is>
      </c>
      <c r="B588" s="1" t="n">
        <v>45910</v>
      </c>
      <c r="C588" s="1" t="n">
        <v>45940</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40559-2025</t>
        </is>
      </c>
      <c r="B589" s="1" t="n">
        <v>45896.45037037037</v>
      </c>
      <c r="C589" s="1" t="n">
        <v>45940</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27262-2024</t>
        </is>
      </c>
      <c r="B590" s="1" t="n">
        <v>45471</v>
      </c>
      <c r="C590" s="1" t="n">
        <v>45940</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10913-2025</t>
        </is>
      </c>
      <c r="B591" s="1" t="n">
        <v>45722.73423611111</v>
      </c>
      <c r="C591" s="1" t="n">
        <v>45940</v>
      </c>
      <c r="D591" t="inlineStr">
        <is>
          <t>VÄSTMANLANDS LÄN</t>
        </is>
      </c>
      <c r="E591" t="inlineStr">
        <is>
          <t>SALA</t>
        </is>
      </c>
      <c r="G591" t="n">
        <v>7.6</v>
      </c>
      <c r="H591" t="n">
        <v>0</v>
      </c>
      <c r="I591" t="n">
        <v>0</v>
      </c>
      <c r="J591" t="n">
        <v>0</v>
      </c>
      <c r="K591" t="n">
        <v>0</v>
      </c>
      <c r="L591" t="n">
        <v>0</v>
      </c>
      <c r="M591" t="n">
        <v>0</v>
      </c>
      <c r="N591" t="n">
        <v>0</v>
      </c>
      <c r="O591" t="n">
        <v>0</v>
      </c>
      <c r="P591" t="n">
        <v>0</v>
      </c>
      <c r="Q591" t="n">
        <v>0</v>
      </c>
      <c r="R591" s="2" t="inlineStr"/>
    </row>
    <row r="592" ht="15" customHeight="1">
      <c r="A592" t="inlineStr">
        <is>
          <t>A 21053-2022</t>
        </is>
      </c>
      <c r="B592" s="1" t="n">
        <v>44704</v>
      </c>
      <c r="C592" s="1" t="n">
        <v>45940</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40554-2025</t>
        </is>
      </c>
      <c r="B593" s="1" t="n">
        <v>45896.44506944445</v>
      </c>
      <c r="C593" s="1" t="n">
        <v>45940</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40556-2025</t>
        </is>
      </c>
      <c r="B594" s="1" t="n">
        <v>45896.44944444444</v>
      </c>
      <c r="C594" s="1" t="n">
        <v>45940</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40620-2025</t>
        </is>
      </c>
      <c r="B595" s="1" t="n">
        <v>45896.58609953704</v>
      </c>
      <c r="C595" s="1" t="n">
        <v>45940</v>
      </c>
      <c r="D595" t="inlineStr">
        <is>
          <t>VÄSTMANLANDS LÄN</t>
        </is>
      </c>
      <c r="E595" t="inlineStr">
        <is>
          <t>SALA</t>
        </is>
      </c>
      <c r="G595" t="n">
        <v>6.7</v>
      </c>
      <c r="H595" t="n">
        <v>0</v>
      </c>
      <c r="I595" t="n">
        <v>0</v>
      </c>
      <c r="J595" t="n">
        <v>0</v>
      </c>
      <c r="K595" t="n">
        <v>0</v>
      </c>
      <c r="L595" t="n">
        <v>0</v>
      </c>
      <c r="M595" t="n">
        <v>0</v>
      </c>
      <c r="N595" t="n">
        <v>0</v>
      </c>
      <c r="O595" t="n">
        <v>0</v>
      </c>
      <c r="P595" t="n">
        <v>0</v>
      </c>
      <c r="Q595" t="n">
        <v>0</v>
      </c>
      <c r="R595" s="2" t="inlineStr"/>
    </row>
    <row r="596" ht="15" customHeight="1">
      <c r="A596" t="inlineStr">
        <is>
          <t>A 35410-2022</t>
        </is>
      </c>
      <c r="B596" s="1" t="n">
        <v>44798.62576388889</v>
      </c>
      <c r="C596" s="1" t="n">
        <v>45940</v>
      </c>
      <c r="D596" t="inlineStr">
        <is>
          <t>VÄSTMANLANDS LÄN</t>
        </is>
      </c>
      <c r="E596" t="inlineStr">
        <is>
          <t>SALA</t>
        </is>
      </c>
      <c r="G596" t="n">
        <v>1.6</v>
      </c>
      <c r="H596" t="n">
        <v>0</v>
      </c>
      <c r="I596" t="n">
        <v>0</v>
      </c>
      <c r="J596" t="n">
        <v>0</v>
      </c>
      <c r="K596" t="n">
        <v>0</v>
      </c>
      <c r="L596" t="n">
        <v>0</v>
      </c>
      <c r="M596" t="n">
        <v>0</v>
      </c>
      <c r="N596" t="n">
        <v>0</v>
      </c>
      <c r="O596" t="n">
        <v>0</v>
      </c>
      <c r="P596" t="n">
        <v>0</v>
      </c>
      <c r="Q596" t="n">
        <v>0</v>
      </c>
      <c r="R596" s="2" t="inlineStr"/>
    </row>
    <row r="597" ht="15" customHeight="1">
      <c r="A597" t="inlineStr">
        <is>
          <t>A 49585-2025</t>
        </is>
      </c>
      <c r="B597" s="1" t="n">
        <v>45939.5043287037</v>
      </c>
      <c r="C597" s="1" t="n">
        <v>45940</v>
      </c>
      <c r="D597" t="inlineStr">
        <is>
          <t>VÄSTMANLANDS LÄN</t>
        </is>
      </c>
      <c r="E597" t="inlineStr">
        <is>
          <t>SALA</t>
        </is>
      </c>
      <c r="G597" t="n">
        <v>2.2</v>
      </c>
      <c r="H597" t="n">
        <v>0</v>
      </c>
      <c r="I597" t="n">
        <v>0</v>
      </c>
      <c r="J597" t="n">
        <v>0</v>
      </c>
      <c r="K597" t="n">
        <v>0</v>
      </c>
      <c r="L597" t="n">
        <v>0</v>
      </c>
      <c r="M597" t="n">
        <v>0</v>
      </c>
      <c r="N597" t="n">
        <v>0</v>
      </c>
      <c r="O597" t="n">
        <v>0</v>
      </c>
      <c r="P597" t="n">
        <v>0</v>
      </c>
      <c r="Q597" t="n">
        <v>0</v>
      </c>
      <c r="R597" s="2" t="inlineStr"/>
    </row>
    <row r="598" ht="15" customHeight="1">
      <c r="A598" t="inlineStr">
        <is>
          <t>A 49640-2025</t>
        </is>
      </c>
      <c r="B598" s="1" t="n">
        <v>45939.61459490741</v>
      </c>
      <c r="C598" s="1" t="n">
        <v>45940</v>
      </c>
      <c r="D598" t="inlineStr">
        <is>
          <t>VÄSTMANLANDS LÄN</t>
        </is>
      </c>
      <c r="E598" t="inlineStr">
        <is>
          <t>SALA</t>
        </is>
      </c>
      <c r="F598" t="inlineStr">
        <is>
          <t>Kommuner</t>
        </is>
      </c>
      <c r="G598" t="n">
        <v>18.8</v>
      </c>
      <c r="H598" t="n">
        <v>0</v>
      </c>
      <c r="I598" t="n">
        <v>0</v>
      </c>
      <c r="J598" t="n">
        <v>0</v>
      </c>
      <c r="K598" t="n">
        <v>0</v>
      </c>
      <c r="L598" t="n">
        <v>0</v>
      </c>
      <c r="M598" t="n">
        <v>0</v>
      </c>
      <c r="N598" t="n">
        <v>0</v>
      </c>
      <c r="O598" t="n">
        <v>0</v>
      </c>
      <c r="P598" t="n">
        <v>0</v>
      </c>
      <c r="Q598" t="n">
        <v>0</v>
      </c>
      <c r="R598" s="2" t="inlineStr"/>
    </row>
    <row r="599" ht="15" customHeight="1">
      <c r="A599" t="inlineStr">
        <is>
          <t>A 11927-2025</t>
        </is>
      </c>
      <c r="B599" s="1" t="n">
        <v>45728.5137962963</v>
      </c>
      <c r="C599" s="1" t="n">
        <v>45940</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17766-2025</t>
        </is>
      </c>
      <c r="B600" s="1" t="n">
        <v>45758</v>
      </c>
      <c r="C600" s="1" t="n">
        <v>45940</v>
      </c>
      <c r="D600" t="inlineStr">
        <is>
          <t>VÄSTMANLANDS LÄN</t>
        </is>
      </c>
      <c r="E600" t="inlineStr">
        <is>
          <t>SALA</t>
        </is>
      </c>
      <c r="G600" t="n">
        <v>16.5</v>
      </c>
      <c r="H600" t="n">
        <v>0</v>
      </c>
      <c r="I600" t="n">
        <v>0</v>
      </c>
      <c r="J600" t="n">
        <v>0</v>
      </c>
      <c r="K600" t="n">
        <v>0</v>
      </c>
      <c r="L600" t="n">
        <v>0</v>
      </c>
      <c r="M600" t="n">
        <v>0</v>
      </c>
      <c r="N600" t="n">
        <v>0</v>
      </c>
      <c r="O600" t="n">
        <v>0</v>
      </c>
      <c r="P600" t="n">
        <v>0</v>
      </c>
      <c r="Q600" t="n">
        <v>0</v>
      </c>
      <c r="R600" s="2" t="inlineStr"/>
    </row>
    <row r="601" ht="15" customHeight="1">
      <c r="A601" t="inlineStr">
        <is>
          <t>A 1118-2024</t>
        </is>
      </c>
      <c r="B601" s="1" t="n">
        <v>45302</v>
      </c>
      <c r="C601" s="1" t="n">
        <v>45940</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31863-2025</t>
        </is>
      </c>
      <c r="B602" s="1" t="n">
        <v>45834.63303240741</v>
      </c>
      <c r="C602" s="1" t="n">
        <v>45940</v>
      </c>
      <c r="D602" t="inlineStr">
        <is>
          <t>VÄSTMANLANDS LÄN</t>
        </is>
      </c>
      <c r="E602" t="inlineStr">
        <is>
          <t>SALA</t>
        </is>
      </c>
      <c r="G602" t="n">
        <v>2.5</v>
      </c>
      <c r="H602" t="n">
        <v>0</v>
      </c>
      <c r="I602" t="n">
        <v>0</v>
      </c>
      <c r="J602" t="n">
        <v>0</v>
      </c>
      <c r="K602" t="n">
        <v>0</v>
      </c>
      <c r="L602" t="n">
        <v>0</v>
      </c>
      <c r="M602" t="n">
        <v>0</v>
      </c>
      <c r="N602" t="n">
        <v>0</v>
      </c>
      <c r="O602" t="n">
        <v>0</v>
      </c>
      <c r="P602" t="n">
        <v>0</v>
      </c>
      <c r="Q602" t="n">
        <v>0</v>
      </c>
      <c r="R602" s="2" t="inlineStr"/>
    </row>
    <row r="603" ht="15" customHeight="1">
      <c r="A603" t="inlineStr">
        <is>
          <t>A 19033-2025</t>
        </is>
      </c>
      <c r="B603" s="1" t="n">
        <v>45764.65796296296</v>
      </c>
      <c r="C603" s="1" t="n">
        <v>45940</v>
      </c>
      <c r="D603" t="inlineStr">
        <is>
          <t>VÄSTMANLANDS LÄN</t>
        </is>
      </c>
      <c r="E603" t="inlineStr">
        <is>
          <t>SALA</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53864-2022</t>
        </is>
      </c>
      <c r="B604" s="1" t="n">
        <v>44880.64016203704</v>
      </c>
      <c r="C604" s="1" t="n">
        <v>45940</v>
      </c>
      <c r="D604" t="inlineStr">
        <is>
          <t>VÄSTMANLANDS LÄN</t>
        </is>
      </c>
      <c r="E604" t="inlineStr">
        <is>
          <t>SALA</t>
        </is>
      </c>
      <c r="G604" t="n">
        <v>5.9</v>
      </c>
      <c r="H604" t="n">
        <v>0</v>
      </c>
      <c r="I604" t="n">
        <v>0</v>
      </c>
      <c r="J604" t="n">
        <v>0</v>
      </c>
      <c r="K604" t="n">
        <v>0</v>
      </c>
      <c r="L604" t="n">
        <v>0</v>
      </c>
      <c r="M604" t="n">
        <v>0</v>
      </c>
      <c r="N604" t="n">
        <v>0</v>
      </c>
      <c r="O604" t="n">
        <v>0</v>
      </c>
      <c r="P604" t="n">
        <v>0</v>
      </c>
      <c r="Q604" t="n">
        <v>0</v>
      </c>
      <c r="R604" s="2" t="inlineStr"/>
    </row>
    <row r="605" ht="15" customHeight="1">
      <c r="A605" t="inlineStr">
        <is>
          <t>A 40085-2024</t>
        </is>
      </c>
      <c r="B605" s="1" t="n">
        <v>45554</v>
      </c>
      <c r="C605" s="1" t="n">
        <v>45940</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50876-2023</t>
        </is>
      </c>
      <c r="B606" s="1" t="n">
        <v>45211</v>
      </c>
      <c r="C606" s="1" t="n">
        <v>45940</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3546-2025</t>
        </is>
      </c>
      <c r="B607" s="1" t="n">
        <v>45680</v>
      </c>
      <c r="C607" s="1" t="n">
        <v>45940</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3551-2024</t>
        </is>
      </c>
      <c r="B608" s="1" t="n">
        <v>45320.61099537037</v>
      </c>
      <c r="C608" s="1" t="n">
        <v>45940</v>
      </c>
      <c r="D608" t="inlineStr">
        <is>
          <t>VÄSTMANLANDS LÄN</t>
        </is>
      </c>
      <c r="E608" t="inlineStr">
        <is>
          <t>SALA</t>
        </is>
      </c>
      <c r="F608" t="inlineStr">
        <is>
          <t>Kommuner</t>
        </is>
      </c>
      <c r="G608" t="n">
        <v>6</v>
      </c>
      <c r="H608" t="n">
        <v>0</v>
      </c>
      <c r="I608" t="n">
        <v>0</v>
      </c>
      <c r="J608" t="n">
        <v>0</v>
      </c>
      <c r="K608" t="n">
        <v>0</v>
      </c>
      <c r="L608" t="n">
        <v>0</v>
      </c>
      <c r="M608" t="n">
        <v>0</v>
      </c>
      <c r="N608" t="n">
        <v>0</v>
      </c>
      <c r="O608" t="n">
        <v>0</v>
      </c>
      <c r="P608" t="n">
        <v>0</v>
      </c>
      <c r="Q608" t="n">
        <v>0</v>
      </c>
      <c r="R608" s="2" t="inlineStr"/>
    </row>
    <row r="609" ht="15" customHeight="1">
      <c r="A609" t="inlineStr">
        <is>
          <t>A 10255-2024</t>
        </is>
      </c>
      <c r="B609" s="1" t="n">
        <v>45365</v>
      </c>
      <c r="C609" s="1" t="n">
        <v>45940</v>
      </c>
      <c r="D609" t="inlineStr">
        <is>
          <t>VÄSTMANLANDS LÄN</t>
        </is>
      </c>
      <c r="E609" t="inlineStr">
        <is>
          <t>SALA</t>
        </is>
      </c>
      <c r="F609" t="inlineStr">
        <is>
          <t>Kommuner</t>
        </is>
      </c>
      <c r="G609" t="n">
        <v>0.8</v>
      </c>
      <c r="H609" t="n">
        <v>0</v>
      </c>
      <c r="I609" t="n">
        <v>0</v>
      </c>
      <c r="J609" t="n">
        <v>0</v>
      </c>
      <c r="K609" t="n">
        <v>0</v>
      </c>
      <c r="L609" t="n">
        <v>0</v>
      </c>
      <c r="M609" t="n">
        <v>0</v>
      </c>
      <c r="N609" t="n">
        <v>0</v>
      </c>
      <c r="O609" t="n">
        <v>0</v>
      </c>
      <c r="P609" t="n">
        <v>0</v>
      </c>
      <c r="Q609" t="n">
        <v>0</v>
      </c>
      <c r="R609" s="2" t="inlineStr"/>
    </row>
    <row r="610" ht="15" customHeight="1">
      <c r="A610" t="inlineStr">
        <is>
          <t>A 31869-2025</t>
        </is>
      </c>
      <c r="B610" s="1" t="n">
        <v>45834.64555555556</v>
      </c>
      <c r="C610" s="1" t="n">
        <v>45940</v>
      </c>
      <c r="D610" t="inlineStr">
        <is>
          <t>VÄSTMANLANDS LÄN</t>
        </is>
      </c>
      <c r="E610" t="inlineStr">
        <is>
          <t>SALA</t>
        </is>
      </c>
      <c r="G610" t="n">
        <v>17.5</v>
      </c>
      <c r="H610" t="n">
        <v>0</v>
      </c>
      <c r="I610" t="n">
        <v>0</v>
      </c>
      <c r="J610" t="n">
        <v>0</v>
      </c>
      <c r="K610" t="n">
        <v>0</v>
      </c>
      <c r="L610" t="n">
        <v>0</v>
      </c>
      <c r="M610" t="n">
        <v>0</v>
      </c>
      <c r="N610" t="n">
        <v>0</v>
      </c>
      <c r="O610" t="n">
        <v>0</v>
      </c>
      <c r="P610" t="n">
        <v>0</v>
      </c>
      <c r="Q610" t="n">
        <v>0</v>
      </c>
      <c r="R610" s="2" t="inlineStr"/>
    </row>
    <row r="611" ht="15" customHeight="1">
      <c r="A611" t="inlineStr">
        <is>
          <t>A 44100-2025</t>
        </is>
      </c>
      <c r="B611" s="1" t="n">
        <v>45915.56707175926</v>
      </c>
      <c r="C611" s="1" t="n">
        <v>45940</v>
      </c>
      <c r="D611" t="inlineStr">
        <is>
          <t>VÄSTMANLANDS LÄN</t>
        </is>
      </c>
      <c r="E611" t="inlineStr">
        <is>
          <t>SALA</t>
        </is>
      </c>
      <c r="G611" t="n">
        <v>0.8</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45940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7664-2023</t>
        </is>
      </c>
      <c r="B613" s="1" t="n">
        <v>44972</v>
      </c>
      <c r="C613" s="1" t="n">
        <v>45940</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17985-2025</t>
        </is>
      </c>
      <c r="B614" s="1" t="n">
        <v>45761</v>
      </c>
      <c r="C614" s="1" t="n">
        <v>45940</v>
      </c>
      <c r="D614" t="inlineStr">
        <is>
          <t>VÄSTMANLANDS LÄN</t>
        </is>
      </c>
      <c r="E614" t="inlineStr">
        <is>
          <t>SALA</t>
        </is>
      </c>
      <c r="G614" t="n">
        <v>12.5</v>
      </c>
      <c r="H614" t="n">
        <v>0</v>
      </c>
      <c r="I614" t="n">
        <v>0</v>
      </c>
      <c r="J614" t="n">
        <v>0</v>
      </c>
      <c r="K614" t="n">
        <v>0</v>
      </c>
      <c r="L614" t="n">
        <v>0</v>
      </c>
      <c r="M614" t="n">
        <v>0</v>
      </c>
      <c r="N614" t="n">
        <v>0</v>
      </c>
      <c r="O614" t="n">
        <v>0</v>
      </c>
      <c r="P614" t="n">
        <v>0</v>
      </c>
      <c r="Q614" t="n">
        <v>0</v>
      </c>
      <c r="R614" s="2" t="inlineStr"/>
    </row>
    <row r="615" ht="15" customHeight="1">
      <c r="A615" t="inlineStr">
        <is>
          <t>A 56548-2024</t>
        </is>
      </c>
      <c r="B615" s="1" t="n">
        <v>45625</v>
      </c>
      <c r="C615" s="1" t="n">
        <v>45940</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22961-2023</t>
        </is>
      </c>
      <c r="B616" s="1" t="n">
        <v>45072</v>
      </c>
      <c r="C616" s="1" t="n">
        <v>45940</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22963-2023</t>
        </is>
      </c>
      <c r="B617" s="1" t="n">
        <v>45072</v>
      </c>
      <c r="C617" s="1" t="n">
        <v>45940</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44524-2025</t>
        </is>
      </c>
      <c r="B618" s="1" t="n">
        <v>45916.72920138889</v>
      </c>
      <c r="C618" s="1" t="n">
        <v>45940</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5477-2024</t>
        </is>
      </c>
      <c r="B619" s="1" t="n">
        <v>45333.67833333334</v>
      </c>
      <c r="C619" s="1" t="n">
        <v>45940</v>
      </c>
      <c r="D619" t="inlineStr">
        <is>
          <t>VÄSTMANLANDS LÄN</t>
        </is>
      </c>
      <c r="E619" t="inlineStr">
        <is>
          <t>SALA</t>
        </is>
      </c>
      <c r="G619" t="n">
        <v>2.3</v>
      </c>
      <c r="H619" t="n">
        <v>0</v>
      </c>
      <c r="I619" t="n">
        <v>0</v>
      </c>
      <c r="J619" t="n">
        <v>0</v>
      </c>
      <c r="K619" t="n">
        <v>0</v>
      </c>
      <c r="L619" t="n">
        <v>0</v>
      </c>
      <c r="M619" t="n">
        <v>0</v>
      </c>
      <c r="N619" t="n">
        <v>0</v>
      </c>
      <c r="O619" t="n">
        <v>0</v>
      </c>
      <c r="P619" t="n">
        <v>0</v>
      </c>
      <c r="Q619" t="n">
        <v>0</v>
      </c>
      <c r="R619" s="2" t="inlineStr"/>
    </row>
    <row r="620" ht="15" customHeight="1">
      <c r="A620" t="inlineStr">
        <is>
          <t>A 37103-2025</t>
        </is>
      </c>
      <c r="B620" s="1" t="n">
        <v>45875.47743055555</v>
      </c>
      <c r="C620" s="1" t="n">
        <v>45940</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39451-2022</t>
        </is>
      </c>
      <c r="B621" s="1" t="n">
        <v>44818.36606481481</v>
      </c>
      <c r="C621" s="1" t="n">
        <v>45940</v>
      </c>
      <c r="D621" t="inlineStr">
        <is>
          <t>VÄSTMANLANDS LÄN</t>
        </is>
      </c>
      <c r="E621" t="inlineStr">
        <is>
          <t>SALA</t>
        </is>
      </c>
      <c r="G621" t="n">
        <v>9.4</v>
      </c>
      <c r="H621" t="n">
        <v>0</v>
      </c>
      <c r="I621" t="n">
        <v>0</v>
      </c>
      <c r="J621" t="n">
        <v>0</v>
      </c>
      <c r="K621" t="n">
        <v>0</v>
      </c>
      <c r="L621" t="n">
        <v>0</v>
      </c>
      <c r="M621" t="n">
        <v>0</v>
      </c>
      <c r="N621" t="n">
        <v>0</v>
      </c>
      <c r="O621" t="n">
        <v>0</v>
      </c>
      <c r="P621" t="n">
        <v>0</v>
      </c>
      <c r="Q621" t="n">
        <v>0</v>
      </c>
      <c r="R621" s="2" t="inlineStr"/>
    </row>
    <row r="622" ht="15" customHeight="1">
      <c r="A622" t="inlineStr">
        <is>
          <t>A 44486-2025</t>
        </is>
      </c>
      <c r="B622" s="1" t="n">
        <v>45916.65517361111</v>
      </c>
      <c r="C622" s="1" t="n">
        <v>45940</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54960-2024</t>
        </is>
      </c>
      <c r="B623" s="1" t="n">
        <v>45619.85208333333</v>
      </c>
      <c r="C623" s="1" t="n">
        <v>45940</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37017-2025</t>
        </is>
      </c>
      <c r="B624" s="1" t="n">
        <v>45874</v>
      </c>
      <c r="C624" s="1" t="n">
        <v>45940</v>
      </c>
      <c r="D624" t="inlineStr">
        <is>
          <t>VÄSTMANLANDS LÄN</t>
        </is>
      </c>
      <c r="E624" t="inlineStr">
        <is>
          <t>SALA</t>
        </is>
      </c>
      <c r="G624" t="n">
        <v>11.1</v>
      </c>
      <c r="H624" t="n">
        <v>0</v>
      </c>
      <c r="I624" t="n">
        <v>0</v>
      </c>
      <c r="J624" t="n">
        <v>0</v>
      </c>
      <c r="K624" t="n">
        <v>0</v>
      </c>
      <c r="L624" t="n">
        <v>0</v>
      </c>
      <c r="M624" t="n">
        <v>0</v>
      </c>
      <c r="N624" t="n">
        <v>0</v>
      </c>
      <c r="O624" t="n">
        <v>0</v>
      </c>
      <c r="P624" t="n">
        <v>0</v>
      </c>
      <c r="Q624" t="n">
        <v>0</v>
      </c>
      <c r="R624" s="2" t="inlineStr"/>
    </row>
    <row r="625" ht="15" customHeight="1">
      <c r="A625" t="inlineStr">
        <is>
          <t>A 37246-2025</t>
        </is>
      </c>
      <c r="B625" s="1" t="n">
        <v>45876.39435185185</v>
      </c>
      <c r="C625" s="1" t="n">
        <v>45940</v>
      </c>
      <c r="D625" t="inlineStr">
        <is>
          <t>VÄSTMANLANDS LÄN</t>
        </is>
      </c>
      <c r="E625" t="inlineStr">
        <is>
          <t>SALA</t>
        </is>
      </c>
      <c r="G625" t="n">
        <v>2.3</v>
      </c>
      <c r="H625" t="n">
        <v>0</v>
      </c>
      <c r="I625" t="n">
        <v>0</v>
      </c>
      <c r="J625" t="n">
        <v>0</v>
      </c>
      <c r="K625" t="n">
        <v>0</v>
      </c>
      <c r="L625" t="n">
        <v>0</v>
      </c>
      <c r="M625" t="n">
        <v>0</v>
      </c>
      <c r="N625" t="n">
        <v>0</v>
      </c>
      <c r="O625" t="n">
        <v>0</v>
      </c>
      <c r="P625" t="n">
        <v>0</v>
      </c>
      <c r="Q625" t="n">
        <v>0</v>
      </c>
      <c r="R625" s="2" t="inlineStr"/>
    </row>
    <row r="626" ht="15" customHeight="1">
      <c r="A626" t="inlineStr">
        <is>
          <t>A 27228-2023</t>
        </is>
      </c>
      <c r="B626" s="1" t="n">
        <v>45096.59189814814</v>
      </c>
      <c r="C626" s="1" t="n">
        <v>45940</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7772-2023</t>
        </is>
      </c>
      <c r="B627" s="1" t="n">
        <v>44973.40076388889</v>
      </c>
      <c r="C627" s="1" t="n">
        <v>45940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26507-2023</t>
        </is>
      </c>
      <c r="B628" s="1" t="n">
        <v>45092</v>
      </c>
      <c r="C628" s="1" t="n">
        <v>45940</v>
      </c>
      <c r="D628" t="inlineStr">
        <is>
          <t>VÄSTMANLANDS LÄN</t>
        </is>
      </c>
      <c r="E628" t="inlineStr">
        <is>
          <t>SALA</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37253-2025</t>
        </is>
      </c>
      <c r="B629" s="1" t="n">
        <v>45876.42290509259</v>
      </c>
      <c r="C629" s="1" t="n">
        <v>45940</v>
      </c>
      <c r="D629" t="inlineStr">
        <is>
          <t>VÄSTMANLANDS LÄN</t>
        </is>
      </c>
      <c r="E629" t="inlineStr">
        <is>
          <t>SALA</t>
        </is>
      </c>
      <c r="G629" t="n">
        <v>2.6</v>
      </c>
      <c r="H629" t="n">
        <v>0</v>
      </c>
      <c r="I629" t="n">
        <v>0</v>
      </c>
      <c r="J629" t="n">
        <v>0</v>
      </c>
      <c r="K629" t="n">
        <v>0</v>
      </c>
      <c r="L629" t="n">
        <v>0</v>
      </c>
      <c r="M629" t="n">
        <v>0</v>
      </c>
      <c r="N629" t="n">
        <v>0</v>
      </c>
      <c r="O629" t="n">
        <v>0</v>
      </c>
      <c r="P629" t="n">
        <v>0</v>
      </c>
      <c r="Q629" t="n">
        <v>0</v>
      </c>
      <c r="R629" s="2" t="inlineStr"/>
    </row>
    <row r="630" ht="15" customHeight="1">
      <c r="A630" t="inlineStr">
        <is>
          <t>A 6183-2025</t>
        </is>
      </c>
      <c r="B630" s="1" t="n">
        <v>45698</v>
      </c>
      <c r="C630" s="1" t="n">
        <v>45940</v>
      </c>
      <c r="D630" t="inlineStr">
        <is>
          <t>VÄSTMANLANDS LÄN</t>
        </is>
      </c>
      <c r="E630" t="inlineStr">
        <is>
          <t>SALA</t>
        </is>
      </c>
      <c r="F630" t="inlineStr">
        <is>
          <t>Bergvik skog öst AB</t>
        </is>
      </c>
      <c r="G630" t="n">
        <v>2.3</v>
      </c>
      <c r="H630" t="n">
        <v>0</v>
      </c>
      <c r="I630" t="n">
        <v>0</v>
      </c>
      <c r="J630" t="n">
        <v>0</v>
      </c>
      <c r="K630" t="n">
        <v>0</v>
      </c>
      <c r="L630" t="n">
        <v>0</v>
      </c>
      <c r="M630" t="n">
        <v>0</v>
      </c>
      <c r="N630" t="n">
        <v>0</v>
      </c>
      <c r="O630" t="n">
        <v>0</v>
      </c>
      <c r="P630" t="n">
        <v>0</v>
      </c>
      <c r="Q630" t="n">
        <v>0</v>
      </c>
      <c r="R630" s="2" t="inlineStr"/>
    </row>
    <row r="631" ht="15" customHeight="1">
      <c r="A631" t="inlineStr">
        <is>
          <t>A 16543-2023</t>
        </is>
      </c>
      <c r="B631" s="1" t="n">
        <v>45029</v>
      </c>
      <c r="C631" s="1" t="n">
        <v>45940</v>
      </c>
      <c r="D631" t="inlineStr">
        <is>
          <t>VÄSTMANLANDS LÄN</t>
        </is>
      </c>
      <c r="E631" t="inlineStr">
        <is>
          <t>SALA</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37263-2025</t>
        </is>
      </c>
      <c r="B632" s="1" t="n">
        <v>45876.4584837963</v>
      </c>
      <c r="C632" s="1" t="n">
        <v>45940</v>
      </c>
      <c r="D632" t="inlineStr">
        <is>
          <t>VÄSTMANLANDS LÄN</t>
        </is>
      </c>
      <c r="E632" t="inlineStr">
        <is>
          <t>SALA</t>
        </is>
      </c>
      <c r="G632" t="n">
        <v>2.3</v>
      </c>
      <c r="H632" t="n">
        <v>0</v>
      </c>
      <c r="I632" t="n">
        <v>0</v>
      </c>
      <c r="J632" t="n">
        <v>0</v>
      </c>
      <c r="K632" t="n">
        <v>0</v>
      </c>
      <c r="L632" t="n">
        <v>0</v>
      </c>
      <c r="M632" t="n">
        <v>0</v>
      </c>
      <c r="N632" t="n">
        <v>0</v>
      </c>
      <c r="O632" t="n">
        <v>0</v>
      </c>
      <c r="P632" t="n">
        <v>0</v>
      </c>
      <c r="Q632" t="n">
        <v>0</v>
      </c>
      <c r="R632" s="2" t="inlineStr"/>
    </row>
    <row r="633" ht="15" customHeight="1">
      <c r="A633" t="inlineStr">
        <is>
          <t>A 43176-2023</t>
        </is>
      </c>
      <c r="B633" s="1" t="n">
        <v>45183</v>
      </c>
      <c r="C633" s="1" t="n">
        <v>45940</v>
      </c>
      <c r="D633" t="inlineStr">
        <is>
          <t>VÄSTMANLANDS LÄN</t>
        </is>
      </c>
      <c r="E633" t="inlineStr">
        <is>
          <t>SALA</t>
        </is>
      </c>
      <c r="G633" t="n">
        <v>1.2</v>
      </c>
      <c r="H633" t="n">
        <v>0</v>
      </c>
      <c r="I633" t="n">
        <v>0</v>
      </c>
      <c r="J633" t="n">
        <v>0</v>
      </c>
      <c r="K633" t="n">
        <v>0</v>
      </c>
      <c r="L633" t="n">
        <v>0</v>
      </c>
      <c r="M633" t="n">
        <v>0</v>
      </c>
      <c r="N633" t="n">
        <v>0</v>
      </c>
      <c r="O633" t="n">
        <v>0</v>
      </c>
      <c r="P633" t="n">
        <v>0</v>
      </c>
      <c r="Q633" t="n">
        <v>0</v>
      </c>
      <c r="R633" s="2" t="inlineStr"/>
    </row>
    <row r="634" ht="15" customHeight="1">
      <c r="A634" t="inlineStr">
        <is>
          <t>A 37624-2024</t>
        </is>
      </c>
      <c r="B634" s="1" t="n">
        <v>45541</v>
      </c>
      <c r="C634" s="1" t="n">
        <v>45940</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57895-2024</t>
        </is>
      </c>
      <c r="B635" s="1" t="n">
        <v>45631</v>
      </c>
      <c r="C635" s="1" t="n">
        <v>45940</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47086-2022</t>
        </is>
      </c>
      <c r="B636" s="1" t="n">
        <v>44852</v>
      </c>
      <c r="C636" s="1" t="n">
        <v>45940</v>
      </c>
      <c r="D636" t="inlineStr">
        <is>
          <t>VÄSTMANLANDS LÄN</t>
        </is>
      </c>
      <c r="E636" t="inlineStr">
        <is>
          <t>SALA</t>
        </is>
      </c>
      <c r="G636" t="n">
        <v>12.5</v>
      </c>
      <c r="H636" t="n">
        <v>0</v>
      </c>
      <c r="I636" t="n">
        <v>0</v>
      </c>
      <c r="J636" t="n">
        <v>0</v>
      </c>
      <c r="K636" t="n">
        <v>0</v>
      </c>
      <c r="L636" t="n">
        <v>0</v>
      </c>
      <c r="M636" t="n">
        <v>0</v>
      </c>
      <c r="N636" t="n">
        <v>0</v>
      </c>
      <c r="O636" t="n">
        <v>0</v>
      </c>
      <c r="P636" t="n">
        <v>0</v>
      </c>
      <c r="Q636" t="n">
        <v>0</v>
      </c>
      <c r="R636" s="2" t="inlineStr"/>
    </row>
    <row r="637" ht="15" customHeight="1">
      <c r="A637" t="inlineStr">
        <is>
          <t>A 45177-2025</t>
        </is>
      </c>
      <c r="B637" s="1" t="n">
        <v>45919.52444444445</v>
      </c>
      <c r="C637" s="1" t="n">
        <v>45940</v>
      </c>
      <c r="D637" t="inlineStr">
        <is>
          <t>VÄSTMANLANDS LÄN</t>
        </is>
      </c>
      <c r="E637" t="inlineStr">
        <is>
          <t>SALA</t>
        </is>
      </c>
      <c r="G637" t="n">
        <v>2.4</v>
      </c>
      <c r="H637" t="n">
        <v>0</v>
      </c>
      <c r="I637" t="n">
        <v>0</v>
      </c>
      <c r="J637" t="n">
        <v>0</v>
      </c>
      <c r="K637" t="n">
        <v>0</v>
      </c>
      <c r="L637" t="n">
        <v>0</v>
      </c>
      <c r="M637" t="n">
        <v>0</v>
      </c>
      <c r="N637" t="n">
        <v>0</v>
      </c>
      <c r="O637" t="n">
        <v>0</v>
      </c>
      <c r="P637" t="n">
        <v>0</v>
      </c>
      <c r="Q637" t="n">
        <v>0</v>
      </c>
      <c r="R637" s="2" t="inlineStr"/>
    </row>
    <row r="638" ht="15" customHeight="1">
      <c r="A638" t="inlineStr">
        <is>
          <t>A 14010-2021</t>
        </is>
      </c>
      <c r="B638" s="1" t="n">
        <v>44277.63396990741</v>
      </c>
      <c r="C638" s="1" t="n">
        <v>45940</v>
      </c>
      <c r="D638" t="inlineStr">
        <is>
          <t>VÄSTMANLANDS LÄN</t>
        </is>
      </c>
      <c r="E638" t="inlineStr">
        <is>
          <t>SALA</t>
        </is>
      </c>
      <c r="G638" t="n">
        <v>3.5</v>
      </c>
      <c r="H638" t="n">
        <v>0</v>
      </c>
      <c r="I638" t="n">
        <v>0</v>
      </c>
      <c r="J638" t="n">
        <v>0</v>
      </c>
      <c r="K638" t="n">
        <v>0</v>
      </c>
      <c r="L638" t="n">
        <v>0</v>
      </c>
      <c r="M638" t="n">
        <v>0</v>
      </c>
      <c r="N638" t="n">
        <v>0</v>
      </c>
      <c r="O638" t="n">
        <v>0</v>
      </c>
      <c r="P638" t="n">
        <v>0</v>
      </c>
      <c r="Q638" t="n">
        <v>0</v>
      </c>
      <c r="R638" s="2" t="inlineStr"/>
    </row>
    <row r="639" ht="15" customHeight="1">
      <c r="A639" t="inlineStr">
        <is>
          <t>A 54768-2024</t>
        </is>
      </c>
      <c r="B639" s="1" t="n">
        <v>45618</v>
      </c>
      <c r="C639" s="1" t="n">
        <v>45940</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19751-2022</t>
        </is>
      </c>
      <c r="B640" s="1" t="n">
        <v>44694</v>
      </c>
      <c r="C640" s="1" t="n">
        <v>45940</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37590-2025</t>
        </is>
      </c>
      <c r="B641" s="1" t="n">
        <v>45880.41138888889</v>
      </c>
      <c r="C641" s="1" t="n">
        <v>45940</v>
      </c>
      <c r="D641" t="inlineStr">
        <is>
          <t>VÄSTMANLANDS LÄN</t>
        </is>
      </c>
      <c r="E641" t="inlineStr">
        <is>
          <t>SALA</t>
        </is>
      </c>
      <c r="G641" t="n">
        <v>2.2</v>
      </c>
      <c r="H641" t="n">
        <v>0</v>
      </c>
      <c r="I641" t="n">
        <v>0</v>
      </c>
      <c r="J641" t="n">
        <v>0</v>
      </c>
      <c r="K641" t="n">
        <v>0</v>
      </c>
      <c r="L641" t="n">
        <v>0</v>
      </c>
      <c r="M641" t="n">
        <v>0</v>
      </c>
      <c r="N641" t="n">
        <v>0</v>
      </c>
      <c r="O641" t="n">
        <v>0</v>
      </c>
      <c r="P641" t="n">
        <v>0</v>
      </c>
      <c r="Q641" t="n">
        <v>0</v>
      </c>
      <c r="R641" s="2" t="inlineStr"/>
    </row>
    <row r="642" ht="15" customHeight="1">
      <c r="A642" t="inlineStr">
        <is>
          <t>A 37593-2025</t>
        </is>
      </c>
      <c r="B642" s="1" t="n">
        <v>45880.41325231481</v>
      </c>
      <c r="C642" s="1" t="n">
        <v>45940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44713-2023</t>
        </is>
      </c>
      <c r="B643" s="1" t="n">
        <v>45184</v>
      </c>
      <c r="C643" s="1" t="n">
        <v>45940</v>
      </c>
      <c r="D643" t="inlineStr">
        <is>
          <t>VÄSTMANLANDS LÄN</t>
        </is>
      </c>
      <c r="E643" t="inlineStr">
        <is>
          <t>SALA</t>
        </is>
      </c>
      <c r="F643" t="inlineStr">
        <is>
          <t>Kyrkan</t>
        </is>
      </c>
      <c r="G643" t="n">
        <v>7.6</v>
      </c>
      <c r="H643" t="n">
        <v>0</v>
      </c>
      <c r="I643" t="n">
        <v>0</v>
      </c>
      <c r="J643" t="n">
        <v>0</v>
      </c>
      <c r="K643" t="n">
        <v>0</v>
      </c>
      <c r="L643" t="n">
        <v>0</v>
      </c>
      <c r="M643" t="n">
        <v>0</v>
      </c>
      <c r="N643" t="n">
        <v>0</v>
      </c>
      <c r="O643" t="n">
        <v>0</v>
      </c>
      <c r="P643" t="n">
        <v>0</v>
      </c>
      <c r="Q643" t="n">
        <v>0</v>
      </c>
      <c r="R643" s="2" t="inlineStr"/>
    </row>
    <row r="644" ht="15" customHeight="1">
      <c r="A644" t="inlineStr">
        <is>
          <t>A 18713-2025</t>
        </is>
      </c>
      <c r="B644" s="1" t="n">
        <v>45763</v>
      </c>
      <c r="C644" s="1" t="n">
        <v>45940</v>
      </c>
      <c r="D644" t="inlineStr">
        <is>
          <t>VÄSTMANLANDS LÄN</t>
        </is>
      </c>
      <c r="E644" t="inlineStr">
        <is>
          <t>SALA</t>
        </is>
      </c>
      <c r="F644" t="inlineStr">
        <is>
          <t>Bergvik skog öst AB</t>
        </is>
      </c>
      <c r="G644" t="n">
        <v>11.6</v>
      </c>
      <c r="H644" t="n">
        <v>0</v>
      </c>
      <c r="I644" t="n">
        <v>0</v>
      </c>
      <c r="J644" t="n">
        <v>0</v>
      </c>
      <c r="K644" t="n">
        <v>0</v>
      </c>
      <c r="L644" t="n">
        <v>0</v>
      </c>
      <c r="M644" t="n">
        <v>0</v>
      </c>
      <c r="N644" t="n">
        <v>0</v>
      </c>
      <c r="O644" t="n">
        <v>0</v>
      </c>
      <c r="P644" t="n">
        <v>0</v>
      </c>
      <c r="Q644" t="n">
        <v>0</v>
      </c>
      <c r="R644" s="2" t="inlineStr"/>
    </row>
    <row r="645" ht="15" customHeight="1">
      <c r="A645" t="inlineStr">
        <is>
          <t>A 47479-2024</t>
        </is>
      </c>
      <c r="B645" s="1" t="n">
        <v>45587</v>
      </c>
      <c r="C645" s="1" t="n">
        <v>45940</v>
      </c>
      <c r="D645" t="inlineStr">
        <is>
          <t>VÄSTMANLANDS LÄN</t>
        </is>
      </c>
      <c r="E645" t="inlineStr">
        <is>
          <t>SALA</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45371-2025</t>
        </is>
      </c>
      <c r="B646" s="1" t="n">
        <v>45922.39001157408</v>
      </c>
      <c r="C646" s="1" t="n">
        <v>45940</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69236-2021</t>
        </is>
      </c>
      <c r="B647" s="1" t="n">
        <v>44531.4047337963</v>
      </c>
      <c r="C647" s="1" t="n">
        <v>45940</v>
      </c>
      <c r="D647" t="inlineStr">
        <is>
          <t>VÄSTMANLANDS LÄN</t>
        </is>
      </c>
      <c r="E647" t="inlineStr">
        <is>
          <t>SALA</t>
        </is>
      </c>
      <c r="G647" t="n">
        <v>2.8</v>
      </c>
      <c r="H647" t="n">
        <v>0</v>
      </c>
      <c r="I647" t="n">
        <v>0</v>
      </c>
      <c r="J647" t="n">
        <v>0</v>
      </c>
      <c r="K647" t="n">
        <v>0</v>
      </c>
      <c r="L647" t="n">
        <v>0</v>
      </c>
      <c r="M647" t="n">
        <v>0</v>
      </c>
      <c r="N647" t="n">
        <v>0</v>
      </c>
      <c r="O647" t="n">
        <v>0</v>
      </c>
      <c r="P647" t="n">
        <v>0</v>
      </c>
      <c r="Q647" t="n">
        <v>0</v>
      </c>
      <c r="R647" s="2" t="inlineStr"/>
    </row>
    <row r="648" ht="15" customHeight="1">
      <c r="A648" t="inlineStr">
        <is>
          <t>A 56687-2024</t>
        </is>
      </c>
      <c r="B648" s="1" t="n">
        <v>45627.63271990741</v>
      </c>
      <c r="C648" s="1" t="n">
        <v>45940</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25541-2024</t>
        </is>
      </c>
      <c r="B649" s="1" t="n">
        <v>45463.56337962963</v>
      </c>
      <c r="C649" s="1" t="n">
        <v>45940</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54347-2024</t>
        </is>
      </c>
      <c r="B650" s="1" t="n">
        <v>45617.39325231482</v>
      </c>
      <c r="C650" s="1" t="n">
        <v>45940</v>
      </c>
      <c r="D650" t="inlineStr">
        <is>
          <t>VÄSTMANLANDS LÄN</t>
        </is>
      </c>
      <c r="E650" t="inlineStr">
        <is>
          <t>SALA</t>
        </is>
      </c>
      <c r="G650" t="n">
        <v>2</v>
      </c>
      <c r="H650" t="n">
        <v>0</v>
      </c>
      <c r="I650" t="n">
        <v>0</v>
      </c>
      <c r="J650" t="n">
        <v>0</v>
      </c>
      <c r="K650" t="n">
        <v>0</v>
      </c>
      <c r="L650" t="n">
        <v>0</v>
      </c>
      <c r="M650" t="n">
        <v>0</v>
      </c>
      <c r="N650" t="n">
        <v>0</v>
      </c>
      <c r="O650" t="n">
        <v>0</v>
      </c>
      <c r="P650" t="n">
        <v>0</v>
      </c>
      <c r="Q650" t="n">
        <v>0</v>
      </c>
      <c r="R650" s="2" t="inlineStr"/>
    </row>
    <row r="651" ht="15" customHeight="1">
      <c r="A651" t="inlineStr">
        <is>
          <t>A 45909-2025</t>
        </is>
      </c>
      <c r="B651" s="1" t="n">
        <v>45923.75078703704</v>
      </c>
      <c r="C651" s="1" t="n">
        <v>45940</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17722-2025</t>
        </is>
      </c>
      <c r="B652" s="1" t="n">
        <v>45758</v>
      </c>
      <c r="C652" s="1" t="n">
        <v>45940</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64693-2023</t>
        </is>
      </c>
      <c r="B653" s="1" t="n">
        <v>45281.63850694444</v>
      </c>
      <c r="C653" s="1" t="n">
        <v>45940</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64695-2023</t>
        </is>
      </c>
      <c r="B654" s="1" t="n">
        <v>45281.64099537037</v>
      </c>
      <c r="C654" s="1" t="n">
        <v>45940</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45914-2025</t>
        </is>
      </c>
      <c r="B655" s="1" t="n">
        <v>45923.82582175926</v>
      </c>
      <c r="C655" s="1" t="n">
        <v>45940</v>
      </c>
      <c r="D655" t="inlineStr">
        <is>
          <t>VÄSTMANLANDS LÄN</t>
        </is>
      </c>
      <c r="E655" t="inlineStr">
        <is>
          <t>SALA</t>
        </is>
      </c>
      <c r="F655" t="inlineStr">
        <is>
          <t>Kommuner</t>
        </is>
      </c>
      <c r="G655" t="n">
        <v>18.2</v>
      </c>
      <c r="H655" t="n">
        <v>0</v>
      </c>
      <c r="I655" t="n">
        <v>0</v>
      </c>
      <c r="J655" t="n">
        <v>0</v>
      </c>
      <c r="K655" t="n">
        <v>0</v>
      </c>
      <c r="L655" t="n">
        <v>0</v>
      </c>
      <c r="M655" t="n">
        <v>0</v>
      </c>
      <c r="N655" t="n">
        <v>0</v>
      </c>
      <c r="O655" t="n">
        <v>0</v>
      </c>
      <c r="P655" t="n">
        <v>0</v>
      </c>
      <c r="Q655" t="n">
        <v>0</v>
      </c>
      <c r="R655" s="2" t="inlineStr"/>
    </row>
    <row r="656" ht="15" customHeight="1">
      <c r="A656" t="inlineStr">
        <is>
          <t>A 27486-2022</t>
        </is>
      </c>
      <c r="B656" s="1" t="n">
        <v>44742.60846064815</v>
      </c>
      <c r="C656" s="1" t="n">
        <v>45940</v>
      </c>
      <c r="D656" t="inlineStr">
        <is>
          <t>VÄSTMANLANDS LÄN</t>
        </is>
      </c>
      <c r="E656" t="inlineStr">
        <is>
          <t>SALA</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35003-2024</t>
        </is>
      </c>
      <c r="B657" s="1" t="n">
        <v>45527.56790509259</v>
      </c>
      <c r="C657" s="1" t="n">
        <v>45940</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43129-2025</t>
        </is>
      </c>
      <c r="B658" s="1" t="n">
        <v>45909</v>
      </c>
      <c r="C658" s="1" t="n">
        <v>45940</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38294-2025</t>
        </is>
      </c>
      <c r="B659" s="1" t="n">
        <v>45883.44854166666</v>
      </c>
      <c r="C659" s="1" t="n">
        <v>45940</v>
      </c>
      <c r="D659" t="inlineStr">
        <is>
          <t>VÄSTMANLANDS LÄN</t>
        </is>
      </c>
      <c r="E659" t="inlineStr">
        <is>
          <t>SALA</t>
        </is>
      </c>
      <c r="G659" t="n">
        <v>1.5</v>
      </c>
      <c r="H659" t="n">
        <v>0</v>
      </c>
      <c r="I659" t="n">
        <v>0</v>
      </c>
      <c r="J659" t="n">
        <v>0</v>
      </c>
      <c r="K659" t="n">
        <v>0</v>
      </c>
      <c r="L659" t="n">
        <v>0</v>
      </c>
      <c r="M659" t="n">
        <v>0</v>
      </c>
      <c r="N659" t="n">
        <v>0</v>
      </c>
      <c r="O659" t="n">
        <v>0</v>
      </c>
      <c r="P659" t="n">
        <v>0</v>
      </c>
      <c r="Q659" t="n">
        <v>0</v>
      </c>
      <c r="R659" s="2" t="inlineStr"/>
    </row>
    <row r="660" ht="15" customHeight="1">
      <c r="A660" t="inlineStr">
        <is>
          <t>A 48688-2024</t>
        </is>
      </c>
      <c r="B660" s="1" t="n">
        <v>45593.50541666667</v>
      </c>
      <c r="C660" s="1" t="n">
        <v>45940</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5728-2022</t>
        </is>
      </c>
      <c r="B661" s="1" t="n">
        <v>44596.42082175926</v>
      </c>
      <c r="C661" s="1" t="n">
        <v>45940</v>
      </c>
      <c r="D661" t="inlineStr">
        <is>
          <t>VÄSTMANLANDS LÄN</t>
        </is>
      </c>
      <c r="E661" t="inlineStr">
        <is>
          <t>SALA</t>
        </is>
      </c>
      <c r="G661" t="n">
        <v>1.7</v>
      </c>
      <c r="H661" t="n">
        <v>0</v>
      </c>
      <c r="I661" t="n">
        <v>0</v>
      </c>
      <c r="J661" t="n">
        <v>0</v>
      </c>
      <c r="K661" t="n">
        <v>0</v>
      </c>
      <c r="L661" t="n">
        <v>0</v>
      </c>
      <c r="M661" t="n">
        <v>0</v>
      </c>
      <c r="N661" t="n">
        <v>0</v>
      </c>
      <c r="O661" t="n">
        <v>0</v>
      </c>
      <c r="P661" t="n">
        <v>0</v>
      </c>
      <c r="Q661" t="n">
        <v>0</v>
      </c>
      <c r="R661" s="2" t="inlineStr"/>
    </row>
    <row r="662" ht="15" customHeight="1">
      <c r="A662" t="inlineStr">
        <is>
          <t>A 15354-2021</t>
        </is>
      </c>
      <c r="B662" s="1" t="n">
        <v>44284</v>
      </c>
      <c r="C662" s="1" t="n">
        <v>45940</v>
      </c>
      <c r="D662" t="inlineStr">
        <is>
          <t>VÄSTMANLANDS LÄN</t>
        </is>
      </c>
      <c r="E662" t="inlineStr">
        <is>
          <t>SALA</t>
        </is>
      </c>
      <c r="F662" t="inlineStr">
        <is>
          <t>Kyrkan</t>
        </is>
      </c>
      <c r="G662" t="n">
        <v>8.5</v>
      </c>
      <c r="H662" t="n">
        <v>0</v>
      </c>
      <c r="I662" t="n">
        <v>0</v>
      </c>
      <c r="J662" t="n">
        <v>0</v>
      </c>
      <c r="K662" t="n">
        <v>0</v>
      </c>
      <c r="L662" t="n">
        <v>0</v>
      </c>
      <c r="M662" t="n">
        <v>0</v>
      </c>
      <c r="N662" t="n">
        <v>0</v>
      </c>
      <c r="O662" t="n">
        <v>0</v>
      </c>
      <c r="P662" t="n">
        <v>0</v>
      </c>
      <c r="Q662" t="n">
        <v>0</v>
      </c>
      <c r="R662" s="2" t="inlineStr"/>
    </row>
    <row r="663" ht="15" customHeight="1">
      <c r="A663" t="inlineStr">
        <is>
          <t>A 63933-2023</t>
        </is>
      </c>
      <c r="B663" s="1" t="n">
        <v>45278</v>
      </c>
      <c r="C663" s="1" t="n">
        <v>45940</v>
      </c>
      <c r="D663" t="inlineStr">
        <is>
          <t>VÄSTMANLANDS LÄN</t>
        </is>
      </c>
      <c r="E663" t="inlineStr">
        <is>
          <t>SALA</t>
        </is>
      </c>
      <c r="G663" t="n">
        <v>1.4</v>
      </c>
      <c r="H663" t="n">
        <v>0</v>
      </c>
      <c r="I663" t="n">
        <v>0</v>
      </c>
      <c r="J663" t="n">
        <v>0</v>
      </c>
      <c r="K663" t="n">
        <v>0</v>
      </c>
      <c r="L663" t="n">
        <v>0</v>
      </c>
      <c r="M663" t="n">
        <v>0</v>
      </c>
      <c r="N663" t="n">
        <v>0</v>
      </c>
      <c r="O663" t="n">
        <v>0</v>
      </c>
      <c r="P663" t="n">
        <v>0</v>
      </c>
      <c r="Q663" t="n">
        <v>0</v>
      </c>
      <c r="R663" s="2" t="inlineStr"/>
    </row>
    <row r="664" ht="15" customHeight="1">
      <c r="A664" t="inlineStr">
        <is>
          <t>A 43359-2024</t>
        </is>
      </c>
      <c r="B664" s="1" t="n">
        <v>45568.57724537037</v>
      </c>
      <c r="C664" s="1" t="n">
        <v>45940</v>
      </c>
      <c r="D664" t="inlineStr">
        <is>
          <t>VÄSTMANLANDS LÄN</t>
        </is>
      </c>
      <c r="E664" t="inlineStr">
        <is>
          <t>SALA</t>
        </is>
      </c>
      <c r="G664" t="n">
        <v>1.6</v>
      </c>
      <c r="H664" t="n">
        <v>0</v>
      </c>
      <c r="I664" t="n">
        <v>0</v>
      </c>
      <c r="J664" t="n">
        <v>0</v>
      </c>
      <c r="K664" t="n">
        <v>0</v>
      </c>
      <c r="L664" t="n">
        <v>0</v>
      </c>
      <c r="M664" t="n">
        <v>0</v>
      </c>
      <c r="N664" t="n">
        <v>0</v>
      </c>
      <c r="O664" t="n">
        <v>0</v>
      </c>
      <c r="P664" t="n">
        <v>0</v>
      </c>
      <c r="Q664" t="n">
        <v>0</v>
      </c>
      <c r="R664" s="2" t="inlineStr"/>
    </row>
    <row r="665" ht="15" customHeight="1">
      <c r="A665" t="inlineStr">
        <is>
          <t>A 29972-2025</t>
        </is>
      </c>
      <c r="B665" s="1" t="n">
        <v>45826</v>
      </c>
      <c r="C665" s="1" t="n">
        <v>45940</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44746-2024</t>
        </is>
      </c>
      <c r="B666" s="1" t="n">
        <v>45574.59813657407</v>
      </c>
      <c r="C666" s="1" t="n">
        <v>45940</v>
      </c>
      <c r="D666" t="inlineStr">
        <is>
          <t>VÄSTMANLANDS LÄN</t>
        </is>
      </c>
      <c r="E666" t="inlineStr">
        <is>
          <t>SALA</t>
        </is>
      </c>
      <c r="G666" t="n">
        <v>6.7</v>
      </c>
      <c r="H666" t="n">
        <v>0</v>
      </c>
      <c r="I666" t="n">
        <v>0</v>
      </c>
      <c r="J666" t="n">
        <v>0</v>
      </c>
      <c r="K666" t="n">
        <v>0</v>
      </c>
      <c r="L666" t="n">
        <v>0</v>
      </c>
      <c r="M666" t="n">
        <v>0</v>
      </c>
      <c r="N666" t="n">
        <v>0</v>
      </c>
      <c r="O666" t="n">
        <v>0</v>
      </c>
      <c r="P666" t="n">
        <v>0</v>
      </c>
      <c r="Q666" t="n">
        <v>0</v>
      </c>
      <c r="R666" s="2" t="inlineStr"/>
    </row>
    <row r="667" ht="15" customHeight="1">
      <c r="A667" t="inlineStr">
        <is>
          <t>A 33273-2023</t>
        </is>
      </c>
      <c r="B667" s="1" t="n">
        <v>45127</v>
      </c>
      <c r="C667" s="1" t="n">
        <v>45940</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10250-2025</t>
        </is>
      </c>
      <c r="B668" s="1" t="n">
        <v>45720.36165509259</v>
      </c>
      <c r="C668" s="1" t="n">
        <v>45940</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11696-2025</t>
        </is>
      </c>
      <c r="B669" s="1" t="n">
        <v>45727</v>
      </c>
      <c r="C669" s="1" t="n">
        <v>45940</v>
      </c>
      <c r="D669" t="inlineStr">
        <is>
          <t>VÄSTMANLANDS LÄN</t>
        </is>
      </c>
      <c r="E669" t="inlineStr">
        <is>
          <t>SALA</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43122-2025</t>
        </is>
      </c>
      <c r="B670" s="1" t="n">
        <v>45909</v>
      </c>
      <c r="C670" s="1" t="n">
        <v>45940</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43127-2025</t>
        </is>
      </c>
      <c r="B671" s="1" t="n">
        <v>45909</v>
      </c>
      <c r="C671" s="1" t="n">
        <v>45940</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43128-2025</t>
        </is>
      </c>
      <c r="B672" s="1" t="n">
        <v>45909</v>
      </c>
      <c r="C672" s="1" t="n">
        <v>45940</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43130-2025</t>
        </is>
      </c>
      <c r="B673" s="1" t="n">
        <v>45909</v>
      </c>
      <c r="C673" s="1" t="n">
        <v>45940</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49512-2024</t>
        </is>
      </c>
      <c r="B674" s="1" t="n">
        <v>45591</v>
      </c>
      <c r="C674" s="1" t="n">
        <v>45940</v>
      </c>
      <c r="D674" t="inlineStr">
        <is>
          <t>VÄSTMANLANDS LÄN</t>
        </is>
      </c>
      <c r="E674" t="inlineStr">
        <is>
          <t>SALA</t>
        </is>
      </c>
      <c r="G674" t="n">
        <v>8.1</v>
      </c>
      <c r="H674" t="n">
        <v>0</v>
      </c>
      <c r="I674" t="n">
        <v>0</v>
      </c>
      <c r="J674" t="n">
        <v>0</v>
      </c>
      <c r="K674" t="n">
        <v>0</v>
      </c>
      <c r="L674" t="n">
        <v>0</v>
      </c>
      <c r="M674" t="n">
        <v>0</v>
      </c>
      <c r="N674" t="n">
        <v>0</v>
      </c>
      <c r="O674" t="n">
        <v>0</v>
      </c>
      <c r="P674" t="n">
        <v>0</v>
      </c>
      <c r="Q674" t="n">
        <v>0</v>
      </c>
      <c r="R674" s="2" t="inlineStr"/>
    </row>
    <row r="675" ht="15" customHeight="1">
      <c r="A675" t="inlineStr">
        <is>
          <t>A 42416-2022</t>
        </is>
      </c>
      <c r="B675" s="1" t="n">
        <v>44831</v>
      </c>
      <c r="C675" s="1" t="n">
        <v>45940</v>
      </c>
      <c r="D675" t="inlineStr">
        <is>
          <t>VÄSTMANLANDS LÄN</t>
        </is>
      </c>
      <c r="E675" t="inlineStr">
        <is>
          <t>SALA</t>
        </is>
      </c>
      <c r="G675" t="n">
        <v>2.2</v>
      </c>
      <c r="H675" t="n">
        <v>0</v>
      </c>
      <c r="I675" t="n">
        <v>0</v>
      </c>
      <c r="J675" t="n">
        <v>0</v>
      </c>
      <c r="K675" t="n">
        <v>0</v>
      </c>
      <c r="L675" t="n">
        <v>0</v>
      </c>
      <c r="M675" t="n">
        <v>0</v>
      </c>
      <c r="N675" t="n">
        <v>0</v>
      </c>
      <c r="O675" t="n">
        <v>0</v>
      </c>
      <c r="P675" t="n">
        <v>0</v>
      </c>
      <c r="Q675" t="n">
        <v>0</v>
      </c>
      <c r="R675" s="2" t="inlineStr"/>
    </row>
    <row r="676" ht="15" customHeight="1">
      <c r="A676" t="inlineStr">
        <is>
          <t>A 6135-2023</t>
        </is>
      </c>
      <c r="B676" s="1" t="n">
        <v>44964.62628472222</v>
      </c>
      <c r="C676" s="1" t="n">
        <v>45940</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45940</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8285-2025</t>
        </is>
      </c>
      <c r="B678" s="1" t="n">
        <v>45708</v>
      </c>
      <c r="C678" s="1" t="n">
        <v>45940</v>
      </c>
      <c r="D678" t="inlineStr">
        <is>
          <t>VÄSTMANLANDS LÄN</t>
        </is>
      </c>
      <c r="E678" t="inlineStr">
        <is>
          <t>SALA</t>
        </is>
      </c>
      <c r="G678" t="n">
        <v>5.7</v>
      </c>
      <c r="H678" t="n">
        <v>0</v>
      </c>
      <c r="I678" t="n">
        <v>0</v>
      </c>
      <c r="J678" t="n">
        <v>0</v>
      </c>
      <c r="K678" t="n">
        <v>0</v>
      </c>
      <c r="L678" t="n">
        <v>0</v>
      </c>
      <c r="M678" t="n">
        <v>0</v>
      </c>
      <c r="N678" t="n">
        <v>0</v>
      </c>
      <c r="O678" t="n">
        <v>0</v>
      </c>
      <c r="P678" t="n">
        <v>0</v>
      </c>
      <c r="Q678" t="n">
        <v>0</v>
      </c>
      <c r="R678" s="2" t="inlineStr"/>
    </row>
    <row r="679" ht="15" customHeight="1">
      <c r="A679" t="inlineStr">
        <is>
          <t>A 15584-2021</t>
        </is>
      </c>
      <c r="B679" s="1" t="n">
        <v>44285</v>
      </c>
      <c r="C679" s="1" t="n">
        <v>45940</v>
      </c>
      <c r="D679" t="inlineStr">
        <is>
          <t>VÄSTMANLANDS LÄN</t>
        </is>
      </c>
      <c r="E679" t="inlineStr">
        <is>
          <t>SALA</t>
        </is>
      </c>
      <c r="G679" t="n">
        <v>3.4</v>
      </c>
      <c r="H679" t="n">
        <v>0</v>
      </c>
      <c r="I679" t="n">
        <v>0</v>
      </c>
      <c r="J679" t="n">
        <v>0</v>
      </c>
      <c r="K679" t="n">
        <v>0</v>
      </c>
      <c r="L679" t="n">
        <v>0</v>
      </c>
      <c r="M679" t="n">
        <v>0</v>
      </c>
      <c r="N679" t="n">
        <v>0</v>
      </c>
      <c r="O679" t="n">
        <v>0</v>
      </c>
      <c r="P679" t="n">
        <v>0</v>
      </c>
      <c r="Q679" t="n">
        <v>0</v>
      </c>
      <c r="R679" s="2" t="inlineStr"/>
    </row>
    <row r="680" ht="15" customHeight="1">
      <c r="A680" t="inlineStr">
        <is>
          <t>A 15650-2025</t>
        </is>
      </c>
      <c r="B680" s="1" t="n">
        <v>45748.40172453703</v>
      </c>
      <c r="C680" s="1" t="n">
        <v>45940</v>
      </c>
      <c r="D680" t="inlineStr">
        <is>
          <t>VÄSTMANLANDS LÄN</t>
        </is>
      </c>
      <c r="E680" t="inlineStr">
        <is>
          <t>SALA</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18340-2025</t>
        </is>
      </c>
      <c r="B681" s="1" t="n">
        <v>45762</v>
      </c>
      <c r="C681" s="1" t="n">
        <v>45940</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56706-2022</t>
        </is>
      </c>
      <c r="B682" s="1" t="n">
        <v>44893.78893518518</v>
      </c>
      <c r="C682" s="1" t="n">
        <v>45940</v>
      </c>
      <c r="D682" t="inlineStr">
        <is>
          <t>VÄSTMANLANDS LÄN</t>
        </is>
      </c>
      <c r="E682" t="inlineStr">
        <is>
          <t>SALA</t>
        </is>
      </c>
      <c r="G682" t="n">
        <v>4.5</v>
      </c>
      <c r="H682" t="n">
        <v>0</v>
      </c>
      <c r="I682" t="n">
        <v>0</v>
      </c>
      <c r="J682" t="n">
        <v>0</v>
      </c>
      <c r="K682" t="n">
        <v>0</v>
      </c>
      <c r="L682" t="n">
        <v>0</v>
      </c>
      <c r="M682" t="n">
        <v>0</v>
      </c>
      <c r="N682" t="n">
        <v>0</v>
      </c>
      <c r="O682" t="n">
        <v>0</v>
      </c>
      <c r="P682" t="n">
        <v>0</v>
      </c>
      <c r="Q682" t="n">
        <v>0</v>
      </c>
      <c r="R682" s="2" t="inlineStr"/>
    </row>
    <row r="683" ht="15" customHeight="1">
      <c r="A683" t="inlineStr">
        <is>
          <t>A 56707-2022</t>
        </is>
      </c>
      <c r="B683" s="1" t="n">
        <v>44893.79412037037</v>
      </c>
      <c r="C683" s="1" t="n">
        <v>45940</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c r="A684" t="inlineStr">
        <is>
          <t>A 48571-2024</t>
        </is>
      </c>
      <c r="B684" s="1" t="n">
        <v>45591</v>
      </c>
      <c r="C684" s="1" t="n">
        <v>45940</v>
      </c>
      <c r="D684" t="inlineStr">
        <is>
          <t>VÄSTMANLANDS LÄN</t>
        </is>
      </c>
      <c r="E684" t="inlineStr">
        <is>
          <t>SALA</t>
        </is>
      </c>
      <c r="G684" t="n">
        <v>8.199999999999999</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2025-10-10T12:40:52Z</dcterms:created>
  <dcterms:modified xmlns:dcterms="http://purl.org/dc/terms/" xmlns:xsi="http://www.w3.org/2001/XMLSchema-instance" xsi:type="dcterms:W3CDTF">2025-10-10T12:40:52Z</dcterms:modified>
</cp:coreProperties>
</file>