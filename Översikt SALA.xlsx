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45899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45899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45899</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45899</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45899</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45899</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45899</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45899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45899</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62768-2021</t>
        </is>
      </c>
      <c r="B18" s="1" t="n">
        <v>44504</v>
      </c>
      <c r="C18" s="1" t="n">
        <v>45899</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40493-2024</t>
        </is>
      </c>
      <c r="B19" s="1" t="n">
        <v>45555</v>
      </c>
      <c r="C19" s="1" t="n">
        <v>45899</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45899</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53019-2024</t>
        </is>
      </c>
      <c r="B21" s="1" t="n">
        <v>45610</v>
      </c>
      <c r="C21" s="1" t="n">
        <v>45899</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35461-2024</t>
        </is>
      </c>
      <c r="B22" s="1" t="n">
        <v>45531</v>
      </c>
      <c r="C22" s="1" t="n">
        <v>45899</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34065-2025</t>
        </is>
      </c>
      <c r="B23" s="1" t="n">
        <v>45845.42806712963</v>
      </c>
      <c r="C23" s="1" t="n">
        <v>45899</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45899</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45899</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45899</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45899</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45899</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45899</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45899</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45899</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45899</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45899</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45899</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45899</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45899</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45899</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45899</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45899</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45899</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45899</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22950-2025</t>
        </is>
      </c>
      <c r="B42" s="1" t="n">
        <v>45790.50728009259</v>
      </c>
      <c r="C42" s="1" t="n">
        <v>45899</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60852-2024</t>
        </is>
      </c>
      <c r="B43" s="1" t="n">
        <v>45644</v>
      </c>
      <c r="C43" s="1" t="n">
        <v>45899</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43175-2023</t>
        </is>
      </c>
      <c r="B44" s="1" t="n">
        <v>45183</v>
      </c>
      <c r="C44" s="1" t="n">
        <v>45899</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45899</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45899</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43068-2024</t>
        </is>
      </c>
      <c r="B47" s="1" t="n">
        <v>45567</v>
      </c>
      <c r="C47" s="1" t="n">
        <v>45899</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38255-2025</t>
        </is>
      </c>
      <c r="B48" s="1" t="n">
        <v>45883.38020833334</v>
      </c>
      <c r="C48" s="1" t="n">
        <v>45899</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29985-2022</t>
        </is>
      </c>
      <c r="B49" s="1" t="n">
        <v>44756</v>
      </c>
      <c r="C49" s="1" t="n">
        <v>45899</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7731-2023</t>
        </is>
      </c>
      <c r="B50" s="1" t="n">
        <v>44973</v>
      </c>
      <c r="C50" s="1" t="n">
        <v>45899</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22350-2024</t>
        </is>
      </c>
      <c r="B51" s="1" t="n">
        <v>45446</v>
      </c>
      <c r="C51" s="1" t="n">
        <v>45899</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7919-2022</t>
        </is>
      </c>
      <c r="B52" s="1" t="n">
        <v>44608</v>
      </c>
      <c r="C52" s="1" t="n">
        <v>45899</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12509-2023</t>
        </is>
      </c>
      <c r="B53" s="1" t="n">
        <v>44999.95988425926</v>
      </c>
      <c r="C53" s="1" t="n">
        <v>45899</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42352-2020</t>
        </is>
      </c>
      <c r="B54" s="1" t="n">
        <v>44076</v>
      </c>
      <c r="C54" s="1" t="n">
        <v>45899</v>
      </c>
      <c r="D54" t="inlineStr">
        <is>
          <t>VÄSTMANLANDS LÄN</t>
        </is>
      </c>
      <c r="E54" t="inlineStr">
        <is>
          <t>SALA</t>
        </is>
      </c>
      <c r="G54" t="n">
        <v>8.6</v>
      </c>
      <c r="H54" t="n">
        <v>1</v>
      </c>
      <c r="I54" t="n">
        <v>0</v>
      </c>
      <c r="J54" t="n">
        <v>0</v>
      </c>
      <c r="K54" t="n">
        <v>0</v>
      </c>
      <c r="L54" t="n">
        <v>0</v>
      </c>
      <c r="M54" t="n">
        <v>0</v>
      </c>
      <c r="N54" t="n">
        <v>0</v>
      </c>
      <c r="O54" t="n">
        <v>0</v>
      </c>
      <c r="P54" t="n">
        <v>0</v>
      </c>
      <c r="Q54" t="n">
        <v>1</v>
      </c>
      <c r="R54" s="2" t="inlineStr">
        <is>
          <t>Mattlummer</t>
        </is>
      </c>
      <c r="S54">
        <f>HYPERLINK("https://klasma.github.io/Logging_1981/artfynd/A 42352-2020 artfynd.xlsx", "A 42352-2020")</f>
        <v/>
      </c>
      <c r="T54">
        <f>HYPERLINK("https://klasma.github.io/Logging_1981/kartor/A 42352-2020 karta.png", "A 42352-2020")</f>
        <v/>
      </c>
      <c r="V54">
        <f>HYPERLINK("https://klasma.github.io/Logging_1981/klagomål/A 42352-2020 FSC-klagomål.docx", "A 42352-2020")</f>
        <v/>
      </c>
      <c r="W54">
        <f>HYPERLINK("https://klasma.github.io/Logging_1981/klagomålsmail/A 42352-2020 FSC-klagomål mail.docx", "A 42352-2020")</f>
        <v/>
      </c>
      <c r="X54">
        <f>HYPERLINK("https://klasma.github.io/Logging_1981/tillsyn/A 42352-2020 tillsynsbegäran.docx", "A 42352-2020")</f>
        <v/>
      </c>
      <c r="Y54">
        <f>HYPERLINK("https://klasma.github.io/Logging_1981/tillsynsmail/A 42352-2020 tillsynsbegäran mail.docx", "A 42352-2020")</f>
        <v/>
      </c>
    </row>
    <row r="55" ht="15" customHeight="1">
      <c r="A55" t="inlineStr">
        <is>
          <t>A 14775-2023</t>
        </is>
      </c>
      <c r="B55" s="1" t="n">
        <v>45014</v>
      </c>
      <c r="C55" s="1" t="n">
        <v>45899</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56014-2020</t>
        </is>
      </c>
      <c r="B56" s="1" t="n">
        <v>44132</v>
      </c>
      <c r="C56" s="1" t="n">
        <v>45899</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29727-2023</t>
        </is>
      </c>
      <c r="B57" s="1" t="n">
        <v>45107</v>
      </c>
      <c r="C57" s="1" t="n">
        <v>45899</v>
      </c>
      <c r="D57" t="inlineStr">
        <is>
          <t>VÄSTMANLANDS LÄN</t>
        </is>
      </c>
      <c r="E57" t="inlineStr">
        <is>
          <t>SALA</t>
        </is>
      </c>
      <c r="G57" t="n">
        <v>1.9</v>
      </c>
      <c r="H57" t="n">
        <v>0</v>
      </c>
      <c r="I57" t="n">
        <v>0</v>
      </c>
      <c r="J57" t="n">
        <v>1</v>
      </c>
      <c r="K57" t="n">
        <v>0</v>
      </c>
      <c r="L57" t="n">
        <v>0</v>
      </c>
      <c r="M57" t="n">
        <v>0</v>
      </c>
      <c r="N57" t="n">
        <v>0</v>
      </c>
      <c r="O57" t="n">
        <v>1</v>
      </c>
      <c r="P57" t="n">
        <v>0</v>
      </c>
      <c r="Q57" t="n">
        <v>1</v>
      </c>
      <c r="R57" s="2" t="inlineStr">
        <is>
          <t>Vedtrappmossa</t>
        </is>
      </c>
      <c r="S57">
        <f>HYPERLINK("https://klasma.github.io/Logging_1981/artfynd/A 29727-2023 artfynd.xlsx", "A 29727-2023")</f>
        <v/>
      </c>
      <c r="T57">
        <f>HYPERLINK("https://klasma.github.io/Logging_1981/kartor/A 29727-2023 karta.png", "A 29727-2023")</f>
        <v/>
      </c>
      <c r="V57">
        <f>HYPERLINK("https://klasma.github.io/Logging_1981/klagomål/A 29727-2023 FSC-klagomål.docx", "A 29727-2023")</f>
        <v/>
      </c>
      <c r="W57">
        <f>HYPERLINK("https://klasma.github.io/Logging_1981/klagomålsmail/A 29727-2023 FSC-klagomål mail.docx", "A 29727-2023")</f>
        <v/>
      </c>
      <c r="X57">
        <f>HYPERLINK("https://klasma.github.io/Logging_1981/tillsyn/A 29727-2023 tillsynsbegäran.docx", "A 29727-2023")</f>
        <v/>
      </c>
      <c r="Y57">
        <f>HYPERLINK("https://klasma.github.io/Logging_1981/tillsynsmail/A 29727-2023 tillsynsbegäran mail.docx", "A 29727-2023")</f>
        <v/>
      </c>
    </row>
    <row r="58" ht="15" customHeight="1">
      <c r="A58" t="inlineStr">
        <is>
          <t>A 19361-2025</t>
        </is>
      </c>
      <c r="B58" s="1" t="n">
        <v>45769.63357638889</v>
      </c>
      <c r="C58" s="1" t="n">
        <v>45899</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45899</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58314-2020</t>
        </is>
      </c>
      <c r="B60" s="1" t="n">
        <v>44145</v>
      </c>
      <c r="C60" s="1" t="n">
        <v>45899</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45899</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45899</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45899</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45899</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45899</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45899</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45899</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45899</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45899</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45899</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45899</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45899</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45899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45899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45899</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45899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45899</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45899</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45899</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45899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45899</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45899</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45899</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45899</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45899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45899</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45899</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45899</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45899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45899</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45899</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45899</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45899</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45899</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45899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45899</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45899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45899</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45899</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45899</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45899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45899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45899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45899</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45899</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45899</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45899</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45899</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45899</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45899</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45899</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45899</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45899</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45899</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45899</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45899</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45899</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18259-2021</t>
        </is>
      </c>
      <c r="B118" s="1" t="n">
        <v>44305</v>
      </c>
      <c r="C118" s="1" t="n">
        <v>45899</v>
      </c>
      <c r="D118" t="inlineStr">
        <is>
          <t>VÄSTMANLANDS LÄN</t>
        </is>
      </c>
      <c r="E118" t="inlineStr">
        <is>
          <t>SALA</t>
        </is>
      </c>
      <c r="G118" t="n">
        <v>0</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45899</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45899</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45899</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45899</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45899</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45899</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45899</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43482-2020</t>
        </is>
      </c>
      <c r="B126" s="1" t="n">
        <v>44082</v>
      </c>
      <c r="C126" s="1" t="n">
        <v>45899</v>
      </c>
      <c r="D126" t="inlineStr">
        <is>
          <t>VÄSTMANLANDS LÄN</t>
        </is>
      </c>
      <c r="E126" t="inlineStr">
        <is>
          <t>SALA</t>
        </is>
      </c>
      <c r="G126" t="n">
        <v>4.7</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45899</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45899</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45899</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45899</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45899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45899</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3204-2022</t>
        </is>
      </c>
      <c r="B133" s="1" t="n">
        <v>44582</v>
      </c>
      <c r="C133" s="1" t="n">
        <v>45899</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30915-2021</t>
        </is>
      </c>
      <c r="B134" s="1" t="n">
        <v>44365</v>
      </c>
      <c r="C134" s="1" t="n">
        <v>45899</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30918-2021</t>
        </is>
      </c>
      <c r="B135" s="1" t="n">
        <v>44365.60569444444</v>
      </c>
      <c r="C135" s="1" t="n">
        <v>45899</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22562-2022</t>
        </is>
      </c>
      <c r="B136" s="1" t="n">
        <v>44713</v>
      </c>
      <c r="C136" s="1" t="n">
        <v>45899</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26570-2021</t>
        </is>
      </c>
      <c r="B137" s="1" t="n">
        <v>44348</v>
      </c>
      <c r="C137" s="1" t="n">
        <v>45899</v>
      </c>
      <c r="D137" t="inlineStr">
        <is>
          <t>VÄSTMANLANDS LÄN</t>
        </is>
      </c>
      <c r="E137" t="inlineStr">
        <is>
          <t>SALA</t>
        </is>
      </c>
      <c r="G137" t="n">
        <v>2.5</v>
      </c>
      <c r="H137" t="n">
        <v>0</v>
      </c>
      <c r="I137" t="n">
        <v>0</v>
      </c>
      <c r="J137" t="n">
        <v>0</v>
      </c>
      <c r="K137" t="n">
        <v>0</v>
      </c>
      <c r="L137" t="n">
        <v>0</v>
      </c>
      <c r="M137" t="n">
        <v>0</v>
      </c>
      <c r="N137" t="n">
        <v>0</v>
      </c>
      <c r="O137" t="n">
        <v>0</v>
      </c>
      <c r="P137" t="n">
        <v>0</v>
      </c>
      <c r="Q137" t="n">
        <v>0</v>
      </c>
      <c r="R137" s="2" t="inlineStr"/>
    </row>
    <row r="138" ht="15" customHeight="1">
      <c r="A138" t="inlineStr">
        <is>
          <t>A 44652-2020</t>
        </is>
      </c>
      <c r="B138" s="1" t="n">
        <v>44085</v>
      </c>
      <c r="C138" s="1" t="n">
        <v>45899</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30904-2021</t>
        </is>
      </c>
      <c r="B139" s="1" t="n">
        <v>44365.5983449074</v>
      </c>
      <c r="C139" s="1" t="n">
        <v>45899</v>
      </c>
      <c r="D139" t="inlineStr">
        <is>
          <t>VÄSTMANLANDS LÄN</t>
        </is>
      </c>
      <c r="E139" t="inlineStr">
        <is>
          <t>SALA</t>
        </is>
      </c>
      <c r="G139" t="n">
        <v>1.9</v>
      </c>
      <c r="H139" t="n">
        <v>0</v>
      </c>
      <c r="I139" t="n">
        <v>0</v>
      </c>
      <c r="J139" t="n">
        <v>0</v>
      </c>
      <c r="K139" t="n">
        <v>0</v>
      </c>
      <c r="L139" t="n">
        <v>0</v>
      </c>
      <c r="M139" t="n">
        <v>0</v>
      </c>
      <c r="N139" t="n">
        <v>0</v>
      </c>
      <c r="O139" t="n">
        <v>0</v>
      </c>
      <c r="P139" t="n">
        <v>0</v>
      </c>
      <c r="Q139" t="n">
        <v>0</v>
      </c>
      <c r="R139" s="2" t="inlineStr"/>
    </row>
    <row r="140" ht="15" customHeight="1">
      <c r="A140" t="inlineStr">
        <is>
          <t>A 51596-2022</t>
        </is>
      </c>
      <c r="B140" s="1" t="n">
        <v>44871</v>
      </c>
      <c r="C140" s="1" t="n">
        <v>45899</v>
      </c>
      <c r="D140" t="inlineStr">
        <is>
          <t>VÄSTMANLANDS LÄN</t>
        </is>
      </c>
      <c r="E140" t="inlineStr">
        <is>
          <t>SALA</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66508-2021</t>
        </is>
      </c>
      <c r="B141" s="1" t="n">
        <v>44519.33401620371</v>
      </c>
      <c r="C141" s="1" t="n">
        <v>45899</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31452-2021</t>
        </is>
      </c>
      <c r="B142" s="1" t="n">
        <v>44369</v>
      </c>
      <c r="C142" s="1" t="n">
        <v>45899</v>
      </c>
      <c r="D142" t="inlineStr">
        <is>
          <t>VÄSTMANLANDS LÄN</t>
        </is>
      </c>
      <c r="E142" t="inlineStr">
        <is>
          <t>SALA</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45899</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45899</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45899</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45899</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45899</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45899</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45899</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45899</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8130-2022</t>
        </is>
      </c>
      <c r="B151" s="1" t="n">
        <v>44609.5984837963</v>
      </c>
      <c r="C151" s="1" t="n">
        <v>45899</v>
      </c>
      <c r="D151" t="inlineStr">
        <is>
          <t>VÄSTMANLANDS LÄN</t>
        </is>
      </c>
      <c r="E151" t="inlineStr">
        <is>
          <t>SALA</t>
        </is>
      </c>
      <c r="G151" t="n">
        <v>3.5</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45899</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66830-2021</t>
        </is>
      </c>
      <c r="B153" s="1" t="n">
        <v>44522.40886574074</v>
      </c>
      <c r="C153" s="1" t="n">
        <v>45899</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45899</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45899</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45899</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58912-2020</t>
        </is>
      </c>
      <c r="B157" s="1" t="n">
        <v>44146</v>
      </c>
      <c r="C157" s="1" t="n">
        <v>45899</v>
      </c>
      <c r="D157" t="inlineStr">
        <is>
          <t>VÄSTMANLANDS LÄN</t>
        </is>
      </c>
      <c r="E157" t="inlineStr">
        <is>
          <t>SALA</t>
        </is>
      </c>
      <c r="G157" t="n">
        <v>1.1</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45899</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65818-2021</t>
        </is>
      </c>
      <c r="B159" s="1" t="n">
        <v>44517</v>
      </c>
      <c r="C159" s="1" t="n">
        <v>45899</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45899</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73606-2021</t>
        </is>
      </c>
      <c r="B161" s="1" t="n">
        <v>44552</v>
      </c>
      <c r="C161" s="1" t="n">
        <v>45899</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45015-2022</t>
        </is>
      </c>
      <c r="B162" s="1" t="n">
        <v>44841.63766203704</v>
      </c>
      <c r="C162" s="1" t="n">
        <v>45899</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55881-2020</t>
        </is>
      </c>
      <c r="B163" s="1" t="n">
        <v>44132</v>
      </c>
      <c r="C163" s="1" t="n">
        <v>45899</v>
      </c>
      <c r="D163" t="inlineStr">
        <is>
          <t>VÄSTMANLANDS LÄN</t>
        </is>
      </c>
      <c r="E163" t="inlineStr">
        <is>
          <t>SALA</t>
        </is>
      </c>
      <c r="G163" t="n">
        <v>3</v>
      </c>
      <c r="H163" t="n">
        <v>0</v>
      </c>
      <c r="I163" t="n">
        <v>0</v>
      </c>
      <c r="J163" t="n">
        <v>0</v>
      </c>
      <c r="K163" t="n">
        <v>0</v>
      </c>
      <c r="L163" t="n">
        <v>0</v>
      </c>
      <c r="M163" t="n">
        <v>0</v>
      </c>
      <c r="N163" t="n">
        <v>0</v>
      </c>
      <c r="O163" t="n">
        <v>0</v>
      </c>
      <c r="P163" t="n">
        <v>0</v>
      </c>
      <c r="Q163" t="n">
        <v>0</v>
      </c>
      <c r="R163" s="2" t="inlineStr"/>
    </row>
    <row r="164" ht="15" customHeight="1">
      <c r="A164" t="inlineStr">
        <is>
          <t>A 69192-2020</t>
        </is>
      </c>
      <c r="B164" s="1" t="n">
        <v>44191</v>
      </c>
      <c r="C164" s="1" t="n">
        <v>45899</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53735-2022</t>
        </is>
      </c>
      <c r="B165" s="1" t="n">
        <v>44880.42752314815</v>
      </c>
      <c r="C165" s="1" t="n">
        <v>45899</v>
      </c>
      <c r="D165" t="inlineStr">
        <is>
          <t>VÄSTMANLANDS LÄN</t>
        </is>
      </c>
      <c r="E165" t="inlineStr">
        <is>
          <t>SALA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14047-2021</t>
        </is>
      </c>
      <c r="B166" s="1" t="n">
        <v>44277</v>
      </c>
      <c r="C166" s="1" t="n">
        <v>45899</v>
      </c>
      <c r="D166" t="inlineStr">
        <is>
          <t>VÄSTMANLANDS LÄN</t>
        </is>
      </c>
      <c r="E166" t="inlineStr">
        <is>
          <t>SALA</t>
        </is>
      </c>
      <c r="F166" t="inlineStr">
        <is>
          <t>Kyrkan</t>
        </is>
      </c>
      <c r="G166" t="n">
        <v>0.7</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44879.87533564815</v>
      </c>
      <c r="C167" s="1" t="n">
        <v>45899</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9050-2022</t>
        </is>
      </c>
      <c r="B168" s="1" t="n">
        <v>44615.45451388889</v>
      </c>
      <c r="C168" s="1" t="n">
        <v>45899</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43349-2020</t>
        </is>
      </c>
      <c r="B169" s="1" t="n">
        <v>44081</v>
      </c>
      <c r="C169" s="1" t="n">
        <v>45899</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65856-2021</t>
        </is>
      </c>
      <c r="B170" s="1" t="n">
        <v>44517</v>
      </c>
      <c r="C170" s="1" t="n">
        <v>45899</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49254-2022</t>
        </is>
      </c>
      <c r="B171" s="1" t="n">
        <v>44861</v>
      </c>
      <c r="C171" s="1" t="n">
        <v>45899</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45899</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47054-2020</t>
        </is>
      </c>
      <c r="B173" s="1" t="n">
        <v>44096</v>
      </c>
      <c r="C173" s="1" t="n">
        <v>45899</v>
      </c>
      <c r="D173" t="inlineStr">
        <is>
          <t>VÄSTMANLANDS LÄN</t>
        </is>
      </c>
      <c r="E173" t="inlineStr">
        <is>
          <t>SALA</t>
        </is>
      </c>
      <c r="F173" t="inlineStr">
        <is>
          <t>Kommuner</t>
        </is>
      </c>
      <c r="G173" t="n">
        <v>1.1</v>
      </c>
      <c r="H173" t="n">
        <v>0</v>
      </c>
      <c r="I173" t="n">
        <v>0</v>
      </c>
      <c r="J173" t="n">
        <v>0</v>
      </c>
      <c r="K173" t="n">
        <v>0</v>
      </c>
      <c r="L173" t="n">
        <v>0</v>
      </c>
      <c r="M173" t="n">
        <v>0</v>
      </c>
      <c r="N173" t="n">
        <v>0</v>
      </c>
      <c r="O173" t="n">
        <v>0</v>
      </c>
      <c r="P173" t="n">
        <v>0</v>
      </c>
      <c r="Q173" t="n">
        <v>0</v>
      </c>
      <c r="R173" s="2" t="inlineStr"/>
    </row>
    <row r="174" ht="15" customHeight="1">
      <c r="A174" t="inlineStr">
        <is>
          <t>A 11370-2022</t>
        </is>
      </c>
      <c r="B174" s="1" t="n">
        <v>44630</v>
      </c>
      <c r="C174" s="1" t="n">
        <v>45899</v>
      </c>
      <c r="D174" t="inlineStr">
        <is>
          <t>VÄSTMANLANDS LÄN</t>
        </is>
      </c>
      <c r="E174" t="inlineStr">
        <is>
          <t>SALA</t>
        </is>
      </c>
      <c r="G174" t="n">
        <v>4.3</v>
      </c>
      <c r="H174" t="n">
        <v>0</v>
      </c>
      <c r="I174" t="n">
        <v>0</v>
      </c>
      <c r="J174" t="n">
        <v>0</v>
      </c>
      <c r="K174" t="n">
        <v>0</v>
      </c>
      <c r="L174" t="n">
        <v>0</v>
      </c>
      <c r="M174" t="n">
        <v>0</v>
      </c>
      <c r="N174" t="n">
        <v>0</v>
      </c>
      <c r="O174" t="n">
        <v>0</v>
      </c>
      <c r="P174" t="n">
        <v>0</v>
      </c>
      <c r="Q174" t="n">
        <v>0</v>
      </c>
      <c r="R174" s="2" t="inlineStr"/>
    </row>
    <row r="175" ht="15" customHeight="1">
      <c r="A175" t="inlineStr">
        <is>
          <t>A 44224-2022</t>
        </is>
      </c>
      <c r="B175" s="1" t="n">
        <v>44839.506875</v>
      </c>
      <c r="C175" s="1" t="n">
        <v>45899</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58781-2020</t>
        </is>
      </c>
      <c r="B176" s="1" t="n">
        <v>44146</v>
      </c>
      <c r="C176" s="1" t="n">
        <v>45899</v>
      </c>
      <c r="D176" t="inlineStr">
        <is>
          <t>VÄSTMANLANDS LÄN</t>
        </is>
      </c>
      <c r="E176" t="inlineStr">
        <is>
          <t>SALA</t>
        </is>
      </c>
      <c r="G176" t="n">
        <v>1.2</v>
      </c>
      <c r="H176" t="n">
        <v>0</v>
      </c>
      <c r="I176" t="n">
        <v>0</v>
      </c>
      <c r="J176" t="n">
        <v>0</v>
      </c>
      <c r="K176" t="n">
        <v>0</v>
      </c>
      <c r="L176" t="n">
        <v>0</v>
      </c>
      <c r="M176" t="n">
        <v>0</v>
      </c>
      <c r="N176" t="n">
        <v>0</v>
      </c>
      <c r="O176" t="n">
        <v>0</v>
      </c>
      <c r="P176" t="n">
        <v>0</v>
      </c>
      <c r="Q176" t="n">
        <v>0</v>
      </c>
      <c r="R176" s="2" t="inlineStr"/>
    </row>
    <row r="177" ht="15" customHeight="1">
      <c r="A177" t="inlineStr">
        <is>
          <t>A 72405-2021</t>
        </is>
      </c>
      <c r="B177" s="1" t="n">
        <v>44545</v>
      </c>
      <c r="C177" s="1" t="n">
        <v>45899</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25603-2022</t>
        </is>
      </c>
      <c r="B178" s="1" t="n">
        <v>44732</v>
      </c>
      <c r="C178" s="1" t="n">
        <v>45899</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63290-2021</t>
        </is>
      </c>
      <c r="B179" s="1" t="n">
        <v>44505</v>
      </c>
      <c r="C179" s="1" t="n">
        <v>45899</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67962-2021</t>
        </is>
      </c>
      <c r="B180" s="1" t="n">
        <v>44525</v>
      </c>
      <c r="C180" s="1" t="n">
        <v>45899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47208-2020</t>
        </is>
      </c>
      <c r="B181" s="1" t="n">
        <v>44097.41038194444</v>
      </c>
      <c r="C181" s="1" t="n">
        <v>45899</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53628-2022</t>
        </is>
      </c>
      <c r="B182" s="1" t="n">
        <v>44879.87171296297</v>
      </c>
      <c r="C182" s="1" t="n">
        <v>45899</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57000-2021</t>
        </is>
      </c>
      <c r="B183" s="1" t="n">
        <v>44482.46760416667</v>
      </c>
      <c r="C183" s="1" t="n">
        <v>45899</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73519-2021</t>
        </is>
      </c>
      <c r="B184" s="1" t="n">
        <v>44551</v>
      </c>
      <c r="C184" s="1" t="n">
        <v>45899</v>
      </c>
      <c r="D184" t="inlineStr">
        <is>
          <t>VÄSTMANLANDS LÄN</t>
        </is>
      </c>
      <c r="E184" t="inlineStr">
        <is>
          <t>SALA</t>
        </is>
      </c>
      <c r="G184" t="n">
        <v>0.3</v>
      </c>
      <c r="H184" t="n">
        <v>0</v>
      </c>
      <c r="I184" t="n">
        <v>0</v>
      </c>
      <c r="J184" t="n">
        <v>0</v>
      </c>
      <c r="K184" t="n">
        <v>0</v>
      </c>
      <c r="L184" t="n">
        <v>0</v>
      </c>
      <c r="M184" t="n">
        <v>0</v>
      </c>
      <c r="N184" t="n">
        <v>0</v>
      </c>
      <c r="O184" t="n">
        <v>0</v>
      </c>
      <c r="P184" t="n">
        <v>0</v>
      </c>
      <c r="Q184" t="n">
        <v>0</v>
      </c>
      <c r="R184" s="2" t="inlineStr"/>
    </row>
    <row r="185" ht="15" customHeight="1">
      <c r="A185" t="inlineStr">
        <is>
          <t>A 26579-2021</t>
        </is>
      </c>
      <c r="B185" s="1" t="n">
        <v>44348</v>
      </c>
      <c r="C185" s="1" t="n">
        <v>45899</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37881-2021</t>
        </is>
      </c>
      <c r="B186" s="1" t="n">
        <v>44403</v>
      </c>
      <c r="C186" s="1" t="n">
        <v>45899</v>
      </c>
      <c r="D186" t="inlineStr">
        <is>
          <t>VÄSTMANLANDS LÄN</t>
        </is>
      </c>
      <c r="E186" t="inlineStr">
        <is>
          <t>SALA</t>
        </is>
      </c>
      <c r="G186" t="n">
        <v>4.6</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45899</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61415-2020</t>
        </is>
      </c>
      <c r="B188" s="1" t="n">
        <v>44156</v>
      </c>
      <c r="C188" s="1" t="n">
        <v>45899</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72805-2021</t>
        </is>
      </c>
      <c r="B189" s="1" t="n">
        <v>44546</v>
      </c>
      <c r="C189" s="1" t="n">
        <v>45899</v>
      </c>
      <c r="D189" t="inlineStr">
        <is>
          <t>VÄSTMANLANDS LÄN</t>
        </is>
      </c>
      <c r="E189" t="inlineStr">
        <is>
          <t>SALA</t>
        </is>
      </c>
      <c r="G189" t="n">
        <v>7.8</v>
      </c>
      <c r="H189" t="n">
        <v>0</v>
      </c>
      <c r="I189" t="n">
        <v>0</v>
      </c>
      <c r="J189" t="n">
        <v>0</v>
      </c>
      <c r="K189" t="n">
        <v>0</v>
      </c>
      <c r="L189" t="n">
        <v>0</v>
      </c>
      <c r="M189" t="n">
        <v>0</v>
      </c>
      <c r="N189" t="n">
        <v>0</v>
      </c>
      <c r="O189" t="n">
        <v>0</v>
      </c>
      <c r="P189" t="n">
        <v>0</v>
      </c>
      <c r="Q189" t="n">
        <v>0</v>
      </c>
      <c r="R189" s="2" t="inlineStr"/>
    </row>
    <row r="190" ht="15" customHeight="1">
      <c r="A190" t="inlineStr">
        <is>
          <t>A 72808-2021</t>
        </is>
      </c>
      <c r="B190" s="1" t="n">
        <v>44546</v>
      </c>
      <c r="C190" s="1" t="n">
        <v>45899</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24882-2022</t>
        </is>
      </c>
      <c r="B191" s="1" t="n">
        <v>44728.56488425926</v>
      </c>
      <c r="C191" s="1" t="n">
        <v>45899</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64932-2021</t>
        </is>
      </c>
      <c r="B192" s="1" t="n">
        <v>44512</v>
      </c>
      <c r="C192" s="1" t="n">
        <v>45899</v>
      </c>
      <c r="D192" t="inlineStr">
        <is>
          <t>VÄSTMANLANDS LÄN</t>
        </is>
      </c>
      <c r="E192" t="inlineStr">
        <is>
          <t>SALA</t>
        </is>
      </c>
      <c r="G192" t="n">
        <v>0.8</v>
      </c>
      <c r="H192" t="n">
        <v>0</v>
      </c>
      <c r="I192" t="n">
        <v>0</v>
      </c>
      <c r="J192" t="n">
        <v>0</v>
      </c>
      <c r="K192" t="n">
        <v>0</v>
      </c>
      <c r="L192" t="n">
        <v>0</v>
      </c>
      <c r="M192" t="n">
        <v>0</v>
      </c>
      <c r="N192" t="n">
        <v>0</v>
      </c>
      <c r="O192" t="n">
        <v>0</v>
      </c>
      <c r="P192" t="n">
        <v>0</v>
      </c>
      <c r="Q192" t="n">
        <v>0</v>
      </c>
      <c r="R192" s="2" t="inlineStr"/>
    </row>
    <row r="193" ht="15" customHeight="1">
      <c r="A193" t="inlineStr">
        <is>
          <t>A 40113-2022</t>
        </is>
      </c>
      <c r="B193" s="1" t="n">
        <v>44819</v>
      </c>
      <c r="C193" s="1" t="n">
        <v>45899</v>
      </c>
      <c r="D193" t="inlineStr">
        <is>
          <t>VÄSTMANLANDS LÄN</t>
        </is>
      </c>
      <c r="E193" t="inlineStr">
        <is>
          <t>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45899</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56688-2024</t>
        </is>
      </c>
      <c r="B195" s="1" t="n">
        <v>45627.66478009259</v>
      </c>
      <c r="C195" s="1" t="n">
        <v>45899</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22026-2021</t>
        </is>
      </c>
      <c r="B196" s="1" t="n">
        <v>44323</v>
      </c>
      <c r="C196" s="1" t="n">
        <v>45899</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42345-2020</t>
        </is>
      </c>
      <c r="B197" s="1" t="n">
        <v>44076</v>
      </c>
      <c r="C197" s="1" t="n">
        <v>45899</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54347-2024</t>
        </is>
      </c>
      <c r="B198" s="1" t="n">
        <v>45617.39325231482</v>
      </c>
      <c r="C198" s="1" t="n">
        <v>45899</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27261-2024</t>
        </is>
      </c>
      <c r="B199" s="1" t="n">
        <v>45471</v>
      </c>
      <c r="C199" s="1" t="n">
        <v>45899</v>
      </c>
      <c r="D199" t="inlineStr">
        <is>
          <t>VÄSTMANLANDS LÄN</t>
        </is>
      </c>
      <c r="E199" t="inlineStr">
        <is>
          <t>SALA</t>
        </is>
      </c>
      <c r="G199" t="n">
        <v>6.1</v>
      </c>
      <c r="H199" t="n">
        <v>0</v>
      </c>
      <c r="I199" t="n">
        <v>0</v>
      </c>
      <c r="J199" t="n">
        <v>0</v>
      </c>
      <c r="K199" t="n">
        <v>0</v>
      </c>
      <c r="L199" t="n">
        <v>0</v>
      </c>
      <c r="M199" t="n">
        <v>0</v>
      </c>
      <c r="N199" t="n">
        <v>0</v>
      </c>
      <c r="O199" t="n">
        <v>0</v>
      </c>
      <c r="P199" t="n">
        <v>0</v>
      </c>
      <c r="Q199" t="n">
        <v>0</v>
      </c>
      <c r="R199" s="2" t="inlineStr"/>
    </row>
    <row r="200" ht="15" customHeight="1">
      <c r="A200" t="inlineStr">
        <is>
          <t>A 70218-2021</t>
        </is>
      </c>
      <c r="B200" s="1" t="n">
        <v>44535.6571412037</v>
      </c>
      <c r="C200" s="1" t="n">
        <v>45899</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18713-2025</t>
        </is>
      </c>
      <c r="B201" s="1" t="n">
        <v>45763</v>
      </c>
      <c r="C201" s="1" t="n">
        <v>45899</v>
      </c>
      <c r="D201" t="inlineStr">
        <is>
          <t>VÄSTMANLANDS LÄN</t>
        </is>
      </c>
      <c r="E201" t="inlineStr">
        <is>
          <t>SALA</t>
        </is>
      </c>
      <c r="F201" t="inlineStr">
        <is>
          <t>Bergvik skog öst AB</t>
        </is>
      </c>
      <c r="G201" t="n">
        <v>11.6</v>
      </c>
      <c r="H201" t="n">
        <v>0</v>
      </c>
      <c r="I201" t="n">
        <v>0</v>
      </c>
      <c r="J201" t="n">
        <v>0</v>
      </c>
      <c r="K201" t="n">
        <v>0</v>
      </c>
      <c r="L201" t="n">
        <v>0</v>
      </c>
      <c r="M201" t="n">
        <v>0</v>
      </c>
      <c r="N201" t="n">
        <v>0</v>
      </c>
      <c r="O201" t="n">
        <v>0</v>
      </c>
      <c r="P201" t="n">
        <v>0</v>
      </c>
      <c r="Q201" t="n">
        <v>0</v>
      </c>
      <c r="R201" s="2" t="inlineStr"/>
    </row>
    <row r="202" ht="15" customHeight="1">
      <c r="A202" t="inlineStr">
        <is>
          <t>A 54959-2024</t>
        </is>
      </c>
      <c r="B202" s="1" t="n">
        <v>45619</v>
      </c>
      <c r="C202" s="1" t="n">
        <v>45899</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13022-2023</t>
        </is>
      </c>
      <c r="B203" s="1" t="n">
        <v>45002.33291666667</v>
      </c>
      <c r="C203" s="1" t="n">
        <v>45899</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35003-2024</t>
        </is>
      </c>
      <c r="B204" s="1" t="n">
        <v>45527.56790509259</v>
      </c>
      <c r="C204" s="1" t="n">
        <v>45899</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27486-2022</t>
        </is>
      </c>
      <c r="B205" s="1" t="n">
        <v>44742.60846064815</v>
      </c>
      <c r="C205" s="1" t="n">
        <v>45899</v>
      </c>
      <c r="D205" t="inlineStr">
        <is>
          <t>VÄSTMANLANDS LÄN</t>
        </is>
      </c>
      <c r="E205" t="inlineStr">
        <is>
          <t>SALA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45899</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6134-2024</t>
        </is>
      </c>
      <c r="B207" s="1" t="n">
        <v>45337</v>
      </c>
      <c r="C207" s="1" t="n">
        <v>45899</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15354-2021</t>
        </is>
      </c>
      <c r="B208" s="1" t="n">
        <v>44284</v>
      </c>
      <c r="C208" s="1" t="n">
        <v>45899</v>
      </c>
      <c r="D208" t="inlineStr">
        <is>
          <t>VÄSTMANLANDS LÄN</t>
        </is>
      </c>
      <c r="E208" t="inlineStr">
        <is>
          <t>SALA</t>
        </is>
      </c>
      <c r="F208" t="inlineStr">
        <is>
          <t>Kyrkan</t>
        </is>
      </c>
      <c r="G208" t="n">
        <v>8.5</v>
      </c>
      <c r="H208" t="n">
        <v>0</v>
      </c>
      <c r="I208" t="n">
        <v>0</v>
      </c>
      <c r="J208" t="n">
        <v>0</v>
      </c>
      <c r="K208" t="n">
        <v>0</v>
      </c>
      <c r="L208" t="n">
        <v>0</v>
      </c>
      <c r="M208" t="n">
        <v>0</v>
      </c>
      <c r="N208" t="n">
        <v>0</v>
      </c>
      <c r="O208" t="n">
        <v>0</v>
      </c>
      <c r="P208" t="n">
        <v>0</v>
      </c>
      <c r="Q208" t="n">
        <v>0</v>
      </c>
      <c r="R208" s="2" t="inlineStr"/>
    </row>
    <row r="209" ht="15" customHeight="1">
      <c r="A209" t="inlineStr">
        <is>
          <t>A 66307-2021</t>
        </is>
      </c>
      <c r="B209" s="1" t="n">
        <v>44518.48670138889</v>
      </c>
      <c r="C209" s="1" t="n">
        <v>45899</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6030-2024</t>
        </is>
      </c>
      <c r="B210" s="1" t="n">
        <v>45336.62782407407</v>
      </c>
      <c r="C210" s="1" t="n">
        <v>45899</v>
      </c>
      <c r="D210" t="inlineStr">
        <is>
          <t>VÄSTMANLANDS LÄN</t>
        </is>
      </c>
      <c r="E210" t="inlineStr">
        <is>
          <t>SALA</t>
        </is>
      </c>
      <c r="G210" t="n">
        <v>3.9</v>
      </c>
      <c r="H210" t="n">
        <v>0</v>
      </c>
      <c r="I210" t="n">
        <v>0</v>
      </c>
      <c r="J210" t="n">
        <v>0</v>
      </c>
      <c r="K210" t="n">
        <v>0</v>
      </c>
      <c r="L210" t="n">
        <v>0</v>
      </c>
      <c r="M210" t="n">
        <v>0</v>
      </c>
      <c r="N210" t="n">
        <v>0</v>
      </c>
      <c r="O210" t="n">
        <v>0</v>
      </c>
      <c r="P210" t="n">
        <v>0</v>
      </c>
      <c r="Q210" t="n">
        <v>0</v>
      </c>
      <c r="R210" s="2" t="inlineStr"/>
    </row>
    <row r="211" ht="15" customHeight="1">
      <c r="A211" t="inlineStr">
        <is>
          <t>A 16160-2024</t>
        </is>
      </c>
      <c r="B211" s="1" t="n">
        <v>45406</v>
      </c>
      <c r="C211" s="1" t="n">
        <v>45899</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40597-2022</t>
        </is>
      </c>
      <c r="B212" s="1" t="n">
        <v>44823.84862268518</v>
      </c>
      <c r="C212" s="1" t="n">
        <v>45899</v>
      </c>
      <c r="D212" t="inlineStr">
        <is>
          <t>VÄSTMANLANDS LÄN</t>
        </is>
      </c>
      <c r="E212" t="inlineStr">
        <is>
          <t>SALA</t>
        </is>
      </c>
      <c r="G212" t="n">
        <v>3.5</v>
      </c>
      <c r="H212" t="n">
        <v>0</v>
      </c>
      <c r="I212" t="n">
        <v>0</v>
      </c>
      <c r="J212" t="n">
        <v>0</v>
      </c>
      <c r="K212" t="n">
        <v>0</v>
      </c>
      <c r="L212" t="n">
        <v>0</v>
      </c>
      <c r="M212" t="n">
        <v>0</v>
      </c>
      <c r="N212" t="n">
        <v>0</v>
      </c>
      <c r="O212" t="n">
        <v>0</v>
      </c>
      <c r="P212" t="n">
        <v>0</v>
      </c>
      <c r="Q212" t="n">
        <v>0</v>
      </c>
      <c r="R212" s="2" t="inlineStr"/>
    </row>
    <row r="213" ht="15" customHeight="1">
      <c r="A213" t="inlineStr">
        <is>
          <t>A 6154-2025</t>
        </is>
      </c>
      <c r="B213" s="1" t="n">
        <v>45698.40719907408</v>
      </c>
      <c r="C213" s="1" t="n">
        <v>45899</v>
      </c>
      <c r="D213" t="inlineStr">
        <is>
          <t>VÄSTMANLANDS LÄN</t>
        </is>
      </c>
      <c r="E213" t="inlineStr">
        <is>
          <t>SALA</t>
        </is>
      </c>
      <c r="F213" t="inlineStr">
        <is>
          <t>Bergvik skog öst AB</t>
        </is>
      </c>
      <c r="G213" t="n">
        <v>3.9</v>
      </c>
      <c r="H213" t="n">
        <v>0</v>
      </c>
      <c r="I213" t="n">
        <v>0</v>
      </c>
      <c r="J213" t="n">
        <v>0</v>
      </c>
      <c r="K213" t="n">
        <v>0</v>
      </c>
      <c r="L213" t="n">
        <v>0</v>
      </c>
      <c r="M213" t="n">
        <v>0</v>
      </c>
      <c r="N213" t="n">
        <v>0</v>
      </c>
      <c r="O213" t="n">
        <v>0</v>
      </c>
      <c r="P213" t="n">
        <v>0</v>
      </c>
      <c r="Q213" t="n">
        <v>0</v>
      </c>
      <c r="R213" s="2" t="inlineStr"/>
    </row>
    <row r="214" ht="15" customHeight="1">
      <c r="A214" t="inlineStr">
        <is>
          <t>A 26761-2023</t>
        </is>
      </c>
      <c r="B214" s="1" t="n">
        <v>45093</v>
      </c>
      <c r="C214" s="1" t="n">
        <v>45899</v>
      </c>
      <c r="D214" t="inlineStr">
        <is>
          <t>VÄSTMANLANDS LÄN</t>
        </is>
      </c>
      <c r="E214" t="inlineStr">
        <is>
          <t>SALA</t>
        </is>
      </c>
      <c r="G214" t="n">
        <v>4.3</v>
      </c>
      <c r="H214" t="n">
        <v>0</v>
      </c>
      <c r="I214" t="n">
        <v>0</v>
      </c>
      <c r="J214" t="n">
        <v>0</v>
      </c>
      <c r="K214" t="n">
        <v>0</v>
      </c>
      <c r="L214" t="n">
        <v>0</v>
      </c>
      <c r="M214" t="n">
        <v>0</v>
      </c>
      <c r="N214" t="n">
        <v>0</v>
      </c>
      <c r="O214" t="n">
        <v>0</v>
      </c>
      <c r="P214" t="n">
        <v>0</v>
      </c>
      <c r="Q214" t="n">
        <v>0</v>
      </c>
      <c r="R214" s="2" t="inlineStr"/>
    </row>
    <row r="215" ht="15" customHeight="1">
      <c r="A215" t="inlineStr">
        <is>
          <t>A 61892-2021</t>
        </is>
      </c>
      <c r="B215" s="1" t="n">
        <v>44502</v>
      </c>
      <c r="C215" s="1" t="n">
        <v>45899</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39597-2022</t>
        </is>
      </c>
      <c r="B216" s="1" t="n">
        <v>44818</v>
      </c>
      <c r="C216" s="1" t="n">
        <v>45899</v>
      </c>
      <c r="D216" t="inlineStr">
        <is>
          <t>VÄSTMANLANDS LÄN</t>
        </is>
      </c>
      <c r="E216" t="inlineStr">
        <is>
          <t>SALA</t>
        </is>
      </c>
      <c r="G216" t="n">
        <v>2.3</v>
      </c>
      <c r="H216" t="n">
        <v>0</v>
      </c>
      <c r="I216" t="n">
        <v>0</v>
      </c>
      <c r="J216" t="n">
        <v>0</v>
      </c>
      <c r="K216" t="n">
        <v>0</v>
      </c>
      <c r="L216" t="n">
        <v>0</v>
      </c>
      <c r="M216" t="n">
        <v>0</v>
      </c>
      <c r="N216" t="n">
        <v>0</v>
      </c>
      <c r="O216" t="n">
        <v>0</v>
      </c>
      <c r="P216" t="n">
        <v>0</v>
      </c>
      <c r="Q216" t="n">
        <v>0</v>
      </c>
      <c r="R216" s="2" t="inlineStr"/>
    </row>
    <row r="217" ht="15" customHeight="1">
      <c r="A217" t="inlineStr">
        <is>
          <t>A 7196-2025</t>
        </is>
      </c>
      <c r="B217" s="1" t="n">
        <v>45702</v>
      </c>
      <c r="C217" s="1" t="n">
        <v>45899</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6183-2025</t>
        </is>
      </c>
      <c r="B218" s="1" t="n">
        <v>45698</v>
      </c>
      <c r="C218" s="1" t="n">
        <v>45899</v>
      </c>
      <c r="D218" t="inlineStr">
        <is>
          <t>VÄSTMANLANDS LÄN</t>
        </is>
      </c>
      <c r="E218" t="inlineStr">
        <is>
          <t>SALA</t>
        </is>
      </c>
      <c r="F218" t="inlineStr">
        <is>
          <t>Bergvik skog öst AB</t>
        </is>
      </c>
      <c r="G218" t="n">
        <v>2.3</v>
      </c>
      <c r="H218" t="n">
        <v>0</v>
      </c>
      <c r="I218" t="n">
        <v>0</v>
      </c>
      <c r="J218" t="n">
        <v>0</v>
      </c>
      <c r="K218" t="n">
        <v>0</v>
      </c>
      <c r="L218" t="n">
        <v>0</v>
      </c>
      <c r="M218" t="n">
        <v>0</v>
      </c>
      <c r="N218" t="n">
        <v>0</v>
      </c>
      <c r="O218" t="n">
        <v>0</v>
      </c>
      <c r="P218" t="n">
        <v>0</v>
      </c>
      <c r="Q218" t="n">
        <v>0</v>
      </c>
      <c r="R218" s="2" t="inlineStr"/>
    </row>
    <row r="219" ht="15" customHeight="1">
      <c r="A219" t="inlineStr">
        <is>
          <t>A 12921-2025</t>
        </is>
      </c>
      <c r="B219" s="1" t="n">
        <v>45734.28016203704</v>
      </c>
      <c r="C219" s="1" t="n">
        <v>45899</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17495-2024</t>
        </is>
      </c>
      <c r="B220" s="1" t="n">
        <v>45415</v>
      </c>
      <c r="C220" s="1" t="n">
        <v>45899</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40871-2021</t>
        </is>
      </c>
      <c r="B221" s="1" t="n">
        <v>44421</v>
      </c>
      <c r="C221" s="1" t="n">
        <v>45899</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19803-2024</t>
        </is>
      </c>
      <c r="B222" s="1" t="n">
        <v>45432</v>
      </c>
      <c r="C222" s="1" t="n">
        <v>45899</v>
      </c>
      <c r="D222" t="inlineStr">
        <is>
          <t>VÄSTMANLANDS LÄN</t>
        </is>
      </c>
      <c r="E222" t="inlineStr">
        <is>
          <t>SALA</t>
        </is>
      </c>
      <c r="G222" t="n">
        <v>3.1</v>
      </c>
      <c r="H222" t="n">
        <v>0</v>
      </c>
      <c r="I222" t="n">
        <v>0</v>
      </c>
      <c r="J222" t="n">
        <v>0</v>
      </c>
      <c r="K222" t="n">
        <v>0</v>
      </c>
      <c r="L222" t="n">
        <v>0</v>
      </c>
      <c r="M222" t="n">
        <v>0</v>
      </c>
      <c r="N222" t="n">
        <v>0</v>
      </c>
      <c r="O222" t="n">
        <v>0</v>
      </c>
      <c r="P222" t="n">
        <v>0</v>
      </c>
      <c r="Q222" t="n">
        <v>0</v>
      </c>
      <c r="R222" s="2" t="inlineStr"/>
    </row>
    <row r="223" ht="15" customHeight="1">
      <c r="A223" t="inlineStr">
        <is>
          <t>A 2925-2024</t>
        </is>
      </c>
      <c r="B223" s="1" t="n">
        <v>45315.58909722222</v>
      </c>
      <c r="C223" s="1" t="n">
        <v>45899</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44746-2024</t>
        </is>
      </c>
      <c r="B224" s="1" t="n">
        <v>45574.59813657407</v>
      </c>
      <c r="C224" s="1" t="n">
        <v>45899</v>
      </c>
      <c r="D224" t="inlineStr">
        <is>
          <t>VÄSTMANLANDS LÄN</t>
        </is>
      </c>
      <c r="E224" t="inlineStr">
        <is>
          <t>SALA</t>
        </is>
      </c>
      <c r="G224" t="n">
        <v>6.7</v>
      </c>
      <c r="H224" t="n">
        <v>0</v>
      </c>
      <c r="I224" t="n">
        <v>0</v>
      </c>
      <c r="J224" t="n">
        <v>0</v>
      </c>
      <c r="K224" t="n">
        <v>0</v>
      </c>
      <c r="L224" t="n">
        <v>0</v>
      </c>
      <c r="M224" t="n">
        <v>0</v>
      </c>
      <c r="N224" t="n">
        <v>0</v>
      </c>
      <c r="O224" t="n">
        <v>0</v>
      </c>
      <c r="P224" t="n">
        <v>0</v>
      </c>
      <c r="Q224" t="n">
        <v>0</v>
      </c>
      <c r="R224" s="2" t="inlineStr"/>
    </row>
    <row r="225" ht="15" customHeight="1">
      <c r="A225" t="inlineStr">
        <is>
          <t>A 44713-2023</t>
        </is>
      </c>
      <c r="B225" s="1" t="n">
        <v>45184</v>
      </c>
      <c r="C225" s="1" t="n">
        <v>45899</v>
      </c>
      <c r="D225" t="inlineStr">
        <is>
          <t>VÄSTMANLANDS LÄN</t>
        </is>
      </c>
      <c r="E225" t="inlineStr">
        <is>
          <t>SALA</t>
        </is>
      </c>
      <c r="F225" t="inlineStr">
        <is>
          <t>Kyrkan</t>
        </is>
      </c>
      <c r="G225" t="n">
        <v>7.6</v>
      </c>
      <c r="H225" t="n">
        <v>0</v>
      </c>
      <c r="I225" t="n">
        <v>0</v>
      </c>
      <c r="J225" t="n">
        <v>0</v>
      </c>
      <c r="K225" t="n">
        <v>0</v>
      </c>
      <c r="L225" t="n">
        <v>0</v>
      </c>
      <c r="M225" t="n">
        <v>0</v>
      </c>
      <c r="N225" t="n">
        <v>0</v>
      </c>
      <c r="O225" t="n">
        <v>0</v>
      </c>
      <c r="P225" t="n">
        <v>0</v>
      </c>
      <c r="Q225" t="n">
        <v>0</v>
      </c>
      <c r="R225" s="2" t="inlineStr"/>
    </row>
    <row r="226" ht="15" customHeight="1">
      <c r="A226" t="inlineStr">
        <is>
          <t>A 7772-2023</t>
        </is>
      </c>
      <c r="B226" s="1" t="n">
        <v>44973.40076388889</v>
      </c>
      <c r="C226" s="1" t="n">
        <v>45899</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23431-2024</t>
        </is>
      </c>
      <c r="B227" s="1" t="n">
        <v>45453</v>
      </c>
      <c r="C227" s="1" t="n">
        <v>45899</v>
      </c>
      <c r="D227" t="inlineStr">
        <is>
          <t>VÄSTMANLANDS LÄN</t>
        </is>
      </c>
      <c r="E227" t="inlineStr">
        <is>
          <t>SALA</t>
        </is>
      </c>
      <c r="G227" t="n">
        <v>1.6</v>
      </c>
      <c r="H227" t="n">
        <v>0</v>
      </c>
      <c r="I227" t="n">
        <v>0</v>
      </c>
      <c r="J227" t="n">
        <v>0</v>
      </c>
      <c r="K227" t="n">
        <v>0</v>
      </c>
      <c r="L227" t="n">
        <v>0</v>
      </c>
      <c r="M227" t="n">
        <v>0</v>
      </c>
      <c r="N227" t="n">
        <v>0</v>
      </c>
      <c r="O227" t="n">
        <v>0</v>
      </c>
      <c r="P227" t="n">
        <v>0</v>
      </c>
      <c r="Q227" t="n">
        <v>0</v>
      </c>
      <c r="R227" s="2" t="inlineStr"/>
    </row>
    <row r="228" ht="15" customHeight="1">
      <c r="A228" t="inlineStr">
        <is>
          <t>A 21168-2025</t>
        </is>
      </c>
      <c r="B228" s="1" t="n">
        <v>45777</v>
      </c>
      <c r="C228" s="1" t="n">
        <v>45899</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24864-2024</t>
        </is>
      </c>
      <c r="B229" s="1" t="n">
        <v>45461.48888888889</v>
      </c>
      <c r="C229" s="1" t="n">
        <v>45899</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42416-2022</t>
        </is>
      </c>
      <c r="B230" s="1" t="n">
        <v>44831</v>
      </c>
      <c r="C230" s="1" t="n">
        <v>45899</v>
      </c>
      <c r="D230" t="inlineStr">
        <is>
          <t>VÄSTMANLANDS LÄN</t>
        </is>
      </c>
      <c r="E230" t="inlineStr">
        <is>
          <t>SALA</t>
        </is>
      </c>
      <c r="G230" t="n">
        <v>2.2</v>
      </c>
      <c r="H230" t="n">
        <v>0</v>
      </c>
      <c r="I230" t="n">
        <v>0</v>
      </c>
      <c r="J230" t="n">
        <v>0</v>
      </c>
      <c r="K230" t="n">
        <v>0</v>
      </c>
      <c r="L230" t="n">
        <v>0</v>
      </c>
      <c r="M230" t="n">
        <v>0</v>
      </c>
      <c r="N230" t="n">
        <v>0</v>
      </c>
      <c r="O230" t="n">
        <v>0</v>
      </c>
      <c r="P230" t="n">
        <v>0</v>
      </c>
      <c r="Q230" t="n">
        <v>0</v>
      </c>
      <c r="R230" s="2" t="inlineStr"/>
    </row>
    <row r="231" ht="15" customHeight="1">
      <c r="A231" t="inlineStr">
        <is>
          <t>A 1118-2024</t>
        </is>
      </c>
      <c r="B231" s="1" t="n">
        <v>45302</v>
      </c>
      <c r="C231" s="1" t="n">
        <v>45899</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19381-2025</t>
        </is>
      </c>
      <c r="B232" s="1" t="n">
        <v>45769</v>
      </c>
      <c r="C232" s="1" t="n">
        <v>45899</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63933-2023</t>
        </is>
      </c>
      <c r="B233" s="1" t="n">
        <v>45278</v>
      </c>
      <c r="C233" s="1" t="n">
        <v>45899</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48688-2024</t>
        </is>
      </c>
      <c r="B234" s="1" t="n">
        <v>45593.50541666667</v>
      </c>
      <c r="C234" s="1" t="n">
        <v>45899</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37190-2024</t>
        </is>
      </c>
      <c r="B235" s="1" t="n">
        <v>45539</v>
      </c>
      <c r="C235" s="1" t="n">
        <v>45899</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21751-2025</t>
        </is>
      </c>
      <c r="B236" s="1" t="n">
        <v>45783.61372685185</v>
      </c>
      <c r="C236" s="1" t="n">
        <v>45899</v>
      </c>
      <c r="D236" t="inlineStr">
        <is>
          <t>VÄSTMANLANDS LÄN</t>
        </is>
      </c>
      <c r="E236" t="inlineStr">
        <is>
          <t>SALA</t>
        </is>
      </c>
      <c r="G236" t="n">
        <v>1</v>
      </c>
      <c r="H236" t="n">
        <v>0</v>
      </c>
      <c r="I236" t="n">
        <v>0</v>
      </c>
      <c r="J236" t="n">
        <v>0</v>
      </c>
      <c r="K236" t="n">
        <v>0</v>
      </c>
      <c r="L236" t="n">
        <v>0</v>
      </c>
      <c r="M236" t="n">
        <v>0</v>
      </c>
      <c r="N236" t="n">
        <v>0</v>
      </c>
      <c r="O236" t="n">
        <v>0</v>
      </c>
      <c r="P236" t="n">
        <v>0</v>
      </c>
      <c r="Q236" t="n">
        <v>0</v>
      </c>
      <c r="R236" s="2" t="inlineStr"/>
    </row>
    <row r="237" ht="15" customHeight="1">
      <c r="A237" t="inlineStr">
        <is>
          <t>A 39439-2021</t>
        </is>
      </c>
      <c r="B237" s="1" t="n">
        <v>44414</v>
      </c>
      <c r="C237" s="1" t="n">
        <v>45899</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21721-2025</t>
        </is>
      </c>
      <c r="B238" s="1" t="n">
        <v>45783</v>
      </c>
      <c r="C238" s="1" t="n">
        <v>45899</v>
      </c>
      <c r="D238" t="inlineStr">
        <is>
          <t>VÄSTMANLANDS LÄN</t>
        </is>
      </c>
      <c r="E238" t="inlineStr">
        <is>
          <t>SALA</t>
        </is>
      </c>
      <c r="G238" t="n">
        <v>6.1</v>
      </c>
      <c r="H238" t="n">
        <v>0</v>
      </c>
      <c r="I238" t="n">
        <v>0</v>
      </c>
      <c r="J238" t="n">
        <v>0</v>
      </c>
      <c r="K238" t="n">
        <v>0</v>
      </c>
      <c r="L238" t="n">
        <v>0</v>
      </c>
      <c r="M238" t="n">
        <v>0</v>
      </c>
      <c r="N238" t="n">
        <v>0</v>
      </c>
      <c r="O238" t="n">
        <v>0</v>
      </c>
      <c r="P238" t="n">
        <v>0</v>
      </c>
      <c r="Q238" t="n">
        <v>0</v>
      </c>
      <c r="R238" s="2" t="inlineStr"/>
    </row>
    <row r="239" ht="15" customHeight="1">
      <c r="A239" t="inlineStr">
        <is>
          <t>A 21738-2025</t>
        </is>
      </c>
      <c r="B239" s="1" t="n">
        <v>45783.59173611111</v>
      </c>
      <c r="C239" s="1" t="n">
        <v>45899</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21754-2025</t>
        </is>
      </c>
      <c r="B240" s="1" t="n">
        <v>45783.61837962963</v>
      </c>
      <c r="C240" s="1" t="n">
        <v>45899</v>
      </c>
      <c r="D240" t="inlineStr">
        <is>
          <t>VÄSTMANLANDS LÄN</t>
        </is>
      </c>
      <c r="E240" t="inlineStr">
        <is>
          <t>SALA</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37587-2024</t>
        </is>
      </c>
      <c r="B241" s="1" t="n">
        <v>45541</v>
      </c>
      <c r="C241" s="1" t="n">
        <v>45899</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11389-2024</t>
        </is>
      </c>
      <c r="B242" s="1" t="n">
        <v>45372.45016203704</v>
      </c>
      <c r="C242" s="1" t="n">
        <v>45899</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56706-2022</t>
        </is>
      </c>
      <c r="B243" s="1" t="n">
        <v>44893.78893518518</v>
      </c>
      <c r="C243" s="1" t="n">
        <v>45899</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56707-2022</t>
        </is>
      </c>
      <c r="B244" s="1" t="n">
        <v>44893.79412037037</v>
      </c>
      <c r="C244" s="1" t="n">
        <v>45899</v>
      </c>
      <c r="D244" t="inlineStr">
        <is>
          <t>VÄSTMANLANDS LÄN</t>
        </is>
      </c>
      <c r="E244" t="inlineStr">
        <is>
          <t>SALA</t>
        </is>
      </c>
      <c r="G244" t="n">
        <v>1</v>
      </c>
      <c r="H244" t="n">
        <v>0</v>
      </c>
      <c r="I244" t="n">
        <v>0</v>
      </c>
      <c r="J244" t="n">
        <v>0</v>
      </c>
      <c r="K244" t="n">
        <v>0</v>
      </c>
      <c r="L244" t="n">
        <v>0</v>
      </c>
      <c r="M244" t="n">
        <v>0</v>
      </c>
      <c r="N244" t="n">
        <v>0</v>
      </c>
      <c r="O244" t="n">
        <v>0</v>
      </c>
      <c r="P244" t="n">
        <v>0</v>
      </c>
      <c r="Q244" t="n">
        <v>0</v>
      </c>
      <c r="R244" s="2" t="inlineStr"/>
    </row>
    <row r="245" ht="15" customHeight="1">
      <c r="A245" t="inlineStr">
        <is>
          <t>A 30971-2022</t>
        </is>
      </c>
      <c r="B245" s="1" t="n">
        <v>44768.46725694444</v>
      </c>
      <c r="C245" s="1" t="n">
        <v>45899</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22353-2025</t>
        </is>
      </c>
      <c r="B246" s="1" t="n">
        <v>45786</v>
      </c>
      <c r="C246" s="1" t="n">
        <v>45899</v>
      </c>
      <c r="D246" t="inlineStr">
        <is>
          <t>VÄSTMANLANDS LÄN</t>
        </is>
      </c>
      <c r="E246" t="inlineStr">
        <is>
          <t>SALA</t>
        </is>
      </c>
      <c r="G246" t="n">
        <v>2.5</v>
      </c>
      <c r="H246" t="n">
        <v>0</v>
      </c>
      <c r="I246" t="n">
        <v>0</v>
      </c>
      <c r="J246" t="n">
        <v>0</v>
      </c>
      <c r="K246" t="n">
        <v>0</v>
      </c>
      <c r="L246" t="n">
        <v>0</v>
      </c>
      <c r="M246" t="n">
        <v>0</v>
      </c>
      <c r="N246" t="n">
        <v>0</v>
      </c>
      <c r="O246" t="n">
        <v>0</v>
      </c>
      <c r="P246" t="n">
        <v>0</v>
      </c>
      <c r="Q246" t="n">
        <v>0</v>
      </c>
      <c r="R246" s="2" t="inlineStr"/>
    </row>
    <row r="247" ht="15" customHeight="1">
      <c r="A247" t="inlineStr">
        <is>
          <t>A 64724-2023</t>
        </is>
      </c>
      <c r="B247" s="1" t="n">
        <v>45281.7602662037</v>
      </c>
      <c r="C247" s="1" t="n">
        <v>45899</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45187-2024</t>
        </is>
      </c>
      <c r="B248" s="1" t="n">
        <v>45575</v>
      </c>
      <c r="C248" s="1" t="n">
        <v>45899</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15968-2024</t>
        </is>
      </c>
      <c r="B249" s="1" t="n">
        <v>45405.56021990741</v>
      </c>
      <c r="C249" s="1" t="n">
        <v>45899</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3733-2023</t>
        </is>
      </c>
      <c r="B250" s="1" t="n">
        <v>44951.42501157407</v>
      </c>
      <c r="C250" s="1" t="n">
        <v>45899</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22370-2025</t>
        </is>
      </c>
      <c r="B251" s="1" t="n">
        <v>45786</v>
      </c>
      <c r="C251" s="1" t="n">
        <v>45899</v>
      </c>
      <c r="D251" t="inlineStr">
        <is>
          <t>VÄSTMANLANDS LÄN</t>
        </is>
      </c>
      <c r="E251" t="inlineStr">
        <is>
          <t>SALA</t>
        </is>
      </c>
      <c r="G251" t="n">
        <v>3.2</v>
      </c>
      <c r="H251" t="n">
        <v>0</v>
      </c>
      <c r="I251" t="n">
        <v>0</v>
      </c>
      <c r="J251" t="n">
        <v>0</v>
      </c>
      <c r="K251" t="n">
        <v>0</v>
      </c>
      <c r="L251" t="n">
        <v>0</v>
      </c>
      <c r="M251" t="n">
        <v>0</v>
      </c>
      <c r="N251" t="n">
        <v>0</v>
      </c>
      <c r="O251" t="n">
        <v>0</v>
      </c>
      <c r="P251" t="n">
        <v>0</v>
      </c>
      <c r="Q251" t="n">
        <v>0</v>
      </c>
      <c r="R251" s="2" t="inlineStr"/>
    </row>
    <row r="252" ht="15" customHeight="1">
      <c r="A252" t="inlineStr">
        <is>
          <t>A 22383-2025</t>
        </is>
      </c>
      <c r="B252" s="1" t="n">
        <v>45786</v>
      </c>
      <c r="C252" s="1" t="n">
        <v>45899</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2900-2023</t>
        </is>
      </c>
      <c r="B253" s="1" t="n">
        <v>44943</v>
      </c>
      <c r="C253" s="1" t="n">
        <v>45899</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44544-2024</t>
        </is>
      </c>
      <c r="B254" s="1" t="n">
        <v>45574.46119212963</v>
      </c>
      <c r="C254" s="1" t="n">
        <v>45899</v>
      </c>
      <c r="D254" t="inlineStr">
        <is>
          <t>VÄSTMANLANDS LÄN</t>
        </is>
      </c>
      <c r="E254" t="inlineStr">
        <is>
          <t>SALA</t>
        </is>
      </c>
      <c r="G254" t="n">
        <v>3.3</v>
      </c>
      <c r="H254" t="n">
        <v>0</v>
      </c>
      <c r="I254" t="n">
        <v>0</v>
      </c>
      <c r="J254" t="n">
        <v>0</v>
      </c>
      <c r="K254" t="n">
        <v>0</v>
      </c>
      <c r="L254" t="n">
        <v>0</v>
      </c>
      <c r="M254" t="n">
        <v>0</v>
      </c>
      <c r="N254" t="n">
        <v>0</v>
      </c>
      <c r="O254" t="n">
        <v>0</v>
      </c>
      <c r="P254" t="n">
        <v>0</v>
      </c>
      <c r="Q254" t="n">
        <v>0</v>
      </c>
      <c r="R254" s="2" t="inlineStr"/>
    </row>
    <row r="255" ht="15" customHeight="1">
      <c r="A255" t="inlineStr">
        <is>
          <t>A 60730-2023</t>
        </is>
      </c>
      <c r="B255" s="1" t="n">
        <v>45260</v>
      </c>
      <c r="C255" s="1" t="n">
        <v>45899</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60731-2023</t>
        </is>
      </c>
      <c r="B256" s="1" t="n">
        <v>45260</v>
      </c>
      <c r="C256" s="1" t="n">
        <v>45899</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64729-2023</t>
        </is>
      </c>
      <c r="B257" s="1" t="n">
        <v>45281</v>
      </c>
      <c r="C257" s="1" t="n">
        <v>45899</v>
      </c>
      <c r="D257" t="inlineStr">
        <is>
          <t>VÄSTMANLANDS LÄN</t>
        </is>
      </c>
      <c r="E257" t="inlineStr">
        <is>
          <t>SALA</t>
        </is>
      </c>
      <c r="G257" t="n">
        <v>1.8</v>
      </c>
      <c r="H257" t="n">
        <v>0</v>
      </c>
      <c r="I257" t="n">
        <v>0</v>
      </c>
      <c r="J257" t="n">
        <v>0</v>
      </c>
      <c r="K257" t="n">
        <v>0</v>
      </c>
      <c r="L257" t="n">
        <v>0</v>
      </c>
      <c r="M257" t="n">
        <v>0</v>
      </c>
      <c r="N257" t="n">
        <v>0</v>
      </c>
      <c r="O257" t="n">
        <v>0</v>
      </c>
      <c r="P257" t="n">
        <v>0</v>
      </c>
      <c r="Q257" t="n">
        <v>0</v>
      </c>
      <c r="R257" s="2" t="inlineStr"/>
    </row>
    <row r="258" ht="15" customHeight="1">
      <c r="A258" t="inlineStr">
        <is>
          <t>A 7176-2023</t>
        </is>
      </c>
      <c r="B258" s="1" t="n">
        <v>44970</v>
      </c>
      <c r="C258" s="1" t="n">
        <v>45899</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68864-2021</t>
        </is>
      </c>
      <c r="B259" s="1" t="n">
        <v>44530</v>
      </c>
      <c r="C259" s="1" t="n">
        <v>45899</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22624-2025</t>
        </is>
      </c>
      <c r="B260" s="1" t="n">
        <v>45789.43327546296</v>
      </c>
      <c r="C260" s="1" t="n">
        <v>45899</v>
      </c>
      <c r="D260" t="inlineStr">
        <is>
          <t>VÄSTMANLANDS LÄN</t>
        </is>
      </c>
      <c r="E260" t="inlineStr">
        <is>
          <t>SALA</t>
        </is>
      </c>
      <c r="G260" t="n">
        <v>1.5</v>
      </c>
      <c r="H260" t="n">
        <v>0</v>
      </c>
      <c r="I260" t="n">
        <v>0</v>
      </c>
      <c r="J260" t="n">
        <v>0</v>
      </c>
      <c r="K260" t="n">
        <v>0</v>
      </c>
      <c r="L260" t="n">
        <v>0</v>
      </c>
      <c r="M260" t="n">
        <v>0</v>
      </c>
      <c r="N260" t="n">
        <v>0</v>
      </c>
      <c r="O260" t="n">
        <v>0</v>
      </c>
      <c r="P260" t="n">
        <v>0</v>
      </c>
      <c r="Q260" t="n">
        <v>0</v>
      </c>
      <c r="R260" s="2" t="inlineStr"/>
    </row>
    <row r="261" ht="15" customHeight="1">
      <c r="A261" t="inlineStr">
        <is>
          <t>A 56098-2020</t>
        </is>
      </c>
      <c r="B261" s="1" t="n">
        <v>44132</v>
      </c>
      <c r="C261" s="1" t="n">
        <v>45899</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31405-2024</t>
        </is>
      </c>
      <c r="B262" s="1" t="n">
        <v>45505.5490625</v>
      </c>
      <c r="C262" s="1" t="n">
        <v>45899</v>
      </c>
      <c r="D262" t="inlineStr">
        <is>
          <t>VÄSTMANLANDS LÄN</t>
        </is>
      </c>
      <c r="E262" t="inlineStr">
        <is>
          <t>SALA</t>
        </is>
      </c>
      <c r="G262" t="n">
        <v>5.2</v>
      </c>
      <c r="H262" t="n">
        <v>0</v>
      </c>
      <c r="I262" t="n">
        <v>0</v>
      </c>
      <c r="J262" t="n">
        <v>0</v>
      </c>
      <c r="K262" t="n">
        <v>0</v>
      </c>
      <c r="L262" t="n">
        <v>0</v>
      </c>
      <c r="M262" t="n">
        <v>0</v>
      </c>
      <c r="N262" t="n">
        <v>0</v>
      </c>
      <c r="O262" t="n">
        <v>0</v>
      </c>
      <c r="P262" t="n">
        <v>0</v>
      </c>
      <c r="Q262" t="n">
        <v>0</v>
      </c>
      <c r="R262" s="2" t="inlineStr"/>
    </row>
    <row r="263" ht="15" customHeight="1">
      <c r="A263" t="inlineStr">
        <is>
          <t>A 64925-2023</t>
        </is>
      </c>
      <c r="B263" s="1" t="n">
        <v>45282</v>
      </c>
      <c r="C263" s="1" t="n">
        <v>45899</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48570-2024</t>
        </is>
      </c>
      <c r="B264" s="1" t="n">
        <v>45591</v>
      </c>
      <c r="C264" s="1" t="n">
        <v>45899</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22616-2025</t>
        </is>
      </c>
      <c r="B265" s="1" t="n">
        <v>45789.42752314815</v>
      </c>
      <c r="C265" s="1" t="n">
        <v>45899</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43600-2024</t>
        </is>
      </c>
      <c r="B266" s="1" t="n">
        <v>45569</v>
      </c>
      <c r="C266" s="1" t="n">
        <v>45899</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13130-2025</t>
        </is>
      </c>
      <c r="B267" s="1" t="n">
        <v>45734</v>
      </c>
      <c r="C267" s="1" t="n">
        <v>45899</v>
      </c>
      <c r="D267" t="inlineStr">
        <is>
          <t>VÄSTMANLANDS LÄN</t>
        </is>
      </c>
      <c r="E267" t="inlineStr">
        <is>
          <t>SALA</t>
        </is>
      </c>
      <c r="G267" t="n">
        <v>1.5</v>
      </c>
      <c r="H267" t="n">
        <v>0</v>
      </c>
      <c r="I267" t="n">
        <v>0</v>
      </c>
      <c r="J267" t="n">
        <v>0</v>
      </c>
      <c r="K267" t="n">
        <v>0</v>
      </c>
      <c r="L267" t="n">
        <v>0</v>
      </c>
      <c r="M267" t="n">
        <v>0</v>
      </c>
      <c r="N267" t="n">
        <v>0</v>
      </c>
      <c r="O267" t="n">
        <v>0</v>
      </c>
      <c r="P267" t="n">
        <v>0</v>
      </c>
      <c r="Q267" t="n">
        <v>0</v>
      </c>
      <c r="R267" s="2" t="inlineStr"/>
    </row>
    <row r="268" ht="15" customHeight="1">
      <c r="A268" t="inlineStr">
        <is>
          <t>A 35976-2024</t>
        </is>
      </c>
      <c r="B268" s="1" t="n">
        <v>45533.49555555556</v>
      </c>
      <c r="C268" s="1" t="n">
        <v>45899</v>
      </c>
      <c r="D268" t="inlineStr">
        <is>
          <t>VÄSTMANLANDS LÄN</t>
        </is>
      </c>
      <c r="E268" t="inlineStr">
        <is>
          <t>SALA</t>
        </is>
      </c>
      <c r="G268" t="n">
        <v>2.3</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45899</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38636-2024</t>
        </is>
      </c>
      <c r="B270" s="1" t="n">
        <v>45546</v>
      </c>
      <c r="C270" s="1" t="n">
        <v>45899</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16760-2024</t>
        </is>
      </c>
      <c r="B271" s="1" t="n">
        <v>45411</v>
      </c>
      <c r="C271" s="1" t="n">
        <v>45899</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53164-2024</t>
        </is>
      </c>
      <c r="B272" s="1" t="n">
        <v>45611.64887731482</v>
      </c>
      <c r="C272" s="1" t="n">
        <v>45899</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54603-2024</t>
        </is>
      </c>
      <c r="B273" s="1" t="n">
        <v>45617.68224537037</v>
      </c>
      <c r="C273" s="1" t="n">
        <v>45899</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18762-2024</t>
        </is>
      </c>
      <c r="B274" s="1" t="n">
        <v>45426.55240740741</v>
      </c>
      <c r="C274" s="1" t="n">
        <v>45899</v>
      </c>
      <c r="D274" t="inlineStr">
        <is>
          <t>VÄSTMANLANDS LÄN</t>
        </is>
      </c>
      <c r="E274" t="inlineStr">
        <is>
          <t>SALA</t>
        </is>
      </c>
      <c r="G274" t="n">
        <v>6.2</v>
      </c>
      <c r="H274" t="n">
        <v>0</v>
      </c>
      <c r="I274" t="n">
        <v>0</v>
      </c>
      <c r="J274" t="n">
        <v>0</v>
      </c>
      <c r="K274" t="n">
        <v>0</v>
      </c>
      <c r="L274" t="n">
        <v>0</v>
      </c>
      <c r="M274" t="n">
        <v>0</v>
      </c>
      <c r="N274" t="n">
        <v>0</v>
      </c>
      <c r="O274" t="n">
        <v>0</v>
      </c>
      <c r="P274" t="n">
        <v>0</v>
      </c>
      <c r="Q274" t="n">
        <v>0</v>
      </c>
      <c r="R274" s="2" t="inlineStr"/>
    </row>
    <row r="275" ht="15" customHeight="1">
      <c r="A275" t="inlineStr">
        <is>
          <t>A 17120-2023</t>
        </is>
      </c>
      <c r="B275" s="1" t="n">
        <v>45034</v>
      </c>
      <c r="C275" s="1" t="n">
        <v>45899</v>
      </c>
      <c r="D275" t="inlineStr">
        <is>
          <t>VÄSTMANLANDS LÄN</t>
        </is>
      </c>
      <c r="E275" t="inlineStr">
        <is>
          <t>SALA</t>
        </is>
      </c>
      <c r="G275" t="n">
        <v>0.1</v>
      </c>
      <c r="H275" t="n">
        <v>0</v>
      </c>
      <c r="I275" t="n">
        <v>0</v>
      </c>
      <c r="J275" t="n">
        <v>0</v>
      </c>
      <c r="K275" t="n">
        <v>0</v>
      </c>
      <c r="L275" t="n">
        <v>0</v>
      </c>
      <c r="M275" t="n">
        <v>0</v>
      </c>
      <c r="N275" t="n">
        <v>0</v>
      </c>
      <c r="O275" t="n">
        <v>0</v>
      </c>
      <c r="P275" t="n">
        <v>0</v>
      </c>
      <c r="Q275" t="n">
        <v>0</v>
      </c>
      <c r="R275" s="2" t="inlineStr"/>
    </row>
    <row r="276" ht="15" customHeight="1">
      <c r="A276" t="inlineStr">
        <is>
          <t>A 42938-2023</t>
        </is>
      </c>
      <c r="B276" s="1" t="n">
        <v>45179</v>
      </c>
      <c r="C276" s="1" t="n">
        <v>45899</v>
      </c>
      <c r="D276" t="inlineStr">
        <is>
          <t>VÄSTMANLANDS LÄN</t>
        </is>
      </c>
      <c r="E276" t="inlineStr">
        <is>
          <t>SALA</t>
        </is>
      </c>
      <c r="G276" t="n">
        <v>10.9</v>
      </c>
      <c r="H276" t="n">
        <v>0</v>
      </c>
      <c r="I276" t="n">
        <v>0</v>
      </c>
      <c r="J276" t="n">
        <v>0</v>
      </c>
      <c r="K276" t="n">
        <v>0</v>
      </c>
      <c r="L276" t="n">
        <v>0</v>
      </c>
      <c r="M276" t="n">
        <v>0</v>
      </c>
      <c r="N276" t="n">
        <v>0</v>
      </c>
      <c r="O276" t="n">
        <v>0</v>
      </c>
      <c r="P276" t="n">
        <v>0</v>
      </c>
      <c r="Q276" t="n">
        <v>0</v>
      </c>
      <c r="R276" s="2" t="inlineStr"/>
    </row>
    <row r="277" ht="15" customHeight="1">
      <c r="A277" t="inlineStr">
        <is>
          <t>A 42984-2023</t>
        </is>
      </c>
      <c r="B277" s="1" t="n">
        <v>45179</v>
      </c>
      <c r="C277" s="1" t="n">
        <v>45899</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15972-2024</t>
        </is>
      </c>
      <c r="B278" s="1" t="n">
        <v>45405.56498842593</v>
      </c>
      <c r="C278" s="1" t="n">
        <v>45899</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39714-2023</t>
        </is>
      </c>
      <c r="B279" s="1" t="n">
        <v>45167.62133101852</v>
      </c>
      <c r="C279" s="1" t="n">
        <v>45899</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25868-2024</t>
        </is>
      </c>
      <c r="B280" s="1" t="n">
        <v>45467.47506944444</v>
      </c>
      <c r="C280" s="1" t="n">
        <v>45899</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33527-2023</t>
        </is>
      </c>
      <c r="B281" s="1" t="n">
        <v>45131</v>
      </c>
      <c r="C281" s="1" t="n">
        <v>45899</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24169-2025</t>
        </is>
      </c>
      <c r="B282" s="1" t="n">
        <v>45796</v>
      </c>
      <c r="C282" s="1" t="n">
        <v>45899</v>
      </c>
      <c r="D282" t="inlineStr">
        <is>
          <t>VÄSTMANLANDS LÄN</t>
        </is>
      </c>
      <c r="E282" t="inlineStr">
        <is>
          <t>SALA</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41485-2020</t>
        </is>
      </c>
      <c r="B283" s="1" t="n">
        <v>44074</v>
      </c>
      <c r="C283" s="1" t="n">
        <v>45899</v>
      </c>
      <c r="D283" t="inlineStr">
        <is>
          <t>VÄSTMANLANDS LÄN</t>
        </is>
      </c>
      <c r="E283" t="inlineStr">
        <is>
          <t>SALA</t>
        </is>
      </c>
      <c r="G283" t="n">
        <v>4.7</v>
      </c>
      <c r="H283" t="n">
        <v>0</v>
      </c>
      <c r="I283" t="n">
        <v>0</v>
      </c>
      <c r="J283" t="n">
        <v>0</v>
      </c>
      <c r="K283" t="n">
        <v>0</v>
      </c>
      <c r="L283" t="n">
        <v>0</v>
      </c>
      <c r="M283" t="n">
        <v>0</v>
      </c>
      <c r="N283" t="n">
        <v>0</v>
      </c>
      <c r="O283" t="n">
        <v>0</v>
      </c>
      <c r="P283" t="n">
        <v>0</v>
      </c>
      <c r="Q283" t="n">
        <v>0</v>
      </c>
      <c r="R283" s="2" t="inlineStr"/>
    </row>
    <row r="284" ht="15" customHeight="1">
      <c r="A284" t="inlineStr">
        <is>
          <t>A 22126-2025</t>
        </is>
      </c>
      <c r="B284" s="1" t="n">
        <v>45785</v>
      </c>
      <c r="C284" s="1" t="n">
        <v>45899</v>
      </c>
      <c r="D284" t="inlineStr">
        <is>
          <t>VÄSTMANLANDS LÄN</t>
        </is>
      </c>
      <c r="E284" t="inlineStr">
        <is>
          <t>SALA</t>
        </is>
      </c>
      <c r="G284" t="n">
        <v>10.6</v>
      </c>
      <c r="H284" t="n">
        <v>0</v>
      </c>
      <c r="I284" t="n">
        <v>0</v>
      </c>
      <c r="J284" t="n">
        <v>0</v>
      </c>
      <c r="K284" t="n">
        <v>0</v>
      </c>
      <c r="L284" t="n">
        <v>0</v>
      </c>
      <c r="M284" t="n">
        <v>0</v>
      </c>
      <c r="N284" t="n">
        <v>0</v>
      </c>
      <c r="O284" t="n">
        <v>0</v>
      </c>
      <c r="P284" t="n">
        <v>0</v>
      </c>
      <c r="Q284" t="n">
        <v>0</v>
      </c>
      <c r="R284" s="2" t="inlineStr"/>
    </row>
    <row r="285" ht="15" customHeight="1">
      <c r="A285" t="inlineStr">
        <is>
          <t>A 23810-2025</t>
        </is>
      </c>
      <c r="B285" s="1" t="n">
        <v>45793.56989583333</v>
      </c>
      <c r="C285" s="1" t="n">
        <v>45899</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71471-2021</t>
        </is>
      </c>
      <c r="B286" s="1" t="n">
        <v>44540.53421296296</v>
      </c>
      <c r="C286" s="1" t="n">
        <v>45899</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8775-2024</t>
        </is>
      </c>
      <c r="B287" s="1" t="n">
        <v>45356</v>
      </c>
      <c r="C287" s="1" t="n">
        <v>45899</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10913-2025</t>
        </is>
      </c>
      <c r="B288" s="1" t="n">
        <v>45722.73423611111</v>
      </c>
      <c r="C288" s="1" t="n">
        <v>45899</v>
      </c>
      <c r="D288" t="inlineStr">
        <is>
          <t>VÄSTMANLANDS LÄN</t>
        </is>
      </c>
      <c r="E288" t="inlineStr">
        <is>
          <t>SALA</t>
        </is>
      </c>
      <c r="G288" t="n">
        <v>7.6</v>
      </c>
      <c r="H288" t="n">
        <v>0</v>
      </c>
      <c r="I288" t="n">
        <v>0</v>
      </c>
      <c r="J288" t="n">
        <v>0</v>
      </c>
      <c r="K288" t="n">
        <v>0</v>
      </c>
      <c r="L288" t="n">
        <v>0</v>
      </c>
      <c r="M288" t="n">
        <v>0</v>
      </c>
      <c r="N288" t="n">
        <v>0</v>
      </c>
      <c r="O288" t="n">
        <v>0</v>
      </c>
      <c r="P288" t="n">
        <v>0</v>
      </c>
      <c r="Q288" t="n">
        <v>0</v>
      </c>
      <c r="R288" s="2" t="inlineStr"/>
    </row>
    <row r="289" ht="15" customHeight="1">
      <c r="A289" t="inlineStr">
        <is>
          <t>A 58107-2021</t>
        </is>
      </c>
      <c r="B289" s="1" t="n">
        <v>44487</v>
      </c>
      <c r="C289" s="1" t="n">
        <v>45899</v>
      </c>
      <c r="D289" t="inlineStr">
        <is>
          <t>VÄSTMANLANDS LÄN</t>
        </is>
      </c>
      <c r="E289" t="inlineStr">
        <is>
          <t>SALA</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45899</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2927-2024</t>
        </is>
      </c>
      <c r="B291" s="1" t="n">
        <v>45315.58989583333</v>
      </c>
      <c r="C291" s="1" t="n">
        <v>45899</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39011-2023</t>
        </is>
      </c>
      <c r="B292" s="1" t="n">
        <v>45162</v>
      </c>
      <c r="C292" s="1" t="n">
        <v>45899</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23804-2025</t>
        </is>
      </c>
      <c r="B293" s="1" t="n">
        <v>45793.55995370371</v>
      </c>
      <c r="C293" s="1" t="n">
        <v>45899</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37183-2024</t>
        </is>
      </c>
      <c r="B294" s="1" t="n">
        <v>45539</v>
      </c>
      <c r="C294" s="1" t="n">
        <v>45899</v>
      </c>
      <c r="D294" t="inlineStr">
        <is>
          <t>VÄSTMANLANDS LÄN</t>
        </is>
      </c>
      <c r="E294" t="inlineStr">
        <is>
          <t>SALA</t>
        </is>
      </c>
      <c r="G294" t="n">
        <v>1.2</v>
      </c>
      <c r="H294" t="n">
        <v>0</v>
      </c>
      <c r="I294" t="n">
        <v>0</v>
      </c>
      <c r="J294" t="n">
        <v>0</v>
      </c>
      <c r="K294" t="n">
        <v>0</v>
      </c>
      <c r="L294" t="n">
        <v>0</v>
      </c>
      <c r="M294" t="n">
        <v>0</v>
      </c>
      <c r="N294" t="n">
        <v>0</v>
      </c>
      <c r="O294" t="n">
        <v>0</v>
      </c>
      <c r="P294" t="n">
        <v>0</v>
      </c>
      <c r="Q294" t="n">
        <v>0</v>
      </c>
      <c r="R294" s="2" t="inlineStr"/>
    </row>
    <row r="295" ht="15" customHeight="1">
      <c r="A295" t="inlineStr">
        <is>
          <t>A 11210-2025</t>
        </is>
      </c>
      <c r="B295" s="1" t="n">
        <v>45726</v>
      </c>
      <c r="C295" s="1" t="n">
        <v>45899</v>
      </c>
      <c r="D295" t="inlineStr">
        <is>
          <t>VÄSTMANLANDS LÄN</t>
        </is>
      </c>
      <c r="E295" t="inlineStr">
        <is>
          <t>SALA</t>
        </is>
      </c>
      <c r="G295" t="n">
        <v>4.1</v>
      </c>
      <c r="H295" t="n">
        <v>0</v>
      </c>
      <c r="I295" t="n">
        <v>0</v>
      </c>
      <c r="J295" t="n">
        <v>0</v>
      </c>
      <c r="K295" t="n">
        <v>0</v>
      </c>
      <c r="L295" t="n">
        <v>0</v>
      </c>
      <c r="M295" t="n">
        <v>0</v>
      </c>
      <c r="N295" t="n">
        <v>0</v>
      </c>
      <c r="O295" t="n">
        <v>0</v>
      </c>
      <c r="P295" t="n">
        <v>0</v>
      </c>
      <c r="Q295" t="n">
        <v>0</v>
      </c>
      <c r="R295" s="2" t="inlineStr"/>
    </row>
    <row r="296" ht="15" customHeight="1">
      <c r="A296" t="inlineStr">
        <is>
          <t>A 19297-2025</t>
        </is>
      </c>
      <c r="B296" s="1" t="n">
        <v>45769.56261574074</v>
      </c>
      <c r="C296" s="1" t="n">
        <v>45899</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56547-2022</t>
        </is>
      </c>
      <c r="B297" s="1" t="n">
        <v>44893.48284722222</v>
      </c>
      <c r="C297" s="1" t="n">
        <v>45899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54199-2024</t>
        </is>
      </c>
      <c r="B298" s="1" t="n">
        <v>45616.64703703704</v>
      </c>
      <c r="C298" s="1" t="n">
        <v>45899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56916-2022</t>
        </is>
      </c>
      <c r="B299" s="1" t="n">
        <v>44888</v>
      </c>
      <c r="C299" s="1" t="n">
        <v>45899</v>
      </c>
      <c r="D299" t="inlineStr">
        <is>
          <t>VÄSTMANLANDS LÄN</t>
        </is>
      </c>
      <c r="E299" t="inlineStr">
        <is>
          <t>SALA</t>
        </is>
      </c>
      <c r="G299" t="n">
        <v>1.7</v>
      </c>
      <c r="H299" t="n">
        <v>0</v>
      </c>
      <c r="I299" t="n">
        <v>0</v>
      </c>
      <c r="J299" t="n">
        <v>0</v>
      </c>
      <c r="K299" t="n">
        <v>0</v>
      </c>
      <c r="L299" t="n">
        <v>0</v>
      </c>
      <c r="M299" t="n">
        <v>0</v>
      </c>
      <c r="N299" t="n">
        <v>0</v>
      </c>
      <c r="O299" t="n">
        <v>0</v>
      </c>
      <c r="P299" t="n">
        <v>0</v>
      </c>
      <c r="Q299" t="n">
        <v>0</v>
      </c>
      <c r="R299" s="2" t="inlineStr"/>
    </row>
    <row r="300" ht="15" customHeight="1">
      <c r="A300" t="inlineStr">
        <is>
          <t>A 60548-2024</t>
        </is>
      </c>
      <c r="B300" s="1" t="n">
        <v>45643.80978009259</v>
      </c>
      <c r="C300" s="1" t="n">
        <v>45899</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24460-2025</t>
        </is>
      </c>
      <c r="B301" s="1" t="n">
        <v>45798</v>
      </c>
      <c r="C301" s="1" t="n">
        <v>45899</v>
      </c>
      <c r="D301" t="inlineStr">
        <is>
          <t>VÄSTMANLANDS LÄN</t>
        </is>
      </c>
      <c r="E301" t="inlineStr">
        <is>
          <t>SALA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55065-2024</t>
        </is>
      </c>
      <c r="B302" s="1" t="n">
        <v>45618</v>
      </c>
      <c r="C302" s="1" t="n">
        <v>45899</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45899</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12922-2025</t>
        </is>
      </c>
      <c r="B304" s="1" t="n">
        <v>45734.28572916667</v>
      </c>
      <c r="C304" s="1" t="n">
        <v>45899</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45313-2024</t>
        </is>
      </c>
      <c r="B305" s="1" t="n">
        <v>45576</v>
      </c>
      <c r="C305" s="1" t="n">
        <v>45899</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56535-2022</t>
        </is>
      </c>
      <c r="B306" s="1" t="n">
        <v>44893.47173611111</v>
      </c>
      <c r="C306" s="1" t="n">
        <v>45899</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24907-2025</t>
        </is>
      </c>
      <c r="B307" s="1" t="n">
        <v>45799</v>
      </c>
      <c r="C307" s="1" t="n">
        <v>45899</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24910-2025</t>
        </is>
      </c>
      <c r="B308" s="1" t="n">
        <v>45799.53775462963</v>
      </c>
      <c r="C308" s="1" t="n">
        <v>45899</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47909-2022</t>
        </is>
      </c>
      <c r="B309" s="1" t="n">
        <v>44855</v>
      </c>
      <c r="C309" s="1" t="n">
        <v>45899</v>
      </c>
      <c r="D309" t="inlineStr">
        <is>
          <t>VÄSTMANLANDS LÄN</t>
        </is>
      </c>
      <c r="E309" t="inlineStr">
        <is>
          <t>SALA</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52630-2022</t>
        </is>
      </c>
      <c r="B310" s="1" t="n">
        <v>44874</v>
      </c>
      <c r="C310" s="1" t="n">
        <v>45899</v>
      </c>
      <c r="D310" t="inlineStr">
        <is>
          <t>VÄSTMANLANDS LÄN</t>
        </is>
      </c>
      <c r="E310" t="inlineStr">
        <is>
          <t>SALA</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7664-2023</t>
        </is>
      </c>
      <c r="B311" s="1" t="n">
        <v>44972</v>
      </c>
      <c r="C311" s="1" t="n">
        <v>45899</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56687-2024</t>
        </is>
      </c>
      <c r="B312" s="1" t="n">
        <v>45627.63271990741</v>
      </c>
      <c r="C312" s="1" t="n">
        <v>45899</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54768-2024</t>
        </is>
      </c>
      <c r="B313" s="1" t="n">
        <v>45618</v>
      </c>
      <c r="C313" s="1" t="n">
        <v>45899</v>
      </c>
      <c r="D313" t="inlineStr">
        <is>
          <t>VÄSTMANLANDS LÄN</t>
        </is>
      </c>
      <c r="E313" t="inlineStr">
        <is>
          <t>SALA</t>
        </is>
      </c>
      <c r="G313" t="n">
        <v>2.4</v>
      </c>
      <c r="H313" t="n">
        <v>0</v>
      </c>
      <c r="I313" t="n">
        <v>0</v>
      </c>
      <c r="J313" t="n">
        <v>0</v>
      </c>
      <c r="K313" t="n">
        <v>0</v>
      </c>
      <c r="L313" t="n">
        <v>0</v>
      </c>
      <c r="M313" t="n">
        <v>0</v>
      </c>
      <c r="N313" t="n">
        <v>0</v>
      </c>
      <c r="O313" t="n">
        <v>0</v>
      </c>
      <c r="P313" t="n">
        <v>0</v>
      </c>
      <c r="Q313" t="n">
        <v>0</v>
      </c>
      <c r="R313" s="2" t="inlineStr"/>
    </row>
    <row r="314" ht="15" customHeight="1">
      <c r="A314" t="inlineStr">
        <is>
          <t>A 57895-2024</t>
        </is>
      </c>
      <c r="B314" s="1" t="n">
        <v>45631</v>
      </c>
      <c r="C314" s="1" t="n">
        <v>45899</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31597-2024</t>
        </is>
      </c>
      <c r="B315" s="1" t="n">
        <v>45506</v>
      </c>
      <c r="C315" s="1" t="n">
        <v>45899</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17458-2024</t>
        </is>
      </c>
      <c r="B316" s="1" t="n">
        <v>45415</v>
      </c>
      <c r="C316" s="1" t="n">
        <v>45899</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56543-2024</t>
        </is>
      </c>
      <c r="B317" s="1" t="n">
        <v>45625</v>
      </c>
      <c r="C317" s="1" t="n">
        <v>45899</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10909-2024</t>
        </is>
      </c>
      <c r="B318" s="1" t="n">
        <v>45370</v>
      </c>
      <c r="C318" s="1" t="n">
        <v>45899</v>
      </c>
      <c r="D318" t="inlineStr">
        <is>
          <t>VÄSTMANLANDS LÄN</t>
        </is>
      </c>
      <c r="E318" t="inlineStr">
        <is>
          <t>SALA</t>
        </is>
      </c>
      <c r="G318" t="n">
        <v>3.3</v>
      </c>
      <c r="H318" t="n">
        <v>0</v>
      </c>
      <c r="I318" t="n">
        <v>0</v>
      </c>
      <c r="J318" t="n">
        <v>0</v>
      </c>
      <c r="K318" t="n">
        <v>0</v>
      </c>
      <c r="L318" t="n">
        <v>0</v>
      </c>
      <c r="M318" t="n">
        <v>0</v>
      </c>
      <c r="N318" t="n">
        <v>0</v>
      </c>
      <c r="O318" t="n">
        <v>0</v>
      </c>
      <c r="P318" t="n">
        <v>0</v>
      </c>
      <c r="Q318" t="n">
        <v>0</v>
      </c>
      <c r="R318" s="2" t="inlineStr"/>
    </row>
    <row r="319" ht="15" customHeight="1">
      <c r="A319" t="inlineStr">
        <is>
          <t>A 61715-2024</t>
        </is>
      </c>
      <c r="B319" s="1" t="n">
        <v>45648.89519675926</v>
      </c>
      <c r="C319" s="1" t="n">
        <v>45899</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17722-2025</t>
        </is>
      </c>
      <c r="B320" s="1" t="n">
        <v>45758</v>
      </c>
      <c r="C320" s="1" t="n">
        <v>45899</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16404-2022</t>
        </is>
      </c>
      <c r="B321" s="1" t="n">
        <v>44671</v>
      </c>
      <c r="C321" s="1" t="n">
        <v>45899</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6097-2022</t>
        </is>
      </c>
      <c r="B322" s="1" t="n">
        <v>44599</v>
      </c>
      <c r="C322" s="1" t="n">
        <v>45899</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28661-2024</t>
        </is>
      </c>
      <c r="B323" s="1" t="n">
        <v>45478</v>
      </c>
      <c r="C323" s="1" t="n">
        <v>45899</v>
      </c>
      <c r="D323" t="inlineStr">
        <is>
          <t>VÄSTMANLANDS LÄN</t>
        </is>
      </c>
      <c r="E323" t="inlineStr">
        <is>
          <t>SALA</t>
        </is>
      </c>
      <c r="G323" t="n">
        <v>0.6</v>
      </c>
      <c r="H323" t="n">
        <v>0</v>
      </c>
      <c r="I323" t="n">
        <v>0</v>
      </c>
      <c r="J323" t="n">
        <v>0</v>
      </c>
      <c r="K323" t="n">
        <v>0</v>
      </c>
      <c r="L323" t="n">
        <v>0</v>
      </c>
      <c r="M323" t="n">
        <v>0</v>
      </c>
      <c r="N323" t="n">
        <v>0</v>
      </c>
      <c r="O323" t="n">
        <v>0</v>
      </c>
      <c r="P323" t="n">
        <v>0</v>
      </c>
      <c r="Q323" t="n">
        <v>0</v>
      </c>
      <c r="R323" s="2" t="inlineStr"/>
    </row>
    <row r="324" ht="15" customHeight="1">
      <c r="A324" t="inlineStr">
        <is>
          <t>A 2529-2022</t>
        </is>
      </c>
      <c r="B324" s="1" t="n">
        <v>44579.86452546297</v>
      </c>
      <c r="C324" s="1" t="n">
        <v>45899</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10559-2024</t>
        </is>
      </c>
      <c r="B325" s="1" t="n">
        <v>45366</v>
      </c>
      <c r="C325" s="1" t="n">
        <v>45899</v>
      </c>
      <c r="D325" t="inlineStr">
        <is>
          <t>VÄSTMANLANDS LÄN</t>
        </is>
      </c>
      <c r="E325" t="inlineStr">
        <is>
          <t>SALA</t>
        </is>
      </c>
      <c r="G325" t="n">
        <v>0.3</v>
      </c>
      <c r="H325" t="n">
        <v>0</v>
      </c>
      <c r="I325" t="n">
        <v>0</v>
      </c>
      <c r="J325" t="n">
        <v>0</v>
      </c>
      <c r="K325" t="n">
        <v>0</v>
      </c>
      <c r="L325" t="n">
        <v>0</v>
      </c>
      <c r="M325" t="n">
        <v>0</v>
      </c>
      <c r="N325" t="n">
        <v>0</v>
      </c>
      <c r="O325" t="n">
        <v>0</v>
      </c>
      <c r="P325" t="n">
        <v>0</v>
      </c>
      <c r="Q325" t="n">
        <v>0</v>
      </c>
      <c r="R325" s="2" t="inlineStr"/>
    </row>
    <row r="326" ht="15" customHeight="1">
      <c r="A326" t="inlineStr">
        <is>
          <t>A 56540-2024</t>
        </is>
      </c>
      <c r="B326" s="1" t="n">
        <v>45625</v>
      </c>
      <c r="C326" s="1" t="n">
        <v>45899</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31599-2024</t>
        </is>
      </c>
      <c r="B327" s="1" t="n">
        <v>45506</v>
      </c>
      <c r="C327" s="1" t="n">
        <v>45899</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31601-2024</t>
        </is>
      </c>
      <c r="B328" s="1" t="n">
        <v>45506</v>
      </c>
      <c r="C328" s="1" t="n">
        <v>45899</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31608-2024</t>
        </is>
      </c>
      <c r="B329" s="1" t="n">
        <v>45506</v>
      </c>
      <c r="C329" s="1" t="n">
        <v>45899</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31612-2024</t>
        </is>
      </c>
      <c r="B330" s="1" t="n">
        <v>45506</v>
      </c>
      <c r="C330" s="1" t="n">
        <v>45899</v>
      </c>
      <c r="D330" t="inlineStr">
        <is>
          <t>VÄSTMANLANDS LÄN</t>
        </is>
      </c>
      <c r="E330" t="inlineStr">
        <is>
          <t>SALA</t>
        </is>
      </c>
      <c r="G330" t="n">
        <v>3.2</v>
      </c>
      <c r="H330" t="n">
        <v>0</v>
      </c>
      <c r="I330" t="n">
        <v>0</v>
      </c>
      <c r="J330" t="n">
        <v>0</v>
      </c>
      <c r="K330" t="n">
        <v>0</v>
      </c>
      <c r="L330" t="n">
        <v>0</v>
      </c>
      <c r="M330" t="n">
        <v>0</v>
      </c>
      <c r="N330" t="n">
        <v>0</v>
      </c>
      <c r="O330" t="n">
        <v>0</v>
      </c>
      <c r="P330" t="n">
        <v>0</v>
      </c>
      <c r="Q330" t="n">
        <v>0</v>
      </c>
      <c r="R330" s="2" t="inlineStr"/>
    </row>
    <row r="331" ht="15" customHeight="1">
      <c r="A331" t="inlineStr">
        <is>
          <t>A 60545-2024</t>
        </is>
      </c>
      <c r="B331" s="1" t="n">
        <v>45643</v>
      </c>
      <c r="C331" s="1" t="n">
        <v>45899</v>
      </c>
      <c r="D331" t="inlineStr">
        <is>
          <t>VÄSTMANLANDS LÄN</t>
        </is>
      </c>
      <c r="E331" t="inlineStr">
        <is>
          <t>SALA</t>
        </is>
      </c>
      <c r="G331" t="n">
        <v>3.3</v>
      </c>
      <c r="H331" t="n">
        <v>0</v>
      </c>
      <c r="I331" t="n">
        <v>0</v>
      </c>
      <c r="J331" t="n">
        <v>0</v>
      </c>
      <c r="K331" t="n">
        <v>0</v>
      </c>
      <c r="L331" t="n">
        <v>0</v>
      </c>
      <c r="M331" t="n">
        <v>0</v>
      </c>
      <c r="N331" t="n">
        <v>0</v>
      </c>
      <c r="O331" t="n">
        <v>0</v>
      </c>
      <c r="P331" t="n">
        <v>0</v>
      </c>
      <c r="Q331" t="n">
        <v>0</v>
      </c>
      <c r="R331" s="2" t="inlineStr"/>
    </row>
    <row r="332" ht="15" customHeight="1">
      <c r="A332" t="inlineStr">
        <is>
          <t>A 60547-2024</t>
        </is>
      </c>
      <c r="B332" s="1" t="n">
        <v>45643</v>
      </c>
      <c r="C332" s="1" t="n">
        <v>45899</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15965-2024</t>
        </is>
      </c>
      <c r="B333" s="1" t="n">
        <v>45405.55740740741</v>
      </c>
      <c r="C333" s="1" t="n">
        <v>45899</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1196-2023</t>
        </is>
      </c>
      <c r="B334" s="1" t="n">
        <v>44935.82290509259</v>
      </c>
      <c r="C334" s="1" t="n">
        <v>45899</v>
      </c>
      <c r="D334" t="inlineStr">
        <is>
          <t>VÄSTMANLANDS LÄN</t>
        </is>
      </c>
      <c r="E334" t="inlineStr">
        <is>
          <t>SALA</t>
        </is>
      </c>
      <c r="G334" t="n">
        <v>4.1</v>
      </c>
      <c r="H334" t="n">
        <v>0</v>
      </c>
      <c r="I334" t="n">
        <v>0</v>
      </c>
      <c r="J334" t="n">
        <v>0</v>
      </c>
      <c r="K334" t="n">
        <v>0</v>
      </c>
      <c r="L334" t="n">
        <v>0</v>
      </c>
      <c r="M334" t="n">
        <v>0</v>
      </c>
      <c r="N334" t="n">
        <v>0</v>
      </c>
      <c r="O334" t="n">
        <v>0</v>
      </c>
      <c r="P334" t="n">
        <v>0</v>
      </c>
      <c r="Q334" t="n">
        <v>0</v>
      </c>
      <c r="R334" s="2" t="inlineStr"/>
    </row>
    <row r="335" ht="15" customHeight="1">
      <c r="A335" t="inlineStr">
        <is>
          <t>A 10579-2022</t>
        </is>
      </c>
      <c r="B335" s="1" t="n">
        <v>44624</v>
      </c>
      <c r="C335" s="1" t="n">
        <v>45899</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64693-2023</t>
        </is>
      </c>
      <c r="B336" s="1" t="n">
        <v>45281.63850694444</v>
      </c>
      <c r="C336" s="1" t="n">
        <v>45899</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64695-2023</t>
        </is>
      </c>
      <c r="B337" s="1" t="n">
        <v>45281.64099537037</v>
      </c>
      <c r="C337" s="1" t="n">
        <v>45899</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26661-2025</t>
        </is>
      </c>
      <c r="B338" s="1" t="n">
        <v>45810</v>
      </c>
      <c r="C338" s="1" t="n">
        <v>45899</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55784-2024</t>
        </is>
      </c>
      <c r="B339" s="1" t="n">
        <v>45623</v>
      </c>
      <c r="C339" s="1" t="n">
        <v>45899</v>
      </c>
      <c r="D339" t="inlineStr">
        <is>
          <t>VÄSTMANLANDS LÄN</t>
        </is>
      </c>
      <c r="E339" t="inlineStr">
        <is>
          <t>SALA</t>
        </is>
      </c>
      <c r="F339" t="inlineStr">
        <is>
          <t>Bergvik skog öst AB</t>
        </is>
      </c>
      <c r="G339" t="n">
        <v>28.4</v>
      </c>
      <c r="H339" t="n">
        <v>0</v>
      </c>
      <c r="I339" t="n">
        <v>0</v>
      </c>
      <c r="J339" t="n">
        <v>0</v>
      </c>
      <c r="K339" t="n">
        <v>0</v>
      </c>
      <c r="L339" t="n">
        <v>0</v>
      </c>
      <c r="M339" t="n">
        <v>0</v>
      </c>
      <c r="N339" t="n">
        <v>0</v>
      </c>
      <c r="O339" t="n">
        <v>0</v>
      </c>
      <c r="P339" t="n">
        <v>0</v>
      </c>
      <c r="Q339" t="n">
        <v>0</v>
      </c>
      <c r="R339" s="2" t="inlineStr"/>
    </row>
    <row r="340" ht="15" customHeight="1">
      <c r="A340" t="inlineStr">
        <is>
          <t>A 62651-2022</t>
        </is>
      </c>
      <c r="B340" s="1" t="n">
        <v>44917</v>
      </c>
      <c r="C340" s="1" t="n">
        <v>45899</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54836-2024</t>
        </is>
      </c>
      <c r="B341" s="1" t="n">
        <v>45618</v>
      </c>
      <c r="C341" s="1" t="n">
        <v>45899</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29542-2023</t>
        </is>
      </c>
      <c r="B342" s="1" t="n">
        <v>45098</v>
      </c>
      <c r="C342" s="1" t="n">
        <v>45899</v>
      </c>
      <c r="D342" t="inlineStr">
        <is>
          <t>VÄSTMANLANDS LÄN</t>
        </is>
      </c>
      <c r="E342" t="inlineStr">
        <is>
          <t>SALA</t>
        </is>
      </c>
      <c r="G342" t="n">
        <v>4.8</v>
      </c>
      <c r="H342" t="n">
        <v>0</v>
      </c>
      <c r="I342" t="n">
        <v>0</v>
      </c>
      <c r="J342" t="n">
        <v>0</v>
      </c>
      <c r="K342" t="n">
        <v>0</v>
      </c>
      <c r="L342" t="n">
        <v>0</v>
      </c>
      <c r="M342" t="n">
        <v>0</v>
      </c>
      <c r="N342" t="n">
        <v>0</v>
      </c>
      <c r="O342" t="n">
        <v>0</v>
      </c>
      <c r="P342" t="n">
        <v>0</v>
      </c>
      <c r="Q342" t="n">
        <v>0</v>
      </c>
      <c r="R342" s="2" t="inlineStr"/>
    </row>
    <row r="343" ht="15" customHeight="1">
      <c r="A343" t="inlineStr">
        <is>
          <t>A 13987-2023</t>
        </is>
      </c>
      <c r="B343" s="1" t="n">
        <v>45007</v>
      </c>
      <c r="C343" s="1" t="n">
        <v>45899</v>
      </c>
      <c r="D343" t="inlineStr">
        <is>
          <t>VÄSTMANLANDS LÄN</t>
        </is>
      </c>
      <c r="E343" t="inlineStr">
        <is>
          <t>SALA</t>
        </is>
      </c>
      <c r="G343" t="n">
        <v>3.2</v>
      </c>
      <c r="H343" t="n">
        <v>0</v>
      </c>
      <c r="I343" t="n">
        <v>0</v>
      </c>
      <c r="J343" t="n">
        <v>0</v>
      </c>
      <c r="K343" t="n">
        <v>0</v>
      </c>
      <c r="L343" t="n">
        <v>0</v>
      </c>
      <c r="M343" t="n">
        <v>0</v>
      </c>
      <c r="N343" t="n">
        <v>0</v>
      </c>
      <c r="O343" t="n">
        <v>0</v>
      </c>
      <c r="P343" t="n">
        <v>0</v>
      </c>
      <c r="Q343" t="n">
        <v>0</v>
      </c>
      <c r="R343" s="2" t="inlineStr"/>
    </row>
    <row r="344" ht="15" customHeight="1">
      <c r="A344" t="inlineStr">
        <is>
          <t>A 13990-2023</t>
        </is>
      </c>
      <c r="B344" s="1" t="n">
        <v>45007</v>
      </c>
      <c r="C344" s="1" t="n">
        <v>45899</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27038-2023</t>
        </is>
      </c>
      <c r="B345" s="1" t="n">
        <v>45095</v>
      </c>
      <c r="C345" s="1" t="n">
        <v>45899</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51464-2024</t>
        </is>
      </c>
      <c r="B346" s="1" t="n">
        <v>45604.49768518518</v>
      </c>
      <c r="C346" s="1" t="n">
        <v>45899</v>
      </c>
      <c r="D346" t="inlineStr">
        <is>
          <t>VÄSTMANLANDS LÄN</t>
        </is>
      </c>
      <c r="E346" t="inlineStr">
        <is>
          <t>SALA</t>
        </is>
      </c>
      <c r="G346" t="n">
        <v>3.9</v>
      </c>
      <c r="H346" t="n">
        <v>0</v>
      </c>
      <c r="I346" t="n">
        <v>0</v>
      </c>
      <c r="J346" t="n">
        <v>0</v>
      </c>
      <c r="K346" t="n">
        <v>0</v>
      </c>
      <c r="L346" t="n">
        <v>0</v>
      </c>
      <c r="M346" t="n">
        <v>0</v>
      </c>
      <c r="N346" t="n">
        <v>0</v>
      </c>
      <c r="O346" t="n">
        <v>0</v>
      </c>
      <c r="P346" t="n">
        <v>0</v>
      </c>
      <c r="Q346" t="n">
        <v>0</v>
      </c>
      <c r="R346" s="2" t="inlineStr"/>
    </row>
    <row r="347" ht="15" customHeight="1">
      <c r="A347" t="inlineStr">
        <is>
          <t>A 1128-2025</t>
        </is>
      </c>
      <c r="B347" s="1" t="n">
        <v>45666.68469907407</v>
      </c>
      <c r="C347" s="1" t="n">
        <v>45899</v>
      </c>
      <c r="D347" t="inlineStr">
        <is>
          <t>VÄSTMANLANDS LÄN</t>
        </is>
      </c>
      <c r="E347" t="inlineStr">
        <is>
          <t>SALA</t>
        </is>
      </c>
      <c r="G347" t="n">
        <v>2.5</v>
      </c>
      <c r="H347" t="n">
        <v>0</v>
      </c>
      <c r="I347" t="n">
        <v>0</v>
      </c>
      <c r="J347" t="n">
        <v>0</v>
      </c>
      <c r="K347" t="n">
        <v>0</v>
      </c>
      <c r="L347" t="n">
        <v>0</v>
      </c>
      <c r="M347" t="n">
        <v>0</v>
      </c>
      <c r="N347" t="n">
        <v>0</v>
      </c>
      <c r="O347" t="n">
        <v>0</v>
      </c>
      <c r="P347" t="n">
        <v>0</v>
      </c>
      <c r="Q347" t="n">
        <v>0</v>
      </c>
      <c r="R347" s="2" t="inlineStr"/>
    </row>
    <row r="348" ht="15" customHeight="1">
      <c r="A348" t="inlineStr">
        <is>
          <t>A 39364-2024</t>
        </is>
      </c>
      <c r="B348" s="1" t="n">
        <v>45551.46748842593</v>
      </c>
      <c r="C348" s="1" t="n">
        <v>45899</v>
      </c>
      <c r="D348" t="inlineStr">
        <is>
          <t>VÄSTMANLANDS LÄN</t>
        </is>
      </c>
      <c r="E348" t="inlineStr">
        <is>
          <t>SALA</t>
        </is>
      </c>
      <c r="G348" t="n">
        <v>2.8</v>
      </c>
      <c r="H348" t="n">
        <v>0</v>
      </c>
      <c r="I348" t="n">
        <v>0</v>
      </c>
      <c r="J348" t="n">
        <v>0</v>
      </c>
      <c r="K348" t="n">
        <v>0</v>
      </c>
      <c r="L348" t="n">
        <v>0</v>
      </c>
      <c r="M348" t="n">
        <v>0</v>
      </c>
      <c r="N348" t="n">
        <v>0</v>
      </c>
      <c r="O348" t="n">
        <v>0</v>
      </c>
      <c r="P348" t="n">
        <v>0</v>
      </c>
      <c r="Q348" t="n">
        <v>0</v>
      </c>
      <c r="R348" s="2" t="inlineStr"/>
    </row>
    <row r="349" ht="15" customHeight="1">
      <c r="A349" t="inlineStr">
        <is>
          <t>A 43176-2023</t>
        </is>
      </c>
      <c r="B349" s="1" t="n">
        <v>45183</v>
      </c>
      <c r="C349" s="1" t="n">
        <v>45899</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73835-2021</t>
        </is>
      </c>
      <c r="B350" s="1" t="n">
        <v>44552.92112268518</v>
      </c>
      <c r="C350" s="1" t="n">
        <v>45899</v>
      </c>
      <c r="D350" t="inlineStr">
        <is>
          <t>VÄSTMANLANDS LÄN</t>
        </is>
      </c>
      <c r="E350" t="inlineStr">
        <is>
          <t>SALA</t>
        </is>
      </c>
      <c r="G350" t="n">
        <v>2</v>
      </c>
      <c r="H350" t="n">
        <v>0</v>
      </c>
      <c r="I350" t="n">
        <v>0</v>
      </c>
      <c r="J350" t="n">
        <v>0</v>
      </c>
      <c r="K350" t="n">
        <v>0</v>
      </c>
      <c r="L350" t="n">
        <v>0</v>
      </c>
      <c r="M350" t="n">
        <v>0</v>
      </c>
      <c r="N350" t="n">
        <v>0</v>
      </c>
      <c r="O350" t="n">
        <v>0</v>
      </c>
      <c r="P350" t="n">
        <v>0</v>
      </c>
      <c r="Q350" t="n">
        <v>0</v>
      </c>
      <c r="R350" s="2" t="inlineStr"/>
    </row>
    <row r="351" ht="15" customHeight="1">
      <c r="A351" t="inlineStr">
        <is>
          <t>A 60379-2022</t>
        </is>
      </c>
      <c r="B351" s="1" t="n">
        <v>44910</v>
      </c>
      <c r="C351" s="1" t="n">
        <v>45899</v>
      </c>
      <c r="D351" t="inlineStr">
        <is>
          <t>VÄSTMANLANDS LÄN</t>
        </is>
      </c>
      <c r="E351" t="inlineStr">
        <is>
          <t>SALA</t>
        </is>
      </c>
      <c r="F351" t="inlineStr">
        <is>
          <t>Kyrkan</t>
        </is>
      </c>
      <c r="G351" t="n">
        <v>2.5</v>
      </c>
      <c r="H351" t="n">
        <v>0</v>
      </c>
      <c r="I351" t="n">
        <v>0</v>
      </c>
      <c r="J351" t="n">
        <v>0</v>
      </c>
      <c r="K351" t="n">
        <v>0</v>
      </c>
      <c r="L351" t="n">
        <v>0</v>
      </c>
      <c r="M351" t="n">
        <v>0</v>
      </c>
      <c r="N351" t="n">
        <v>0</v>
      </c>
      <c r="O351" t="n">
        <v>0</v>
      </c>
      <c r="P351" t="n">
        <v>0</v>
      </c>
      <c r="Q351" t="n">
        <v>0</v>
      </c>
      <c r="R351" s="2" t="inlineStr"/>
    </row>
    <row r="352" ht="15" customHeight="1">
      <c r="A352" t="inlineStr">
        <is>
          <t>A 1638-2023</t>
        </is>
      </c>
      <c r="B352" s="1" t="n">
        <v>44937</v>
      </c>
      <c r="C352" s="1" t="n">
        <v>45899</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66821-2020</t>
        </is>
      </c>
      <c r="B353" s="1" t="n">
        <v>44179.88008101852</v>
      </c>
      <c r="C353" s="1" t="n">
        <v>45899</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7953-2024</t>
        </is>
      </c>
      <c r="B354" s="1" t="n">
        <v>45350</v>
      </c>
      <c r="C354" s="1" t="n">
        <v>45899</v>
      </c>
      <c r="D354" t="inlineStr">
        <is>
          <t>VÄSTMANLANDS LÄN</t>
        </is>
      </c>
      <c r="E354" t="inlineStr">
        <is>
          <t>SALA</t>
        </is>
      </c>
      <c r="G354" t="n">
        <v>2.6</v>
      </c>
      <c r="H354" t="n">
        <v>0</v>
      </c>
      <c r="I354" t="n">
        <v>0</v>
      </c>
      <c r="J354" t="n">
        <v>0</v>
      </c>
      <c r="K354" t="n">
        <v>0</v>
      </c>
      <c r="L354" t="n">
        <v>0</v>
      </c>
      <c r="M354" t="n">
        <v>0</v>
      </c>
      <c r="N354" t="n">
        <v>0</v>
      </c>
      <c r="O354" t="n">
        <v>0</v>
      </c>
      <c r="P354" t="n">
        <v>0</v>
      </c>
      <c r="Q354" t="n">
        <v>0</v>
      </c>
      <c r="R354" s="2" t="inlineStr"/>
    </row>
    <row r="355" ht="15" customHeight="1">
      <c r="A355" t="inlineStr">
        <is>
          <t>A 5477-2024</t>
        </is>
      </c>
      <c r="B355" s="1" t="n">
        <v>45333.67833333334</v>
      </c>
      <c r="C355" s="1" t="n">
        <v>45899</v>
      </c>
      <c r="D355" t="inlineStr">
        <is>
          <t>VÄSTMANLANDS LÄN</t>
        </is>
      </c>
      <c r="E355" t="inlineStr">
        <is>
          <t>SALA</t>
        </is>
      </c>
      <c r="G355" t="n">
        <v>2.3</v>
      </c>
      <c r="H355" t="n">
        <v>0</v>
      </c>
      <c r="I355" t="n">
        <v>0</v>
      </c>
      <c r="J355" t="n">
        <v>0</v>
      </c>
      <c r="K355" t="n">
        <v>0</v>
      </c>
      <c r="L355" t="n">
        <v>0</v>
      </c>
      <c r="M355" t="n">
        <v>0</v>
      </c>
      <c r="N355" t="n">
        <v>0</v>
      </c>
      <c r="O355" t="n">
        <v>0</v>
      </c>
      <c r="P355" t="n">
        <v>0</v>
      </c>
      <c r="Q355" t="n">
        <v>0</v>
      </c>
      <c r="R355" s="2" t="inlineStr"/>
    </row>
    <row r="356" ht="15" customHeight="1">
      <c r="A356" t="inlineStr">
        <is>
          <t>A 17051-2025</t>
        </is>
      </c>
      <c r="B356" s="1" t="n">
        <v>45755</v>
      </c>
      <c r="C356" s="1" t="n">
        <v>45899</v>
      </c>
      <c r="D356" t="inlineStr">
        <is>
          <t>VÄSTMANLANDS LÄN</t>
        </is>
      </c>
      <c r="E356" t="inlineStr">
        <is>
          <t>SALA</t>
        </is>
      </c>
      <c r="G356" t="n">
        <v>2.9</v>
      </c>
      <c r="H356" t="n">
        <v>0</v>
      </c>
      <c r="I356" t="n">
        <v>0</v>
      </c>
      <c r="J356" t="n">
        <v>0</v>
      </c>
      <c r="K356" t="n">
        <v>0</v>
      </c>
      <c r="L356" t="n">
        <v>0</v>
      </c>
      <c r="M356" t="n">
        <v>0</v>
      </c>
      <c r="N356" t="n">
        <v>0</v>
      </c>
      <c r="O356" t="n">
        <v>0</v>
      </c>
      <c r="P356" t="n">
        <v>0</v>
      </c>
      <c r="Q356" t="n">
        <v>0</v>
      </c>
      <c r="R356" s="2" t="inlineStr"/>
    </row>
    <row r="357" ht="15" customHeight="1">
      <c r="A357" t="inlineStr">
        <is>
          <t>A 35776-2025</t>
        </is>
      </c>
      <c r="B357" s="1" t="n">
        <v>45860.69211805556</v>
      </c>
      <c r="C357" s="1" t="n">
        <v>45899</v>
      </c>
      <c r="D357" t="inlineStr">
        <is>
          <t>VÄSTMANLANDS LÄN</t>
        </is>
      </c>
      <c r="E357" t="inlineStr">
        <is>
          <t>SALA</t>
        </is>
      </c>
      <c r="G357" t="n">
        <v>14.2</v>
      </c>
      <c r="H357" t="n">
        <v>0</v>
      </c>
      <c r="I357" t="n">
        <v>0</v>
      </c>
      <c r="J357" t="n">
        <v>0</v>
      </c>
      <c r="K357" t="n">
        <v>0</v>
      </c>
      <c r="L357" t="n">
        <v>0</v>
      </c>
      <c r="M357" t="n">
        <v>0</v>
      </c>
      <c r="N357" t="n">
        <v>0</v>
      </c>
      <c r="O357" t="n">
        <v>0</v>
      </c>
      <c r="P357" t="n">
        <v>0</v>
      </c>
      <c r="Q357" t="n">
        <v>0</v>
      </c>
      <c r="R357" s="2" t="inlineStr"/>
    </row>
    <row r="358" ht="15" customHeight="1">
      <c r="A358" t="inlineStr">
        <is>
          <t>A 28193-2025</t>
        </is>
      </c>
      <c r="B358" s="1" t="n">
        <v>45818.425625</v>
      </c>
      <c r="C358" s="1" t="n">
        <v>45899</v>
      </c>
      <c r="D358" t="inlineStr">
        <is>
          <t>VÄSTMANLANDS LÄN</t>
        </is>
      </c>
      <c r="E358" t="inlineStr">
        <is>
          <t>SALA</t>
        </is>
      </c>
      <c r="G358" t="n">
        <v>1.8</v>
      </c>
      <c r="H358" t="n">
        <v>0</v>
      </c>
      <c r="I358" t="n">
        <v>0</v>
      </c>
      <c r="J358" t="n">
        <v>0</v>
      </c>
      <c r="K358" t="n">
        <v>0</v>
      </c>
      <c r="L358" t="n">
        <v>0</v>
      </c>
      <c r="M358" t="n">
        <v>0</v>
      </c>
      <c r="N358" t="n">
        <v>0</v>
      </c>
      <c r="O358" t="n">
        <v>0</v>
      </c>
      <c r="P358" t="n">
        <v>0</v>
      </c>
      <c r="Q358" t="n">
        <v>0</v>
      </c>
      <c r="R358" s="2" t="inlineStr"/>
    </row>
    <row r="359" ht="15" customHeight="1">
      <c r="A359" t="inlineStr">
        <is>
          <t>A 35779-2025</t>
        </is>
      </c>
      <c r="B359" s="1" t="n">
        <v>45860.69495370371</v>
      </c>
      <c r="C359" s="1" t="n">
        <v>45899</v>
      </c>
      <c r="D359" t="inlineStr">
        <is>
          <t>VÄSTMANLANDS LÄN</t>
        </is>
      </c>
      <c r="E359" t="inlineStr">
        <is>
          <t>SALA</t>
        </is>
      </c>
      <c r="G359" t="n">
        <v>2.4</v>
      </c>
      <c r="H359" t="n">
        <v>0</v>
      </c>
      <c r="I359" t="n">
        <v>0</v>
      </c>
      <c r="J359" t="n">
        <v>0</v>
      </c>
      <c r="K359" t="n">
        <v>0</v>
      </c>
      <c r="L359" t="n">
        <v>0</v>
      </c>
      <c r="M359" t="n">
        <v>0</v>
      </c>
      <c r="N359" t="n">
        <v>0</v>
      </c>
      <c r="O359" t="n">
        <v>0</v>
      </c>
      <c r="P359" t="n">
        <v>0</v>
      </c>
      <c r="Q359" t="n">
        <v>0</v>
      </c>
      <c r="R359" s="2" t="inlineStr"/>
    </row>
    <row r="360" ht="15" customHeight="1">
      <c r="A360" t="inlineStr">
        <is>
          <t>A 27981-2025</t>
        </is>
      </c>
      <c r="B360" s="1" t="n">
        <v>45817.57471064815</v>
      </c>
      <c r="C360" s="1" t="n">
        <v>45899</v>
      </c>
      <c r="D360" t="inlineStr">
        <is>
          <t>VÄSTMANLANDS LÄN</t>
        </is>
      </c>
      <c r="E360" t="inlineStr">
        <is>
          <t>SALA</t>
        </is>
      </c>
      <c r="G360" t="n">
        <v>1.7</v>
      </c>
      <c r="H360" t="n">
        <v>0</v>
      </c>
      <c r="I360" t="n">
        <v>0</v>
      </c>
      <c r="J360" t="n">
        <v>0</v>
      </c>
      <c r="K360" t="n">
        <v>0</v>
      </c>
      <c r="L360" t="n">
        <v>0</v>
      </c>
      <c r="M360" t="n">
        <v>0</v>
      </c>
      <c r="N360" t="n">
        <v>0</v>
      </c>
      <c r="O360" t="n">
        <v>0</v>
      </c>
      <c r="P360" t="n">
        <v>0</v>
      </c>
      <c r="Q360" t="n">
        <v>0</v>
      </c>
      <c r="R360" s="2" t="inlineStr"/>
    </row>
    <row r="361" ht="15" customHeight="1">
      <c r="A361" t="inlineStr">
        <is>
          <t>A 26507-2023</t>
        </is>
      </c>
      <c r="B361" s="1" t="n">
        <v>45092</v>
      </c>
      <c r="C361" s="1" t="n">
        <v>45899</v>
      </c>
      <c r="D361" t="inlineStr">
        <is>
          <t>VÄSTMANLANDS LÄN</t>
        </is>
      </c>
      <c r="E361" t="inlineStr">
        <is>
          <t>SALA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6032-2025</t>
        </is>
      </c>
      <c r="B362" s="1" t="n">
        <v>45695.6371875</v>
      </c>
      <c r="C362" s="1" t="n">
        <v>45899</v>
      </c>
      <c r="D362" t="inlineStr">
        <is>
          <t>VÄSTMANLANDS LÄN</t>
        </is>
      </c>
      <c r="E362" t="inlineStr">
        <is>
          <t>SALA</t>
        </is>
      </c>
      <c r="F362" t="inlineStr">
        <is>
          <t>Bergvik skog öst AB</t>
        </is>
      </c>
      <c r="G362" t="n">
        <v>8.1</v>
      </c>
      <c r="H362" t="n">
        <v>0</v>
      </c>
      <c r="I362" t="n">
        <v>0</v>
      </c>
      <c r="J362" t="n">
        <v>0</v>
      </c>
      <c r="K362" t="n">
        <v>0</v>
      </c>
      <c r="L362" t="n">
        <v>0</v>
      </c>
      <c r="M362" t="n">
        <v>0</v>
      </c>
      <c r="N362" t="n">
        <v>0</v>
      </c>
      <c r="O362" t="n">
        <v>0</v>
      </c>
      <c r="P362" t="n">
        <v>0</v>
      </c>
      <c r="Q362" t="n">
        <v>0</v>
      </c>
      <c r="R362" s="2" t="inlineStr"/>
    </row>
    <row r="363" ht="15" customHeight="1">
      <c r="A363" t="inlineStr">
        <is>
          <t>A 28278-2025</t>
        </is>
      </c>
      <c r="B363" s="1" t="n">
        <v>45818.58454861111</v>
      </c>
      <c r="C363" s="1" t="n">
        <v>45899</v>
      </c>
      <c r="D363" t="inlineStr">
        <is>
          <t>VÄSTMANLANDS LÄN</t>
        </is>
      </c>
      <c r="E363" t="inlineStr">
        <is>
          <t>SALA</t>
        </is>
      </c>
      <c r="G363" t="n">
        <v>7.6</v>
      </c>
      <c r="H363" t="n">
        <v>0</v>
      </c>
      <c r="I363" t="n">
        <v>0</v>
      </c>
      <c r="J363" t="n">
        <v>0</v>
      </c>
      <c r="K363" t="n">
        <v>0</v>
      </c>
      <c r="L363" t="n">
        <v>0</v>
      </c>
      <c r="M363" t="n">
        <v>0</v>
      </c>
      <c r="N363" t="n">
        <v>0</v>
      </c>
      <c r="O363" t="n">
        <v>0</v>
      </c>
      <c r="P363" t="n">
        <v>0</v>
      </c>
      <c r="Q363" t="n">
        <v>0</v>
      </c>
      <c r="R363" s="2" t="inlineStr"/>
    </row>
    <row r="364" ht="15" customHeight="1">
      <c r="A364" t="inlineStr">
        <is>
          <t>A 35715-2025</t>
        </is>
      </c>
      <c r="B364" s="1" t="n">
        <v>45860.42148148148</v>
      </c>
      <c r="C364" s="1" t="n">
        <v>45899</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8285-2025</t>
        </is>
      </c>
      <c r="B365" s="1" t="n">
        <v>45708</v>
      </c>
      <c r="C365" s="1" t="n">
        <v>45899</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14010-2021</t>
        </is>
      </c>
      <c r="B366" s="1" t="n">
        <v>44277.63396990741</v>
      </c>
      <c r="C366" s="1" t="n">
        <v>45899</v>
      </c>
      <c r="D366" t="inlineStr">
        <is>
          <t>VÄSTMANLANDS LÄN</t>
        </is>
      </c>
      <c r="E366" t="inlineStr">
        <is>
          <t>SALA</t>
        </is>
      </c>
      <c r="G366" t="n">
        <v>3.5</v>
      </c>
      <c r="H366" t="n">
        <v>0</v>
      </c>
      <c r="I366" t="n">
        <v>0</v>
      </c>
      <c r="J366" t="n">
        <v>0</v>
      </c>
      <c r="K366" t="n">
        <v>0</v>
      </c>
      <c r="L366" t="n">
        <v>0</v>
      </c>
      <c r="M366" t="n">
        <v>0</v>
      </c>
      <c r="N366" t="n">
        <v>0</v>
      </c>
      <c r="O366" t="n">
        <v>0</v>
      </c>
      <c r="P366" t="n">
        <v>0</v>
      </c>
      <c r="Q366" t="n">
        <v>0</v>
      </c>
      <c r="R366" s="2" t="inlineStr"/>
    </row>
    <row r="367" ht="15" customHeight="1">
      <c r="A367" t="inlineStr">
        <is>
          <t>A 35651-2025</t>
        </is>
      </c>
      <c r="B367" s="1" t="n">
        <v>45859.52435185185</v>
      </c>
      <c r="C367" s="1" t="n">
        <v>45899</v>
      </c>
      <c r="D367" t="inlineStr">
        <is>
          <t>VÄSTMANLANDS LÄN</t>
        </is>
      </c>
      <c r="E367" t="inlineStr">
        <is>
          <t>SALA</t>
        </is>
      </c>
      <c r="G367" t="n">
        <v>6.3</v>
      </c>
      <c r="H367" t="n">
        <v>0</v>
      </c>
      <c r="I367" t="n">
        <v>0</v>
      </c>
      <c r="J367" t="n">
        <v>0</v>
      </c>
      <c r="K367" t="n">
        <v>0</v>
      </c>
      <c r="L367" t="n">
        <v>0</v>
      </c>
      <c r="M367" t="n">
        <v>0</v>
      </c>
      <c r="N367" t="n">
        <v>0</v>
      </c>
      <c r="O367" t="n">
        <v>0</v>
      </c>
      <c r="P367" t="n">
        <v>0</v>
      </c>
      <c r="Q367" t="n">
        <v>0</v>
      </c>
      <c r="R367" s="2" t="inlineStr"/>
    </row>
    <row r="368" ht="15" customHeight="1">
      <c r="A368" t="inlineStr">
        <is>
          <t>A 27989-2025</t>
        </is>
      </c>
      <c r="B368" s="1" t="n">
        <v>45817.58716435185</v>
      </c>
      <c r="C368" s="1" t="n">
        <v>45899</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34814-2021</t>
        </is>
      </c>
      <c r="B369" s="1" t="n">
        <v>44383</v>
      </c>
      <c r="C369" s="1" t="n">
        <v>45899</v>
      </c>
      <c r="D369" t="inlineStr">
        <is>
          <t>VÄSTMANLANDS LÄN</t>
        </is>
      </c>
      <c r="E369" t="inlineStr">
        <is>
          <t>SALA</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28284-2025</t>
        </is>
      </c>
      <c r="B370" s="1" t="n">
        <v>45818.58893518519</v>
      </c>
      <c r="C370" s="1" t="n">
        <v>45899</v>
      </c>
      <c r="D370" t="inlineStr">
        <is>
          <t>VÄSTMANLANDS LÄN</t>
        </is>
      </c>
      <c r="E370" t="inlineStr">
        <is>
          <t>SALA</t>
        </is>
      </c>
      <c r="G370" t="n">
        <v>2.4</v>
      </c>
      <c r="H370" t="n">
        <v>0</v>
      </c>
      <c r="I370" t="n">
        <v>0</v>
      </c>
      <c r="J370" t="n">
        <v>0</v>
      </c>
      <c r="K370" t="n">
        <v>0</v>
      </c>
      <c r="L370" t="n">
        <v>0</v>
      </c>
      <c r="M370" t="n">
        <v>0</v>
      </c>
      <c r="N370" t="n">
        <v>0</v>
      </c>
      <c r="O370" t="n">
        <v>0</v>
      </c>
      <c r="P370" t="n">
        <v>0</v>
      </c>
      <c r="Q370" t="n">
        <v>0</v>
      </c>
      <c r="R370" s="2" t="inlineStr"/>
    </row>
    <row r="371" ht="15" customHeight="1">
      <c r="A371" t="inlineStr">
        <is>
          <t>A 35774-2025</t>
        </is>
      </c>
      <c r="B371" s="1" t="n">
        <v>45860.68780092592</v>
      </c>
      <c r="C371" s="1" t="n">
        <v>45899</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54118-2023</t>
        </is>
      </c>
      <c r="B372" s="1" t="n">
        <v>45232</v>
      </c>
      <c r="C372" s="1" t="n">
        <v>45899</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35462-2024</t>
        </is>
      </c>
      <c r="B373" s="1" t="n">
        <v>45531</v>
      </c>
      <c r="C373" s="1" t="n">
        <v>45899</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28632-2025</t>
        </is>
      </c>
      <c r="B374" s="1" t="n">
        <v>45819.62344907408</v>
      </c>
      <c r="C374" s="1" t="n">
        <v>45899</v>
      </c>
      <c r="D374" t="inlineStr">
        <is>
          <t>VÄSTMANLANDS LÄN</t>
        </is>
      </c>
      <c r="E374" t="inlineStr">
        <is>
          <t>SALA</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28628-2025</t>
        </is>
      </c>
      <c r="B375" s="1" t="n">
        <v>45819.62158564815</v>
      </c>
      <c r="C375" s="1" t="n">
        <v>45899</v>
      </c>
      <c r="D375" t="inlineStr">
        <is>
          <t>VÄSTMANLANDS LÄN</t>
        </is>
      </c>
      <c r="E375" t="inlineStr">
        <is>
          <t>SALA</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22019-2021</t>
        </is>
      </c>
      <c r="B376" s="1" t="n">
        <v>44323</v>
      </c>
      <c r="C376" s="1" t="n">
        <v>45899</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28630-2025</t>
        </is>
      </c>
      <c r="B377" s="1" t="n">
        <v>45819.62274305556</v>
      </c>
      <c r="C377" s="1" t="n">
        <v>45899</v>
      </c>
      <c r="D377" t="inlineStr">
        <is>
          <t>VÄSTMANLANDS LÄN</t>
        </is>
      </c>
      <c r="E377" t="inlineStr">
        <is>
          <t>SALA</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28837-2025</t>
        </is>
      </c>
      <c r="B378" s="1" t="n">
        <v>45820.56243055555</v>
      </c>
      <c r="C378" s="1" t="n">
        <v>45899</v>
      </c>
      <c r="D378" t="inlineStr">
        <is>
          <t>VÄSTMANLANDS LÄN</t>
        </is>
      </c>
      <c r="E378" t="inlineStr">
        <is>
          <t>SALA</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28849-2025</t>
        </is>
      </c>
      <c r="B379" s="1" t="n">
        <v>45820</v>
      </c>
      <c r="C379" s="1" t="n">
        <v>45899</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57404-2024</t>
        </is>
      </c>
      <c r="B380" s="1" t="n">
        <v>45629.71967592592</v>
      </c>
      <c r="C380" s="1" t="n">
        <v>45899</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36393-2023</t>
        </is>
      </c>
      <c r="B381" s="1" t="n">
        <v>45152</v>
      </c>
      <c r="C381" s="1" t="n">
        <v>45899</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45790-2023</t>
        </is>
      </c>
      <c r="B382" s="1" t="n">
        <v>45195.45958333334</v>
      </c>
      <c r="C382" s="1" t="n">
        <v>45899</v>
      </c>
      <c r="D382" t="inlineStr">
        <is>
          <t>VÄSTMANLANDS LÄN</t>
        </is>
      </c>
      <c r="E382" t="inlineStr">
        <is>
          <t>SALA</t>
        </is>
      </c>
      <c r="G382" t="n">
        <v>5.7</v>
      </c>
      <c r="H382" t="n">
        <v>0</v>
      </c>
      <c r="I382" t="n">
        <v>0</v>
      </c>
      <c r="J382" t="n">
        <v>0</v>
      </c>
      <c r="K382" t="n">
        <v>0</v>
      </c>
      <c r="L382" t="n">
        <v>0</v>
      </c>
      <c r="M382" t="n">
        <v>0</v>
      </c>
      <c r="N382" t="n">
        <v>0</v>
      </c>
      <c r="O382" t="n">
        <v>0</v>
      </c>
      <c r="P382" t="n">
        <v>0</v>
      </c>
      <c r="Q382" t="n">
        <v>0</v>
      </c>
      <c r="R382" s="2" t="inlineStr"/>
    </row>
    <row r="383" ht="15" customHeight="1">
      <c r="A383" t="inlineStr">
        <is>
          <t>A 35775-2025</t>
        </is>
      </c>
      <c r="B383" s="1" t="n">
        <v>45860</v>
      </c>
      <c r="C383" s="1" t="n">
        <v>45899</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56949-2023</t>
        </is>
      </c>
      <c r="B384" s="1" t="n">
        <v>45244.61589120371</v>
      </c>
      <c r="C384" s="1" t="n">
        <v>45899</v>
      </c>
      <c r="D384" t="inlineStr">
        <is>
          <t>VÄSTMANLANDS LÄN</t>
        </is>
      </c>
      <c r="E384" t="inlineStr">
        <is>
          <t>SALA</t>
        </is>
      </c>
      <c r="G384" t="n">
        <v>4.7</v>
      </c>
      <c r="H384" t="n">
        <v>0</v>
      </c>
      <c r="I384" t="n">
        <v>0</v>
      </c>
      <c r="J384" t="n">
        <v>0</v>
      </c>
      <c r="K384" t="n">
        <v>0</v>
      </c>
      <c r="L384" t="n">
        <v>0</v>
      </c>
      <c r="M384" t="n">
        <v>0</v>
      </c>
      <c r="N384" t="n">
        <v>0</v>
      </c>
      <c r="O384" t="n">
        <v>0</v>
      </c>
      <c r="P384" t="n">
        <v>0</v>
      </c>
      <c r="Q384" t="n">
        <v>0</v>
      </c>
      <c r="R384" s="2" t="inlineStr"/>
    </row>
    <row r="385" ht="15" customHeight="1">
      <c r="A385" t="inlineStr">
        <is>
          <t>A 29085-2025</t>
        </is>
      </c>
      <c r="B385" s="1" t="n">
        <v>45821</v>
      </c>
      <c r="C385" s="1" t="n">
        <v>45899</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36031-2025</t>
        </is>
      </c>
      <c r="B386" s="1" t="n">
        <v>45865.46111111111</v>
      </c>
      <c r="C386" s="1" t="n">
        <v>45899</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36043-2025</t>
        </is>
      </c>
      <c r="B387" s="1" t="n">
        <v>45866.35333333333</v>
      </c>
      <c r="C387" s="1" t="n">
        <v>45899</v>
      </c>
      <c r="D387" t="inlineStr">
        <is>
          <t>VÄSTMANLANDS LÄN</t>
        </is>
      </c>
      <c r="E387" t="inlineStr">
        <is>
          <t>SALA</t>
        </is>
      </c>
      <c r="F387" t="inlineStr">
        <is>
          <t>Kommuner</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36045-2025</t>
        </is>
      </c>
      <c r="B388" s="1" t="n">
        <v>45866.36200231482</v>
      </c>
      <c r="C388" s="1" t="n">
        <v>45899</v>
      </c>
      <c r="D388" t="inlineStr">
        <is>
          <t>VÄSTMANLANDS LÄN</t>
        </is>
      </c>
      <c r="E388" t="inlineStr">
        <is>
          <t>SALA</t>
        </is>
      </c>
      <c r="F388" t="inlineStr">
        <is>
          <t>Kommuner</t>
        </is>
      </c>
      <c r="G388" t="n">
        <v>1.7</v>
      </c>
      <c r="H388" t="n">
        <v>0</v>
      </c>
      <c r="I388" t="n">
        <v>0</v>
      </c>
      <c r="J388" t="n">
        <v>0</v>
      </c>
      <c r="K388" t="n">
        <v>0</v>
      </c>
      <c r="L388" t="n">
        <v>0</v>
      </c>
      <c r="M388" t="n">
        <v>0</v>
      </c>
      <c r="N388" t="n">
        <v>0</v>
      </c>
      <c r="O388" t="n">
        <v>0</v>
      </c>
      <c r="P388" t="n">
        <v>0</v>
      </c>
      <c r="Q388" t="n">
        <v>0</v>
      </c>
      <c r="R388" s="2" t="inlineStr"/>
    </row>
    <row r="389" ht="15" customHeight="1">
      <c r="A389" t="inlineStr">
        <is>
          <t>A 36032-2025</t>
        </is>
      </c>
      <c r="B389" s="1" t="n">
        <v>45865.48740740741</v>
      </c>
      <c r="C389" s="1" t="n">
        <v>45899</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21777-2022</t>
        </is>
      </c>
      <c r="B390" s="1" t="n">
        <v>44708.48194444444</v>
      </c>
      <c r="C390" s="1" t="n">
        <v>45899</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36049-2025</t>
        </is>
      </c>
      <c r="B391" s="1" t="n">
        <v>45866.37065972222</v>
      </c>
      <c r="C391" s="1" t="n">
        <v>45899</v>
      </c>
      <c r="D391" t="inlineStr">
        <is>
          <t>VÄSTMANLANDS LÄN</t>
        </is>
      </c>
      <c r="E391" t="inlineStr">
        <is>
          <t>SALA</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60541-2024</t>
        </is>
      </c>
      <c r="B392" s="1" t="n">
        <v>45643</v>
      </c>
      <c r="C392" s="1" t="n">
        <v>45899</v>
      </c>
      <c r="D392" t="inlineStr">
        <is>
          <t>VÄSTMANLANDS LÄN</t>
        </is>
      </c>
      <c r="E392" t="inlineStr">
        <is>
          <t>SALA</t>
        </is>
      </c>
      <c r="G392" t="n">
        <v>10.6</v>
      </c>
      <c r="H392" t="n">
        <v>0</v>
      </c>
      <c r="I392" t="n">
        <v>0</v>
      </c>
      <c r="J392" t="n">
        <v>0</v>
      </c>
      <c r="K392" t="n">
        <v>0</v>
      </c>
      <c r="L392" t="n">
        <v>0</v>
      </c>
      <c r="M392" t="n">
        <v>0</v>
      </c>
      <c r="N392" t="n">
        <v>0</v>
      </c>
      <c r="O392" t="n">
        <v>0</v>
      </c>
      <c r="P392" t="n">
        <v>0</v>
      </c>
      <c r="Q392" t="n">
        <v>0</v>
      </c>
      <c r="R392" s="2" t="inlineStr"/>
    </row>
    <row r="393" ht="15" customHeight="1">
      <c r="A393" t="inlineStr">
        <is>
          <t>A 40214-2023</t>
        </is>
      </c>
      <c r="B393" s="1" t="n">
        <v>45169.45173611111</v>
      </c>
      <c r="C393" s="1" t="n">
        <v>45899</v>
      </c>
      <c r="D393" t="inlineStr">
        <is>
          <t>VÄSTMANLANDS LÄN</t>
        </is>
      </c>
      <c r="E393" t="inlineStr">
        <is>
          <t>SALA</t>
        </is>
      </c>
      <c r="G393" t="n">
        <v>5.5</v>
      </c>
      <c r="H393" t="n">
        <v>0</v>
      </c>
      <c r="I393" t="n">
        <v>0</v>
      </c>
      <c r="J393" t="n">
        <v>0</v>
      </c>
      <c r="K393" t="n">
        <v>0</v>
      </c>
      <c r="L393" t="n">
        <v>0</v>
      </c>
      <c r="M393" t="n">
        <v>0</v>
      </c>
      <c r="N393" t="n">
        <v>0</v>
      </c>
      <c r="O393" t="n">
        <v>0</v>
      </c>
      <c r="P393" t="n">
        <v>0</v>
      </c>
      <c r="Q393" t="n">
        <v>0</v>
      </c>
      <c r="R393" s="2" t="inlineStr"/>
    </row>
    <row r="394" ht="15" customHeight="1">
      <c r="A394" t="inlineStr">
        <is>
          <t>A 17866-2025</t>
        </is>
      </c>
      <c r="B394" s="1" t="n">
        <v>45758</v>
      </c>
      <c r="C394" s="1" t="n">
        <v>45899</v>
      </c>
      <c r="D394" t="inlineStr">
        <is>
          <t>VÄSTMANLANDS LÄN</t>
        </is>
      </c>
      <c r="E394" t="inlineStr">
        <is>
          <t>SALA</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36060-2025</t>
        </is>
      </c>
      <c r="B395" s="1" t="n">
        <v>45866.39469907407</v>
      </c>
      <c r="C395" s="1" t="n">
        <v>45899</v>
      </c>
      <c r="D395" t="inlineStr">
        <is>
          <t>VÄSTMANLANDS LÄN</t>
        </is>
      </c>
      <c r="E395" t="inlineStr">
        <is>
          <t>SALA</t>
        </is>
      </c>
      <c r="F395" t="inlineStr">
        <is>
          <t>Kommuner</t>
        </is>
      </c>
      <c r="G395" t="n">
        <v>4.3</v>
      </c>
      <c r="H395" t="n">
        <v>0</v>
      </c>
      <c r="I395" t="n">
        <v>0</v>
      </c>
      <c r="J395" t="n">
        <v>0</v>
      </c>
      <c r="K395" t="n">
        <v>0</v>
      </c>
      <c r="L395" t="n">
        <v>0</v>
      </c>
      <c r="M395" t="n">
        <v>0</v>
      </c>
      <c r="N395" t="n">
        <v>0</v>
      </c>
      <c r="O395" t="n">
        <v>0</v>
      </c>
      <c r="P395" t="n">
        <v>0</v>
      </c>
      <c r="Q395" t="n">
        <v>0</v>
      </c>
      <c r="R395" s="2" t="inlineStr"/>
    </row>
    <row r="396" ht="15" customHeight="1">
      <c r="A396" t="inlineStr">
        <is>
          <t>A 29826-2025</t>
        </is>
      </c>
      <c r="B396" s="1" t="n">
        <v>45825.85761574074</v>
      </c>
      <c r="C396" s="1" t="n">
        <v>45899</v>
      </c>
      <c r="D396" t="inlineStr">
        <is>
          <t>VÄSTMANLANDS LÄN</t>
        </is>
      </c>
      <c r="E396" t="inlineStr">
        <is>
          <t>SALA</t>
        </is>
      </c>
      <c r="G396" t="n">
        <v>1.9</v>
      </c>
      <c r="H396" t="n">
        <v>0</v>
      </c>
      <c r="I396" t="n">
        <v>0</v>
      </c>
      <c r="J396" t="n">
        <v>0</v>
      </c>
      <c r="K396" t="n">
        <v>0</v>
      </c>
      <c r="L396" t="n">
        <v>0</v>
      </c>
      <c r="M396" t="n">
        <v>0</v>
      </c>
      <c r="N396" t="n">
        <v>0</v>
      </c>
      <c r="O396" t="n">
        <v>0</v>
      </c>
      <c r="P396" t="n">
        <v>0</v>
      </c>
      <c r="Q396" t="n">
        <v>0</v>
      </c>
      <c r="R396" s="2" t="inlineStr"/>
    </row>
    <row r="397" ht="15" customHeight="1">
      <c r="A397" t="inlineStr">
        <is>
          <t>A 33732-2023</t>
        </is>
      </c>
      <c r="B397" s="1" t="n">
        <v>45133.32409722222</v>
      </c>
      <c r="C397" s="1" t="n">
        <v>45899</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35016-2024</t>
        </is>
      </c>
      <c r="B398" s="1" t="n">
        <v>45527.59115740741</v>
      </c>
      <c r="C398" s="1" t="n">
        <v>45899</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7166-2025</t>
        </is>
      </c>
      <c r="B399" s="1" t="n">
        <v>45702</v>
      </c>
      <c r="C399" s="1" t="n">
        <v>45899</v>
      </c>
      <c r="D399" t="inlineStr">
        <is>
          <t>VÄSTMANLANDS LÄN</t>
        </is>
      </c>
      <c r="E399" t="inlineStr">
        <is>
          <t>SALA</t>
        </is>
      </c>
      <c r="G399" t="n">
        <v>6.1</v>
      </c>
      <c r="H399" t="n">
        <v>0</v>
      </c>
      <c r="I399" t="n">
        <v>0</v>
      </c>
      <c r="J399" t="n">
        <v>0</v>
      </c>
      <c r="K399" t="n">
        <v>0</v>
      </c>
      <c r="L399" t="n">
        <v>0</v>
      </c>
      <c r="M399" t="n">
        <v>0</v>
      </c>
      <c r="N399" t="n">
        <v>0</v>
      </c>
      <c r="O399" t="n">
        <v>0</v>
      </c>
      <c r="P399" t="n">
        <v>0</v>
      </c>
      <c r="Q399" t="n">
        <v>0</v>
      </c>
      <c r="R399" s="2" t="inlineStr"/>
    </row>
    <row r="400" ht="15" customHeight="1">
      <c r="A400" t="inlineStr">
        <is>
          <t>A 37612-2024</t>
        </is>
      </c>
      <c r="B400" s="1" t="n">
        <v>45541</v>
      </c>
      <c r="C400" s="1" t="n">
        <v>45899</v>
      </c>
      <c r="D400" t="inlineStr">
        <is>
          <t>VÄSTMANLANDS LÄN</t>
        </is>
      </c>
      <c r="E400" t="inlineStr">
        <is>
          <t>SALA</t>
        </is>
      </c>
      <c r="G400" t="n">
        <v>2.2</v>
      </c>
      <c r="H400" t="n">
        <v>0</v>
      </c>
      <c r="I400" t="n">
        <v>0</v>
      </c>
      <c r="J400" t="n">
        <v>0</v>
      </c>
      <c r="K400" t="n">
        <v>0</v>
      </c>
      <c r="L400" t="n">
        <v>0</v>
      </c>
      <c r="M400" t="n">
        <v>0</v>
      </c>
      <c r="N400" t="n">
        <v>0</v>
      </c>
      <c r="O400" t="n">
        <v>0</v>
      </c>
      <c r="P400" t="n">
        <v>0</v>
      </c>
      <c r="Q400" t="n">
        <v>0</v>
      </c>
      <c r="R400" s="2" t="inlineStr"/>
    </row>
    <row r="401" ht="15" customHeight="1">
      <c r="A401" t="inlineStr">
        <is>
          <t>A 37615-2024</t>
        </is>
      </c>
      <c r="B401" s="1" t="n">
        <v>45541.50673611111</v>
      </c>
      <c r="C401" s="1" t="n">
        <v>45899</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5728-2022</t>
        </is>
      </c>
      <c r="B402" s="1" t="n">
        <v>44596.42082175926</v>
      </c>
      <c r="C402" s="1" t="n">
        <v>45899</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44857-2023</t>
        </is>
      </c>
      <c r="B403" s="1" t="n">
        <v>45190.58479166667</v>
      </c>
      <c r="C403" s="1" t="n">
        <v>45899</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46352-2023</t>
        </is>
      </c>
      <c r="B404" s="1" t="n">
        <v>45192</v>
      </c>
      <c r="C404" s="1" t="n">
        <v>45899</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7681-2021</t>
        </is>
      </c>
      <c r="B405" s="1" t="n">
        <v>44242</v>
      </c>
      <c r="C405" s="1" t="n">
        <v>45899</v>
      </c>
      <c r="D405" t="inlineStr">
        <is>
          <t>VÄSTMANLANDS LÄN</t>
        </is>
      </c>
      <c r="E405" t="inlineStr">
        <is>
          <t>SALA</t>
        </is>
      </c>
      <c r="F405" t="inlineStr">
        <is>
          <t>Sveaskog</t>
        </is>
      </c>
      <c r="G405" t="n">
        <v>16.1</v>
      </c>
      <c r="H405" t="n">
        <v>0</v>
      </c>
      <c r="I405" t="n">
        <v>0</v>
      </c>
      <c r="J405" t="n">
        <v>0</v>
      </c>
      <c r="K405" t="n">
        <v>0</v>
      </c>
      <c r="L405" t="n">
        <v>0</v>
      </c>
      <c r="M405" t="n">
        <v>0</v>
      </c>
      <c r="N405" t="n">
        <v>0</v>
      </c>
      <c r="O405" t="n">
        <v>0</v>
      </c>
      <c r="P405" t="n">
        <v>0</v>
      </c>
      <c r="Q405" t="n">
        <v>0</v>
      </c>
      <c r="R405" s="2" t="inlineStr"/>
    </row>
    <row r="406" ht="15" customHeight="1">
      <c r="A406" t="inlineStr">
        <is>
          <t>A 29691-2025</t>
        </is>
      </c>
      <c r="B406" s="1" t="n">
        <v>45825.53645833334</v>
      </c>
      <c r="C406" s="1" t="n">
        <v>45899</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43359-2024</t>
        </is>
      </c>
      <c r="B407" s="1" t="n">
        <v>45568.57724537037</v>
      </c>
      <c r="C407" s="1" t="n">
        <v>45899</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29972-2025</t>
        </is>
      </c>
      <c r="B408" s="1" t="n">
        <v>45826</v>
      </c>
      <c r="C408" s="1" t="n">
        <v>45899</v>
      </c>
      <c r="D408" t="inlineStr">
        <is>
          <t>VÄSTMANLANDS LÄN</t>
        </is>
      </c>
      <c r="E408" t="inlineStr">
        <is>
          <t>SALA</t>
        </is>
      </c>
      <c r="G408" t="n">
        <v>2.7</v>
      </c>
      <c r="H408" t="n">
        <v>0</v>
      </c>
      <c r="I408" t="n">
        <v>0</v>
      </c>
      <c r="J408" t="n">
        <v>0</v>
      </c>
      <c r="K408" t="n">
        <v>0</v>
      </c>
      <c r="L408" t="n">
        <v>0</v>
      </c>
      <c r="M408" t="n">
        <v>0</v>
      </c>
      <c r="N408" t="n">
        <v>0</v>
      </c>
      <c r="O408" t="n">
        <v>0</v>
      </c>
      <c r="P408" t="n">
        <v>0</v>
      </c>
      <c r="Q408" t="n">
        <v>0</v>
      </c>
      <c r="R408" s="2" t="inlineStr"/>
    </row>
    <row r="409" ht="15" customHeight="1">
      <c r="A409" t="inlineStr">
        <is>
          <t>A 22397-2022</t>
        </is>
      </c>
      <c r="B409" s="1" t="n">
        <v>44713</v>
      </c>
      <c r="C409" s="1" t="n">
        <v>45899</v>
      </c>
      <c r="D409" t="inlineStr">
        <is>
          <t>VÄSTMANLANDS LÄN</t>
        </is>
      </c>
      <c r="E409" t="inlineStr">
        <is>
          <t>SALA</t>
        </is>
      </c>
      <c r="G409" t="n">
        <v>2.1</v>
      </c>
      <c r="H409" t="n">
        <v>0</v>
      </c>
      <c r="I409" t="n">
        <v>0</v>
      </c>
      <c r="J409" t="n">
        <v>0</v>
      </c>
      <c r="K409" t="n">
        <v>0</v>
      </c>
      <c r="L409" t="n">
        <v>0</v>
      </c>
      <c r="M409" t="n">
        <v>0</v>
      </c>
      <c r="N409" t="n">
        <v>0</v>
      </c>
      <c r="O409" t="n">
        <v>0</v>
      </c>
      <c r="P409" t="n">
        <v>0</v>
      </c>
      <c r="Q409" t="n">
        <v>0</v>
      </c>
      <c r="R409" s="2" t="inlineStr"/>
    </row>
    <row r="410" ht="15" customHeight="1">
      <c r="A410" t="inlineStr">
        <is>
          <t>A 27424-2023</t>
        </is>
      </c>
      <c r="B410" s="1" t="n">
        <v>45097.37690972222</v>
      </c>
      <c r="C410" s="1" t="n">
        <v>45899</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19751-2022</t>
        </is>
      </c>
      <c r="B411" s="1" t="n">
        <v>44694</v>
      </c>
      <c r="C411" s="1" t="n">
        <v>45899</v>
      </c>
      <c r="D411" t="inlineStr">
        <is>
          <t>VÄSTMANLANDS LÄN</t>
        </is>
      </c>
      <c r="E411" t="inlineStr">
        <is>
          <t>SALA</t>
        </is>
      </c>
      <c r="G411" t="n">
        <v>2.7</v>
      </c>
      <c r="H411" t="n">
        <v>0</v>
      </c>
      <c r="I411" t="n">
        <v>0</v>
      </c>
      <c r="J411" t="n">
        <v>0</v>
      </c>
      <c r="K411" t="n">
        <v>0</v>
      </c>
      <c r="L411" t="n">
        <v>0</v>
      </c>
      <c r="M411" t="n">
        <v>0</v>
      </c>
      <c r="N411" t="n">
        <v>0</v>
      </c>
      <c r="O411" t="n">
        <v>0</v>
      </c>
      <c r="P411" t="n">
        <v>0</v>
      </c>
      <c r="Q411" t="n">
        <v>0</v>
      </c>
      <c r="R411" s="2" t="inlineStr"/>
    </row>
    <row r="412" ht="15" customHeight="1">
      <c r="A412" t="inlineStr">
        <is>
          <t>A 7469-2025</t>
        </is>
      </c>
      <c r="B412" s="1" t="n">
        <v>45705</v>
      </c>
      <c r="C412" s="1" t="n">
        <v>45899</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6691-2025</t>
        </is>
      </c>
      <c r="B413" s="1" t="n">
        <v>45700.50625</v>
      </c>
      <c r="C413" s="1" t="n">
        <v>45899</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60036-2024</t>
        </is>
      </c>
      <c r="B414" s="1" t="n">
        <v>45642.46434027778</v>
      </c>
      <c r="C414" s="1" t="n">
        <v>45899</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46279-2021</t>
        </is>
      </c>
      <c r="B415" s="1" t="n">
        <v>44442.57797453704</v>
      </c>
      <c r="C415" s="1" t="n">
        <v>45899</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6312-2025</t>
        </is>
      </c>
      <c r="B416" s="1" t="n">
        <v>45698</v>
      </c>
      <c r="C416" s="1" t="n">
        <v>45899</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30874-2025</t>
        </is>
      </c>
      <c r="B417" s="1" t="n">
        <v>45832.34430555555</v>
      </c>
      <c r="C417" s="1" t="n">
        <v>45899</v>
      </c>
      <c r="D417" t="inlineStr">
        <is>
          <t>VÄSTMANLANDS LÄN</t>
        </is>
      </c>
      <c r="E417" t="inlineStr">
        <is>
          <t>SALA</t>
        </is>
      </c>
      <c r="G417" t="n">
        <v>8.4</v>
      </c>
      <c r="H417" t="n">
        <v>0</v>
      </c>
      <c r="I417" t="n">
        <v>0</v>
      </c>
      <c r="J417" t="n">
        <v>0</v>
      </c>
      <c r="K417" t="n">
        <v>0</v>
      </c>
      <c r="L417" t="n">
        <v>0</v>
      </c>
      <c r="M417" t="n">
        <v>0</v>
      </c>
      <c r="N417" t="n">
        <v>0</v>
      </c>
      <c r="O417" t="n">
        <v>0</v>
      </c>
      <c r="P417" t="n">
        <v>0</v>
      </c>
      <c r="Q417" t="n">
        <v>0</v>
      </c>
      <c r="R417" s="2" t="inlineStr"/>
    </row>
    <row r="418" ht="15" customHeight="1">
      <c r="A418" t="inlineStr">
        <is>
          <t>A 55035-2023</t>
        </is>
      </c>
      <c r="B418" s="1" t="n">
        <v>45229</v>
      </c>
      <c r="C418" s="1" t="n">
        <v>45899</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4736-2021</t>
        </is>
      </c>
      <c r="B419" s="1" t="n">
        <v>44225</v>
      </c>
      <c r="C419" s="1" t="n">
        <v>45899</v>
      </c>
      <c r="D419" t="inlineStr">
        <is>
          <t>VÄSTMANLANDS LÄN</t>
        </is>
      </c>
      <c r="E419" t="inlineStr">
        <is>
          <t>SALA</t>
        </is>
      </c>
      <c r="G419" t="n">
        <v>4.2</v>
      </c>
      <c r="H419" t="n">
        <v>0</v>
      </c>
      <c r="I419" t="n">
        <v>0</v>
      </c>
      <c r="J419" t="n">
        <v>0</v>
      </c>
      <c r="K419" t="n">
        <v>0</v>
      </c>
      <c r="L419" t="n">
        <v>0</v>
      </c>
      <c r="M419" t="n">
        <v>0</v>
      </c>
      <c r="N419" t="n">
        <v>0</v>
      </c>
      <c r="O419" t="n">
        <v>0</v>
      </c>
      <c r="P419" t="n">
        <v>0</v>
      </c>
      <c r="Q419" t="n">
        <v>0</v>
      </c>
      <c r="R419" s="2" t="inlineStr"/>
    </row>
    <row r="420" ht="15" customHeight="1">
      <c r="A420" t="inlineStr">
        <is>
          <t>A 37017-2025</t>
        </is>
      </c>
      <c r="B420" s="1" t="n">
        <v>45874</v>
      </c>
      <c r="C420" s="1" t="n">
        <v>45899</v>
      </c>
      <c r="D420" t="inlineStr">
        <is>
          <t>VÄSTMANLANDS LÄN</t>
        </is>
      </c>
      <c r="E420" t="inlineStr">
        <is>
          <t>SALA</t>
        </is>
      </c>
      <c r="G420" t="n">
        <v>11.1</v>
      </c>
      <c r="H420" t="n">
        <v>0</v>
      </c>
      <c r="I420" t="n">
        <v>0</v>
      </c>
      <c r="J420" t="n">
        <v>0</v>
      </c>
      <c r="K420" t="n">
        <v>0</v>
      </c>
      <c r="L420" t="n">
        <v>0</v>
      </c>
      <c r="M420" t="n">
        <v>0</v>
      </c>
      <c r="N420" t="n">
        <v>0</v>
      </c>
      <c r="O420" t="n">
        <v>0</v>
      </c>
      <c r="P420" t="n">
        <v>0</v>
      </c>
      <c r="Q420" t="n">
        <v>0</v>
      </c>
      <c r="R420" s="2" t="inlineStr"/>
    </row>
    <row r="421" ht="15" customHeight="1">
      <c r="A421" t="inlineStr">
        <is>
          <t>A 30899-2025</t>
        </is>
      </c>
      <c r="B421" s="1" t="n">
        <v>45832.35767361111</v>
      </c>
      <c r="C421" s="1" t="n">
        <v>45899</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30866-2025</t>
        </is>
      </c>
      <c r="B422" s="1" t="n">
        <v>45832.3246875</v>
      </c>
      <c r="C422" s="1" t="n">
        <v>45899</v>
      </c>
      <c r="D422" t="inlineStr">
        <is>
          <t>VÄSTMANLANDS LÄN</t>
        </is>
      </c>
      <c r="E422" t="inlineStr">
        <is>
          <t>SALA</t>
        </is>
      </c>
      <c r="G422" t="n">
        <v>14.3</v>
      </c>
      <c r="H422" t="n">
        <v>0</v>
      </c>
      <c r="I422" t="n">
        <v>0</v>
      </c>
      <c r="J422" t="n">
        <v>0</v>
      </c>
      <c r="K422" t="n">
        <v>0</v>
      </c>
      <c r="L422" t="n">
        <v>0</v>
      </c>
      <c r="M422" t="n">
        <v>0</v>
      </c>
      <c r="N422" t="n">
        <v>0</v>
      </c>
      <c r="O422" t="n">
        <v>0</v>
      </c>
      <c r="P422" t="n">
        <v>0</v>
      </c>
      <c r="Q422" t="n">
        <v>0</v>
      </c>
      <c r="R422" s="2" t="inlineStr"/>
    </row>
    <row r="423" ht="15" customHeight="1">
      <c r="A423" t="inlineStr">
        <is>
          <t>A 43188-2023</t>
        </is>
      </c>
      <c r="B423" s="1" t="n">
        <v>45183</v>
      </c>
      <c r="C423" s="1" t="n">
        <v>45899</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43205-2023</t>
        </is>
      </c>
      <c r="B424" s="1" t="n">
        <v>45183</v>
      </c>
      <c r="C424" s="1" t="n">
        <v>45899</v>
      </c>
      <c r="D424" t="inlineStr">
        <is>
          <t>VÄSTMANLANDS LÄN</t>
        </is>
      </c>
      <c r="E424" t="inlineStr">
        <is>
          <t>SALA</t>
        </is>
      </c>
      <c r="G424" t="n">
        <v>2.1</v>
      </c>
      <c r="H424" t="n">
        <v>0</v>
      </c>
      <c r="I424" t="n">
        <v>0</v>
      </c>
      <c r="J424" t="n">
        <v>0</v>
      </c>
      <c r="K424" t="n">
        <v>0</v>
      </c>
      <c r="L424" t="n">
        <v>0</v>
      </c>
      <c r="M424" t="n">
        <v>0</v>
      </c>
      <c r="N424" t="n">
        <v>0</v>
      </c>
      <c r="O424" t="n">
        <v>0</v>
      </c>
      <c r="P424" t="n">
        <v>0</v>
      </c>
      <c r="Q424" t="n">
        <v>0</v>
      </c>
      <c r="R424" s="2" t="inlineStr"/>
    </row>
    <row r="425" ht="15" customHeight="1">
      <c r="A425" t="inlineStr">
        <is>
          <t>A 31065-2025</t>
        </is>
      </c>
      <c r="B425" s="1" t="n">
        <v>45832.57571759259</v>
      </c>
      <c r="C425" s="1" t="n">
        <v>45899</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28827-2022</t>
        </is>
      </c>
      <c r="B426" s="1" t="n">
        <v>44749.45561342593</v>
      </c>
      <c r="C426" s="1" t="n">
        <v>45899</v>
      </c>
      <c r="D426" t="inlineStr">
        <is>
          <t>VÄSTMANLANDS LÄN</t>
        </is>
      </c>
      <c r="E426" t="inlineStr">
        <is>
          <t>SALA</t>
        </is>
      </c>
      <c r="F426" t="inlineStr">
        <is>
          <t>Kommuner</t>
        </is>
      </c>
      <c r="G426" t="n">
        <v>11.9</v>
      </c>
      <c r="H426" t="n">
        <v>0</v>
      </c>
      <c r="I426" t="n">
        <v>0</v>
      </c>
      <c r="J426" t="n">
        <v>0</v>
      </c>
      <c r="K426" t="n">
        <v>0</v>
      </c>
      <c r="L426" t="n">
        <v>0</v>
      </c>
      <c r="M426" t="n">
        <v>0</v>
      </c>
      <c r="N426" t="n">
        <v>0</v>
      </c>
      <c r="O426" t="n">
        <v>0</v>
      </c>
      <c r="P426" t="n">
        <v>0</v>
      </c>
      <c r="Q426" t="n">
        <v>0</v>
      </c>
      <c r="R426" s="2" t="inlineStr"/>
    </row>
    <row r="427" ht="15" customHeight="1">
      <c r="A427" t="inlineStr">
        <is>
          <t>A 52500-2024</t>
        </is>
      </c>
      <c r="B427" s="1" t="n">
        <v>45609</v>
      </c>
      <c r="C427" s="1" t="n">
        <v>45899</v>
      </c>
      <c r="D427" t="inlineStr">
        <is>
          <t>VÄSTMANLANDS LÄN</t>
        </is>
      </c>
      <c r="E427" t="inlineStr">
        <is>
          <t>SALA</t>
        </is>
      </c>
      <c r="G427" t="n">
        <v>1.3</v>
      </c>
      <c r="H427" t="n">
        <v>0</v>
      </c>
      <c r="I427" t="n">
        <v>0</v>
      </c>
      <c r="J427" t="n">
        <v>0</v>
      </c>
      <c r="K427" t="n">
        <v>0</v>
      </c>
      <c r="L427" t="n">
        <v>0</v>
      </c>
      <c r="M427" t="n">
        <v>0</v>
      </c>
      <c r="N427" t="n">
        <v>0</v>
      </c>
      <c r="O427" t="n">
        <v>0</v>
      </c>
      <c r="P427" t="n">
        <v>0</v>
      </c>
      <c r="Q427" t="n">
        <v>0</v>
      </c>
      <c r="R427" s="2" t="inlineStr"/>
    </row>
    <row r="428" ht="15" customHeight="1">
      <c r="A428" t="inlineStr">
        <is>
          <t>A 15756-2025</t>
        </is>
      </c>
      <c r="B428" s="1" t="n">
        <v>45748.56810185185</v>
      </c>
      <c r="C428" s="1" t="n">
        <v>45899</v>
      </c>
      <c r="D428" t="inlineStr">
        <is>
          <t>VÄSTMANLANDS LÄN</t>
        </is>
      </c>
      <c r="E428" t="inlineStr">
        <is>
          <t>SALA</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19243-2025</t>
        </is>
      </c>
      <c r="B429" s="1" t="n">
        <v>45769</v>
      </c>
      <c r="C429" s="1" t="n">
        <v>45899</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31612-2025</t>
        </is>
      </c>
      <c r="B430" s="1" t="n">
        <v>45833.80056712963</v>
      </c>
      <c r="C430" s="1" t="n">
        <v>45899</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59297-2023</t>
        </is>
      </c>
      <c r="B431" s="1" t="n">
        <v>45253</v>
      </c>
      <c r="C431" s="1" t="n">
        <v>45899</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31748-2025</t>
        </is>
      </c>
      <c r="B432" s="1" t="n">
        <v>45834</v>
      </c>
      <c r="C432" s="1" t="n">
        <v>45899</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31288-2025</t>
        </is>
      </c>
      <c r="B433" s="1" t="n">
        <v>45833</v>
      </c>
      <c r="C433" s="1" t="n">
        <v>45899</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7950-2025</t>
        </is>
      </c>
      <c r="B434" s="1" t="n">
        <v>45707.41799768519</v>
      </c>
      <c r="C434" s="1" t="n">
        <v>45899</v>
      </c>
      <c r="D434" t="inlineStr">
        <is>
          <t>VÄSTMANLANDS LÄN</t>
        </is>
      </c>
      <c r="E434" t="inlineStr">
        <is>
          <t>SALA</t>
        </is>
      </c>
      <c r="G434" t="n">
        <v>3.2</v>
      </c>
      <c r="H434" t="n">
        <v>0</v>
      </c>
      <c r="I434" t="n">
        <v>0</v>
      </c>
      <c r="J434" t="n">
        <v>0</v>
      </c>
      <c r="K434" t="n">
        <v>0</v>
      </c>
      <c r="L434" t="n">
        <v>0</v>
      </c>
      <c r="M434" t="n">
        <v>0</v>
      </c>
      <c r="N434" t="n">
        <v>0</v>
      </c>
      <c r="O434" t="n">
        <v>0</v>
      </c>
      <c r="P434" t="n">
        <v>0</v>
      </c>
      <c r="Q434" t="n">
        <v>0</v>
      </c>
      <c r="R434" s="2" t="inlineStr"/>
    </row>
    <row r="435" ht="15" customHeight="1">
      <c r="A435" t="inlineStr">
        <is>
          <t>A 6136-2025</t>
        </is>
      </c>
      <c r="B435" s="1" t="n">
        <v>45698.37601851852</v>
      </c>
      <c r="C435" s="1" t="n">
        <v>45899</v>
      </c>
      <c r="D435" t="inlineStr">
        <is>
          <t>VÄSTMANLANDS LÄN</t>
        </is>
      </c>
      <c r="E435" t="inlineStr">
        <is>
          <t>SALA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6190-2025</t>
        </is>
      </c>
      <c r="B436" s="1" t="n">
        <v>45698</v>
      </c>
      <c r="C436" s="1" t="n">
        <v>45899</v>
      </c>
      <c r="D436" t="inlineStr">
        <is>
          <t>VÄSTMANLANDS LÄN</t>
        </is>
      </c>
      <c r="E436" t="inlineStr">
        <is>
          <t>SALA</t>
        </is>
      </c>
      <c r="F436" t="inlineStr">
        <is>
          <t>Bergvik skog öst AB</t>
        </is>
      </c>
      <c r="G436" t="n">
        <v>4.6</v>
      </c>
      <c r="H436" t="n">
        <v>0</v>
      </c>
      <c r="I436" t="n">
        <v>0</v>
      </c>
      <c r="J436" t="n">
        <v>0</v>
      </c>
      <c r="K436" t="n">
        <v>0</v>
      </c>
      <c r="L436" t="n">
        <v>0</v>
      </c>
      <c r="M436" t="n">
        <v>0</v>
      </c>
      <c r="N436" t="n">
        <v>0</v>
      </c>
      <c r="O436" t="n">
        <v>0</v>
      </c>
      <c r="P436" t="n">
        <v>0</v>
      </c>
      <c r="Q436" t="n">
        <v>0</v>
      </c>
      <c r="R436" s="2" t="inlineStr"/>
    </row>
    <row r="437" ht="15" customHeight="1">
      <c r="A437" t="inlineStr">
        <is>
          <t>A 31771-2025</t>
        </is>
      </c>
      <c r="B437" s="1" t="n">
        <v>45834.50910879629</v>
      </c>
      <c r="C437" s="1" t="n">
        <v>45899</v>
      </c>
      <c r="D437" t="inlineStr">
        <is>
          <t>VÄSTMANLANDS LÄN</t>
        </is>
      </c>
      <c r="E437" t="inlineStr">
        <is>
          <t>SALA</t>
        </is>
      </c>
      <c r="G437" t="n">
        <v>5.1</v>
      </c>
      <c r="H437" t="n">
        <v>0</v>
      </c>
      <c r="I437" t="n">
        <v>0</v>
      </c>
      <c r="J437" t="n">
        <v>0</v>
      </c>
      <c r="K437" t="n">
        <v>0</v>
      </c>
      <c r="L437" t="n">
        <v>0</v>
      </c>
      <c r="M437" t="n">
        <v>0</v>
      </c>
      <c r="N437" t="n">
        <v>0</v>
      </c>
      <c r="O437" t="n">
        <v>0</v>
      </c>
      <c r="P437" t="n">
        <v>0</v>
      </c>
      <c r="Q437" t="n">
        <v>0</v>
      </c>
      <c r="R437" s="2" t="inlineStr"/>
    </row>
    <row r="438" ht="15" customHeight="1">
      <c r="A438" t="inlineStr">
        <is>
          <t>A 10812-2021</t>
        </is>
      </c>
      <c r="B438" s="1" t="n">
        <v>44259</v>
      </c>
      <c r="C438" s="1" t="n">
        <v>45899</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10154-2021</t>
        </is>
      </c>
      <c r="B439" s="1" t="n">
        <v>44256</v>
      </c>
      <c r="C439" s="1" t="n">
        <v>45899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31860-2025</t>
        </is>
      </c>
      <c r="B440" s="1" t="n">
        <v>45834</v>
      </c>
      <c r="C440" s="1" t="n">
        <v>45899</v>
      </c>
      <c r="D440" t="inlineStr">
        <is>
          <t>VÄSTMANLANDS LÄN</t>
        </is>
      </c>
      <c r="E440" t="inlineStr">
        <is>
          <t>SALA</t>
        </is>
      </c>
      <c r="G440" t="n">
        <v>7.4</v>
      </c>
      <c r="H440" t="n">
        <v>0</v>
      </c>
      <c r="I440" t="n">
        <v>0</v>
      </c>
      <c r="J440" t="n">
        <v>0</v>
      </c>
      <c r="K440" t="n">
        <v>0</v>
      </c>
      <c r="L440" t="n">
        <v>0</v>
      </c>
      <c r="M440" t="n">
        <v>0</v>
      </c>
      <c r="N440" t="n">
        <v>0</v>
      </c>
      <c r="O440" t="n">
        <v>0</v>
      </c>
      <c r="P440" t="n">
        <v>0</v>
      </c>
      <c r="Q440" t="n">
        <v>0</v>
      </c>
      <c r="R440" s="2" t="inlineStr"/>
    </row>
    <row r="441" ht="15" customHeight="1">
      <c r="A441" t="inlineStr">
        <is>
          <t>A 31864-2025</t>
        </is>
      </c>
      <c r="B441" s="1" t="n">
        <v>45834.63819444444</v>
      </c>
      <c r="C441" s="1" t="n">
        <v>45899</v>
      </c>
      <c r="D441" t="inlineStr">
        <is>
          <t>VÄSTMANLANDS LÄN</t>
        </is>
      </c>
      <c r="E441" t="inlineStr">
        <is>
          <t>SALA</t>
        </is>
      </c>
      <c r="G441" t="n">
        <v>6.3</v>
      </c>
      <c r="H441" t="n">
        <v>0</v>
      </c>
      <c r="I441" t="n">
        <v>0</v>
      </c>
      <c r="J441" t="n">
        <v>0</v>
      </c>
      <c r="K441" t="n">
        <v>0</v>
      </c>
      <c r="L441" t="n">
        <v>0</v>
      </c>
      <c r="M441" t="n">
        <v>0</v>
      </c>
      <c r="N441" t="n">
        <v>0</v>
      </c>
      <c r="O441" t="n">
        <v>0</v>
      </c>
      <c r="P441" t="n">
        <v>0</v>
      </c>
      <c r="Q441" t="n">
        <v>0</v>
      </c>
      <c r="R441" s="2" t="inlineStr"/>
    </row>
    <row r="442" ht="15" customHeight="1">
      <c r="A442" t="inlineStr">
        <is>
          <t>A 28863-2022</t>
        </is>
      </c>
      <c r="B442" s="1" t="n">
        <v>44749.50649305555</v>
      </c>
      <c r="C442" s="1" t="n">
        <v>45899</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37263-2025</t>
        </is>
      </c>
      <c r="B443" s="1" t="n">
        <v>45876.4584837963</v>
      </c>
      <c r="C443" s="1" t="n">
        <v>45899</v>
      </c>
      <c r="D443" t="inlineStr">
        <is>
          <t>VÄSTMANLANDS LÄN</t>
        </is>
      </c>
      <c r="E443" t="inlineStr">
        <is>
          <t>SALA</t>
        </is>
      </c>
      <c r="G443" t="n">
        <v>2.3</v>
      </c>
      <c r="H443" t="n">
        <v>0</v>
      </c>
      <c r="I443" t="n">
        <v>0</v>
      </c>
      <c r="J443" t="n">
        <v>0</v>
      </c>
      <c r="K443" t="n">
        <v>0</v>
      </c>
      <c r="L443" t="n">
        <v>0</v>
      </c>
      <c r="M443" t="n">
        <v>0</v>
      </c>
      <c r="N443" t="n">
        <v>0</v>
      </c>
      <c r="O443" t="n">
        <v>0</v>
      </c>
      <c r="P443" t="n">
        <v>0</v>
      </c>
      <c r="Q443" t="n">
        <v>0</v>
      </c>
      <c r="R443" s="2" t="inlineStr"/>
    </row>
    <row r="444" ht="15" customHeight="1">
      <c r="A444" t="inlineStr">
        <is>
          <t>A 25541-2024</t>
        </is>
      </c>
      <c r="B444" s="1" t="n">
        <v>45463.56337962963</v>
      </c>
      <c r="C444" s="1" t="n">
        <v>45899</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16328-2025</t>
        </is>
      </c>
      <c r="B445" s="1" t="n">
        <v>45751</v>
      </c>
      <c r="C445" s="1" t="n">
        <v>45899</v>
      </c>
      <c r="D445" t="inlineStr">
        <is>
          <t>VÄSTMANLANDS LÄN</t>
        </is>
      </c>
      <c r="E445" t="inlineStr">
        <is>
          <t>SALA</t>
        </is>
      </c>
      <c r="G445" t="n">
        <v>2.9</v>
      </c>
      <c r="H445" t="n">
        <v>0</v>
      </c>
      <c r="I445" t="n">
        <v>0</v>
      </c>
      <c r="J445" t="n">
        <v>0</v>
      </c>
      <c r="K445" t="n">
        <v>0</v>
      </c>
      <c r="L445" t="n">
        <v>0</v>
      </c>
      <c r="M445" t="n">
        <v>0</v>
      </c>
      <c r="N445" t="n">
        <v>0</v>
      </c>
      <c r="O445" t="n">
        <v>0</v>
      </c>
      <c r="P445" t="n">
        <v>0</v>
      </c>
      <c r="Q445" t="n">
        <v>0</v>
      </c>
      <c r="R445" s="2" t="inlineStr"/>
    </row>
    <row r="446" ht="15" customHeight="1">
      <c r="A446" t="inlineStr">
        <is>
          <t>A 31887-2025</t>
        </is>
      </c>
      <c r="B446" s="1" t="n">
        <v>45834.6608449074</v>
      </c>
      <c r="C446" s="1" t="n">
        <v>45899</v>
      </c>
      <c r="D446" t="inlineStr">
        <is>
          <t>VÄSTMANLANDS LÄN</t>
        </is>
      </c>
      <c r="E446" t="inlineStr">
        <is>
          <t>SALA</t>
        </is>
      </c>
      <c r="G446" t="n">
        <v>7</v>
      </c>
      <c r="H446" t="n">
        <v>0</v>
      </c>
      <c r="I446" t="n">
        <v>0</v>
      </c>
      <c r="J446" t="n">
        <v>0</v>
      </c>
      <c r="K446" t="n">
        <v>0</v>
      </c>
      <c r="L446" t="n">
        <v>0</v>
      </c>
      <c r="M446" t="n">
        <v>0</v>
      </c>
      <c r="N446" t="n">
        <v>0</v>
      </c>
      <c r="O446" t="n">
        <v>0</v>
      </c>
      <c r="P446" t="n">
        <v>0</v>
      </c>
      <c r="Q446" t="n">
        <v>0</v>
      </c>
      <c r="R446" s="2" t="inlineStr"/>
    </row>
    <row r="447" ht="15" customHeight="1">
      <c r="A447" t="inlineStr">
        <is>
          <t>A 37253-2025</t>
        </is>
      </c>
      <c r="B447" s="1" t="n">
        <v>45876.42290509259</v>
      </c>
      <c r="C447" s="1" t="n">
        <v>45899</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31554-2025</t>
        </is>
      </c>
      <c r="B448" s="1" t="n">
        <v>45833</v>
      </c>
      <c r="C448" s="1" t="n">
        <v>45899</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29213-2022</t>
        </is>
      </c>
      <c r="B449" s="1" t="n">
        <v>44750.57474537037</v>
      </c>
      <c r="C449" s="1" t="n">
        <v>45899</v>
      </c>
      <c r="D449" t="inlineStr">
        <is>
          <t>VÄSTMANLANDS LÄN</t>
        </is>
      </c>
      <c r="E449" t="inlineStr">
        <is>
          <t>SALA</t>
        </is>
      </c>
      <c r="G449" t="n">
        <v>1</v>
      </c>
      <c r="H449" t="n">
        <v>0</v>
      </c>
      <c r="I449" t="n">
        <v>0</v>
      </c>
      <c r="J449" t="n">
        <v>0</v>
      </c>
      <c r="K449" t="n">
        <v>0</v>
      </c>
      <c r="L449" t="n">
        <v>0</v>
      </c>
      <c r="M449" t="n">
        <v>0</v>
      </c>
      <c r="N449" t="n">
        <v>0</v>
      </c>
      <c r="O449" t="n">
        <v>0</v>
      </c>
      <c r="P449" t="n">
        <v>0</v>
      </c>
      <c r="Q449" t="n">
        <v>0</v>
      </c>
      <c r="R449" s="2" t="inlineStr"/>
    </row>
    <row r="450" ht="15" customHeight="1">
      <c r="A450" t="inlineStr">
        <is>
          <t>A 56964-2023</t>
        </is>
      </c>
      <c r="B450" s="1" t="n">
        <v>45244.63140046296</v>
      </c>
      <c r="C450" s="1" t="n">
        <v>45899</v>
      </c>
      <c r="D450" t="inlineStr">
        <is>
          <t>VÄSTMANLANDS LÄN</t>
        </is>
      </c>
      <c r="E450" t="inlineStr">
        <is>
          <t>SALA</t>
        </is>
      </c>
      <c r="G450" t="n">
        <v>4.6</v>
      </c>
      <c r="H450" t="n">
        <v>0</v>
      </c>
      <c r="I450" t="n">
        <v>0</v>
      </c>
      <c r="J450" t="n">
        <v>0</v>
      </c>
      <c r="K450" t="n">
        <v>0</v>
      </c>
      <c r="L450" t="n">
        <v>0</v>
      </c>
      <c r="M450" t="n">
        <v>0</v>
      </c>
      <c r="N450" t="n">
        <v>0</v>
      </c>
      <c r="O450" t="n">
        <v>0</v>
      </c>
      <c r="P450" t="n">
        <v>0</v>
      </c>
      <c r="Q450" t="n">
        <v>0</v>
      </c>
      <c r="R450" s="2" t="inlineStr"/>
    </row>
    <row r="451" ht="15" customHeight="1">
      <c r="A451" t="inlineStr">
        <is>
          <t>A 31762-2025</t>
        </is>
      </c>
      <c r="B451" s="1" t="n">
        <v>45834.49288194445</v>
      </c>
      <c r="C451" s="1" t="n">
        <v>45899</v>
      </c>
      <c r="D451" t="inlineStr">
        <is>
          <t>VÄSTMANLANDS LÄN</t>
        </is>
      </c>
      <c r="E451" t="inlineStr">
        <is>
          <t>SALA</t>
        </is>
      </c>
      <c r="G451" t="n">
        <v>5.9</v>
      </c>
      <c r="H451" t="n">
        <v>0</v>
      </c>
      <c r="I451" t="n">
        <v>0</v>
      </c>
      <c r="J451" t="n">
        <v>0</v>
      </c>
      <c r="K451" t="n">
        <v>0</v>
      </c>
      <c r="L451" t="n">
        <v>0</v>
      </c>
      <c r="M451" t="n">
        <v>0</v>
      </c>
      <c r="N451" t="n">
        <v>0</v>
      </c>
      <c r="O451" t="n">
        <v>0</v>
      </c>
      <c r="P451" t="n">
        <v>0</v>
      </c>
      <c r="Q451" t="n">
        <v>0</v>
      </c>
      <c r="R451" s="2" t="inlineStr"/>
    </row>
    <row r="452" ht="15" customHeight="1">
      <c r="A452" t="inlineStr">
        <is>
          <t>A 31608-2025</t>
        </is>
      </c>
      <c r="B452" s="1" t="n">
        <v>45833</v>
      </c>
      <c r="C452" s="1" t="n">
        <v>45899</v>
      </c>
      <c r="D452" t="inlineStr">
        <is>
          <t>VÄSTMANLANDS LÄN</t>
        </is>
      </c>
      <c r="E452" t="inlineStr">
        <is>
          <t>SALA</t>
        </is>
      </c>
      <c r="G452" t="n">
        <v>6.1</v>
      </c>
      <c r="H452" t="n">
        <v>0</v>
      </c>
      <c r="I452" t="n">
        <v>0</v>
      </c>
      <c r="J452" t="n">
        <v>0</v>
      </c>
      <c r="K452" t="n">
        <v>0</v>
      </c>
      <c r="L452" t="n">
        <v>0</v>
      </c>
      <c r="M452" t="n">
        <v>0</v>
      </c>
      <c r="N452" t="n">
        <v>0</v>
      </c>
      <c r="O452" t="n">
        <v>0</v>
      </c>
      <c r="P452" t="n">
        <v>0</v>
      </c>
      <c r="Q452" t="n">
        <v>0</v>
      </c>
      <c r="R452" s="2" t="inlineStr"/>
    </row>
    <row r="453" ht="15" customHeight="1">
      <c r="A453" t="inlineStr">
        <is>
          <t>A 31863-2025</t>
        </is>
      </c>
      <c r="B453" s="1" t="n">
        <v>45834.63303240741</v>
      </c>
      <c r="C453" s="1" t="n">
        <v>45899</v>
      </c>
      <c r="D453" t="inlineStr">
        <is>
          <t>VÄSTMANLANDS LÄN</t>
        </is>
      </c>
      <c r="E453" t="inlineStr">
        <is>
          <t>SALA</t>
        </is>
      </c>
      <c r="G453" t="n">
        <v>2.5</v>
      </c>
      <c r="H453" t="n">
        <v>0</v>
      </c>
      <c r="I453" t="n">
        <v>0</v>
      </c>
      <c r="J453" t="n">
        <v>0</v>
      </c>
      <c r="K453" t="n">
        <v>0</v>
      </c>
      <c r="L453" t="n">
        <v>0</v>
      </c>
      <c r="M453" t="n">
        <v>0</v>
      </c>
      <c r="N453" t="n">
        <v>0</v>
      </c>
      <c r="O453" t="n">
        <v>0</v>
      </c>
      <c r="P453" t="n">
        <v>0</v>
      </c>
      <c r="Q453" t="n">
        <v>0</v>
      </c>
      <c r="R453" s="2" t="inlineStr"/>
    </row>
    <row r="454" ht="15" customHeight="1">
      <c r="A454" t="inlineStr">
        <is>
          <t>A 31610-2025</t>
        </is>
      </c>
      <c r="B454" s="1" t="n">
        <v>45833.78650462963</v>
      </c>
      <c r="C454" s="1" t="n">
        <v>45899</v>
      </c>
      <c r="D454" t="inlineStr">
        <is>
          <t>VÄSTMANLANDS LÄN</t>
        </is>
      </c>
      <c r="E454" t="inlineStr">
        <is>
          <t>SALA</t>
        </is>
      </c>
      <c r="G454" t="n">
        <v>8</v>
      </c>
      <c r="H454" t="n">
        <v>0</v>
      </c>
      <c r="I454" t="n">
        <v>0</v>
      </c>
      <c r="J454" t="n">
        <v>0</v>
      </c>
      <c r="K454" t="n">
        <v>0</v>
      </c>
      <c r="L454" t="n">
        <v>0</v>
      </c>
      <c r="M454" t="n">
        <v>0</v>
      </c>
      <c r="N454" t="n">
        <v>0</v>
      </c>
      <c r="O454" t="n">
        <v>0</v>
      </c>
      <c r="P454" t="n">
        <v>0</v>
      </c>
      <c r="Q454" t="n">
        <v>0</v>
      </c>
      <c r="R454" s="2" t="inlineStr"/>
    </row>
    <row r="455" ht="15" customHeight="1">
      <c r="A455" t="inlineStr">
        <is>
          <t>A 31869-2025</t>
        </is>
      </c>
      <c r="B455" s="1" t="n">
        <v>45834.64555555556</v>
      </c>
      <c r="C455" s="1" t="n">
        <v>45899</v>
      </c>
      <c r="D455" t="inlineStr">
        <is>
          <t>VÄSTMANLANDS LÄN</t>
        </is>
      </c>
      <c r="E455" t="inlineStr">
        <is>
          <t>SALA</t>
        </is>
      </c>
      <c r="G455" t="n">
        <v>17.5</v>
      </c>
      <c r="H455" t="n">
        <v>0</v>
      </c>
      <c r="I455" t="n">
        <v>0</v>
      </c>
      <c r="J455" t="n">
        <v>0</v>
      </c>
      <c r="K455" t="n">
        <v>0</v>
      </c>
      <c r="L455" t="n">
        <v>0</v>
      </c>
      <c r="M455" t="n">
        <v>0</v>
      </c>
      <c r="N455" t="n">
        <v>0</v>
      </c>
      <c r="O455" t="n">
        <v>0</v>
      </c>
      <c r="P455" t="n">
        <v>0</v>
      </c>
      <c r="Q455" t="n">
        <v>0</v>
      </c>
      <c r="R455" s="2" t="inlineStr"/>
    </row>
    <row r="456" ht="15" customHeight="1">
      <c r="A456" t="inlineStr">
        <is>
          <t>A 31296-2025</t>
        </is>
      </c>
      <c r="B456" s="1" t="n">
        <v>45833.36765046296</v>
      </c>
      <c r="C456" s="1" t="n">
        <v>45899</v>
      </c>
      <c r="D456" t="inlineStr">
        <is>
          <t>VÄSTMANLANDS LÄN</t>
        </is>
      </c>
      <c r="E456" t="inlineStr">
        <is>
          <t>SALA</t>
        </is>
      </c>
      <c r="G456" t="n">
        <v>3.7</v>
      </c>
      <c r="H456" t="n">
        <v>0</v>
      </c>
      <c r="I456" t="n">
        <v>0</v>
      </c>
      <c r="J456" t="n">
        <v>0</v>
      </c>
      <c r="K456" t="n">
        <v>0</v>
      </c>
      <c r="L456" t="n">
        <v>0</v>
      </c>
      <c r="M456" t="n">
        <v>0</v>
      </c>
      <c r="N456" t="n">
        <v>0</v>
      </c>
      <c r="O456" t="n">
        <v>0</v>
      </c>
      <c r="P456" t="n">
        <v>0</v>
      </c>
      <c r="Q456" t="n">
        <v>0</v>
      </c>
      <c r="R456" s="2" t="inlineStr"/>
    </row>
    <row r="457" ht="15" customHeight="1">
      <c r="A457" t="inlineStr">
        <is>
          <t>A 31609-2024</t>
        </is>
      </c>
      <c r="B457" s="1" t="n">
        <v>45506</v>
      </c>
      <c r="C457" s="1" t="n">
        <v>45899</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37246-2025</t>
        </is>
      </c>
      <c r="B458" s="1" t="n">
        <v>45876.39435185185</v>
      </c>
      <c r="C458" s="1" t="n">
        <v>45899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31573-2025</t>
        </is>
      </c>
      <c r="B459" s="1" t="n">
        <v>45833</v>
      </c>
      <c r="C459" s="1" t="n">
        <v>45899</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32201-2025</t>
        </is>
      </c>
      <c r="B460" s="1" t="n">
        <v>45835</v>
      </c>
      <c r="C460" s="1" t="n">
        <v>45899</v>
      </c>
      <c r="D460" t="inlineStr">
        <is>
          <t>VÄSTMANLANDS LÄN</t>
        </is>
      </c>
      <c r="E460" t="inlineStr">
        <is>
          <t>SALA</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32205-2025</t>
        </is>
      </c>
      <c r="B461" s="1" t="n">
        <v>45835</v>
      </c>
      <c r="C461" s="1" t="n">
        <v>45899</v>
      </c>
      <c r="D461" t="inlineStr">
        <is>
          <t>VÄSTMANLANDS LÄN</t>
        </is>
      </c>
      <c r="E461" t="inlineStr">
        <is>
          <t>SALA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32210-2025</t>
        </is>
      </c>
      <c r="B462" s="1" t="n">
        <v>45835</v>
      </c>
      <c r="C462" s="1" t="n">
        <v>45899</v>
      </c>
      <c r="D462" t="inlineStr">
        <is>
          <t>VÄSTMANLANDS LÄN</t>
        </is>
      </c>
      <c r="E462" t="inlineStr">
        <is>
          <t>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32286-2025</t>
        </is>
      </c>
      <c r="B463" s="1" t="n">
        <v>45835</v>
      </c>
      <c r="C463" s="1" t="n">
        <v>45899</v>
      </c>
      <c r="D463" t="inlineStr">
        <is>
          <t>VÄSTMANLANDS LÄN</t>
        </is>
      </c>
      <c r="E463" t="inlineStr">
        <is>
          <t>SALA</t>
        </is>
      </c>
      <c r="G463" t="n">
        <v>6.4</v>
      </c>
      <c r="H463" t="n">
        <v>0</v>
      </c>
      <c r="I463" t="n">
        <v>0</v>
      </c>
      <c r="J463" t="n">
        <v>0</v>
      </c>
      <c r="K463" t="n">
        <v>0</v>
      </c>
      <c r="L463" t="n">
        <v>0</v>
      </c>
      <c r="M463" t="n">
        <v>0</v>
      </c>
      <c r="N463" t="n">
        <v>0</v>
      </c>
      <c r="O463" t="n">
        <v>0</v>
      </c>
      <c r="P463" t="n">
        <v>0</v>
      </c>
      <c r="Q463" t="n">
        <v>0</v>
      </c>
      <c r="R463" s="2" t="inlineStr"/>
    </row>
    <row r="464" ht="15" customHeight="1">
      <c r="A464" t="inlineStr">
        <is>
          <t>A 35410-2022</t>
        </is>
      </c>
      <c r="B464" s="1" t="n">
        <v>44798.62576388889</v>
      </c>
      <c r="C464" s="1" t="n">
        <v>45899</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32207-2025</t>
        </is>
      </c>
      <c r="B465" s="1" t="n">
        <v>45835</v>
      </c>
      <c r="C465" s="1" t="n">
        <v>45899</v>
      </c>
      <c r="D465" t="inlineStr">
        <is>
          <t>VÄSTMANLANDS LÄN</t>
        </is>
      </c>
      <c r="E465" t="inlineStr">
        <is>
          <t>SALA</t>
        </is>
      </c>
      <c r="F465" t="inlineStr">
        <is>
          <t>Bergvik skog öst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37590-2025</t>
        </is>
      </c>
      <c r="B466" s="1" t="n">
        <v>45880.41138888889</v>
      </c>
      <c r="C466" s="1" t="n">
        <v>45899</v>
      </c>
      <c r="D466" t="inlineStr">
        <is>
          <t>VÄSTMANLANDS LÄN</t>
        </is>
      </c>
      <c r="E466" t="inlineStr">
        <is>
          <t>SALA</t>
        </is>
      </c>
      <c r="G466" t="n">
        <v>2.2</v>
      </c>
      <c r="H466" t="n">
        <v>0</v>
      </c>
      <c r="I466" t="n">
        <v>0</v>
      </c>
      <c r="J466" t="n">
        <v>0</v>
      </c>
      <c r="K466" t="n">
        <v>0</v>
      </c>
      <c r="L466" t="n">
        <v>0</v>
      </c>
      <c r="M466" t="n">
        <v>0</v>
      </c>
      <c r="N466" t="n">
        <v>0</v>
      </c>
      <c r="O466" t="n">
        <v>0</v>
      </c>
      <c r="P466" t="n">
        <v>0</v>
      </c>
      <c r="Q466" t="n">
        <v>0</v>
      </c>
      <c r="R466" s="2" t="inlineStr"/>
    </row>
    <row r="467" ht="15" customHeight="1">
      <c r="A467" t="inlineStr">
        <is>
          <t>A 37593-2025</t>
        </is>
      </c>
      <c r="B467" s="1" t="n">
        <v>45880.41325231481</v>
      </c>
      <c r="C467" s="1" t="n">
        <v>45899</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1555-2024</t>
        </is>
      </c>
      <c r="B468" s="1" t="n">
        <v>45306</v>
      </c>
      <c r="C468" s="1" t="n">
        <v>45899</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13188-2025</t>
        </is>
      </c>
      <c r="B469" s="1" t="n">
        <v>45735.39246527778</v>
      </c>
      <c r="C469" s="1" t="n">
        <v>45899</v>
      </c>
      <c r="D469" t="inlineStr">
        <is>
          <t>VÄSTMANLANDS LÄN</t>
        </is>
      </c>
      <c r="E469" t="inlineStr">
        <is>
          <t>SALA</t>
        </is>
      </c>
      <c r="F469" t="inlineStr">
        <is>
          <t>Naturvårdsverket</t>
        </is>
      </c>
      <c r="G469" t="n">
        <v>18.4</v>
      </c>
      <c r="H469" t="n">
        <v>0</v>
      </c>
      <c r="I469" t="n">
        <v>0</v>
      </c>
      <c r="J469" t="n">
        <v>0</v>
      </c>
      <c r="K469" t="n">
        <v>0</v>
      </c>
      <c r="L469" t="n">
        <v>0</v>
      </c>
      <c r="M469" t="n">
        <v>0</v>
      </c>
      <c r="N469" t="n">
        <v>0</v>
      </c>
      <c r="O469" t="n">
        <v>0</v>
      </c>
      <c r="P469" t="n">
        <v>0</v>
      </c>
      <c r="Q469" t="n">
        <v>0</v>
      </c>
      <c r="R469" s="2" t="inlineStr"/>
    </row>
    <row r="470" ht="15" customHeight="1">
      <c r="A470" t="inlineStr">
        <is>
          <t>A 32902-2025</t>
        </is>
      </c>
      <c r="B470" s="1" t="n">
        <v>45839</v>
      </c>
      <c r="C470" s="1" t="n">
        <v>45899</v>
      </c>
      <c r="D470" t="inlineStr">
        <is>
          <t>VÄSTMANLANDS LÄN</t>
        </is>
      </c>
      <c r="E470" t="inlineStr">
        <is>
          <t>SALA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7197-2025</t>
        </is>
      </c>
      <c r="B471" s="1" t="n">
        <v>45702</v>
      </c>
      <c r="C471" s="1" t="n">
        <v>45899</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50801-2020</t>
        </is>
      </c>
      <c r="B472" s="1" t="n">
        <v>44111</v>
      </c>
      <c r="C472" s="1" t="n">
        <v>45899</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15099-2025</t>
        </is>
      </c>
      <c r="B473" s="1" t="n">
        <v>45744.3434837963</v>
      </c>
      <c r="C473" s="1" t="n">
        <v>45899</v>
      </c>
      <c r="D473" t="inlineStr">
        <is>
          <t>VÄSTMANLANDS LÄN</t>
        </is>
      </c>
      <c r="E473" t="inlineStr">
        <is>
          <t>SALA</t>
        </is>
      </c>
      <c r="F473" t="inlineStr">
        <is>
          <t>Sveaskog</t>
        </is>
      </c>
      <c r="G473" t="n">
        <v>14.4</v>
      </c>
      <c r="H473" t="n">
        <v>0</v>
      </c>
      <c r="I473" t="n">
        <v>0</v>
      </c>
      <c r="J473" t="n">
        <v>0</v>
      </c>
      <c r="K473" t="n">
        <v>0</v>
      </c>
      <c r="L473" t="n">
        <v>0</v>
      </c>
      <c r="M473" t="n">
        <v>0</v>
      </c>
      <c r="N473" t="n">
        <v>0</v>
      </c>
      <c r="O473" t="n">
        <v>0</v>
      </c>
      <c r="P473" t="n">
        <v>0</v>
      </c>
      <c r="Q473" t="n">
        <v>0</v>
      </c>
      <c r="R473" s="2" t="inlineStr"/>
    </row>
    <row r="474" ht="15" customHeight="1">
      <c r="A474" t="inlineStr">
        <is>
          <t>A 2928-2024</t>
        </is>
      </c>
      <c r="B474" s="1" t="n">
        <v>45315.59041666667</v>
      </c>
      <c r="C474" s="1" t="n">
        <v>45899</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9962-2025</t>
        </is>
      </c>
      <c r="B475" s="1" t="n">
        <v>45719.37072916667</v>
      </c>
      <c r="C475" s="1" t="n">
        <v>45899</v>
      </c>
      <c r="D475" t="inlineStr">
        <is>
          <t>VÄSTMANLANDS LÄN</t>
        </is>
      </c>
      <c r="E475" t="inlineStr">
        <is>
          <t>SALA</t>
        </is>
      </c>
      <c r="G475" t="n">
        <v>4.5</v>
      </c>
      <c r="H475" t="n">
        <v>0</v>
      </c>
      <c r="I475" t="n">
        <v>0</v>
      </c>
      <c r="J475" t="n">
        <v>0</v>
      </c>
      <c r="K475" t="n">
        <v>0</v>
      </c>
      <c r="L475" t="n">
        <v>0</v>
      </c>
      <c r="M475" t="n">
        <v>0</v>
      </c>
      <c r="N475" t="n">
        <v>0</v>
      </c>
      <c r="O475" t="n">
        <v>0</v>
      </c>
      <c r="P475" t="n">
        <v>0</v>
      </c>
      <c r="Q475" t="n">
        <v>0</v>
      </c>
      <c r="R475" s="2" t="inlineStr"/>
    </row>
    <row r="476" ht="15" customHeight="1">
      <c r="A476" t="inlineStr">
        <is>
          <t>A 14024-2025</t>
        </is>
      </c>
      <c r="B476" s="1" t="n">
        <v>45740.34650462963</v>
      </c>
      <c r="C476" s="1" t="n">
        <v>45899</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3551-2024</t>
        </is>
      </c>
      <c r="B477" s="1" t="n">
        <v>45320.61099537037</v>
      </c>
      <c r="C477" s="1" t="n">
        <v>45899</v>
      </c>
      <c r="D477" t="inlineStr">
        <is>
          <t>VÄSTMANLANDS LÄN</t>
        </is>
      </c>
      <c r="E477" t="inlineStr">
        <is>
          <t>SALA</t>
        </is>
      </c>
      <c r="F477" t="inlineStr">
        <is>
          <t>Kommuner</t>
        </is>
      </c>
      <c r="G477" t="n">
        <v>6</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45899</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62635-2022</t>
        </is>
      </c>
      <c r="B479" s="1" t="n">
        <v>44917</v>
      </c>
      <c r="C479" s="1" t="n">
        <v>45899</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41292-2021</t>
        </is>
      </c>
      <c r="B480" s="1" t="n">
        <v>44424</v>
      </c>
      <c r="C480" s="1" t="n">
        <v>45899</v>
      </c>
      <c r="D480" t="inlineStr">
        <is>
          <t>VÄSTMANLANDS LÄN</t>
        </is>
      </c>
      <c r="E480" t="inlineStr">
        <is>
          <t>SALA</t>
        </is>
      </c>
      <c r="G480" t="n">
        <v>0.3</v>
      </c>
      <c r="H480" t="n">
        <v>0</v>
      </c>
      <c r="I480" t="n">
        <v>0</v>
      </c>
      <c r="J480" t="n">
        <v>0</v>
      </c>
      <c r="K480" t="n">
        <v>0</v>
      </c>
      <c r="L480" t="n">
        <v>0</v>
      </c>
      <c r="M480" t="n">
        <v>0</v>
      </c>
      <c r="N480" t="n">
        <v>0</v>
      </c>
      <c r="O480" t="n">
        <v>0</v>
      </c>
      <c r="P480" t="n">
        <v>0</v>
      </c>
      <c r="Q480" t="n">
        <v>0</v>
      </c>
      <c r="R480" s="2" t="inlineStr"/>
    </row>
    <row r="481" ht="15" customHeight="1">
      <c r="A481" t="inlineStr">
        <is>
          <t>A 60328-2024</t>
        </is>
      </c>
      <c r="B481" s="1" t="n">
        <v>45643.38416666666</v>
      </c>
      <c r="C481" s="1" t="n">
        <v>45899</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38294-2025</t>
        </is>
      </c>
      <c r="B482" s="1" t="n">
        <v>45883.44854166666</v>
      </c>
      <c r="C482" s="1" t="n">
        <v>45899</v>
      </c>
      <c r="D482" t="inlineStr">
        <is>
          <t>VÄSTMANLANDS LÄN</t>
        </is>
      </c>
      <c r="E482" t="inlineStr">
        <is>
          <t>SALA</t>
        </is>
      </c>
      <c r="G482" t="n">
        <v>1.5</v>
      </c>
      <c r="H482" t="n">
        <v>0</v>
      </c>
      <c r="I482" t="n">
        <v>0</v>
      </c>
      <c r="J482" t="n">
        <v>0</v>
      </c>
      <c r="K482" t="n">
        <v>0</v>
      </c>
      <c r="L482" t="n">
        <v>0</v>
      </c>
      <c r="M482" t="n">
        <v>0</v>
      </c>
      <c r="N482" t="n">
        <v>0</v>
      </c>
      <c r="O482" t="n">
        <v>0</v>
      </c>
      <c r="P482" t="n">
        <v>0</v>
      </c>
      <c r="Q482" t="n">
        <v>0</v>
      </c>
      <c r="R482" s="2" t="inlineStr"/>
    </row>
    <row r="483" ht="15" customHeight="1">
      <c r="A483" t="inlineStr">
        <is>
          <t>A 19304-2025</t>
        </is>
      </c>
      <c r="B483" s="1" t="n">
        <v>45769</v>
      </c>
      <c r="C483" s="1" t="n">
        <v>45899</v>
      </c>
      <c r="D483" t="inlineStr">
        <is>
          <t>VÄSTMANLANDS LÄN</t>
        </is>
      </c>
      <c r="E483" t="inlineStr">
        <is>
          <t>SALA</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6088-2021</t>
        </is>
      </c>
      <c r="B484" s="1" t="n">
        <v>44232</v>
      </c>
      <c r="C484" s="1" t="n">
        <v>45899</v>
      </c>
      <c r="D484" t="inlineStr">
        <is>
          <t>VÄSTMANLANDS LÄN</t>
        </is>
      </c>
      <c r="E484" t="inlineStr">
        <is>
          <t>SALA</t>
        </is>
      </c>
      <c r="G484" t="n">
        <v>0.2</v>
      </c>
      <c r="H484" t="n">
        <v>0</v>
      </c>
      <c r="I484" t="n">
        <v>0</v>
      </c>
      <c r="J484" t="n">
        <v>0</v>
      </c>
      <c r="K484" t="n">
        <v>0</v>
      </c>
      <c r="L484" t="n">
        <v>0</v>
      </c>
      <c r="M484" t="n">
        <v>0</v>
      </c>
      <c r="N484" t="n">
        <v>0</v>
      </c>
      <c r="O484" t="n">
        <v>0</v>
      </c>
      <c r="P484" t="n">
        <v>0</v>
      </c>
      <c r="Q484" t="n">
        <v>0</v>
      </c>
      <c r="R484" s="2" t="inlineStr"/>
    </row>
    <row r="485" ht="15" customHeight="1">
      <c r="A485" t="inlineStr">
        <is>
          <t>A 33273-2023</t>
        </is>
      </c>
      <c r="B485" s="1" t="n">
        <v>45127</v>
      </c>
      <c r="C485" s="1" t="n">
        <v>45899</v>
      </c>
      <c r="D485" t="inlineStr">
        <is>
          <t>VÄSTMANLANDS LÄN</t>
        </is>
      </c>
      <c r="E485" t="inlineStr">
        <is>
          <t>SALA</t>
        </is>
      </c>
      <c r="G485" t="n">
        <v>2.6</v>
      </c>
      <c r="H485" t="n">
        <v>0</v>
      </c>
      <c r="I485" t="n">
        <v>0</v>
      </c>
      <c r="J485" t="n">
        <v>0</v>
      </c>
      <c r="K485" t="n">
        <v>0</v>
      </c>
      <c r="L485" t="n">
        <v>0</v>
      </c>
      <c r="M485" t="n">
        <v>0</v>
      </c>
      <c r="N485" t="n">
        <v>0</v>
      </c>
      <c r="O485" t="n">
        <v>0</v>
      </c>
      <c r="P485" t="n">
        <v>0</v>
      </c>
      <c r="Q485" t="n">
        <v>0</v>
      </c>
      <c r="R485" s="2" t="inlineStr"/>
    </row>
    <row r="486" ht="15" customHeight="1">
      <c r="A486" t="inlineStr">
        <is>
          <t>A 56057-2023</t>
        </is>
      </c>
      <c r="B486" s="1" t="n">
        <v>45233</v>
      </c>
      <c r="C486" s="1" t="n">
        <v>45899</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38574-2025</t>
        </is>
      </c>
      <c r="B487" s="1" t="n">
        <v>45884.46390046296</v>
      </c>
      <c r="C487" s="1" t="n">
        <v>45899</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34069-2025</t>
        </is>
      </c>
      <c r="B488" s="1" t="n">
        <v>45845.43560185185</v>
      </c>
      <c r="C488" s="1" t="n">
        <v>45899</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c r="U488">
        <f>HYPERLINK("https://klasma.github.io/Logging_1981/knärot/A 34069-2025 karta knärot.png", "A 34069-2025")</f>
        <v/>
      </c>
      <c r="V488">
        <f>HYPERLINK("https://klasma.github.io/Logging_1981/klagomål/A 34069-2025 FSC-klagomål.docx", "A 34069-2025")</f>
        <v/>
      </c>
      <c r="W488">
        <f>HYPERLINK("https://klasma.github.io/Logging_1981/klagomålsmail/A 34069-2025 FSC-klagomål mail.docx", "A 34069-2025")</f>
        <v/>
      </c>
      <c r="X488">
        <f>HYPERLINK("https://klasma.github.io/Logging_1981/tillsyn/A 34069-2025 tillsynsbegäran.docx", "A 34069-2025")</f>
        <v/>
      </c>
      <c r="Y488">
        <f>HYPERLINK("https://klasma.github.io/Logging_1981/tillsynsmail/A 34069-2025 tillsynsbegäran mail.docx", "A 34069-2025")</f>
        <v/>
      </c>
    </row>
    <row r="489" ht="15" customHeight="1">
      <c r="A489" t="inlineStr">
        <is>
          <t>A 17766-2025</t>
        </is>
      </c>
      <c r="B489" s="1" t="n">
        <v>45758</v>
      </c>
      <c r="C489" s="1" t="n">
        <v>45899</v>
      </c>
      <c r="D489" t="inlineStr">
        <is>
          <t>VÄSTMANLANDS LÄN</t>
        </is>
      </c>
      <c r="E489" t="inlineStr">
        <is>
          <t>SALA</t>
        </is>
      </c>
      <c r="G489" t="n">
        <v>16.5</v>
      </c>
      <c r="H489" t="n">
        <v>0</v>
      </c>
      <c r="I489" t="n">
        <v>0</v>
      </c>
      <c r="J489" t="n">
        <v>0</v>
      </c>
      <c r="K489" t="n">
        <v>0</v>
      </c>
      <c r="L489" t="n">
        <v>0</v>
      </c>
      <c r="M489" t="n">
        <v>0</v>
      </c>
      <c r="N489" t="n">
        <v>0</v>
      </c>
      <c r="O489" t="n">
        <v>0</v>
      </c>
      <c r="P489" t="n">
        <v>0</v>
      </c>
      <c r="Q489" t="n">
        <v>0</v>
      </c>
      <c r="R489" s="2" t="inlineStr"/>
    </row>
    <row r="490" ht="15" customHeight="1">
      <c r="A490" t="inlineStr">
        <is>
          <t>A 55024-2023</t>
        </is>
      </c>
      <c r="B490" s="1" t="n">
        <v>45229</v>
      </c>
      <c r="C490" s="1" t="n">
        <v>45899</v>
      </c>
      <c r="D490" t="inlineStr">
        <is>
          <t>VÄSTMANLANDS LÄN</t>
        </is>
      </c>
      <c r="E490" t="inlineStr">
        <is>
          <t>SALA</t>
        </is>
      </c>
      <c r="G490" t="n">
        <v>0.9</v>
      </c>
      <c r="H490" t="n">
        <v>0</v>
      </c>
      <c r="I490" t="n">
        <v>0</v>
      </c>
      <c r="J490" t="n">
        <v>0</v>
      </c>
      <c r="K490" t="n">
        <v>0</v>
      </c>
      <c r="L490" t="n">
        <v>0</v>
      </c>
      <c r="M490" t="n">
        <v>0</v>
      </c>
      <c r="N490" t="n">
        <v>0</v>
      </c>
      <c r="O490" t="n">
        <v>0</v>
      </c>
      <c r="P490" t="n">
        <v>0</v>
      </c>
      <c r="Q490" t="n">
        <v>0</v>
      </c>
      <c r="R490" s="2" t="inlineStr"/>
    </row>
    <row r="491" ht="15" customHeight="1">
      <c r="A491" t="inlineStr">
        <is>
          <t>A 55032-2023</t>
        </is>
      </c>
      <c r="B491" s="1" t="n">
        <v>45229</v>
      </c>
      <c r="C491" s="1" t="n">
        <v>45899</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52827-2024</t>
        </is>
      </c>
      <c r="B492" s="1" t="n">
        <v>45610</v>
      </c>
      <c r="C492" s="1" t="n">
        <v>45899</v>
      </c>
      <c r="D492" t="inlineStr">
        <is>
          <t>VÄSTMANLANDS LÄN</t>
        </is>
      </c>
      <c r="E492" t="inlineStr">
        <is>
          <t>SALA</t>
        </is>
      </c>
      <c r="G492" t="n">
        <v>0.2</v>
      </c>
      <c r="H492" t="n">
        <v>0</v>
      </c>
      <c r="I492" t="n">
        <v>0</v>
      </c>
      <c r="J492" t="n">
        <v>0</v>
      </c>
      <c r="K492" t="n">
        <v>0</v>
      </c>
      <c r="L492" t="n">
        <v>0</v>
      </c>
      <c r="M492" t="n">
        <v>0</v>
      </c>
      <c r="N492" t="n">
        <v>0</v>
      </c>
      <c r="O492" t="n">
        <v>0</v>
      </c>
      <c r="P492" t="n">
        <v>0</v>
      </c>
      <c r="Q492" t="n">
        <v>0</v>
      </c>
      <c r="R492" s="2" t="inlineStr"/>
    </row>
    <row r="493" ht="15" customHeight="1">
      <c r="A493" t="inlineStr">
        <is>
          <t>A 53166-2024</t>
        </is>
      </c>
      <c r="B493" s="1" t="n">
        <v>45611</v>
      </c>
      <c r="C493" s="1" t="n">
        <v>45899</v>
      </c>
      <c r="D493" t="inlineStr">
        <is>
          <t>VÄSTMANLANDS LÄN</t>
        </is>
      </c>
      <c r="E493" t="inlineStr">
        <is>
          <t>SALA</t>
        </is>
      </c>
      <c r="G493" t="n">
        <v>1.5</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45899</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62654-2022</t>
        </is>
      </c>
      <c r="B495" s="1" t="n">
        <v>44917</v>
      </c>
      <c r="C495" s="1" t="n">
        <v>45899</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6135-2023</t>
        </is>
      </c>
      <c r="B496" s="1" t="n">
        <v>44964.62628472222</v>
      </c>
      <c r="C496" s="1" t="n">
        <v>45899</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53864-2022</t>
        </is>
      </c>
      <c r="B497" s="1" t="n">
        <v>44880.64016203704</v>
      </c>
      <c r="C497" s="1" t="n">
        <v>45899</v>
      </c>
      <c r="D497" t="inlineStr">
        <is>
          <t>VÄSTMANLANDS LÄN</t>
        </is>
      </c>
      <c r="E497" t="inlineStr">
        <is>
          <t>SALA</t>
        </is>
      </c>
      <c r="G497" t="n">
        <v>5.9</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45899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59175-2022</t>
        </is>
      </c>
      <c r="B499" s="1" t="n">
        <v>44904.48502314815</v>
      </c>
      <c r="C499" s="1" t="n">
        <v>45899</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39451-2022</t>
        </is>
      </c>
      <c r="B500" s="1" t="n">
        <v>44818.36606481481</v>
      </c>
      <c r="C500" s="1" t="n">
        <v>45899</v>
      </c>
      <c r="D500" t="inlineStr">
        <is>
          <t>VÄSTMANLANDS LÄN</t>
        </is>
      </c>
      <c r="E500" t="inlineStr">
        <is>
          <t>SALA</t>
        </is>
      </c>
      <c r="G500" t="n">
        <v>9.4</v>
      </c>
      <c r="H500" t="n">
        <v>0</v>
      </c>
      <c r="I500" t="n">
        <v>0</v>
      </c>
      <c r="J500" t="n">
        <v>0</v>
      </c>
      <c r="K500" t="n">
        <v>0</v>
      </c>
      <c r="L500" t="n">
        <v>0</v>
      </c>
      <c r="M500" t="n">
        <v>0</v>
      </c>
      <c r="N500" t="n">
        <v>0</v>
      </c>
      <c r="O500" t="n">
        <v>0</v>
      </c>
      <c r="P500" t="n">
        <v>0</v>
      </c>
      <c r="Q500" t="n">
        <v>0</v>
      </c>
      <c r="R500" s="2" t="inlineStr"/>
    </row>
    <row r="501" ht="15" customHeight="1">
      <c r="A501" t="inlineStr">
        <is>
          <t>A 27255-2023</t>
        </is>
      </c>
      <c r="B501" s="1" t="n">
        <v>45096</v>
      </c>
      <c r="C501" s="1" t="n">
        <v>45899</v>
      </c>
      <c r="D501" t="inlineStr">
        <is>
          <t>VÄSTMANLANDS LÄN</t>
        </is>
      </c>
      <c r="E501" t="inlineStr">
        <is>
          <t>SALA</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15744-2025</t>
        </is>
      </c>
      <c r="B502" s="1" t="n">
        <v>45748</v>
      </c>
      <c r="C502" s="1" t="n">
        <v>45899</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60034-2024</t>
        </is>
      </c>
      <c r="B503" s="1" t="n">
        <v>45642.46261574074</v>
      </c>
      <c r="C503" s="1" t="n">
        <v>45899</v>
      </c>
      <c r="D503" t="inlineStr">
        <is>
          <t>VÄSTMANLANDS LÄN</t>
        </is>
      </c>
      <c r="E503" t="inlineStr">
        <is>
          <t>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3810-2023</t>
        </is>
      </c>
      <c r="B504" s="1" t="n">
        <v>44951.60454861111</v>
      </c>
      <c r="C504" s="1" t="n">
        <v>45899</v>
      </c>
      <c r="D504" t="inlineStr">
        <is>
          <t>VÄSTMANLANDS LÄN</t>
        </is>
      </c>
      <c r="E504" t="inlineStr">
        <is>
          <t>SALA</t>
        </is>
      </c>
      <c r="G504" t="n">
        <v>4.2</v>
      </c>
      <c r="H504" t="n">
        <v>0</v>
      </c>
      <c r="I504" t="n">
        <v>0</v>
      </c>
      <c r="J504" t="n">
        <v>0</v>
      </c>
      <c r="K504" t="n">
        <v>0</v>
      </c>
      <c r="L504" t="n">
        <v>0</v>
      </c>
      <c r="M504" t="n">
        <v>0</v>
      </c>
      <c r="N504" t="n">
        <v>0</v>
      </c>
      <c r="O504" t="n">
        <v>0</v>
      </c>
      <c r="P504" t="n">
        <v>0</v>
      </c>
      <c r="Q504" t="n">
        <v>0</v>
      </c>
      <c r="R504" s="2" t="inlineStr"/>
    </row>
    <row r="505" ht="15" customHeight="1">
      <c r="A505" t="inlineStr">
        <is>
          <t>A 11631-2023</t>
        </is>
      </c>
      <c r="B505" s="1" t="n">
        <v>44994.44001157407</v>
      </c>
      <c r="C505" s="1" t="n">
        <v>45899</v>
      </c>
      <c r="D505" t="inlineStr">
        <is>
          <t>VÄSTMANLANDS LÄN</t>
        </is>
      </c>
      <c r="E505" t="inlineStr">
        <is>
          <t>SALA</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39167-2025</t>
        </is>
      </c>
      <c r="B506" s="1" t="n">
        <v>45888</v>
      </c>
      <c r="C506" s="1" t="n">
        <v>45899</v>
      </c>
      <c r="D506" t="inlineStr">
        <is>
          <t>VÄSTMANLANDS LÄN</t>
        </is>
      </c>
      <c r="E506" t="inlineStr">
        <is>
          <t>SALA</t>
        </is>
      </c>
      <c r="G506" t="n">
        <v>5.5</v>
      </c>
      <c r="H506" t="n">
        <v>0</v>
      </c>
      <c r="I506" t="n">
        <v>0</v>
      </c>
      <c r="J506" t="n">
        <v>0</v>
      </c>
      <c r="K506" t="n">
        <v>0</v>
      </c>
      <c r="L506" t="n">
        <v>0</v>
      </c>
      <c r="M506" t="n">
        <v>0</v>
      </c>
      <c r="N506" t="n">
        <v>0</v>
      </c>
      <c r="O506" t="n">
        <v>0</v>
      </c>
      <c r="P506" t="n">
        <v>0</v>
      </c>
      <c r="Q506" t="n">
        <v>0</v>
      </c>
      <c r="R506" s="2" t="inlineStr"/>
    </row>
    <row r="507" ht="15" customHeight="1">
      <c r="A507" t="inlineStr">
        <is>
          <t>A 52503-2024</t>
        </is>
      </c>
      <c r="B507" s="1" t="n">
        <v>45609.58806712963</v>
      </c>
      <c r="C507" s="1" t="n">
        <v>45899</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2521-2025</t>
        </is>
      </c>
      <c r="B508" s="1" t="n">
        <v>45674</v>
      </c>
      <c r="C508" s="1" t="n">
        <v>45899</v>
      </c>
      <c r="D508" t="inlineStr">
        <is>
          <t>VÄSTMANLANDS LÄN</t>
        </is>
      </c>
      <c r="E508" t="inlineStr">
        <is>
          <t>SALA</t>
        </is>
      </c>
      <c r="G508" t="n">
        <v>3.5</v>
      </c>
      <c r="H508" t="n">
        <v>0</v>
      </c>
      <c r="I508" t="n">
        <v>0</v>
      </c>
      <c r="J508" t="n">
        <v>0</v>
      </c>
      <c r="K508" t="n">
        <v>0</v>
      </c>
      <c r="L508" t="n">
        <v>0</v>
      </c>
      <c r="M508" t="n">
        <v>0</v>
      </c>
      <c r="N508" t="n">
        <v>0</v>
      </c>
      <c r="O508" t="n">
        <v>0</v>
      </c>
      <c r="P508" t="n">
        <v>0</v>
      </c>
      <c r="Q508" t="n">
        <v>0</v>
      </c>
      <c r="R508" s="2" t="inlineStr"/>
    </row>
    <row r="509" ht="15" customHeight="1">
      <c r="A509" t="inlineStr">
        <is>
          <t>A 62648-2022</t>
        </is>
      </c>
      <c r="B509" s="1" t="n">
        <v>44917</v>
      </c>
      <c r="C509" s="1" t="n">
        <v>45899</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1934-2023</t>
        </is>
      </c>
      <c r="B510" s="1" t="n">
        <v>44939.43024305555</v>
      </c>
      <c r="C510" s="1" t="n">
        <v>45899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11927-2025</t>
        </is>
      </c>
      <c r="B511" s="1" t="n">
        <v>45728.5137962963</v>
      </c>
      <c r="C511" s="1" t="n">
        <v>45899</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60823-2024</t>
        </is>
      </c>
      <c r="B512" s="1" t="n">
        <v>45644</v>
      </c>
      <c r="C512" s="1" t="n">
        <v>45899</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96-2024</t>
        </is>
      </c>
      <c r="B513" s="1" t="n">
        <v>45293.85872685185</v>
      </c>
      <c r="C513" s="1" t="n">
        <v>45899</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31000-2022</t>
        </is>
      </c>
      <c r="B514" s="1" t="n">
        <v>44768</v>
      </c>
      <c r="C514" s="1" t="n">
        <v>45899</v>
      </c>
      <c r="D514" t="inlineStr">
        <is>
          <t>VÄSTMANLANDS LÄN</t>
        </is>
      </c>
      <c r="E514" t="inlineStr">
        <is>
          <t>SALA</t>
        </is>
      </c>
      <c r="G514" t="n">
        <v>5.7</v>
      </c>
      <c r="H514" t="n">
        <v>0</v>
      </c>
      <c r="I514" t="n">
        <v>0</v>
      </c>
      <c r="J514" t="n">
        <v>0</v>
      </c>
      <c r="K514" t="n">
        <v>0</v>
      </c>
      <c r="L514" t="n">
        <v>0</v>
      </c>
      <c r="M514" t="n">
        <v>0</v>
      </c>
      <c r="N514" t="n">
        <v>0</v>
      </c>
      <c r="O514" t="n">
        <v>0</v>
      </c>
      <c r="P514" t="n">
        <v>0</v>
      </c>
      <c r="Q514" t="n">
        <v>0</v>
      </c>
      <c r="R514" s="2" t="inlineStr"/>
    </row>
    <row r="515" ht="15" customHeight="1">
      <c r="A515" t="inlineStr">
        <is>
          <t>A 23374-2023</t>
        </is>
      </c>
      <c r="B515" s="1" t="n">
        <v>45076.4399537037</v>
      </c>
      <c r="C515" s="1" t="n">
        <v>45899</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39182-2025</t>
        </is>
      </c>
      <c r="B516" s="1" t="n">
        <v>45888.66204861111</v>
      </c>
      <c r="C516" s="1" t="n">
        <v>45899</v>
      </c>
      <c r="D516" t="inlineStr">
        <is>
          <t>VÄSTMANLANDS LÄN</t>
        </is>
      </c>
      <c r="E516" t="inlineStr">
        <is>
          <t>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61874-2021</t>
        </is>
      </c>
      <c r="B517" s="1" t="n">
        <v>44502</v>
      </c>
      <c r="C517" s="1" t="n">
        <v>45899</v>
      </c>
      <c r="D517" t="inlineStr">
        <is>
          <t>VÄSTMANLANDS LÄN</t>
        </is>
      </c>
      <c r="E517" t="inlineStr">
        <is>
          <t>SALA</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9856-2022</t>
        </is>
      </c>
      <c r="B518" s="1" t="n">
        <v>44620</v>
      </c>
      <c r="C518" s="1" t="n">
        <v>45899</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45899</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40559-2025</t>
        </is>
      </c>
      <c r="B520" s="1" t="n">
        <v>45896.45037037037</v>
      </c>
      <c r="C520" s="1" t="n">
        <v>45899</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31950-2023</t>
        </is>
      </c>
      <c r="B521" s="1" t="n">
        <v>45107</v>
      </c>
      <c r="C521" s="1" t="n">
        <v>45899</v>
      </c>
      <c r="D521" t="inlineStr">
        <is>
          <t>VÄSTMANLANDS LÄN</t>
        </is>
      </c>
      <c r="E521" t="inlineStr">
        <is>
          <t>SALA</t>
        </is>
      </c>
      <c r="G521" t="n">
        <v>0.1</v>
      </c>
      <c r="H521" t="n">
        <v>0</v>
      </c>
      <c r="I521" t="n">
        <v>0</v>
      </c>
      <c r="J521" t="n">
        <v>0</v>
      </c>
      <c r="K521" t="n">
        <v>0</v>
      </c>
      <c r="L521" t="n">
        <v>0</v>
      </c>
      <c r="M521" t="n">
        <v>0</v>
      </c>
      <c r="N521" t="n">
        <v>0</v>
      </c>
      <c r="O521" t="n">
        <v>0</v>
      </c>
      <c r="P521" t="n">
        <v>0</v>
      </c>
      <c r="Q521" t="n">
        <v>0</v>
      </c>
      <c r="R521" s="2" t="inlineStr"/>
    </row>
    <row r="522" ht="15" customHeight="1">
      <c r="A522" t="inlineStr">
        <is>
          <t>A 40554-2025</t>
        </is>
      </c>
      <c r="B522" s="1" t="n">
        <v>45896.44506944445</v>
      </c>
      <c r="C522" s="1" t="n">
        <v>45899</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40620-2025</t>
        </is>
      </c>
      <c r="B523" s="1" t="n">
        <v>45896.58609953704</v>
      </c>
      <c r="C523" s="1" t="n">
        <v>45899</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50241-2023</t>
        </is>
      </c>
      <c r="B524" s="1" t="n">
        <v>45216</v>
      </c>
      <c r="C524" s="1" t="n">
        <v>45899</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37103-2025</t>
        </is>
      </c>
      <c r="B525" s="1" t="n">
        <v>45875.47743055555</v>
      </c>
      <c r="C525" s="1" t="n">
        <v>45899</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3332-2024</t>
        </is>
      </c>
      <c r="B526" s="1" t="n">
        <v>45317</v>
      </c>
      <c r="C526" s="1" t="n">
        <v>45899</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40556-2025</t>
        </is>
      </c>
      <c r="B527" s="1" t="n">
        <v>45896.44944444444</v>
      </c>
      <c r="C527" s="1" t="n">
        <v>45899</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16693-2023</t>
        </is>
      </c>
      <c r="B528" s="1" t="n">
        <v>45028</v>
      </c>
      <c r="C528" s="1" t="n">
        <v>45899</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44799.55194444444</v>
      </c>
      <c r="C529" s="1" t="n">
        <v>45899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19033-2025</t>
        </is>
      </c>
      <c r="B530" s="1" t="n">
        <v>45764.65796296296</v>
      </c>
      <c r="C530" s="1" t="n">
        <v>45899</v>
      </c>
      <c r="D530" t="inlineStr">
        <is>
          <t>VÄSTMANLANDS LÄN</t>
        </is>
      </c>
      <c r="E530" t="inlineStr">
        <is>
          <t>SALA</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23182-2022</t>
        </is>
      </c>
      <c r="B531" s="1" t="n">
        <v>44719.79707175926</v>
      </c>
      <c r="C531" s="1" t="n">
        <v>45899</v>
      </c>
      <c r="D531" t="inlineStr">
        <is>
          <t>VÄSTMANLANDS LÄN</t>
        </is>
      </c>
      <c r="E531" t="inlineStr">
        <is>
          <t>SALA</t>
        </is>
      </c>
      <c r="G531" t="n">
        <v>1.2</v>
      </c>
      <c r="H531" t="n">
        <v>0</v>
      </c>
      <c r="I531" t="n">
        <v>0</v>
      </c>
      <c r="J531" t="n">
        <v>0</v>
      </c>
      <c r="K531" t="n">
        <v>0</v>
      </c>
      <c r="L531" t="n">
        <v>0</v>
      </c>
      <c r="M531" t="n">
        <v>0</v>
      </c>
      <c r="N531" t="n">
        <v>0</v>
      </c>
      <c r="O531" t="n">
        <v>0</v>
      </c>
      <c r="P531" t="n">
        <v>0</v>
      </c>
      <c r="Q531" t="n">
        <v>0</v>
      </c>
      <c r="R531" s="2" t="inlineStr"/>
    </row>
    <row r="532" ht="15" customHeight="1">
      <c r="A532" t="inlineStr">
        <is>
          <t>A 57371-2022</t>
        </is>
      </c>
      <c r="B532" s="1" t="n">
        <v>44896.43832175926</v>
      </c>
      <c r="C532" s="1" t="n">
        <v>45899</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41230-2025</t>
        </is>
      </c>
      <c r="B533" s="1" t="n">
        <v>45898</v>
      </c>
      <c r="C533" s="1" t="n">
        <v>45899</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57883-2024</t>
        </is>
      </c>
      <c r="B534" s="1" t="n">
        <v>45630</v>
      </c>
      <c r="C534" s="1" t="n">
        <v>45899</v>
      </c>
      <c r="D534" t="inlineStr">
        <is>
          <t>VÄSTMANLANDS LÄN</t>
        </is>
      </c>
      <c r="E534" t="inlineStr">
        <is>
          <t>SALA</t>
        </is>
      </c>
      <c r="G534" t="n">
        <v>5.4</v>
      </c>
      <c r="H534" t="n">
        <v>0</v>
      </c>
      <c r="I534" t="n">
        <v>0</v>
      </c>
      <c r="J534" t="n">
        <v>0</v>
      </c>
      <c r="K534" t="n">
        <v>0</v>
      </c>
      <c r="L534" t="n">
        <v>0</v>
      </c>
      <c r="M534" t="n">
        <v>0</v>
      </c>
      <c r="N534" t="n">
        <v>0</v>
      </c>
      <c r="O534" t="n">
        <v>0</v>
      </c>
      <c r="P534" t="n">
        <v>0</v>
      </c>
      <c r="Q534" t="n">
        <v>0</v>
      </c>
      <c r="R534" s="2" t="inlineStr"/>
    </row>
    <row r="535" ht="15" customHeight="1">
      <c r="A535" t="inlineStr">
        <is>
          <t>A 61717-2024</t>
        </is>
      </c>
      <c r="B535" s="1" t="n">
        <v>45648</v>
      </c>
      <c r="C535" s="1" t="n">
        <v>45899</v>
      </c>
      <c r="D535" t="inlineStr">
        <is>
          <t>VÄSTMANLANDS LÄN</t>
        </is>
      </c>
      <c r="E535" t="inlineStr">
        <is>
          <t>SALA</t>
        </is>
      </c>
      <c r="G535" t="n">
        <v>3.7</v>
      </c>
      <c r="H535" t="n">
        <v>0</v>
      </c>
      <c r="I535" t="n">
        <v>0</v>
      </c>
      <c r="J535" t="n">
        <v>0</v>
      </c>
      <c r="K535" t="n">
        <v>0</v>
      </c>
      <c r="L535" t="n">
        <v>0</v>
      </c>
      <c r="M535" t="n">
        <v>0</v>
      </c>
      <c r="N535" t="n">
        <v>0</v>
      </c>
      <c r="O535" t="n">
        <v>0</v>
      </c>
      <c r="P535" t="n">
        <v>0</v>
      </c>
      <c r="Q535" t="n">
        <v>0</v>
      </c>
      <c r="R535" s="2" t="inlineStr"/>
    </row>
    <row r="536" ht="15" customHeight="1">
      <c r="A536" t="inlineStr">
        <is>
          <t>A 50876-2023</t>
        </is>
      </c>
      <c r="B536" s="1" t="n">
        <v>45211</v>
      </c>
      <c r="C536" s="1" t="n">
        <v>45899</v>
      </c>
      <c r="D536" t="inlineStr">
        <is>
          <t>VÄSTMANLANDS LÄN</t>
        </is>
      </c>
      <c r="E536" t="inlineStr">
        <is>
          <t>SALA</t>
        </is>
      </c>
      <c r="G536" t="n">
        <v>1.9</v>
      </c>
      <c r="H536" t="n">
        <v>0</v>
      </c>
      <c r="I536" t="n">
        <v>0</v>
      </c>
      <c r="J536" t="n">
        <v>0</v>
      </c>
      <c r="K536" t="n">
        <v>0</v>
      </c>
      <c r="L536" t="n">
        <v>0</v>
      </c>
      <c r="M536" t="n">
        <v>0</v>
      </c>
      <c r="N536" t="n">
        <v>0</v>
      </c>
      <c r="O536" t="n">
        <v>0</v>
      </c>
      <c r="P536" t="n">
        <v>0</v>
      </c>
      <c r="Q536" t="n">
        <v>0</v>
      </c>
      <c r="R536" s="2" t="inlineStr"/>
    </row>
    <row r="537" ht="15" customHeight="1">
      <c r="A537" t="inlineStr">
        <is>
          <t>A 37624-2024</t>
        </is>
      </c>
      <c r="B537" s="1" t="n">
        <v>45541</v>
      </c>
      <c r="C537" s="1" t="n">
        <v>45899</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56548-2024</t>
        </is>
      </c>
      <c r="B538" s="1" t="n">
        <v>45625</v>
      </c>
      <c r="C538" s="1" t="n">
        <v>45899</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47086-2022</t>
        </is>
      </c>
      <c r="B539" s="1" t="n">
        <v>44852</v>
      </c>
      <c r="C539" s="1" t="n">
        <v>45899</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40398-2021</t>
        </is>
      </c>
      <c r="B540" s="1" t="n">
        <v>44419</v>
      </c>
      <c r="C540" s="1" t="n">
        <v>45899</v>
      </c>
      <c r="D540" t="inlineStr">
        <is>
          <t>VÄSTMANLANDS LÄN</t>
        </is>
      </c>
      <c r="E540" t="inlineStr">
        <is>
          <t>SALA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41493-2020</t>
        </is>
      </c>
      <c r="B541" s="1" t="n">
        <v>44074</v>
      </c>
      <c r="C541" s="1" t="n">
        <v>45899</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6351-2023</t>
        </is>
      </c>
      <c r="B542" s="1" t="n">
        <v>44965</v>
      </c>
      <c r="C542" s="1" t="n">
        <v>45899</v>
      </c>
      <c r="D542" t="inlineStr">
        <is>
          <t>VÄSTMANLANDS LÄN</t>
        </is>
      </c>
      <c r="E542" t="inlineStr">
        <is>
          <t>SALA</t>
        </is>
      </c>
      <c r="F542" t="inlineStr">
        <is>
          <t>Kommuner</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27262-2024</t>
        </is>
      </c>
      <c r="B543" s="1" t="n">
        <v>45471</v>
      </c>
      <c r="C543" s="1" t="n">
        <v>45899</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15584-2021</t>
        </is>
      </c>
      <c r="B544" s="1" t="n">
        <v>44285</v>
      </c>
      <c r="C544" s="1" t="n">
        <v>45899</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988-2025</t>
        </is>
      </c>
      <c r="B545" s="1" t="n">
        <v>45666.44038194444</v>
      </c>
      <c r="C545" s="1" t="n">
        <v>45899</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23119-2022</t>
        </is>
      </c>
      <c r="B546" s="1" t="n">
        <v>44719.56697916667</v>
      </c>
      <c r="C546" s="1" t="n">
        <v>45899</v>
      </c>
      <c r="D546" t="inlineStr">
        <is>
          <t>VÄSTMANLANDS LÄN</t>
        </is>
      </c>
      <c r="E546" t="inlineStr">
        <is>
          <t>SALA</t>
        </is>
      </c>
      <c r="G546" t="n">
        <v>7</v>
      </c>
      <c r="H546" t="n">
        <v>0</v>
      </c>
      <c r="I546" t="n">
        <v>0</v>
      </c>
      <c r="J546" t="n">
        <v>0</v>
      </c>
      <c r="K546" t="n">
        <v>0</v>
      </c>
      <c r="L546" t="n">
        <v>0</v>
      </c>
      <c r="M546" t="n">
        <v>0</v>
      </c>
      <c r="N546" t="n">
        <v>0</v>
      </c>
      <c r="O546" t="n">
        <v>0</v>
      </c>
      <c r="P546" t="n">
        <v>0</v>
      </c>
      <c r="Q546" t="n">
        <v>0</v>
      </c>
      <c r="R546" s="2" t="inlineStr"/>
    </row>
    <row r="547" ht="15" customHeight="1">
      <c r="A547" t="inlineStr">
        <is>
          <t>A 5032-2025</t>
        </is>
      </c>
      <c r="B547" s="1" t="n">
        <v>45691</v>
      </c>
      <c r="C547" s="1" t="n">
        <v>45899</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43751-2021</t>
        </is>
      </c>
      <c r="B548" s="1" t="n">
        <v>44433</v>
      </c>
      <c r="C548" s="1" t="n">
        <v>45899</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59483-2022</t>
        </is>
      </c>
      <c r="B549" s="1" t="n">
        <v>44907.45679398148</v>
      </c>
      <c r="C549" s="1" t="n">
        <v>45899</v>
      </c>
      <c r="D549" t="inlineStr">
        <is>
          <t>VÄSTMANLANDS LÄN</t>
        </is>
      </c>
      <c r="E549" t="inlineStr">
        <is>
          <t>SALA</t>
        </is>
      </c>
      <c r="G549" t="n">
        <v>5.2</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45899</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922-2025</t>
        </is>
      </c>
      <c r="B551" s="1" t="n">
        <v>45665.80069444444</v>
      </c>
      <c r="C551" s="1" t="n">
        <v>45899</v>
      </c>
      <c r="D551" t="inlineStr">
        <is>
          <t>VÄSTMANLANDS LÄN</t>
        </is>
      </c>
      <c r="E551" t="inlineStr">
        <is>
          <t>SALA</t>
        </is>
      </c>
      <c r="G551" t="n">
        <v>6.2</v>
      </c>
      <c r="H551" t="n">
        <v>0</v>
      </c>
      <c r="I551" t="n">
        <v>0</v>
      </c>
      <c r="J551" t="n">
        <v>0</v>
      </c>
      <c r="K551" t="n">
        <v>0</v>
      </c>
      <c r="L551" t="n">
        <v>0</v>
      </c>
      <c r="M551" t="n">
        <v>0</v>
      </c>
      <c r="N551" t="n">
        <v>0</v>
      </c>
      <c r="O551" t="n">
        <v>0</v>
      </c>
      <c r="P551" t="n">
        <v>0</v>
      </c>
      <c r="Q551" t="n">
        <v>0</v>
      </c>
      <c r="R551" s="2" t="inlineStr"/>
    </row>
    <row r="552" ht="15" customHeight="1">
      <c r="A552" t="inlineStr">
        <is>
          <t>A 66908-2021</t>
        </is>
      </c>
      <c r="B552" s="1" t="n">
        <v>44522</v>
      </c>
      <c r="C552" s="1" t="n">
        <v>45899</v>
      </c>
      <c r="D552" t="inlineStr">
        <is>
          <t>VÄSTMANLANDS LÄN</t>
        </is>
      </c>
      <c r="E552" t="inlineStr">
        <is>
          <t>SALA</t>
        </is>
      </c>
      <c r="G552" t="n">
        <v>2.6</v>
      </c>
      <c r="H552" t="n">
        <v>0</v>
      </c>
      <c r="I552" t="n">
        <v>0</v>
      </c>
      <c r="J552" t="n">
        <v>0</v>
      </c>
      <c r="K552" t="n">
        <v>0</v>
      </c>
      <c r="L552" t="n">
        <v>0</v>
      </c>
      <c r="M552" t="n">
        <v>0</v>
      </c>
      <c r="N552" t="n">
        <v>0</v>
      </c>
      <c r="O552" t="n">
        <v>0</v>
      </c>
      <c r="P552" t="n">
        <v>0</v>
      </c>
      <c r="Q552" t="n">
        <v>0</v>
      </c>
      <c r="R552" s="2" t="inlineStr"/>
    </row>
    <row r="553" ht="15" customHeight="1">
      <c r="A553" t="inlineStr">
        <is>
          <t>A 4853-2023</t>
        </is>
      </c>
      <c r="B553" s="1" t="n">
        <v>44957.73234953704</v>
      </c>
      <c r="C553" s="1" t="n">
        <v>45899</v>
      </c>
      <c r="D553" t="inlineStr">
        <is>
          <t>VÄSTMANLANDS LÄN</t>
        </is>
      </c>
      <c r="E553" t="inlineStr">
        <is>
          <t>SALA</t>
        </is>
      </c>
      <c r="G553" t="n">
        <v>2.7</v>
      </c>
      <c r="H553" t="n">
        <v>0</v>
      </c>
      <c r="I553" t="n">
        <v>0</v>
      </c>
      <c r="J553" t="n">
        <v>0</v>
      </c>
      <c r="K553" t="n">
        <v>0</v>
      </c>
      <c r="L553" t="n">
        <v>0</v>
      </c>
      <c r="M553" t="n">
        <v>0</v>
      </c>
      <c r="N553" t="n">
        <v>0</v>
      </c>
      <c r="O553" t="n">
        <v>0</v>
      </c>
      <c r="P553" t="n">
        <v>0</v>
      </c>
      <c r="Q553" t="n">
        <v>0</v>
      </c>
      <c r="R553" s="2" t="inlineStr"/>
    </row>
    <row r="554" ht="15" customHeight="1">
      <c r="A554" t="inlineStr">
        <is>
          <t>A 11696-2025</t>
        </is>
      </c>
      <c r="B554" s="1" t="n">
        <v>45727</v>
      </c>
      <c r="C554" s="1" t="n">
        <v>45899</v>
      </c>
      <c r="D554" t="inlineStr">
        <is>
          <t>VÄSTMANLANDS LÄN</t>
        </is>
      </c>
      <c r="E554" t="inlineStr">
        <is>
          <t>SALA</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43509-2021</t>
        </is>
      </c>
      <c r="B555" s="1" t="n">
        <v>44433</v>
      </c>
      <c r="C555" s="1" t="n">
        <v>45899</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42344-2020</t>
        </is>
      </c>
      <c r="B556" s="1" t="n">
        <v>44076</v>
      </c>
      <c r="C556" s="1" t="n">
        <v>45899</v>
      </c>
      <c r="D556" t="inlineStr">
        <is>
          <t>VÄSTMANLANDS LÄN</t>
        </is>
      </c>
      <c r="E556" t="inlineStr">
        <is>
          <t>SALA</t>
        </is>
      </c>
      <c r="G556" t="n">
        <v>5.1</v>
      </c>
      <c r="H556" t="n">
        <v>0</v>
      </c>
      <c r="I556" t="n">
        <v>0</v>
      </c>
      <c r="J556" t="n">
        <v>0</v>
      </c>
      <c r="K556" t="n">
        <v>0</v>
      </c>
      <c r="L556" t="n">
        <v>0</v>
      </c>
      <c r="M556" t="n">
        <v>0</v>
      </c>
      <c r="N556" t="n">
        <v>0</v>
      </c>
      <c r="O556" t="n">
        <v>0</v>
      </c>
      <c r="P556" t="n">
        <v>0</v>
      </c>
      <c r="Q556" t="n">
        <v>0</v>
      </c>
      <c r="R556" s="2" t="inlineStr"/>
    </row>
    <row r="557" ht="15" customHeight="1">
      <c r="A557" t="inlineStr">
        <is>
          <t>A 42346-2020</t>
        </is>
      </c>
      <c r="B557" s="1" t="n">
        <v>44076</v>
      </c>
      <c r="C557" s="1" t="n">
        <v>45899</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1993-2022</t>
        </is>
      </c>
      <c r="B558" s="1" t="n">
        <v>44575</v>
      </c>
      <c r="C558" s="1" t="n">
        <v>45899</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13746-2025</t>
        </is>
      </c>
      <c r="B559" s="1" t="n">
        <v>45737.40944444444</v>
      </c>
      <c r="C559" s="1" t="n">
        <v>45899</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1793-2023</t>
        </is>
      </c>
      <c r="B560" s="1" t="n">
        <v>44937</v>
      </c>
      <c r="C560" s="1" t="n">
        <v>45899</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25897-2024</t>
        </is>
      </c>
      <c r="B561" s="1" t="n">
        <v>45467.54435185185</v>
      </c>
      <c r="C561" s="1" t="n">
        <v>45899</v>
      </c>
      <c r="D561" t="inlineStr">
        <is>
          <t>VÄSTMANLANDS LÄN</t>
        </is>
      </c>
      <c r="E561" t="inlineStr">
        <is>
          <t>SALA</t>
        </is>
      </c>
      <c r="G561" t="n">
        <v>9.9</v>
      </c>
      <c r="H561" t="n">
        <v>0</v>
      </c>
      <c r="I561" t="n">
        <v>0</v>
      </c>
      <c r="J561" t="n">
        <v>0</v>
      </c>
      <c r="K561" t="n">
        <v>0</v>
      </c>
      <c r="L561" t="n">
        <v>0</v>
      </c>
      <c r="M561" t="n">
        <v>0</v>
      </c>
      <c r="N561" t="n">
        <v>0</v>
      </c>
      <c r="O561" t="n">
        <v>0</v>
      </c>
      <c r="P561" t="n">
        <v>0</v>
      </c>
      <c r="Q561" t="n">
        <v>0</v>
      </c>
      <c r="R561" s="2" t="inlineStr"/>
    </row>
    <row r="562" ht="15" customHeight="1">
      <c r="A562" t="inlineStr">
        <is>
          <t>A 23222-2023</t>
        </is>
      </c>
      <c r="B562" s="1" t="n">
        <v>45075</v>
      </c>
      <c r="C562" s="1" t="n">
        <v>45899</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23224-2023</t>
        </is>
      </c>
      <c r="B563" s="1" t="n">
        <v>45075.65040509259</v>
      </c>
      <c r="C563" s="1" t="n">
        <v>45899</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45899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50818-2020</t>
        </is>
      </c>
      <c r="B565" s="1" t="n">
        <v>44111</v>
      </c>
      <c r="C565" s="1" t="n">
        <v>45899</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14919-2025</t>
        </is>
      </c>
      <c r="B566" s="1" t="n">
        <v>45743.54256944444</v>
      </c>
      <c r="C566" s="1" t="n">
        <v>45899</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14920-2025</t>
        </is>
      </c>
      <c r="B567" s="1" t="n">
        <v>45743</v>
      </c>
      <c r="C567" s="1" t="n">
        <v>45899</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42447-2022</t>
        </is>
      </c>
      <c r="B568" s="1" t="n">
        <v>44831</v>
      </c>
      <c r="C568" s="1" t="n">
        <v>45899</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13855-2023</t>
        </is>
      </c>
      <c r="B569" s="1" t="n">
        <v>45007</v>
      </c>
      <c r="C569" s="1" t="n">
        <v>45899</v>
      </c>
      <c r="D569" t="inlineStr">
        <is>
          <t>VÄSTMANLANDS LÄN</t>
        </is>
      </c>
      <c r="E569" t="inlineStr">
        <is>
          <t>SALA</t>
        </is>
      </c>
      <c r="G569" t="n">
        <v>2.9</v>
      </c>
      <c r="H569" t="n">
        <v>0</v>
      </c>
      <c r="I569" t="n">
        <v>0</v>
      </c>
      <c r="J569" t="n">
        <v>0</v>
      </c>
      <c r="K569" t="n">
        <v>0</v>
      </c>
      <c r="L569" t="n">
        <v>0</v>
      </c>
      <c r="M569" t="n">
        <v>0</v>
      </c>
      <c r="N569" t="n">
        <v>0</v>
      </c>
      <c r="O569" t="n">
        <v>0</v>
      </c>
      <c r="P569" t="n">
        <v>0</v>
      </c>
      <c r="Q569" t="n">
        <v>0</v>
      </c>
      <c r="R569" s="2" t="inlineStr"/>
    </row>
    <row r="570" ht="15" customHeight="1">
      <c r="A570" t="inlineStr">
        <is>
          <t>A 11183-2023</t>
        </is>
      </c>
      <c r="B570" s="1" t="n">
        <v>44992.57782407408</v>
      </c>
      <c r="C570" s="1" t="n">
        <v>45899</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11190-2023</t>
        </is>
      </c>
      <c r="B571" s="1" t="n">
        <v>44992</v>
      </c>
      <c r="C571" s="1" t="n">
        <v>45899</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31950-2023</t>
        </is>
      </c>
      <c r="B572" s="1" t="n">
        <v>45107</v>
      </c>
      <c r="C572" s="1" t="n">
        <v>45899</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18877-2023</t>
        </is>
      </c>
      <c r="B573" s="1" t="n">
        <v>45044</v>
      </c>
      <c r="C573" s="1" t="n">
        <v>45899</v>
      </c>
      <c r="D573" t="inlineStr">
        <is>
          <t>VÄSTMANLANDS LÄN</t>
        </is>
      </c>
      <c r="E573" t="inlineStr">
        <is>
          <t>SALA</t>
        </is>
      </c>
      <c r="F573" t="inlineStr">
        <is>
          <t>Kommuner</t>
        </is>
      </c>
      <c r="G573" t="n">
        <v>4.4</v>
      </c>
      <c r="H573" t="n">
        <v>0</v>
      </c>
      <c r="I573" t="n">
        <v>0</v>
      </c>
      <c r="J573" t="n">
        <v>0</v>
      </c>
      <c r="K573" t="n">
        <v>0</v>
      </c>
      <c r="L573" t="n">
        <v>0</v>
      </c>
      <c r="M573" t="n">
        <v>0</v>
      </c>
      <c r="N573" t="n">
        <v>0</v>
      </c>
      <c r="O573" t="n">
        <v>0</v>
      </c>
      <c r="P573" t="n">
        <v>0</v>
      </c>
      <c r="Q573" t="n">
        <v>0</v>
      </c>
      <c r="R573" s="2" t="inlineStr"/>
    </row>
    <row r="574" ht="15" customHeight="1">
      <c r="A574" t="inlineStr">
        <is>
          <t>A 55556-2023</t>
        </is>
      </c>
      <c r="B574" s="1" t="n">
        <v>45232</v>
      </c>
      <c r="C574" s="1" t="n">
        <v>45899</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34494-2023</t>
        </is>
      </c>
      <c r="B575" s="1" t="n">
        <v>45133</v>
      </c>
      <c r="C575" s="1" t="n">
        <v>45899</v>
      </c>
      <c r="D575" t="inlineStr">
        <is>
          <t>VÄSTMANLANDS LÄN</t>
        </is>
      </c>
      <c r="E575" t="inlineStr">
        <is>
          <t>SALA</t>
        </is>
      </c>
      <c r="G575" t="n">
        <v>0.8</v>
      </c>
      <c r="H575" t="n">
        <v>0</v>
      </c>
      <c r="I575" t="n">
        <v>0</v>
      </c>
      <c r="J575" t="n">
        <v>0</v>
      </c>
      <c r="K575" t="n">
        <v>0</v>
      </c>
      <c r="L575" t="n">
        <v>0</v>
      </c>
      <c r="M575" t="n">
        <v>0</v>
      </c>
      <c r="N575" t="n">
        <v>0</v>
      </c>
      <c r="O575" t="n">
        <v>0</v>
      </c>
      <c r="P575" t="n">
        <v>0</v>
      </c>
      <c r="Q575" t="n">
        <v>0</v>
      </c>
      <c r="R575" s="2" t="inlineStr"/>
    </row>
    <row r="576" ht="15" customHeight="1">
      <c r="A576" t="inlineStr">
        <is>
          <t>A 48710-2024</t>
        </is>
      </c>
      <c r="B576" s="1" t="n">
        <v>45593.53636574074</v>
      </c>
      <c r="C576" s="1" t="n">
        <v>45899</v>
      </c>
      <c r="D576" t="inlineStr">
        <is>
          <t>VÄSTMANLANDS LÄN</t>
        </is>
      </c>
      <c r="E576" t="inlineStr">
        <is>
          <t>SALA</t>
        </is>
      </c>
      <c r="G576" t="n">
        <v>6.5</v>
      </c>
      <c r="H576" t="n">
        <v>0</v>
      </c>
      <c r="I576" t="n">
        <v>0</v>
      </c>
      <c r="J576" t="n">
        <v>0</v>
      </c>
      <c r="K576" t="n">
        <v>0</v>
      </c>
      <c r="L576" t="n">
        <v>0</v>
      </c>
      <c r="M576" t="n">
        <v>0</v>
      </c>
      <c r="N576" t="n">
        <v>0</v>
      </c>
      <c r="O576" t="n">
        <v>0</v>
      </c>
      <c r="P576" t="n">
        <v>0</v>
      </c>
      <c r="Q576" t="n">
        <v>0</v>
      </c>
      <c r="R576" s="2" t="inlineStr"/>
    </row>
    <row r="577" ht="15" customHeight="1">
      <c r="A577" t="inlineStr">
        <is>
          <t>A 15650-2025</t>
        </is>
      </c>
      <c r="B577" s="1" t="n">
        <v>45748.40172453703</v>
      </c>
      <c r="C577" s="1" t="n">
        <v>45899</v>
      </c>
      <c r="D577" t="inlineStr">
        <is>
          <t>VÄSTMANLANDS LÄN</t>
        </is>
      </c>
      <c r="E577" t="inlineStr">
        <is>
          <t>SALA</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13752-2025</t>
        </is>
      </c>
      <c r="B578" s="1" t="n">
        <v>45737.41416666667</v>
      </c>
      <c r="C578" s="1" t="n">
        <v>45899</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23406-2024</t>
        </is>
      </c>
      <c r="B579" s="1" t="n">
        <v>45453.58296296297</v>
      </c>
      <c r="C579" s="1" t="n">
        <v>45899</v>
      </c>
      <c r="D579" t="inlineStr">
        <is>
          <t>VÄSTMANLANDS LÄN</t>
        </is>
      </c>
      <c r="E579" t="inlineStr">
        <is>
          <t>SALA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12246-2023</t>
        </is>
      </c>
      <c r="B580" s="1" t="n">
        <v>44995</v>
      </c>
      <c r="C580" s="1" t="n">
        <v>45899</v>
      </c>
      <c r="D580" t="inlineStr">
        <is>
          <t>VÄSTMANLANDS LÄN</t>
        </is>
      </c>
      <c r="E580" t="inlineStr">
        <is>
          <t>SALA</t>
        </is>
      </c>
      <c r="G580" t="n">
        <v>2.4</v>
      </c>
      <c r="H580" t="n">
        <v>0</v>
      </c>
      <c r="I580" t="n">
        <v>0</v>
      </c>
      <c r="J580" t="n">
        <v>0</v>
      </c>
      <c r="K580" t="n">
        <v>0</v>
      </c>
      <c r="L580" t="n">
        <v>0</v>
      </c>
      <c r="M580" t="n">
        <v>0</v>
      </c>
      <c r="N580" t="n">
        <v>0</v>
      </c>
      <c r="O580" t="n">
        <v>0</v>
      </c>
      <c r="P580" t="n">
        <v>0</v>
      </c>
      <c r="Q580" t="n">
        <v>0</v>
      </c>
      <c r="R580" s="2" t="inlineStr"/>
    </row>
    <row r="581" ht="15" customHeight="1">
      <c r="A581" t="inlineStr">
        <is>
          <t>A 57800-2020</t>
        </is>
      </c>
      <c r="B581" s="1" t="n">
        <v>44141</v>
      </c>
      <c r="C581" s="1" t="n">
        <v>45899</v>
      </c>
      <c r="D581" t="inlineStr">
        <is>
          <t>VÄSTMANLANDS LÄN</t>
        </is>
      </c>
      <c r="E581" t="inlineStr">
        <is>
          <t>SALA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48571-2024</t>
        </is>
      </c>
      <c r="B582" s="1" t="n">
        <v>45591</v>
      </c>
      <c r="C582" s="1" t="n">
        <v>45899</v>
      </c>
      <c r="D582" t="inlineStr">
        <is>
          <t>VÄSTMANLANDS LÄN</t>
        </is>
      </c>
      <c r="E582" t="inlineStr">
        <is>
          <t>SALA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19398-2025</t>
        </is>
      </c>
      <c r="B583" s="1" t="n">
        <v>45769</v>
      </c>
      <c r="C583" s="1" t="n">
        <v>45899</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43362-2023</t>
        </is>
      </c>
      <c r="B584" s="1" t="n">
        <v>45183</v>
      </c>
      <c r="C584" s="1" t="n">
        <v>45899</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22921-2023</t>
        </is>
      </c>
      <c r="B585" s="1" t="n">
        <v>45070</v>
      </c>
      <c r="C585" s="1" t="n">
        <v>45899</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16133-2025</t>
        </is>
      </c>
      <c r="B586" s="1" t="n">
        <v>45750</v>
      </c>
      <c r="C586" s="1" t="n">
        <v>45899</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16767-2024</t>
        </is>
      </c>
      <c r="B587" s="1" t="n">
        <v>45411.38171296296</v>
      </c>
      <c r="C587" s="1" t="n">
        <v>45899</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6127-2025</t>
        </is>
      </c>
      <c r="B588" s="1" t="n">
        <v>45698</v>
      </c>
      <c r="C588" s="1" t="n">
        <v>45899</v>
      </c>
      <c r="D588" t="inlineStr">
        <is>
          <t>VÄSTMANLANDS LÄN</t>
        </is>
      </c>
      <c r="E588" t="inlineStr">
        <is>
          <t>SALA</t>
        </is>
      </c>
      <c r="F588" t="inlineStr">
        <is>
          <t>Bergvik skog öst AB</t>
        </is>
      </c>
      <c r="G588" t="n">
        <v>4.3</v>
      </c>
      <c r="H588" t="n">
        <v>0</v>
      </c>
      <c r="I588" t="n">
        <v>0</v>
      </c>
      <c r="J588" t="n">
        <v>0</v>
      </c>
      <c r="K588" t="n">
        <v>0</v>
      </c>
      <c r="L588" t="n">
        <v>0</v>
      </c>
      <c r="M588" t="n">
        <v>0</v>
      </c>
      <c r="N588" t="n">
        <v>0</v>
      </c>
      <c r="O588" t="n">
        <v>0</v>
      </c>
      <c r="P588" t="n">
        <v>0</v>
      </c>
      <c r="Q588" t="n">
        <v>0</v>
      </c>
      <c r="R588" s="2" t="inlineStr"/>
    </row>
    <row r="589" ht="15" customHeight="1">
      <c r="A589" t="inlineStr">
        <is>
          <t>A 15272-2025</t>
        </is>
      </c>
      <c r="B589" s="1" t="n">
        <v>45744</v>
      </c>
      <c r="C589" s="1" t="n">
        <v>45899</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24248-2023</t>
        </is>
      </c>
      <c r="B590" s="1" t="n">
        <v>45079</v>
      </c>
      <c r="C590" s="1" t="n">
        <v>45899</v>
      </c>
      <c r="D590" t="inlineStr">
        <is>
          <t>VÄSTMANLANDS LÄN</t>
        </is>
      </c>
      <c r="E590" t="inlineStr">
        <is>
          <t>SALA</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31470-2021</t>
        </is>
      </c>
      <c r="B591" s="1" t="n">
        <v>44369</v>
      </c>
      <c r="C591" s="1" t="n">
        <v>45899</v>
      </c>
      <c r="D591" t="inlineStr">
        <is>
          <t>VÄSTMANLANDS LÄN</t>
        </is>
      </c>
      <c r="E591" t="inlineStr">
        <is>
          <t>SALA</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18461-2024</t>
        </is>
      </c>
      <c r="B592" s="1" t="n">
        <v>45425.47435185185</v>
      </c>
      <c r="C592" s="1" t="n">
        <v>45899</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38195-2021</t>
        </is>
      </c>
      <c r="B593" s="1" t="n">
        <v>44405</v>
      </c>
      <c r="C593" s="1" t="n">
        <v>45899</v>
      </c>
      <c r="D593" t="inlineStr">
        <is>
          <t>VÄSTMANLANDS LÄN</t>
        </is>
      </c>
      <c r="E593" t="inlineStr">
        <is>
          <t>SALA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27228-2023</t>
        </is>
      </c>
      <c r="B594" s="1" t="n">
        <v>45096.59189814814</v>
      </c>
      <c r="C594" s="1" t="n">
        <v>45899</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29230-2022</t>
        </is>
      </c>
      <c r="B595" s="1" t="n">
        <v>44750</v>
      </c>
      <c r="C595" s="1" t="n">
        <v>45899</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53838-2022</t>
        </is>
      </c>
      <c r="B596" s="1" t="n">
        <v>44880.59363425926</v>
      </c>
      <c r="C596" s="1" t="n">
        <v>45899</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9335-2022</t>
        </is>
      </c>
      <c r="B597" s="1" t="n">
        <v>44616.56579861111</v>
      </c>
      <c r="C597" s="1" t="n">
        <v>45899</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47479-2024</t>
        </is>
      </c>
      <c r="B598" s="1" t="n">
        <v>45587</v>
      </c>
      <c r="C598" s="1" t="n">
        <v>45899</v>
      </c>
      <c r="D598" t="inlineStr">
        <is>
          <t>VÄSTMANLANDS LÄN</t>
        </is>
      </c>
      <c r="E598" t="inlineStr">
        <is>
          <t>SALA</t>
        </is>
      </c>
      <c r="F598" t="inlineStr">
        <is>
          <t>Kommuner</t>
        </is>
      </c>
      <c r="G598" t="n">
        <v>0.8</v>
      </c>
      <c r="H598" t="n">
        <v>0</v>
      </c>
      <c r="I598" t="n">
        <v>0</v>
      </c>
      <c r="J598" t="n">
        <v>0</v>
      </c>
      <c r="K598" t="n">
        <v>0</v>
      </c>
      <c r="L598" t="n">
        <v>0</v>
      </c>
      <c r="M598" t="n">
        <v>0</v>
      </c>
      <c r="N598" t="n">
        <v>0</v>
      </c>
      <c r="O598" t="n">
        <v>0</v>
      </c>
      <c r="P598" t="n">
        <v>0</v>
      </c>
      <c r="Q598" t="n">
        <v>0</v>
      </c>
      <c r="R598" s="2" t="inlineStr"/>
    </row>
    <row r="599" ht="15" customHeight="1">
      <c r="A599" t="inlineStr">
        <is>
          <t>A 17985-2025</t>
        </is>
      </c>
      <c r="B599" s="1" t="n">
        <v>45761</v>
      </c>
      <c r="C599" s="1" t="n">
        <v>45899</v>
      </c>
      <c r="D599" t="inlineStr">
        <is>
          <t>VÄSTMANLANDS LÄN</t>
        </is>
      </c>
      <c r="E599" t="inlineStr">
        <is>
          <t>SALA</t>
        </is>
      </c>
      <c r="G599" t="n">
        <v>12.5</v>
      </c>
      <c r="H599" t="n">
        <v>0</v>
      </c>
      <c r="I599" t="n">
        <v>0</v>
      </c>
      <c r="J599" t="n">
        <v>0</v>
      </c>
      <c r="K599" t="n">
        <v>0</v>
      </c>
      <c r="L599" t="n">
        <v>0</v>
      </c>
      <c r="M599" t="n">
        <v>0</v>
      </c>
      <c r="N599" t="n">
        <v>0</v>
      </c>
      <c r="O599" t="n">
        <v>0</v>
      </c>
      <c r="P599" t="n">
        <v>0</v>
      </c>
      <c r="Q599" t="n">
        <v>0</v>
      </c>
      <c r="R599" s="2" t="inlineStr"/>
    </row>
    <row r="600" ht="15" customHeight="1">
      <c r="A600" t="inlineStr">
        <is>
          <t>A 54923-2020</t>
        </is>
      </c>
      <c r="B600" s="1" t="n">
        <v>44127</v>
      </c>
      <c r="C600" s="1" t="n">
        <v>45899</v>
      </c>
      <c r="D600" t="inlineStr">
        <is>
          <t>VÄSTMANLANDS LÄN</t>
        </is>
      </c>
      <c r="E600" t="inlineStr">
        <is>
          <t>SALA</t>
        </is>
      </c>
      <c r="G600" t="n">
        <v>4.9</v>
      </c>
      <c r="H600" t="n">
        <v>0</v>
      </c>
      <c r="I600" t="n">
        <v>0</v>
      </c>
      <c r="J600" t="n">
        <v>0</v>
      </c>
      <c r="K600" t="n">
        <v>0</v>
      </c>
      <c r="L600" t="n">
        <v>0</v>
      </c>
      <c r="M600" t="n">
        <v>0</v>
      </c>
      <c r="N600" t="n">
        <v>0</v>
      </c>
      <c r="O600" t="n">
        <v>0</v>
      </c>
      <c r="P600" t="n">
        <v>0</v>
      </c>
      <c r="Q600" t="n">
        <v>0</v>
      </c>
      <c r="R600" s="2" t="inlineStr"/>
    </row>
    <row r="601" ht="15" customHeight="1">
      <c r="A601" t="inlineStr">
        <is>
          <t>A 19065-2022</t>
        </is>
      </c>
      <c r="B601" s="1" t="n">
        <v>44691.44309027777</v>
      </c>
      <c r="C601" s="1" t="n">
        <v>45899</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22961-2023</t>
        </is>
      </c>
      <c r="B602" s="1" t="n">
        <v>45072</v>
      </c>
      <c r="C602" s="1" t="n">
        <v>45899</v>
      </c>
      <c r="D602" t="inlineStr">
        <is>
          <t>VÄSTMANLANDS LÄN</t>
        </is>
      </c>
      <c r="E602" t="inlineStr">
        <is>
          <t>SALA</t>
        </is>
      </c>
      <c r="G602" t="n">
        <v>2.7</v>
      </c>
      <c r="H602" t="n">
        <v>0</v>
      </c>
      <c r="I602" t="n">
        <v>0</v>
      </c>
      <c r="J602" t="n">
        <v>0</v>
      </c>
      <c r="K602" t="n">
        <v>0</v>
      </c>
      <c r="L602" t="n">
        <v>0</v>
      </c>
      <c r="M602" t="n">
        <v>0</v>
      </c>
      <c r="N602" t="n">
        <v>0</v>
      </c>
      <c r="O602" t="n">
        <v>0</v>
      </c>
      <c r="P602" t="n">
        <v>0</v>
      </c>
      <c r="Q602" t="n">
        <v>0</v>
      </c>
      <c r="R602" s="2" t="inlineStr"/>
    </row>
    <row r="603" ht="15" customHeight="1">
      <c r="A603" t="inlineStr">
        <is>
          <t>A 22963-2023</t>
        </is>
      </c>
      <c r="B603" s="1" t="n">
        <v>45072</v>
      </c>
      <c r="C603" s="1" t="n">
        <v>45899</v>
      </c>
      <c r="D603" t="inlineStr">
        <is>
          <t>VÄSTMANLANDS LÄN</t>
        </is>
      </c>
      <c r="E603" t="inlineStr">
        <is>
          <t>SALA</t>
        </is>
      </c>
      <c r="G603" t="n">
        <v>1.2</v>
      </c>
      <c r="H603" t="n">
        <v>0</v>
      </c>
      <c r="I603" t="n">
        <v>0</v>
      </c>
      <c r="J603" t="n">
        <v>0</v>
      </c>
      <c r="K603" t="n">
        <v>0</v>
      </c>
      <c r="L603" t="n">
        <v>0</v>
      </c>
      <c r="M603" t="n">
        <v>0</v>
      </c>
      <c r="N603" t="n">
        <v>0</v>
      </c>
      <c r="O603" t="n">
        <v>0</v>
      </c>
      <c r="P603" t="n">
        <v>0</v>
      </c>
      <c r="Q603" t="n">
        <v>0</v>
      </c>
      <c r="R603" s="2" t="inlineStr"/>
    </row>
    <row r="604" ht="15" customHeight="1">
      <c r="A604" t="inlineStr">
        <is>
          <t>A 54771-2024</t>
        </is>
      </c>
      <c r="B604" s="1" t="n">
        <v>45618</v>
      </c>
      <c r="C604" s="1" t="n">
        <v>45899</v>
      </c>
      <c r="D604" t="inlineStr">
        <is>
          <t>VÄSTMANLANDS LÄN</t>
        </is>
      </c>
      <c r="E604" t="inlineStr">
        <is>
          <t>SALA</t>
        </is>
      </c>
      <c r="G604" t="n">
        <v>2.8</v>
      </c>
      <c r="H604" t="n">
        <v>0</v>
      </c>
      <c r="I604" t="n">
        <v>0</v>
      </c>
      <c r="J604" t="n">
        <v>0</v>
      </c>
      <c r="K604" t="n">
        <v>0</v>
      </c>
      <c r="L604" t="n">
        <v>0</v>
      </c>
      <c r="M604" t="n">
        <v>0</v>
      </c>
      <c r="N604" t="n">
        <v>0</v>
      </c>
      <c r="O604" t="n">
        <v>0</v>
      </c>
      <c r="P604" t="n">
        <v>0</v>
      </c>
      <c r="Q604" t="n">
        <v>0</v>
      </c>
      <c r="R604" s="2" t="inlineStr"/>
    </row>
    <row r="605" ht="15" customHeight="1">
      <c r="A605" t="inlineStr">
        <is>
          <t>A 25260-2023</t>
        </is>
      </c>
      <c r="B605" s="1" t="n">
        <v>45086</v>
      </c>
      <c r="C605" s="1" t="n">
        <v>45899</v>
      </c>
      <c r="D605" t="inlineStr">
        <is>
          <t>VÄSTMANLANDS LÄN</t>
        </is>
      </c>
      <c r="E605" t="inlineStr">
        <is>
          <t>SALA</t>
        </is>
      </c>
      <c r="F605" t="inlineStr">
        <is>
          <t>Sveaskog</t>
        </is>
      </c>
      <c r="G605" t="n">
        <v>3.2</v>
      </c>
      <c r="H605" t="n">
        <v>0</v>
      </c>
      <c r="I605" t="n">
        <v>0</v>
      </c>
      <c r="J605" t="n">
        <v>0</v>
      </c>
      <c r="K605" t="n">
        <v>0</v>
      </c>
      <c r="L605" t="n">
        <v>0</v>
      </c>
      <c r="M605" t="n">
        <v>0</v>
      </c>
      <c r="N605" t="n">
        <v>0</v>
      </c>
      <c r="O605" t="n">
        <v>0</v>
      </c>
      <c r="P605" t="n">
        <v>0</v>
      </c>
      <c r="Q605" t="n">
        <v>0</v>
      </c>
      <c r="R605" s="2" t="inlineStr"/>
    </row>
    <row r="606" ht="15" customHeight="1">
      <c r="A606" t="inlineStr">
        <is>
          <t>A 16769-2024</t>
        </is>
      </c>
      <c r="B606" s="1" t="n">
        <v>45411.38738425926</v>
      </c>
      <c r="C606" s="1" t="n">
        <v>45899</v>
      </c>
      <c r="D606" t="inlineStr">
        <is>
          <t>VÄSTMANLANDS LÄN</t>
        </is>
      </c>
      <c r="E606" t="inlineStr">
        <is>
          <t>SALA</t>
        </is>
      </c>
      <c r="G606" t="n">
        <v>12</v>
      </c>
      <c r="H606" t="n">
        <v>0</v>
      </c>
      <c r="I606" t="n">
        <v>0</v>
      </c>
      <c r="J606" t="n">
        <v>0</v>
      </c>
      <c r="K606" t="n">
        <v>0</v>
      </c>
      <c r="L606" t="n">
        <v>0</v>
      </c>
      <c r="M606" t="n">
        <v>0</v>
      </c>
      <c r="N606" t="n">
        <v>0</v>
      </c>
      <c r="O606" t="n">
        <v>0</v>
      </c>
      <c r="P606" t="n">
        <v>0</v>
      </c>
      <c r="Q606" t="n">
        <v>0</v>
      </c>
      <c r="R606" s="2" t="inlineStr"/>
    </row>
    <row r="607" ht="15" customHeight="1">
      <c r="A607" t="inlineStr">
        <is>
          <t>A 60249-2023</t>
        </is>
      </c>
      <c r="B607" s="1" t="n">
        <v>45258</v>
      </c>
      <c r="C607" s="1" t="n">
        <v>45899</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14271-2025</t>
        </is>
      </c>
      <c r="B608" s="1" t="n">
        <v>45740.64129629629</v>
      </c>
      <c r="C608" s="1" t="n">
        <v>45899</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69232-2021</t>
        </is>
      </c>
      <c r="B609" s="1" t="n">
        <v>44531.39696759259</v>
      </c>
      <c r="C609" s="1" t="n">
        <v>45899</v>
      </c>
      <c r="D609" t="inlineStr">
        <is>
          <t>VÄSTMANLANDS LÄN</t>
        </is>
      </c>
      <c r="E609" t="inlineStr">
        <is>
          <t>SALA</t>
        </is>
      </c>
      <c r="G609" t="n">
        <v>2.3</v>
      </c>
      <c r="H609" t="n">
        <v>0</v>
      </c>
      <c r="I609" t="n">
        <v>0</v>
      </c>
      <c r="J609" t="n">
        <v>0</v>
      </c>
      <c r="K609" t="n">
        <v>0</v>
      </c>
      <c r="L609" t="n">
        <v>0</v>
      </c>
      <c r="M609" t="n">
        <v>0</v>
      </c>
      <c r="N609" t="n">
        <v>0</v>
      </c>
      <c r="O609" t="n">
        <v>0</v>
      </c>
      <c r="P609" t="n">
        <v>0</v>
      </c>
      <c r="Q609" t="n">
        <v>0</v>
      </c>
      <c r="R609" s="2" t="inlineStr"/>
    </row>
    <row r="610" ht="15" customHeight="1">
      <c r="A610" t="inlineStr">
        <is>
          <t>A 10585-2022</t>
        </is>
      </c>
      <c r="B610" s="1" t="n">
        <v>44624</v>
      </c>
      <c r="C610" s="1" t="n">
        <v>45899</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69236-2021</t>
        </is>
      </c>
      <c r="B611" s="1" t="n">
        <v>44531.4047337963</v>
      </c>
      <c r="C611" s="1" t="n">
        <v>45899</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28328-2023</t>
        </is>
      </c>
      <c r="B612" s="1" t="n">
        <v>45099.71063657408</v>
      </c>
      <c r="C612" s="1" t="n">
        <v>45899</v>
      </c>
      <c r="D612" t="inlineStr">
        <is>
          <t>VÄSTMANLANDS LÄN</t>
        </is>
      </c>
      <c r="E612" t="inlineStr">
        <is>
          <t>SALA</t>
        </is>
      </c>
      <c r="G612" t="n">
        <v>1.8</v>
      </c>
      <c r="H612" t="n">
        <v>0</v>
      </c>
      <c r="I612" t="n">
        <v>0</v>
      </c>
      <c r="J612" t="n">
        <v>0</v>
      </c>
      <c r="K612" t="n">
        <v>0</v>
      </c>
      <c r="L612" t="n">
        <v>0</v>
      </c>
      <c r="M612" t="n">
        <v>0</v>
      </c>
      <c r="N612" t="n">
        <v>0</v>
      </c>
      <c r="O612" t="n">
        <v>0</v>
      </c>
      <c r="P612" t="n">
        <v>0</v>
      </c>
      <c r="Q612" t="n">
        <v>0</v>
      </c>
      <c r="R612" s="2" t="inlineStr"/>
    </row>
    <row r="613" ht="15" customHeight="1">
      <c r="A613" t="inlineStr">
        <is>
          <t>A 48117-2024</t>
        </is>
      </c>
      <c r="B613" s="1" t="n">
        <v>45589</v>
      </c>
      <c r="C613" s="1" t="n">
        <v>45899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12225-2023</t>
        </is>
      </c>
      <c r="B614" s="1" t="n">
        <v>44995</v>
      </c>
      <c r="C614" s="1" t="n">
        <v>45899</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12252-2023</t>
        </is>
      </c>
      <c r="B615" s="1" t="n">
        <v>44995</v>
      </c>
      <c r="C615" s="1" t="n">
        <v>45899</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40085-2024</t>
        </is>
      </c>
      <c r="B616" s="1" t="n">
        <v>45554</v>
      </c>
      <c r="C616" s="1" t="n">
        <v>45899</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6116-2023</t>
        </is>
      </c>
      <c r="B617" s="1" t="n">
        <v>44964</v>
      </c>
      <c r="C617" s="1" t="n">
        <v>45899</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18100-2023</t>
        </is>
      </c>
      <c r="B618" s="1" t="n">
        <v>45040</v>
      </c>
      <c r="C618" s="1" t="n">
        <v>45899</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18158-2025</t>
        </is>
      </c>
      <c r="B619" s="1" t="n">
        <v>45761</v>
      </c>
      <c r="C619" s="1" t="n">
        <v>45899</v>
      </c>
      <c r="D619" t="inlineStr">
        <is>
          <t>VÄSTMANLANDS LÄN</t>
        </is>
      </c>
      <c r="E619" t="inlineStr">
        <is>
          <t>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49661-2024</t>
        </is>
      </c>
      <c r="B620" s="1" t="n">
        <v>45596</v>
      </c>
      <c r="C620" s="1" t="n">
        <v>45899</v>
      </c>
      <c r="D620" t="inlineStr">
        <is>
          <t>VÄSTMANLANDS LÄN</t>
        </is>
      </c>
      <c r="E620" t="inlineStr">
        <is>
          <t>SALA</t>
        </is>
      </c>
      <c r="G620" t="n">
        <v>6.7</v>
      </c>
      <c r="H620" t="n">
        <v>0</v>
      </c>
      <c r="I620" t="n">
        <v>0</v>
      </c>
      <c r="J620" t="n">
        <v>0</v>
      </c>
      <c r="K620" t="n">
        <v>0</v>
      </c>
      <c r="L620" t="n">
        <v>0</v>
      </c>
      <c r="M620" t="n">
        <v>0</v>
      </c>
      <c r="N620" t="n">
        <v>0</v>
      </c>
      <c r="O620" t="n">
        <v>0</v>
      </c>
      <c r="P620" t="n">
        <v>0</v>
      </c>
      <c r="Q620" t="n">
        <v>0</v>
      </c>
      <c r="R620" s="2" t="inlineStr"/>
    </row>
    <row r="621" ht="15" customHeight="1">
      <c r="A621" t="inlineStr">
        <is>
          <t>A 13471-2025</t>
        </is>
      </c>
      <c r="B621" s="1" t="n">
        <v>45736.40579861111</v>
      </c>
      <c r="C621" s="1" t="n">
        <v>45899</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26854-2024</t>
        </is>
      </c>
      <c r="B622" s="1" t="n">
        <v>45470</v>
      </c>
      <c r="C622" s="1" t="n">
        <v>45899</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37602-2024</t>
        </is>
      </c>
      <c r="B623" s="1" t="n">
        <v>45541</v>
      </c>
      <c r="C623" s="1" t="n">
        <v>45899</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1985-2022</t>
        </is>
      </c>
      <c r="B624" s="1" t="n">
        <v>44575</v>
      </c>
      <c r="C624" s="1" t="n">
        <v>45899</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35519-2024</t>
        </is>
      </c>
      <c r="B625" s="1" t="n">
        <v>45531</v>
      </c>
      <c r="C625" s="1" t="n">
        <v>45899</v>
      </c>
      <c r="D625" t="inlineStr">
        <is>
          <t>VÄSTMANLANDS LÄN</t>
        </is>
      </c>
      <c r="E625" t="inlineStr">
        <is>
          <t>SALA</t>
        </is>
      </c>
      <c r="G625" t="n">
        <v>1.8</v>
      </c>
      <c r="H625" t="n">
        <v>0</v>
      </c>
      <c r="I625" t="n">
        <v>0</v>
      </c>
      <c r="J625" t="n">
        <v>0</v>
      </c>
      <c r="K625" t="n">
        <v>0</v>
      </c>
      <c r="L625" t="n">
        <v>0</v>
      </c>
      <c r="M625" t="n">
        <v>0</v>
      </c>
      <c r="N625" t="n">
        <v>0</v>
      </c>
      <c r="O625" t="n">
        <v>0</v>
      </c>
      <c r="P625" t="n">
        <v>0</v>
      </c>
      <c r="Q625" t="n">
        <v>0</v>
      </c>
      <c r="R625" s="2" t="inlineStr"/>
    </row>
    <row r="626" ht="15" customHeight="1">
      <c r="A626" t="inlineStr">
        <is>
          <t>A 6308-2021</t>
        </is>
      </c>
      <c r="B626" s="1" t="n">
        <v>44235</v>
      </c>
      <c r="C626" s="1" t="n">
        <v>45899</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21455-2023</t>
        </is>
      </c>
      <c r="B627" s="1" t="n">
        <v>45058</v>
      </c>
      <c r="C627" s="1" t="n">
        <v>45899</v>
      </c>
      <c r="D627" t="inlineStr">
        <is>
          <t>VÄSTMANLANDS LÄN</t>
        </is>
      </c>
      <c r="E627" t="inlineStr">
        <is>
          <t>SALA</t>
        </is>
      </c>
      <c r="G627" t="n">
        <v>6.4</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45899</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44957.72496527778</v>
      </c>
      <c r="C629" s="1" t="n">
        <v>45899</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36858-2023</t>
        </is>
      </c>
      <c r="B630" s="1" t="n">
        <v>45154.55184027777</v>
      </c>
      <c r="C630" s="1" t="n">
        <v>45899</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58701-2021</t>
        </is>
      </c>
      <c r="B631" s="1" t="n">
        <v>44489.46454861111</v>
      </c>
      <c r="C631" s="1" t="n">
        <v>45899</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37337-2024</t>
        </is>
      </c>
      <c r="B632" s="1" t="n">
        <v>45540</v>
      </c>
      <c r="C632" s="1" t="n">
        <v>45899</v>
      </c>
      <c r="D632" t="inlineStr">
        <is>
          <t>VÄSTMANLANDS LÄN</t>
        </is>
      </c>
      <c r="E632" t="inlineStr">
        <is>
          <t>SALA</t>
        </is>
      </c>
      <c r="G632" t="n">
        <v>6.5</v>
      </c>
      <c r="H632" t="n">
        <v>0</v>
      </c>
      <c r="I632" t="n">
        <v>0</v>
      </c>
      <c r="J632" t="n">
        <v>0</v>
      </c>
      <c r="K632" t="n">
        <v>0</v>
      </c>
      <c r="L632" t="n">
        <v>0</v>
      </c>
      <c r="M632" t="n">
        <v>0</v>
      </c>
      <c r="N632" t="n">
        <v>0</v>
      </c>
      <c r="O632" t="n">
        <v>0</v>
      </c>
      <c r="P632" t="n">
        <v>0</v>
      </c>
      <c r="Q632" t="n">
        <v>0</v>
      </c>
      <c r="R632" s="2" t="inlineStr"/>
    </row>
    <row r="633" ht="15" customHeight="1">
      <c r="A633" t="inlineStr">
        <is>
          <t>A 10250-2025</t>
        </is>
      </c>
      <c r="B633" s="1" t="n">
        <v>45720.36165509259</v>
      </c>
      <c r="C633" s="1" t="n">
        <v>45899</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23180-2022</t>
        </is>
      </c>
      <c r="B634" s="1" t="n">
        <v>44719.79344907407</v>
      </c>
      <c r="C634" s="1" t="n">
        <v>45899</v>
      </c>
      <c r="D634" t="inlineStr">
        <is>
          <t>VÄSTMANLANDS LÄN</t>
        </is>
      </c>
      <c r="E634" t="inlineStr">
        <is>
          <t>SALA</t>
        </is>
      </c>
      <c r="G634" t="n">
        <v>1.2</v>
      </c>
      <c r="H634" t="n">
        <v>0</v>
      </c>
      <c r="I634" t="n">
        <v>0</v>
      </c>
      <c r="J634" t="n">
        <v>0</v>
      </c>
      <c r="K634" t="n">
        <v>0</v>
      </c>
      <c r="L634" t="n">
        <v>0</v>
      </c>
      <c r="M634" t="n">
        <v>0</v>
      </c>
      <c r="N634" t="n">
        <v>0</v>
      </c>
      <c r="O634" t="n">
        <v>0</v>
      </c>
      <c r="P634" t="n">
        <v>0</v>
      </c>
      <c r="Q634" t="n">
        <v>0</v>
      </c>
      <c r="R634" s="2" t="inlineStr"/>
    </row>
    <row r="635" ht="15" customHeight="1">
      <c r="A635" t="inlineStr">
        <is>
          <t>A 21053-2022</t>
        </is>
      </c>
      <c r="B635" s="1" t="n">
        <v>44704</v>
      </c>
      <c r="C635" s="1" t="n">
        <v>45899</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18340-2025</t>
        </is>
      </c>
      <c r="B636" s="1" t="n">
        <v>45762</v>
      </c>
      <c r="C636" s="1" t="n">
        <v>45899</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3546-2025</t>
        </is>
      </c>
      <c r="B637" s="1" t="n">
        <v>45680</v>
      </c>
      <c r="C637" s="1" t="n">
        <v>45899</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16638-2023</t>
        </is>
      </c>
      <c r="B638" s="1" t="n">
        <v>45027</v>
      </c>
      <c r="C638" s="1" t="n">
        <v>45899</v>
      </c>
      <c r="D638" t="inlineStr">
        <is>
          <t>VÄSTMANLANDS LÄN</t>
        </is>
      </c>
      <c r="E638" t="inlineStr">
        <is>
          <t>SALA</t>
        </is>
      </c>
      <c r="G638" t="n">
        <v>14.8</v>
      </c>
      <c r="H638" t="n">
        <v>0</v>
      </c>
      <c r="I638" t="n">
        <v>0</v>
      </c>
      <c r="J638" t="n">
        <v>0</v>
      </c>
      <c r="K638" t="n">
        <v>0</v>
      </c>
      <c r="L638" t="n">
        <v>0</v>
      </c>
      <c r="M638" t="n">
        <v>0</v>
      </c>
      <c r="N638" t="n">
        <v>0</v>
      </c>
      <c r="O638" t="n">
        <v>0</v>
      </c>
      <c r="P638" t="n">
        <v>0</v>
      </c>
      <c r="Q638" t="n">
        <v>0</v>
      </c>
      <c r="R638" s="2" t="inlineStr"/>
    </row>
    <row r="639" ht="15" customHeight="1">
      <c r="A639" t="inlineStr">
        <is>
          <t>A 52498-2022</t>
        </is>
      </c>
      <c r="B639" s="1" t="n">
        <v>44874.50152777778</v>
      </c>
      <c r="C639" s="1" t="n">
        <v>45899</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17117-2023</t>
        </is>
      </c>
      <c r="B640" s="1" t="n">
        <v>45034</v>
      </c>
      <c r="C640" s="1" t="n">
        <v>45899</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59909-2024</t>
        </is>
      </c>
      <c r="B641" s="1" t="n">
        <v>45641</v>
      </c>
      <c r="C641" s="1" t="n">
        <v>45899</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30028-2024</t>
        </is>
      </c>
      <c r="B642" s="1" t="n">
        <v>45485</v>
      </c>
      <c r="C642" s="1" t="n">
        <v>45899</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33309-2022</t>
        </is>
      </c>
      <c r="B643" s="1" t="n">
        <v>44788.40986111111</v>
      </c>
      <c r="C643" s="1" t="n">
        <v>45899</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45899</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27229-2022</t>
        </is>
      </c>
      <c r="B645" s="1" t="n">
        <v>44741</v>
      </c>
      <c r="C645" s="1" t="n">
        <v>45899</v>
      </c>
      <c r="D645" t="inlineStr">
        <is>
          <t>VÄSTMANLANDS LÄN</t>
        </is>
      </c>
      <c r="E645" t="inlineStr">
        <is>
          <t>SALA</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24755-2021</t>
        </is>
      </c>
      <c r="B646" s="1" t="n">
        <v>44340</v>
      </c>
      <c r="C646" s="1" t="n">
        <v>45899</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34867-2023</t>
        </is>
      </c>
      <c r="B647" s="1" t="n">
        <v>45142.33481481481</v>
      </c>
      <c r="C647" s="1" t="n">
        <v>45899</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25748-2022</t>
        </is>
      </c>
      <c r="B648" s="1" t="n">
        <v>44732</v>
      </c>
      <c r="C648" s="1" t="n">
        <v>45899</v>
      </c>
      <c r="D648" t="inlineStr">
        <is>
          <t>VÄSTMANLANDS LÄN</t>
        </is>
      </c>
      <c r="E648" t="inlineStr">
        <is>
          <t>SALA</t>
        </is>
      </c>
      <c r="G648" t="n">
        <v>7.7</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45899</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13128-2023</t>
        </is>
      </c>
      <c r="B650" s="1" t="n">
        <v>45002</v>
      </c>
      <c r="C650" s="1" t="n">
        <v>45899</v>
      </c>
      <c r="D650" t="inlineStr">
        <is>
          <t>VÄSTMANLANDS LÄN</t>
        </is>
      </c>
      <c r="E650" t="inlineStr">
        <is>
          <t>SALA</t>
        </is>
      </c>
      <c r="G650" t="n">
        <v>7.9</v>
      </c>
      <c r="H650" t="n">
        <v>0</v>
      </c>
      <c r="I650" t="n">
        <v>0</v>
      </c>
      <c r="J650" t="n">
        <v>0</v>
      </c>
      <c r="K650" t="n">
        <v>0</v>
      </c>
      <c r="L650" t="n">
        <v>0</v>
      </c>
      <c r="M650" t="n">
        <v>0</v>
      </c>
      <c r="N650" t="n">
        <v>0</v>
      </c>
      <c r="O650" t="n">
        <v>0</v>
      </c>
      <c r="P650" t="n">
        <v>0</v>
      </c>
      <c r="Q650" t="n">
        <v>0</v>
      </c>
      <c r="R650" s="2" t="inlineStr"/>
    </row>
    <row r="651" ht="15" customHeight="1">
      <c r="A651" t="inlineStr">
        <is>
          <t>A 37958-2024</t>
        </is>
      </c>
      <c r="B651" s="1" t="n">
        <v>45544</v>
      </c>
      <c r="C651" s="1" t="n">
        <v>45899</v>
      </c>
      <c r="D651" t="inlineStr">
        <is>
          <t>VÄSTMANLANDS LÄN</t>
        </is>
      </c>
      <c r="E651" t="inlineStr">
        <is>
          <t>SALA</t>
        </is>
      </c>
      <c r="G651" t="n">
        <v>5.6</v>
      </c>
      <c r="H651" t="n">
        <v>0</v>
      </c>
      <c r="I651" t="n">
        <v>0</v>
      </c>
      <c r="J651" t="n">
        <v>0</v>
      </c>
      <c r="K651" t="n">
        <v>0</v>
      </c>
      <c r="L651" t="n">
        <v>0</v>
      </c>
      <c r="M651" t="n">
        <v>0</v>
      </c>
      <c r="N651" t="n">
        <v>0</v>
      </c>
      <c r="O651" t="n">
        <v>0</v>
      </c>
      <c r="P651" t="n">
        <v>0</v>
      </c>
      <c r="Q651" t="n">
        <v>0</v>
      </c>
      <c r="R651" s="2" t="inlineStr"/>
    </row>
    <row r="652" ht="15" customHeight="1">
      <c r="A652" t="inlineStr">
        <is>
          <t>A 18431-2023</t>
        </is>
      </c>
      <c r="B652" s="1" t="n">
        <v>45042</v>
      </c>
      <c r="C652" s="1" t="n">
        <v>45899</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57650-2024</t>
        </is>
      </c>
      <c r="B653" s="1" t="n">
        <v>45630</v>
      </c>
      <c r="C653" s="1" t="n">
        <v>45899</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10255-2024</t>
        </is>
      </c>
      <c r="B654" s="1" t="n">
        <v>45365</v>
      </c>
      <c r="C654" s="1" t="n">
        <v>45899</v>
      </c>
      <c r="D654" t="inlineStr">
        <is>
          <t>VÄSTMANLANDS LÄN</t>
        </is>
      </c>
      <c r="E654" t="inlineStr">
        <is>
          <t>SALA</t>
        </is>
      </c>
      <c r="F654" t="inlineStr">
        <is>
          <t>Kommuner</t>
        </is>
      </c>
      <c r="G654" t="n">
        <v>0.8</v>
      </c>
      <c r="H654" t="n">
        <v>0</v>
      </c>
      <c r="I654" t="n">
        <v>0</v>
      </c>
      <c r="J654" t="n">
        <v>0</v>
      </c>
      <c r="K654" t="n">
        <v>0</v>
      </c>
      <c r="L654" t="n">
        <v>0</v>
      </c>
      <c r="M654" t="n">
        <v>0</v>
      </c>
      <c r="N654" t="n">
        <v>0</v>
      </c>
      <c r="O654" t="n">
        <v>0</v>
      </c>
      <c r="P654" t="n">
        <v>0</v>
      </c>
      <c r="Q654" t="n">
        <v>0</v>
      </c>
      <c r="R654" s="2" t="inlineStr"/>
    </row>
    <row r="655" ht="15" customHeight="1">
      <c r="A655" t="inlineStr">
        <is>
          <t>A 28696-2023</t>
        </is>
      </c>
      <c r="B655" s="1" t="n">
        <v>45103.71759259259</v>
      </c>
      <c r="C655" s="1" t="n">
        <v>45899</v>
      </c>
      <c r="D655" t="inlineStr">
        <is>
          <t>VÄSTMANLANDS LÄN</t>
        </is>
      </c>
      <c r="E655" t="inlineStr">
        <is>
          <t>SALA</t>
        </is>
      </c>
      <c r="F655" t="inlineStr">
        <is>
          <t>Kommuner</t>
        </is>
      </c>
      <c r="G655" t="n">
        <v>5.9</v>
      </c>
      <c r="H655" t="n">
        <v>0</v>
      </c>
      <c r="I655" t="n">
        <v>0</v>
      </c>
      <c r="J655" t="n">
        <v>0</v>
      </c>
      <c r="K655" t="n">
        <v>0</v>
      </c>
      <c r="L655" t="n">
        <v>0</v>
      </c>
      <c r="M655" t="n">
        <v>0</v>
      </c>
      <c r="N655" t="n">
        <v>0</v>
      </c>
      <c r="O655" t="n">
        <v>0</v>
      </c>
      <c r="P655" t="n">
        <v>0</v>
      </c>
      <c r="Q655" t="n">
        <v>0</v>
      </c>
      <c r="R655" s="2" t="inlineStr"/>
    </row>
    <row r="656" ht="15" customHeight="1">
      <c r="A656" t="inlineStr">
        <is>
          <t>A 31072-2021</t>
        </is>
      </c>
      <c r="B656" s="1" t="n">
        <v>44368</v>
      </c>
      <c r="C656" s="1" t="n">
        <v>45899</v>
      </c>
      <c r="D656" t="inlineStr">
        <is>
          <t>VÄSTMANLANDS LÄN</t>
        </is>
      </c>
      <c r="E656" t="inlineStr">
        <is>
          <t>SALA</t>
        </is>
      </c>
      <c r="G656" t="n">
        <v>1.1</v>
      </c>
      <c r="H656" t="n">
        <v>0</v>
      </c>
      <c r="I656" t="n">
        <v>0</v>
      </c>
      <c r="J656" t="n">
        <v>0</v>
      </c>
      <c r="K656" t="n">
        <v>0</v>
      </c>
      <c r="L656" t="n">
        <v>0</v>
      </c>
      <c r="M656" t="n">
        <v>0</v>
      </c>
      <c r="N656" t="n">
        <v>0</v>
      </c>
      <c r="O656" t="n">
        <v>0</v>
      </c>
      <c r="P656" t="n">
        <v>0</v>
      </c>
      <c r="Q656" t="n">
        <v>0</v>
      </c>
      <c r="R656" s="2" t="inlineStr"/>
    </row>
    <row r="657" ht="15" customHeight="1">
      <c r="A657" t="inlineStr">
        <is>
          <t>A 16543-2023</t>
        </is>
      </c>
      <c r="B657" s="1" t="n">
        <v>45029</v>
      </c>
      <c r="C657" s="1" t="n">
        <v>45899</v>
      </c>
      <c r="D657" t="inlineStr">
        <is>
          <t>VÄSTMANLANDS LÄN</t>
        </is>
      </c>
      <c r="E657" t="inlineStr">
        <is>
          <t>SALA</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22523-2023</t>
        </is>
      </c>
      <c r="B658" s="1" t="n">
        <v>45069</v>
      </c>
      <c r="C658" s="1" t="n">
        <v>45899</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4663-2022</t>
        </is>
      </c>
      <c r="B659" s="1" t="n">
        <v>44592.45429398148</v>
      </c>
      <c r="C659" s="1" t="n">
        <v>45899</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6132-2025</t>
        </is>
      </c>
      <c r="B660" s="1" t="n">
        <v>45698</v>
      </c>
      <c r="C660" s="1" t="n">
        <v>45899</v>
      </c>
      <c r="D660" t="inlineStr">
        <is>
          <t>VÄSTMANLANDS LÄN</t>
        </is>
      </c>
      <c r="E660" t="inlineStr">
        <is>
          <t>SALA</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31859-2023</t>
        </is>
      </c>
      <c r="B661" s="1" t="n">
        <v>45118</v>
      </c>
      <c r="C661" s="1" t="n">
        <v>45899</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c r="U661">
        <f>HYPERLINK("https://klasma.github.io/Logging_1981/knärot/A 31859-2023 karta knärot.png", "A 31859-2023")</f>
        <v/>
      </c>
      <c r="V661">
        <f>HYPERLINK("https://klasma.github.io/Logging_1981/klagomål/A 31859-2023 FSC-klagomål.docx", "A 31859-2023")</f>
        <v/>
      </c>
      <c r="W661">
        <f>HYPERLINK("https://klasma.github.io/Logging_1981/klagomålsmail/A 31859-2023 FSC-klagomål mail.docx", "A 31859-2023")</f>
        <v/>
      </c>
      <c r="X661">
        <f>HYPERLINK("https://klasma.github.io/Logging_1981/tillsyn/A 31859-2023 tillsynsbegäran.docx", "A 31859-2023")</f>
        <v/>
      </c>
      <c r="Y661">
        <f>HYPERLINK("https://klasma.github.io/Logging_1981/tillsynsmail/A 31859-2023 tillsynsbegäran mail.docx", "A 31859-2023")</f>
        <v/>
      </c>
    </row>
    <row r="662" ht="15" customHeight="1">
      <c r="A662" t="inlineStr">
        <is>
          <t>A 61681-2024</t>
        </is>
      </c>
      <c r="B662" s="1" t="n">
        <v>45647</v>
      </c>
      <c r="C662" s="1" t="n">
        <v>45899</v>
      </c>
      <c r="D662" t="inlineStr">
        <is>
          <t>VÄSTMANLANDS LÄN</t>
        </is>
      </c>
      <c r="E662" t="inlineStr">
        <is>
          <t>SALA</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54960-2024</t>
        </is>
      </c>
      <c r="B663" s="1" t="n">
        <v>45619.85208333333</v>
      </c>
      <c r="C663" s="1" t="n">
        <v>45899</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21968-2024</t>
        </is>
      </c>
      <c r="B664" s="1" t="n">
        <v>45443</v>
      </c>
      <c r="C664" s="1" t="n">
        <v>45899</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31082-2021</t>
        </is>
      </c>
      <c r="B665" s="1" t="n">
        <v>44368</v>
      </c>
      <c r="C665" s="1" t="n">
        <v>45899</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20352-2022</t>
        </is>
      </c>
      <c r="B666" s="1" t="n">
        <v>44699.37318287037</v>
      </c>
      <c r="C666" s="1" t="n">
        <v>45899</v>
      </c>
      <c r="D666" t="inlineStr">
        <is>
          <t>VÄSTMANLANDS LÄN</t>
        </is>
      </c>
      <c r="E666" t="inlineStr">
        <is>
          <t>SALA</t>
        </is>
      </c>
      <c r="G666" t="n">
        <v>1.3</v>
      </c>
      <c r="H666" t="n">
        <v>0</v>
      </c>
      <c r="I666" t="n">
        <v>0</v>
      </c>
      <c r="J666" t="n">
        <v>0</v>
      </c>
      <c r="K666" t="n">
        <v>0</v>
      </c>
      <c r="L666" t="n">
        <v>0</v>
      </c>
      <c r="M666" t="n">
        <v>0</v>
      </c>
      <c r="N666" t="n">
        <v>0</v>
      </c>
      <c r="O666" t="n">
        <v>0</v>
      </c>
      <c r="P666" t="n">
        <v>0</v>
      </c>
      <c r="Q666" t="n">
        <v>0</v>
      </c>
      <c r="R666" s="2" t="inlineStr"/>
    </row>
    <row r="667" ht="15" customHeight="1">
      <c r="A667" t="inlineStr">
        <is>
          <t>A 27657-2023</t>
        </is>
      </c>
      <c r="B667" s="1" t="n">
        <v>45097.76631944445</v>
      </c>
      <c r="C667" s="1" t="n">
        <v>45899</v>
      </c>
      <c r="D667" t="inlineStr">
        <is>
          <t>VÄSTMANLANDS LÄN</t>
        </is>
      </c>
      <c r="E667" t="inlineStr">
        <is>
          <t>SALA</t>
        </is>
      </c>
      <c r="G667" t="n">
        <v>0.1</v>
      </c>
      <c r="H667" t="n">
        <v>0</v>
      </c>
      <c r="I667" t="n">
        <v>0</v>
      </c>
      <c r="J667" t="n">
        <v>0</v>
      </c>
      <c r="K667" t="n">
        <v>0</v>
      </c>
      <c r="L667" t="n">
        <v>0</v>
      </c>
      <c r="M667" t="n">
        <v>0</v>
      </c>
      <c r="N667" t="n">
        <v>0</v>
      </c>
      <c r="O667" t="n">
        <v>0</v>
      </c>
      <c r="P667" t="n">
        <v>0</v>
      </c>
      <c r="Q667" t="n">
        <v>0</v>
      </c>
      <c r="R667" s="2" t="inlineStr"/>
    </row>
    <row r="668" ht="15" customHeight="1">
      <c r="A668" t="inlineStr">
        <is>
          <t>A 2766-2024</t>
        </is>
      </c>
      <c r="B668" s="1" t="n">
        <v>45314.60950231482</v>
      </c>
      <c r="C668" s="1" t="n">
        <v>45899</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60550-2024</t>
        </is>
      </c>
      <c r="B669" s="1" t="n">
        <v>45643</v>
      </c>
      <c r="C669" s="1" t="n">
        <v>45899</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14690-2025</t>
        </is>
      </c>
      <c r="B670" s="1" t="n">
        <v>45742.58212962963</v>
      </c>
      <c r="C670" s="1" t="n">
        <v>45899</v>
      </c>
      <c r="D670" t="inlineStr">
        <is>
          <t>VÄSTMANLANDS LÄN</t>
        </is>
      </c>
      <c r="E670" t="inlineStr">
        <is>
          <t>SALA</t>
        </is>
      </c>
      <c r="G670" t="n">
        <v>3.4</v>
      </c>
      <c r="H670" t="n">
        <v>0</v>
      </c>
      <c r="I670" t="n">
        <v>0</v>
      </c>
      <c r="J670" t="n">
        <v>0</v>
      </c>
      <c r="K670" t="n">
        <v>0</v>
      </c>
      <c r="L670" t="n">
        <v>0</v>
      </c>
      <c r="M670" t="n">
        <v>0</v>
      </c>
      <c r="N670" t="n">
        <v>0</v>
      </c>
      <c r="O670" t="n">
        <v>0</v>
      </c>
      <c r="P670" t="n">
        <v>0</v>
      </c>
      <c r="Q670" t="n">
        <v>0</v>
      </c>
      <c r="R670" s="2" t="inlineStr"/>
    </row>
    <row r="671" ht="15" customHeight="1">
      <c r="A671" t="inlineStr">
        <is>
          <t>A 24175-2024</t>
        </is>
      </c>
      <c r="B671" s="1" t="n">
        <v>45456</v>
      </c>
      <c r="C671" s="1" t="n">
        <v>45899</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62449-2023</t>
        </is>
      </c>
      <c r="B672" s="1" t="n">
        <v>45268.49008101852</v>
      </c>
      <c r="C672" s="1" t="n">
        <v>45899</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54910-2023</t>
        </is>
      </c>
      <c r="B673" s="1" t="n">
        <v>45229</v>
      </c>
      <c r="C673" s="1" t="n">
        <v>45899</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19222-2025</t>
        </is>
      </c>
      <c r="B674" s="1" t="n">
        <v>45769</v>
      </c>
      <c r="C674" s="1" t="n">
        <v>45899</v>
      </c>
      <c r="D674" t="inlineStr">
        <is>
          <t>VÄSTMANLANDS LÄN</t>
        </is>
      </c>
      <c r="E674" t="inlineStr">
        <is>
          <t>SALA</t>
        </is>
      </c>
      <c r="G674" t="n">
        <v>1.8</v>
      </c>
      <c r="H674" t="n">
        <v>0</v>
      </c>
      <c r="I674" t="n">
        <v>0</v>
      </c>
      <c r="J674" t="n">
        <v>0</v>
      </c>
      <c r="K674" t="n">
        <v>0</v>
      </c>
      <c r="L674" t="n">
        <v>0</v>
      </c>
      <c r="M674" t="n">
        <v>0</v>
      </c>
      <c r="N674" t="n">
        <v>0</v>
      </c>
      <c r="O674" t="n">
        <v>0</v>
      </c>
      <c r="P674" t="n">
        <v>0</v>
      </c>
      <c r="Q674" t="n">
        <v>0</v>
      </c>
      <c r="R674" s="2" t="inlineStr"/>
    </row>
    <row r="675" ht="15" customHeight="1">
      <c r="A675" t="inlineStr">
        <is>
          <t>A 19241-2025</t>
        </is>
      </c>
      <c r="B675" s="1" t="n">
        <v>45769</v>
      </c>
      <c r="C675" s="1" t="n">
        <v>45899</v>
      </c>
      <c r="D675" t="inlineStr">
        <is>
          <t>VÄSTMANLANDS LÄN</t>
        </is>
      </c>
      <c r="E675" t="inlineStr">
        <is>
          <t>SALA</t>
        </is>
      </c>
      <c r="G675" t="n">
        <v>3.6</v>
      </c>
      <c r="H675" t="n">
        <v>0</v>
      </c>
      <c r="I675" t="n">
        <v>0</v>
      </c>
      <c r="J675" t="n">
        <v>0</v>
      </c>
      <c r="K675" t="n">
        <v>0</v>
      </c>
      <c r="L675" t="n">
        <v>0</v>
      </c>
      <c r="M675" t="n">
        <v>0</v>
      </c>
      <c r="N675" t="n">
        <v>0</v>
      </c>
      <c r="O675" t="n">
        <v>0</v>
      </c>
      <c r="P675" t="n">
        <v>0</v>
      </c>
      <c r="Q675" t="n">
        <v>0</v>
      </c>
      <c r="R675" s="2" t="inlineStr"/>
    </row>
    <row r="676" ht="15" customHeight="1">
      <c r="A676" t="inlineStr">
        <is>
          <t>A 25891-2024</t>
        </is>
      </c>
      <c r="B676" s="1" t="n">
        <v>45467.53137731482</v>
      </c>
      <c r="C676" s="1" t="n">
        <v>45899</v>
      </c>
      <c r="D676" t="inlineStr">
        <is>
          <t>VÄSTMANLANDS LÄN</t>
        </is>
      </c>
      <c r="E676" t="inlineStr">
        <is>
          <t>SALA</t>
        </is>
      </c>
      <c r="G676" t="n">
        <v>2.3</v>
      </c>
      <c r="H676" t="n">
        <v>0</v>
      </c>
      <c r="I676" t="n">
        <v>0</v>
      </c>
      <c r="J676" t="n">
        <v>0</v>
      </c>
      <c r="K676" t="n">
        <v>0</v>
      </c>
      <c r="L676" t="n">
        <v>0</v>
      </c>
      <c r="M676" t="n">
        <v>0</v>
      </c>
      <c r="N676" t="n">
        <v>0</v>
      </c>
      <c r="O676" t="n">
        <v>0</v>
      </c>
      <c r="P676" t="n">
        <v>0</v>
      </c>
      <c r="Q676" t="n">
        <v>0</v>
      </c>
      <c r="R676" s="2" t="inlineStr"/>
    </row>
    <row r="677" ht="15" customHeight="1">
      <c r="A677" t="inlineStr">
        <is>
          <t>A 26416-2023</t>
        </is>
      </c>
      <c r="B677" s="1" t="n">
        <v>45092.38087962963</v>
      </c>
      <c r="C677" s="1" t="n">
        <v>45899</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26692-2023</t>
        </is>
      </c>
      <c r="B678" s="1" t="n">
        <v>45093.360625</v>
      </c>
      <c r="C678" s="1" t="n">
        <v>45899</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c r="A679" t="inlineStr">
        <is>
          <t>A 15681-2025</t>
        </is>
      </c>
      <c r="B679" s="1" t="n">
        <v>45748.45454861111</v>
      </c>
      <c r="C679" s="1" t="n">
        <v>45899</v>
      </c>
      <c r="D679" t="inlineStr">
        <is>
          <t>VÄSTMANLANDS LÄN</t>
        </is>
      </c>
      <c r="E679" t="inlineStr">
        <is>
          <t>SALA</t>
        </is>
      </c>
      <c r="F679" t="inlineStr">
        <is>
          <t>Bergvik skog öst AB</t>
        </is>
      </c>
      <c r="G679" t="n">
        <v>4.3</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2025-08-30T08:32:42Z</dcterms:created>
  <dcterms:modified xmlns:dcterms="http://purl.org/dc/terms/" xmlns:xsi="http://www.w3.org/2001/XMLSchema-instance" xsi:type="dcterms:W3CDTF">2025-08-30T08:32:42Z</dcterms:modified>
</cp:coreProperties>
</file>