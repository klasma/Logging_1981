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46079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46079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46079</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46079</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46079</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34752-2023</t>
        </is>
      </c>
      <c r="B14" s="1" t="n">
        <v>45141</v>
      </c>
      <c r="C14" s="1" t="n">
        <v>46079</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46079</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46079</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46079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53019-2024</t>
        </is>
      </c>
      <c r="B18" s="1" t="n">
        <v>45610</v>
      </c>
      <c r="C18" s="1" t="n">
        <v>46079</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62768-2021</t>
        </is>
      </c>
      <c r="B19" s="1" t="n">
        <v>44504</v>
      </c>
      <c r="C19" s="1" t="n">
        <v>46079</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3567-2024</t>
        </is>
      </c>
      <c r="B20" s="1" t="n">
        <v>45320.63706018519</v>
      </c>
      <c r="C20" s="1" t="n">
        <v>46079</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40493-2024</t>
        </is>
      </c>
      <c r="B21" s="1" t="n">
        <v>45555</v>
      </c>
      <c r="C21" s="1" t="n">
        <v>46079</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4264-2024</t>
        </is>
      </c>
      <c r="B22" s="1" t="n">
        <v>45324</v>
      </c>
      <c r="C22" s="1" t="n">
        <v>46079</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40895-2025</t>
        </is>
      </c>
      <c r="B23" s="1" t="n">
        <v>45897.61241898148</v>
      </c>
      <c r="C23" s="1" t="n">
        <v>46079</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35461-2024</t>
        </is>
      </c>
      <c r="B24" s="1" t="n">
        <v>45531</v>
      </c>
      <c r="C24" s="1" t="n">
        <v>46079</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34065-2025</t>
        </is>
      </c>
      <c r="B25" s="1" t="n">
        <v>45845.42806712963</v>
      </c>
      <c r="C25" s="1" t="n">
        <v>46079</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47475-2024</t>
        </is>
      </c>
      <c r="B26" s="1" t="n">
        <v>45587.57552083334</v>
      </c>
      <c r="C26" s="1" t="n">
        <v>46079</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3930-2026</t>
        </is>
      </c>
      <c r="B27" s="1" t="n">
        <v>46043</v>
      </c>
      <c r="C27" s="1" t="n">
        <v>46079</v>
      </c>
      <c r="D27" t="inlineStr">
        <is>
          <t>VÄSTMANLANDS LÄN</t>
        </is>
      </c>
      <c r="E27" t="inlineStr">
        <is>
          <t>SALA</t>
        </is>
      </c>
      <c r="G27" t="n">
        <v>17.4</v>
      </c>
      <c r="H27" t="n">
        <v>1</v>
      </c>
      <c r="I27" t="n">
        <v>0</v>
      </c>
      <c r="J27" t="n">
        <v>2</v>
      </c>
      <c r="K27" t="n">
        <v>1</v>
      </c>
      <c r="L27" t="n">
        <v>0</v>
      </c>
      <c r="M27" t="n">
        <v>0</v>
      </c>
      <c r="N27" t="n">
        <v>0</v>
      </c>
      <c r="O27" t="n">
        <v>3</v>
      </c>
      <c r="P27" t="n">
        <v>1</v>
      </c>
      <c r="Q27" t="n">
        <v>3</v>
      </c>
      <c r="R27" s="2" t="inlineStr">
        <is>
          <t>Knärot
Gränsticka
Ullticka</t>
        </is>
      </c>
      <c r="S27">
        <f>HYPERLINK("https://klasma.github.io/Logging_1981/artfynd/A 3930-2026 artfynd.xlsx", "A 3930-2026")</f>
        <v/>
      </c>
      <c r="T27">
        <f>HYPERLINK("https://klasma.github.io/Logging_1981/kartor/A 3930-2026 karta.png", "A 3930-2026")</f>
        <v/>
      </c>
      <c r="U27">
        <f>HYPERLINK("https://klasma.github.io/Logging_1981/knärot/A 3930-2026 karta knärot.png", "A 3930-2026")</f>
        <v/>
      </c>
      <c r="V27">
        <f>HYPERLINK("https://klasma.github.io/Logging_1981/klagomål/A 3930-2026 FSC-klagomål.docx", "A 3930-2026")</f>
        <v/>
      </c>
      <c r="W27">
        <f>HYPERLINK("https://klasma.github.io/Logging_1981/klagomålsmail/A 3930-2026 FSC-klagomål mail.docx", "A 3930-2026")</f>
        <v/>
      </c>
      <c r="X27">
        <f>HYPERLINK("https://klasma.github.io/Logging_1981/tillsyn/A 3930-2026 tillsynsbegäran.docx", "A 3930-2026")</f>
        <v/>
      </c>
      <c r="Y27">
        <f>HYPERLINK("https://klasma.github.io/Logging_1981/tillsynsmail/A 3930-2026 tillsynsbegäran mail.docx", "A 3930-2026")</f>
        <v/>
      </c>
    </row>
    <row r="28" ht="15" customHeight="1">
      <c r="A28" t="inlineStr">
        <is>
          <t>A 52909-2022</t>
        </is>
      </c>
      <c r="B28" s="1" t="n">
        <v>44875</v>
      </c>
      <c r="C28" s="1" t="n">
        <v>46079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46079</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46079</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46079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12444-2024</t>
        </is>
      </c>
      <c r="B32" s="1" t="n">
        <v>45379.46285879629</v>
      </c>
      <c r="C32" s="1" t="n">
        <v>46079</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1500-2022</t>
        </is>
      </c>
      <c r="B33" s="1" t="n">
        <v>44573.54357638889</v>
      </c>
      <c r="C33" s="1" t="n">
        <v>46079</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24872-2025</t>
        </is>
      </c>
      <c r="B34" s="1" t="n">
        <v>45799.49038194444</v>
      </c>
      <c r="C34" s="1" t="n">
        <v>46079</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53048-2025</t>
        </is>
      </c>
      <c r="B35" s="1" t="n">
        <v>45958.36018518519</v>
      </c>
      <c r="C35" s="1" t="n">
        <v>46079</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15102-2025</t>
        </is>
      </c>
      <c r="B36" s="1" t="n">
        <v>45744.34585648148</v>
      </c>
      <c r="C36" s="1" t="n">
        <v>46079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59826-2025</t>
        </is>
      </c>
      <c r="B37" s="1" t="n">
        <v>45992.65416666667</v>
      </c>
      <c r="C37" s="1" t="n">
        <v>46079</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63584-2025</t>
        </is>
      </c>
      <c r="B38" s="1" t="n">
        <v>46013.77002314815</v>
      </c>
      <c r="C38" s="1" t="n">
        <v>46079</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44970-2021</t>
        </is>
      </c>
      <c r="B39" s="1" t="n">
        <v>44438.74399305556</v>
      </c>
      <c r="C39" s="1" t="n">
        <v>46079</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46079</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46079</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41270-2024</t>
        </is>
      </c>
      <c r="B42" s="1" t="n">
        <v>45559</v>
      </c>
      <c r="C42" s="1" t="n">
        <v>46079</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56704-2022</t>
        </is>
      </c>
      <c r="B43" s="1" t="n">
        <v>44893.78075231481</v>
      </c>
      <c r="C43" s="1" t="n">
        <v>46079</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43068-2024</t>
        </is>
      </c>
      <c r="B44" s="1" t="n">
        <v>45567</v>
      </c>
      <c r="C44" s="1" t="n">
        <v>46079</v>
      </c>
      <c r="D44" t="inlineStr">
        <is>
          <t>VÄSTMANLANDS LÄN</t>
        </is>
      </c>
      <c r="E44" t="inlineStr">
        <is>
          <t>SALA</t>
        </is>
      </c>
      <c r="G44" t="n">
        <v>1.1</v>
      </c>
      <c r="H44" t="n">
        <v>0</v>
      </c>
      <c r="I44" t="n">
        <v>1</v>
      </c>
      <c r="J44" t="n">
        <v>0</v>
      </c>
      <c r="K44" t="n">
        <v>0</v>
      </c>
      <c r="L44" t="n">
        <v>0</v>
      </c>
      <c r="M44" t="n">
        <v>0</v>
      </c>
      <c r="N44" t="n">
        <v>0</v>
      </c>
      <c r="O44" t="n">
        <v>0</v>
      </c>
      <c r="P44" t="n">
        <v>0</v>
      </c>
      <c r="Q44" t="n">
        <v>1</v>
      </c>
      <c r="R44" s="2" t="inlineStr">
        <is>
          <t>Vedticka</t>
        </is>
      </c>
      <c r="S44">
        <f>HYPERLINK("https://klasma.github.io/Logging_1981/artfynd/A 43068-2024 artfynd.xlsx", "A 43068-2024")</f>
        <v/>
      </c>
      <c r="T44">
        <f>HYPERLINK("https://klasma.github.io/Logging_1981/kartor/A 43068-2024 karta.png", "A 43068-2024")</f>
        <v/>
      </c>
      <c r="V44">
        <f>HYPERLINK("https://klasma.github.io/Logging_1981/klagomål/A 43068-2024 FSC-klagomål.docx", "A 43068-2024")</f>
        <v/>
      </c>
      <c r="W44">
        <f>HYPERLINK("https://klasma.github.io/Logging_1981/klagomålsmail/A 43068-2024 FSC-klagomål mail.docx", "A 43068-2024")</f>
        <v/>
      </c>
      <c r="X44">
        <f>HYPERLINK("https://klasma.github.io/Logging_1981/tillsyn/A 43068-2024 tillsynsbegäran.docx", "A 43068-2024")</f>
        <v/>
      </c>
      <c r="Y44">
        <f>HYPERLINK("https://klasma.github.io/Logging_1981/tillsynsmail/A 43068-2024 tillsynsbegäran mail.docx", "A 43068-2024")</f>
        <v/>
      </c>
    </row>
    <row r="45" ht="15" customHeight="1">
      <c r="A45" t="inlineStr">
        <is>
          <t>A 7731-2023</t>
        </is>
      </c>
      <c r="B45" s="1" t="n">
        <v>44973</v>
      </c>
      <c r="C45" s="1" t="n">
        <v>46079</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12509-2023</t>
        </is>
      </c>
      <c r="B46" s="1" t="n">
        <v>44999.95988425926</v>
      </c>
      <c r="C46" s="1" t="n">
        <v>46079</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43175-2023</t>
        </is>
      </c>
      <c r="B47" s="1" t="n">
        <v>45183</v>
      </c>
      <c r="C47" s="1" t="n">
        <v>46079</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14775-2023</t>
        </is>
      </c>
      <c r="B48" s="1" t="n">
        <v>45014</v>
      </c>
      <c r="C48" s="1" t="n">
        <v>46079</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55550-2023</t>
        </is>
      </c>
      <c r="B49" s="1" t="n">
        <v>45232</v>
      </c>
      <c r="C49" s="1" t="n">
        <v>46079</v>
      </c>
      <c r="D49" t="inlineStr">
        <is>
          <t>VÄSTMANLANDS LÄN</t>
        </is>
      </c>
      <c r="E49" t="inlineStr">
        <is>
          <t>SALA</t>
        </is>
      </c>
      <c r="G49" t="n">
        <v>9.9</v>
      </c>
      <c r="H49" t="n">
        <v>1</v>
      </c>
      <c r="I49" t="n">
        <v>0</v>
      </c>
      <c r="J49" t="n">
        <v>0</v>
      </c>
      <c r="K49" t="n">
        <v>1</v>
      </c>
      <c r="L49" t="n">
        <v>0</v>
      </c>
      <c r="M49" t="n">
        <v>0</v>
      </c>
      <c r="N49" t="n">
        <v>0</v>
      </c>
      <c r="O49" t="n">
        <v>1</v>
      </c>
      <c r="P49" t="n">
        <v>1</v>
      </c>
      <c r="Q49" t="n">
        <v>1</v>
      </c>
      <c r="R49" s="2" t="inlineStr">
        <is>
          <t>Knärot</t>
        </is>
      </c>
      <c r="S49">
        <f>HYPERLINK("https://klasma.github.io/Logging_1981/artfynd/A 55550-2023 artfynd.xlsx", "A 55550-2023")</f>
        <v/>
      </c>
      <c r="T49">
        <f>HYPERLINK("https://klasma.github.io/Logging_1981/kartor/A 55550-2023 karta.png", "A 55550-2023")</f>
        <v/>
      </c>
      <c r="U49">
        <f>HYPERLINK("https://klasma.github.io/Logging_1981/knärot/A 55550-2023 karta knärot.png", "A 55550-2023")</f>
        <v/>
      </c>
      <c r="V49">
        <f>HYPERLINK("https://klasma.github.io/Logging_1981/klagomål/A 55550-2023 FSC-klagomål.docx", "A 55550-2023")</f>
        <v/>
      </c>
      <c r="W49">
        <f>HYPERLINK("https://klasma.github.io/Logging_1981/klagomålsmail/A 55550-2023 FSC-klagomål mail.docx", "A 55550-2023")</f>
        <v/>
      </c>
      <c r="X49">
        <f>HYPERLINK("https://klasma.github.io/Logging_1981/tillsyn/A 55550-2023 tillsynsbegäran.docx", "A 55550-2023")</f>
        <v/>
      </c>
      <c r="Y49">
        <f>HYPERLINK("https://klasma.github.io/Logging_1981/tillsynsmail/A 55550-2023 tillsynsbegäran mail.docx", "A 55550-2023")</f>
        <v/>
      </c>
    </row>
    <row r="50" ht="15" customHeight="1">
      <c r="A50" t="inlineStr">
        <is>
          <t>A 38255-2025</t>
        </is>
      </c>
      <c r="B50" s="1" t="n">
        <v>45883.38020833334</v>
      </c>
      <c r="C50" s="1" t="n">
        <v>46079</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21738-2025</t>
        </is>
      </c>
      <c r="B51" s="1" t="n">
        <v>45783.59173611111</v>
      </c>
      <c r="C51" s="1" t="n">
        <v>46079</v>
      </c>
      <c r="D51" t="inlineStr">
        <is>
          <t>VÄSTMANLANDS LÄN</t>
        </is>
      </c>
      <c r="E51" t="inlineStr">
        <is>
          <t>SALA</t>
        </is>
      </c>
      <c r="G51" t="n">
        <v>2.1</v>
      </c>
      <c r="H51" t="n">
        <v>0</v>
      </c>
      <c r="I51" t="n">
        <v>0</v>
      </c>
      <c r="J51" t="n">
        <v>1</v>
      </c>
      <c r="K51" t="n">
        <v>0</v>
      </c>
      <c r="L51" t="n">
        <v>0</v>
      </c>
      <c r="M51" t="n">
        <v>0</v>
      </c>
      <c r="N51" t="n">
        <v>0</v>
      </c>
      <c r="O51" t="n">
        <v>1</v>
      </c>
      <c r="P51" t="n">
        <v>0</v>
      </c>
      <c r="Q51" t="n">
        <v>1</v>
      </c>
      <c r="R51" s="2" t="inlineStr">
        <is>
          <t>Motaggsvamp</t>
        </is>
      </c>
      <c r="S51">
        <f>HYPERLINK("https://klasma.github.io/Logging_1981/artfynd/A 21738-2025 artfynd.xlsx", "A 21738-2025")</f>
        <v/>
      </c>
      <c r="T51">
        <f>HYPERLINK("https://klasma.github.io/Logging_1981/kartor/A 21738-2025 karta.png", "A 21738-2025")</f>
        <v/>
      </c>
      <c r="V51">
        <f>HYPERLINK("https://klasma.github.io/Logging_1981/klagomål/A 21738-2025 FSC-klagomål.docx", "A 21738-2025")</f>
        <v/>
      </c>
      <c r="W51">
        <f>HYPERLINK("https://klasma.github.io/Logging_1981/klagomålsmail/A 21738-2025 FSC-klagomål mail.docx", "A 21738-2025")</f>
        <v/>
      </c>
      <c r="X51">
        <f>HYPERLINK("https://klasma.github.io/Logging_1981/tillsyn/A 21738-2025 tillsynsbegäran.docx", "A 21738-2025")</f>
        <v/>
      </c>
      <c r="Y51">
        <f>HYPERLINK("https://klasma.github.io/Logging_1981/tillsynsmail/A 21738-2025 tillsynsbegäran mail.docx", "A 21738-2025")</f>
        <v/>
      </c>
    </row>
    <row r="52" ht="15" customHeight="1">
      <c r="A52" t="inlineStr">
        <is>
          <t>A 19361-2025</t>
        </is>
      </c>
      <c r="B52" s="1" t="n">
        <v>45769.63357638889</v>
      </c>
      <c r="C52" s="1" t="n">
        <v>46079</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46079</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60852-2024</t>
        </is>
      </c>
      <c r="B54" s="1" t="n">
        <v>45644</v>
      </c>
      <c r="C54" s="1" t="n">
        <v>46079</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22950-2025</t>
        </is>
      </c>
      <c r="B55" s="1" t="n">
        <v>45790.50728009259</v>
      </c>
      <c r="C55" s="1" t="n">
        <v>46079</v>
      </c>
      <c r="D55" t="inlineStr">
        <is>
          <t>VÄSTMANLANDS LÄN</t>
        </is>
      </c>
      <c r="E55" t="inlineStr">
        <is>
          <t>SALA</t>
        </is>
      </c>
      <c r="G55" t="n">
        <v>6.2</v>
      </c>
      <c r="H55" t="n">
        <v>1</v>
      </c>
      <c r="I55" t="n">
        <v>0</v>
      </c>
      <c r="J55" t="n">
        <v>1</v>
      </c>
      <c r="K55" t="n">
        <v>0</v>
      </c>
      <c r="L55" t="n">
        <v>0</v>
      </c>
      <c r="M55" t="n">
        <v>0</v>
      </c>
      <c r="N55" t="n">
        <v>0</v>
      </c>
      <c r="O55" t="n">
        <v>1</v>
      </c>
      <c r="P55" t="n">
        <v>0</v>
      </c>
      <c r="Q55" t="n">
        <v>1</v>
      </c>
      <c r="R55" s="2" t="inlineStr">
        <is>
          <t>Svartvit flugsnappare</t>
        </is>
      </c>
      <c r="S55">
        <f>HYPERLINK("https://klasma.github.io/Logging_1981/artfynd/A 22950-2025 artfynd.xlsx", "A 22950-2025")</f>
        <v/>
      </c>
      <c r="T55">
        <f>HYPERLINK("https://klasma.github.io/Logging_1981/kartor/A 22950-2025 karta.png", "A 22950-2025")</f>
        <v/>
      </c>
      <c r="V55">
        <f>HYPERLINK("https://klasma.github.io/Logging_1981/klagomål/A 22950-2025 FSC-klagomål.docx", "A 22950-2025")</f>
        <v/>
      </c>
      <c r="W55">
        <f>HYPERLINK("https://klasma.github.io/Logging_1981/klagomålsmail/A 22950-2025 FSC-klagomål mail.docx", "A 22950-2025")</f>
        <v/>
      </c>
      <c r="X55">
        <f>HYPERLINK("https://klasma.github.io/Logging_1981/tillsyn/A 22950-2025 tillsynsbegäran.docx", "A 22950-2025")</f>
        <v/>
      </c>
      <c r="Y55">
        <f>HYPERLINK("https://klasma.github.io/Logging_1981/tillsynsmail/A 22950-2025 tillsynsbegäran mail.docx", "A 22950-2025")</f>
        <v/>
      </c>
      <c r="Z55">
        <f>HYPERLINK("https://klasma.github.io/Logging_1981/fåglar/A 22950-2025 prioriterade fågelarter.docx", "A 22950-2025")</f>
        <v/>
      </c>
    </row>
    <row r="56" ht="15" customHeight="1">
      <c r="A56" t="inlineStr">
        <is>
          <t>A 37166-2024</t>
        </is>
      </c>
      <c r="B56" s="1" t="n">
        <v>45539</v>
      </c>
      <c r="C56" s="1" t="n">
        <v>46079</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48705-2025</t>
        </is>
      </c>
      <c r="B57" s="1" t="n">
        <v>45936.62290509259</v>
      </c>
      <c r="C57" s="1" t="n">
        <v>46079</v>
      </c>
      <c r="D57" t="inlineStr">
        <is>
          <t>VÄSTMANLANDS LÄN</t>
        </is>
      </c>
      <c r="E57" t="inlineStr">
        <is>
          <t>SALA</t>
        </is>
      </c>
      <c r="G57" t="n">
        <v>4.4</v>
      </c>
      <c r="H57" t="n">
        <v>1</v>
      </c>
      <c r="I57" t="n">
        <v>1</v>
      </c>
      <c r="J57" t="n">
        <v>0</v>
      </c>
      <c r="K57" t="n">
        <v>0</v>
      </c>
      <c r="L57" t="n">
        <v>0</v>
      </c>
      <c r="M57" t="n">
        <v>0</v>
      </c>
      <c r="N57" t="n">
        <v>0</v>
      </c>
      <c r="O57" t="n">
        <v>0</v>
      </c>
      <c r="P57" t="n">
        <v>0</v>
      </c>
      <c r="Q57" t="n">
        <v>1</v>
      </c>
      <c r="R57" s="2" t="inlineStr">
        <is>
          <t>Plattlummer</t>
        </is>
      </c>
      <c r="S57">
        <f>HYPERLINK("https://klasma.github.io/Logging_1981/artfynd/A 48705-2025 artfynd.xlsx", "A 48705-2025")</f>
        <v/>
      </c>
      <c r="T57">
        <f>HYPERLINK("https://klasma.github.io/Logging_1981/kartor/A 48705-2025 karta.png", "A 48705-2025")</f>
        <v/>
      </c>
      <c r="V57">
        <f>HYPERLINK("https://klasma.github.io/Logging_1981/klagomål/A 48705-2025 FSC-klagomål.docx", "A 48705-2025")</f>
        <v/>
      </c>
      <c r="W57">
        <f>HYPERLINK("https://klasma.github.io/Logging_1981/klagomålsmail/A 48705-2025 FSC-klagomål mail.docx", "A 48705-2025")</f>
        <v/>
      </c>
      <c r="X57">
        <f>HYPERLINK("https://klasma.github.io/Logging_1981/tillsyn/A 48705-2025 tillsynsbegäran.docx", "A 48705-2025")</f>
        <v/>
      </c>
      <c r="Y57">
        <f>HYPERLINK("https://klasma.github.io/Logging_1981/tillsynsmail/A 48705-2025 tillsynsbegäran mail.docx", "A 48705-2025")</f>
        <v/>
      </c>
    </row>
    <row r="58" ht="15" customHeight="1">
      <c r="A58" t="inlineStr">
        <is>
          <t>A 50268-2025</t>
        </is>
      </c>
      <c r="B58" s="1" t="n">
        <v>45944.35162037037</v>
      </c>
      <c r="C58" s="1" t="n">
        <v>46079</v>
      </c>
      <c r="D58" t="inlineStr">
        <is>
          <t>VÄSTMANLANDS LÄN</t>
        </is>
      </c>
      <c r="E58" t="inlineStr">
        <is>
          <t>SALA</t>
        </is>
      </c>
      <c r="G58" t="n">
        <v>0.7</v>
      </c>
      <c r="H58" t="n">
        <v>1</v>
      </c>
      <c r="I58" t="n">
        <v>0</v>
      </c>
      <c r="J58" t="n">
        <v>0</v>
      </c>
      <c r="K58" t="n">
        <v>0</v>
      </c>
      <c r="L58" t="n">
        <v>0</v>
      </c>
      <c r="M58" t="n">
        <v>0</v>
      </c>
      <c r="N58" t="n">
        <v>0</v>
      </c>
      <c r="O58" t="n">
        <v>0</v>
      </c>
      <c r="P58" t="n">
        <v>0</v>
      </c>
      <c r="Q58" t="n">
        <v>1</v>
      </c>
      <c r="R58" s="2" t="inlineStr">
        <is>
          <t>Fläcknycklar</t>
        </is>
      </c>
      <c r="S58">
        <f>HYPERLINK("https://klasma.github.io/Logging_1981/artfynd/A 50268-2025 artfynd.xlsx", "A 50268-2025")</f>
        <v/>
      </c>
      <c r="T58">
        <f>HYPERLINK("https://klasma.github.io/Logging_1981/kartor/A 50268-2025 karta.png", "A 50268-2025")</f>
        <v/>
      </c>
      <c r="V58">
        <f>HYPERLINK("https://klasma.github.io/Logging_1981/klagomål/A 50268-2025 FSC-klagomål.docx", "A 50268-2025")</f>
        <v/>
      </c>
      <c r="W58">
        <f>HYPERLINK("https://klasma.github.io/Logging_1981/klagomålsmail/A 50268-2025 FSC-klagomål mail.docx", "A 50268-2025")</f>
        <v/>
      </c>
      <c r="X58">
        <f>HYPERLINK("https://klasma.github.io/Logging_1981/tillsyn/A 50268-2025 tillsynsbegäran.docx", "A 50268-2025")</f>
        <v/>
      </c>
      <c r="Y58">
        <f>HYPERLINK("https://klasma.github.io/Logging_1981/tillsynsmail/A 50268-2025 tillsynsbegäran mail.docx", "A 50268-2025")</f>
        <v/>
      </c>
    </row>
    <row r="59" ht="15" customHeight="1">
      <c r="A59" t="inlineStr">
        <is>
          <t>A 32594-2025</t>
        </is>
      </c>
      <c r="B59" s="1" t="n">
        <v>45838</v>
      </c>
      <c r="C59" s="1" t="n">
        <v>46079</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53052-2025</t>
        </is>
      </c>
      <c r="B60" s="1" t="n">
        <v>45958.36266203703</v>
      </c>
      <c r="C60" s="1" t="n">
        <v>46079</v>
      </c>
      <c r="D60" t="inlineStr">
        <is>
          <t>VÄSTMANLANDS LÄN</t>
        </is>
      </c>
      <c r="E60" t="inlineStr">
        <is>
          <t>SALA</t>
        </is>
      </c>
      <c r="F60" t="inlineStr">
        <is>
          <t>Sveaskog</t>
        </is>
      </c>
      <c r="G60" t="n">
        <v>1.1</v>
      </c>
      <c r="H60" t="n">
        <v>0</v>
      </c>
      <c r="I60" t="n">
        <v>0</v>
      </c>
      <c r="J60" t="n">
        <v>1</v>
      </c>
      <c r="K60" t="n">
        <v>0</v>
      </c>
      <c r="L60" t="n">
        <v>0</v>
      </c>
      <c r="M60" t="n">
        <v>0</v>
      </c>
      <c r="N60" t="n">
        <v>0</v>
      </c>
      <c r="O60" t="n">
        <v>1</v>
      </c>
      <c r="P60" t="n">
        <v>0</v>
      </c>
      <c r="Q60" t="n">
        <v>1</v>
      </c>
      <c r="R60" s="2" t="inlineStr">
        <is>
          <t>Motaggsvamp</t>
        </is>
      </c>
      <c r="S60">
        <f>HYPERLINK("https://klasma.github.io/Logging_1981/artfynd/A 53052-2025 artfynd.xlsx", "A 53052-2025")</f>
        <v/>
      </c>
      <c r="T60">
        <f>HYPERLINK("https://klasma.github.io/Logging_1981/kartor/A 53052-2025 karta.png", "A 53052-2025")</f>
        <v/>
      </c>
      <c r="V60">
        <f>HYPERLINK("https://klasma.github.io/Logging_1981/klagomål/A 53052-2025 FSC-klagomål.docx", "A 53052-2025")</f>
        <v/>
      </c>
      <c r="W60">
        <f>HYPERLINK("https://klasma.github.io/Logging_1981/klagomålsmail/A 53052-2025 FSC-klagomål mail.docx", "A 53052-2025")</f>
        <v/>
      </c>
      <c r="X60">
        <f>HYPERLINK("https://klasma.github.io/Logging_1981/tillsyn/A 53052-2025 tillsynsbegäran.docx", "A 53052-2025")</f>
        <v/>
      </c>
      <c r="Y60">
        <f>HYPERLINK("https://klasma.github.io/Logging_1981/tillsynsmail/A 53052-2025 tillsynsbegäran mail.docx", "A 53052-2025")</f>
        <v/>
      </c>
    </row>
    <row r="61" ht="15" customHeight="1">
      <c r="A61" t="inlineStr">
        <is>
          <t>A 29985-2022</t>
        </is>
      </c>
      <c r="B61" s="1" t="n">
        <v>44756</v>
      </c>
      <c r="C61" s="1" t="n">
        <v>46079</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22350-2024</t>
        </is>
      </c>
      <c r="B62" s="1" t="n">
        <v>45446</v>
      </c>
      <c r="C62" s="1" t="n">
        <v>46079</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Blåsippa</t>
        </is>
      </c>
      <c r="S62">
        <f>HYPERLINK("https://klasma.github.io/Logging_1981/artfynd/A 22350-2024 artfynd.xlsx", "A 22350-2024")</f>
        <v/>
      </c>
      <c r="T62">
        <f>HYPERLINK("https://klasma.github.io/Logging_1981/kartor/A 22350-2024 karta.png", "A 22350-2024")</f>
        <v/>
      </c>
      <c r="V62">
        <f>HYPERLINK("https://klasma.github.io/Logging_1981/klagomål/A 22350-2024 FSC-klagomål.docx", "A 22350-2024")</f>
        <v/>
      </c>
      <c r="W62">
        <f>HYPERLINK("https://klasma.github.io/Logging_1981/klagomålsmail/A 22350-2024 FSC-klagomål mail.docx", "A 22350-2024")</f>
        <v/>
      </c>
      <c r="X62">
        <f>HYPERLINK("https://klasma.github.io/Logging_1981/tillsyn/A 22350-2024 tillsynsbegäran.docx", "A 22350-2024")</f>
        <v/>
      </c>
      <c r="Y62">
        <f>HYPERLINK("https://klasma.github.io/Logging_1981/tillsynsmail/A 22350-2024 tillsynsbegäran mail.docx", "A 22350-2024")</f>
        <v/>
      </c>
    </row>
    <row r="63" ht="15" customHeight="1">
      <c r="A63" t="inlineStr">
        <is>
          <t>A 7919-2022</t>
        </is>
      </c>
      <c r="B63" s="1" t="n">
        <v>44608</v>
      </c>
      <c r="C63" s="1" t="n">
        <v>46079</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55995-2025</t>
        </is>
      </c>
      <c r="B64" s="1" t="n">
        <v>45973.56733796297</v>
      </c>
      <c r="C64" s="1" t="n">
        <v>46079</v>
      </c>
      <c r="D64" t="inlineStr">
        <is>
          <t>VÄSTMANLANDS LÄN</t>
        </is>
      </c>
      <c r="E64" t="inlineStr">
        <is>
          <t>SALA</t>
        </is>
      </c>
      <c r="F64" t="inlineStr">
        <is>
          <t>Sveaskog</t>
        </is>
      </c>
      <c r="G64" t="n">
        <v>4.5</v>
      </c>
      <c r="H64" t="n">
        <v>1</v>
      </c>
      <c r="I64" t="n">
        <v>0</v>
      </c>
      <c r="J64" t="n">
        <v>0</v>
      </c>
      <c r="K64" t="n">
        <v>0</v>
      </c>
      <c r="L64" t="n">
        <v>0</v>
      </c>
      <c r="M64" t="n">
        <v>0</v>
      </c>
      <c r="N64" t="n">
        <v>0</v>
      </c>
      <c r="O64" t="n">
        <v>0</v>
      </c>
      <c r="P64" t="n">
        <v>0</v>
      </c>
      <c r="Q64" t="n">
        <v>1</v>
      </c>
      <c r="R64" s="2" t="inlineStr">
        <is>
          <t>Fläcknycklar</t>
        </is>
      </c>
      <c r="S64">
        <f>HYPERLINK("https://klasma.github.io/Logging_1981/artfynd/A 55995-2025 artfynd.xlsx", "A 55995-2025")</f>
        <v/>
      </c>
      <c r="T64">
        <f>HYPERLINK("https://klasma.github.io/Logging_1981/kartor/A 55995-2025 karta.png", "A 55995-2025")</f>
        <v/>
      </c>
      <c r="V64">
        <f>HYPERLINK("https://klasma.github.io/Logging_1981/klagomål/A 55995-2025 FSC-klagomål.docx", "A 55995-2025")</f>
        <v/>
      </c>
      <c r="W64">
        <f>HYPERLINK("https://klasma.github.io/Logging_1981/klagomålsmail/A 55995-2025 FSC-klagomål mail.docx", "A 55995-2025")</f>
        <v/>
      </c>
      <c r="X64">
        <f>HYPERLINK("https://klasma.github.io/Logging_1981/tillsyn/A 55995-2025 tillsynsbegäran.docx", "A 55995-2025")</f>
        <v/>
      </c>
      <c r="Y64">
        <f>HYPERLINK("https://klasma.github.io/Logging_1981/tillsynsmail/A 55995-2025 tillsynsbegäran mail.docx", "A 55995-2025")</f>
        <v/>
      </c>
    </row>
    <row r="65" ht="15" customHeight="1">
      <c r="A65" t="inlineStr">
        <is>
          <t>A 29727-2023</t>
        </is>
      </c>
      <c r="B65" s="1" t="n">
        <v>45107</v>
      </c>
      <c r="C65" s="1" t="n">
        <v>46079</v>
      </c>
      <c r="D65" t="inlineStr">
        <is>
          <t>VÄSTMANLANDS LÄN</t>
        </is>
      </c>
      <c r="E65" t="inlineStr">
        <is>
          <t>SALA</t>
        </is>
      </c>
      <c r="G65" t="n">
        <v>1.9</v>
      </c>
      <c r="H65" t="n">
        <v>0</v>
      </c>
      <c r="I65" t="n">
        <v>0</v>
      </c>
      <c r="J65" t="n">
        <v>1</v>
      </c>
      <c r="K65" t="n">
        <v>0</v>
      </c>
      <c r="L65" t="n">
        <v>0</v>
      </c>
      <c r="M65" t="n">
        <v>0</v>
      </c>
      <c r="N65" t="n">
        <v>0</v>
      </c>
      <c r="O65" t="n">
        <v>1</v>
      </c>
      <c r="P65" t="n">
        <v>0</v>
      </c>
      <c r="Q65" t="n">
        <v>1</v>
      </c>
      <c r="R65" s="2" t="inlineStr">
        <is>
          <t>Vedtrappmossa</t>
        </is>
      </c>
      <c r="S65">
        <f>HYPERLINK("https://klasma.github.io/Logging_1981/artfynd/A 29727-2023 artfynd.xlsx", "A 29727-2023")</f>
        <v/>
      </c>
      <c r="T65">
        <f>HYPERLINK("https://klasma.github.io/Logging_1981/kartor/A 29727-2023 karta.png", "A 29727-2023")</f>
        <v/>
      </c>
      <c r="V65">
        <f>HYPERLINK("https://klasma.github.io/Logging_1981/klagomål/A 29727-2023 FSC-klagomål.docx", "A 29727-2023")</f>
        <v/>
      </c>
      <c r="W65">
        <f>HYPERLINK("https://klasma.github.io/Logging_1981/klagomålsmail/A 29727-2023 FSC-klagomål mail.docx", "A 29727-2023")</f>
        <v/>
      </c>
      <c r="X65">
        <f>HYPERLINK("https://klasma.github.io/Logging_1981/tillsyn/A 29727-2023 tillsynsbegäran.docx", "A 29727-2023")</f>
        <v/>
      </c>
      <c r="Y65">
        <f>HYPERLINK("https://klasma.github.io/Logging_1981/tillsynsmail/A 29727-2023 tillsynsbegäran mail.docx", "A 29727-2023")</f>
        <v/>
      </c>
    </row>
    <row r="66" ht="15" customHeight="1">
      <c r="A66" t="inlineStr">
        <is>
          <t>A 7672-2026</t>
        </is>
      </c>
      <c r="B66" s="1" t="n">
        <v>46062.42077546296</v>
      </c>
      <c r="C66" s="1" t="n">
        <v>46079</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73124-2021</t>
        </is>
      </c>
      <c r="B67" s="1" t="n">
        <v>44550</v>
      </c>
      <c r="C67" s="1" t="n">
        <v>46079</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46079</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46079</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43292-2021</t>
        </is>
      </c>
      <c r="B70" s="1" t="n">
        <v>44432</v>
      </c>
      <c r="C70" s="1" t="n">
        <v>46079</v>
      </c>
      <c r="D70" t="inlineStr">
        <is>
          <t>VÄSTMANLANDS LÄN</t>
        </is>
      </c>
      <c r="E70" t="inlineStr">
        <is>
          <t>SALA</t>
        </is>
      </c>
      <c r="G70" t="n">
        <v>15</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46079</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46079</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46079</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46079</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33762-2021</t>
        </is>
      </c>
      <c r="B75" s="1" t="n">
        <v>44378</v>
      </c>
      <c r="C75" s="1" t="n">
        <v>46079</v>
      </c>
      <c r="D75" t="inlineStr">
        <is>
          <t>VÄSTMANLANDS LÄN</t>
        </is>
      </c>
      <c r="E75" t="inlineStr">
        <is>
          <t>SALA</t>
        </is>
      </c>
      <c r="G75" t="n">
        <v>3.4</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46079</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46079</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46079</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46079</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46079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46079</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46079</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46079</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46079</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46079</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46079</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46079</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46079</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46079</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46079</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46079</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46079</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46079</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46079</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46079</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46079</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46079</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46079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46079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46079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23757-2022</t>
        </is>
      </c>
      <c r="B109" s="1" t="n">
        <v>44722.37339120371</v>
      </c>
      <c r="C109" s="1" t="n">
        <v>46079</v>
      </c>
      <c r="D109" t="inlineStr">
        <is>
          <t>VÄSTMANLANDS LÄN</t>
        </is>
      </c>
      <c r="E109" t="inlineStr">
        <is>
          <t>SALA</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37856-2021</t>
        </is>
      </c>
      <c r="B110" s="1" t="n">
        <v>44403</v>
      </c>
      <c r="C110" s="1" t="n">
        <v>46079</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37872-2021</t>
        </is>
      </c>
      <c r="B111" s="1" t="n">
        <v>44403</v>
      </c>
      <c r="C111" s="1" t="n">
        <v>46079</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46079</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65835-2021</t>
        </is>
      </c>
      <c r="B113" s="1" t="n">
        <v>44517</v>
      </c>
      <c r="C113" s="1" t="n">
        <v>46079</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15850-2022</t>
        </is>
      </c>
      <c r="B114" s="1" t="n">
        <v>44664.43082175926</v>
      </c>
      <c r="C114" s="1" t="n">
        <v>46079</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31904-2021</t>
        </is>
      </c>
      <c r="B115" s="1" t="n">
        <v>44370.46853009259</v>
      </c>
      <c r="C115" s="1" t="n">
        <v>46079</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61897-2021</t>
        </is>
      </c>
      <c r="B116" s="1" t="n">
        <v>44502</v>
      </c>
      <c r="C116" s="1" t="n">
        <v>46079</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46079</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51596-2022</t>
        </is>
      </c>
      <c r="B118" s="1" t="n">
        <v>44871</v>
      </c>
      <c r="C118" s="1" t="n">
        <v>46079</v>
      </c>
      <c r="D118" t="inlineStr">
        <is>
          <t>VÄSTMANLANDS LÄN</t>
        </is>
      </c>
      <c r="E118" t="inlineStr">
        <is>
          <t>SALA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66508-2021</t>
        </is>
      </c>
      <c r="B119" s="1" t="n">
        <v>44519.33401620371</v>
      </c>
      <c r="C119" s="1" t="n">
        <v>46079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31452-2021</t>
        </is>
      </c>
      <c r="B120" s="1" t="n">
        <v>44369</v>
      </c>
      <c r="C120" s="1" t="n">
        <v>46079</v>
      </c>
      <c r="D120" t="inlineStr">
        <is>
          <t>VÄSTMANLANDS LÄN</t>
        </is>
      </c>
      <c r="E120" t="inlineStr">
        <is>
          <t>SALA</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18378-2021</t>
        </is>
      </c>
      <c r="B121" s="1" t="n">
        <v>44305</v>
      </c>
      <c r="C121" s="1" t="n">
        <v>46079</v>
      </c>
      <c r="D121" t="inlineStr">
        <is>
          <t>VÄSTMANLANDS LÄN</t>
        </is>
      </c>
      <c r="E121" t="inlineStr">
        <is>
          <t>SALA</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18189-2021</t>
        </is>
      </c>
      <c r="B122" s="1" t="n">
        <v>44302.67659722222</v>
      </c>
      <c r="C122" s="1" t="n">
        <v>46079</v>
      </c>
      <c r="D122" t="inlineStr">
        <is>
          <t>VÄSTMANLANDS LÄN</t>
        </is>
      </c>
      <c r="E122" t="inlineStr">
        <is>
          <t>SALA</t>
        </is>
      </c>
      <c r="G122" t="n">
        <v>0.7</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46079</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18951-2021</t>
        </is>
      </c>
      <c r="B124" s="1" t="n">
        <v>44308</v>
      </c>
      <c r="C124" s="1" t="n">
        <v>46079</v>
      </c>
      <c r="D124" t="inlineStr">
        <is>
          <t>VÄSTMANLANDS LÄN</t>
        </is>
      </c>
      <c r="E124" t="inlineStr">
        <is>
          <t>SALA</t>
        </is>
      </c>
      <c r="G124" t="n">
        <v>0.3</v>
      </c>
      <c r="H124" t="n">
        <v>0</v>
      </c>
      <c r="I124" t="n">
        <v>0</v>
      </c>
      <c r="J124" t="n">
        <v>0</v>
      </c>
      <c r="K124" t="n">
        <v>0</v>
      </c>
      <c r="L124" t="n">
        <v>0</v>
      </c>
      <c r="M124" t="n">
        <v>0</v>
      </c>
      <c r="N124" t="n">
        <v>0</v>
      </c>
      <c r="O124" t="n">
        <v>0</v>
      </c>
      <c r="P124" t="n">
        <v>0</v>
      </c>
      <c r="Q124" t="n">
        <v>0</v>
      </c>
      <c r="R124" s="2" t="inlineStr"/>
    </row>
    <row r="125" ht="15" customHeight="1">
      <c r="A125" t="inlineStr">
        <is>
          <t>A 22811-2022</t>
        </is>
      </c>
      <c r="B125" s="1" t="n">
        <v>44715</v>
      </c>
      <c r="C125" s="1" t="n">
        <v>46079</v>
      </c>
      <c r="D125" t="inlineStr">
        <is>
          <t>VÄSTMANLANDS LÄN</t>
        </is>
      </c>
      <c r="E125" t="inlineStr">
        <is>
          <t>SALA</t>
        </is>
      </c>
      <c r="G125" t="n">
        <v>5</v>
      </c>
      <c r="H125" t="n">
        <v>0</v>
      </c>
      <c r="I125" t="n">
        <v>0</v>
      </c>
      <c r="J125" t="n">
        <v>0</v>
      </c>
      <c r="K125" t="n">
        <v>0</v>
      </c>
      <c r="L125" t="n">
        <v>0</v>
      </c>
      <c r="M125" t="n">
        <v>0</v>
      </c>
      <c r="N125" t="n">
        <v>0</v>
      </c>
      <c r="O125" t="n">
        <v>0</v>
      </c>
      <c r="P125" t="n">
        <v>0</v>
      </c>
      <c r="Q125" t="n">
        <v>0</v>
      </c>
      <c r="R125" s="2" t="inlineStr"/>
    </row>
    <row r="126" ht="15" customHeight="1">
      <c r="A126" t="inlineStr">
        <is>
          <t>A 65213-2021</t>
        </is>
      </c>
      <c r="B126" s="1" t="n">
        <v>44515</v>
      </c>
      <c r="C126" s="1" t="n">
        <v>46079</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18259-2021</t>
        </is>
      </c>
      <c r="B127" s="1" t="n">
        <v>44305</v>
      </c>
      <c r="C127" s="1" t="n">
        <v>46079</v>
      </c>
      <c r="D127" t="inlineStr">
        <is>
          <t>VÄSTMANLANDS LÄN</t>
        </is>
      </c>
      <c r="E127" t="inlineStr">
        <is>
          <t>SALA</t>
        </is>
      </c>
      <c r="G127" t="n">
        <v>0</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46079</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46079</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35921-2021</t>
        </is>
      </c>
      <c r="B130" s="1" t="n">
        <v>44388.37549768519</v>
      </c>
      <c r="C130" s="1" t="n">
        <v>46079</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46079</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67962-2021</t>
        </is>
      </c>
      <c r="B132" s="1" t="n">
        <v>44525</v>
      </c>
      <c r="C132" s="1" t="n">
        <v>46079</v>
      </c>
      <c r="D132" t="inlineStr">
        <is>
          <t>VÄSTMANLANDS LÄN</t>
        </is>
      </c>
      <c r="E132" t="inlineStr">
        <is>
          <t>SALA</t>
        </is>
      </c>
      <c r="G132" t="n">
        <v>1.4</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46079</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29002-2022</t>
        </is>
      </c>
      <c r="B134" s="1" t="n">
        <v>44749</v>
      </c>
      <c r="C134" s="1" t="n">
        <v>46079</v>
      </c>
      <c r="D134" t="inlineStr">
        <is>
          <t>VÄSTMANLANDS LÄN</t>
        </is>
      </c>
      <c r="E134" t="inlineStr">
        <is>
          <t>SALA</t>
        </is>
      </c>
      <c r="G134" t="n">
        <v>5.4</v>
      </c>
      <c r="H134" t="n">
        <v>0</v>
      </c>
      <c r="I134" t="n">
        <v>0</v>
      </c>
      <c r="J134" t="n">
        <v>0</v>
      </c>
      <c r="K134" t="n">
        <v>0</v>
      </c>
      <c r="L134" t="n">
        <v>0</v>
      </c>
      <c r="M134" t="n">
        <v>0</v>
      </c>
      <c r="N134" t="n">
        <v>0</v>
      </c>
      <c r="O134" t="n">
        <v>0</v>
      </c>
      <c r="P134" t="n">
        <v>0</v>
      </c>
      <c r="Q134" t="n">
        <v>0</v>
      </c>
      <c r="R134" s="2" t="inlineStr"/>
    </row>
    <row r="135" ht="15" customHeight="1">
      <c r="A135" t="inlineStr">
        <is>
          <t>A 57517-2021</t>
        </is>
      </c>
      <c r="B135" s="1" t="n">
        <v>44483</v>
      </c>
      <c r="C135" s="1" t="n">
        <v>46079</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26575-2021</t>
        </is>
      </c>
      <c r="B136" s="1" t="n">
        <v>44348</v>
      </c>
      <c r="C136" s="1" t="n">
        <v>46079</v>
      </c>
      <c r="D136" t="inlineStr">
        <is>
          <t>VÄSTMANLANDS LÄN</t>
        </is>
      </c>
      <c r="E136" t="inlineStr">
        <is>
          <t>SALA</t>
        </is>
      </c>
      <c r="G136" t="n">
        <v>2.7</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46079</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29235-2022</t>
        </is>
      </c>
      <c r="B138" s="1" t="n">
        <v>44750</v>
      </c>
      <c r="C138" s="1" t="n">
        <v>46079</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49254-2022</t>
        </is>
      </c>
      <c r="B139" s="1" t="n">
        <v>44861</v>
      </c>
      <c r="C139" s="1" t="n">
        <v>46079</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66830-2021</t>
        </is>
      </c>
      <c r="B140" s="1" t="n">
        <v>44522.40886574074</v>
      </c>
      <c r="C140" s="1" t="n">
        <v>46079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28402-2022</t>
        </is>
      </c>
      <c r="B141" s="1" t="n">
        <v>44747</v>
      </c>
      <c r="C141" s="1" t="n">
        <v>46079</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11370-2022</t>
        </is>
      </c>
      <c r="B142" s="1" t="n">
        <v>44630</v>
      </c>
      <c r="C142" s="1" t="n">
        <v>46079</v>
      </c>
      <c r="D142" t="inlineStr">
        <is>
          <t>VÄSTMANLANDS LÄN</t>
        </is>
      </c>
      <c r="E142" t="inlineStr">
        <is>
          <t>SALA</t>
        </is>
      </c>
      <c r="G142" t="n">
        <v>4.3</v>
      </c>
      <c r="H142" t="n">
        <v>0</v>
      </c>
      <c r="I142" t="n">
        <v>0</v>
      </c>
      <c r="J142" t="n">
        <v>0</v>
      </c>
      <c r="K142" t="n">
        <v>0</v>
      </c>
      <c r="L142" t="n">
        <v>0</v>
      </c>
      <c r="M142" t="n">
        <v>0</v>
      </c>
      <c r="N142" t="n">
        <v>0</v>
      </c>
      <c r="O142" t="n">
        <v>0</v>
      </c>
      <c r="P142" t="n">
        <v>0</v>
      </c>
      <c r="Q142" t="n">
        <v>0</v>
      </c>
      <c r="R142" s="2" t="inlineStr"/>
    </row>
    <row r="143" ht="15" customHeight="1">
      <c r="A143" t="inlineStr">
        <is>
          <t>A 73606-2021</t>
        </is>
      </c>
      <c r="B143" s="1" t="n">
        <v>44552</v>
      </c>
      <c r="C143" s="1" t="n">
        <v>46079</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23847-2022</t>
        </is>
      </c>
      <c r="B144" s="1" t="n">
        <v>44722</v>
      </c>
      <c r="C144" s="1" t="n">
        <v>46079</v>
      </c>
      <c r="D144" t="inlineStr">
        <is>
          <t>VÄSTMANLANDS LÄN</t>
        </is>
      </c>
      <c r="E144" t="inlineStr">
        <is>
          <t>SALA</t>
        </is>
      </c>
      <c r="G144" t="n">
        <v>1</v>
      </c>
      <c r="H144" t="n">
        <v>0</v>
      </c>
      <c r="I144" t="n">
        <v>0</v>
      </c>
      <c r="J144" t="n">
        <v>0</v>
      </c>
      <c r="K144" t="n">
        <v>0</v>
      </c>
      <c r="L144" t="n">
        <v>0</v>
      </c>
      <c r="M144" t="n">
        <v>0</v>
      </c>
      <c r="N144" t="n">
        <v>0</v>
      </c>
      <c r="O144" t="n">
        <v>0</v>
      </c>
      <c r="P144" t="n">
        <v>0</v>
      </c>
      <c r="Q144" t="n">
        <v>0</v>
      </c>
      <c r="R144" s="2" t="inlineStr"/>
    </row>
    <row r="145" ht="15" customHeight="1">
      <c r="A145" t="inlineStr">
        <is>
          <t>A 53735-2022</t>
        </is>
      </c>
      <c r="B145" s="1" t="n">
        <v>44880.42752314815</v>
      </c>
      <c r="C145" s="1" t="n">
        <v>46079</v>
      </c>
      <c r="D145" t="inlineStr">
        <is>
          <t>VÄSTMANLANDS LÄN</t>
        </is>
      </c>
      <c r="E145" t="inlineStr">
        <is>
          <t>SALA</t>
        </is>
      </c>
      <c r="F145" t="inlineStr">
        <is>
          <t>Bergvik skog öst AB</t>
        </is>
      </c>
      <c r="G145" t="n">
        <v>1.8</v>
      </c>
      <c r="H145" t="n">
        <v>0</v>
      </c>
      <c r="I145" t="n">
        <v>0</v>
      </c>
      <c r="J145" t="n">
        <v>0</v>
      </c>
      <c r="K145" t="n">
        <v>0</v>
      </c>
      <c r="L145" t="n">
        <v>0</v>
      </c>
      <c r="M145" t="n">
        <v>0</v>
      </c>
      <c r="N145" t="n">
        <v>0</v>
      </c>
      <c r="O145" t="n">
        <v>0</v>
      </c>
      <c r="P145" t="n">
        <v>0</v>
      </c>
      <c r="Q145" t="n">
        <v>0</v>
      </c>
      <c r="R145" s="2" t="inlineStr"/>
    </row>
    <row r="146" ht="15" customHeight="1">
      <c r="A146" t="inlineStr">
        <is>
          <t>A 24882-2022</t>
        </is>
      </c>
      <c r="B146" s="1" t="n">
        <v>44728.56488425926</v>
      </c>
      <c r="C146" s="1" t="n">
        <v>46079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72405-2021</t>
        </is>
      </c>
      <c r="B147" s="1" t="n">
        <v>44545</v>
      </c>
      <c r="C147" s="1" t="n">
        <v>46079</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30915-2021</t>
        </is>
      </c>
      <c r="B148" s="1" t="n">
        <v>44365</v>
      </c>
      <c r="C148" s="1" t="n">
        <v>46079</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30918-2021</t>
        </is>
      </c>
      <c r="B149" s="1" t="n">
        <v>44365.60569444444</v>
      </c>
      <c r="C149" s="1" t="n">
        <v>46079</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22562-2022</t>
        </is>
      </c>
      <c r="B150" s="1" t="n">
        <v>44713</v>
      </c>
      <c r="C150" s="1" t="n">
        <v>46079</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63290-2021</t>
        </is>
      </c>
      <c r="B151" s="1" t="n">
        <v>44505</v>
      </c>
      <c r="C151" s="1" t="n">
        <v>46079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30904-2021</t>
        </is>
      </c>
      <c r="B152" s="1" t="n">
        <v>44365.5983449074</v>
      </c>
      <c r="C152" s="1" t="n">
        <v>46079</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46079</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44839.506875</v>
      </c>
      <c r="C154" s="1" t="n">
        <v>46079</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65353-2021</t>
        </is>
      </c>
      <c r="B155" s="1" t="n">
        <v>44515</v>
      </c>
      <c r="C155" s="1" t="n">
        <v>46079</v>
      </c>
      <c r="D155" t="inlineStr">
        <is>
          <t>VÄSTMANLANDS LÄN</t>
        </is>
      </c>
      <c r="E155" t="inlineStr">
        <is>
          <t>SALA</t>
        </is>
      </c>
      <c r="G155" t="n">
        <v>1.5</v>
      </c>
      <c r="H155" t="n">
        <v>0</v>
      </c>
      <c r="I155" t="n">
        <v>0</v>
      </c>
      <c r="J155" t="n">
        <v>0</v>
      </c>
      <c r="K155" t="n">
        <v>0</v>
      </c>
      <c r="L155" t="n">
        <v>0</v>
      </c>
      <c r="M155" t="n">
        <v>0</v>
      </c>
      <c r="N155" t="n">
        <v>0</v>
      </c>
      <c r="O155" t="n">
        <v>0</v>
      </c>
      <c r="P155" t="n">
        <v>0</v>
      </c>
      <c r="Q155" t="n">
        <v>0</v>
      </c>
      <c r="R155" s="2" t="inlineStr"/>
    </row>
    <row r="156" ht="15" customHeight="1">
      <c r="A156" t="inlineStr">
        <is>
          <t>A 25603-2022</t>
        </is>
      </c>
      <c r="B156" s="1" t="n">
        <v>44732</v>
      </c>
      <c r="C156" s="1" t="n">
        <v>46079</v>
      </c>
      <c r="D156" t="inlineStr">
        <is>
          <t>VÄSTMANLANDS LÄN</t>
        </is>
      </c>
      <c r="E156" t="inlineStr">
        <is>
          <t>SALA</t>
        </is>
      </c>
      <c r="G156" t="n">
        <v>2</v>
      </c>
      <c r="H156" t="n">
        <v>0</v>
      </c>
      <c r="I156" t="n">
        <v>0</v>
      </c>
      <c r="J156" t="n">
        <v>0</v>
      </c>
      <c r="K156" t="n">
        <v>0</v>
      </c>
      <c r="L156" t="n">
        <v>0</v>
      </c>
      <c r="M156" t="n">
        <v>0</v>
      </c>
      <c r="N156" t="n">
        <v>0</v>
      </c>
      <c r="O156" t="n">
        <v>0</v>
      </c>
      <c r="P156" t="n">
        <v>0</v>
      </c>
      <c r="Q156" t="n">
        <v>0</v>
      </c>
      <c r="R156" s="2" t="inlineStr"/>
    </row>
    <row r="157" ht="15" customHeight="1">
      <c r="A157" t="inlineStr">
        <is>
          <t>A 73519-2021</t>
        </is>
      </c>
      <c r="B157" s="1" t="n">
        <v>44551</v>
      </c>
      <c r="C157" s="1" t="n">
        <v>46079</v>
      </c>
      <c r="D157" t="inlineStr">
        <is>
          <t>VÄSTMANLANDS LÄN</t>
        </is>
      </c>
      <c r="E157" t="inlineStr">
        <is>
          <t>SALA</t>
        </is>
      </c>
      <c r="G157" t="n">
        <v>0.3</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46079</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46079</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37881-2021</t>
        </is>
      </c>
      <c r="B160" s="1" t="n">
        <v>44403</v>
      </c>
      <c r="C160" s="1" t="n">
        <v>46079</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72805-2021</t>
        </is>
      </c>
      <c r="B161" s="1" t="n">
        <v>44546</v>
      </c>
      <c r="C161" s="1" t="n">
        <v>46079</v>
      </c>
      <c r="D161" t="inlineStr">
        <is>
          <t>VÄSTMANLANDS LÄN</t>
        </is>
      </c>
      <c r="E161" t="inlineStr">
        <is>
          <t>SALA</t>
        </is>
      </c>
      <c r="G161" t="n">
        <v>7.8</v>
      </c>
      <c r="H161" t="n">
        <v>0</v>
      </c>
      <c r="I161" t="n">
        <v>0</v>
      </c>
      <c r="J161" t="n">
        <v>0</v>
      </c>
      <c r="K161" t="n">
        <v>0</v>
      </c>
      <c r="L161" t="n">
        <v>0</v>
      </c>
      <c r="M161" t="n">
        <v>0</v>
      </c>
      <c r="N161" t="n">
        <v>0</v>
      </c>
      <c r="O161" t="n">
        <v>0</v>
      </c>
      <c r="P161" t="n">
        <v>0</v>
      </c>
      <c r="Q161" t="n">
        <v>0</v>
      </c>
      <c r="R161" s="2" t="inlineStr"/>
    </row>
    <row r="162" ht="15" customHeight="1">
      <c r="A162" t="inlineStr">
        <is>
          <t>A 72808-2021</t>
        </is>
      </c>
      <c r="B162" s="1" t="n">
        <v>44546</v>
      </c>
      <c r="C162" s="1" t="n">
        <v>46079</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44879.87171296297</v>
      </c>
      <c r="C163" s="1" t="n">
        <v>46079</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46079</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70218-2021</t>
        </is>
      </c>
      <c r="B165" s="1" t="n">
        <v>44535.6571412037</v>
      </c>
      <c r="C165" s="1" t="n">
        <v>46079</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46079</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3204-2022</t>
        </is>
      </c>
      <c r="B167" s="1" t="n">
        <v>44582</v>
      </c>
      <c r="C167" s="1" t="n">
        <v>46079</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40113-2022</t>
        </is>
      </c>
      <c r="B168" s="1" t="n">
        <v>44819</v>
      </c>
      <c r="C168" s="1" t="n">
        <v>46079</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46079</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46079</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46079</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46079</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64932-2021</t>
        </is>
      </c>
      <c r="B173" s="1" t="n">
        <v>44512</v>
      </c>
      <c r="C173" s="1" t="n">
        <v>46079</v>
      </c>
      <c r="D173" t="inlineStr">
        <is>
          <t>VÄSTMANLANDS LÄN</t>
        </is>
      </c>
      <c r="E173" t="inlineStr">
        <is>
          <t>SALA</t>
        </is>
      </c>
      <c r="G173" t="n">
        <v>0.8</v>
      </c>
      <c r="H173" t="n">
        <v>0</v>
      </c>
      <c r="I173" t="n">
        <v>0</v>
      </c>
      <c r="J173" t="n">
        <v>0</v>
      </c>
      <c r="K173" t="n">
        <v>0</v>
      </c>
      <c r="L173" t="n">
        <v>0</v>
      </c>
      <c r="M173" t="n">
        <v>0</v>
      </c>
      <c r="N173" t="n">
        <v>0</v>
      </c>
      <c r="O173" t="n">
        <v>0</v>
      </c>
      <c r="P173" t="n">
        <v>0</v>
      </c>
      <c r="Q173" t="n">
        <v>0</v>
      </c>
      <c r="R173" s="2" t="inlineStr"/>
    </row>
    <row r="174" ht="15" customHeight="1">
      <c r="A174" t="inlineStr">
        <is>
          <t>A 26570-2021</t>
        </is>
      </c>
      <c r="B174" s="1" t="n">
        <v>44348</v>
      </c>
      <c r="C174" s="1" t="n">
        <v>46079</v>
      </c>
      <c r="D174" t="inlineStr">
        <is>
          <t>VÄSTMANLANDS LÄN</t>
        </is>
      </c>
      <c r="E174" t="inlineStr">
        <is>
          <t>SALA</t>
        </is>
      </c>
      <c r="G174" t="n">
        <v>2.5</v>
      </c>
      <c r="H174" t="n">
        <v>0</v>
      </c>
      <c r="I174" t="n">
        <v>0</v>
      </c>
      <c r="J174" t="n">
        <v>0</v>
      </c>
      <c r="K174" t="n">
        <v>0</v>
      </c>
      <c r="L174" t="n">
        <v>0</v>
      </c>
      <c r="M174" t="n">
        <v>0</v>
      </c>
      <c r="N174" t="n">
        <v>0</v>
      </c>
      <c r="O174" t="n">
        <v>0</v>
      </c>
      <c r="P174" t="n">
        <v>0</v>
      </c>
      <c r="Q174" t="n">
        <v>0</v>
      </c>
      <c r="R174" s="2" t="inlineStr"/>
    </row>
    <row r="175" ht="15" customHeight="1">
      <c r="A175" t="inlineStr">
        <is>
          <t>A 29233-2022</t>
        </is>
      </c>
      <c r="B175" s="1" t="n">
        <v>44750</v>
      </c>
      <c r="C175" s="1" t="n">
        <v>46079</v>
      </c>
      <c r="D175" t="inlineStr">
        <is>
          <t>VÄSTMANLANDS LÄN</t>
        </is>
      </c>
      <c r="E175" t="inlineStr">
        <is>
          <t>SALA</t>
        </is>
      </c>
      <c r="G175" t="n">
        <v>2.4</v>
      </c>
      <c r="H175" t="n">
        <v>0</v>
      </c>
      <c r="I175" t="n">
        <v>0</v>
      </c>
      <c r="J175" t="n">
        <v>0</v>
      </c>
      <c r="K175" t="n">
        <v>0</v>
      </c>
      <c r="L175" t="n">
        <v>0</v>
      </c>
      <c r="M175" t="n">
        <v>0</v>
      </c>
      <c r="N175" t="n">
        <v>0</v>
      </c>
      <c r="O175" t="n">
        <v>0</v>
      </c>
      <c r="P175" t="n">
        <v>0</v>
      </c>
      <c r="Q175" t="n">
        <v>0</v>
      </c>
      <c r="R175" s="2" t="inlineStr"/>
    </row>
    <row r="176" ht="15" customHeight="1">
      <c r="A176" t="inlineStr">
        <is>
          <t>A 56688-2024</t>
        </is>
      </c>
      <c r="B176" s="1" t="n">
        <v>45627.66478009259</v>
      </c>
      <c r="C176" s="1" t="n">
        <v>46079</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46079</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27261-2024</t>
        </is>
      </c>
      <c r="B178" s="1" t="n">
        <v>45471</v>
      </c>
      <c r="C178" s="1" t="n">
        <v>46079</v>
      </c>
      <c r="D178" t="inlineStr">
        <is>
          <t>VÄSTMANLANDS LÄN</t>
        </is>
      </c>
      <c r="E178" t="inlineStr">
        <is>
          <t>SALA</t>
        </is>
      </c>
      <c r="G178" t="n">
        <v>6.1</v>
      </c>
      <c r="H178" t="n">
        <v>0</v>
      </c>
      <c r="I178" t="n">
        <v>0</v>
      </c>
      <c r="J178" t="n">
        <v>0</v>
      </c>
      <c r="K178" t="n">
        <v>0</v>
      </c>
      <c r="L178" t="n">
        <v>0</v>
      </c>
      <c r="M178" t="n">
        <v>0</v>
      </c>
      <c r="N178" t="n">
        <v>0</v>
      </c>
      <c r="O178" t="n">
        <v>0</v>
      </c>
      <c r="P178" t="n">
        <v>0</v>
      </c>
      <c r="Q178" t="n">
        <v>0</v>
      </c>
      <c r="R178" s="2" t="inlineStr"/>
    </row>
    <row r="179" ht="15" customHeight="1">
      <c r="A179" t="inlineStr">
        <is>
          <t>A 18713-2025</t>
        </is>
      </c>
      <c r="B179" s="1" t="n">
        <v>45763</v>
      </c>
      <c r="C179" s="1" t="n">
        <v>46079</v>
      </c>
      <c r="D179" t="inlineStr">
        <is>
          <t>VÄSTMANLANDS LÄN</t>
        </is>
      </c>
      <c r="E179" t="inlineStr">
        <is>
          <t>SALA</t>
        </is>
      </c>
      <c r="F179" t="inlineStr">
        <is>
          <t>Bergvik skog öst AB</t>
        </is>
      </c>
      <c r="G179" t="n">
        <v>11.6</v>
      </c>
      <c r="H179" t="n">
        <v>0</v>
      </c>
      <c r="I179" t="n">
        <v>0</v>
      </c>
      <c r="J179" t="n">
        <v>0</v>
      </c>
      <c r="K179" t="n">
        <v>0</v>
      </c>
      <c r="L179" t="n">
        <v>0</v>
      </c>
      <c r="M179" t="n">
        <v>0</v>
      </c>
      <c r="N179" t="n">
        <v>0</v>
      </c>
      <c r="O179" t="n">
        <v>0</v>
      </c>
      <c r="P179" t="n">
        <v>0</v>
      </c>
      <c r="Q179" t="n">
        <v>0</v>
      </c>
      <c r="R179" s="2" t="inlineStr"/>
    </row>
    <row r="180" ht="15" customHeight="1">
      <c r="A180" t="inlineStr">
        <is>
          <t>A 56949-2023</t>
        </is>
      </c>
      <c r="B180" s="1" t="n">
        <v>45244.61589120371</v>
      </c>
      <c r="C180" s="1" t="n">
        <v>46079</v>
      </c>
      <c r="D180" t="inlineStr">
        <is>
          <t>VÄSTMANLANDS LÄN</t>
        </is>
      </c>
      <c r="E180" t="inlineStr">
        <is>
          <t>SALA</t>
        </is>
      </c>
      <c r="G180" t="n">
        <v>4.7</v>
      </c>
      <c r="H180" t="n">
        <v>0</v>
      </c>
      <c r="I180" t="n">
        <v>0</v>
      </c>
      <c r="J180" t="n">
        <v>0</v>
      </c>
      <c r="K180" t="n">
        <v>0</v>
      </c>
      <c r="L180" t="n">
        <v>0</v>
      </c>
      <c r="M180" t="n">
        <v>0</v>
      </c>
      <c r="N180" t="n">
        <v>0</v>
      </c>
      <c r="O180" t="n">
        <v>0</v>
      </c>
      <c r="P180" t="n">
        <v>0</v>
      </c>
      <c r="Q180" t="n">
        <v>0</v>
      </c>
      <c r="R180" s="2" t="inlineStr"/>
    </row>
    <row r="181" ht="15" customHeight="1">
      <c r="A181" t="inlineStr">
        <is>
          <t>A 54959-2024</t>
        </is>
      </c>
      <c r="B181" s="1" t="n">
        <v>45619</v>
      </c>
      <c r="C181" s="1" t="n">
        <v>46079</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9075-2022</t>
        </is>
      </c>
      <c r="B182" s="1" t="n">
        <v>44615.47800925926</v>
      </c>
      <c r="C182" s="1" t="n">
        <v>46079</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46079</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46079</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40214-2023</t>
        </is>
      </c>
      <c r="B185" s="1" t="n">
        <v>45169.45173611111</v>
      </c>
      <c r="C185" s="1" t="n">
        <v>46079</v>
      </c>
      <c r="D185" t="inlineStr">
        <is>
          <t>VÄSTMANLANDS LÄN</t>
        </is>
      </c>
      <c r="E185" t="inlineStr">
        <is>
          <t>SALA</t>
        </is>
      </c>
      <c r="G185" t="n">
        <v>5.5</v>
      </c>
      <c r="H185" t="n">
        <v>0</v>
      </c>
      <c r="I185" t="n">
        <v>0</v>
      </c>
      <c r="J185" t="n">
        <v>0</v>
      </c>
      <c r="K185" t="n">
        <v>0</v>
      </c>
      <c r="L185" t="n">
        <v>0</v>
      </c>
      <c r="M185" t="n">
        <v>0</v>
      </c>
      <c r="N185" t="n">
        <v>0</v>
      </c>
      <c r="O185" t="n">
        <v>0</v>
      </c>
      <c r="P185" t="n">
        <v>0</v>
      </c>
      <c r="Q185" t="n">
        <v>0</v>
      </c>
      <c r="R185" s="2" t="inlineStr"/>
    </row>
    <row r="186" ht="15" customHeight="1">
      <c r="A186" t="inlineStr">
        <is>
          <t>A 57000-2021</t>
        </is>
      </c>
      <c r="B186" s="1" t="n">
        <v>44482.46760416667</v>
      </c>
      <c r="C186" s="1" t="n">
        <v>46079</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44544-2024</t>
        </is>
      </c>
      <c r="B187" s="1" t="n">
        <v>45574.46119212963</v>
      </c>
      <c r="C187" s="1" t="n">
        <v>46079</v>
      </c>
      <c r="D187" t="inlineStr">
        <is>
          <t>VÄSTMANLANDS LÄN</t>
        </is>
      </c>
      <c r="E187" t="inlineStr">
        <is>
          <t>SALA</t>
        </is>
      </c>
      <c r="G187" t="n">
        <v>3.3</v>
      </c>
      <c r="H187" t="n">
        <v>0</v>
      </c>
      <c r="I187" t="n">
        <v>0</v>
      </c>
      <c r="J187" t="n">
        <v>0</v>
      </c>
      <c r="K187" t="n">
        <v>0</v>
      </c>
      <c r="L187" t="n">
        <v>0</v>
      </c>
      <c r="M187" t="n">
        <v>0</v>
      </c>
      <c r="N187" t="n">
        <v>0</v>
      </c>
      <c r="O187" t="n">
        <v>0</v>
      </c>
      <c r="P187" t="n">
        <v>0</v>
      </c>
      <c r="Q187" t="n">
        <v>0</v>
      </c>
      <c r="R187" s="2" t="inlineStr"/>
    </row>
    <row r="188" ht="15" customHeight="1">
      <c r="A188" t="inlineStr">
        <is>
          <t>A 6134-2024</t>
        </is>
      </c>
      <c r="B188" s="1" t="n">
        <v>45337</v>
      </c>
      <c r="C188" s="1" t="n">
        <v>46079</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26579-2021</t>
        </is>
      </c>
      <c r="B189" s="1" t="n">
        <v>44348</v>
      </c>
      <c r="C189" s="1" t="n">
        <v>46079</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35016-2024</t>
        </is>
      </c>
      <c r="B190" s="1" t="n">
        <v>45527.59115740741</v>
      </c>
      <c r="C190" s="1" t="n">
        <v>46079</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15354-2021</t>
        </is>
      </c>
      <c r="B191" s="1" t="n">
        <v>44284</v>
      </c>
      <c r="C191" s="1" t="n">
        <v>46079</v>
      </c>
      <c r="D191" t="inlineStr">
        <is>
          <t>VÄSTMANLANDS LÄN</t>
        </is>
      </c>
      <c r="E191" t="inlineStr">
        <is>
          <t>SALA</t>
        </is>
      </c>
      <c r="F191" t="inlineStr">
        <is>
          <t>Kyrkan</t>
        </is>
      </c>
      <c r="G191" t="n">
        <v>8.5</v>
      </c>
      <c r="H191" t="n">
        <v>0</v>
      </c>
      <c r="I191" t="n">
        <v>0</v>
      </c>
      <c r="J191" t="n">
        <v>0</v>
      </c>
      <c r="K191" t="n">
        <v>0</v>
      </c>
      <c r="L191" t="n">
        <v>0</v>
      </c>
      <c r="M191" t="n">
        <v>0</v>
      </c>
      <c r="N191" t="n">
        <v>0</v>
      </c>
      <c r="O191" t="n">
        <v>0</v>
      </c>
      <c r="P191" t="n">
        <v>0</v>
      </c>
      <c r="Q191" t="n">
        <v>0</v>
      </c>
      <c r="R191" s="2" t="inlineStr"/>
    </row>
    <row r="192" ht="15" customHeight="1">
      <c r="A192" t="inlineStr">
        <is>
          <t>A 37612-2024</t>
        </is>
      </c>
      <c r="B192" s="1" t="n">
        <v>45541</v>
      </c>
      <c r="C192" s="1" t="n">
        <v>46079</v>
      </c>
      <c r="D192" t="inlineStr">
        <is>
          <t>VÄSTMANLANDS LÄN</t>
        </is>
      </c>
      <c r="E192" t="inlineStr">
        <is>
          <t>SALA</t>
        </is>
      </c>
      <c r="G192" t="n">
        <v>2.2</v>
      </c>
      <c r="H192" t="n">
        <v>0</v>
      </c>
      <c r="I192" t="n">
        <v>0</v>
      </c>
      <c r="J192" t="n">
        <v>0</v>
      </c>
      <c r="K192" t="n">
        <v>0</v>
      </c>
      <c r="L192" t="n">
        <v>0</v>
      </c>
      <c r="M192" t="n">
        <v>0</v>
      </c>
      <c r="N192" t="n">
        <v>0</v>
      </c>
      <c r="O192" t="n">
        <v>0</v>
      </c>
      <c r="P192" t="n">
        <v>0</v>
      </c>
      <c r="Q192" t="n">
        <v>0</v>
      </c>
      <c r="R192" s="2" t="inlineStr"/>
    </row>
    <row r="193" ht="15" customHeight="1">
      <c r="A193" t="inlineStr">
        <is>
          <t>A 37615-2024</t>
        </is>
      </c>
      <c r="B193" s="1" t="n">
        <v>45541.50673611111</v>
      </c>
      <c r="C193" s="1" t="n">
        <v>46079</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5728-2022</t>
        </is>
      </c>
      <c r="B194" s="1" t="n">
        <v>44596.42082175926</v>
      </c>
      <c r="C194" s="1" t="n">
        <v>46079</v>
      </c>
      <c r="D194" t="inlineStr">
        <is>
          <t>VÄSTMANLANDS LÄN</t>
        </is>
      </c>
      <c r="E194" t="inlineStr">
        <is>
          <t>SALA</t>
        </is>
      </c>
      <c r="G194" t="n">
        <v>1.7</v>
      </c>
      <c r="H194" t="n">
        <v>0</v>
      </c>
      <c r="I194" t="n">
        <v>0</v>
      </c>
      <c r="J194" t="n">
        <v>0</v>
      </c>
      <c r="K194" t="n">
        <v>0</v>
      </c>
      <c r="L194" t="n">
        <v>0</v>
      </c>
      <c r="M194" t="n">
        <v>0</v>
      </c>
      <c r="N194" t="n">
        <v>0</v>
      </c>
      <c r="O194" t="n">
        <v>0</v>
      </c>
      <c r="P194" t="n">
        <v>0</v>
      </c>
      <c r="Q194" t="n">
        <v>0</v>
      </c>
      <c r="R194" s="2" t="inlineStr"/>
    </row>
    <row r="195" ht="15" customHeight="1">
      <c r="A195" t="inlineStr">
        <is>
          <t>A 39597-2022</t>
        </is>
      </c>
      <c r="B195" s="1" t="n">
        <v>44818</v>
      </c>
      <c r="C195" s="1" t="n">
        <v>46079</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10585-2022</t>
        </is>
      </c>
      <c r="B196" s="1" t="n">
        <v>44624</v>
      </c>
      <c r="C196" s="1" t="n">
        <v>46079</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69236-2021</t>
        </is>
      </c>
      <c r="B197" s="1" t="n">
        <v>44531.4047337963</v>
      </c>
      <c r="C197" s="1" t="n">
        <v>46079</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19751-2022</t>
        </is>
      </c>
      <c r="B198" s="1" t="n">
        <v>44694</v>
      </c>
      <c r="C198" s="1" t="n">
        <v>46079</v>
      </c>
      <c r="D198" t="inlineStr">
        <is>
          <t>VÄSTMANLANDS LÄN</t>
        </is>
      </c>
      <c r="E198" t="inlineStr">
        <is>
          <t>SALA</t>
        </is>
      </c>
      <c r="G198" t="n">
        <v>2.7</v>
      </c>
      <c r="H198" t="n">
        <v>0</v>
      </c>
      <c r="I198" t="n">
        <v>0</v>
      </c>
      <c r="J198" t="n">
        <v>0</v>
      </c>
      <c r="K198" t="n">
        <v>0</v>
      </c>
      <c r="L198" t="n">
        <v>0</v>
      </c>
      <c r="M198" t="n">
        <v>0</v>
      </c>
      <c r="N198" t="n">
        <v>0</v>
      </c>
      <c r="O198" t="n">
        <v>0</v>
      </c>
      <c r="P198" t="n">
        <v>0</v>
      </c>
      <c r="Q198" t="n">
        <v>0</v>
      </c>
      <c r="R198" s="2" t="inlineStr"/>
    </row>
    <row r="199" ht="15" customHeight="1">
      <c r="A199" t="inlineStr">
        <is>
          <t>A 25860-2024</t>
        </is>
      </c>
      <c r="B199" s="1" t="n">
        <v>45467.46278935186</v>
      </c>
      <c r="C199" s="1" t="n">
        <v>46079</v>
      </c>
      <c r="D199" t="inlineStr">
        <is>
          <t>VÄSTMANLANDS LÄN</t>
        </is>
      </c>
      <c r="E199" t="inlineStr">
        <is>
          <t>SALA</t>
        </is>
      </c>
      <c r="G199" t="n">
        <v>0.7</v>
      </c>
      <c r="H199" t="n">
        <v>0</v>
      </c>
      <c r="I199" t="n">
        <v>0</v>
      </c>
      <c r="J199" t="n">
        <v>0</v>
      </c>
      <c r="K199" t="n">
        <v>0</v>
      </c>
      <c r="L199" t="n">
        <v>0</v>
      </c>
      <c r="M199" t="n">
        <v>0</v>
      </c>
      <c r="N199" t="n">
        <v>0</v>
      </c>
      <c r="O199" t="n">
        <v>0</v>
      </c>
      <c r="P199" t="n">
        <v>0</v>
      </c>
      <c r="Q199" t="n">
        <v>0</v>
      </c>
      <c r="R199" s="2" t="inlineStr"/>
    </row>
    <row r="200" ht="15" customHeight="1">
      <c r="A200" t="inlineStr">
        <is>
          <t>A 48117-2024</t>
        </is>
      </c>
      <c r="B200" s="1" t="n">
        <v>45589</v>
      </c>
      <c r="C200" s="1" t="n">
        <v>46079</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12225-2023</t>
        </is>
      </c>
      <c r="B201" s="1" t="n">
        <v>44995</v>
      </c>
      <c r="C201" s="1" t="n">
        <v>46079</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12252-2023</t>
        </is>
      </c>
      <c r="B202" s="1" t="n">
        <v>44995</v>
      </c>
      <c r="C202" s="1" t="n">
        <v>46079</v>
      </c>
      <c r="D202" t="inlineStr">
        <is>
          <t>VÄSTMANLANDS LÄN</t>
        </is>
      </c>
      <c r="E202" t="inlineStr">
        <is>
          <t>SALA</t>
        </is>
      </c>
      <c r="G202" t="n">
        <v>2.6</v>
      </c>
      <c r="H202" t="n">
        <v>0</v>
      </c>
      <c r="I202" t="n">
        <v>0</v>
      </c>
      <c r="J202" t="n">
        <v>0</v>
      </c>
      <c r="K202" t="n">
        <v>0</v>
      </c>
      <c r="L202" t="n">
        <v>0</v>
      </c>
      <c r="M202" t="n">
        <v>0</v>
      </c>
      <c r="N202" t="n">
        <v>0</v>
      </c>
      <c r="O202" t="n">
        <v>0</v>
      </c>
      <c r="P202" t="n">
        <v>0</v>
      </c>
      <c r="Q202" t="n">
        <v>0</v>
      </c>
      <c r="R202" s="2" t="inlineStr"/>
    </row>
    <row r="203" ht="15" customHeight="1">
      <c r="A203" t="inlineStr">
        <is>
          <t>A 22026-2021</t>
        </is>
      </c>
      <c r="B203" s="1" t="n">
        <v>44323</v>
      </c>
      <c r="C203" s="1" t="n">
        <v>46079</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6116-2023</t>
        </is>
      </c>
      <c r="B204" s="1" t="n">
        <v>44964</v>
      </c>
      <c r="C204" s="1" t="n">
        <v>46079</v>
      </c>
      <c r="D204" t="inlineStr">
        <is>
          <t>VÄSTMANLANDS LÄN</t>
        </is>
      </c>
      <c r="E204" t="inlineStr">
        <is>
          <t>SALA</t>
        </is>
      </c>
      <c r="G204" t="n">
        <v>1.9</v>
      </c>
      <c r="H204" t="n">
        <v>0</v>
      </c>
      <c r="I204" t="n">
        <v>0</v>
      </c>
      <c r="J204" t="n">
        <v>0</v>
      </c>
      <c r="K204" t="n">
        <v>0</v>
      </c>
      <c r="L204" t="n">
        <v>0</v>
      </c>
      <c r="M204" t="n">
        <v>0</v>
      </c>
      <c r="N204" t="n">
        <v>0</v>
      </c>
      <c r="O204" t="n">
        <v>0</v>
      </c>
      <c r="P204" t="n">
        <v>0</v>
      </c>
      <c r="Q204" t="n">
        <v>0</v>
      </c>
      <c r="R204" s="2" t="inlineStr"/>
    </row>
    <row r="205" ht="15" customHeight="1">
      <c r="A205" t="inlineStr">
        <is>
          <t>A 18100-2023</t>
        </is>
      </c>
      <c r="B205" s="1" t="n">
        <v>45040</v>
      </c>
      <c r="C205" s="1" t="n">
        <v>46079</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13471-2025</t>
        </is>
      </c>
      <c r="B206" s="1" t="n">
        <v>45736.40579861111</v>
      </c>
      <c r="C206" s="1" t="n">
        <v>46079</v>
      </c>
      <c r="D206" t="inlineStr">
        <is>
          <t>VÄSTMANLANDS LÄN</t>
        </is>
      </c>
      <c r="E206" t="inlineStr">
        <is>
          <t>SALA</t>
        </is>
      </c>
      <c r="G206" t="n">
        <v>1.1</v>
      </c>
      <c r="H206" t="n">
        <v>0</v>
      </c>
      <c r="I206" t="n">
        <v>0</v>
      </c>
      <c r="J206" t="n">
        <v>0</v>
      </c>
      <c r="K206" t="n">
        <v>0</v>
      </c>
      <c r="L206" t="n">
        <v>0</v>
      </c>
      <c r="M206" t="n">
        <v>0</v>
      </c>
      <c r="N206" t="n">
        <v>0</v>
      </c>
      <c r="O206" t="n">
        <v>0</v>
      </c>
      <c r="P206" t="n">
        <v>0</v>
      </c>
      <c r="Q206" t="n">
        <v>0</v>
      </c>
      <c r="R206" s="2" t="inlineStr"/>
    </row>
    <row r="207" ht="15" customHeight="1">
      <c r="A207" t="inlineStr">
        <is>
          <t>A 26854-2024</t>
        </is>
      </c>
      <c r="B207" s="1" t="n">
        <v>45470</v>
      </c>
      <c r="C207" s="1" t="n">
        <v>46079</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64729-2023</t>
        </is>
      </c>
      <c r="B208" s="1" t="n">
        <v>45281</v>
      </c>
      <c r="C208" s="1" t="n">
        <v>46079</v>
      </c>
      <c r="D208" t="inlineStr">
        <is>
          <t>VÄSTMANLANDS LÄN</t>
        </is>
      </c>
      <c r="E208" t="inlineStr">
        <is>
          <t>SALA</t>
        </is>
      </c>
      <c r="G208" t="n">
        <v>1.8</v>
      </c>
      <c r="H208" t="n">
        <v>0</v>
      </c>
      <c r="I208" t="n">
        <v>0</v>
      </c>
      <c r="J208" t="n">
        <v>0</v>
      </c>
      <c r="K208" t="n">
        <v>0</v>
      </c>
      <c r="L208" t="n">
        <v>0</v>
      </c>
      <c r="M208" t="n">
        <v>0</v>
      </c>
      <c r="N208" t="n">
        <v>0</v>
      </c>
      <c r="O208" t="n">
        <v>0</v>
      </c>
      <c r="P208" t="n">
        <v>0</v>
      </c>
      <c r="Q208" t="n">
        <v>0</v>
      </c>
      <c r="R208" s="2" t="inlineStr"/>
    </row>
    <row r="209" ht="15" customHeight="1">
      <c r="A209" t="inlineStr">
        <is>
          <t>A 37602-2024</t>
        </is>
      </c>
      <c r="B209" s="1" t="n">
        <v>45541</v>
      </c>
      <c r="C209" s="1" t="n">
        <v>46079</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6312-2025</t>
        </is>
      </c>
      <c r="B210" s="1" t="n">
        <v>45698</v>
      </c>
      <c r="C210" s="1" t="n">
        <v>46079</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1985-2022</t>
        </is>
      </c>
      <c r="B211" s="1" t="n">
        <v>44575</v>
      </c>
      <c r="C211" s="1" t="n">
        <v>46079</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16160-2024</t>
        </is>
      </c>
      <c r="B212" s="1" t="n">
        <v>45406</v>
      </c>
      <c r="C212" s="1" t="n">
        <v>46079</v>
      </c>
      <c r="D212" t="inlineStr">
        <is>
          <t>VÄSTMANLANDS LÄN</t>
        </is>
      </c>
      <c r="E212" t="inlineStr">
        <is>
          <t>SALA</t>
        </is>
      </c>
      <c r="G212" t="n">
        <v>1.1</v>
      </c>
      <c r="H212" t="n">
        <v>0</v>
      </c>
      <c r="I212" t="n">
        <v>0</v>
      </c>
      <c r="J212" t="n">
        <v>0</v>
      </c>
      <c r="K212" t="n">
        <v>0</v>
      </c>
      <c r="L212" t="n">
        <v>0</v>
      </c>
      <c r="M212" t="n">
        <v>0</v>
      </c>
      <c r="N212" t="n">
        <v>0</v>
      </c>
      <c r="O212" t="n">
        <v>0</v>
      </c>
      <c r="P212" t="n">
        <v>0</v>
      </c>
      <c r="Q212" t="n">
        <v>0</v>
      </c>
      <c r="R212" s="2" t="inlineStr"/>
    </row>
    <row r="213" ht="15" customHeight="1">
      <c r="A213" t="inlineStr">
        <is>
          <t>A 40597-2022</t>
        </is>
      </c>
      <c r="B213" s="1" t="n">
        <v>44823.84862268518</v>
      </c>
      <c r="C213" s="1" t="n">
        <v>46079</v>
      </c>
      <c r="D213" t="inlineStr">
        <is>
          <t>VÄSTMANLANDS LÄN</t>
        </is>
      </c>
      <c r="E213" t="inlineStr">
        <is>
          <t>SALA</t>
        </is>
      </c>
      <c r="G213" t="n">
        <v>3.5</v>
      </c>
      <c r="H213" t="n">
        <v>0</v>
      </c>
      <c r="I213" t="n">
        <v>0</v>
      </c>
      <c r="J213" t="n">
        <v>0</v>
      </c>
      <c r="K213" t="n">
        <v>0</v>
      </c>
      <c r="L213" t="n">
        <v>0</v>
      </c>
      <c r="M213" t="n">
        <v>0</v>
      </c>
      <c r="N213" t="n">
        <v>0</v>
      </c>
      <c r="O213" t="n">
        <v>0</v>
      </c>
      <c r="P213" t="n">
        <v>0</v>
      </c>
      <c r="Q213" t="n">
        <v>0</v>
      </c>
      <c r="R213" s="2" t="inlineStr"/>
    </row>
    <row r="214" ht="15" customHeight="1">
      <c r="A214" t="inlineStr">
        <is>
          <t>A 55035-2023</t>
        </is>
      </c>
      <c r="B214" s="1" t="n">
        <v>45229</v>
      </c>
      <c r="C214" s="1" t="n">
        <v>46079</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21455-2023</t>
        </is>
      </c>
      <c r="B215" s="1" t="n">
        <v>45058</v>
      </c>
      <c r="C215" s="1" t="n">
        <v>46079</v>
      </c>
      <c r="D215" t="inlineStr">
        <is>
          <t>VÄSTMANLANDS LÄN</t>
        </is>
      </c>
      <c r="E215" t="inlineStr">
        <is>
          <t>SALA</t>
        </is>
      </c>
      <c r="G215" t="n">
        <v>6.4</v>
      </c>
      <c r="H215" t="n">
        <v>0</v>
      </c>
      <c r="I215" t="n">
        <v>0</v>
      </c>
      <c r="J215" t="n">
        <v>0</v>
      </c>
      <c r="K215" t="n">
        <v>0</v>
      </c>
      <c r="L215" t="n">
        <v>0</v>
      </c>
      <c r="M215" t="n">
        <v>0</v>
      </c>
      <c r="N215" t="n">
        <v>0</v>
      </c>
      <c r="O215" t="n">
        <v>0</v>
      </c>
      <c r="P215" t="n">
        <v>0</v>
      </c>
      <c r="Q215" t="n">
        <v>0</v>
      </c>
      <c r="R215" s="2" t="inlineStr"/>
    </row>
    <row r="216" ht="15" customHeight="1">
      <c r="A216" t="inlineStr">
        <is>
          <t>A 7196-2025</t>
        </is>
      </c>
      <c r="B216" s="1" t="n">
        <v>45702</v>
      </c>
      <c r="C216" s="1" t="n">
        <v>46079</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4797-2023</t>
        </is>
      </c>
      <c r="B217" s="1" t="n">
        <v>44957</v>
      </c>
      <c r="C217" s="1" t="n">
        <v>46079</v>
      </c>
      <c r="D217" t="inlineStr">
        <is>
          <t>VÄSTMANLANDS LÄN</t>
        </is>
      </c>
      <c r="E217" t="inlineStr">
        <is>
          <t>SALA</t>
        </is>
      </c>
      <c r="G217" t="n">
        <v>5.7</v>
      </c>
      <c r="H217" t="n">
        <v>0</v>
      </c>
      <c r="I217" t="n">
        <v>0</v>
      </c>
      <c r="J217" t="n">
        <v>0</v>
      </c>
      <c r="K217" t="n">
        <v>0</v>
      </c>
      <c r="L217" t="n">
        <v>0</v>
      </c>
      <c r="M217" t="n">
        <v>0</v>
      </c>
      <c r="N217" t="n">
        <v>0</v>
      </c>
      <c r="O217" t="n">
        <v>0</v>
      </c>
      <c r="P217" t="n">
        <v>0</v>
      </c>
      <c r="Q217" t="n">
        <v>0</v>
      </c>
      <c r="R217" s="2" t="inlineStr"/>
    </row>
    <row r="218" ht="15" customHeight="1">
      <c r="A218" t="inlineStr">
        <is>
          <t>A 4852-2023</t>
        </is>
      </c>
      <c r="B218" s="1" t="n">
        <v>44957.72496527778</v>
      </c>
      <c r="C218" s="1" t="n">
        <v>46079</v>
      </c>
      <c r="D218" t="inlineStr">
        <is>
          <t>VÄSTMANLANDS LÄN</t>
        </is>
      </c>
      <c r="E218" t="inlineStr">
        <is>
          <t>SALA</t>
        </is>
      </c>
      <c r="G218" t="n">
        <v>2</v>
      </c>
      <c r="H218" t="n">
        <v>0</v>
      </c>
      <c r="I218" t="n">
        <v>0</v>
      </c>
      <c r="J218" t="n">
        <v>0</v>
      </c>
      <c r="K218" t="n">
        <v>0</v>
      </c>
      <c r="L218" t="n">
        <v>0</v>
      </c>
      <c r="M218" t="n">
        <v>0</v>
      </c>
      <c r="N218" t="n">
        <v>0</v>
      </c>
      <c r="O218" t="n">
        <v>0</v>
      </c>
      <c r="P218" t="n">
        <v>0</v>
      </c>
      <c r="Q218" t="n">
        <v>0</v>
      </c>
      <c r="R218" s="2" t="inlineStr"/>
    </row>
    <row r="219" ht="15" customHeight="1">
      <c r="A219" t="inlineStr">
        <is>
          <t>A 6183-2025</t>
        </is>
      </c>
      <c r="B219" s="1" t="n">
        <v>45698</v>
      </c>
      <c r="C219" s="1" t="n">
        <v>46079</v>
      </c>
      <c r="D219" t="inlineStr">
        <is>
          <t>VÄSTMANLANDS LÄN</t>
        </is>
      </c>
      <c r="E219" t="inlineStr">
        <is>
          <t>SALA</t>
        </is>
      </c>
      <c r="F219" t="inlineStr">
        <is>
          <t>Bergvik skog öst AB</t>
        </is>
      </c>
      <c r="G219" t="n">
        <v>2.3</v>
      </c>
      <c r="H219" t="n">
        <v>0</v>
      </c>
      <c r="I219" t="n">
        <v>0</v>
      </c>
      <c r="J219" t="n">
        <v>0</v>
      </c>
      <c r="K219" t="n">
        <v>0</v>
      </c>
      <c r="L219" t="n">
        <v>0</v>
      </c>
      <c r="M219" t="n">
        <v>0</v>
      </c>
      <c r="N219" t="n">
        <v>0</v>
      </c>
      <c r="O219" t="n">
        <v>0</v>
      </c>
      <c r="P219" t="n">
        <v>0</v>
      </c>
      <c r="Q219" t="n">
        <v>0</v>
      </c>
      <c r="R219" s="2" t="inlineStr"/>
    </row>
    <row r="220" ht="15" customHeight="1">
      <c r="A220" t="inlineStr">
        <is>
          <t>A 36858-2023</t>
        </is>
      </c>
      <c r="B220" s="1" t="n">
        <v>45154.55184027777</v>
      </c>
      <c r="C220" s="1" t="n">
        <v>46079</v>
      </c>
      <c r="D220" t="inlineStr">
        <is>
          <t>VÄSTMANLANDS LÄN</t>
        </is>
      </c>
      <c r="E220" t="inlineStr">
        <is>
          <t>SALA</t>
        </is>
      </c>
      <c r="G220" t="n">
        <v>2.1</v>
      </c>
      <c r="H220" t="n">
        <v>0</v>
      </c>
      <c r="I220" t="n">
        <v>0</v>
      </c>
      <c r="J220" t="n">
        <v>0</v>
      </c>
      <c r="K220" t="n">
        <v>0</v>
      </c>
      <c r="L220" t="n">
        <v>0</v>
      </c>
      <c r="M220" t="n">
        <v>0</v>
      </c>
      <c r="N220" t="n">
        <v>0</v>
      </c>
      <c r="O220" t="n">
        <v>0</v>
      </c>
      <c r="P220" t="n">
        <v>0</v>
      </c>
      <c r="Q220" t="n">
        <v>0</v>
      </c>
      <c r="R220" s="2" t="inlineStr"/>
    </row>
    <row r="221" ht="15" customHeight="1">
      <c r="A221" t="inlineStr">
        <is>
          <t>A 52500-2024</t>
        </is>
      </c>
      <c r="B221" s="1" t="n">
        <v>45609</v>
      </c>
      <c r="C221" s="1" t="n">
        <v>46079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58701-2021</t>
        </is>
      </c>
      <c r="B222" s="1" t="n">
        <v>44489.46454861111</v>
      </c>
      <c r="C222" s="1" t="n">
        <v>46079</v>
      </c>
      <c r="D222" t="inlineStr">
        <is>
          <t>VÄSTMANLANDS LÄN</t>
        </is>
      </c>
      <c r="E222" t="inlineStr">
        <is>
          <t>SALA</t>
        </is>
      </c>
      <c r="G222" t="n">
        <v>0.7</v>
      </c>
      <c r="H222" t="n">
        <v>0</v>
      </c>
      <c r="I222" t="n">
        <v>0</v>
      </c>
      <c r="J222" t="n">
        <v>0</v>
      </c>
      <c r="K222" t="n">
        <v>0</v>
      </c>
      <c r="L222" t="n">
        <v>0</v>
      </c>
      <c r="M222" t="n">
        <v>0</v>
      </c>
      <c r="N222" t="n">
        <v>0</v>
      </c>
      <c r="O222" t="n">
        <v>0</v>
      </c>
      <c r="P222" t="n">
        <v>0</v>
      </c>
      <c r="Q222" t="n">
        <v>0</v>
      </c>
      <c r="R222" s="2" t="inlineStr"/>
    </row>
    <row r="223" ht="15" customHeight="1">
      <c r="A223" t="inlineStr">
        <is>
          <t>A 40871-2021</t>
        </is>
      </c>
      <c r="B223" s="1" t="n">
        <v>44421</v>
      </c>
      <c r="C223" s="1" t="n">
        <v>46079</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19803-2024</t>
        </is>
      </c>
      <c r="B224" s="1" t="n">
        <v>45432</v>
      </c>
      <c r="C224" s="1" t="n">
        <v>46079</v>
      </c>
      <c r="D224" t="inlineStr">
        <is>
          <t>VÄSTMANLANDS LÄN</t>
        </is>
      </c>
      <c r="E224" t="inlineStr">
        <is>
          <t>SALA</t>
        </is>
      </c>
      <c r="G224" t="n">
        <v>3.1</v>
      </c>
      <c r="H224" t="n">
        <v>0</v>
      </c>
      <c r="I224" t="n">
        <v>0</v>
      </c>
      <c r="J224" t="n">
        <v>0</v>
      </c>
      <c r="K224" t="n">
        <v>0</v>
      </c>
      <c r="L224" t="n">
        <v>0</v>
      </c>
      <c r="M224" t="n">
        <v>0</v>
      </c>
      <c r="N224" t="n">
        <v>0</v>
      </c>
      <c r="O224" t="n">
        <v>0</v>
      </c>
      <c r="P224" t="n">
        <v>0</v>
      </c>
      <c r="Q224" t="n">
        <v>0</v>
      </c>
      <c r="R224" s="2" t="inlineStr"/>
    </row>
    <row r="225" ht="15" customHeight="1">
      <c r="A225" t="inlineStr">
        <is>
          <t>A 7950-2025</t>
        </is>
      </c>
      <c r="B225" s="1" t="n">
        <v>45707.41799768519</v>
      </c>
      <c r="C225" s="1" t="n">
        <v>46079</v>
      </c>
      <c r="D225" t="inlineStr">
        <is>
          <t>VÄSTMANLANDS LÄN</t>
        </is>
      </c>
      <c r="E225" t="inlineStr">
        <is>
          <t>SALA</t>
        </is>
      </c>
      <c r="G225" t="n">
        <v>3.2</v>
      </c>
      <c r="H225" t="n">
        <v>0</v>
      </c>
      <c r="I225" t="n">
        <v>0</v>
      </c>
      <c r="J225" t="n">
        <v>0</v>
      </c>
      <c r="K225" t="n">
        <v>0</v>
      </c>
      <c r="L225" t="n">
        <v>0</v>
      </c>
      <c r="M225" t="n">
        <v>0</v>
      </c>
      <c r="N225" t="n">
        <v>0</v>
      </c>
      <c r="O225" t="n">
        <v>0</v>
      </c>
      <c r="P225" t="n">
        <v>0</v>
      </c>
      <c r="Q225" t="n">
        <v>0</v>
      </c>
      <c r="R225" s="2" t="inlineStr"/>
    </row>
    <row r="226" ht="15" customHeight="1">
      <c r="A226" t="inlineStr">
        <is>
          <t>A 10812-2021</t>
        </is>
      </c>
      <c r="B226" s="1" t="n">
        <v>44259</v>
      </c>
      <c r="C226" s="1" t="n">
        <v>46079</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10154-2021</t>
        </is>
      </c>
      <c r="B227" s="1" t="n">
        <v>44256</v>
      </c>
      <c r="C227" s="1" t="n">
        <v>46079</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37337-2024</t>
        </is>
      </c>
      <c r="B228" s="1" t="n">
        <v>45540</v>
      </c>
      <c r="C228" s="1" t="n">
        <v>46079</v>
      </c>
      <c r="D228" t="inlineStr">
        <is>
          <t>VÄSTMANLANDS LÄN</t>
        </is>
      </c>
      <c r="E228" t="inlineStr">
        <is>
          <t>SALA</t>
        </is>
      </c>
      <c r="G228" t="n">
        <v>6.5</v>
      </c>
      <c r="H228" t="n">
        <v>0</v>
      </c>
      <c r="I228" t="n">
        <v>0</v>
      </c>
      <c r="J228" t="n">
        <v>0</v>
      </c>
      <c r="K228" t="n">
        <v>0</v>
      </c>
      <c r="L228" t="n">
        <v>0</v>
      </c>
      <c r="M228" t="n">
        <v>0</v>
      </c>
      <c r="N228" t="n">
        <v>0</v>
      </c>
      <c r="O228" t="n">
        <v>0</v>
      </c>
      <c r="P228" t="n">
        <v>0</v>
      </c>
      <c r="Q228" t="n">
        <v>0</v>
      </c>
      <c r="R228" s="2" t="inlineStr"/>
    </row>
    <row r="229" ht="15" customHeight="1">
      <c r="A229" t="inlineStr">
        <is>
          <t>A 16328-2025</t>
        </is>
      </c>
      <c r="B229" s="1" t="n">
        <v>45751</v>
      </c>
      <c r="C229" s="1" t="n">
        <v>46079</v>
      </c>
      <c r="D229" t="inlineStr">
        <is>
          <t>VÄSTMANLANDS LÄN</t>
        </is>
      </c>
      <c r="E229" t="inlineStr">
        <is>
          <t>SALA</t>
        </is>
      </c>
      <c r="G229" t="n">
        <v>2.9</v>
      </c>
      <c r="H229" t="n">
        <v>0</v>
      </c>
      <c r="I229" t="n">
        <v>0</v>
      </c>
      <c r="J229" t="n">
        <v>0</v>
      </c>
      <c r="K229" t="n">
        <v>0</v>
      </c>
      <c r="L229" t="n">
        <v>0</v>
      </c>
      <c r="M229" t="n">
        <v>0</v>
      </c>
      <c r="N229" t="n">
        <v>0</v>
      </c>
      <c r="O229" t="n">
        <v>0</v>
      </c>
      <c r="P229" t="n">
        <v>0</v>
      </c>
      <c r="Q229" t="n">
        <v>0</v>
      </c>
      <c r="R229" s="2" t="inlineStr"/>
    </row>
    <row r="230" ht="15" customHeight="1">
      <c r="A230" t="inlineStr">
        <is>
          <t>A 24864-2024</t>
        </is>
      </c>
      <c r="B230" s="1" t="n">
        <v>45461.48888888889</v>
      </c>
      <c r="C230" s="1" t="n">
        <v>46079</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1118-2024</t>
        </is>
      </c>
      <c r="B231" s="1" t="n">
        <v>45302</v>
      </c>
      <c r="C231" s="1" t="n">
        <v>46079</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63933-2023</t>
        </is>
      </c>
      <c r="B232" s="1" t="n">
        <v>45278</v>
      </c>
      <c r="C232" s="1" t="n">
        <v>46079</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31609-2024</t>
        </is>
      </c>
      <c r="B233" s="1" t="n">
        <v>45506</v>
      </c>
      <c r="C233" s="1" t="n">
        <v>46079</v>
      </c>
      <c r="D233" t="inlineStr">
        <is>
          <t>VÄSTMANLANDS LÄN</t>
        </is>
      </c>
      <c r="E233" t="inlineStr">
        <is>
          <t>SALA</t>
        </is>
      </c>
      <c r="G233" t="n">
        <v>0.8</v>
      </c>
      <c r="H233" t="n">
        <v>0</v>
      </c>
      <c r="I233" t="n">
        <v>0</v>
      </c>
      <c r="J233" t="n">
        <v>0</v>
      </c>
      <c r="K233" t="n">
        <v>0</v>
      </c>
      <c r="L233" t="n">
        <v>0</v>
      </c>
      <c r="M233" t="n">
        <v>0</v>
      </c>
      <c r="N233" t="n">
        <v>0</v>
      </c>
      <c r="O233" t="n">
        <v>0</v>
      </c>
      <c r="P233" t="n">
        <v>0</v>
      </c>
      <c r="Q233" t="n">
        <v>0</v>
      </c>
      <c r="R233" s="2" t="inlineStr"/>
    </row>
    <row r="234" ht="15" customHeight="1">
      <c r="A234" t="inlineStr">
        <is>
          <t>A 37190-2024</t>
        </is>
      </c>
      <c r="B234" s="1" t="n">
        <v>45539</v>
      </c>
      <c r="C234" s="1" t="n">
        <v>46079</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39439-2021</t>
        </is>
      </c>
      <c r="B235" s="1" t="n">
        <v>44414</v>
      </c>
      <c r="C235" s="1" t="n">
        <v>46079</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10250-2025</t>
        </is>
      </c>
      <c r="B236" s="1" t="n">
        <v>45720.36165509259</v>
      </c>
      <c r="C236" s="1" t="n">
        <v>46079</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23180-2022</t>
        </is>
      </c>
      <c r="B237" s="1" t="n">
        <v>44719.79344907407</v>
      </c>
      <c r="C237" s="1" t="n">
        <v>46079</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21053-2022</t>
        </is>
      </c>
      <c r="B238" s="1" t="n">
        <v>44704</v>
      </c>
      <c r="C238" s="1" t="n">
        <v>46079</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18340-2025</t>
        </is>
      </c>
      <c r="B239" s="1" t="n">
        <v>45762</v>
      </c>
      <c r="C239" s="1" t="n">
        <v>46079</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11389-2024</t>
        </is>
      </c>
      <c r="B240" s="1" t="n">
        <v>45372.45016203704</v>
      </c>
      <c r="C240" s="1" t="n">
        <v>46079</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56706-2022</t>
        </is>
      </c>
      <c r="B241" s="1" t="n">
        <v>44893.78893518518</v>
      </c>
      <c r="C241" s="1" t="n">
        <v>46079</v>
      </c>
      <c r="D241" t="inlineStr">
        <is>
          <t>VÄSTMANLANDS LÄN</t>
        </is>
      </c>
      <c r="E241" t="inlineStr">
        <is>
          <t>SALA</t>
        </is>
      </c>
      <c r="G241" t="n">
        <v>4.5</v>
      </c>
      <c r="H241" t="n">
        <v>0</v>
      </c>
      <c r="I241" t="n">
        <v>0</v>
      </c>
      <c r="J241" t="n">
        <v>0</v>
      </c>
      <c r="K241" t="n">
        <v>0</v>
      </c>
      <c r="L241" t="n">
        <v>0</v>
      </c>
      <c r="M241" t="n">
        <v>0</v>
      </c>
      <c r="N241" t="n">
        <v>0</v>
      </c>
      <c r="O241" t="n">
        <v>0</v>
      </c>
      <c r="P241" t="n">
        <v>0</v>
      </c>
      <c r="Q241" t="n">
        <v>0</v>
      </c>
      <c r="R241" s="2" t="inlineStr"/>
    </row>
    <row r="242" ht="15" customHeight="1">
      <c r="A242" t="inlineStr">
        <is>
          <t>A 56707-2022</t>
        </is>
      </c>
      <c r="B242" s="1" t="n">
        <v>44893.79412037037</v>
      </c>
      <c r="C242" s="1" t="n">
        <v>46079</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35410-2022</t>
        </is>
      </c>
      <c r="B243" s="1" t="n">
        <v>44798.62576388889</v>
      </c>
      <c r="C243" s="1" t="n">
        <v>46079</v>
      </c>
      <c r="D243" t="inlineStr">
        <is>
          <t>VÄSTMANLANDS LÄN</t>
        </is>
      </c>
      <c r="E243" t="inlineStr">
        <is>
          <t>SALA</t>
        </is>
      </c>
      <c r="G243" t="n">
        <v>1.6</v>
      </c>
      <c r="H243" t="n">
        <v>0</v>
      </c>
      <c r="I243" t="n">
        <v>0</v>
      </c>
      <c r="J243" t="n">
        <v>0</v>
      </c>
      <c r="K243" t="n">
        <v>0</v>
      </c>
      <c r="L243" t="n">
        <v>0</v>
      </c>
      <c r="M243" t="n">
        <v>0</v>
      </c>
      <c r="N243" t="n">
        <v>0</v>
      </c>
      <c r="O243" t="n">
        <v>0</v>
      </c>
      <c r="P243" t="n">
        <v>0</v>
      </c>
      <c r="Q243" t="n">
        <v>0</v>
      </c>
      <c r="R243" s="2" t="inlineStr"/>
    </row>
    <row r="244" ht="15" customHeight="1">
      <c r="A244" t="inlineStr">
        <is>
          <t>A 16638-2023</t>
        </is>
      </c>
      <c r="B244" s="1" t="n">
        <v>45027</v>
      </c>
      <c r="C244" s="1" t="n">
        <v>46079</v>
      </c>
      <c r="D244" t="inlineStr">
        <is>
          <t>VÄSTMANLANDS LÄN</t>
        </is>
      </c>
      <c r="E244" t="inlineStr">
        <is>
          <t>SALA</t>
        </is>
      </c>
      <c r="G244" t="n">
        <v>14.8</v>
      </c>
      <c r="H244" t="n">
        <v>0</v>
      </c>
      <c r="I244" t="n">
        <v>0</v>
      </c>
      <c r="J244" t="n">
        <v>0</v>
      </c>
      <c r="K244" t="n">
        <v>0</v>
      </c>
      <c r="L244" t="n">
        <v>0</v>
      </c>
      <c r="M244" t="n">
        <v>0</v>
      </c>
      <c r="N244" t="n">
        <v>0</v>
      </c>
      <c r="O244" t="n">
        <v>0</v>
      </c>
      <c r="P244" t="n">
        <v>0</v>
      </c>
      <c r="Q244" t="n">
        <v>0</v>
      </c>
      <c r="R244" s="2" t="inlineStr"/>
    </row>
    <row r="245" ht="15" customHeight="1">
      <c r="A245" t="inlineStr">
        <is>
          <t>A 30971-2022</t>
        </is>
      </c>
      <c r="B245" s="1" t="n">
        <v>44768.46725694444</v>
      </c>
      <c r="C245" s="1" t="n">
        <v>46079</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68864-2021</t>
        </is>
      </c>
      <c r="B246" s="1" t="n">
        <v>44530</v>
      </c>
      <c r="C246" s="1" t="n">
        <v>46079</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21159-2022</t>
        </is>
      </c>
      <c r="B247" s="1" t="n">
        <v>44704</v>
      </c>
      <c r="C247" s="1" t="n">
        <v>46079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2900-2023</t>
        </is>
      </c>
      <c r="B248" s="1" t="n">
        <v>44943</v>
      </c>
      <c r="C248" s="1" t="n">
        <v>46079</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60730-2023</t>
        </is>
      </c>
      <c r="B249" s="1" t="n">
        <v>45260</v>
      </c>
      <c r="C249" s="1" t="n">
        <v>46079</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41292-2021</t>
        </is>
      </c>
      <c r="B250" s="1" t="n">
        <v>44424</v>
      </c>
      <c r="C250" s="1" t="n">
        <v>46079</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60731-2023</t>
        </is>
      </c>
      <c r="B251" s="1" t="n">
        <v>45260</v>
      </c>
      <c r="C251" s="1" t="n">
        <v>46079</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60328-2024</t>
        </is>
      </c>
      <c r="B252" s="1" t="n">
        <v>45643.38416666666</v>
      </c>
      <c r="C252" s="1" t="n">
        <v>46079</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17117-2023</t>
        </is>
      </c>
      <c r="B253" s="1" t="n">
        <v>45034</v>
      </c>
      <c r="C253" s="1" t="n">
        <v>46079</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59909-2024</t>
        </is>
      </c>
      <c r="B254" s="1" t="n">
        <v>45641</v>
      </c>
      <c r="C254" s="1" t="n">
        <v>46079</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30028-2024</t>
        </is>
      </c>
      <c r="B255" s="1" t="n">
        <v>45485</v>
      </c>
      <c r="C255" s="1" t="n">
        <v>46079</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33273-2023</t>
        </is>
      </c>
      <c r="B256" s="1" t="n">
        <v>45127</v>
      </c>
      <c r="C256" s="1" t="n">
        <v>46079</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33309-2022</t>
        </is>
      </c>
      <c r="B257" s="1" t="n">
        <v>44788.40986111111</v>
      </c>
      <c r="C257" s="1" t="n">
        <v>46079</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7377-2023</t>
        </is>
      </c>
      <c r="B258" s="1" t="n">
        <v>44971</v>
      </c>
      <c r="C258" s="1" t="n">
        <v>46079</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27229-2022</t>
        </is>
      </c>
      <c r="B259" s="1" t="n">
        <v>44741</v>
      </c>
      <c r="C259" s="1" t="n">
        <v>46079</v>
      </c>
      <c r="D259" t="inlineStr">
        <is>
          <t>VÄSTMANLANDS LÄN</t>
        </is>
      </c>
      <c r="E259" t="inlineStr">
        <is>
          <t>SALA</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52827-2024</t>
        </is>
      </c>
      <c r="B260" s="1" t="n">
        <v>45610</v>
      </c>
      <c r="C260" s="1" t="n">
        <v>46079</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53166-2024</t>
        </is>
      </c>
      <c r="B261" s="1" t="n">
        <v>45611</v>
      </c>
      <c r="C261" s="1" t="n">
        <v>46079</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11244-2024</t>
        </is>
      </c>
      <c r="B262" s="1" t="n">
        <v>45371</v>
      </c>
      <c r="C262" s="1" t="n">
        <v>46079</v>
      </c>
      <c r="D262" t="inlineStr">
        <is>
          <t>VÄSTMANLANDS LÄN</t>
        </is>
      </c>
      <c r="E262" t="inlineStr">
        <is>
          <t>SALA</t>
        </is>
      </c>
      <c r="G262" t="n">
        <v>1.2</v>
      </c>
      <c r="H262" t="n">
        <v>0</v>
      </c>
      <c r="I262" t="n">
        <v>0</v>
      </c>
      <c r="J262" t="n">
        <v>0</v>
      </c>
      <c r="K262" t="n">
        <v>0</v>
      </c>
      <c r="L262" t="n">
        <v>0</v>
      </c>
      <c r="M262" t="n">
        <v>0</v>
      </c>
      <c r="N262" t="n">
        <v>0</v>
      </c>
      <c r="O262" t="n">
        <v>0</v>
      </c>
      <c r="P262" t="n">
        <v>0</v>
      </c>
      <c r="Q262" t="n">
        <v>0</v>
      </c>
      <c r="R262" s="2" t="inlineStr"/>
    </row>
    <row r="263" ht="15" customHeight="1">
      <c r="A263" t="inlineStr">
        <is>
          <t>A 62654-2022</t>
        </is>
      </c>
      <c r="B263" s="1" t="n">
        <v>44917</v>
      </c>
      <c r="C263" s="1" t="n">
        <v>46079</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6135-2023</t>
        </is>
      </c>
      <c r="B264" s="1" t="n">
        <v>44964.62628472222</v>
      </c>
      <c r="C264" s="1" t="n">
        <v>46079</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53864-2022</t>
        </is>
      </c>
      <c r="B265" s="1" t="n">
        <v>44880.64016203704</v>
      </c>
      <c r="C265" s="1" t="n">
        <v>46079</v>
      </c>
      <c r="D265" t="inlineStr">
        <is>
          <t>VÄSTMANLANDS LÄN</t>
        </is>
      </c>
      <c r="E265" t="inlineStr">
        <is>
          <t>SALA</t>
        </is>
      </c>
      <c r="G265" t="n">
        <v>5.9</v>
      </c>
      <c r="H265" t="n">
        <v>0</v>
      </c>
      <c r="I265" t="n">
        <v>0</v>
      </c>
      <c r="J265" t="n">
        <v>0</v>
      </c>
      <c r="K265" t="n">
        <v>0</v>
      </c>
      <c r="L265" t="n">
        <v>0</v>
      </c>
      <c r="M265" t="n">
        <v>0</v>
      </c>
      <c r="N265" t="n">
        <v>0</v>
      </c>
      <c r="O265" t="n">
        <v>0</v>
      </c>
      <c r="P265" t="n">
        <v>0</v>
      </c>
      <c r="Q265" t="n">
        <v>0</v>
      </c>
      <c r="R265" s="2" t="inlineStr"/>
    </row>
    <row r="266" ht="15" customHeight="1">
      <c r="A266" t="inlineStr">
        <is>
          <t>A 35976-2024</t>
        </is>
      </c>
      <c r="B266" s="1" t="n">
        <v>45533.49555555556</v>
      </c>
      <c r="C266" s="1" t="n">
        <v>46079</v>
      </c>
      <c r="D266" t="inlineStr">
        <is>
          <t>VÄSTMANLANDS LÄN</t>
        </is>
      </c>
      <c r="E266" t="inlineStr">
        <is>
          <t>SALA</t>
        </is>
      </c>
      <c r="G266" t="n">
        <v>2.3</v>
      </c>
      <c r="H266" t="n">
        <v>0</v>
      </c>
      <c r="I266" t="n">
        <v>0</v>
      </c>
      <c r="J266" t="n">
        <v>0</v>
      </c>
      <c r="K266" t="n">
        <v>0</v>
      </c>
      <c r="L266" t="n">
        <v>0</v>
      </c>
      <c r="M266" t="n">
        <v>0</v>
      </c>
      <c r="N266" t="n">
        <v>0</v>
      </c>
      <c r="O266" t="n">
        <v>0</v>
      </c>
      <c r="P266" t="n">
        <v>0</v>
      </c>
      <c r="Q266" t="n">
        <v>0</v>
      </c>
      <c r="R266" s="2" t="inlineStr"/>
    </row>
    <row r="267" ht="15" customHeight="1">
      <c r="A267" t="inlineStr">
        <is>
          <t>A 24755-2021</t>
        </is>
      </c>
      <c r="B267" s="1" t="n">
        <v>44340</v>
      </c>
      <c r="C267" s="1" t="n">
        <v>46079</v>
      </c>
      <c r="D267" t="inlineStr">
        <is>
          <t>VÄSTMANLANDS LÄN</t>
        </is>
      </c>
      <c r="E267" t="inlineStr">
        <is>
          <t>SALA</t>
        </is>
      </c>
      <c r="G267" t="n">
        <v>1.2</v>
      </c>
      <c r="H267" t="n">
        <v>0</v>
      </c>
      <c r="I267" t="n">
        <v>0</v>
      </c>
      <c r="J267" t="n">
        <v>0</v>
      </c>
      <c r="K267" t="n">
        <v>0</v>
      </c>
      <c r="L267" t="n">
        <v>0</v>
      </c>
      <c r="M267" t="n">
        <v>0</v>
      </c>
      <c r="N267" t="n">
        <v>0</v>
      </c>
      <c r="O267" t="n">
        <v>0</v>
      </c>
      <c r="P267" t="n">
        <v>0</v>
      </c>
      <c r="Q267" t="n">
        <v>0</v>
      </c>
      <c r="R267" s="2" t="inlineStr"/>
    </row>
    <row r="268" ht="15" customHeight="1">
      <c r="A268" t="inlineStr">
        <is>
          <t>A 34867-2023</t>
        </is>
      </c>
      <c r="B268" s="1" t="n">
        <v>45142.33481481481</v>
      </c>
      <c r="C268" s="1" t="n">
        <v>46079</v>
      </c>
      <c r="D268" t="inlineStr">
        <is>
          <t>VÄSTMANLANDS LÄN</t>
        </is>
      </c>
      <c r="E268" t="inlineStr">
        <is>
          <t>SALA</t>
        </is>
      </c>
      <c r="G268" t="n">
        <v>1.1</v>
      </c>
      <c r="H268" t="n">
        <v>0</v>
      </c>
      <c r="I268" t="n">
        <v>0</v>
      </c>
      <c r="J268" t="n">
        <v>0</v>
      </c>
      <c r="K268" t="n">
        <v>0</v>
      </c>
      <c r="L268" t="n">
        <v>0</v>
      </c>
      <c r="M268" t="n">
        <v>0</v>
      </c>
      <c r="N268" t="n">
        <v>0</v>
      </c>
      <c r="O268" t="n">
        <v>0</v>
      </c>
      <c r="P268" t="n">
        <v>0</v>
      </c>
      <c r="Q268" t="n">
        <v>0</v>
      </c>
      <c r="R268" s="2" t="inlineStr"/>
    </row>
    <row r="269" ht="15" customHeight="1">
      <c r="A269" t="inlineStr">
        <is>
          <t>A 27255-2023</t>
        </is>
      </c>
      <c r="B269" s="1" t="n">
        <v>45096</v>
      </c>
      <c r="C269" s="1" t="n">
        <v>46079</v>
      </c>
      <c r="D269" t="inlineStr">
        <is>
          <t>VÄSTMANLANDS LÄN</t>
        </is>
      </c>
      <c r="E269" t="inlineStr">
        <is>
          <t>SALA</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25748-2022</t>
        </is>
      </c>
      <c r="B270" s="1" t="n">
        <v>44732</v>
      </c>
      <c r="C270" s="1" t="n">
        <v>46079</v>
      </c>
      <c r="D270" t="inlineStr">
        <is>
          <t>VÄSTMANLANDS LÄN</t>
        </is>
      </c>
      <c r="E270" t="inlineStr">
        <is>
          <t>SALA</t>
        </is>
      </c>
      <c r="G270" t="n">
        <v>7.7</v>
      </c>
      <c r="H270" t="n">
        <v>0</v>
      </c>
      <c r="I270" t="n">
        <v>0</v>
      </c>
      <c r="J270" t="n">
        <v>0</v>
      </c>
      <c r="K270" t="n">
        <v>0</v>
      </c>
      <c r="L270" t="n">
        <v>0</v>
      </c>
      <c r="M270" t="n">
        <v>0</v>
      </c>
      <c r="N270" t="n">
        <v>0</v>
      </c>
      <c r="O270" t="n">
        <v>0</v>
      </c>
      <c r="P270" t="n">
        <v>0</v>
      </c>
      <c r="Q270" t="n">
        <v>0</v>
      </c>
      <c r="R270" s="2" t="inlineStr"/>
    </row>
    <row r="271" ht="15" customHeight="1">
      <c r="A271" t="inlineStr">
        <is>
          <t>A 60034-2024</t>
        </is>
      </c>
      <c r="B271" s="1" t="n">
        <v>45642.46261574074</v>
      </c>
      <c r="C271" s="1" t="n">
        <v>46079</v>
      </c>
      <c r="D271" t="inlineStr">
        <is>
          <t>VÄSTMANLANDS LÄN</t>
        </is>
      </c>
      <c r="E271" t="inlineStr">
        <is>
          <t>SALA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3810-2023</t>
        </is>
      </c>
      <c r="B272" s="1" t="n">
        <v>44951.60454861111</v>
      </c>
      <c r="C272" s="1" t="n">
        <v>46079</v>
      </c>
      <c r="D272" t="inlineStr">
        <is>
          <t>VÄSTMANLANDS LÄN</t>
        </is>
      </c>
      <c r="E272" t="inlineStr">
        <is>
          <t>SALA</t>
        </is>
      </c>
      <c r="G272" t="n">
        <v>4.2</v>
      </c>
      <c r="H272" t="n">
        <v>0</v>
      </c>
      <c r="I272" t="n">
        <v>0</v>
      </c>
      <c r="J272" t="n">
        <v>0</v>
      </c>
      <c r="K272" t="n">
        <v>0</v>
      </c>
      <c r="L272" t="n">
        <v>0</v>
      </c>
      <c r="M272" t="n">
        <v>0</v>
      </c>
      <c r="N272" t="n">
        <v>0</v>
      </c>
      <c r="O272" t="n">
        <v>0</v>
      </c>
      <c r="P272" t="n">
        <v>0</v>
      </c>
      <c r="Q272" t="n">
        <v>0</v>
      </c>
      <c r="R272" s="2" t="inlineStr"/>
    </row>
    <row r="273" ht="15" customHeight="1">
      <c r="A273" t="inlineStr">
        <is>
          <t>A 71471-2021</t>
        </is>
      </c>
      <c r="B273" s="1" t="n">
        <v>44540.53421296296</v>
      </c>
      <c r="C273" s="1" t="n">
        <v>46079</v>
      </c>
      <c r="D273" t="inlineStr">
        <is>
          <t>VÄSTMANLANDS LÄN</t>
        </is>
      </c>
      <c r="E273" t="inlineStr">
        <is>
          <t>SALA</t>
        </is>
      </c>
      <c r="G273" t="n">
        <v>13</v>
      </c>
      <c r="H273" t="n">
        <v>0</v>
      </c>
      <c r="I273" t="n">
        <v>0</v>
      </c>
      <c r="J273" t="n">
        <v>0</v>
      </c>
      <c r="K273" t="n">
        <v>0</v>
      </c>
      <c r="L273" t="n">
        <v>0</v>
      </c>
      <c r="M273" t="n">
        <v>0</v>
      </c>
      <c r="N273" t="n">
        <v>0</v>
      </c>
      <c r="O273" t="n">
        <v>0</v>
      </c>
      <c r="P273" t="n">
        <v>0</v>
      </c>
      <c r="Q273" t="n">
        <v>0</v>
      </c>
      <c r="R273" s="2" t="inlineStr"/>
    </row>
    <row r="274" ht="15" customHeight="1">
      <c r="A274" t="inlineStr">
        <is>
          <t>A 8775-2024</t>
        </is>
      </c>
      <c r="B274" s="1" t="n">
        <v>45356</v>
      </c>
      <c r="C274" s="1" t="n">
        <v>46079</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52503-2024</t>
        </is>
      </c>
      <c r="B275" s="1" t="n">
        <v>45609.58806712963</v>
      </c>
      <c r="C275" s="1" t="n">
        <v>46079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49512-2024</t>
        </is>
      </c>
      <c r="B276" s="1" t="n">
        <v>45591</v>
      </c>
      <c r="C276" s="1" t="n">
        <v>46079</v>
      </c>
      <c r="D276" t="inlineStr">
        <is>
          <t>VÄSTMANLANDS LÄN</t>
        </is>
      </c>
      <c r="E276" t="inlineStr">
        <is>
          <t>SALA</t>
        </is>
      </c>
      <c r="G276" t="n">
        <v>8.1</v>
      </c>
      <c r="H276" t="n">
        <v>0</v>
      </c>
      <c r="I276" t="n">
        <v>0</v>
      </c>
      <c r="J276" t="n">
        <v>0</v>
      </c>
      <c r="K276" t="n">
        <v>0</v>
      </c>
      <c r="L276" t="n">
        <v>0</v>
      </c>
      <c r="M276" t="n">
        <v>0</v>
      </c>
      <c r="N276" t="n">
        <v>0</v>
      </c>
      <c r="O276" t="n">
        <v>0</v>
      </c>
      <c r="P276" t="n">
        <v>0</v>
      </c>
      <c r="Q276" t="n">
        <v>0</v>
      </c>
      <c r="R276" s="2" t="inlineStr"/>
    </row>
    <row r="277" ht="15" customHeight="1">
      <c r="A277" t="inlineStr">
        <is>
          <t>A 2521-2025</t>
        </is>
      </c>
      <c r="B277" s="1" t="n">
        <v>45674</v>
      </c>
      <c r="C277" s="1" t="n">
        <v>46079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13128-2023</t>
        </is>
      </c>
      <c r="B278" s="1" t="n">
        <v>45002</v>
      </c>
      <c r="C278" s="1" t="n">
        <v>46079</v>
      </c>
      <c r="D278" t="inlineStr">
        <is>
          <t>VÄSTMANLANDS LÄN</t>
        </is>
      </c>
      <c r="E278" t="inlineStr">
        <is>
          <t>SALA</t>
        </is>
      </c>
      <c r="G278" t="n">
        <v>7.9</v>
      </c>
      <c r="H278" t="n">
        <v>0</v>
      </c>
      <c r="I278" t="n">
        <v>0</v>
      </c>
      <c r="J278" t="n">
        <v>0</v>
      </c>
      <c r="K278" t="n">
        <v>0</v>
      </c>
      <c r="L278" t="n">
        <v>0</v>
      </c>
      <c r="M278" t="n">
        <v>0</v>
      </c>
      <c r="N278" t="n">
        <v>0</v>
      </c>
      <c r="O278" t="n">
        <v>0</v>
      </c>
      <c r="P278" t="n">
        <v>0</v>
      </c>
      <c r="Q278" t="n">
        <v>0</v>
      </c>
      <c r="R278" s="2" t="inlineStr"/>
    </row>
    <row r="279" ht="15" customHeight="1">
      <c r="A279" t="inlineStr">
        <is>
          <t>A 39011-2023</t>
        </is>
      </c>
      <c r="B279" s="1" t="n">
        <v>45162</v>
      </c>
      <c r="C279" s="1" t="n">
        <v>46079</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31000-2022</t>
        </is>
      </c>
      <c r="B280" s="1" t="n">
        <v>44768</v>
      </c>
      <c r="C280" s="1" t="n">
        <v>46079</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37958-2024</t>
        </is>
      </c>
      <c r="B281" s="1" t="n">
        <v>45544</v>
      </c>
      <c r="C281" s="1" t="n">
        <v>46079</v>
      </c>
      <c r="D281" t="inlineStr">
        <is>
          <t>VÄSTMANLANDS LÄN</t>
        </is>
      </c>
      <c r="E281" t="inlineStr">
        <is>
          <t>SALA</t>
        </is>
      </c>
      <c r="G281" t="n">
        <v>5.6</v>
      </c>
      <c r="H281" t="n">
        <v>0</v>
      </c>
      <c r="I281" t="n">
        <v>0</v>
      </c>
      <c r="J281" t="n">
        <v>0</v>
      </c>
      <c r="K281" t="n">
        <v>0</v>
      </c>
      <c r="L281" t="n">
        <v>0</v>
      </c>
      <c r="M281" t="n">
        <v>0</v>
      </c>
      <c r="N281" t="n">
        <v>0</v>
      </c>
      <c r="O281" t="n">
        <v>0</v>
      </c>
      <c r="P281" t="n">
        <v>0</v>
      </c>
      <c r="Q281" t="n">
        <v>0</v>
      </c>
      <c r="R281" s="2" t="inlineStr"/>
    </row>
    <row r="282" ht="15" customHeight="1">
      <c r="A282" t="inlineStr">
        <is>
          <t>A 56547-2022</t>
        </is>
      </c>
      <c r="B282" s="1" t="n">
        <v>44893.48284722222</v>
      </c>
      <c r="C282" s="1" t="n">
        <v>46079</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18431-2023</t>
        </is>
      </c>
      <c r="B283" s="1" t="n">
        <v>45042</v>
      </c>
      <c r="C283" s="1" t="n">
        <v>46079</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56916-2022</t>
        </is>
      </c>
      <c r="B284" s="1" t="n">
        <v>44888</v>
      </c>
      <c r="C284" s="1" t="n">
        <v>46079</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31950-2023</t>
        </is>
      </c>
      <c r="B285" s="1" t="n">
        <v>45107</v>
      </c>
      <c r="C285" s="1" t="n">
        <v>46079</v>
      </c>
      <c r="D285" t="inlineStr">
        <is>
          <t>VÄSTMANLANDS LÄN</t>
        </is>
      </c>
      <c r="E285" t="inlineStr">
        <is>
          <t>SALA</t>
        </is>
      </c>
      <c r="G285" t="n">
        <v>0.1</v>
      </c>
      <c r="H285" t="n">
        <v>0</v>
      </c>
      <c r="I285" t="n">
        <v>0</v>
      </c>
      <c r="J285" t="n">
        <v>0</v>
      </c>
      <c r="K285" t="n">
        <v>0</v>
      </c>
      <c r="L285" t="n">
        <v>0</v>
      </c>
      <c r="M285" t="n">
        <v>0</v>
      </c>
      <c r="N285" t="n">
        <v>0</v>
      </c>
      <c r="O285" t="n">
        <v>0</v>
      </c>
      <c r="P285" t="n">
        <v>0</v>
      </c>
      <c r="Q285" t="n">
        <v>0</v>
      </c>
      <c r="R285" s="2" t="inlineStr"/>
    </row>
    <row r="286" ht="15" customHeight="1">
      <c r="A286" t="inlineStr">
        <is>
          <t>A 64925-2023</t>
        </is>
      </c>
      <c r="B286" s="1" t="n">
        <v>45282</v>
      </c>
      <c r="C286" s="1" t="n">
        <v>46079</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57650-2024</t>
        </is>
      </c>
      <c r="B287" s="1" t="n">
        <v>45630</v>
      </c>
      <c r="C287" s="1" t="n">
        <v>46079</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48570-2024</t>
        </is>
      </c>
      <c r="B288" s="1" t="n">
        <v>45591</v>
      </c>
      <c r="C288" s="1" t="n">
        <v>46079</v>
      </c>
      <c r="D288" t="inlineStr">
        <is>
          <t>VÄSTMANLANDS LÄN</t>
        </is>
      </c>
      <c r="E288" t="inlineStr">
        <is>
          <t>SALA</t>
        </is>
      </c>
      <c r="G288" t="n">
        <v>3</v>
      </c>
      <c r="H288" t="n">
        <v>0</v>
      </c>
      <c r="I288" t="n">
        <v>0</v>
      </c>
      <c r="J288" t="n">
        <v>0</v>
      </c>
      <c r="K288" t="n">
        <v>0</v>
      </c>
      <c r="L288" t="n">
        <v>0</v>
      </c>
      <c r="M288" t="n">
        <v>0</v>
      </c>
      <c r="N288" t="n">
        <v>0</v>
      </c>
      <c r="O288" t="n">
        <v>0</v>
      </c>
      <c r="P288" t="n">
        <v>0</v>
      </c>
      <c r="Q288" t="n">
        <v>0</v>
      </c>
      <c r="R288" s="2" t="inlineStr"/>
    </row>
    <row r="289" ht="15" customHeight="1">
      <c r="A289" t="inlineStr">
        <is>
          <t>A 16693-2023</t>
        </is>
      </c>
      <c r="B289" s="1" t="n">
        <v>45028</v>
      </c>
      <c r="C289" s="1" t="n">
        <v>46079</v>
      </c>
      <c r="D289" t="inlineStr">
        <is>
          <t>VÄSTMANLANDS LÄN</t>
        </is>
      </c>
      <c r="E289" t="inlineStr">
        <is>
          <t>SALA</t>
        </is>
      </c>
      <c r="G289" t="n">
        <v>1.5</v>
      </c>
      <c r="H289" t="n">
        <v>0</v>
      </c>
      <c r="I289" t="n">
        <v>0</v>
      </c>
      <c r="J289" t="n">
        <v>0</v>
      </c>
      <c r="K289" t="n">
        <v>0</v>
      </c>
      <c r="L289" t="n">
        <v>0</v>
      </c>
      <c r="M289" t="n">
        <v>0</v>
      </c>
      <c r="N289" t="n">
        <v>0</v>
      </c>
      <c r="O289" t="n">
        <v>0</v>
      </c>
      <c r="P289" t="n">
        <v>0</v>
      </c>
      <c r="Q289" t="n">
        <v>0</v>
      </c>
      <c r="R289" s="2" t="inlineStr"/>
    </row>
    <row r="290" ht="15" customHeight="1">
      <c r="A290" t="inlineStr">
        <is>
          <t>A 10255-2024</t>
        </is>
      </c>
      <c r="B290" s="1" t="n">
        <v>45365</v>
      </c>
      <c r="C290" s="1" t="n">
        <v>46079</v>
      </c>
      <c r="D290" t="inlineStr">
        <is>
          <t>VÄSTMANLANDS LÄN</t>
        </is>
      </c>
      <c r="E290" t="inlineStr">
        <is>
          <t>SALA</t>
        </is>
      </c>
      <c r="F290" t="inlineStr">
        <is>
          <t>Kommuner</t>
        </is>
      </c>
      <c r="G290" t="n">
        <v>0.8</v>
      </c>
      <c r="H290" t="n">
        <v>0</v>
      </c>
      <c r="I290" t="n">
        <v>0</v>
      </c>
      <c r="J290" t="n">
        <v>0</v>
      </c>
      <c r="K290" t="n">
        <v>0</v>
      </c>
      <c r="L290" t="n">
        <v>0</v>
      </c>
      <c r="M290" t="n">
        <v>0</v>
      </c>
      <c r="N290" t="n">
        <v>0</v>
      </c>
      <c r="O290" t="n">
        <v>0</v>
      </c>
      <c r="P290" t="n">
        <v>0</v>
      </c>
      <c r="Q290" t="n">
        <v>0</v>
      </c>
      <c r="R290" s="2" t="inlineStr"/>
    </row>
    <row r="291" ht="15" customHeight="1">
      <c r="A291" t="inlineStr">
        <is>
          <t>A 23182-2022</t>
        </is>
      </c>
      <c r="B291" s="1" t="n">
        <v>44719.79707175926</v>
      </c>
      <c r="C291" s="1" t="n">
        <v>46079</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57371-2022</t>
        </is>
      </c>
      <c r="B292" s="1" t="n">
        <v>44896.43832175926</v>
      </c>
      <c r="C292" s="1" t="n">
        <v>46079</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28696-2023</t>
        </is>
      </c>
      <c r="B293" s="1" t="n">
        <v>45103.71759259259</v>
      </c>
      <c r="C293" s="1" t="n">
        <v>46079</v>
      </c>
      <c r="D293" t="inlineStr">
        <is>
          <t>VÄSTMANLANDS LÄN</t>
        </is>
      </c>
      <c r="E293" t="inlineStr">
        <is>
          <t>SALA</t>
        </is>
      </c>
      <c r="F293" t="inlineStr">
        <is>
          <t>Kommuner</t>
        </is>
      </c>
      <c r="G293" t="n">
        <v>5.9</v>
      </c>
      <c r="H293" t="n">
        <v>0</v>
      </c>
      <c r="I293" t="n">
        <v>0</v>
      </c>
      <c r="J293" t="n">
        <v>0</v>
      </c>
      <c r="K293" t="n">
        <v>0</v>
      </c>
      <c r="L293" t="n">
        <v>0</v>
      </c>
      <c r="M293" t="n">
        <v>0</v>
      </c>
      <c r="N293" t="n">
        <v>0</v>
      </c>
      <c r="O293" t="n">
        <v>0</v>
      </c>
      <c r="P293" t="n">
        <v>0</v>
      </c>
      <c r="Q293" t="n">
        <v>0</v>
      </c>
      <c r="R293" s="2" t="inlineStr"/>
    </row>
    <row r="294" ht="15" customHeight="1">
      <c r="A294" t="inlineStr">
        <is>
          <t>A 45313-2024</t>
        </is>
      </c>
      <c r="B294" s="1" t="n">
        <v>45576</v>
      </c>
      <c r="C294" s="1" t="n">
        <v>46079</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56535-2022</t>
        </is>
      </c>
      <c r="B295" s="1" t="n">
        <v>44893.47173611111</v>
      </c>
      <c r="C295" s="1" t="n">
        <v>46079</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31072-2021</t>
        </is>
      </c>
      <c r="B296" s="1" t="n">
        <v>44368</v>
      </c>
      <c r="C296" s="1" t="n">
        <v>46079</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47909-2022</t>
        </is>
      </c>
      <c r="B297" s="1" t="n">
        <v>44855</v>
      </c>
      <c r="C297" s="1" t="n">
        <v>46079</v>
      </c>
      <c r="D297" t="inlineStr">
        <is>
          <t>VÄSTMANLANDS LÄN</t>
        </is>
      </c>
      <c r="E297" t="inlineStr">
        <is>
          <t>SALA</t>
        </is>
      </c>
      <c r="F297" t="inlineStr">
        <is>
          <t>Bergvik skog öst AB</t>
        </is>
      </c>
      <c r="G297" t="n">
        <v>2</v>
      </c>
      <c r="H297" t="n">
        <v>0</v>
      </c>
      <c r="I297" t="n">
        <v>0</v>
      </c>
      <c r="J297" t="n">
        <v>0</v>
      </c>
      <c r="K297" t="n">
        <v>0</v>
      </c>
      <c r="L297" t="n">
        <v>0</v>
      </c>
      <c r="M297" t="n">
        <v>0</v>
      </c>
      <c r="N297" t="n">
        <v>0</v>
      </c>
      <c r="O297" t="n">
        <v>0</v>
      </c>
      <c r="P297" t="n">
        <v>0</v>
      </c>
      <c r="Q297" t="n">
        <v>0</v>
      </c>
      <c r="R297" s="2" t="inlineStr"/>
    </row>
    <row r="298" ht="15" customHeight="1">
      <c r="A298" t="inlineStr">
        <is>
          <t>A 52630-2022</t>
        </is>
      </c>
      <c r="B298" s="1" t="n">
        <v>44874</v>
      </c>
      <c r="C298" s="1" t="n">
        <v>46079</v>
      </c>
      <c r="D298" t="inlineStr">
        <is>
          <t>VÄSTMANLANDS LÄN</t>
        </is>
      </c>
      <c r="E298" t="inlineStr">
        <is>
          <t>SALA</t>
        </is>
      </c>
      <c r="F298" t="inlineStr">
        <is>
          <t>Sveaskog</t>
        </is>
      </c>
      <c r="G298" t="n">
        <v>1.8</v>
      </c>
      <c r="H298" t="n">
        <v>0</v>
      </c>
      <c r="I298" t="n">
        <v>0</v>
      </c>
      <c r="J298" t="n">
        <v>0</v>
      </c>
      <c r="K298" t="n">
        <v>0</v>
      </c>
      <c r="L298" t="n">
        <v>0</v>
      </c>
      <c r="M298" t="n">
        <v>0</v>
      </c>
      <c r="N298" t="n">
        <v>0</v>
      </c>
      <c r="O298" t="n">
        <v>0</v>
      </c>
      <c r="P298" t="n">
        <v>0</v>
      </c>
      <c r="Q298" t="n">
        <v>0</v>
      </c>
      <c r="R298" s="2" t="inlineStr"/>
    </row>
    <row r="299" ht="15" customHeight="1">
      <c r="A299" t="inlineStr">
        <is>
          <t>A 16543-2023</t>
        </is>
      </c>
      <c r="B299" s="1" t="n">
        <v>45029</v>
      </c>
      <c r="C299" s="1" t="n">
        <v>46079</v>
      </c>
      <c r="D299" t="inlineStr">
        <is>
          <t>VÄSTMANLANDS LÄN</t>
        </is>
      </c>
      <c r="E299" t="inlineStr">
        <is>
          <t>SALA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56687-2024</t>
        </is>
      </c>
      <c r="B300" s="1" t="n">
        <v>45627.63271990741</v>
      </c>
      <c r="C300" s="1" t="n">
        <v>46079</v>
      </c>
      <c r="D300" t="inlineStr">
        <is>
          <t>VÄSTMANLANDS LÄN</t>
        </is>
      </c>
      <c r="E300" t="inlineStr">
        <is>
          <t>SALA</t>
        </is>
      </c>
      <c r="G300" t="n">
        <v>1.2</v>
      </c>
      <c r="H300" t="n">
        <v>0</v>
      </c>
      <c r="I300" t="n">
        <v>0</v>
      </c>
      <c r="J300" t="n">
        <v>0</v>
      </c>
      <c r="K300" t="n">
        <v>0</v>
      </c>
      <c r="L300" t="n">
        <v>0</v>
      </c>
      <c r="M300" t="n">
        <v>0</v>
      </c>
      <c r="N300" t="n">
        <v>0</v>
      </c>
      <c r="O300" t="n">
        <v>0</v>
      </c>
      <c r="P300" t="n">
        <v>0</v>
      </c>
      <c r="Q300" t="n">
        <v>0</v>
      </c>
      <c r="R300" s="2" t="inlineStr"/>
    </row>
    <row r="301" ht="15" customHeight="1">
      <c r="A301" t="inlineStr">
        <is>
          <t>A 22523-2023</t>
        </is>
      </c>
      <c r="B301" s="1" t="n">
        <v>45069</v>
      </c>
      <c r="C301" s="1" t="n">
        <v>46079</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56548-2024</t>
        </is>
      </c>
      <c r="B302" s="1" t="n">
        <v>45625</v>
      </c>
      <c r="C302" s="1" t="n">
        <v>46079</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47086-2022</t>
        </is>
      </c>
      <c r="B303" s="1" t="n">
        <v>44852</v>
      </c>
      <c r="C303" s="1" t="n">
        <v>46079</v>
      </c>
      <c r="D303" t="inlineStr">
        <is>
          <t>VÄSTMANLANDS LÄN</t>
        </is>
      </c>
      <c r="E303" t="inlineStr">
        <is>
          <t>SALA</t>
        </is>
      </c>
      <c r="G303" t="n">
        <v>12.5</v>
      </c>
      <c r="H303" t="n">
        <v>0</v>
      </c>
      <c r="I303" t="n">
        <v>0</v>
      </c>
      <c r="J303" t="n">
        <v>0</v>
      </c>
      <c r="K303" t="n">
        <v>0</v>
      </c>
      <c r="L303" t="n">
        <v>0</v>
      </c>
      <c r="M303" t="n">
        <v>0</v>
      </c>
      <c r="N303" t="n">
        <v>0</v>
      </c>
      <c r="O303" t="n">
        <v>0</v>
      </c>
      <c r="P303" t="n">
        <v>0</v>
      </c>
      <c r="Q303" t="n">
        <v>0</v>
      </c>
      <c r="R303" s="2" t="inlineStr"/>
    </row>
    <row r="304" ht="15" customHeight="1">
      <c r="A304" t="inlineStr">
        <is>
          <t>A 4663-2022</t>
        </is>
      </c>
      <c r="B304" s="1" t="n">
        <v>44592.45429398148</v>
      </c>
      <c r="C304" s="1" t="n">
        <v>46079</v>
      </c>
      <c r="D304" t="inlineStr">
        <is>
          <t>VÄSTMANLANDS LÄN</t>
        </is>
      </c>
      <c r="E304" t="inlineStr">
        <is>
          <t>SALA</t>
        </is>
      </c>
      <c r="G304" t="n">
        <v>2.5</v>
      </c>
      <c r="H304" t="n">
        <v>0</v>
      </c>
      <c r="I304" t="n">
        <v>0</v>
      </c>
      <c r="J304" t="n">
        <v>0</v>
      </c>
      <c r="K304" t="n">
        <v>0</v>
      </c>
      <c r="L304" t="n">
        <v>0</v>
      </c>
      <c r="M304" t="n">
        <v>0</v>
      </c>
      <c r="N304" t="n">
        <v>0</v>
      </c>
      <c r="O304" t="n">
        <v>0</v>
      </c>
      <c r="P304" t="n">
        <v>0</v>
      </c>
      <c r="Q304" t="n">
        <v>0</v>
      </c>
      <c r="R304" s="2" t="inlineStr"/>
    </row>
    <row r="305" ht="15" customHeight="1">
      <c r="A305" t="inlineStr">
        <is>
          <t>A 61715-2024</t>
        </is>
      </c>
      <c r="B305" s="1" t="n">
        <v>45648.89519675926</v>
      </c>
      <c r="C305" s="1" t="n">
        <v>46079</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61517-2024</t>
        </is>
      </c>
      <c r="B306" s="1" t="n">
        <v>45645</v>
      </c>
      <c r="C306" s="1" t="n">
        <v>46079</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6132-2025</t>
        </is>
      </c>
      <c r="B307" s="1" t="n">
        <v>45698</v>
      </c>
      <c r="C307" s="1" t="n">
        <v>46079</v>
      </c>
      <c r="D307" t="inlineStr">
        <is>
          <t>VÄSTMANLANDS LÄN</t>
        </is>
      </c>
      <c r="E307" t="inlineStr">
        <is>
          <t>SALA</t>
        </is>
      </c>
      <c r="F307" t="inlineStr">
        <is>
          <t>Bergvik skog öst AB</t>
        </is>
      </c>
      <c r="G307" t="n">
        <v>1.5</v>
      </c>
      <c r="H307" t="n">
        <v>0</v>
      </c>
      <c r="I307" t="n">
        <v>0</v>
      </c>
      <c r="J307" t="n">
        <v>0</v>
      </c>
      <c r="K307" t="n">
        <v>0</v>
      </c>
      <c r="L307" t="n">
        <v>0</v>
      </c>
      <c r="M307" t="n">
        <v>0</v>
      </c>
      <c r="N307" t="n">
        <v>0</v>
      </c>
      <c r="O307" t="n">
        <v>0</v>
      </c>
      <c r="P307" t="n">
        <v>0</v>
      </c>
      <c r="Q307" t="n">
        <v>0</v>
      </c>
      <c r="R307" s="2" t="inlineStr"/>
    </row>
    <row r="308" ht="15" customHeight="1">
      <c r="A308" t="inlineStr">
        <is>
          <t>A 31859-2023</t>
        </is>
      </c>
      <c r="B308" s="1" t="n">
        <v>45118</v>
      </c>
      <c r="C308" s="1" t="n">
        <v>46079</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c r="U308">
        <f>HYPERLINK("https://klasma.github.io/Logging_1981/knärot/A 31859-2023 karta knärot.png", "A 31859-2023")</f>
        <v/>
      </c>
      <c r="V308">
        <f>HYPERLINK("https://klasma.github.io/Logging_1981/klagomål/A 31859-2023 FSC-klagomål.docx", "A 31859-2023")</f>
        <v/>
      </c>
      <c r="W308">
        <f>HYPERLINK("https://klasma.github.io/Logging_1981/klagomålsmail/A 31859-2023 FSC-klagomål mail.docx", "A 31859-2023")</f>
        <v/>
      </c>
      <c r="X308">
        <f>HYPERLINK("https://klasma.github.io/Logging_1981/tillsyn/A 31859-2023 tillsynsbegäran.docx", "A 31859-2023")</f>
        <v/>
      </c>
      <c r="Y308">
        <f>HYPERLINK("https://klasma.github.io/Logging_1981/tillsynsmail/A 31859-2023 tillsynsbegäran mail.docx", "A 31859-2023")</f>
        <v/>
      </c>
    </row>
    <row r="309" ht="15" customHeight="1">
      <c r="A309" t="inlineStr">
        <is>
          <t>A 16760-2024</t>
        </is>
      </c>
      <c r="B309" s="1" t="n">
        <v>45411</v>
      </c>
      <c r="C309" s="1" t="n">
        <v>46079</v>
      </c>
      <c r="D309" t="inlineStr">
        <is>
          <t>VÄSTMANLANDS LÄN</t>
        </is>
      </c>
      <c r="E309" t="inlineStr">
        <is>
          <t>SALA</t>
        </is>
      </c>
      <c r="G309" t="n">
        <v>2.6</v>
      </c>
      <c r="H309" t="n">
        <v>0</v>
      </c>
      <c r="I309" t="n">
        <v>0</v>
      </c>
      <c r="J309" t="n">
        <v>0</v>
      </c>
      <c r="K309" t="n">
        <v>0</v>
      </c>
      <c r="L309" t="n">
        <v>0</v>
      </c>
      <c r="M309" t="n">
        <v>0</v>
      </c>
      <c r="N309" t="n">
        <v>0</v>
      </c>
      <c r="O309" t="n">
        <v>0</v>
      </c>
      <c r="P309" t="n">
        <v>0</v>
      </c>
      <c r="Q309" t="n">
        <v>0</v>
      </c>
      <c r="R309" s="2" t="inlineStr"/>
    </row>
    <row r="310" ht="15" customHeight="1">
      <c r="A310" t="inlineStr">
        <is>
          <t>A 16404-2022</t>
        </is>
      </c>
      <c r="B310" s="1" t="n">
        <v>44671</v>
      </c>
      <c r="C310" s="1" t="n">
        <v>46079</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61681-2024</t>
        </is>
      </c>
      <c r="B311" s="1" t="n">
        <v>45647</v>
      </c>
      <c r="C311" s="1" t="n">
        <v>46079</v>
      </c>
      <c r="D311" t="inlineStr">
        <is>
          <t>VÄSTMANLANDS LÄN</t>
        </is>
      </c>
      <c r="E311" t="inlineStr">
        <is>
          <t>SALA</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54960-2024</t>
        </is>
      </c>
      <c r="B312" s="1" t="n">
        <v>45619.85208333333</v>
      </c>
      <c r="C312" s="1" t="n">
        <v>46079</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6097-2022</t>
        </is>
      </c>
      <c r="B313" s="1" t="n">
        <v>44599</v>
      </c>
      <c r="C313" s="1" t="n">
        <v>46079</v>
      </c>
      <c r="D313" t="inlineStr">
        <is>
          <t>VÄSTMANLANDS LÄN</t>
        </is>
      </c>
      <c r="E313" t="inlineStr">
        <is>
          <t>SALA</t>
        </is>
      </c>
      <c r="G313" t="n">
        <v>0.6</v>
      </c>
      <c r="H313" t="n">
        <v>0</v>
      </c>
      <c r="I313" t="n">
        <v>0</v>
      </c>
      <c r="J313" t="n">
        <v>0</v>
      </c>
      <c r="K313" t="n">
        <v>0</v>
      </c>
      <c r="L313" t="n">
        <v>0</v>
      </c>
      <c r="M313" t="n">
        <v>0</v>
      </c>
      <c r="N313" t="n">
        <v>0</v>
      </c>
      <c r="O313" t="n">
        <v>0</v>
      </c>
      <c r="P313" t="n">
        <v>0</v>
      </c>
      <c r="Q313" t="n">
        <v>0</v>
      </c>
      <c r="R313" s="2" t="inlineStr"/>
    </row>
    <row r="314" ht="15" customHeight="1">
      <c r="A314" t="inlineStr">
        <is>
          <t>A 31082-2021</t>
        </is>
      </c>
      <c r="B314" s="1" t="n">
        <v>44368</v>
      </c>
      <c r="C314" s="1" t="n">
        <v>46079</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988-2025</t>
        </is>
      </c>
      <c r="B315" s="1" t="n">
        <v>45666.44038194444</v>
      </c>
      <c r="C315" s="1" t="n">
        <v>46079</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10559-2024</t>
        </is>
      </c>
      <c r="B316" s="1" t="n">
        <v>45366</v>
      </c>
      <c r="C316" s="1" t="n">
        <v>46079</v>
      </c>
      <c r="D316" t="inlineStr">
        <is>
          <t>VÄSTMANLANDS LÄN</t>
        </is>
      </c>
      <c r="E316" t="inlineStr">
        <is>
          <t>SALA</t>
        </is>
      </c>
      <c r="G316" t="n">
        <v>0.3</v>
      </c>
      <c r="H316" t="n">
        <v>0</v>
      </c>
      <c r="I316" t="n">
        <v>0</v>
      </c>
      <c r="J316" t="n">
        <v>0</v>
      </c>
      <c r="K316" t="n">
        <v>0</v>
      </c>
      <c r="L316" t="n">
        <v>0</v>
      </c>
      <c r="M316" t="n">
        <v>0</v>
      </c>
      <c r="N316" t="n">
        <v>0</v>
      </c>
      <c r="O316" t="n">
        <v>0</v>
      </c>
      <c r="P316" t="n">
        <v>0</v>
      </c>
      <c r="Q316" t="n">
        <v>0</v>
      </c>
      <c r="R316" s="2" t="inlineStr"/>
    </row>
    <row r="317" ht="15" customHeight="1">
      <c r="A317" t="inlineStr">
        <is>
          <t>A 20352-2022</t>
        </is>
      </c>
      <c r="B317" s="1" t="n">
        <v>44699.37318287037</v>
      </c>
      <c r="C317" s="1" t="n">
        <v>46079</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5032-2025</t>
        </is>
      </c>
      <c r="B318" s="1" t="n">
        <v>45691</v>
      </c>
      <c r="C318" s="1" t="n">
        <v>46079</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60545-2024</t>
        </is>
      </c>
      <c r="B319" s="1" t="n">
        <v>45643</v>
      </c>
      <c r="C319" s="1" t="n">
        <v>46079</v>
      </c>
      <c r="D319" t="inlineStr">
        <is>
          <t>VÄSTMANLANDS LÄN</t>
        </is>
      </c>
      <c r="E319" t="inlineStr">
        <is>
          <t>SALA</t>
        </is>
      </c>
      <c r="G319" t="n">
        <v>3.3</v>
      </c>
      <c r="H319" t="n">
        <v>0</v>
      </c>
      <c r="I319" t="n">
        <v>0</v>
      </c>
      <c r="J319" t="n">
        <v>0</v>
      </c>
      <c r="K319" t="n">
        <v>0</v>
      </c>
      <c r="L319" t="n">
        <v>0</v>
      </c>
      <c r="M319" t="n">
        <v>0</v>
      </c>
      <c r="N319" t="n">
        <v>0</v>
      </c>
      <c r="O319" t="n">
        <v>0</v>
      </c>
      <c r="P319" t="n">
        <v>0</v>
      </c>
      <c r="Q319" t="n">
        <v>0</v>
      </c>
      <c r="R319" s="2" t="inlineStr"/>
    </row>
    <row r="320" ht="15" customHeight="1">
      <c r="A320" t="inlineStr">
        <is>
          <t>A 60547-2024</t>
        </is>
      </c>
      <c r="B320" s="1" t="n">
        <v>45643</v>
      </c>
      <c r="C320" s="1" t="n">
        <v>46079</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15965-2024</t>
        </is>
      </c>
      <c r="B321" s="1" t="n">
        <v>45405.55740740741</v>
      </c>
      <c r="C321" s="1" t="n">
        <v>46079</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27657-2023</t>
        </is>
      </c>
      <c r="B322" s="1" t="n">
        <v>45097.76631944445</v>
      </c>
      <c r="C322" s="1" t="n">
        <v>46079</v>
      </c>
      <c r="D322" t="inlineStr">
        <is>
          <t>VÄSTMANLANDS LÄN</t>
        </is>
      </c>
      <c r="E322" t="inlineStr">
        <is>
          <t>SALA</t>
        </is>
      </c>
      <c r="G322" t="n">
        <v>0.1</v>
      </c>
      <c r="H322" t="n">
        <v>0</v>
      </c>
      <c r="I322" t="n">
        <v>0</v>
      </c>
      <c r="J322" t="n">
        <v>0</v>
      </c>
      <c r="K322" t="n">
        <v>0</v>
      </c>
      <c r="L322" t="n">
        <v>0</v>
      </c>
      <c r="M322" t="n">
        <v>0</v>
      </c>
      <c r="N322" t="n">
        <v>0</v>
      </c>
      <c r="O322" t="n">
        <v>0</v>
      </c>
      <c r="P322" t="n">
        <v>0</v>
      </c>
      <c r="Q322" t="n">
        <v>0</v>
      </c>
      <c r="R322" s="2" t="inlineStr"/>
    </row>
    <row r="323" ht="15" customHeight="1">
      <c r="A323" t="inlineStr">
        <is>
          <t>A 2766-2024</t>
        </is>
      </c>
      <c r="B323" s="1" t="n">
        <v>45314.60950231482</v>
      </c>
      <c r="C323" s="1" t="n">
        <v>46079</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1196-2023</t>
        </is>
      </c>
      <c r="B324" s="1" t="n">
        <v>44935.82290509259</v>
      </c>
      <c r="C324" s="1" t="n">
        <v>46079</v>
      </c>
      <c r="D324" t="inlineStr">
        <is>
          <t>VÄSTMANLANDS LÄN</t>
        </is>
      </c>
      <c r="E324" t="inlineStr">
        <is>
          <t>SALA</t>
        </is>
      </c>
      <c r="G324" t="n">
        <v>4.1</v>
      </c>
      <c r="H324" t="n">
        <v>0</v>
      </c>
      <c r="I324" t="n">
        <v>0</v>
      </c>
      <c r="J324" t="n">
        <v>0</v>
      </c>
      <c r="K324" t="n">
        <v>0</v>
      </c>
      <c r="L324" t="n">
        <v>0</v>
      </c>
      <c r="M324" t="n">
        <v>0</v>
      </c>
      <c r="N324" t="n">
        <v>0</v>
      </c>
      <c r="O324" t="n">
        <v>0</v>
      </c>
      <c r="P324" t="n">
        <v>0</v>
      </c>
      <c r="Q324" t="n">
        <v>0</v>
      </c>
      <c r="R324" s="2" t="inlineStr"/>
    </row>
    <row r="325" ht="15" customHeight="1">
      <c r="A325" t="inlineStr">
        <is>
          <t>A 66908-2021</t>
        </is>
      </c>
      <c r="B325" s="1" t="n">
        <v>44522</v>
      </c>
      <c r="C325" s="1" t="n">
        <v>46079</v>
      </c>
      <c r="D325" t="inlineStr">
        <is>
          <t>VÄSTMANLANDS LÄN</t>
        </is>
      </c>
      <c r="E325" t="inlineStr">
        <is>
          <t>SALA</t>
        </is>
      </c>
      <c r="G325" t="n">
        <v>2.6</v>
      </c>
      <c r="H325" t="n">
        <v>0</v>
      </c>
      <c r="I325" t="n">
        <v>0</v>
      </c>
      <c r="J325" t="n">
        <v>0</v>
      </c>
      <c r="K325" t="n">
        <v>0</v>
      </c>
      <c r="L325" t="n">
        <v>0</v>
      </c>
      <c r="M325" t="n">
        <v>0</v>
      </c>
      <c r="N325" t="n">
        <v>0</v>
      </c>
      <c r="O325" t="n">
        <v>0</v>
      </c>
      <c r="P325" t="n">
        <v>0</v>
      </c>
      <c r="Q325" t="n">
        <v>0</v>
      </c>
      <c r="R325" s="2" t="inlineStr"/>
    </row>
    <row r="326" ht="15" customHeight="1">
      <c r="A326" t="inlineStr">
        <is>
          <t>A 60550-2024</t>
        </is>
      </c>
      <c r="B326" s="1" t="n">
        <v>45643</v>
      </c>
      <c r="C326" s="1" t="n">
        <v>46079</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14690-2025</t>
        </is>
      </c>
      <c r="B327" s="1" t="n">
        <v>45742.58212962963</v>
      </c>
      <c r="C327" s="1" t="n">
        <v>46079</v>
      </c>
      <c r="D327" t="inlineStr">
        <is>
          <t>VÄSTMANLANDS LÄN</t>
        </is>
      </c>
      <c r="E327" t="inlineStr">
        <is>
          <t>SALA</t>
        </is>
      </c>
      <c r="G327" t="n">
        <v>3.4</v>
      </c>
      <c r="H327" t="n">
        <v>0</v>
      </c>
      <c r="I327" t="n">
        <v>0</v>
      </c>
      <c r="J327" t="n">
        <v>0</v>
      </c>
      <c r="K327" t="n">
        <v>0</v>
      </c>
      <c r="L327" t="n">
        <v>0</v>
      </c>
      <c r="M327" t="n">
        <v>0</v>
      </c>
      <c r="N327" t="n">
        <v>0</v>
      </c>
      <c r="O327" t="n">
        <v>0</v>
      </c>
      <c r="P327" t="n">
        <v>0</v>
      </c>
      <c r="Q327" t="n">
        <v>0</v>
      </c>
      <c r="R327" s="2" t="inlineStr"/>
    </row>
    <row r="328" ht="15" customHeight="1">
      <c r="A328" t="inlineStr">
        <is>
          <t>A 24175-2024</t>
        </is>
      </c>
      <c r="B328" s="1" t="n">
        <v>45456</v>
      </c>
      <c r="C328" s="1" t="n">
        <v>46079</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11696-2025</t>
        </is>
      </c>
      <c r="B329" s="1" t="n">
        <v>45727</v>
      </c>
      <c r="C329" s="1" t="n">
        <v>46079</v>
      </c>
      <c r="D329" t="inlineStr">
        <is>
          <t>VÄSTMANLANDS LÄN</t>
        </is>
      </c>
      <c r="E329" t="inlineStr">
        <is>
          <t>SALA</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54603-2024</t>
        </is>
      </c>
      <c r="B330" s="1" t="n">
        <v>45617.68224537037</v>
      </c>
      <c r="C330" s="1" t="n">
        <v>46079</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62449-2023</t>
        </is>
      </c>
      <c r="B331" s="1" t="n">
        <v>45268.49008101852</v>
      </c>
      <c r="C331" s="1" t="n">
        <v>46079</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62651-2022</t>
        </is>
      </c>
      <c r="B332" s="1" t="n">
        <v>44917</v>
      </c>
      <c r="C332" s="1" t="n">
        <v>46079</v>
      </c>
      <c r="D332" t="inlineStr">
        <is>
          <t>VÄSTMANLANDS LÄN</t>
        </is>
      </c>
      <c r="E332" t="inlineStr">
        <is>
          <t>SALA</t>
        </is>
      </c>
      <c r="G332" t="n">
        <v>0.4</v>
      </c>
      <c r="H332" t="n">
        <v>0</v>
      </c>
      <c r="I332" t="n">
        <v>0</v>
      </c>
      <c r="J332" t="n">
        <v>0</v>
      </c>
      <c r="K332" t="n">
        <v>0</v>
      </c>
      <c r="L332" t="n">
        <v>0</v>
      </c>
      <c r="M332" t="n">
        <v>0</v>
      </c>
      <c r="N332" t="n">
        <v>0</v>
      </c>
      <c r="O332" t="n">
        <v>0</v>
      </c>
      <c r="P332" t="n">
        <v>0</v>
      </c>
      <c r="Q332" t="n">
        <v>0</v>
      </c>
      <c r="R332" s="2" t="inlineStr"/>
    </row>
    <row r="333" ht="15" customHeight="1">
      <c r="A333" t="inlineStr">
        <is>
          <t>A 54836-2024</t>
        </is>
      </c>
      <c r="B333" s="1" t="n">
        <v>45618</v>
      </c>
      <c r="C333" s="1" t="n">
        <v>46079</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54910-2023</t>
        </is>
      </c>
      <c r="B334" s="1" t="n">
        <v>45229</v>
      </c>
      <c r="C334" s="1" t="n">
        <v>46079</v>
      </c>
      <c r="D334" t="inlineStr">
        <is>
          <t>VÄSTMANLANDS LÄN</t>
        </is>
      </c>
      <c r="E334" t="inlineStr">
        <is>
          <t>SALA</t>
        </is>
      </c>
      <c r="G334" t="n">
        <v>2.4</v>
      </c>
      <c r="H334" t="n">
        <v>0</v>
      </c>
      <c r="I334" t="n">
        <v>0</v>
      </c>
      <c r="J334" t="n">
        <v>0</v>
      </c>
      <c r="K334" t="n">
        <v>0</v>
      </c>
      <c r="L334" t="n">
        <v>0</v>
      </c>
      <c r="M334" t="n">
        <v>0</v>
      </c>
      <c r="N334" t="n">
        <v>0</v>
      </c>
      <c r="O334" t="n">
        <v>0</v>
      </c>
      <c r="P334" t="n">
        <v>0</v>
      </c>
      <c r="Q334" t="n">
        <v>0</v>
      </c>
      <c r="R334" s="2" t="inlineStr"/>
    </row>
    <row r="335" ht="15" customHeight="1">
      <c r="A335" t="inlineStr">
        <is>
          <t>A 13987-2023</t>
        </is>
      </c>
      <c r="B335" s="1" t="n">
        <v>45007</v>
      </c>
      <c r="C335" s="1" t="n">
        <v>46079</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13990-2023</t>
        </is>
      </c>
      <c r="B336" s="1" t="n">
        <v>45007</v>
      </c>
      <c r="C336" s="1" t="n">
        <v>46079</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46079</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51464-2024</t>
        </is>
      </c>
      <c r="B338" s="1" t="n">
        <v>45604.49768518518</v>
      </c>
      <c r="C338" s="1" t="n">
        <v>46079</v>
      </c>
      <c r="D338" t="inlineStr">
        <is>
          <t>VÄSTMANLANDS LÄN</t>
        </is>
      </c>
      <c r="E338" t="inlineStr">
        <is>
          <t>SALA</t>
        </is>
      </c>
      <c r="G338" t="n">
        <v>3.9</v>
      </c>
      <c r="H338" t="n">
        <v>0</v>
      </c>
      <c r="I338" t="n">
        <v>0</v>
      </c>
      <c r="J338" t="n">
        <v>0</v>
      </c>
      <c r="K338" t="n">
        <v>0</v>
      </c>
      <c r="L338" t="n">
        <v>0</v>
      </c>
      <c r="M338" t="n">
        <v>0</v>
      </c>
      <c r="N338" t="n">
        <v>0</v>
      </c>
      <c r="O338" t="n">
        <v>0</v>
      </c>
      <c r="P338" t="n">
        <v>0</v>
      </c>
      <c r="Q338" t="n">
        <v>0</v>
      </c>
      <c r="R338" s="2" t="inlineStr"/>
    </row>
    <row r="339" ht="15" customHeight="1">
      <c r="A339" t="inlineStr">
        <is>
          <t>A 1128-2025</t>
        </is>
      </c>
      <c r="B339" s="1" t="n">
        <v>45666.68469907407</v>
      </c>
      <c r="C339" s="1" t="n">
        <v>46079</v>
      </c>
      <c r="D339" t="inlineStr">
        <is>
          <t>VÄSTMANLANDS LÄN</t>
        </is>
      </c>
      <c r="E339" t="inlineStr">
        <is>
          <t>SALA</t>
        </is>
      </c>
      <c r="G339" t="n">
        <v>2.5</v>
      </c>
      <c r="H339" t="n">
        <v>0</v>
      </c>
      <c r="I339" t="n">
        <v>0</v>
      </c>
      <c r="J339" t="n">
        <v>0</v>
      </c>
      <c r="K339" t="n">
        <v>0</v>
      </c>
      <c r="L339" t="n">
        <v>0</v>
      </c>
      <c r="M339" t="n">
        <v>0</v>
      </c>
      <c r="N339" t="n">
        <v>0</v>
      </c>
      <c r="O339" t="n">
        <v>0</v>
      </c>
      <c r="P339" t="n">
        <v>0</v>
      </c>
      <c r="Q339" t="n">
        <v>0</v>
      </c>
      <c r="R339" s="2" t="inlineStr"/>
    </row>
    <row r="340" ht="15" customHeight="1">
      <c r="A340" t="inlineStr">
        <is>
          <t>A 43176-2023</t>
        </is>
      </c>
      <c r="B340" s="1" t="n">
        <v>45183</v>
      </c>
      <c r="C340" s="1" t="n">
        <v>46079</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19222-2025</t>
        </is>
      </c>
      <c r="B341" s="1" t="n">
        <v>45769</v>
      </c>
      <c r="C341" s="1" t="n">
        <v>46079</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19241-2025</t>
        </is>
      </c>
      <c r="B342" s="1" t="n">
        <v>45769</v>
      </c>
      <c r="C342" s="1" t="n">
        <v>46079</v>
      </c>
      <c r="D342" t="inlineStr">
        <is>
          <t>VÄSTMANLANDS LÄN</t>
        </is>
      </c>
      <c r="E342" t="inlineStr">
        <is>
          <t>SALA</t>
        </is>
      </c>
      <c r="G342" t="n">
        <v>3.6</v>
      </c>
      <c r="H342" t="n">
        <v>0</v>
      </c>
      <c r="I342" t="n">
        <v>0</v>
      </c>
      <c r="J342" t="n">
        <v>0</v>
      </c>
      <c r="K342" t="n">
        <v>0</v>
      </c>
      <c r="L342" t="n">
        <v>0</v>
      </c>
      <c r="M342" t="n">
        <v>0</v>
      </c>
      <c r="N342" t="n">
        <v>0</v>
      </c>
      <c r="O342" t="n">
        <v>0</v>
      </c>
      <c r="P342" t="n">
        <v>0</v>
      </c>
      <c r="Q342" t="n">
        <v>0</v>
      </c>
      <c r="R342" s="2" t="inlineStr"/>
    </row>
    <row r="343" ht="15" customHeight="1">
      <c r="A343" t="inlineStr">
        <is>
          <t>A 13746-2025</t>
        </is>
      </c>
      <c r="B343" s="1" t="n">
        <v>45737.40944444444</v>
      </c>
      <c r="C343" s="1" t="n">
        <v>46079</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73835-2021</t>
        </is>
      </c>
      <c r="B344" s="1" t="n">
        <v>44552.92112268518</v>
      </c>
      <c r="C344" s="1" t="n">
        <v>46079</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60379-2022</t>
        </is>
      </c>
      <c r="B345" s="1" t="n">
        <v>44910</v>
      </c>
      <c r="C345" s="1" t="n">
        <v>46079</v>
      </c>
      <c r="D345" t="inlineStr">
        <is>
          <t>VÄSTMANLANDS LÄN</t>
        </is>
      </c>
      <c r="E345" t="inlineStr">
        <is>
          <t>SALA</t>
        </is>
      </c>
      <c r="F345" t="inlineStr">
        <is>
          <t>Kyrkan</t>
        </is>
      </c>
      <c r="G345" t="n">
        <v>2.5</v>
      </c>
      <c r="H345" t="n">
        <v>0</v>
      </c>
      <c r="I345" t="n">
        <v>0</v>
      </c>
      <c r="J345" t="n">
        <v>0</v>
      </c>
      <c r="K345" t="n">
        <v>0</v>
      </c>
      <c r="L345" t="n">
        <v>0</v>
      </c>
      <c r="M345" t="n">
        <v>0</v>
      </c>
      <c r="N345" t="n">
        <v>0</v>
      </c>
      <c r="O345" t="n">
        <v>0</v>
      </c>
      <c r="P345" t="n">
        <v>0</v>
      </c>
      <c r="Q345" t="n">
        <v>0</v>
      </c>
      <c r="R345" s="2" t="inlineStr"/>
    </row>
    <row r="346" ht="15" customHeight="1">
      <c r="A346" t="inlineStr">
        <is>
          <t>A 1638-2023</t>
        </is>
      </c>
      <c r="B346" s="1" t="n">
        <v>44937</v>
      </c>
      <c r="C346" s="1" t="n">
        <v>46079</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25897-2024</t>
        </is>
      </c>
      <c r="B347" s="1" t="n">
        <v>45467.54435185185</v>
      </c>
      <c r="C347" s="1" t="n">
        <v>46079</v>
      </c>
      <c r="D347" t="inlineStr">
        <is>
          <t>VÄSTMANLANDS LÄN</t>
        </is>
      </c>
      <c r="E347" t="inlineStr">
        <is>
          <t>SALA</t>
        </is>
      </c>
      <c r="G347" t="n">
        <v>9.9</v>
      </c>
      <c r="H347" t="n">
        <v>0</v>
      </c>
      <c r="I347" t="n">
        <v>0</v>
      </c>
      <c r="J347" t="n">
        <v>0</v>
      </c>
      <c r="K347" t="n">
        <v>0</v>
      </c>
      <c r="L347" t="n">
        <v>0</v>
      </c>
      <c r="M347" t="n">
        <v>0</v>
      </c>
      <c r="N347" t="n">
        <v>0</v>
      </c>
      <c r="O347" t="n">
        <v>0</v>
      </c>
      <c r="P347" t="n">
        <v>0</v>
      </c>
      <c r="Q347" t="n">
        <v>0</v>
      </c>
      <c r="R347" s="2" t="inlineStr"/>
    </row>
    <row r="348" ht="15" customHeight="1">
      <c r="A348" t="inlineStr">
        <is>
          <t>A 7953-2024</t>
        </is>
      </c>
      <c r="B348" s="1" t="n">
        <v>45350</v>
      </c>
      <c r="C348" s="1" t="n">
        <v>46079</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23222-2023</t>
        </is>
      </c>
      <c r="B349" s="1" t="n">
        <v>45075</v>
      </c>
      <c r="C349" s="1" t="n">
        <v>46079</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23224-2023</t>
        </is>
      </c>
      <c r="B350" s="1" t="n">
        <v>45075.65040509259</v>
      </c>
      <c r="C350" s="1" t="n">
        <v>46079</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5477-2024</t>
        </is>
      </c>
      <c r="B351" s="1" t="n">
        <v>45333.67833333334</v>
      </c>
      <c r="C351" s="1" t="n">
        <v>46079</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50479-2022</t>
        </is>
      </c>
      <c r="B352" s="1" t="n">
        <v>44861</v>
      </c>
      <c r="C352" s="1" t="n">
        <v>46079</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26416-2023</t>
        </is>
      </c>
      <c r="B353" s="1" t="n">
        <v>45092.38087962963</v>
      </c>
      <c r="C353" s="1" t="n">
        <v>46079</v>
      </c>
      <c r="D353" t="inlineStr">
        <is>
          <t>VÄSTMANLANDS LÄN</t>
        </is>
      </c>
      <c r="E353" t="inlineStr">
        <is>
          <t>SALA</t>
        </is>
      </c>
      <c r="G353" t="n">
        <v>2.9</v>
      </c>
      <c r="H353" t="n">
        <v>0</v>
      </c>
      <c r="I353" t="n">
        <v>0</v>
      </c>
      <c r="J353" t="n">
        <v>0</v>
      </c>
      <c r="K353" t="n">
        <v>0</v>
      </c>
      <c r="L353" t="n">
        <v>0</v>
      </c>
      <c r="M353" t="n">
        <v>0</v>
      </c>
      <c r="N353" t="n">
        <v>0</v>
      </c>
      <c r="O353" t="n">
        <v>0</v>
      </c>
      <c r="P353" t="n">
        <v>0</v>
      </c>
      <c r="Q353" t="n">
        <v>0</v>
      </c>
      <c r="R353" s="2" t="inlineStr"/>
    </row>
    <row r="354" ht="15" customHeight="1">
      <c r="A354" t="inlineStr">
        <is>
          <t>A 26692-2023</t>
        </is>
      </c>
      <c r="B354" s="1" t="n">
        <v>45093.360625</v>
      </c>
      <c r="C354" s="1" t="n">
        <v>46079</v>
      </c>
      <c r="D354" t="inlineStr">
        <is>
          <t>VÄSTMANLANDS LÄN</t>
        </is>
      </c>
      <c r="E354" t="inlineStr">
        <is>
          <t>SALA</t>
        </is>
      </c>
      <c r="G354" t="n">
        <v>1.8</v>
      </c>
      <c r="H354" t="n">
        <v>0</v>
      </c>
      <c r="I354" t="n">
        <v>0</v>
      </c>
      <c r="J354" t="n">
        <v>0</v>
      </c>
      <c r="K354" t="n">
        <v>0</v>
      </c>
      <c r="L354" t="n">
        <v>0</v>
      </c>
      <c r="M354" t="n">
        <v>0</v>
      </c>
      <c r="N354" t="n">
        <v>0</v>
      </c>
      <c r="O354" t="n">
        <v>0</v>
      </c>
      <c r="P354" t="n">
        <v>0</v>
      </c>
      <c r="Q354" t="n">
        <v>0</v>
      </c>
      <c r="R354" s="2" t="inlineStr"/>
    </row>
    <row r="355" ht="15" customHeight="1">
      <c r="A355" t="inlineStr">
        <is>
          <t>A 26507-2023</t>
        </is>
      </c>
      <c r="B355" s="1" t="n">
        <v>45092</v>
      </c>
      <c r="C355" s="1" t="n">
        <v>46079</v>
      </c>
      <c r="D355" t="inlineStr">
        <is>
          <t>VÄSTMANLANDS LÄN</t>
        </is>
      </c>
      <c r="E355" t="inlineStr">
        <is>
          <t>SALA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6032-2025</t>
        </is>
      </c>
      <c r="B356" s="1" t="n">
        <v>45695.6371875</v>
      </c>
      <c r="C356" s="1" t="n">
        <v>46079</v>
      </c>
      <c r="D356" t="inlineStr">
        <is>
          <t>VÄSTMANLANDS LÄN</t>
        </is>
      </c>
      <c r="E356" t="inlineStr">
        <is>
          <t>SALA</t>
        </is>
      </c>
      <c r="F356" t="inlineStr">
        <is>
          <t>Bergvik skog öst AB</t>
        </is>
      </c>
      <c r="G356" t="n">
        <v>8.1</v>
      </c>
      <c r="H356" t="n">
        <v>0</v>
      </c>
      <c r="I356" t="n">
        <v>0</v>
      </c>
      <c r="J356" t="n">
        <v>0</v>
      </c>
      <c r="K356" t="n">
        <v>0</v>
      </c>
      <c r="L356" t="n">
        <v>0</v>
      </c>
      <c r="M356" t="n">
        <v>0</v>
      </c>
      <c r="N356" t="n">
        <v>0</v>
      </c>
      <c r="O356" t="n">
        <v>0</v>
      </c>
      <c r="P356" t="n">
        <v>0</v>
      </c>
      <c r="Q356" t="n">
        <v>0</v>
      </c>
      <c r="R356" s="2" t="inlineStr"/>
    </row>
    <row r="357" ht="15" customHeight="1">
      <c r="A357" t="inlineStr">
        <is>
          <t>A 14919-2025</t>
        </is>
      </c>
      <c r="B357" s="1" t="n">
        <v>45743.54256944444</v>
      </c>
      <c r="C357" s="1" t="n">
        <v>46079</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14920-2025</t>
        </is>
      </c>
      <c r="B358" s="1" t="n">
        <v>45743</v>
      </c>
      <c r="C358" s="1" t="n">
        <v>46079</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15681-2025</t>
        </is>
      </c>
      <c r="B359" s="1" t="n">
        <v>45748.45454861111</v>
      </c>
      <c r="C359" s="1" t="n">
        <v>46079</v>
      </c>
      <c r="D359" t="inlineStr">
        <is>
          <t>VÄSTMANLANDS LÄN</t>
        </is>
      </c>
      <c r="E359" t="inlineStr">
        <is>
          <t>SALA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13855-2023</t>
        </is>
      </c>
      <c r="B360" s="1" t="n">
        <v>45007</v>
      </c>
      <c r="C360" s="1" t="n">
        <v>46079</v>
      </c>
      <c r="D360" t="inlineStr">
        <is>
          <t>VÄSTMANLANDS LÄN</t>
        </is>
      </c>
      <c r="E360" t="inlineStr">
        <is>
          <t>SALA</t>
        </is>
      </c>
      <c r="G360" t="n">
        <v>2.9</v>
      </c>
      <c r="H360" t="n">
        <v>0</v>
      </c>
      <c r="I360" t="n">
        <v>0</v>
      </c>
      <c r="J360" t="n">
        <v>0</v>
      </c>
      <c r="K360" t="n">
        <v>0</v>
      </c>
      <c r="L360" t="n">
        <v>0</v>
      </c>
      <c r="M360" t="n">
        <v>0</v>
      </c>
      <c r="N360" t="n">
        <v>0</v>
      </c>
      <c r="O360" t="n">
        <v>0</v>
      </c>
      <c r="P360" t="n">
        <v>0</v>
      </c>
      <c r="Q360" t="n">
        <v>0</v>
      </c>
      <c r="R360" s="2" t="inlineStr"/>
    </row>
    <row r="361" ht="15" customHeight="1">
      <c r="A361" t="inlineStr">
        <is>
          <t>A 34814-2021</t>
        </is>
      </c>
      <c r="B361" s="1" t="n">
        <v>44383</v>
      </c>
      <c r="C361" s="1" t="n">
        <v>46079</v>
      </c>
      <c r="D361" t="inlineStr">
        <is>
          <t>VÄSTMANLANDS LÄN</t>
        </is>
      </c>
      <c r="E361" t="inlineStr">
        <is>
          <t>SALA</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18762-2024</t>
        </is>
      </c>
      <c r="B362" s="1" t="n">
        <v>45426.55240740741</v>
      </c>
      <c r="C362" s="1" t="n">
        <v>46079</v>
      </c>
      <c r="D362" t="inlineStr">
        <is>
          <t>VÄSTMANLANDS LÄN</t>
        </is>
      </c>
      <c r="E362" t="inlineStr">
        <is>
          <t>SALA</t>
        </is>
      </c>
      <c r="G362" t="n">
        <v>6.2</v>
      </c>
      <c r="H362" t="n">
        <v>0</v>
      </c>
      <c r="I362" t="n">
        <v>0</v>
      </c>
      <c r="J362" t="n">
        <v>0</v>
      </c>
      <c r="K362" t="n">
        <v>0</v>
      </c>
      <c r="L362" t="n">
        <v>0</v>
      </c>
      <c r="M362" t="n">
        <v>0</v>
      </c>
      <c r="N362" t="n">
        <v>0</v>
      </c>
      <c r="O362" t="n">
        <v>0</v>
      </c>
      <c r="P362" t="n">
        <v>0</v>
      </c>
      <c r="Q362" t="n">
        <v>0</v>
      </c>
      <c r="R362" s="2" t="inlineStr"/>
    </row>
    <row r="363" ht="15" customHeight="1">
      <c r="A363" t="inlineStr">
        <is>
          <t>A 17120-2023</t>
        </is>
      </c>
      <c r="B363" s="1" t="n">
        <v>45034</v>
      </c>
      <c r="C363" s="1" t="n">
        <v>46079</v>
      </c>
      <c r="D363" t="inlineStr">
        <is>
          <t>VÄSTMANLANDS LÄN</t>
        </is>
      </c>
      <c r="E363" t="inlineStr">
        <is>
          <t>SALA</t>
        </is>
      </c>
      <c r="G363" t="n">
        <v>0.1</v>
      </c>
      <c r="H363" t="n">
        <v>0</v>
      </c>
      <c r="I363" t="n">
        <v>0</v>
      </c>
      <c r="J363" t="n">
        <v>0</v>
      </c>
      <c r="K363" t="n">
        <v>0</v>
      </c>
      <c r="L363" t="n">
        <v>0</v>
      </c>
      <c r="M363" t="n">
        <v>0</v>
      </c>
      <c r="N363" t="n">
        <v>0</v>
      </c>
      <c r="O363" t="n">
        <v>0</v>
      </c>
      <c r="P363" t="n">
        <v>0</v>
      </c>
      <c r="Q363" t="n">
        <v>0</v>
      </c>
      <c r="R363" s="2" t="inlineStr"/>
    </row>
    <row r="364" ht="15" customHeight="1">
      <c r="A364" t="inlineStr">
        <is>
          <t>A 54118-2023</t>
        </is>
      </c>
      <c r="B364" s="1" t="n">
        <v>45232</v>
      </c>
      <c r="C364" s="1" t="n">
        <v>46079</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42938-2023</t>
        </is>
      </c>
      <c r="B365" s="1" t="n">
        <v>45179</v>
      </c>
      <c r="C365" s="1" t="n">
        <v>46079</v>
      </c>
      <c r="D365" t="inlineStr">
        <is>
          <t>VÄSTMANLANDS LÄN</t>
        </is>
      </c>
      <c r="E365" t="inlineStr">
        <is>
          <t>SALA</t>
        </is>
      </c>
      <c r="G365" t="n">
        <v>10.9</v>
      </c>
      <c r="H365" t="n">
        <v>0</v>
      </c>
      <c r="I365" t="n">
        <v>0</v>
      </c>
      <c r="J365" t="n">
        <v>0</v>
      </c>
      <c r="K365" t="n">
        <v>0</v>
      </c>
      <c r="L365" t="n">
        <v>0</v>
      </c>
      <c r="M365" t="n">
        <v>0</v>
      </c>
      <c r="N365" t="n">
        <v>0</v>
      </c>
      <c r="O365" t="n">
        <v>0</v>
      </c>
      <c r="P365" t="n">
        <v>0</v>
      </c>
      <c r="Q365" t="n">
        <v>0</v>
      </c>
      <c r="R365" s="2" t="inlineStr"/>
    </row>
    <row r="366" ht="15" customHeight="1">
      <c r="A366" t="inlineStr">
        <is>
          <t>A 42984-2023</t>
        </is>
      </c>
      <c r="B366" s="1" t="n">
        <v>45179</v>
      </c>
      <c r="C366" s="1" t="n">
        <v>46079</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35462-2024</t>
        </is>
      </c>
      <c r="B367" s="1" t="n">
        <v>45531</v>
      </c>
      <c r="C367" s="1" t="n">
        <v>46079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15972-2024</t>
        </is>
      </c>
      <c r="B368" s="1" t="n">
        <v>45405.56498842593</v>
      </c>
      <c r="C368" s="1" t="n">
        <v>46079</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18877-2023</t>
        </is>
      </c>
      <c r="B369" s="1" t="n">
        <v>45044</v>
      </c>
      <c r="C369" s="1" t="n">
        <v>46079</v>
      </c>
      <c r="D369" t="inlineStr">
        <is>
          <t>VÄSTMANLANDS LÄN</t>
        </is>
      </c>
      <c r="E369" t="inlineStr">
        <is>
          <t>SALA</t>
        </is>
      </c>
      <c r="F369" t="inlineStr">
        <is>
          <t>Kommuner</t>
        </is>
      </c>
      <c r="G369" t="n">
        <v>4.4</v>
      </c>
      <c r="H369" t="n">
        <v>0</v>
      </c>
      <c r="I369" t="n">
        <v>0</v>
      </c>
      <c r="J369" t="n">
        <v>0</v>
      </c>
      <c r="K369" t="n">
        <v>0</v>
      </c>
      <c r="L369" t="n">
        <v>0</v>
      </c>
      <c r="M369" t="n">
        <v>0</v>
      </c>
      <c r="N369" t="n">
        <v>0</v>
      </c>
      <c r="O369" t="n">
        <v>0</v>
      </c>
      <c r="P369" t="n">
        <v>0</v>
      </c>
      <c r="Q369" t="n">
        <v>0</v>
      </c>
      <c r="R369" s="2" t="inlineStr"/>
    </row>
    <row r="370" ht="15" customHeight="1">
      <c r="A370" t="inlineStr">
        <is>
          <t>A 55556-2023</t>
        </is>
      </c>
      <c r="B370" s="1" t="n">
        <v>45232</v>
      </c>
      <c r="C370" s="1" t="n">
        <v>46079</v>
      </c>
      <c r="D370" t="inlineStr">
        <is>
          <t>VÄSTMANLANDS LÄN</t>
        </is>
      </c>
      <c r="E370" t="inlineStr">
        <is>
          <t>SALA</t>
        </is>
      </c>
      <c r="G370" t="n">
        <v>1.3</v>
      </c>
      <c r="H370" t="n">
        <v>0</v>
      </c>
      <c r="I370" t="n">
        <v>0</v>
      </c>
      <c r="J370" t="n">
        <v>0</v>
      </c>
      <c r="K370" t="n">
        <v>0</v>
      </c>
      <c r="L370" t="n">
        <v>0</v>
      </c>
      <c r="M370" t="n">
        <v>0</v>
      </c>
      <c r="N370" t="n">
        <v>0</v>
      </c>
      <c r="O370" t="n">
        <v>0</v>
      </c>
      <c r="P370" t="n">
        <v>0</v>
      </c>
      <c r="Q370" t="n">
        <v>0</v>
      </c>
      <c r="R370" s="2" t="inlineStr"/>
    </row>
    <row r="371" ht="15" customHeight="1">
      <c r="A371" t="inlineStr">
        <is>
          <t>A 34494-2023</t>
        </is>
      </c>
      <c r="B371" s="1" t="n">
        <v>45133</v>
      </c>
      <c r="C371" s="1" t="n">
        <v>46079</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39714-2023</t>
        </is>
      </c>
      <c r="B372" s="1" t="n">
        <v>45167.62133101852</v>
      </c>
      <c r="C372" s="1" t="n">
        <v>46079</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36393-2023</t>
        </is>
      </c>
      <c r="B373" s="1" t="n">
        <v>45152</v>
      </c>
      <c r="C373" s="1" t="n">
        <v>46079</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13752-2025</t>
        </is>
      </c>
      <c r="B374" s="1" t="n">
        <v>45737.41416666667</v>
      </c>
      <c r="C374" s="1" t="n">
        <v>46079</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45790-2023</t>
        </is>
      </c>
      <c r="B375" s="1" t="n">
        <v>45195.45958333334</v>
      </c>
      <c r="C375" s="1" t="n">
        <v>46079</v>
      </c>
      <c r="D375" t="inlineStr">
        <is>
          <t>VÄSTMANLANDS LÄN</t>
        </is>
      </c>
      <c r="E375" t="inlineStr">
        <is>
          <t>SALA</t>
        </is>
      </c>
      <c r="G375" t="n">
        <v>5.7</v>
      </c>
      <c r="H375" t="n">
        <v>0</v>
      </c>
      <c r="I375" t="n">
        <v>0</v>
      </c>
      <c r="J375" t="n">
        <v>0</v>
      </c>
      <c r="K375" t="n">
        <v>0</v>
      </c>
      <c r="L375" t="n">
        <v>0</v>
      </c>
      <c r="M375" t="n">
        <v>0</v>
      </c>
      <c r="N375" t="n">
        <v>0</v>
      </c>
      <c r="O375" t="n">
        <v>0</v>
      </c>
      <c r="P375" t="n">
        <v>0</v>
      </c>
      <c r="Q375" t="n">
        <v>0</v>
      </c>
      <c r="R375" s="2" t="inlineStr"/>
    </row>
    <row r="376" ht="15" customHeight="1">
      <c r="A376" t="inlineStr">
        <is>
          <t>A 2925-2024</t>
        </is>
      </c>
      <c r="B376" s="1" t="n">
        <v>45315.58909722222</v>
      </c>
      <c r="C376" s="1" t="n">
        <v>46079</v>
      </c>
      <c r="D376" t="inlineStr">
        <is>
          <t>VÄSTMANLANDS LÄN</t>
        </is>
      </c>
      <c r="E376" t="inlineStr">
        <is>
          <t>SALA</t>
        </is>
      </c>
      <c r="G376" t="n">
        <v>1.3</v>
      </c>
      <c r="H376" t="n">
        <v>0</v>
      </c>
      <c r="I376" t="n">
        <v>0</v>
      </c>
      <c r="J376" t="n">
        <v>0</v>
      </c>
      <c r="K376" t="n">
        <v>0</v>
      </c>
      <c r="L376" t="n">
        <v>0</v>
      </c>
      <c r="M376" t="n">
        <v>0</v>
      </c>
      <c r="N376" t="n">
        <v>0</v>
      </c>
      <c r="O376" t="n">
        <v>0</v>
      </c>
      <c r="P376" t="n">
        <v>0</v>
      </c>
      <c r="Q376" t="n">
        <v>0</v>
      </c>
      <c r="R376" s="2" t="inlineStr"/>
    </row>
    <row r="377" ht="15" customHeight="1">
      <c r="A377" t="inlineStr">
        <is>
          <t>A 33527-2023</t>
        </is>
      </c>
      <c r="B377" s="1" t="n">
        <v>45131</v>
      </c>
      <c r="C377" s="1" t="n">
        <v>46079</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10913-2025</t>
        </is>
      </c>
      <c r="B378" s="1" t="n">
        <v>45722.73423611111</v>
      </c>
      <c r="C378" s="1" t="n">
        <v>46079</v>
      </c>
      <c r="D378" t="inlineStr">
        <is>
          <t>VÄSTMANLANDS LÄN</t>
        </is>
      </c>
      <c r="E378" t="inlineStr">
        <is>
          <t>SALA</t>
        </is>
      </c>
      <c r="G378" t="n">
        <v>7.6</v>
      </c>
      <c r="H378" t="n">
        <v>0</v>
      </c>
      <c r="I378" t="n">
        <v>0</v>
      </c>
      <c r="J378" t="n">
        <v>0</v>
      </c>
      <c r="K378" t="n">
        <v>0</v>
      </c>
      <c r="L378" t="n">
        <v>0</v>
      </c>
      <c r="M378" t="n">
        <v>0</v>
      </c>
      <c r="N378" t="n">
        <v>0</v>
      </c>
      <c r="O378" t="n">
        <v>0</v>
      </c>
      <c r="P378" t="n">
        <v>0</v>
      </c>
      <c r="Q378" t="n">
        <v>0</v>
      </c>
      <c r="R378" s="2" t="inlineStr"/>
    </row>
    <row r="379" ht="15" customHeight="1">
      <c r="A379" t="inlineStr">
        <is>
          <t>A 58107-2021</t>
        </is>
      </c>
      <c r="B379" s="1" t="n">
        <v>44487</v>
      </c>
      <c r="C379" s="1" t="n">
        <v>46079</v>
      </c>
      <c r="D379" t="inlineStr">
        <is>
          <t>VÄSTMANLANDS LÄN</t>
        </is>
      </c>
      <c r="E379" t="inlineStr">
        <is>
          <t>SALA</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19398-2025</t>
        </is>
      </c>
      <c r="B380" s="1" t="n">
        <v>45769</v>
      </c>
      <c r="C380" s="1" t="n">
        <v>46079</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2927-2024</t>
        </is>
      </c>
      <c r="B381" s="1" t="n">
        <v>45315.58989583333</v>
      </c>
      <c r="C381" s="1" t="n">
        <v>46079</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44746-2024</t>
        </is>
      </c>
      <c r="B382" s="1" t="n">
        <v>45574.59813657407</v>
      </c>
      <c r="C382" s="1" t="n">
        <v>46079</v>
      </c>
      <c r="D382" t="inlineStr">
        <is>
          <t>VÄSTMANLANDS LÄN</t>
        </is>
      </c>
      <c r="E382" t="inlineStr">
        <is>
          <t>SALA</t>
        </is>
      </c>
      <c r="G382" t="n">
        <v>6.7</v>
      </c>
      <c r="H382" t="n">
        <v>0</v>
      </c>
      <c r="I382" t="n">
        <v>0</v>
      </c>
      <c r="J382" t="n">
        <v>0</v>
      </c>
      <c r="K382" t="n">
        <v>0</v>
      </c>
      <c r="L382" t="n">
        <v>0</v>
      </c>
      <c r="M382" t="n">
        <v>0</v>
      </c>
      <c r="N382" t="n">
        <v>0</v>
      </c>
      <c r="O382" t="n">
        <v>0</v>
      </c>
      <c r="P382" t="n">
        <v>0</v>
      </c>
      <c r="Q382" t="n">
        <v>0</v>
      </c>
      <c r="R382" s="2" t="inlineStr"/>
    </row>
    <row r="383" ht="15" customHeight="1">
      <c r="A383" t="inlineStr">
        <is>
          <t>A 44713-2023</t>
        </is>
      </c>
      <c r="B383" s="1" t="n">
        <v>45184</v>
      </c>
      <c r="C383" s="1" t="n">
        <v>46079</v>
      </c>
      <c r="D383" t="inlineStr">
        <is>
          <t>VÄSTMANLANDS LÄN</t>
        </is>
      </c>
      <c r="E383" t="inlineStr">
        <is>
          <t>SALA</t>
        </is>
      </c>
      <c r="F383" t="inlineStr">
        <is>
          <t>Kyrkan</t>
        </is>
      </c>
      <c r="G383" t="n">
        <v>7.6</v>
      </c>
      <c r="H383" t="n">
        <v>0</v>
      </c>
      <c r="I383" t="n">
        <v>0</v>
      </c>
      <c r="J383" t="n">
        <v>0</v>
      </c>
      <c r="K383" t="n">
        <v>0</v>
      </c>
      <c r="L383" t="n">
        <v>0</v>
      </c>
      <c r="M383" t="n">
        <v>0</v>
      </c>
      <c r="N383" t="n">
        <v>0</v>
      </c>
      <c r="O383" t="n">
        <v>0</v>
      </c>
      <c r="P383" t="n">
        <v>0</v>
      </c>
      <c r="Q383" t="n">
        <v>0</v>
      </c>
      <c r="R383" s="2" t="inlineStr"/>
    </row>
    <row r="384" ht="15" customHeight="1">
      <c r="A384" t="inlineStr">
        <is>
          <t>A 37183-2024</t>
        </is>
      </c>
      <c r="B384" s="1" t="n">
        <v>45539</v>
      </c>
      <c r="C384" s="1" t="n">
        <v>46079</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23431-2024</t>
        </is>
      </c>
      <c r="B385" s="1" t="n">
        <v>45453</v>
      </c>
      <c r="C385" s="1" t="n">
        <v>46079</v>
      </c>
      <c r="D385" t="inlineStr">
        <is>
          <t>VÄSTMANLANDS LÄN</t>
        </is>
      </c>
      <c r="E385" t="inlineStr">
        <is>
          <t>SALA</t>
        </is>
      </c>
      <c r="G385" t="n">
        <v>1.6</v>
      </c>
      <c r="H385" t="n">
        <v>0</v>
      </c>
      <c r="I385" t="n">
        <v>0</v>
      </c>
      <c r="J385" t="n">
        <v>0</v>
      </c>
      <c r="K385" t="n">
        <v>0</v>
      </c>
      <c r="L385" t="n">
        <v>0</v>
      </c>
      <c r="M385" t="n">
        <v>0</v>
      </c>
      <c r="N385" t="n">
        <v>0</v>
      </c>
      <c r="O385" t="n">
        <v>0</v>
      </c>
      <c r="P385" t="n">
        <v>0</v>
      </c>
      <c r="Q385" t="n">
        <v>0</v>
      </c>
      <c r="R385" s="2" t="inlineStr"/>
    </row>
    <row r="386" ht="15" customHeight="1">
      <c r="A386" t="inlineStr">
        <is>
          <t>A 22921-2023</t>
        </is>
      </c>
      <c r="B386" s="1" t="n">
        <v>45070</v>
      </c>
      <c r="C386" s="1" t="n">
        <v>46079</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54199-2024</t>
        </is>
      </c>
      <c r="B387" s="1" t="n">
        <v>45616.64703703704</v>
      </c>
      <c r="C387" s="1" t="n">
        <v>46079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16133-2025</t>
        </is>
      </c>
      <c r="B388" s="1" t="n">
        <v>45750</v>
      </c>
      <c r="C388" s="1" t="n">
        <v>46079</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60548-2024</t>
        </is>
      </c>
      <c r="B389" s="1" t="n">
        <v>45643.80978009259</v>
      </c>
      <c r="C389" s="1" t="n">
        <v>46079</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44552.46501157407</v>
      </c>
      <c r="C390" s="1" t="n">
        <v>46079</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21168-2025</t>
        </is>
      </c>
      <c r="B391" s="1" t="n">
        <v>45777</v>
      </c>
      <c r="C391" s="1" t="n">
        <v>46079</v>
      </c>
      <c r="D391" t="inlineStr">
        <is>
          <t>VÄSTMANLANDS LÄN</t>
        </is>
      </c>
      <c r="E391" t="inlineStr">
        <is>
          <t>SALA</t>
        </is>
      </c>
      <c r="G391" t="n">
        <v>4.5</v>
      </c>
      <c r="H391" t="n">
        <v>0</v>
      </c>
      <c r="I391" t="n">
        <v>0</v>
      </c>
      <c r="J391" t="n">
        <v>0</v>
      </c>
      <c r="K391" t="n">
        <v>0</v>
      </c>
      <c r="L391" t="n">
        <v>0</v>
      </c>
      <c r="M391" t="n">
        <v>0</v>
      </c>
      <c r="N391" t="n">
        <v>0</v>
      </c>
      <c r="O391" t="n">
        <v>0</v>
      </c>
      <c r="P391" t="n">
        <v>0</v>
      </c>
      <c r="Q391" t="n">
        <v>0</v>
      </c>
      <c r="R391" s="2" t="inlineStr"/>
    </row>
    <row r="392" ht="15" customHeight="1">
      <c r="A392" t="inlineStr">
        <is>
          <t>A 38574-2025</t>
        </is>
      </c>
      <c r="B392" s="1" t="n">
        <v>45884.46390046296</v>
      </c>
      <c r="C392" s="1" t="n">
        <v>46079</v>
      </c>
      <c r="D392" t="inlineStr">
        <is>
          <t>VÄSTMANLANDS LÄN</t>
        </is>
      </c>
      <c r="E392" t="inlineStr">
        <is>
          <t>SALA</t>
        </is>
      </c>
      <c r="G392" t="n">
        <v>2.1</v>
      </c>
      <c r="H392" t="n">
        <v>0</v>
      </c>
      <c r="I392" t="n">
        <v>0</v>
      </c>
      <c r="J392" t="n">
        <v>0</v>
      </c>
      <c r="K392" t="n">
        <v>0</v>
      </c>
      <c r="L392" t="n">
        <v>0</v>
      </c>
      <c r="M392" t="n">
        <v>0</v>
      </c>
      <c r="N392" t="n">
        <v>0</v>
      </c>
      <c r="O392" t="n">
        <v>0</v>
      </c>
      <c r="P392" t="n">
        <v>0</v>
      </c>
      <c r="Q392" t="n">
        <v>0</v>
      </c>
      <c r="R392" s="2" t="inlineStr"/>
    </row>
    <row r="393" ht="15" customHeight="1">
      <c r="A393" t="inlineStr">
        <is>
          <t>A 16651-2021</t>
        </is>
      </c>
      <c r="B393" s="1" t="n">
        <v>44294.50096064815</v>
      </c>
      <c r="C393" s="1" t="n">
        <v>46079</v>
      </c>
      <c r="D393" t="inlineStr">
        <is>
          <t>VÄSTMANLANDS LÄN</t>
        </is>
      </c>
      <c r="E393" t="inlineStr">
        <is>
          <t>SALA</t>
        </is>
      </c>
      <c r="G393" t="n">
        <v>7.7</v>
      </c>
      <c r="H393" t="n">
        <v>0</v>
      </c>
      <c r="I393" t="n">
        <v>0</v>
      </c>
      <c r="J393" t="n">
        <v>0</v>
      </c>
      <c r="K393" t="n">
        <v>0</v>
      </c>
      <c r="L393" t="n">
        <v>0</v>
      </c>
      <c r="M393" t="n">
        <v>0</v>
      </c>
      <c r="N393" t="n">
        <v>0</v>
      </c>
      <c r="O393" t="n">
        <v>0</v>
      </c>
      <c r="P393" t="n">
        <v>0</v>
      </c>
      <c r="Q393" t="n">
        <v>0</v>
      </c>
      <c r="R393" s="2" t="inlineStr"/>
    </row>
    <row r="394" ht="15" customHeight="1">
      <c r="A394" t="inlineStr">
        <is>
          <t>A 38294-2025</t>
        </is>
      </c>
      <c r="B394" s="1" t="n">
        <v>45883.44854166666</v>
      </c>
      <c r="C394" s="1" t="n">
        <v>46079</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6127-2025</t>
        </is>
      </c>
      <c r="B395" s="1" t="n">
        <v>45698</v>
      </c>
      <c r="C395" s="1" t="n">
        <v>46079</v>
      </c>
      <c r="D395" t="inlineStr">
        <is>
          <t>VÄSTMANLANDS LÄN</t>
        </is>
      </c>
      <c r="E395" t="inlineStr">
        <is>
          <t>SALA</t>
        </is>
      </c>
      <c r="F395" t="inlineStr">
        <is>
          <t>Bergvik skog öst AB</t>
        </is>
      </c>
      <c r="G395" t="n">
        <v>4.3</v>
      </c>
      <c r="H395" t="n">
        <v>0</v>
      </c>
      <c r="I395" t="n">
        <v>0</v>
      </c>
      <c r="J395" t="n">
        <v>0</v>
      </c>
      <c r="K395" t="n">
        <v>0</v>
      </c>
      <c r="L395" t="n">
        <v>0</v>
      </c>
      <c r="M395" t="n">
        <v>0</v>
      </c>
      <c r="N395" t="n">
        <v>0</v>
      </c>
      <c r="O395" t="n">
        <v>0</v>
      </c>
      <c r="P395" t="n">
        <v>0</v>
      </c>
      <c r="Q395" t="n">
        <v>0</v>
      </c>
      <c r="R395" s="2" t="inlineStr"/>
    </row>
    <row r="396" ht="15" customHeight="1">
      <c r="A396" t="inlineStr">
        <is>
          <t>A 15272-2025</t>
        </is>
      </c>
      <c r="B396" s="1" t="n">
        <v>45744</v>
      </c>
      <c r="C396" s="1" t="n">
        <v>46079</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21751-2025</t>
        </is>
      </c>
      <c r="B397" s="1" t="n">
        <v>45783.61372685185</v>
      </c>
      <c r="C397" s="1" t="n">
        <v>46079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24248-2023</t>
        </is>
      </c>
      <c r="B398" s="1" t="n">
        <v>45079</v>
      </c>
      <c r="C398" s="1" t="n">
        <v>46079</v>
      </c>
      <c r="D398" t="inlineStr">
        <is>
          <t>VÄSTMANLANDS LÄN</t>
        </is>
      </c>
      <c r="E398" t="inlineStr">
        <is>
          <t>SALA</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38195-2021</t>
        </is>
      </c>
      <c r="B399" s="1" t="n">
        <v>44405</v>
      </c>
      <c r="C399" s="1" t="n">
        <v>46079</v>
      </c>
      <c r="D399" t="inlineStr">
        <is>
          <t>VÄSTMANLANDS LÄN</t>
        </is>
      </c>
      <c r="E399" t="inlineStr">
        <is>
          <t>SALA</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27228-2023</t>
        </is>
      </c>
      <c r="B400" s="1" t="n">
        <v>45096.59189814814</v>
      </c>
      <c r="C400" s="1" t="n">
        <v>46079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57895-2024</t>
        </is>
      </c>
      <c r="B401" s="1" t="n">
        <v>45631</v>
      </c>
      <c r="C401" s="1" t="n">
        <v>46079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21754-2025</t>
        </is>
      </c>
      <c r="B402" s="1" t="n">
        <v>45783.61837962963</v>
      </c>
      <c r="C402" s="1" t="n">
        <v>46079</v>
      </c>
      <c r="D402" t="inlineStr">
        <is>
          <t>VÄSTMANLANDS LÄN</t>
        </is>
      </c>
      <c r="E402" t="inlineStr">
        <is>
          <t>SALA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31597-2024</t>
        </is>
      </c>
      <c r="B403" s="1" t="n">
        <v>45506</v>
      </c>
      <c r="C403" s="1" t="n">
        <v>46079</v>
      </c>
      <c r="D403" t="inlineStr">
        <is>
          <t>VÄSTMANLANDS LÄN</t>
        </is>
      </c>
      <c r="E403" t="inlineStr">
        <is>
          <t>SALA</t>
        </is>
      </c>
      <c r="G403" t="n">
        <v>2.4</v>
      </c>
      <c r="H403" t="n">
        <v>0</v>
      </c>
      <c r="I403" t="n">
        <v>0</v>
      </c>
      <c r="J403" t="n">
        <v>0</v>
      </c>
      <c r="K403" t="n">
        <v>0</v>
      </c>
      <c r="L403" t="n">
        <v>0</v>
      </c>
      <c r="M403" t="n">
        <v>0</v>
      </c>
      <c r="N403" t="n">
        <v>0</v>
      </c>
      <c r="O403" t="n">
        <v>0</v>
      </c>
      <c r="P403" t="n">
        <v>0</v>
      </c>
      <c r="Q403" t="n">
        <v>0</v>
      </c>
      <c r="R403" s="2" t="inlineStr"/>
    </row>
    <row r="404" ht="15" customHeight="1">
      <c r="A404" t="inlineStr">
        <is>
          <t>A 17458-2024</t>
        </is>
      </c>
      <c r="B404" s="1" t="n">
        <v>45415</v>
      </c>
      <c r="C404" s="1" t="n">
        <v>46079</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56543-2024</t>
        </is>
      </c>
      <c r="B405" s="1" t="n">
        <v>45625</v>
      </c>
      <c r="C405" s="1" t="n">
        <v>46079</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53838-2022</t>
        </is>
      </c>
      <c r="B406" s="1" t="n">
        <v>44880.59363425926</v>
      </c>
      <c r="C406" s="1" t="n">
        <v>46079</v>
      </c>
      <c r="D406" t="inlineStr">
        <is>
          <t>VÄSTMANLANDS LÄN</t>
        </is>
      </c>
      <c r="E406" t="inlineStr">
        <is>
          <t>SALA</t>
        </is>
      </c>
      <c r="G406" t="n">
        <v>3.9</v>
      </c>
      <c r="H406" t="n">
        <v>0</v>
      </c>
      <c r="I406" t="n">
        <v>0</v>
      </c>
      <c r="J406" t="n">
        <v>0</v>
      </c>
      <c r="K406" t="n">
        <v>0</v>
      </c>
      <c r="L406" t="n">
        <v>0</v>
      </c>
      <c r="M406" t="n">
        <v>0</v>
      </c>
      <c r="N406" t="n">
        <v>0</v>
      </c>
      <c r="O406" t="n">
        <v>0</v>
      </c>
      <c r="P406" t="n">
        <v>0</v>
      </c>
      <c r="Q406" t="n">
        <v>0</v>
      </c>
      <c r="R406" s="2" t="inlineStr"/>
    </row>
    <row r="407" ht="15" customHeight="1">
      <c r="A407" t="inlineStr">
        <is>
          <t>A 28661-2024</t>
        </is>
      </c>
      <c r="B407" s="1" t="n">
        <v>45478</v>
      </c>
      <c r="C407" s="1" t="n">
        <v>46079</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2529-2022</t>
        </is>
      </c>
      <c r="B408" s="1" t="n">
        <v>44579.86452546297</v>
      </c>
      <c r="C408" s="1" t="n">
        <v>46079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56540-2024</t>
        </is>
      </c>
      <c r="B409" s="1" t="n">
        <v>45625</v>
      </c>
      <c r="C409" s="1" t="n">
        <v>46079</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39182-2025</t>
        </is>
      </c>
      <c r="B410" s="1" t="n">
        <v>45888.66204861111</v>
      </c>
      <c r="C410" s="1" t="n">
        <v>46079</v>
      </c>
      <c r="D410" t="inlineStr">
        <is>
          <t>VÄSTMANLANDS LÄN</t>
        </is>
      </c>
      <c r="E410" t="inlineStr">
        <is>
          <t>SALA</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31599-2024</t>
        </is>
      </c>
      <c r="B411" s="1" t="n">
        <v>45506</v>
      </c>
      <c r="C411" s="1" t="n">
        <v>46079</v>
      </c>
      <c r="D411" t="inlineStr">
        <is>
          <t>VÄSTMANLANDS LÄN</t>
        </is>
      </c>
      <c r="E411" t="inlineStr">
        <is>
          <t>SALA</t>
        </is>
      </c>
      <c r="G411" t="n">
        <v>0.9</v>
      </c>
      <c r="H411" t="n">
        <v>0</v>
      </c>
      <c r="I411" t="n">
        <v>0</v>
      </c>
      <c r="J411" t="n">
        <v>0</v>
      </c>
      <c r="K411" t="n">
        <v>0</v>
      </c>
      <c r="L411" t="n">
        <v>0</v>
      </c>
      <c r="M411" t="n">
        <v>0</v>
      </c>
      <c r="N411" t="n">
        <v>0</v>
      </c>
      <c r="O411" t="n">
        <v>0</v>
      </c>
      <c r="P411" t="n">
        <v>0</v>
      </c>
      <c r="Q411" t="n">
        <v>0</v>
      </c>
      <c r="R411" s="2" t="inlineStr"/>
    </row>
    <row r="412" ht="15" customHeight="1">
      <c r="A412" t="inlineStr">
        <is>
          <t>A 31601-2024</t>
        </is>
      </c>
      <c r="B412" s="1" t="n">
        <v>45506</v>
      </c>
      <c r="C412" s="1" t="n">
        <v>46079</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31608-2024</t>
        </is>
      </c>
      <c r="B413" s="1" t="n">
        <v>45506</v>
      </c>
      <c r="C413" s="1" t="n">
        <v>46079</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31612-2024</t>
        </is>
      </c>
      <c r="B414" s="1" t="n">
        <v>45506</v>
      </c>
      <c r="C414" s="1" t="n">
        <v>46079</v>
      </c>
      <c r="D414" t="inlineStr">
        <is>
          <t>VÄSTMANLANDS LÄN</t>
        </is>
      </c>
      <c r="E414" t="inlineStr">
        <is>
          <t>SALA</t>
        </is>
      </c>
      <c r="G414" t="n">
        <v>3.2</v>
      </c>
      <c r="H414" t="n">
        <v>0</v>
      </c>
      <c r="I414" t="n">
        <v>0</v>
      </c>
      <c r="J414" t="n">
        <v>0</v>
      </c>
      <c r="K414" t="n">
        <v>0</v>
      </c>
      <c r="L414" t="n">
        <v>0</v>
      </c>
      <c r="M414" t="n">
        <v>0</v>
      </c>
      <c r="N414" t="n">
        <v>0</v>
      </c>
      <c r="O414" t="n">
        <v>0</v>
      </c>
      <c r="P414" t="n">
        <v>0</v>
      </c>
      <c r="Q414" t="n">
        <v>0</v>
      </c>
      <c r="R414" s="2" t="inlineStr"/>
    </row>
    <row r="415" ht="15" customHeight="1">
      <c r="A415" t="inlineStr">
        <is>
          <t>A 46279-2021</t>
        </is>
      </c>
      <c r="B415" s="1" t="n">
        <v>44442.57797453704</v>
      </c>
      <c r="C415" s="1" t="n">
        <v>46079</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10579-2022</t>
        </is>
      </c>
      <c r="B416" s="1" t="n">
        <v>44624</v>
      </c>
      <c r="C416" s="1" t="n">
        <v>46079</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25260-2023</t>
        </is>
      </c>
      <c r="B417" s="1" t="n">
        <v>45086</v>
      </c>
      <c r="C417" s="1" t="n">
        <v>46079</v>
      </c>
      <c r="D417" t="inlineStr">
        <is>
          <t>VÄSTMANLANDS LÄN</t>
        </is>
      </c>
      <c r="E417" t="inlineStr">
        <is>
          <t>SALA</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64693-2023</t>
        </is>
      </c>
      <c r="B418" s="1" t="n">
        <v>45281.63850694444</v>
      </c>
      <c r="C418" s="1" t="n">
        <v>46079</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64695-2023</t>
        </is>
      </c>
      <c r="B419" s="1" t="n">
        <v>45281.64099537037</v>
      </c>
      <c r="C419" s="1" t="n">
        <v>46079</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31864-2025</t>
        </is>
      </c>
      <c r="B420" s="1" t="n">
        <v>45834.63819444444</v>
      </c>
      <c r="C420" s="1" t="n">
        <v>46079</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16769-2024</t>
        </is>
      </c>
      <c r="B421" s="1" t="n">
        <v>45411.38738425926</v>
      </c>
      <c r="C421" s="1" t="n">
        <v>46079</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39167-2025</t>
        </is>
      </c>
      <c r="B422" s="1" t="n">
        <v>45888</v>
      </c>
      <c r="C422" s="1" t="n">
        <v>46079</v>
      </c>
      <c r="D422" t="inlineStr">
        <is>
          <t>VÄSTMANLANDS LÄN</t>
        </is>
      </c>
      <c r="E422" t="inlineStr">
        <is>
          <t>SALA</t>
        </is>
      </c>
      <c r="G422" t="n">
        <v>5.5</v>
      </c>
      <c r="H422" t="n">
        <v>0</v>
      </c>
      <c r="I422" t="n">
        <v>0</v>
      </c>
      <c r="J422" t="n">
        <v>0</v>
      </c>
      <c r="K422" t="n">
        <v>0</v>
      </c>
      <c r="L422" t="n">
        <v>0</v>
      </c>
      <c r="M422" t="n">
        <v>0</v>
      </c>
      <c r="N422" t="n">
        <v>0</v>
      </c>
      <c r="O422" t="n">
        <v>0</v>
      </c>
      <c r="P422" t="n">
        <v>0</v>
      </c>
      <c r="Q422" t="n">
        <v>0</v>
      </c>
      <c r="R422" s="2" t="inlineStr"/>
    </row>
    <row r="423" ht="15" customHeight="1">
      <c r="A423" t="inlineStr">
        <is>
          <t>A 60249-2023</t>
        </is>
      </c>
      <c r="B423" s="1" t="n">
        <v>45258</v>
      </c>
      <c r="C423" s="1" t="n">
        <v>46079</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14271-2025</t>
        </is>
      </c>
      <c r="B424" s="1" t="n">
        <v>45740.64129629629</v>
      </c>
      <c r="C424" s="1" t="n">
        <v>46079</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69232-2021</t>
        </is>
      </c>
      <c r="B425" s="1" t="n">
        <v>44531.39696759259</v>
      </c>
      <c r="C425" s="1" t="n">
        <v>46079</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52498-2022</t>
        </is>
      </c>
      <c r="B426" s="1" t="n">
        <v>44874.50152777778</v>
      </c>
      <c r="C426" s="1" t="n">
        <v>46079</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37587-2024</t>
        </is>
      </c>
      <c r="B427" s="1" t="n">
        <v>45541</v>
      </c>
      <c r="C427" s="1" t="n">
        <v>46079</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28328-2023</t>
        </is>
      </c>
      <c r="B428" s="1" t="n">
        <v>45099.71063657408</v>
      </c>
      <c r="C428" s="1" t="n">
        <v>46079</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55784-2024</t>
        </is>
      </c>
      <c r="B429" s="1" t="n">
        <v>45623</v>
      </c>
      <c r="C429" s="1" t="n">
        <v>46079</v>
      </c>
      <c r="D429" t="inlineStr">
        <is>
          <t>VÄSTMANLANDS LÄN</t>
        </is>
      </c>
      <c r="E429" t="inlineStr">
        <is>
          <t>SALA</t>
        </is>
      </c>
      <c r="F429" t="inlineStr">
        <is>
          <t>Bergvik skog öst AB</t>
        </is>
      </c>
      <c r="G429" t="n">
        <v>28.4</v>
      </c>
      <c r="H429" t="n">
        <v>0</v>
      </c>
      <c r="I429" t="n">
        <v>0</v>
      </c>
      <c r="J429" t="n">
        <v>0</v>
      </c>
      <c r="K429" t="n">
        <v>0</v>
      </c>
      <c r="L429" t="n">
        <v>0</v>
      </c>
      <c r="M429" t="n">
        <v>0</v>
      </c>
      <c r="N429" t="n">
        <v>0</v>
      </c>
      <c r="O429" t="n">
        <v>0</v>
      </c>
      <c r="P429" t="n">
        <v>0</v>
      </c>
      <c r="Q429" t="n">
        <v>0</v>
      </c>
      <c r="R429" s="2" t="inlineStr"/>
    </row>
    <row r="430" ht="15" customHeight="1">
      <c r="A430" t="inlineStr">
        <is>
          <t>A 29542-2023</t>
        </is>
      </c>
      <c r="B430" s="1" t="n">
        <v>45098</v>
      </c>
      <c r="C430" s="1" t="n">
        <v>46079</v>
      </c>
      <c r="D430" t="inlineStr">
        <is>
          <t>VÄSTMANLANDS LÄN</t>
        </is>
      </c>
      <c r="E430" t="inlineStr">
        <is>
          <t>SALA</t>
        </is>
      </c>
      <c r="G430" t="n">
        <v>4.8</v>
      </c>
      <c r="H430" t="n">
        <v>0</v>
      </c>
      <c r="I430" t="n">
        <v>0</v>
      </c>
      <c r="J430" t="n">
        <v>0</v>
      </c>
      <c r="K430" t="n">
        <v>0</v>
      </c>
      <c r="L430" t="n">
        <v>0</v>
      </c>
      <c r="M430" t="n">
        <v>0</v>
      </c>
      <c r="N430" t="n">
        <v>0</v>
      </c>
      <c r="O430" t="n">
        <v>0</v>
      </c>
      <c r="P430" t="n">
        <v>0</v>
      </c>
      <c r="Q430" t="n">
        <v>0</v>
      </c>
      <c r="R430" s="2" t="inlineStr"/>
    </row>
    <row r="431" ht="15" customHeight="1">
      <c r="A431" t="inlineStr">
        <is>
          <t>A 27038-2023</t>
        </is>
      </c>
      <c r="B431" s="1" t="n">
        <v>45095</v>
      </c>
      <c r="C431" s="1" t="n">
        <v>46079</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40085-2024</t>
        </is>
      </c>
      <c r="B432" s="1" t="n">
        <v>45554</v>
      </c>
      <c r="C432" s="1" t="n">
        <v>46079</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22353-2025</t>
        </is>
      </c>
      <c r="B433" s="1" t="n">
        <v>45786</v>
      </c>
      <c r="C433" s="1" t="n">
        <v>46079</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64724-2023</t>
        </is>
      </c>
      <c r="B434" s="1" t="n">
        <v>45281.7602662037</v>
      </c>
      <c r="C434" s="1" t="n">
        <v>46079</v>
      </c>
      <c r="D434" t="inlineStr">
        <is>
          <t>VÄSTMANLANDS LÄN</t>
        </is>
      </c>
      <c r="E434" t="inlineStr">
        <is>
          <t>SALA</t>
        </is>
      </c>
      <c r="G434" t="n">
        <v>2.3</v>
      </c>
      <c r="H434" t="n">
        <v>0</v>
      </c>
      <c r="I434" t="n">
        <v>0</v>
      </c>
      <c r="J434" t="n">
        <v>0</v>
      </c>
      <c r="K434" t="n">
        <v>0</v>
      </c>
      <c r="L434" t="n">
        <v>0</v>
      </c>
      <c r="M434" t="n">
        <v>0</v>
      </c>
      <c r="N434" t="n">
        <v>0</v>
      </c>
      <c r="O434" t="n">
        <v>0</v>
      </c>
      <c r="P434" t="n">
        <v>0</v>
      </c>
      <c r="Q434" t="n">
        <v>0</v>
      </c>
      <c r="R434" s="2" t="inlineStr"/>
    </row>
    <row r="435" ht="15" customHeight="1">
      <c r="A435" t="inlineStr">
        <is>
          <t>A 22370-2025</t>
        </is>
      </c>
      <c r="B435" s="1" t="n">
        <v>45786</v>
      </c>
      <c r="C435" s="1" t="n">
        <v>46079</v>
      </c>
      <c r="D435" t="inlineStr">
        <is>
          <t>VÄSTMANLANDS LÄN</t>
        </is>
      </c>
      <c r="E435" t="inlineStr">
        <is>
          <t>SALA</t>
        </is>
      </c>
      <c r="G435" t="n">
        <v>3.2</v>
      </c>
      <c r="H435" t="n">
        <v>0</v>
      </c>
      <c r="I435" t="n">
        <v>0</v>
      </c>
      <c r="J435" t="n">
        <v>0</v>
      </c>
      <c r="K435" t="n">
        <v>0</v>
      </c>
      <c r="L435" t="n">
        <v>0</v>
      </c>
      <c r="M435" t="n">
        <v>0</v>
      </c>
      <c r="N435" t="n">
        <v>0</v>
      </c>
      <c r="O435" t="n">
        <v>0</v>
      </c>
      <c r="P435" t="n">
        <v>0</v>
      </c>
      <c r="Q435" t="n">
        <v>0</v>
      </c>
      <c r="R435" s="2" t="inlineStr"/>
    </row>
    <row r="436" ht="15" customHeight="1">
      <c r="A436" t="inlineStr">
        <is>
          <t>A 22383-2025</t>
        </is>
      </c>
      <c r="B436" s="1" t="n">
        <v>45786</v>
      </c>
      <c r="C436" s="1" t="n">
        <v>46079</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18158-2025</t>
        </is>
      </c>
      <c r="B437" s="1" t="n">
        <v>45761</v>
      </c>
      <c r="C437" s="1" t="n">
        <v>46079</v>
      </c>
      <c r="D437" t="inlineStr">
        <is>
          <t>VÄSTMANLANDS LÄN</t>
        </is>
      </c>
      <c r="E437" t="inlineStr">
        <is>
          <t>SALA</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49661-2024</t>
        </is>
      </c>
      <c r="B438" s="1" t="n">
        <v>45596</v>
      </c>
      <c r="C438" s="1" t="n">
        <v>46079</v>
      </c>
      <c r="D438" t="inlineStr">
        <is>
          <t>VÄSTMANLANDS LÄN</t>
        </is>
      </c>
      <c r="E438" t="inlineStr">
        <is>
          <t>SALA</t>
        </is>
      </c>
      <c r="G438" t="n">
        <v>6.7</v>
      </c>
      <c r="H438" t="n">
        <v>0</v>
      </c>
      <c r="I438" t="n">
        <v>0</v>
      </c>
      <c r="J438" t="n">
        <v>0</v>
      </c>
      <c r="K438" t="n">
        <v>0</v>
      </c>
      <c r="L438" t="n">
        <v>0</v>
      </c>
      <c r="M438" t="n">
        <v>0</v>
      </c>
      <c r="N438" t="n">
        <v>0</v>
      </c>
      <c r="O438" t="n">
        <v>0</v>
      </c>
      <c r="P438" t="n">
        <v>0</v>
      </c>
      <c r="Q438" t="n">
        <v>0</v>
      </c>
      <c r="R438" s="2" t="inlineStr"/>
    </row>
    <row r="439" ht="15" customHeight="1">
      <c r="A439" t="inlineStr">
        <is>
          <t>A 40556-2025</t>
        </is>
      </c>
      <c r="B439" s="1" t="n">
        <v>45896.44944444444</v>
      </c>
      <c r="C439" s="1" t="n">
        <v>46079</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40559-2025</t>
        </is>
      </c>
      <c r="B440" s="1" t="n">
        <v>45896.45037037037</v>
      </c>
      <c r="C440" s="1" t="n">
        <v>46079</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40620-2025</t>
        </is>
      </c>
      <c r="B441" s="1" t="n">
        <v>45896.58609953704</v>
      </c>
      <c r="C441" s="1" t="n">
        <v>46079</v>
      </c>
      <c r="D441" t="inlineStr">
        <is>
          <t>VÄSTMANLANDS LÄN</t>
        </is>
      </c>
      <c r="E441" t="inlineStr">
        <is>
          <t>SALA</t>
        </is>
      </c>
      <c r="G441" t="n">
        <v>6.7</v>
      </c>
      <c r="H441" t="n">
        <v>0</v>
      </c>
      <c r="I441" t="n">
        <v>0</v>
      </c>
      <c r="J441" t="n">
        <v>0</v>
      </c>
      <c r="K441" t="n">
        <v>0</v>
      </c>
      <c r="L441" t="n">
        <v>0</v>
      </c>
      <c r="M441" t="n">
        <v>0</v>
      </c>
      <c r="N441" t="n">
        <v>0</v>
      </c>
      <c r="O441" t="n">
        <v>0</v>
      </c>
      <c r="P441" t="n">
        <v>0</v>
      </c>
      <c r="Q441" t="n">
        <v>0</v>
      </c>
      <c r="R441" s="2" t="inlineStr"/>
    </row>
    <row r="442" ht="15" customHeight="1">
      <c r="A442" t="inlineStr">
        <is>
          <t>A 7176-2023</t>
        </is>
      </c>
      <c r="B442" s="1" t="n">
        <v>44970</v>
      </c>
      <c r="C442" s="1" t="n">
        <v>46079</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35519-2024</t>
        </is>
      </c>
      <c r="B443" s="1" t="n">
        <v>45531</v>
      </c>
      <c r="C443" s="1" t="n">
        <v>46079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22624-2025</t>
        </is>
      </c>
      <c r="B444" s="1" t="n">
        <v>45789.43327546296</v>
      </c>
      <c r="C444" s="1" t="n">
        <v>46079</v>
      </c>
      <c r="D444" t="inlineStr">
        <is>
          <t>VÄSTMANLANDS LÄN</t>
        </is>
      </c>
      <c r="E444" t="inlineStr">
        <is>
          <t>SALA</t>
        </is>
      </c>
      <c r="G444" t="n">
        <v>1.5</v>
      </c>
      <c r="H444" t="n">
        <v>0</v>
      </c>
      <c r="I444" t="n">
        <v>0</v>
      </c>
      <c r="J444" t="n">
        <v>0</v>
      </c>
      <c r="K444" t="n">
        <v>0</v>
      </c>
      <c r="L444" t="n">
        <v>0</v>
      </c>
      <c r="M444" t="n">
        <v>0</v>
      </c>
      <c r="N444" t="n">
        <v>0</v>
      </c>
      <c r="O444" t="n">
        <v>0</v>
      </c>
      <c r="P444" t="n">
        <v>0</v>
      </c>
      <c r="Q444" t="n">
        <v>0</v>
      </c>
      <c r="R444" s="2" t="inlineStr"/>
    </row>
    <row r="445" ht="15" customHeight="1">
      <c r="A445" t="inlineStr">
        <is>
          <t>A 17051-2025</t>
        </is>
      </c>
      <c r="B445" s="1" t="n">
        <v>45755</v>
      </c>
      <c r="C445" s="1" t="n">
        <v>46079</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54347-2024</t>
        </is>
      </c>
      <c r="B446" s="1" t="n">
        <v>45617.39325231482</v>
      </c>
      <c r="C446" s="1" t="n">
        <v>46079</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31405-2024</t>
        </is>
      </c>
      <c r="B447" s="1" t="n">
        <v>45505.5490625</v>
      </c>
      <c r="C447" s="1" t="n">
        <v>46079</v>
      </c>
      <c r="D447" t="inlineStr">
        <is>
          <t>VÄSTMANLANDS LÄN</t>
        </is>
      </c>
      <c r="E447" t="inlineStr">
        <is>
          <t>SALA</t>
        </is>
      </c>
      <c r="G447" t="n">
        <v>5.2</v>
      </c>
      <c r="H447" t="n">
        <v>0</v>
      </c>
      <c r="I447" t="n">
        <v>0</v>
      </c>
      <c r="J447" t="n">
        <v>0</v>
      </c>
      <c r="K447" t="n">
        <v>0</v>
      </c>
      <c r="L447" t="n">
        <v>0</v>
      </c>
      <c r="M447" t="n">
        <v>0</v>
      </c>
      <c r="N447" t="n">
        <v>0</v>
      </c>
      <c r="O447" t="n">
        <v>0</v>
      </c>
      <c r="P447" t="n">
        <v>0</v>
      </c>
      <c r="Q447" t="n">
        <v>0</v>
      </c>
      <c r="R447" s="2" t="inlineStr"/>
    </row>
    <row r="448" ht="15" customHeight="1">
      <c r="A448" t="inlineStr">
        <is>
          <t>A 13022-2023</t>
        </is>
      </c>
      <c r="B448" s="1" t="n">
        <v>45002.33291666667</v>
      </c>
      <c r="C448" s="1" t="n">
        <v>46079</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35003-2024</t>
        </is>
      </c>
      <c r="B449" s="1" t="n">
        <v>45527.56790509259</v>
      </c>
      <c r="C449" s="1" t="n">
        <v>46079</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41230-2025</t>
        </is>
      </c>
      <c r="B450" s="1" t="n">
        <v>45898</v>
      </c>
      <c r="C450" s="1" t="n">
        <v>46079</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22616-2025</t>
        </is>
      </c>
      <c r="B451" s="1" t="n">
        <v>45789.42752314815</v>
      </c>
      <c r="C451" s="1" t="n">
        <v>46079</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43600-2024</t>
        </is>
      </c>
      <c r="B452" s="1" t="n">
        <v>45569</v>
      </c>
      <c r="C452" s="1" t="n">
        <v>46079</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13130-2025</t>
        </is>
      </c>
      <c r="B453" s="1" t="n">
        <v>45734</v>
      </c>
      <c r="C453" s="1" t="n">
        <v>46079</v>
      </c>
      <c r="D453" t="inlineStr">
        <is>
          <t>VÄSTMANLANDS LÄN</t>
        </is>
      </c>
      <c r="E453" t="inlineStr">
        <is>
          <t>SALA</t>
        </is>
      </c>
      <c r="G453" t="n">
        <v>1.5</v>
      </c>
      <c r="H453" t="n">
        <v>0</v>
      </c>
      <c r="I453" t="n">
        <v>0</v>
      </c>
      <c r="J453" t="n">
        <v>0</v>
      </c>
      <c r="K453" t="n">
        <v>0</v>
      </c>
      <c r="L453" t="n">
        <v>0</v>
      </c>
      <c r="M453" t="n">
        <v>0</v>
      </c>
      <c r="N453" t="n">
        <v>0</v>
      </c>
      <c r="O453" t="n">
        <v>0</v>
      </c>
      <c r="P453" t="n">
        <v>0</v>
      </c>
      <c r="Q453" t="n">
        <v>0</v>
      </c>
      <c r="R453" s="2" t="inlineStr"/>
    </row>
    <row r="454" ht="15" customHeight="1">
      <c r="A454" t="inlineStr">
        <is>
          <t>A 66307-2021</t>
        </is>
      </c>
      <c r="B454" s="1" t="n">
        <v>44518.48670138889</v>
      </c>
      <c r="C454" s="1" t="n">
        <v>46079</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6030-2024</t>
        </is>
      </c>
      <c r="B455" s="1" t="n">
        <v>45336.62782407407</v>
      </c>
      <c r="C455" s="1" t="n">
        <v>46079</v>
      </c>
      <c r="D455" t="inlineStr">
        <is>
          <t>VÄSTMANLANDS LÄN</t>
        </is>
      </c>
      <c r="E455" t="inlineStr">
        <is>
          <t>SALA</t>
        </is>
      </c>
      <c r="G455" t="n">
        <v>3.9</v>
      </c>
      <c r="H455" t="n">
        <v>0</v>
      </c>
      <c r="I455" t="n">
        <v>0</v>
      </c>
      <c r="J455" t="n">
        <v>0</v>
      </c>
      <c r="K455" t="n">
        <v>0</v>
      </c>
      <c r="L455" t="n">
        <v>0</v>
      </c>
      <c r="M455" t="n">
        <v>0</v>
      </c>
      <c r="N455" t="n">
        <v>0</v>
      </c>
      <c r="O455" t="n">
        <v>0</v>
      </c>
      <c r="P455" t="n">
        <v>0</v>
      </c>
      <c r="Q455" t="n">
        <v>0</v>
      </c>
      <c r="R455" s="2" t="inlineStr"/>
    </row>
    <row r="456" ht="15" customHeight="1">
      <c r="A456" t="inlineStr">
        <is>
          <t>A 26761-2023</t>
        </is>
      </c>
      <c r="B456" s="1" t="n">
        <v>45093</v>
      </c>
      <c r="C456" s="1" t="n">
        <v>46079</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61892-2021</t>
        </is>
      </c>
      <c r="B457" s="1" t="n">
        <v>44502</v>
      </c>
      <c r="C457" s="1" t="n">
        <v>46079</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41431-2025</t>
        </is>
      </c>
      <c r="B458" s="1" t="n">
        <v>45901.39347222223</v>
      </c>
      <c r="C458" s="1" t="n">
        <v>46079</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41414-2025</t>
        </is>
      </c>
      <c r="B459" s="1" t="n">
        <v>45901.360625</v>
      </c>
      <c r="C459" s="1" t="n">
        <v>46079</v>
      </c>
      <c r="D459" t="inlineStr">
        <is>
          <t>VÄSTMANLANDS LÄN</t>
        </is>
      </c>
      <c r="E459" t="inlineStr">
        <is>
          <t>SALA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53164-2024</t>
        </is>
      </c>
      <c r="B460" s="1" t="n">
        <v>45611.64887731482</v>
      </c>
      <c r="C460" s="1" t="n">
        <v>46079</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61717-2024</t>
        </is>
      </c>
      <c r="B461" s="1" t="n">
        <v>45648</v>
      </c>
      <c r="C461" s="1" t="n">
        <v>46079</v>
      </c>
      <c r="D461" t="inlineStr">
        <is>
          <t>VÄSTMANLANDS LÄN</t>
        </is>
      </c>
      <c r="E461" t="inlineStr">
        <is>
          <t>SALA</t>
        </is>
      </c>
      <c r="G461" t="n">
        <v>3.7</v>
      </c>
      <c r="H461" t="n">
        <v>0</v>
      </c>
      <c r="I461" t="n">
        <v>0</v>
      </c>
      <c r="J461" t="n">
        <v>0</v>
      </c>
      <c r="K461" t="n">
        <v>0</v>
      </c>
      <c r="L461" t="n">
        <v>0</v>
      </c>
      <c r="M461" t="n">
        <v>0</v>
      </c>
      <c r="N461" t="n">
        <v>0</v>
      </c>
      <c r="O461" t="n">
        <v>0</v>
      </c>
      <c r="P461" t="n">
        <v>0</v>
      </c>
      <c r="Q461" t="n">
        <v>0</v>
      </c>
      <c r="R461" s="2" t="inlineStr"/>
    </row>
    <row r="462" ht="15" customHeight="1">
      <c r="A462" t="inlineStr">
        <is>
          <t>A 7772-2023</t>
        </is>
      </c>
      <c r="B462" s="1" t="n">
        <v>44973.40076388889</v>
      </c>
      <c r="C462" s="1" t="n">
        <v>46079</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42416-2022</t>
        </is>
      </c>
      <c r="B463" s="1" t="n">
        <v>44831</v>
      </c>
      <c r="C463" s="1" t="n">
        <v>46079</v>
      </c>
      <c r="D463" t="inlineStr">
        <is>
          <t>VÄSTMANLANDS LÄN</t>
        </is>
      </c>
      <c r="E463" t="inlineStr">
        <is>
          <t>SALA</t>
        </is>
      </c>
      <c r="G463" t="n">
        <v>2.2</v>
      </c>
      <c r="H463" t="n">
        <v>0</v>
      </c>
      <c r="I463" t="n">
        <v>0</v>
      </c>
      <c r="J463" t="n">
        <v>0</v>
      </c>
      <c r="K463" t="n">
        <v>0</v>
      </c>
      <c r="L463" t="n">
        <v>0</v>
      </c>
      <c r="M463" t="n">
        <v>0</v>
      </c>
      <c r="N463" t="n">
        <v>0</v>
      </c>
      <c r="O463" t="n">
        <v>0</v>
      </c>
      <c r="P463" t="n">
        <v>0</v>
      </c>
      <c r="Q463" t="n">
        <v>0</v>
      </c>
      <c r="R463" s="2" t="inlineStr"/>
    </row>
    <row r="464" ht="15" customHeight="1">
      <c r="A464" t="inlineStr">
        <is>
          <t>A 24169-2025</t>
        </is>
      </c>
      <c r="B464" s="1" t="n">
        <v>45796</v>
      </c>
      <c r="C464" s="1" t="n">
        <v>46079</v>
      </c>
      <c r="D464" t="inlineStr">
        <is>
          <t>VÄSTMANLANDS LÄN</t>
        </is>
      </c>
      <c r="E464" t="inlineStr">
        <is>
          <t>SALA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22126-2025</t>
        </is>
      </c>
      <c r="B465" s="1" t="n">
        <v>45785</v>
      </c>
      <c r="C465" s="1" t="n">
        <v>46079</v>
      </c>
      <c r="D465" t="inlineStr">
        <is>
          <t>VÄSTMANLANDS LÄN</t>
        </is>
      </c>
      <c r="E465" t="inlineStr">
        <is>
          <t>SALA</t>
        </is>
      </c>
      <c r="G465" t="n">
        <v>10.6</v>
      </c>
      <c r="H465" t="n">
        <v>0</v>
      </c>
      <c r="I465" t="n">
        <v>0</v>
      </c>
      <c r="J465" t="n">
        <v>0</v>
      </c>
      <c r="K465" t="n">
        <v>0</v>
      </c>
      <c r="L465" t="n">
        <v>0</v>
      </c>
      <c r="M465" t="n">
        <v>0</v>
      </c>
      <c r="N465" t="n">
        <v>0</v>
      </c>
      <c r="O465" t="n">
        <v>0</v>
      </c>
      <c r="P465" t="n">
        <v>0</v>
      </c>
      <c r="Q465" t="n">
        <v>0</v>
      </c>
      <c r="R465" s="2" t="inlineStr"/>
    </row>
    <row r="466" ht="15" customHeight="1">
      <c r="A466" t="inlineStr">
        <is>
          <t>A 23810-2025</t>
        </is>
      </c>
      <c r="B466" s="1" t="n">
        <v>45793.56989583333</v>
      </c>
      <c r="C466" s="1" t="n">
        <v>46079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19381-2025</t>
        </is>
      </c>
      <c r="B467" s="1" t="n">
        <v>45769</v>
      </c>
      <c r="C467" s="1" t="n">
        <v>46079</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21968-2024</t>
        </is>
      </c>
      <c r="B468" s="1" t="n">
        <v>45443</v>
      </c>
      <c r="C468" s="1" t="n">
        <v>46079</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48688-2024</t>
        </is>
      </c>
      <c r="B469" s="1" t="n">
        <v>45593.50541666667</v>
      </c>
      <c r="C469" s="1" t="n">
        <v>46079</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24944-2023</t>
        </is>
      </c>
      <c r="B470" s="1" t="n">
        <v>45085</v>
      </c>
      <c r="C470" s="1" t="n">
        <v>46079</v>
      </c>
      <c r="D470" t="inlineStr">
        <is>
          <t>VÄSTMANLANDS LÄN</t>
        </is>
      </c>
      <c r="E470" t="inlineStr">
        <is>
          <t>SALA</t>
        </is>
      </c>
      <c r="G470" t="n">
        <v>3.8</v>
      </c>
      <c r="H470" t="n">
        <v>0</v>
      </c>
      <c r="I470" t="n">
        <v>0</v>
      </c>
      <c r="J470" t="n">
        <v>0</v>
      </c>
      <c r="K470" t="n">
        <v>0</v>
      </c>
      <c r="L470" t="n">
        <v>0</v>
      </c>
      <c r="M470" t="n">
        <v>0</v>
      </c>
      <c r="N470" t="n">
        <v>0</v>
      </c>
      <c r="O470" t="n">
        <v>0</v>
      </c>
      <c r="P470" t="n">
        <v>0</v>
      </c>
      <c r="Q470" t="n">
        <v>0</v>
      </c>
      <c r="R470" s="2" t="inlineStr"/>
    </row>
    <row r="471" ht="15" customHeight="1">
      <c r="A471" t="inlineStr">
        <is>
          <t>A 42421-2025</t>
        </is>
      </c>
      <c r="B471" s="1" t="n">
        <v>45905.40067129629</v>
      </c>
      <c r="C471" s="1" t="n">
        <v>46079</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23804-2025</t>
        </is>
      </c>
      <c r="B472" s="1" t="n">
        <v>45793.55995370371</v>
      </c>
      <c r="C472" s="1" t="n">
        <v>46079</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11210-2025</t>
        </is>
      </c>
      <c r="B473" s="1" t="n">
        <v>45726</v>
      </c>
      <c r="C473" s="1" t="n">
        <v>46079</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19297-2025</t>
        </is>
      </c>
      <c r="B474" s="1" t="n">
        <v>45769.56261574074</v>
      </c>
      <c r="C474" s="1" t="n">
        <v>46079</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43028-2025</t>
        </is>
      </c>
      <c r="B475" s="1" t="n">
        <v>45909.53472222222</v>
      </c>
      <c r="C475" s="1" t="n">
        <v>46079</v>
      </c>
      <c r="D475" t="inlineStr">
        <is>
          <t>VÄSTMANLANDS LÄN</t>
        </is>
      </c>
      <c r="E475" t="inlineStr">
        <is>
          <t>SALA</t>
        </is>
      </c>
      <c r="G475" t="n">
        <v>3.8</v>
      </c>
      <c r="H475" t="n">
        <v>0</v>
      </c>
      <c r="I475" t="n">
        <v>0</v>
      </c>
      <c r="J475" t="n">
        <v>0</v>
      </c>
      <c r="K475" t="n">
        <v>0</v>
      </c>
      <c r="L475" t="n">
        <v>0</v>
      </c>
      <c r="M475" t="n">
        <v>0</v>
      </c>
      <c r="N475" t="n">
        <v>0</v>
      </c>
      <c r="O475" t="n">
        <v>0</v>
      </c>
      <c r="P475" t="n">
        <v>0</v>
      </c>
      <c r="Q475" t="n">
        <v>0</v>
      </c>
      <c r="R475" s="2" t="inlineStr"/>
    </row>
    <row r="476" ht="15" customHeight="1">
      <c r="A476" t="inlineStr">
        <is>
          <t>A 43328-2025</t>
        </is>
      </c>
      <c r="B476" s="1" t="n">
        <v>45910</v>
      </c>
      <c r="C476" s="1" t="n">
        <v>46079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45187-2024</t>
        </is>
      </c>
      <c r="B477" s="1" t="n">
        <v>45575</v>
      </c>
      <c r="C477" s="1" t="n">
        <v>46079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15968-2024</t>
        </is>
      </c>
      <c r="B478" s="1" t="n">
        <v>45405.56021990741</v>
      </c>
      <c r="C478" s="1" t="n">
        <v>46079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43031-2025</t>
        </is>
      </c>
      <c r="B479" s="1" t="n">
        <v>45909.53856481481</v>
      </c>
      <c r="C479" s="1" t="n">
        <v>46079</v>
      </c>
      <c r="D479" t="inlineStr">
        <is>
          <t>VÄSTMANLANDS LÄN</t>
        </is>
      </c>
      <c r="E479" t="inlineStr">
        <is>
          <t>SALA</t>
        </is>
      </c>
      <c r="G479" t="n">
        <v>0.2</v>
      </c>
      <c r="H479" t="n">
        <v>0</v>
      </c>
      <c r="I479" t="n">
        <v>0</v>
      </c>
      <c r="J479" t="n">
        <v>0</v>
      </c>
      <c r="K479" t="n">
        <v>0</v>
      </c>
      <c r="L479" t="n">
        <v>0</v>
      </c>
      <c r="M479" t="n">
        <v>0</v>
      </c>
      <c r="N479" t="n">
        <v>0</v>
      </c>
      <c r="O479" t="n">
        <v>0</v>
      </c>
      <c r="P479" t="n">
        <v>0</v>
      </c>
      <c r="Q479" t="n">
        <v>0</v>
      </c>
      <c r="R479" s="2" t="inlineStr"/>
    </row>
    <row r="480" ht="15" customHeight="1">
      <c r="A480" t="inlineStr">
        <is>
          <t>A 8285-2025</t>
        </is>
      </c>
      <c r="B480" s="1" t="n">
        <v>45708</v>
      </c>
      <c r="C480" s="1" t="n">
        <v>46079</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17495-2024</t>
        </is>
      </c>
      <c r="B481" s="1" t="n">
        <v>45415</v>
      </c>
      <c r="C481" s="1" t="n">
        <v>46079</v>
      </c>
      <c r="D481" t="inlineStr">
        <is>
          <t>VÄSTMANLANDS LÄN</t>
        </is>
      </c>
      <c r="E481" t="inlineStr">
        <is>
          <t>SALA</t>
        </is>
      </c>
      <c r="G481" t="n">
        <v>3.1</v>
      </c>
      <c r="H481" t="n">
        <v>0</v>
      </c>
      <c r="I481" t="n">
        <v>0</v>
      </c>
      <c r="J481" t="n">
        <v>0</v>
      </c>
      <c r="K481" t="n">
        <v>0</v>
      </c>
      <c r="L481" t="n">
        <v>0</v>
      </c>
      <c r="M481" t="n">
        <v>0</v>
      </c>
      <c r="N481" t="n">
        <v>0</v>
      </c>
      <c r="O481" t="n">
        <v>0</v>
      </c>
      <c r="P481" t="n">
        <v>0</v>
      </c>
      <c r="Q481" t="n">
        <v>0</v>
      </c>
      <c r="R481" s="2" t="inlineStr"/>
    </row>
    <row r="482" ht="15" customHeight="1">
      <c r="A482" t="inlineStr">
        <is>
          <t>A 24460-2025</t>
        </is>
      </c>
      <c r="B482" s="1" t="n">
        <v>45798</v>
      </c>
      <c r="C482" s="1" t="n">
        <v>46079</v>
      </c>
      <c r="D482" t="inlineStr">
        <is>
          <t>VÄSTMANLANDS LÄN</t>
        </is>
      </c>
      <c r="E482" t="inlineStr">
        <is>
          <t>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37263-2025</t>
        </is>
      </c>
      <c r="B483" s="1" t="n">
        <v>45876.4584837963</v>
      </c>
      <c r="C483" s="1" t="n">
        <v>46079</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40554-2025</t>
        </is>
      </c>
      <c r="B484" s="1" t="n">
        <v>45896.44506944445</v>
      </c>
      <c r="C484" s="1" t="n">
        <v>46079</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43129-2025</t>
        </is>
      </c>
      <c r="B485" s="1" t="n">
        <v>45909</v>
      </c>
      <c r="C485" s="1" t="n">
        <v>46079</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43130-2025</t>
        </is>
      </c>
      <c r="B486" s="1" t="n">
        <v>45909</v>
      </c>
      <c r="C486" s="1" t="n">
        <v>46079</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43128-2025</t>
        </is>
      </c>
      <c r="B487" s="1" t="n">
        <v>45909</v>
      </c>
      <c r="C487" s="1" t="n">
        <v>46079</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43127-2025</t>
        </is>
      </c>
      <c r="B488" s="1" t="n">
        <v>45909</v>
      </c>
      <c r="C488" s="1" t="n">
        <v>46079</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3733-2023</t>
        </is>
      </c>
      <c r="B489" s="1" t="n">
        <v>44951.42501157407</v>
      </c>
      <c r="C489" s="1" t="n">
        <v>46079</v>
      </c>
      <c r="D489" t="inlineStr">
        <is>
          <t>VÄSTMANLANDS LÄN</t>
        </is>
      </c>
      <c r="E489" t="inlineStr">
        <is>
          <t>SALA</t>
        </is>
      </c>
      <c r="G489" t="n">
        <v>3.1</v>
      </c>
      <c r="H489" t="n">
        <v>0</v>
      </c>
      <c r="I489" t="n">
        <v>0</v>
      </c>
      <c r="J489" t="n">
        <v>0</v>
      </c>
      <c r="K489" t="n">
        <v>0</v>
      </c>
      <c r="L489" t="n">
        <v>0</v>
      </c>
      <c r="M489" t="n">
        <v>0</v>
      </c>
      <c r="N489" t="n">
        <v>0</v>
      </c>
      <c r="O489" t="n">
        <v>0</v>
      </c>
      <c r="P489" t="n">
        <v>0</v>
      </c>
      <c r="Q489" t="n">
        <v>0</v>
      </c>
      <c r="R489" s="2" t="inlineStr"/>
    </row>
    <row r="490" ht="15" customHeight="1">
      <c r="A490" t="inlineStr">
        <is>
          <t>A 55065-2024</t>
        </is>
      </c>
      <c r="B490" s="1" t="n">
        <v>45618</v>
      </c>
      <c r="C490" s="1" t="n">
        <v>46079</v>
      </c>
      <c r="D490" t="inlineStr">
        <is>
          <t>VÄSTMANLANDS LÄN</t>
        </is>
      </c>
      <c r="E490" t="inlineStr">
        <is>
          <t>SALA</t>
        </is>
      </c>
      <c r="G490" t="n">
        <v>3.5</v>
      </c>
      <c r="H490" t="n">
        <v>0</v>
      </c>
      <c r="I490" t="n">
        <v>0</v>
      </c>
      <c r="J490" t="n">
        <v>0</v>
      </c>
      <c r="K490" t="n">
        <v>0</v>
      </c>
      <c r="L490" t="n">
        <v>0</v>
      </c>
      <c r="M490" t="n">
        <v>0</v>
      </c>
      <c r="N490" t="n">
        <v>0</v>
      </c>
      <c r="O490" t="n">
        <v>0</v>
      </c>
      <c r="P490" t="n">
        <v>0</v>
      </c>
      <c r="Q490" t="n">
        <v>0</v>
      </c>
      <c r="R490" s="2" t="inlineStr"/>
    </row>
    <row r="491" ht="15" customHeight="1">
      <c r="A491" t="inlineStr">
        <is>
          <t>A 24463-2025</t>
        </is>
      </c>
      <c r="B491" s="1" t="n">
        <v>45798</v>
      </c>
      <c r="C491" s="1" t="n">
        <v>46079</v>
      </c>
      <c r="D491" t="inlineStr">
        <is>
          <t>VÄSTMANLANDS LÄN</t>
        </is>
      </c>
      <c r="E491" t="inlineStr">
        <is>
          <t>SALA</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14010-2021</t>
        </is>
      </c>
      <c r="B492" s="1" t="n">
        <v>44277.63396990741</v>
      </c>
      <c r="C492" s="1" t="n">
        <v>46079</v>
      </c>
      <c r="D492" t="inlineStr">
        <is>
          <t>VÄSTMANLANDS LÄN</t>
        </is>
      </c>
      <c r="E492" t="inlineStr">
        <is>
          <t>SALA</t>
        </is>
      </c>
      <c r="G492" t="n">
        <v>3.5</v>
      </c>
      <c r="H492" t="n">
        <v>0</v>
      </c>
      <c r="I492" t="n">
        <v>0</v>
      </c>
      <c r="J492" t="n">
        <v>0</v>
      </c>
      <c r="K492" t="n">
        <v>0</v>
      </c>
      <c r="L492" t="n">
        <v>0</v>
      </c>
      <c r="M492" t="n">
        <v>0</v>
      </c>
      <c r="N492" t="n">
        <v>0</v>
      </c>
      <c r="O492" t="n">
        <v>0</v>
      </c>
      <c r="P492" t="n">
        <v>0</v>
      </c>
      <c r="Q492" t="n">
        <v>0</v>
      </c>
      <c r="R492" s="2" t="inlineStr"/>
    </row>
    <row r="493" ht="15" customHeight="1">
      <c r="A493" t="inlineStr">
        <is>
          <t>A 44100-2025</t>
        </is>
      </c>
      <c r="B493" s="1" t="n">
        <v>45915.56707175926</v>
      </c>
      <c r="C493" s="1" t="n">
        <v>46079</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44486-2025</t>
        </is>
      </c>
      <c r="B494" s="1" t="n">
        <v>45916.65517361111</v>
      </c>
      <c r="C494" s="1" t="n">
        <v>46079</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44524-2025</t>
        </is>
      </c>
      <c r="B495" s="1" t="n">
        <v>45916.72920138889</v>
      </c>
      <c r="C495" s="1" t="n">
        <v>46079</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24907-2025</t>
        </is>
      </c>
      <c r="B496" s="1" t="n">
        <v>45799</v>
      </c>
      <c r="C496" s="1" t="n">
        <v>46079</v>
      </c>
      <c r="D496" t="inlineStr">
        <is>
          <t>VÄSTMANLANDS LÄN</t>
        </is>
      </c>
      <c r="E496" t="inlineStr">
        <is>
          <t>SALA</t>
        </is>
      </c>
      <c r="G496" t="n">
        <v>3.5</v>
      </c>
      <c r="H496" t="n">
        <v>0</v>
      </c>
      <c r="I496" t="n">
        <v>0</v>
      </c>
      <c r="J496" t="n">
        <v>0</v>
      </c>
      <c r="K496" t="n">
        <v>0</v>
      </c>
      <c r="L496" t="n">
        <v>0</v>
      </c>
      <c r="M496" t="n">
        <v>0</v>
      </c>
      <c r="N496" t="n">
        <v>0</v>
      </c>
      <c r="O496" t="n">
        <v>0</v>
      </c>
      <c r="P496" t="n">
        <v>0</v>
      </c>
      <c r="Q496" t="n">
        <v>0</v>
      </c>
      <c r="R496" s="2" t="inlineStr"/>
    </row>
    <row r="497" ht="15" customHeight="1">
      <c r="A497" t="inlineStr">
        <is>
          <t>A 24910-2025</t>
        </is>
      </c>
      <c r="B497" s="1" t="n">
        <v>45799.53775462963</v>
      </c>
      <c r="C497" s="1" t="n">
        <v>46079</v>
      </c>
      <c r="D497" t="inlineStr">
        <is>
          <t>VÄSTMANLANDS LÄN</t>
        </is>
      </c>
      <c r="E497" t="inlineStr">
        <is>
          <t>SALA</t>
        </is>
      </c>
      <c r="G497" t="n">
        <v>3.5</v>
      </c>
      <c r="H497" t="n">
        <v>0</v>
      </c>
      <c r="I497" t="n">
        <v>0</v>
      </c>
      <c r="J497" t="n">
        <v>0</v>
      </c>
      <c r="K497" t="n">
        <v>0</v>
      </c>
      <c r="L497" t="n">
        <v>0</v>
      </c>
      <c r="M497" t="n">
        <v>0</v>
      </c>
      <c r="N497" t="n">
        <v>0</v>
      </c>
      <c r="O497" t="n">
        <v>0</v>
      </c>
      <c r="P497" t="n">
        <v>0</v>
      </c>
      <c r="Q497" t="n">
        <v>0</v>
      </c>
      <c r="R497" s="2" t="inlineStr"/>
    </row>
    <row r="498" ht="15" customHeight="1">
      <c r="A498" t="inlineStr">
        <is>
          <t>A 43122-2025</t>
        </is>
      </c>
      <c r="B498" s="1" t="n">
        <v>45909</v>
      </c>
      <c r="C498" s="1" t="n">
        <v>46079</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22019-2021</t>
        </is>
      </c>
      <c r="B499" s="1" t="n">
        <v>44323</v>
      </c>
      <c r="C499" s="1" t="n">
        <v>46079</v>
      </c>
      <c r="D499" t="inlineStr">
        <is>
          <t>VÄSTMANLANDS LÄN</t>
        </is>
      </c>
      <c r="E499" t="inlineStr">
        <is>
          <t>SALA</t>
        </is>
      </c>
      <c r="G499" t="n">
        <v>1.9</v>
      </c>
      <c r="H499" t="n">
        <v>0</v>
      </c>
      <c r="I499" t="n">
        <v>0</v>
      </c>
      <c r="J499" t="n">
        <v>0</v>
      </c>
      <c r="K499" t="n">
        <v>0</v>
      </c>
      <c r="L499" t="n">
        <v>0</v>
      </c>
      <c r="M499" t="n">
        <v>0</v>
      </c>
      <c r="N499" t="n">
        <v>0</v>
      </c>
      <c r="O499" t="n">
        <v>0</v>
      </c>
      <c r="P499" t="n">
        <v>0</v>
      </c>
      <c r="Q499" t="n">
        <v>0</v>
      </c>
      <c r="R499" s="2" t="inlineStr"/>
    </row>
    <row r="500" ht="15" customHeight="1">
      <c r="A500" t="inlineStr">
        <is>
          <t>A 10909-2024</t>
        </is>
      </c>
      <c r="B500" s="1" t="n">
        <v>45370</v>
      </c>
      <c r="C500" s="1" t="n">
        <v>46079</v>
      </c>
      <c r="D500" t="inlineStr">
        <is>
          <t>VÄSTMANLANDS LÄN</t>
        </is>
      </c>
      <c r="E500" t="inlineStr">
        <is>
          <t>SALA</t>
        </is>
      </c>
      <c r="G500" t="n">
        <v>3.3</v>
      </c>
      <c r="H500" t="n">
        <v>0</v>
      </c>
      <c r="I500" t="n">
        <v>0</v>
      </c>
      <c r="J500" t="n">
        <v>0</v>
      </c>
      <c r="K500" t="n">
        <v>0</v>
      </c>
      <c r="L500" t="n">
        <v>0</v>
      </c>
      <c r="M500" t="n">
        <v>0</v>
      </c>
      <c r="N500" t="n">
        <v>0</v>
      </c>
      <c r="O500" t="n">
        <v>0</v>
      </c>
      <c r="P500" t="n">
        <v>0</v>
      </c>
      <c r="Q500" t="n">
        <v>0</v>
      </c>
      <c r="R500" s="2" t="inlineStr"/>
    </row>
    <row r="501" ht="15" customHeight="1">
      <c r="A501" t="inlineStr">
        <is>
          <t>A 57404-2024</t>
        </is>
      </c>
      <c r="B501" s="1" t="n">
        <v>45629.71967592592</v>
      </c>
      <c r="C501" s="1" t="n">
        <v>46079</v>
      </c>
      <c r="D501" t="inlineStr">
        <is>
          <t>VÄSTMANLANDS LÄN</t>
        </is>
      </c>
      <c r="E501" t="inlineStr">
        <is>
          <t>SALA</t>
        </is>
      </c>
      <c r="G501" t="n">
        <v>0.3</v>
      </c>
      <c r="H501" t="n">
        <v>0</v>
      </c>
      <c r="I501" t="n">
        <v>0</v>
      </c>
      <c r="J501" t="n">
        <v>0</v>
      </c>
      <c r="K501" t="n">
        <v>0</v>
      </c>
      <c r="L501" t="n">
        <v>0</v>
      </c>
      <c r="M501" t="n">
        <v>0</v>
      </c>
      <c r="N501" t="n">
        <v>0</v>
      </c>
      <c r="O501" t="n">
        <v>0</v>
      </c>
      <c r="P501" t="n">
        <v>0</v>
      </c>
      <c r="Q501" t="n">
        <v>0</v>
      </c>
      <c r="R501" s="2" t="inlineStr"/>
    </row>
    <row r="502" ht="15" customHeight="1">
      <c r="A502" t="inlineStr">
        <is>
          <t>A 45371-2025</t>
        </is>
      </c>
      <c r="B502" s="1" t="n">
        <v>45922.39001157408</v>
      </c>
      <c r="C502" s="1" t="n">
        <v>46079</v>
      </c>
      <c r="D502" t="inlineStr">
        <is>
          <t>VÄSTMANLANDS LÄN</t>
        </is>
      </c>
      <c r="E502" t="inlineStr">
        <is>
          <t>SALA</t>
        </is>
      </c>
      <c r="G502" t="n">
        <v>2.1</v>
      </c>
      <c r="H502" t="n">
        <v>0</v>
      </c>
      <c r="I502" t="n">
        <v>0</v>
      </c>
      <c r="J502" t="n">
        <v>0</v>
      </c>
      <c r="K502" t="n">
        <v>0</v>
      </c>
      <c r="L502" t="n">
        <v>0</v>
      </c>
      <c r="M502" t="n">
        <v>0</v>
      </c>
      <c r="N502" t="n">
        <v>0</v>
      </c>
      <c r="O502" t="n">
        <v>0</v>
      </c>
      <c r="P502" t="n">
        <v>0</v>
      </c>
      <c r="Q502" t="n">
        <v>0</v>
      </c>
      <c r="R502" s="2" t="inlineStr"/>
    </row>
    <row r="503" ht="15" customHeight="1">
      <c r="A503" t="inlineStr">
        <is>
          <t>A 45177-2025</t>
        </is>
      </c>
      <c r="B503" s="1" t="n">
        <v>45919.52444444445</v>
      </c>
      <c r="C503" s="1" t="n">
        <v>46079</v>
      </c>
      <c r="D503" t="inlineStr">
        <is>
          <t>VÄSTMANLANDS LÄN</t>
        </is>
      </c>
      <c r="E503" t="inlineStr">
        <is>
          <t>SALA</t>
        </is>
      </c>
      <c r="G503" t="n">
        <v>2.4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44708.48194444444</v>
      </c>
      <c r="C504" s="1" t="n">
        <v>46079</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17866-2025</t>
        </is>
      </c>
      <c r="B505" s="1" t="n">
        <v>45758</v>
      </c>
      <c r="C505" s="1" t="n">
        <v>46079</v>
      </c>
      <c r="D505" t="inlineStr">
        <is>
          <t>VÄSTMANLANDS LÄN</t>
        </is>
      </c>
      <c r="E505" t="inlineStr">
        <is>
          <t>SALA</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33732-2023</t>
        </is>
      </c>
      <c r="B506" s="1" t="n">
        <v>45133.32409722222</v>
      </c>
      <c r="C506" s="1" t="n">
        <v>46079</v>
      </c>
      <c r="D506" t="inlineStr">
        <is>
          <t>VÄSTMANLANDS LÄN</t>
        </is>
      </c>
      <c r="E506" t="inlineStr">
        <is>
          <t>SALA</t>
        </is>
      </c>
      <c r="G506" t="n">
        <v>2</v>
      </c>
      <c r="H506" t="n">
        <v>0</v>
      </c>
      <c r="I506" t="n">
        <v>0</v>
      </c>
      <c r="J506" t="n">
        <v>0</v>
      </c>
      <c r="K506" t="n">
        <v>0</v>
      </c>
      <c r="L506" t="n">
        <v>0</v>
      </c>
      <c r="M506" t="n">
        <v>0</v>
      </c>
      <c r="N506" t="n">
        <v>0</v>
      </c>
      <c r="O506" t="n">
        <v>0</v>
      </c>
      <c r="P506" t="n">
        <v>0</v>
      </c>
      <c r="Q506" t="n">
        <v>0</v>
      </c>
      <c r="R506" s="2" t="inlineStr"/>
    </row>
    <row r="507" ht="15" customHeight="1">
      <c r="A507" t="inlineStr">
        <is>
          <t>A 45914-2025</t>
        </is>
      </c>
      <c r="B507" s="1" t="n">
        <v>45923.82582175926</v>
      </c>
      <c r="C507" s="1" t="n">
        <v>46079</v>
      </c>
      <c r="D507" t="inlineStr">
        <is>
          <t>VÄSTMANLANDS LÄN</t>
        </is>
      </c>
      <c r="E507" t="inlineStr">
        <is>
          <t>SALA</t>
        </is>
      </c>
      <c r="F507" t="inlineStr">
        <is>
          <t>Kommuner</t>
        </is>
      </c>
      <c r="G507" t="n">
        <v>18.2</v>
      </c>
      <c r="H507" t="n">
        <v>0</v>
      </c>
      <c r="I507" t="n">
        <v>0</v>
      </c>
      <c r="J507" t="n">
        <v>0</v>
      </c>
      <c r="K507" t="n">
        <v>0</v>
      </c>
      <c r="L507" t="n">
        <v>0</v>
      </c>
      <c r="M507" t="n">
        <v>0</v>
      </c>
      <c r="N507" t="n">
        <v>0</v>
      </c>
      <c r="O507" t="n">
        <v>0</v>
      </c>
      <c r="P507" t="n">
        <v>0</v>
      </c>
      <c r="Q507" t="n">
        <v>0</v>
      </c>
      <c r="R507" s="2" t="inlineStr"/>
    </row>
    <row r="508" ht="15" customHeight="1">
      <c r="A508" t="inlineStr">
        <is>
          <t>A 7166-2025</t>
        </is>
      </c>
      <c r="B508" s="1" t="n">
        <v>45702</v>
      </c>
      <c r="C508" s="1" t="n">
        <v>46079</v>
      </c>
      <c r="D508" t="inlineStr">
        <is>
          <t>VÄSTMANLANDS LÄN</t>
        </is>
      </c>
      <c r="E508" t="inlineStr">
        <is>
          <t>SALA</t>
        </is>
      </c>
      <c r="G508" t="n">
        <v>6.1</v>
      </c>
      <c r="H508" t="n">
        <v>0</v>
      </c>
      <c r="I508" t="n">
        <v>0</v>
      </c>
      <c r="J508" t="n">
        <v>0</v>
      </c>
      <c r="K508" t="n">
        <v>0</v>
      </c>
      <c r="L508" t="n">
        <v>0</v>
      </c>
      <c r="M508" t="n">
        <v>0</v>
      </c>
      <c r="N508" t="n">
        <v>0</v>
      </c>
      <c r="O508" t="n">
        <v>0</v>
      </c>
      <c r="P508" t="n">
        <v>0</v>
      </c>
      <c r="Q508" t="n">
        <v>0</v>
      </c>
      <c r="R508" s="2" t="inlineStr"/>
    </row>
    <row r="509" ht="15" customHeight="1">
      <c r="A509" t="inlineStr">
        <is>
          <t>A 45909-2025</t>
        </is>
      </c>
      <c r="B509" s="1" t="n">
        <v>45923.75078703704</v>
      </c>
      <c r="C509" s="1" t="n">
        <v>46079</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44857-2023</t>
        </is>
      </c>
      <c r="B510" s="1" t="n">
        <v>45190.58479166667</v>
      </c>
      <c r="C510" s="1" t="n">
        <v>46079</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46352-2023</t>
        </is>
      </c>
      <c r="B511" s="1" t="n">
        <v>45192</v>
      </c>
      <c r="C511" s="1" t="n">
        <v>46079</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46597-2025</t>
        </is>
      </c>
      <c r="B512" s="1" t="n">
        <v>45926.40113425926</v>
      </c>
      <c r="C512" s="1" t="n">
        <v>46079</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22397-2022</t>
        </is>
      </c>
      <c r="B513" s="1" t="n">
        <v>44713</v>
      </c>
      <c r="C513" s="1" t="n">
        <v>46079</v>
      </c>
      <c r="D513" t="inlineStr">
        <is>
          <t>VÄSTMANLANDS LÄN</t>
        </is>
      </c>
      <c r="E513" t="inlineStr">
        <is>
          <t>SALA</t>
        </is>
      </c>
      <c r="G513" t="n">
        <v>2.1</v>
      </c>
      <c r="H513" t="n">
        <v>0</v>
      </c>
      <c r="I513" t="n">
        <v>0</v>
      </c>
      <c r="J513" t="n">
        <v>0</v>
      </c>
      <c r="K513" t="n">
        <v>0</v>
      </c>
      <c r="L513" t="n">
        <v>0</v>
      </c>
      <c r="M513" t="n">
        <v>0</v>
      </c>
      <c r="N513" t="n">
        <v>0</v>
      </c>
      <c r="O513" t="n">
        <v>0</v>
      </c>
      <c r="P513" t="n">
        <v>0</v>
      </c>
      <c r="Q513" t="n">
        <v>0</v>
      </c>
      <c r="R513" s="2" t="inlineStr"/>
    </row>
    <row r="514" ht="15" customHeight="1">
      <c r="A514" t="inlineStr">
        <is>
          <t>A 27424-2023</t>
        </is>
      </c>
      <c r="B514" s="1" t="n">
        <v>45097.37690972222</v>
      </c>
      <c r="C514" s="1" t="n">
        <v>46079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26661-2025</t>
        </is>
      </c>
      <c r="B515" s="1" t="n">
        <v>45810</v>
      </c>
      <c r="C515" s="1" t="n">
        <v>46079</v>
      </c>
      <c r="D515" t="inlineStr">
        <is>
          <t>VÄSTMANLANDS LÄN</t>
        </is>
      </c>
      <c r="E515" t="inlineStr">
        <is>
          <t>SALA</t>
        </is>
      </c>
      <c r="G515" t="n">
        <v>3.5</v>
      </c>
      <c r="H515" t="n">
        <v>0</v>
      </c>
      <c r="I515" t="n">
        <v>0</v>
      </c>
      <c r="J515" t="n">
        <v>0</v>
      </c>
      <c r="K515" t="n">
        <v>0</v>
      </c>
      <c r="L515" t="n">
        <v>0</v>
      </c>
      <c r="M515" t="n">
        <v>0</v>
      </c>
      <c r="N515" t="n">
        <v>0</v>
      </c>
      <c r="O515" t="n">
        <v>0</v>
      </c>
      <c r="P515" t="n">
        <v>0</v>
      </c>
      <c r="Q515" t="n">
        <v>0</v>
      </c>
      <c r="R515" s="2" t="inlineStr"/>
    </row>
    <row r="516" ht="15" customHeight="1">
      <c r="A516" t="inlineStr">
        <is>
          <t>A 7469-2025</t>
        </is>
      </c>
      <c r="B516" s="1" t="n">
        <v>45705</v>
      </c>
      <c r="C516" s="1" t="n">
        <v>46079</v>
      </c>
      <c r="D516" t="inlineStr">
        <is>
          <t>VÄSTMANLANDS LÄN</t>
        </is>
      </c>
      <c r="E516" t="inlineStr">
        <is>
          <t>SALA</t>
        </is>
      </c>
      <c r="G516" t="n">
        <v>2.1</v>
      </c>
      <c r="H516" t="n">
        <v>0</v>
      </c>
      <c r="I516" t="n">
        <v>0</v>
      </c>
      <c r="J516" t="n">
        <v>0</v>
      </c>
      <c r="K516" t="n">
        <v>0</v>
      </c>
      <c r="L516" t="n">
        <v>0</v>
      </c>
      <c r="M516" t="n">
        <v>0</v>
      </c>
      <c r="N516" t="n">
        <v>0</v>
      </c>
      <c r="O516" t="n">
        <v>0</v>
      </c>
      <c r="P516" t="n">
        <v>0</v>
      </c>
      <c r="Q516" t="n">
        <v>0</v>
      </c>
      <c r="R516" s="2" t="inlineStr"/>
    </row>
    <row r="517" ht="15" customHeight="1">
      <c r="A517" t="inlineStr">
        <is>
          <t>A 46661-2025</t>
        </is>
      </c>
      <c r="B517" s="1" t="n">
        <v>45926</v>
      </c>
      <c r="C517" s="1" t="n">
        <v>46079</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6691-2025</t>
        </is>
      </c>
      <c r="B518" s="1" t="n">
        <v>45700.50625</v>
      </c>
      <c r="C518" s="1" t="n">
        <v>46079</v>
      </c>
      <c r="D518" t="inlineStr">
        <is>
          <t>VÄSTMANLANDS LÄN</t>
        </is>
      </c>
      <c r="E518" t="inlineStr">
        <is>
          <t>SALA</t>
        </is>
      </c>
      <c r="G518" t="n">
        <v>2.1</v>
      </c>
      <c r="H518" t="n">
        <v>0</v>
      </c>
      <c r="I518" t="n">
        <v>0</v>
      </c>
      <c r="J518" t="n">
        <v>0</v>
      </c>
      <c r="K518" t="n">
        <v>0</v>
      </c>
      <c r="L518" t="n">
        <v>0</v>
      </c>
      <c r="M518" t="n">
        <v>0</v>
      </c>
      <c r="N518" t="n">
        <v>0</v>
      </c>
      <c r="O518" t="n">
        <v>0</v>
      </c>
      <c r="P518" t="n">
        <v>0</v>
      </c>
      <c r="Q518" t="n">
        <v>0</v>
      </c>
      <c r="R518" s="2" t="inlineStr"/>
    </row>
    <row r="519" ht="15" customHeight="1">
      <c r="A519" t="inlineStr">
        <is>
          <t>A 60036-2024</t>
        </is>
      </c>
      <c r="B519" s="1" t="n">
        <v>45642.46434027778</v>
      </c>
      <c r="C519" s="1" t="n">
        <v>46079</v>
      </c>
      <c r="D519" t="inlineStr">
        <is>
          <t>VÄSTMANLANDS LÄN</t>
        </is>
      </c>
      <c r="E519" t="inlineStr">
        <is>
          <t>SALA</t>
        </is>
      </c>
      <c r="G519" t="n">
        <v>2.5</v>
      </c>
      <c r="H519" t="n">
        <v>0</v>
      </c>
      <c r="I519" t="n">
        <v>0</v>
      </c>
      <c r="J519" t="n">
        <v>0</v>
      </c>
      <c r="K519" t="n">
        <v>0</v>
      </c>
      <c r="L519" t="n">
        <v>0</v>
      </c>
      <c r="M519" t="n">
        <v>0</v>
      </c>
      <c r="N519" t="n">
        <v>0</v>
      </c>
      <c r="O519" t="n">
        <v>0</v>
      </c>
      <c r="P519" t="n">
        <v>0</v>
      </c>
      <c r="Q519" t="n">
        <v>0</v>
      </c>
      <c r="R519" s="2" t="inlineStr"/>
    </row>
    <row r="520" ht="15" customHeight="1">
      <c r="A520" t="inlineStr">
        <is>
          <t>A 46915-2025</t>
        </is>
      </c>
      <c r="B520" s="1" t="n">
        <v>45929.42114583333</v>
      </c>
      <c r="C520" s="1" t="n">
        <v>46079</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48057-2025</t>
        </is>
      </c>
      <c r="B521" s="1" t="n">
        <v>45932.67947916667</v>
      </c>
      <c r="C521" s="1" t="n">
        <v>46079</v>
      </c>
      <c r="D521" t="inlineStr">
        <is>
          <t>VÄSTMANLANDS LÄN</t>
        </is>
      </c>
      <c r="E521" t="inlineStr">
        <is>
          <t>SALA</t>
        </is>
      </c>
      <c r="G521" t="n">
        <v>4.3</v>
      </c>
      <c r="H521" t="n">
        <v>0</v>
      </c>
      <c r="I521" t="n">
        <v>0</v>
      </c>
      <c r="J521" t="n">
        <v>0</v>
      </c>
      <c r="K521" t="n">
        <v>0</v>
      </c>
      <c r="L521" t="n">
        <v>0</v>
      </c>
      <c r="M521" t="n">
        <v>0</v>
      </c>
      <c r="N521" t="n">
        <v>0</v>
      </c>
      <c r="O521" t="n">
        <v>0</v>
      </c>
      <c r="P521" t="n">
        <v>0</v>
      </c>
      <c r="Q521" t="n">
        <v>0</v>
      </c>
      <c r="R521" s="2" t="inlineStr"/>
    </row>
    <row r="522" ht="15" customHeight="1">
      <c r="A522" t="inlineStr">
        <is>
          <t>A 47577-2025</t>
        </is>
      </c>
      <c r="B522" s="1" t="n">
        <v>45931.4047337963</v>
      </c>
      <c r="C522" s="1" t="n">
        <v>46079</v>
      </c>
      <c r="D522" t="inlineStr">
        <is>
          <t>VÄSTMANLANDS LÄN</t>
        </is>
      </c>
      <c r="E522" t="inlineStr">
        <is>
          <t>SALA</t>
        </is>
      </c>
      <c r="G522" t="n">
        <v>3.7</v>
      </c>
      <c r="H522" t="n">
        <v>0</v>
      </c>
      <c r="I522" t="n">
        <v>0</v>
      </c>
      <c r="J522" t="n">
        <v>0</v>
      </c>
      <c r="K522" t="n">
        <v>0</v>
      </c>
      <c r="L522" t="n">
        <v>0</v>
      </c>
      <c r="M522" t="n">
        <v>0</v>
      </c>
      <c r="N522" t="n">
        <v>0</v>
      </c>
      <c r="O522" t="n">
        <v>0</v>
      </c>
      <c r="P522" t="n">
        <v>0</v>
      </c>
      <c r="Q522" t="n">
        <v>0</v>
      </c>
      <c r="R522" s="2" t="inlineStr"/>
    </row>
    <row r="523" ht="15" customHeight="1">
      <c r="A523" t="inlineStr">
        <is>
          <t>A 43188-2023</t>
        </is>
      </c>
      <c r="B523" s="1" t="n">
        <v>45183</v>
      </c>
      <c r="C523" s="1" t="n">
        <v>46079</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43205-2023</t>
        </is>
      </c>
      <c r="B524" s="1" t="n">
        <v>45183</v>
      </c>
      <c r="C524" s="1" t="n">
        <v>46079</v>
      </c>
      <c r="D524" t="inlineStr">
        <is>
          <t>VÄSTMANLANDS LÄN</t>
        </is>
      </c>
      <c r="E524" t="inlineStr">
        <is>
          <t>SALA</t>
        </is>
      </c>
      <c r="G524" t="n">
        <v>2.1</v>
      </c>
      <c r="H524" t="n">
        <v>0</v>
      </c>
      <c r="I524" t="n">
        <v>0</v>
      </c>
      <c r="J524" t="n">
        <v>0</v>
      </c>
      <c r="K524" t="n">
        <v>0</v>
      </c>
      <c r="L524" t="n">
        <v>0</v>
      </c>
      <c r="M524" t="n">
        <v>0</v>
      </c>
      <c r="N524" t="n">
        <v>0</v>
      </c>
      <c r="O524" t="n">
        <v>0</v>
      </c>
      <c r="P524" t="n">
        <v>0</v>
      </c>
      <c r="Q524" t="n">
        <v>0</v>
      </c>
      <c r="R524" s="2" t="inlineStr"/>
    </row>
    <row r="525" ht="15" customHeight="1">
      <c r="A525" t="inlineStr">
        <is>
          <t>A 28193-2025</t>
        </is>
      </c>
      <c r="B525" s="1" t="n">
        <v>45818.425625</v>
      </c>
      <c r="C525" s="1" t="n">
        <v>46079</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28827-2022</t>
        </is>
      </c>
      <c r="B526" s="1" t="n">
        <v>44749.45561342593</v>
      </c>
      <c r="C526" s="1" t="n">
        <v>46079</v>
      </c>
      <c r="D526" t="inlineStr">
        <is>
          <t>VÄSTMANLANDS LÄN</t>
        </is>
      </c>
      <c r="E526" t="inlineStr">
        <is>
          <t>SALA</t>
        </is>
      </c>
      <c r="F526" t="inlineStr">
        <is>
          <t>Kommuner</t>
        </is>
      </c>
      <c r="G526" t="n">
        <v>11.9</v>
      </c>
      <c r="H526" t="n">
        <v>0</v>
      </c>
      <c r="I526" t="n">
        <v>0</v>
      </c>
      <c r="J526" t="n">
        <v>0</v>
      </c>
      <c r="K526" t="n">
        <v>0</v>
      </c>
      <c r="L526" t="n">
        <v>0</v>
      </c>
      <c r="M526" t="n">
        <v>0</v>
      </c>
      <c r="N526" t="n">
        <v>0</v>
      </c>
      <c r="O526" t="n">
        <v>0</v>
      </c>
      <c r="P526" t="n">
        <v>0</v>
      </c>
      <c r="Q526" t="n">
        <v>0</v>
      </c>
      <c r="R526" s="2" t="inlineStr"/>
    </row>
    <row r="527" ht="15" customHeight="1">
      <c r="A527" t="inlineStr">
        <is>
          <t>A 27981-2025</t>
        </is>
      </c>
      <c r="B527" s="1" t="n">
        <v>45817.57471064815</v>
      </c>
      <c r="C527" s="1" t="n">
        <v>46079</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28278-2025</t>
        </is>
      </c>
      <c r="B528" s="1" t="n">
        <v>45818.58454861111</v>
      </c>
      <c r="C528" s="1" t="n">
        <v>46079</v>
      </c>
      <c r="D528" t="inlineStr">
        <is>
          <t>VÄSTMANLANDS LÄN</t>
        </is>
      </c>
      <c r="E528" t="inlineStr">
        <is>
          <t>SALA</t>
        </is>
      </c>
      <c r="G528" t="n">
        <v>7.6</v>
      </c>
      <c r="H528" t="n">
        <v>0</v>
      </c>
      <c r="I528" t="n">
        <v>0</v>
      </c>
      <c r="J528" t="n">
        <v>0</v>
      </c>
      <c r="K528" t="n">
        <v>0</v>
      </c>
      <c r="L528" t="n">
        <v>0</v>
      </c>
      <c r="M528" t="n">
        <v>0</v>
      </c>
      <c r="N528" t="n">
        <v>0</v>
      </c>
      <c r="O528" t="n">
        <v>0</v>
      </c>
      <c r="P528" t="n">
        <v>0</v>
      </c>
      <c r="Q528" t="n">
        <v>0</v>
      </c>
      <c r="R528" s="2" t="inlineStr"/>
    </row>
    <row r="529" ht="15" customHeight="1">
      <c r="A529" t="inlineStr">
        <is>
          <t>A 15756-2025</t>
        </is>
      </c>
      <c r="B529" s="1" t="n">
        <v>45748.56810185185</v>
      </c>
      <c r="C529" s="1" t="n">
        <v>46079</v>
      </c>
      <c r="D529" t="inlineStr">
        <is>
          <t>VÄSTMANLANDS LÄN</t>
        </is>
      </c>
      <c r="E529" t="inlineStr">
        <is>
          <t>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19243-2025</t>
        </is>
      </c>
      <c r="B530" s="1" t="n">
        <v>45769</v>
      </c>
      <c r="C530" s="1" t="n">
        <v>46079</v>
      </c>
      <c r="D530" t="inlineStr">
        <is>
          <t>VÄSTMANLANDS LÄN</t>
        </is>
      </c>
      <c r="E530" t="inlineStr">
        <is>
          <t>SALA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27989-2025</t>
        </is>
      </c>
      <c r="B531" s="1" t="n">
        <v>45817.58716435185</v>
      </c>
      <c r="C531" s="1" t="n">
        <v>46079</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48710-2025</t>
        </is>
      </c>
      <c r="B532" s="1" t="n">
        <v>45936.63184027778</v>
      </c>
      <c r="C532" s="1" t="n">
        <v>46079</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59297-2023</t>
        </is>
      </c>
      <c r="B533" s="1" t="n">
        <v>45253</v>
      </c>
      <c r="C533" s="1" t="n">
        <v>46079</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28284-2025</t>
        </is>
      </c>
      <c r="B534" s="1" t="n">
        <v>45818.58893518519</v>
      </c>
      <c r="C534" s="1" t="n">
        <v>46079</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6136-2025</t>
        </is>
      </c>
      <c r="B535" s="1" t="n">
        <v>45698.37601851852</v>
      </c>
      <c r="C535" s="1" t="n">
        <v>46079</v>
      </c>
      <c r="D535" t="inlineStr">
        <is>
          <t>VÄSTMANLANDS LÄN</t>
        </is>
      </c>
      <c r="E535" t="inlineStr">
        <is>
          <t>SALA</t>
        </is>
      </c>
      <c r="F535" t="inlineStr">
        <is>
          <t>Bergvik skog öst AB</t>
        </is>
      </c>
      <c r="G535" t="n">
        <v>2.2</v>
      </c>
      <c r="H535" t="n">
        <v>0</v>
      </c>
      <c r="I535" t="n">
        <v>0</v>
      </c>
      <c r="J535" t="n">
        <v>0</v>
      </c>
      <c r="K535" t="n">
        <v>0</v>
      </c>
      <c r="L535" t="n">
        <v>0</v>
      </c>
      <c r="M535" t="n">
        <v>0</v>
      </c>
      <c r="N535" t="n">
        <v>0</v>
      </c>
      <c r="O535" t="n">
        <v>0</v>
      </c>
      <c r="P535" t="n">
        <v>0</v>
      </c>
      <c r="Q535" t="n">
        <v>0</v>
      </c>
      <c r="R535" s="2" t="inlineStr"/>
    </row>
    <row r="536" ht="15" customHeight="1">
      <c r="A536" t="inlineStr">
        <is>
          <t>A 6190-2025</t>
        </is>
      </c>
      <c r="B536" s="1" t="n">
        <v>45698</v>
      </c>
      <c r="C536" s="1" t="n">
        <v>46079</v>
      </c>
      <c r="D536" t="inlineStr">
        <is>
          <t>VÄSTMANLANDS LÄN</t>
        </is>
      </c>
      <c r="E536" t="inlineStr">
        <is>
          <t>SALA</t>
        </is>
      </c>
      <c r="F536" t="inlineStr">
        <is>
          <t>Bergvik skog öst AB</t>
        </is>
      </c>
      <c r="G536" t="n">
        <v>4.6</v>
      </c>
      <c r="H536" t="n">
        <v>0</v>
      </c>
      <c r="I536" t="n">
        <v>0</v>
      </c>
      <c r="J536" t="n">
        <v>0</v>
      </c>
      <c r="K536" t="n">
        <v>0</v>
      </c>
      <c r="L536" t="n">
        <v>0</v>
      </c>
      <c r="M536" t="n">
        <v>0</v>
      </c>
      <c r="N536" t="n">
        <v>0</v>
      </c>
      <c r="O536" t="n">
        <v>0</v>
      </c>
      <c r="P536" t="n">
        <v>0</v>
      </c>
      <c r="Q536" t="n">
        <v>0</v>
      </c>
      <c r="R536" s="2" t="inlineStr"/>
    </row>
    <row r="537" ht="15" customHeight="1">
      <c r="A537" t="inlineStr">
        <is>
          <t>A 28632-2025</t>
        </is>
      </c>
      <c r="B537" s="1" t="n">
        <v>45819.62344907408</v>
      </c>
      <c r="C537" s="1" t="n">
        <v>46079</v>
      </c>
      <c r="D537" t="inlineStr">
        <is>
          <t>VÄSTMANLANDS LÄN</t>
        </is>
      </c>
      <c r="E537" t="inlineStr">
        <is>
          <t>SALA</t>
        </is>
      </c>
      <c r="F537" t="inlineStr">
        <is>
          <t>Sveaskog</t>
        </is>
      </c>
      <c r="G537" t="n">
        <v>2.4</v>
      </c>
      <c r="H537" t="n">
        <v>0</v>
      </c>
      <c r="I537" t="n">
        <v>0</v>
      </c>
      <c r="J537" t="n">
        <v>0</v>
      </c>
      <c r="K537" t="n">
        <v>0</v>
      </c>
      <c r="L537" t="n">
        <v>0</v>
      </c>
      <c r="M537" t="n">
        <v>0</v>
      </c>
      <c r="N537" t="n">
        <v>0</v>
      </c>
      <c r="O537" t="n">
        <v>0</v>
      </c>
      <c r="P537" t="n">
        <v>0</v>
      </c>
      <c r="Q537" t="n">
        <v>0</v>
      </c>
      <c r="R537" s="2" t="inlineStr"/>
    </row>
    <row r="538" ht="15" customHeight="1">
      <c r="A538" t="inlineStr">
        <is>
          <t>A 28863-2022</t>
        </is>
      </c>
      <c r="B538" s="1" t="n">
        <v>44749.50649305555</v>
      </c>
      <c r="C538" s="1" t="n">
        <v>46079</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28628-2025</t>
        </is>
      </c>
      <c r="B539" s="1" t="n">
        <v>45819.62158564815</v>
      </c>
      <c r="C539" s="1" t="n">
        <v>46079</v>
      </c>
      <c r="D539" t="inlineStr">
        <is>
          <t>VÄSTMANLANDS LÄN</t>
        </is>
      </c>
      <c r="E539" t="inlineStr">
        <is>
          <t>SALA</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28630-2025</t>
        </is>
      </c>
      <c r="B540" s="1" t="n">
        <v>45819.62274305556</v>
      </c>
      <c r="C540" s="1" t="n">
        <v>46079</v>
      </c>
      <c r="D540" t="inlineStr">
        <is>
          <t>VÄSTMANLANDS LÄN</t>
        </is>
      </c>
      <c r="E540" t="inlineStr">
        <is>
          <t>SALA</t>
        </is>
      </c>
      <c r="F540" t="inlineStr">
        <is>
          <t>Sveaskog</t>
        </is>
      </c>
      <c r="G540" t="n">
        <v>9</v>
      </c>
      <c r="H540" t="n">
        <v>0</v>
      </c>
      <c r="I540" t="n">
        <v>0</v>
      </c>
      <c r="J540" t="n">
        <v>0</v>
      </c>
      <c r="K540" t="n">
        <v>0</v>
      </c>
      <c r="L540" t="n">
        <v>0</v>
      </c>
      <c r="M540" t="n">
        <v>0</v>
      </c>
      <c r="N540" t="n">
        <v>0</v>
      </c>
      <c r="O540" t="n">
        <v>0</v>
      </c>
      <c r="P540" t="n">
        <v>0</v>
      </c>
      <c r="Q540" t="n">
        <v>0</v>
      </c>
      <c r="R540" s="2" t="inlineStr"/>
    </row>
    <row r="541" ht="15" customHeight="1">
      <c r="A541" t="inlineStr">
        <is>
          <t>A 28837-2025</t>
        </is>
      </c>
      <c r="B541" s="1" t="n">
        <v>45820.56243055555</v>
      </c>
      <c r="C541" s="1" t="n">
        <v>46079</v>
      </c>
      <c r="D541" t="inlineStr">
        <is>
          <t>VÄSTMANLANDS LÄN</t>
        </is>
      </c>
      <c r="E541" t="inlineStr">
        <is>
          <t>SALA</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28849-2025</t>
        </is>
      </c>
      <c r="B542" s="1" t="n">
        <v>45820</v>
      </c>
      <c r="C542" s="1" t="n">
        <v>46079</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29085-2025</t>
        </is>
      </c>
      <c r="B543" s="1" t="n">
        <v>45821</v>
      </c>
      <c r="C543" s="1" t="n">
        <v>46079</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25541-2024</t>
        </is>
      </c>
      <c r="B544" s="1" t="n">
        <v>45463.56337962963</v>
      </c>
      <c r="C544" s="1" t="n">
        <v>46079</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48910-2025</t>
        </is>
      </c>
      <c r="B545" s="1" t="n">
        <v>45937.48649305556</v>
      </c>
      <c r="C545" s="1" t="n">
        <v>46079</v>
      </c>
      <c r="D545" t="inlineStr">
        <is>
          <t>VÄSTMANLANDS LÄN</t>
        </is>
      </c>
      <c r="E545" t="inlineStr">
        <is>
          <t>SALA</t>
        </is>
      </c>
      <c r="G545" t="n">
        <v>7.8</v>
      </c>
      <c r="H545" t="n">
        <v>0</v>
      </c>
      <c r="I545" t="n">
        <v>0</v>
      </c>
      <c r="J545" t="n">
        <v>0</v>
      </c>
      <c r="K545" t="n">
        <v>0</v>
      </c>
      <c r="L545" t="n">
        <v>0</v>
      </c>
      <c r="M545" t="n">
        <v>0</v>
      </c>
      <c r="N545" t="n">
        <v>0</v>
      </c>
      <c r="O545" t="n">
        <v>0</v>
      </c>
      <c r="P545" t="n">
        <v>0</v>
      </c>
      <c r="Q545" t="n">
        <v>0</v>
      </c>
      <c r="R545" s="2" t="inlineStr"/>
    </row>
    <row r="546" ht="15" customHeight="1">
      <c r="A546" t="inlineStr">
        <is>
          <t>A 49640-2025</t>
        </is>
      </c>
      <c r="B546" s="1" t="n">
        <v>45939.61459490741</v>
      </c>
      <c r="C546" s="1" t="n">
        <v>46079</v>
      </c>
      <c r="D546" t="inlineStr">
        <is>
          <t>VÄSTMANLANDS LÄN</t>
        </is>
      </c>
      <c r="E546" t="inlineStr">
        <is>
          <t>SALA</t>
        </is>
      </c>
      <c r="F546" t="inlineStr">
        <is>
          <t>Kommuner</t>
        </is>
      </c>
      <c r="G546" t="n">
        <v>18.8</v>
      </c>
      <c r="H546" t="n">
        <v>0</v>
      </c>
      <c r="I546" t="n">
        <v>0</v>
      </c>
      <c r="J546" t="n">
        <v>0</v>
      </c>
      <c r="K546" t="n">
        <v>0</v>
      </c>
      <c r="L546" t="n">
        <v>0</v>
      </c>
      <c r="M546" t="n">
        <v>0</v>
      </c>
      <c r="N546" t="n">
        <v>0</v>
      </c>
      <c r="O546" t="n">
        <v>0</v>
      </c>
      <c r="P546" t="n">
        <v>0</v>
      </c>
      <c r="Q546" t="n">
        <v>0</v>
      </c>
      <c r="R546" s="2" t="inlineStr"/>
    </row>
    <row r="547" ht="15" customHeight="1">
      <c r="A547" t="inlineStr">
        <is>
          <t>A 60541-2024</t>
        </is>
      </c>
      <c r="B547" s="1" t="n">
        <v>45643</v>
      </c>
      <c r="C547" s="1" t="n">
        <v>46079</v>
      </c>
      <c r="D547" t="inlineStr">
        <is>
          <t>VÄSTMANLANDS LÄN</t>
        </is>
      </c>
      <c r="E547" t="inlineStr">
        <is>
          <t>SALA</t>
        </is>
      </c>
      <c r="G547" t="n">
        <v>10.6</v>
      </c>
      <c r="H547" t="n">
        <v>0</v>
      </c>
      <c r="I547" t="n">
        <v>0</v>
      </c>
      <c r="J547" t="n">
        <v>0</v>
      </c>
      <c r="K547" t="n">
        <v>0</v>
      </c>
      <c r="L547" t="n">
        <v>0</v>
      </c>
      <c r="M547" t="n">
        <v>0</v>
      </c>
      <c r="N547" t="n">
        <v>0</v>
      </c>
      <c r="O547" t="n">
        <v>0</v>
      </c>
      <c r="P547" t="n">
        <v>0</v>
      </c>
      <c r="Q547" t="n">
        <v>0</v>
      </c>
      <c r="R547" s="2" t="inlineStr"/>
    </row>
    <row r="548" ht="15" customHeight="1">
      <c r="A548" t="inlineStr">
        <is>
          <t>A 29826-2025</t>
        </is>
      </c>
      <c r="B548" s="1" t="n">
        <v>45825.85761574074</v>
      </c>
      <c r="C548" s="1" t="n">
        <v>46079</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49585-2025</t>
        </is>
      </c>
      <c r="B549" s="1" t="n">
        <v>45939.5043287037</v>
      </c>
      <c r="C549" s="1" t="n">
        <v>46079</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29213-2022</t>
        </is>
      </c>
      <c r="B550" s="1" t="n">
        <v>44750.57474537037</v>
      </c>
      <c r="C550" s="1" t="n">
        <v>46079</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56964-2023</t>
        </is>
      </c>
      <c r="B551" s="1" t="n">
        <v>45244.63140046296</v>
      </c>
      <c r="C551" s="1" t="n">
        <v>46079</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29691-2025</t>
        </is>
      </c>
      <c r="B552" s="1" t="n">
        <v>45825.53645833334</v>
      </c>
      <c r="C552" s="1" t="n">
        <v>46079</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50128-2025</t>
        </is>
      </c>
      <c r="B553" s="1" t="n">
        <v>45943.55318287037</v>
      </c>
      <c r="C553" s="1" t="n">
        <v>46079</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50249-2025</t>
        </is>
      </c>
      <c r="B554" s="1" t="n">
        <v>45944.31508101852</v>
      </c>
      <c r="C554" s="1" t="n">
        <v>46079</v>
      </c>
      <c r="D554" t="inlineStr">
        <is>
          <t>VÄSTMANLANDS LÄN</t>
        </is>
      </c>
      <c r="E554" t="inlineStr">
        <is>
          <t>SALA</t>
        </is>
      </c>
      <c r="G554" t="n">
        <v>2.3</v>
      </c>
      <c r="H554" t="n">
        <v>0</v>
      </c>
      <c r="I554" t="n">
        <v>0</v>
      </c>
      <c r="J554" t="n">
        <v>0</v>
      </c>
      <c r="K554" t="n">
        <v>0</v>
      </c>
      <c r="L554" t="n">
        <v>0</v>
      </c>
      <c r="M554" t="n">
        <v>0</v>
      </c>
      <c r="N554" t="n">
        <v>0</v>
      </c>
      <c r="O554" t="n">
        <v>0</v>
      </c>
      <c r="P554" t="n">
        <v>0</v>
      </c>
      <c r="Q554" t="n">
        <v>0</v>
      </c>
      <c r="R554" s="2" t="inlineStr"/>
    </row>
    <row r="555" ht="15" customHeight="1">
      <c r="A555" t="inlineStr">
        <is>
          <t>A 50119-2025</t>
        </is>
      </c>
      <c r="B555" s="1" t="n">
        <v>45943.54883101852</v>
      </c>
      <c r="C555" s="1" t="n">
        <v>46079</v>
      </c>
      <c r="D555" t="inlineStr">
        <is>
          <t>VÄSTMANLANDS LÄN</t>
        </is>
      </c>
      <c r="E555" t="inlineStr">
        <is>
          <t>SALA</t>
        </is>
      </c>
      <c r="G555" t="n">
        <v>3.3</v>
      </c>
      <c r="H555" t="n">
        <v>0</v>
      </c>
      <c r="I555" t="n">
        <v>0</v>
      </c>
      <c r="J555" t="n">
        <v>0</v>
      </c>
      <c r="K555" t="n">
        <v>0</v>
      </c>
      <c r="L555" t="n">
        <v>0</v>
      </c>
      <c r="M555" t="n">
        <v>0</v>
      </c>
      <c r="N555" t="n">
        <v>0</v>
      </c>
      <c r="O555" t="n">
        <v>0</v>
      </c>
      <c r="P555" t="n">
        <v>0</v>
      </c>
      <c r="Q555" t="n">
        <v>0</v>
      </c>
      <c r="R555" s="2" t="inlineStr"/>
    </row>
    <row r="556" ht="15" customHeight="1">
      <c r="A556" t="inlineStr">
        <is>
          <t>A 50059-2025</t>
        </is>
      </c>
      <c r="B556" s="1" t="n">
        <v>45943.44125</v>
      </c>
      <c r="C556" s="1" t="n">
        <v>46079</v>
      </c>
      <c r="D556" t="inlineStr">
        <is>
          <t>VÄSTMANLANDS LÄN</t>
        </is>
      </c>
      <c r="E556" t="inlineStr">
        <is>
          <t>SALA</t>
        </is>
      </c>
      <c r="G556" t="n">
        <v>4.4</v>
      </c>
      <c r="H556" t="n">
        <v>0</v>
      </c>
      <c r="I556" t="n">
        <v>0</v>
      </c>
      <c r="J556" t="n">
        <v>0</v>
      </c>
      <c r="K556" t="n">
        <v>0</v>
      </c>
      <c r="L556" t="n">
        <v>0</v>
      </c>
      <c r="M556" t="n">
        <v>0</v>
      </c>
      <c r="N556" t="n">
        <v>0</v>
      </c>
      <c r="O556" t="n">
        <v>0</v>
      </c>
      <c r="P556" t="n">
        <v>0</v>
      </c>
      <c r="Q556" t="n">
        <v>0</v>
      </c>
      <c r="R556" s="2" t="inlineStr"/>
    </row>
    <row r="557" ht="15" customHeight="1">
      <c r="A557" t="inlineStr">
        <is>
          <t>A 1555-2024</t>
        </is>
      </c>
      <c r="B557" s="1" t="n">
        <v>45306</v>
      </c>
      <c r="C557" s="1" t="n">
        <v>46079</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13188-2025</t>
        </is>
      </c>
      <c r="B558" s="1" t="n">
        <v>45735.39246527778</v>
      </c>
      <c r="C558" s="1" t="n">
        <v>46079</v>
      </c>
      <c r="D558" t="inlineStr">
        <is>
          <t>VÄSTMANLANDS LÄN</t>
        </is>
      </c>
      <c r="E558" t="inlineStr">
        <is>
          <t>SALA</t>
        </is>
      </c>
      <c r="F558" t="inlineStr">
        <is>
          <t>Naturvårdsverket</t>
        </is>
      </c>
      <c r="G558" t="n">
        <v>18.4</v>
      </c>
      <c r="H558" t="n">
        <v>0</v>
      </c>
      <c r="I558" t="n">
        <v>0</v>
      </c>
      <c r="J558" t="n">
        <v>0</v>
      </c>
      <c r="K558" t="n">
        <v>0</v>
      </c>
      <c r="L558" t="n">
        <v>0</v>
      </c>
      <c r="M558" t="n">
        <v>0</v>
      </c>
      <c r="N558" t="n">
        <v>0</v>
      </c>
      <c r="O558" t="n">
        <v>0</v>
      </c>
      <c r="P558" t="n">
        <v>0</v>
      </c>
      <c r="Q558" t="n">
        <v>0</v>
      </c>
      <c r="R558" s="2" t="inlineStr"/>
    </row>
    <row r="559" ht="15" customHeight="1">
      <c r="A559" t="inlineStr">
        <is>
          <t>A 30874-2025</t>
        </is>
      </c>
      <c r="B559" s="1" t="n">
        <v>45832.34430555555</v>
      </c>
      <c r="C559" s="1" t="n">
        <v>46079</v>
      </c>
      <c r="D559" t="inlineStr">
        <is>
          <t>VÄSTMANLANDS LÄN</t>
        </is>
      </c>
      <c r="E559" t="inlineStr">
        <is>
          <t>SALA</t>
        </is>
      </c>
      <c r="G559" t="n">
        <v>8.4</v>
      </c>
      <c r="H559" t="n">
        <v>0</v>
      </c>
      <c r="I559" t="n">
        <v>0</v>
      </c>
      <c r="J559" t="n">
        <v>0</v>
      </c>
      <c r="K559" t="n">
        <v>0</v>
      </c>
      <c r="L559" t="n">
        <v>0</v>
      </c>
      <c r="M559" t="n">
        <v>0</v>
      </c>
      <c r="N559" t="n">
        <v>0</v>
      </c>
      <c r="O559" t="n">
        <v>0</v>
      </c>
      <c r="P559" t="n">
        <v>0</v>
      </c>
      <c r="Q559" t="n">
        <v>0</v>
      </c>
      <c r="R559" s="2" t="inlineStr"/>
    </row>
    <row r="560" ht="15" customHeight="1">
      <c r="A560" t="inlineStr">
        <is>
          <t>A 7197-2025</t>
        </is>
      </c>
      <c r="B560" s="1" t="n">
        <v>45702</v>
      </c>
      <c r="C560" s="1" t="n">
        <v>46079</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30899-2025</t>
        </is>
      </c>
      <c r="B561" s="1" t="n">
        <v>45832.35767361111</v>
      </c>
      <c r="C561" s="1" t="n">
        <v>46079</v>
      </c>
      <c r="D561" t="inlineStr">
        <is>
          <t>VÄSTMANLANDS LÄN</t>
        </is>
      </c>
      <c r="E561" t="inlineStr">
        <is>
          <t>SALA</t>
        </is>
      </c>
      <c r="G561" t="n">
        <v>3.1</v>
      </c>
      <c r="H561" t="n">
        <v>0</v>
      </c>
      <c r="I561" t="n">
        <v>0</v>
      </c>
      <c r="J561" t="n">
        <v>0</v>
      </c>
      <c r="K561" t="n">
        <v>0</v>
      </c>
      <c r="L561" t="n">
        <v>0</v>
      </c>
      <c r="M561" t="n">
        <v>0</v>
      </c>
      <c r="N561" t="n">
        <v>0</v>
      </c>
      <c r="O561" t="n">
        <v>0</v>
      </c>
      <c r="P561" t="n">
        <v>0</v>
      </c>
      <c r="Q561" t="n">
        <v>0</v>
      </c>
      <c r="R561" s="2" t="inlineStr"/>
    </row>
    <row r="562" ht="15" customHeight="1">
      <c r="A562" t="inlineStr">
        <is>
          <t>A 30866-2025</t>
        </is>
      </c>
      <c r="B562" s="1" t="n">
        <v>45832.3246875</v>
      </c>
      <c r="C562" s="1" t="n">
        <v>46079</v>
      </c>
      <c r="D562" t="inlineStr">
        <is>
          <t>VÄSTMANLANDS LÄN</t>
        </is>
      </c>
      <c r="E562" t="inlineStr">
        <is>
          <t>SALA</t>
        </is>
      </c>
      <c r="G562" t="n">
        <v>14.3</v>
      </c>
      <c r="H562" t="n">
        <v>0</v>
      </c>
      <c r="I562" t="n">
        <v>0</v>
      </c>
      <c r="J562" t="n">
        <v>0</v>
      </c>
      <c r="K562" t="n">
        <v>0</v>
      </c>
      <c r="L562" t="n">
        <v>0</v>
      </c>
      <c r="M562" t="n">
        <v>0</v>
      </c>
      <c r="N562" t="n">
        <v>0</v>
      </c>
      <c r="O562" t="n">
        <v>0</v>
      </c>
      <c r="P562" t="n">
        <v>0</v>
      </c>
      <c r="Q562" t="n">
        <v>0</v>
      </c>
      <c r="R562" s="2" t="inlineStr"/>
    </row>
    <row r="563" ht="15" customHeight="1">
      <c r="A563" t="inlineStr">
        <is>
          <t>A 31065-2025</t>
        </is>
      </c>
      <c r="B563" s="1" t="n">
        <v>45832.57571759259</v>
      </c>
      <c r="C563" s="1" t="n">
        <v>46079</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15099-2025</t>
        </is>
      </c>
      <c r="B564" s="1" t="n">
        <v>45744.3434837963</v>
      </c>
      <c r="C564" s="1" t="n">
        <v>46079</v>
      </c>
      <c r="D564" t="inlineStr">
        <is>
          <t>VÄSTMANLANDS LÄN</t>
        </is>
      </c>
      <c r="E564" t="inlineStr">
        <is>
          <t>SALA</t>
        </is>
      </c>
      <c r="F564" t="inlineStr">
        <is>
          <t>Sveaskog</t>
        </is>
      </c>
      <c r="G564" t="n">
        <v>14.4</v>
      </c>
      <c r="H564" t="n">
        <v>0</v>
      </c>
      <c r="I564" t="n">
        <v>0</v>
      </c>
      <c r="J564" t="n">
        <v>0</v>
      </c>
      <c r="K564" t="n">
        <v>0</v>
      </c>
      <c r="L564" t="n">
        <v>0</v>
      </c>
      <c r="M564" t="n">
        <v>0</v>
      </c>
      <c r="N564" t="n">
        <v>0</v>
      </c>
      <c r="O564" t="n">
        <v>0</v>
      </c>
      <c r="P564" t="n">
        <v>0</v>
      </c>
      <c r="Q564" t="n">
        <v>0</v>
      </c>
      <c r="R564" s="2" t="inlineStr"/>
    </row>
    <row r="565" ht="15" customHeight="1">
      <c r="A565" t="inlineStr">
        <is>
          <t>A 31612-2025</t>
        </is>
      </c>
      <c r="B565" s="1" t="n">
        <v>45833.80056712963</v>
      </c>
      <c r="C565" s="1" t="n">
        <v>46079</v>
      </c>
      <c r="D565" t="inlineStr">
        <is>
          <t>VÄSTMANLANDS LÄN</t>
        </is>
      </c>
      <c r="E565" t="inlineStr">
        <is>
          <t>SALA</t>
        </is>
      </c>
      <c r="G565" t="n">
        <v>6.3</v>
      </c>
      <c r="H565" t="n">
        <v>0</v>
      </c>
      <c r="I565" t="n">
        <v>0</v>
      </c>
      <c r="J565" t="n">
        <v>0</v>
      </c>
      <c r="K565" t="n">
        <v>0</v>
      </c>
      <c r="L565" t="n">
        <v>0</v>
      </c>
      <c r="M565" t="n">
        <v>0</v>
      </c>
      <c r="N565" t="n">
        <v>0</v>
      </c>
      <c r="O565" t="n">
        <v>0</v>
      </c>
      <c r="P565" t="n">
        <v>0</v>
      </c>
      <c r="Q565" t="n">
        <v>0</v>
      </c>
      <c r="R565" s="2" t="inlineStr"/>
    </row>
    <row r="566" ht="15" customHeight="1">
      <c r="A566" t="inlineStr">
        <is>
          <t>A 2928-2024</t>
        </is>
      </c>
      <c r="B566" s="1" t="n">
        <v>45315.59041666667</v>
      </c>
      <c r="C566" s="1" t="n">
        <v>46079</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31748-2025</t>
        </is>
      </c>
      <c r="B567" s="1" t="n">
        <v>45834</v>
      </c>
      <c r="C567" s="1" t="n">
        <v>46079</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31288-2025</t>
        </is>
      </c>
      <c r="B568" s="1" t="n">
        <v>45833</v>
      </c>
      <c r="C568" s="1" t="n">
        <v>46079</v>
      </c>
      <c r="D568" t="inlineStr">
        <is>
          <t>VÄSTMANLANDS LÄN</t>
        </is>
      </c>
      <c r="E568" t="inlineStr">
        <is>
          <t>SALA</t>
        </is>
      </c>
      <c r="G568" t="n">
        <v>3.1</v>
      </c>
      <c r="H568" t="n">
        <v>0</v>
      </c>
      <c r="I568" t="n">
        <v>0</v>
      </c>
      <c r="J568" t="n">
        <v>0</v>
      </c>
      <c r="K568" t="n">
        <v>0</v>
      </c>
      <c r="L568" t="n">
        <v>0</v>
      </c>
      <c r="M568" t="n">
        <v>0</v>
      </c>
      <c r="N568" t="n">
        <v>0</v>
      </c>
      <c r="O568" t="n">
        <v>0</v>
      </c>
      <c r="P568" t="n">
        <v>0</v>
      </c>
      <c r="Q568" t="n">
        <v>0</v>
      </c>
      <c r="R568" s="2" t="inlineStr"/>
    </row>
    <row r="569" ht="15" customHeight="1">
      <c r="A569" t="inlineStr">
        <is>
          <t>A 51626-2025</t>
        </is>
      </c>
      <c r="B569" s="1" t="n">
        <v>45951.41769675926</v>
      </c>
      <c r="C569" s="1" t="n">
        <v>46079</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51690-2025</t>
        </is>
      </c>
      <c r="B570" s="1" t="n">
        <v>45951.53462962963</v>
      </c>
      <c r="C570" s="1" t="n">
        <v>46079</v>
      </c>
      <c r="D570" t="inlineStr">
        <is>
          <t>VÄSTMANLANDS LÄN</t>
        </is>
      </c>
      <c r="E570" t="inlineStr">
        <is>
          <t>SALA</t>
        </is>
      </c>
      <c r="G570" t="n">
        <v>0.8</v>
      </c>
      <c r="H570" t="n">
        <v>0</v>
      </c>
      <c r="I570" t="n">
        <v>0</v>
      </c>
      <c r="J570" t="n">
        <v>0</v>
      </c>
      <c r="K570" t="n">
        <v>0</v>
      </c>
      <c r="L570" t="n">
        <v>0</v>
      </c>
      <c r="M570" t="n">
        <v>0</v>
      </c>
      <c r="N570" t="n">
        <v>0</v>
      </c>
      <c r="O570" t="n">
        <v>0</v>
      </c>
      <c r="P570" t="n">
        <v>0</v>
      </c>
      <c r="Q570" t="n">
        <v>0</v>
      </c>
      <c r="R570" s="2" t="inlineStr"/>
    </row>
    <row r="571" ht="15" customHeight="1">
      <c r="A571" t="inlineStr">
        <is>
          <t>A 31771-2025</t>
        </is>
      </c>
      <c r="B571" s="1" t="n">
        <v>45834.50910879629</v>
      </c>
      <c r="C571" s="1" t="n">
        <v>46079</v>
      </c>
      <c r="D571" t="inlineStr">
        <is>
          <t>VÄSTMANLANDS LÄN</t>
        </is>
      </c>
      <c r="E571" t="inlineStr">
        <is>
          <t>SALA</t>
        </is>
      </c>
      <c r="G571" t="n">
        <v>5.1</v>
      </c>
      <c r="H571" t="n">
        <v>0</v>
      </c>
      <c r="I571" t="n">
        <v>0</v>
      </c>
      <c r="J571" t="n">
        <v>0</v>
      </c>
      <c r="K571" t="n">
        <v>0</v>
      </c>
      <c r="L571" t="n">
        <v>0</v>
      </c>
      <c r="M571" t="n">
        <v>0</v>
      </c>
      <c r="N571" t="n">
        <v>0</v>
      </c>
      <c r="O571" t="n">
        <v>0</v>
      </c>
      <c r="P571" t="n">
        <v>0</v>
      </c>
      <c r="Q571" t="n">
        <v>0</v>
      </c>
      <c r="R571" s="2" t="inlineStr"/>
    </row>
    <row r="572" ht="15" customHeight="1">
      <c r="A572" t="inlineStr">
        <is>
          <t>A 9962-2025</t>
        </is>
      </c>
      <c r="B572" s="1" t="n">
        <v>45719.37072916667</v>
      </c>
      <c r="C572" s="1" t="n">
        <v>46079</v>
      </c>
      <c r="D572" t="inlineStr">
        <is>
          <t>VÄSTMANLANDS LÄN</t>
        </is>
      </c>
      <c r="E572" t="inlineStr">
        <is>
          <t>SALA</t>
        </is>
      </c>
      <c r="G572" t="n">
        <v>4.5</v>
      </c>
      <c r="H572" t="n">
        <v>0</v>
      </c>
      <c r="I572" t="n">
        <v>0</v>
      </c>
      <c r="J572" t="n">
        <v>0</v>
      </c>
      <c r="K572" t="n">
        <v>0</v>
      </c>
      <c r="L572" t="n">
        <v>0</v>
      </c>
      <c r="M572" t="n">
        <v>0</v>
      </c>
      <c r="N572" t="n">
        <v>0</v>
      </c>
      <c r="O572" t="n">
        <v>0</v>
      </c>
      <c r="P572" t="n">
        <v>0</v>
      </c>
      <c r="Q572" t="n">
        <v>0</v>
      </c>
      <c r="R572" s="2" t="inlineStr"/>
    </row>
    <row r="573" ht="15" customHeight="1">
      <c r="A573" t="inlineStr">
        <is>
          <t>A 51809-2025</t>
        </is>
      </c>
      <c r="B573" s="1" t="n">
        <v>45951.80116898148</v>
      </c>
      <c r="C573" s="1" t="n">
        <v>46079</v>
      </c>
      <c r="D573" t="inlineStr">
        <is>
          <t>VÄSTMANLANDS LÄN</t>
        </is>
      </c>
      <c r="E573" t="inlineStr">
        <is>
          <t>SALA</t>
        </is>
      </c>
      <c r="F573" t="inlineStr">
        <is>
          <t>Kommuner</t>
        </is>
      </c>
      <c r="G573" t="n">
        <v>3.5</v>
      </c>
      <c r="H573" t="n">
        <v>0</v>
      </c>
      <c r="I573" t="n">
        <v>0</v>
      </c>
      <c r="J573" t="n">
        <v>0</v>
      </c>
      <c r="K573" t="n">
        <v>0</v>
      </c>
      <c r="L573" t="n">
        <v>0</v>
      </c>
      <c r="M573" t="n">
        <v>0</v>
      </c>
      <c r="N573" t="n">
        <v>0</v>
      </c>
      <c r="O573" t="n">
        <v>0</v>
      </c>
      <c r="P573" t="n">
        <v>0</v>
      </c>
      <c r="Q573" t="n">
        <v>0</v>
      </c>
      <c r="R573" s="2" t="inlineStr"/>
    </row>
    <row r="574" ht="15" customHeight="1">
      <c r="A574" t="inlineStr">
        <is>
          <t>A 31554-2025</t>
        </is>
      </c>
      <c r="B574" s="1" t="n">
        <v>45833</v>
      </c>
      <c r="C574" s="1" t="n">
        <v>46079</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31762-2025</t>
        </is>
      </c>
      <c r="B575" s="1" t="n">
        <v>45834.49288194445</v>
      </c>
      <c r="C575" s="1" t="n">
        <v>46079</v>
      </c>
      <c r="D575" t="inlineStr">
        <is>
          <t>VÄSTMANLANDS LÄN</t>
        </is>
      </c>
      <c r="E575" t="inlineStr">
        <is>
          <t>SALA</t>
        </is>
      </c>
      <c r="G575" t="n">
        <v>5.9</v>
      </c>
      <c r="H575" t="n">
        <v>0</v>
      </c>
      <c r="I575" t="n">
        <v>0</v>
      </c>
      <c r="J575" t="n">
        <v>0</v>
      </c>
      <c r="K575" t="n">
        <v>0</v>
      </c>
      <c r="L575" t="n">
        <v>0</v>
      </c>
      <c r="M575" t="n">
        <v>0</v>
      </c>
      <c r="N575" t="n">
        <v>0</v>
      </c>
      <c r="O575" t="n">
        <v>0</v>
      </c>
      <c r="P575" t="n">
        <v>0</v>
      </c>
      <c r="Q575" t="n">
        <v>0</v>
      </c>
      <c r="R575" s="2" t="inlineStr"/>
    </row>
    <row r="576" ht="15" customHeight="1">
      <c r="A576" t="inlineStr">
        <is>
          <t>A 31608-2025</t>
        </is>
      </c>
      <c r="B576" s="1" t="n">
        <v>45833</v>
      </c>
      <c r="C576" s="1" t="n">
        <v>46079</v>
      </c>
      <c r="D576" t="inlineStr">
        <is>
          <t>VÄSTMANLANDS LÄN</t>
        </is>
      </c>
      <c r="E576" t="inlineStr">
        <is>
          <t>SALA</t>
        </is>
      </c>
      <c r="G576" t="n">
        <v>6.1</v>
      </c>
      <c r="H576" t="n">
        <v>0</v>
      </c>
      <c r="I576" t="n">
        <v>0</v>
      </c>
      <c r="J576" t="n">
        <v>0</v>
      </c>
      <c r="K576" t="n">
        <v>0</v>
      </c>
      <c r="L576" t="n">
        <v>0</v>
      </c>
      <c r="M576" t="n">
        <v>0</v>
      </c>
      <c r="N576" t="n">
        <v>0</v>
      </c>
      <c r="O576" t="n">
        <v>0</v>
      </c>
      <c r="P576" t="n">
        <v>0</v>
      </c>
      <c r="Q576" t="n">
        <v>0</v>
      </c>
      <c r="R576" s="2" t="inlineStr"/>
    </row>
    <row r="577" ht="15" customHeight="1">
      <c r="A577" t="inlineStr">
        <is>
          <t>A 31610-2025</t>
        </is>
      </c>
      <c r="B577" s="1" t="n">
        <v>45833.78650462963</v>
      </c>
      <c r="C577" s="1" t="n">
        <v>46079</v>
      </c>
      <c r="D577" t="inlineStr">
        <is>
          <t>VÄSTMANLANDS LÄN</t>
        </is>
      </c>
      <c r="E577" t="inlineStr">
        <is>
          <t>SALA</t>
        </is>
      </c>
      <c r="G577" t="n">
        <v>8</v>
      </c>
      <c r="H577" t="n">
        <v>0</v>
      </c>
      <c r="I577" t="n">
        <v>0</v>
      </c>
      <c r="J577" t="n">
        <v>0</v>
      </c>
      <c r="K577" t="n">
        <v>0</v>
      </c>
      <c r="L577" t="n">
        <v>0</v>
      </c>
      <c r="M577" t="n">
        <v>0</v>
      </c>
      <c r="N577" t="n">
        <v>0</v>
      </c>
      <c r="O577" t="n">
        <v>0</v>
      </c>
      <c r="P577" t="n">
        <v>0</v>
      </c>
      <c r="Q577" t="n">
        <v>0</v>
      </c>
      <c r="R577" s="2" t="inlineStr"/>
    </row>
    <row r="578" ht="15" customHeight="1">
      <c r="A578" t="inlineStr">
        <is>
          <t>A 14024-2025</t>
        </is>
      </c>
      <c r="B578" s="1" t="n">
        <v>45740.34650462963</v>
      </c>
      <c r="C578" s="1" t="n">
        <v>46079</v>
      </c>
      <c r="D578" t="inlineStr">
        <is>
          <t>VÄSTMANLANDS LÄN</t>
        </is>
      </c>
      <c r="E578" t="inlineStr">
        <is>
          <t>SALA</t>
        </is>
      </c>
      <c r="G578" t="n">
        <v>1.1</v>
      </c>
      <c r="H578" t="n">
        <v>0</v>
      </c>
      <c r="I578" t="n">
        <v>0</v>
      </c>
      <c r="J578" t="n">
        <v>0</v>
      </c>
      <c r="K578" t="n">
        <v>0</v>
      </c>
      <c r="L578" t="n">
        <v>0</v>
      </c>
      <c r="M578" t="n">
        <v>0</v>
      </c>
      <c r="N578" t="n">
        <v>0</v>
      </c>
      <c r="O578" t="n">
        <v>0</v>
      </c>
      <c r="P578" t="n">
        <v>0</v>
      </c>
      <c r="Q578" t="n">
        <v>0</v>
      </c>
      <c r="R578" s="2" t="inlineStr"/>
    </row>
    <row r="579" ht="15" customHeight="1">
      <c r="A579" t="inlineStr">
        <is>
          <t>A 31296-2025</t>
        </is>
      </c>
      <c r="B579" s="1" t="n">
        <v>45833.36765046296</v>
      </c>
      <c r="C579" s="1" t="n">
        <v>46079</v>
      </c>
      <c r="D579" t="inlineStr">
        <is>
          <t>VÄSTMANLANDS LÄN</t>
        </is>
      </c>
      <c r="E579" t="inlineStr">
        <is>
          <t>SALA</t>
        </is>
      </c>
      <c r="G579" t="n">
        <v>3.7</v>
      </c>
      <c r="H579" t="n">
        <v>0</v>
      </c>
      <c r="I579" t="n">
        <v>0</v>
      </c>
      <c r="J579" t="n">
        <v>0</v>
      </c>
      <c r="K579" t="n">
        <v>0</v>
      </c>
      <c r="L579" t="n">
        <v>0</v>
      </c>
      <c r="M579" t="n">
        <v>0</v>
      </c>
      <c r="N579" t="n">
        <v>0</v>
      </c>
      <c r="O579" t="n">
        <v>0</v>
      </c>
      <c r="P579" t="n">
        <v>0</v>
      </c>
      <c r="Q579" t="n">
        <v>0</v>
      </c>
      <c r="R579" s="2" t="inlineStr"/>
    </row>
    <row r="580" ht="15" customHeight="1">
      <c r="A580" t="inlineStr">
        <is>
          <t>A 51803-2025</t>
        </is>
      </c>
      <c r="B580" s="1" t="n">
        <v>45951.76818287037</v>
      </c>
      <c r="C580" s="1" t="n">
        <v>46079</v>
      </c>
      <c r="D580" t="inlineStr">
        <is>
          <t>VÄSTMANLANDS LÄN</t>
        </is>
      </c>
      <c r="E580" t="inlineStr">
        <is>
          <t>SALA</t>
        </is>
      </c>
      <c r="F580" t="inlineStr">
        <is>
          <t>Kommuner</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51805-2025</t>
        </is>
      </c>
      <c r="B581" s="1" t="n">
        <v>45951.78359953704</v>
      </c>
      <c r="C581" s="1" t="n">
        <v>46079</v>
      </c>
      <c r="D581" t="inlineStr">
        <is>
          <t>VÄSTMANLANDS LÄN</t>
        </is>
      </c>
      <c r="E581" t="inlineStr">
        <is>
          <t>SALA</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31573-2025</t>
        </is>
      </c>
      <c r="B582" s="1" t="n">
        <v>45833</v>
      </c>
      <c r="C582" s="1" t="n">
        <v>46079</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51804-2025</t>
        </is>
      </c>
      <c r="B583" s="1" t="n">
        <v>45951.77697916667</v>
      </c>
      <c r="C583" s="1" t="n">
        <v>46079</v>
      </c>
      <c r="D583" t="inlineStr">
        <is>
          <t>VÄSTMANLANDS LÄN</t>
        </is>
      </c>
      <c r="E583" t="inlineStr">
        <is>
          <t>SALA</t>
        </is>
      </c>
      <c r="F583" t="inlineStr">
        <is>
          <t>Kommuner</t>
        </is>
      </c>
      <c r="G583" t="n">
        <v>2</v>
      </c>
      <c r="H583" t="n">
        <v>0</v>
      </c>
      <c r="I583" t="n">
        <v>0</v>
      </c>
      <c r="J583" t="n">
        <v>0</v>
      </c>
      <c r="K583" t="n">
        <v>0</v>
      </c>
      <c r="L583" t="n">
        <v>0</v>
      </c>
      <c r="M583" t="n">
        <v>0</v>
      </c>
      <c r="N583" t="n">
        <v>0</v>
      </c>
      <c r="O583" t="n">
        <v>0</v>
      </c>
      <c r="P583" t="n">
        <v>0</v>
      </c>
      <c r="Q583" t="n">
        <v>0</v>
      </c>
      <c r="R583" s="2" t="inlineStr"/>
    </row>
    <row r="584" ht="15" customHeight="1">
      <c r="A584" t="inlineStr">
        <is>
          <t>A 51808-2025</t>
        </is>
      </c>
      <c r="B584" s="1" t="n">
        <v>45951.79302083333</v>
      </c>
      <c r="C584" s="1" t="n">
        <v>46079</v>
      </c>
      <c r="D584" t="inlineStr">
        <is>
          <t>VÄSTMANLANDS LÄN</t>
        </is>
      </c>
      <c r="E584" t="inlineStr">
        <is>
          <t>SALA</t>
        </is>
      </c>
      <c r="F584" t="inlineStr">
        <is>
          <t>Kommuner</t>
        </is>
      </c>
      <c r="G584" t="n">
        <v>3</v>
      </c>
      <c r="H584" t="n">
        <v>0</v>
      </c>
      <c r="I584" t="n">
        <v>0</v>
      </c>
      <c r="J584" t="n">
        <v>0</v>
      </c>
      <c r="K584" t="n">
        <v>0</v>
      </c>
      <c r="L584" t="n">
        <v>0</v>
      </c>
      <c r="M584" t="n">
        <v>0</v>
      </c>
      <c r="N584" t="n">
        <v>0</v>
      </c>
      <c r="O584" t="n">
        <v>0</v>
      </c>
      <c r="P584" t="n">
        <v>0</v>
      </c>
      <c r="Q584" t="n">
        <v>0</v>
      </c>
      <c r="R584" s="2" t="inlineStr"/>
    </row>
    <row r="585" ht="15" customHeight="1">
      <c r="A585" t="inlineStr">
        <is>
          <t>A 3551-2024</t>
        </is>
      </c>
      <c r="B585" s="1" t="n">
        <v>45320.61099537037</v>
      </c>
      <c r="C585" s="1" t="n">
        <v>46079</v>
      </c>
      <c r="D585" t="inlineStr">
        <is>
          <t>VÄSTMANLANDS LÄN</t>
        </is>
      </c>
      <c r="E585" t="inlineStr">
        <is>
          <t>SALA</t>
        </is>
      </c>
      <c r="F585" t="inlineStr">
        <is>
          <t>Kommuner</t>
        </is>
      </c>
      <c r="G585" t="n">
        <v>6</v>
      </c>
      <c r="H585" t="n">
        <v>0</v>
      </c>
      <c r="I585" t="n">
        <v>0</v>
      </c>
      <c r="J585" t="n">
        <v>0</v>
      </c>
      <c r="K585" t="n">
        <v>0</v>
      </c>
      <c r="L585" t="n">
        <v>0</v>
      </c>
      <c r="M585" t="n">
        <v>0</v>
      </c>
      <c r="N585" t="n">
        <v>0</v>
      </c>
      <c r="O585" t="n">
        <v>0</v>
      </c>
      <c r="P585" t="n">
        <v>0</v>
      </c>
      <c r="Q585" t="n">
        <v>0</v>
      </c>
      <c r="R585" s="2" t="inlineStr"/>
    </row>
    <row r="586" ht="15" customHeight="1">
      <c r="A586" t="inlineStr">
        <is>
          <t>A 51764-2025</t>
        </is>
      </c>
      <c r="B586" s="1" t="n">
        <v>45951.63636574074</v>
      </c>
      <c r="C586" s="1" t="n">
        <v>46079</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32201-2025</t>
        </is>
      </c>
      <c r="B587" s="1" t="n">
        <v>45835</v>
      </c>
      <c r="C587" s="1" t="n">
        <v>46079</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32205-2025</t>
        </is>
      </c>
      <c r="B588" s="1" t="n">
        <v>45835</v>
      </c>
      <c r="C588" s="1" t="n">
        <v>46079</v>
      </c>
      <c r="D588" t="inlineStr">
        <is>
          <t>VÄSTMANLANDS LÄN</t>
        </is>
      </c>
      <c r="E588" t="inlineStr">
        <is>
          <t>SALA</t>
        </is>
      </c>
      <c r="F588" t="inlineStr">
        <is>
          <t>Bergvik skog öst AB</t>
        </is>
      </c>
      <c r="G588" t="n">
        <v>1.1</v>
      </c>
      <c r="H588" t="n">
        <v>0</v>
      </c>
      <c r="I588" t="n">
        <v>0</v>
      </c>
      <c r="J588" t="n">
        <v>0</v>
      </c>
      <c r="K588" t="n">
        <v>0</v>
      </c>
      <c r="L588" t="n">
        <v>0</v>
      </c>
      <c r="M588" t="n">
        <v>0</v>
      </c>
      <c r="N588" t="n">
        <v>0</v>
      </c>
      <c r="O588" t="n">
        <v>0</v>
      </c>
      <c r="P588" t="n">
        <v>0</v>
      </c>
      <c r="Q588" t="n">
        <v>0</v>
      </c>
      <c r="R588" s="2" t="inlineStr"/>
    </row>
    <row r="589" ht="15" customHeight="1">
      <c r="A589" t="inlineStr">
        <is>
          <t>A 32210-2025</t>
        </is>
      </c>
      <c r="B589" s="1" t="n">
        <v>45835</v>
      </c>
      <c r="C589" s="1" t="n">
        <v>46079</v>
      </c>
      <c r="D589" t="inlineStr">
        <is>
          <t>VÄSTMANLANDS LÄN</t>
        </is>
      </c>
      <c r="E589" t="inlineStr">
        <is>
          <t>SALA</t>
        </is>
      </c>
      <c r="F589" t="inlineStr">
        <is>
          <t>Bergvik skog öst AB</t>
        </is>
      </c>
      <c r="G589" t="n">
        <v>1.5</v>
      </c>
      <c r="H589" t="n">
        <v>0</v>
      </c>
      <c r="I589" t="n">
        <v>0</v>
      </c>
      <c r="J589" t="n">
        <v>0</v>
      </c>
      <c r="K589" t="n">
        <v>0</v>
      </c>
      <c r="L589" t="n">
        <v>0</v>
      </c>
      <c r="M589" t="n">
        <v>0</v>
      </c>
      <c r="N589" t="n">
        <v>0</v>
      </c>
      <c r="O589" t="n">
        <v>0</v>
      </c>
      <c r="P589" t="n">
        <v>0</v>
      </c>
      <c r="Q589" t="n">
        <v>0</v>
      </c>
      <c r="R589" s="2" t="inlineStr"/>
    </row>
    <row r="590" ht="15" customHeight="1">
      <c r="A590" t="inlineStr">
        <is>
          <t>A 62635-2022</t>
        </is>
      </c>
      <c r="B590" s="1" t="n">
        <v>44917</v>
      </c>
      <c r="C590" s="1" t="n">
        <v>46079</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32286-2025</t>
        </is>
      </c>
      <c r="B591" s="1" t="n">
        <v>45835</v>
      </c>
      <c r="C591" s="1" t="n">
        <v>46079</v>
      </c>
      <c r="D591" t="inlineStr">
        <is>
          <t>VÄSTMANLANDS LÄN</t>
        </is>
      </c>
      <c r="E591" t="inlineStr">
        <is>
          <t>SALA</t>
        </is>
      </c>
      <c r="G591" t="n">
        <v>6.4</v>
      </c>
      <c r="H591" t="n">
        <v>0</v>
      </c>
      <c r="I591" t="n">
        <v>0</v>
      </c>
      <c r="J591" t="n">
        <v>0</v>
      </c>
      <c r="K591" t="n">
        <v>0</v>
      </c>
      <c r="L591" t="n">
        <v>0</v>
      </c>
      <c r="M591" t="n">
        <v>0</v>
      </c>
      <c r="N591" t="n">
        <v>0</v>
      </c>
      <c r="O591" t="n">
        <v>0</v>
      </c>
      <c r="P591" t="n">
        <v>0</v>
      </c>
      <c r="Q591" t="n">
        <v>0</v>
      </c>
      <c r="R591" s="2" t="inlineStr"/>
    </row>
    <row r="592" ht="15" customHeight="1">
      <c r="A592" t="inlineStr">
        <is>
          <t>A 32207-2025</t>
        </is>
      </c>
      <c r="B592" s="1" t="n">
        <v>45835</v>
      </c>
      <c r="C592" s="1" t="n">
        <v>46079</v>
      </c>
      <c r="D592" t="inlineStr">
        <is>
          <t>VÄSTMANLANDS LÄN</t>
        </is>
      </c>
      <c r="E592" t="inlineStr">
        <is>
          <t>SALA</t>
        </is>
      </c>
      <c r="F592" t="inlineStr">
        <is>
          <t>Bergvik skog öst AB</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19304-2025</t>
        </is>
      </c>
      <c r="B593" s="1" t="n">
        <v>45769</v>
      </c>
      <c r="C593" s="1" t="n">
        <v>46079</v>
      </c>
      <c r="D593" t="inlineStr">
        <is>
          <t>VÄSTMANLANDS LÄN</t>
        </is>
      </c>
      <c r="E593" t="inlineStr">
        <is>
          <t>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56057-2023</t>
        </is>
      </c>
      <c r="B594" s="1" t="n">
        <v>45233</v>
      </c>
      <c r="C594" s="1" t="n">
        <v>46079</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32902-2025</t>
        </is>
      </c>
      <c r="B595" s="1" t="n">
        <v>45839</v>
      </c>
      <c r="C595" s="1" t="n">
        <v>46079</v>
      </c>
      <c r="D595" t="inlineStr">
        <is>
          <t>VÄSTMANLANDS LÄN</t>
        </is>
      </c>
      <c r="E595" t="inlineStr">
        <is>
          <t>SALA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53744-2025</t>
        </is>
      </c>
      <c r="B596" s="1" t="n">
        <v>45960.64863425926</v>
      </c>
      <c r="C596" s="1" t="n">
        <v>46079</v>
      </c>
      <c r="D596" t="inlineStr">
        <is>
          <t>VÄSTMANLANDS LÄN</t>
        </is>
      </c>
      <c r="E596" t="inlineStr">
        <is>
          <t>SALA</t>
        </is>
      </c>
      <c r="G596" t="n">
        <v>2</v>
      </c>
      <c r="H596" t="n">
        <v>0</v>
      </c>
      <c r="I596" t="n">
        <v>0</v>
      </c>
      <c r="J596" t="n">
        <v>0</v>
      </c>
      <c r="K596" t="n">
        <v>0</v>
      </c>
      <c r="L596" t="n">
        <v>0</v>
      </c>
      <c r="M596" t="n">
        <v>0</v>
      </c>
      <c r="N596" t="n">
        <v>0</v>
      </c>
      <c r="O596" t="n">
        <v>0</v>
      </c>
      <c r="P596" t="n">
        <v>0</v>
      </c>
      <c r="Q596" t="n">
        <v>0</v>
      </c>
      <c r="R596" s="2" t="inlineStr"/>
    </row>
    <row r="597" ht="15" customHeight="1">
      <c r="A597" t="inlineStr">
        <is>
          <t>A 53725-2025</t>
        </is>
      </c>
      <c r="B597" s="1" t="n">
        <v>45960.63394675926</v>
      </c>
      <c r="C597" s="1" t="n">
        <v>46079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55024-2023</t>
        </is>
      </c>
      <c r="B598" s="1" t="n">
        <v>45229</v>
      </c>
      <c r="C598" s="1" t="n">
        <v>46079</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55032-2023</t>
        </is>
      </c>
      <c r="B599" s="1" t="n">
        <v>45229</v>
      </c>
      <c r="C599" s="1" t="n">
        <v>46079</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53724-2025</t>
        </is>
      </c>
      <c r="B600" s="1" t="n">
        <v>45960.63174768518</v>
      </c>
      <c r="C600" s="1" t="n">
        <v>46079</v>
      </c>
      <c r="D600" t="inlineStr">
        <is>
          <t>VÄSTMANLANDS LÄN</t>
        </is>
      </c>
      <c r="E600" t="inlineStr">
        <is>
          <t>SALA</t>
        </is>
      </c>
      <c r="G600" t="n">
        <v>2.8</v>
      </c>
      <c r="H600" t="n">
        <v>0</v>
      </c>
      <c r="I600" t="n">
        <v>0</v>
      </c>
      <c r="J600" t="n">
        <v>0</v>
      </c>
      <c r="K600" t="n">
        <v>0</v>
      </c>
      <c r="L600" t="n">
        <v>0</v>
      </c>
      <c r="M600" t="n">
        <v>0</v>
      </c>
      <c r="N600" t="n">
        <v>0</v>
      </c>
      <c r="O600" t="n">
        <v>0</v>
      </c>
      <c r="P600" t="n">
        <v>0</v>
      </c>
      <c r="Q600" t="n">
        <v>0</v>
      </c>
      <c r="R600" s="2" t="inlineStr"/>
    </row>
    <row r="601" ht="15" customHeight="1">
      <c r="A601" t="inlineStr">
        <is>
          <t>A 29248-2022</t>
        </is>
      </c>
      <c r="B601" s="1" t="n">
        <v>44750</v>
      </c>
      <c r="C601" s="1" t="n">
        <v>46079</v>
      </c>
      <c r="D601" t="inlineStr">
        <is>
          <t>VÄSTMANLANDS LÄN</t>
        </is>
      </c>
      <c r="E601" t="inlineStr">
        <is>
          <t>SALA</t>
        </is>
      </c>
      <c r="G601" t="n">
        <v>1.6</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44904.48502314815</v>
      </c>
      <c r="C602" s="1" t="n">
        <v>46079</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39451-2022</t>
        </is>
      </c>
      <c r="B603" s="1" t="n">
        <v>44818.36606481481</v>
      </c>
      <c r="C603" s="1" t="n">
        <v>46079</v>
      </c>
      <c r="D603" t="inlineStr">
        <is>
          <t>VÄSTMANLANDS LÄN</t>
        </is>
      </c>
      <c r="E603" t="inlineStr">
        <is>
          <t>SALA</t>
        </is>
      </c>
      <c r="G603" t="n">
        <v>9.4</v>
      </c>
      <c r="H603" t="n">
        <v>0</v>
      </c>
      <c r="I603" t="n">
        <v>0</v>
      </c>
      <c r="J603" t="n">
        <v>0</v>
      </c>
      <c r="K603" t="n">
        <v>0</v>
      </c>
      <c r="L603" t="n">
        <v>0</v>
      </c>
      <c r="M603" t="n">
        <v>0</v>
      </c>
      <c r="N603" t="n">
        <v>0</v>
      </c>
      <c r="O603" t="n">
        <v>0</v>
      </c>
      <c r="P603" t="n">
        <v>0</v>
      </c>
      <c r="Q603" t="n">
        <v>0</v>
      </c>
      <c r="R603" s="2" t="inlineStr"/>
    </row>
    <row r="604" ht="15" customHeight="1">
      <c r="A604" t="inlineStr">
        <is>
          <t>A 38636-2024</t>
        </is>
      </c>
      <c r="B604" s="1" t="n">
        <v>45546</v>
      </c>
      <c r="C604" s="1" t="n">
        <v>46079</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54201-2025</t>
        </is>
      </c>
      <c r="B605" s="1" t="n">
        <v>45964.58055555556</v>
      </c>
      <c r="C605" s="1" t="n">
        <v>46079</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34069-2025</t>
        </is>
      </c>
      <c r="B606" s="1" t="n">
        <v>45845.43560185185</v>
      </c>
      <c r="C606" s="1" t="n">
        <v>46079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c r="U606">
        <f>HYPERLINK("https://klasma.github.io/Logging_1981/knärot/A 34069-2025 karta knärot.png", "A 34069-2025")</f>
        <v/>
      </c>
      <c r="V606">
        <f>HYPERLINK("https://klasma.github.io/Logging_1981/klagomål/A 34069-2025 FSC-klagomål.docx", "A 34069-2025")</f>
        <v/>
      </c>
      <c r="W606">
        <f>HYPERLINK("https://klasma.github.io/Logging_1981/klagomålsmail/A 34069-2025 FSC-klagomål mail.docx", "A 34069-2025")</f>
        <v/>
      </c>
      <c r="X606">
        <f>HYPERLINK("https://klasma.github.io/Logging_1981/tillsyn/A 34069-2025 tillsynsbegäran.docx", "A 34069-2025")</f>
        <v/>
      </c>
      <c r="Y606">
        <f>HYPERLINK("https://klasma.github.io/Logging_1981/tillsynsmail/A 34069-2025 tillsynsbegäran mail.docx", "A 34069-2025")</f>
        <v/>
      </c>
    </row>
    <row r="607" ht="15" customHeight="1">
      <c r="A607" t="inlineStr">
        <is>
          <t>A 54344-2025</t>
        </is>
      </c>
      <c r="B607" s="1" t="n">
        <v>45965.36462962963</v>
      </c>
      <c r="C607" s="1" t="n">
        <v>46079</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11631-2023</t>
        </is>
      </c>
      <c r="B608" s="1" t="n">
        <v>44994.44001157407</v>
      </c>
      <c r="C608" s="1" t="n">
        <v>46079</v>
      </c>
      <c r="D608" t="inlineStr">
        <is>
          <t>VÄSTMANLANDS LÄN</t>
        </is>
      </c>
      <c r="E608" t="inlineStr">
        <is>
          <t>SALA</t>
        </is>
      </c>
      <c r="F608" t="inlineStr">
        <is>
          <t>Kommuner</t>
        </is>
      </c>
      <c r="G608" t="n">
        <v>1.9</v>
      </c>
      <c r="H608" t="n">
        <v>0</v>
      </c>
      <c r="I608" t="n">
        <v>0</v>
      </c>
      <c r="J608" t="n">
        <v>0</v>
      </c>
      <c r="K608" t="n">
        <v>0</v>
      </c>
      <c r="L608" t="n">
        <v>0</v>
      </c>
      <c r="M608" t="n">
        <v>0</v>
      </c>
      <c r="N608" t="n">
        <v>0</v>
      </c>
      <c r="O608" t="n">
        <v>0</v>
      </c>
      <c r="P608" t="n">
        <v>0</v>
      </c>
      <c r="Q608" t="n">
        <v>0</v>
      </c>
      <c r="R608" s="2" t="inlineStr"/>
    </row>
    <row r="609" ht="15" customHeight="1">
      <c r="A609" t="inlineStr">
        <is>
          <t>A 15744-2025</t>
        </is>
      </c>
      <c r="B609" s="1" t="n">
        <v>45748</v>
      </c>
      <c r="C609" s="1" t="n">
        <v>46079</v>
      </c>
      <c r="D609" t="inlineStr">
        <is>
          <t>VÄSTMANLANDS LÄN</t>
        </is>
      </c>
      <c r="E609" t="inlineStr">
        <is>
          <t>SALA</t>
        </is>
      </c>
      <c r="G609" t="n">
        <v>1.6</v>
      </c>
      <c r="H609" t="n">
        <v>0</v>
      </c>
      <c r="I609" t="n">
        <v>0</v>
      </c>
      <c r="J609" t="n">
        <v>0</v>
      </c>
      <c r="K609" t="n">
        <v>0</v>
      </c>
      <c r="L609" t="n">
        <v>0</v>
      </c>
      <c r="M609" t="n">
        <v>0</v>
      </c>
      <c r="N609" t="n">
        <v>0</v>
      </c>
      <c r="O609" t="n">
        <v>0</v>
      </c>
      <c r="P609" t="n">
        <v>0</v>
      </c>
      <c r="Q609" t="n">
        <v>0</v>
      </c>
      <c r="R609" s="2" t="inlineStr"/>
    </row>
    <row r="610" ht="15" customHeight="1">
      <c r="A610" t="inlineStr">
        <is>
          <t>A 54590-2025</t>
        </is>
      </c>
      <c r="B610" s="1" t="n">
        <v>45965.74199074074</v>
      </c>
      <c r="C610" s="1" t="n">
        <v>46079</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46079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44939.43024305555</v>
      </c>
      <c r="C612" s="1" t="n">
        <v>46079</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54893-2025</t>
        </is>
      </c>
      <c r="B613" s="1" t="n">
        <v>45967.36383101852</v>
      </c>
      <c r="C613" s="1" t="n">
        <v>46079</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11927-2025</t>
        </is>
      </c>
      <c r="B614" s="1" t="n">
        <v>45728.5137962963</v>
      </c>
      <c r="C614" s="1" t="n">
        <v>46079</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60823-2024</t>
        </is>
      </c>
      <c r="B615" s="1" t="n">
        <v>45644</v>
      </c>
      <c r="C615" s="1" t="n">
        <v>46079</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96-2024</t>
        </is>
      </c>
      <c r="B616" s="1" t="n">
        <v>45293.85872685185</v>
      </c>
      <c r="C616" s="1" t="n">
        <v>46079</v>
      </c>
      <c r="D616" t="inlineStr">
        <is>
          <t>VÄSTMANLANDS LÄN</t>
        </is>
      </c>
      <c r="E616" t="inlineStr">
        <is>
          <t>SALA</t>
        </is>
      </c>
      <c r="G616" t="n">
        <v>1.1</v>
      </c>
      <c r="H616" t="n">
        <v>0</v>
      </c>
      <c r="I616" t="n">
        <v>0</v>
      </c>
      <c r="J616" t="n">
        <v>0</v>
      </c>
      <c r="K616" t="n">
        <v>0</v>
      </c>
      <c r="L616" t="n">
        <v>0</v>
      </c>
      <c r="M616" t="n">
        <v>0</v>
      </c>
      <c r="N616" t="n">
        <v>0</v>
      </c>
      <c r="O616" t="n">
        <v>0</v>
      </c>
      <c r="P616" t="n">
        <v>0</v>
      </c>
      <c r="Q616" t="n">
        <v>0</v>
      </c>
      <c r="R616" s="2" t="inlineStr"/>
    </row>
    <row r="617" ht="15" customHeight="1">
      <c r="A617" t="inlineStr">
        <is>
          <t>A 19033-2025</t>
        </is>
      </c>
      <c r="B617" s="1" t="n">
        <v>45764.65796296296</v>
      </c>
      <c r="C617" s="1" t="n">
        <v>46079</v>
      </c>
      <c r="D617" t="inlineStr">
        <is>
          <t>VÄSTMANLANDS LÄN</t>
        </is>
      </c>
      <c r="E617" t="inlineStr">
        <is>
          <t>SALA</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23374-2023</t>
        </is>
      </c>
      <c r="B618" s="1" t="n">
        <v>45076.4399537037</v>
      </c>
      <c r="C618" s="1" t="n">
        <v>46079</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61874-2021</t>
        </is>
      </c>
      <c r="B619" s="1" t="n">
        <v>44502</v>
      </c>
      <c r="C619" s="1" t="n">
        <v>46079</v>
      </c>
      <c r="D619" t="inlineStr">
        <is>
          <t>VÄSTMANLANDS LÄN</t>
        </is>
      </c>
      <c r="E619" t="inlineStr">
        <is>
          <t>SALA</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55997-2025</t>
        </is>
      </c>
      <c r="B620" s="1" t="n">
        <v>45973.56833333334</v>
      </c>
      <c r="C620" s="1" t="n">
        <v>46079</v>
      </c>
      <c r="D620" t="inlineStr">
        <is>
          <t>VÄSTMANLANDS LÄN</t>
        </is>
      </c>
      <c r="E620" t="inlineStr">
        <is>
          <t>SALA</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9856-2022</t>
        </is>
      </c>
      <c r="B621" s="1" t="n">
        <v>44620</v>
      </c>
      <c r="C621" s="1" t="n">
        <v>46079</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16159-2024</t>
        </is>
      </c>
      <c r="B622" s="1" t="n">
        <v>45406</v>
      </c>
      <c r="C622" s="1" t="n">
        <v>46079</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35715-2025</t>
        </is>
      </c>
      <c r="B623" s="1" t="n">
        <v>45860.42148148148</v>
      </c>
      <c r="C623" s="1" t="n">
        <v>46079</v>
      </c>
      <c r="D623" t="inlineStr">
        <is>
          <t>VÄSTMANLANDS LÄN</t>
        </is>
      </c>
      <c r="E623" t="inlineStr">
        <is>
          <t>SALA</t>
        </is>
      </c>
      <c r="G623" t="n">
        <v>3.8</v>
      </c>
      <c r="H623" t="n">
        <v>0</v>
      </c>
      <c r="I623" t="n">
        <v>0</v>
      </c>
      <c r="J623" t="n">
        <v>0</v>
      </c>
      <c r="K623" t="n">
        <v>0</v>
      </c>
      <c r="L623" t="n">
        <v>0</v>
      </c>
      <c r="M623" t="n">
        <v>0</v>
      </c>
      <c r="N623" t="n">
        <v>0</v>
      </c>
      <c r="O623" t="n">
        <v>0</v>
      </c>
      <c r="P623" t="n">
        <v>0</v>
      </c>
      <c r="Q623" t="n">
        <v>0</v>
      </c>
      <c r="R623" s="2" t="inlineStr"/>
    </row>
    <row r="624" ht="15" customHeight="1">
      <c r="A624" t="inlineStr">
        <is>
          <t>A 50241-2023</t>
        </is>
      </c>
      <c r="B624" s="1" t="n">
        <v>45216</v>
      </c>
      <c r="C624" s="1" t="n">
        <v>46079</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35651-2025</t>
        </is>
      </c>
      <c r="B625" s="1" t="n">
        <v>45859.52435185185</v>
      </c>
      <c r="C625" s="1" t="n">
        <v>46079</v>
      </c>
      <c r="D625" t="inlineStr">
        <is>
          <t>VÄSTMANLANDS LÄN</t>
        </is>
      </c>
      <c r="E625" t="inlineStr">
        <is>
          <t>SALA</t>
        </is>
      </c>
      <c r="G625" t="n">
        <v>6.3</v>
      </c>
      <c r="H625" t="n">
        <v>0</v>
      </c>
      <c r="I625" t="n">
        <v>0</v>
      </c>
      <c r="J625" t="n">
        <v>0</v>
      </c>
      <c r="K625" t="n">
        <v>0</v>
      </c>
      <c r="L625" t="n">
        <v>0</v>
      </c>
      <c r="M625" t="n">
        <v>0</v>
      </c>
      <c r="N625" t="n">
        <v>0</v>
      </c>
      <c r="O625" t="n">
        <v>0</v>
      </c>
      <c r="P625" t="n">
        <v>0</v>
      </c>
      <c r="Q625" t="n">
        <v>0</v>
      </c>
      <c r="R625" s="2" t="inlineStr"/>
    </row>
    <row r="626" ht="15" customHeight="1">
      <c r="A626" t="inlineStr">
        <is>
          <t>A 3332-2024</t>
        </is>
      </c>
      <c r="B626" s="1" t="n">
        <v>45317</v>
      </c>
      <c r="C626" s="1" t="n">
        <v>46079</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55714-2025</t>
        </is>
      </c>
      <c r="B627" s="1" t="n">
        <v>45972.49131944445</v>
      </c>
      <c r="C627" s="1" t="n">
        <v>46079</v>
      </c>
      <c r="D627" t="inlineStr">
        <is>
          <t>VÄSTMANLANDS LÄN</t>
        </is>
      </c>
      <c r="E627" t="inlineStr">
        <is>
          <t>SALA</t>
        </is>
      </c>
      <c r="G627" t="n">
        <v>6.6</v>
      </c>
      <c r="H627" t="n">
        <v>0</v>
      </c>
      <c r="I627" t="n">
        <v>0</v>
      </c>
      <c r="J627" t="n">
        <v>0</v>
      </c>
      <c r="K627" t="n">
        <v>0</v>
      </c>
      <c r="L627" t="n">
        <v>0</v>
      </c>
      <c r="M627" t="n">
        <v>0</v>
      </c>
      <c r="N627" t="n">
        <v>0</v>
      </c>
      <c r="O627" t="n">
        <v>0</v>
      </c>
      <c r="P627" t="n">
        <v>0</v>
      </c>
      <c r="Q627" t="n">
        <v>0</v>
      </c>
      <c r="R627" s="2" t="inlineStr"/>
    </row>
    <row r="628" ht="15" customHeight="1">
      <c r="A628" t="inlineStr">
        <is>
          <t>A 35775-2025</t>
        </is>
      </c>
      <c r="B628" s="1" t="n">
        <v>45860</v>
      </c>
      <c r="C628" s="1" t="n">
        <v>46079</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56614-2025</t>
        </is>
      </c>
      <c r="B629" s="1" t="n">
        <v>45975.59288194445</v>
      </c>
      <c r="C629" s="1" t="n">
        <v>46079</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35774-2025</t>
        </is>
      </c>
      <c r="B630" s="1" t="n">
        <v>45860.68780092592</v>
      </c>
      <c r="C630" s="1" t="n">
        <v>46079</v>
      </c>
      <c r="D630" t="inlineStr">
        <is>
          <t>VÄSTMANLANDS LÄN</t>
        </is>
      </c>
      <c r="E630" t="inlineStr">
        <is>
          <t>SALA</t>
        </is>
      </c>
      <c r="G630" t="n">
        <v>6.5</v>
      </c>
      <c r="H630" t="n">
        <v>0</v>
      </c>
      <c r="I630" t="n">
        <v>0</v>
      </c>
      <c r="J630" t="n">
        <v>0</v>
      </c>
      <c r="K630" t="n">
        <v>0</v>
      </c>
      <c r="L630" t="n">
        <v>0</v>
      </c>
      <c r="M630" t="n">
        <v>0</v>
      </c>
      <c r="N630" t="n">
        <v>0</v>
      </c>
      <c r="O630" t="n">
        <v>0</v>
      </c>
      <c r="P630" t="n">
        <v>0</v>
      </c>
      <c r="Q630" t="n">
        <v>0</v>
      </c>
      <c r="R630" s="2" t="inlineStr"/>
    </row>
    <row r="631" ht="15" customHeight="1">
      <c r="A631" t="inlineStr">
        <is>
          <t>A 56611-2025</t>
        </is>
      </c>
      <c r="B631" s="1" t="n">
        <v>45975</v>
      </c>
      <c r="C631" s="1" t="n">
        <v>46079</v>
      </c>
      <c r="D631" t="inlineStr">
        <is>
          <t>VÄSTMANLANDS LÄN</t>
        </is>
      </c>
      <c r="E631" t="inlineStr">
        <is>
          <t>SALA</t>
        </is>
      </c>
      <c r="G631" t="n">
        <v>2.8</v>
      </c>
      <c r="H631" t="n">
        <v>0</v>
      </c>
      <c r="I631" t="n">
        <v>0</v>
      </c>
      <c r="J631" t="n">
        <v>0</v>
      </c>
      <c r="K631" t="n">
        <v>0</v>
      </c>
      <c r="L631" t="n">
        <v>0</v>
      </c>
      <c r="M631" t="n">
        <v>0</v>
      </c>
      <c r="N631" t="n">
        <v>0</v>
      </c>
      <c r="O631" t="n">
        <v>0</v>
      </c>
      <c r="P631" t="n">
        <v>0</v>
      </c>
      <c r="Q631" t="n">
        <v>0</v>
      </c>
      <c r="R631" s="2" t="inlineStr"/>
    </row>
    <row r="632" ht="15" customHeight="1">
      <c r="A632" t="inlineStr">
        <is>
          <t>A 35776-2025</t>
        </is>
      </c>
      <c r="B632" s="1" t="n">
        <v>45860.69211805556</v>
      </c>
      <c r="C632" s="1" t="n">
        <v>46079</v>
      </c>
      <c r="D632" t="inlineStr">
        <is>
          <t>VÄSTMANLANDS LÄN</t>
        </is>
      </c>
      <c r="E632" t="inlineStr">
        <is>
          <t>SALA</t>
        </is>
      </c>
      <c r="G632" t="n">
        <v>14.2</v>
      </c>
      <c r="H632" t="n">
        <v>0</v>
      </c>
      <c r="I632" t="n">
        <v>0</v>
      </c>
      <c r="J632" t="n">
        <v>0</v>
      </c>
      <c r="K632" t="n">
        <v>0</v>
      </c>
      <c r="L632" t="n">
        <v>0</v>
      </c>
      <c r="M632" t="n">
        <v>0</v>
      </c>
      <c r="N632" t="n">
        <v>0</v>
      </c>
      <c r="O632" t="n">
        <v>0</v>
      </c>
      <c r="P632" t="n">
        <v>0</v>
      </c>
      <c r="Q632" t="n">
        <v>0</v>
      </c>
      <c r="R632" s="2" t="inlineStr"/>
    </row>
    <row r="633" ht="15" customHeight="1">
      <c r="A633" t="inlineStr">
        <is>
          <t>A 35779-2025</t>
        </is>
      </c>
      <c r="B633" s="1" t="n">
        <v>45860.69495370371</v>
      </c>
      <c r="C633" s="1" t="n">
        <v>46079</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35637-2022</t>
        </is>
      </c>
      <c r="B634" s="1" t="n">
        <v>44799.55194444444</v>
      </c>
      <c r="C634" s="1" t="n">
        <v>46079</v>
      </c>
      <c r="D634" t="inlineStr">
        <is>
          <t>VÄSTMANLANDS LÄN</t>
        </is>
      </c>
      <c r="E634" t="inlineStr">
        <is>
          <t>SALA</t>
        </is>
      </c>
      <c r="G634" t="n">
        <v>1</v>
      </c>
      <c r="H634" t="n">
        <v>0</v>
      </c>
      <c r="I634" t="n">
        <v>0</v>
      </c>
      <c r="J634" t="n">
        <v>0</v>
      </c>
      <c r="K634" t="n">
        <v>0</v>
      </c>
      <c r="L634" t="n">
        <v>0</v>
      </c>
      <c r="M634" t="n">
        <v>0</v>
      </c>
      <c r="N634" t="n">
        <v>0</v>
      </c>
      <c r="O634" t="n">
        <v>0</v>
      </c>
      <c r="P634" t="n">
        <v>0</v>
      </c>
      <c r="Q634" t="n">
        <v>0</v>
      </c>
      <c r="R634" s="2" t="inlineStr"/>
    </row>
    <row r="635" ht="15" customHeight="1">
      <c r="A635" t="inlineStr">
        <is>
          <t>A 57014-2025</t>
        </is>
      </c>
      <c r="B635" s="1" t="n">
        <v>45978</v>
      </c>
      <c r="C635" s="1" t="n">
        <v>46079</v>
      </c>
      <c r="D635" t="inlineStr">
        <is>
          <t>VÄSTMANLANDS LÄN</t>
        </is>
      </c>
      <c r="E635" t="inlineStr">
        <is>
          <t>SALA</t>
        </is>
      </c>
      <c r="G635" t="n">
        <v>2.2</v>
      </c>
      <c r="H635" t="n">
        <v>0</v>
      </c>
      <c r="I635" t="n">
        <v>0</v>
      </c>
      <c r="J635" t="n">
        <v>0</v>
      </c>
      <c r="K635" t="n">
        <v>0</v>
      </c>
      <c r="L635" t="n">
        <v>0</v>
      </c>
      <c r="M635" t="n">
        <v>0</v>
      </c>
      <c r="N635" t="n">
        <v>0</v>
      </c>
      <c r="O635" t="n">
        <v>0</v>
      </c>
      <c r="P635" t="n">
        <v>0</v>
      </c>
      <c r="Q635" t="n">
        <v>0</v>
      </c>
      <c r="R635" s="2" t="inlineStr"/>
    </row>
    <row r="636" ht="15" customHeight="1">
      <c r="A636" t="inlineStr">
        <is>
          <t>A 56502-2025</t>
        </is>
      </c>
      <c r="B636" s="1" t="n">
        <v>45975</v>
      </c>
      <c r="C636" s="1" t="n">
        <v>46079</v>
      </c>
      <c r="D636" t="inlineStr">
        <is>
          <t>VÄSTMANLANDS LÄN</t>
        </is>
      </c>
      <c r="E636" t="inlineStr">
        <is>
          <t>SALA</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56593-2025</t>
        </is>
      </c>
      <c r="B637" s="1" t="n">
        <v>45975</v>
      </c>
      <c r="C637" s="1" t="n">
        <v>46079</v>
      </c>
      <c r="D637" t="inlineStr">
        <is>
          <t>VÄSTMANLANDS LÄN</t>
        </is>
      </c>
      <c r="E637" t="inlineStr">
        <is>
          <t>SALA</t>
        </is>
      </c>
      <c r="F637" t="inlineStr">
        <is>
          <t>Kyrkan</t>
        </is>
      </c>
      <c r="G637" t="n">
        <v>0.1</v>
      </c>
      <c r="H637" t="n">
        <v>0</v>
      </c>
      <c r="I637" t="n">
        <v>0</v>
      </c>
      <c r="J637" t="n">
        <v>0</v>
      </c>
      <c r="K637" t="n">
        <v>0</v>
      </c>
      <c r="L637" t="n">
        <v>0</v>
      </c>
      <c r="M637" t="n">
        <v>0</v>
      </c>
      <c r="N637" t="n">
        <v>0</v>
      </c>
      <c r="O637" t="n">
        <v>0</v>
      </c>
      <c r="P637" t="n">
        <v>0</v>
      </c>
      <c r="Q637" t="n">
        <v>0</v>
      </c>
      <c r="R637" s="2" t="inlineStr"/>
    </row>
    <row r="638" ht="15" customHeight="1">
      <c r="A638" t="inlineStr">
        <is>
          <t>A 56645-2025</t>
        </is>
      </c>
      <c r="B638" s="1" t="n">
        <v>45975.63063657407</v>
      </c>
      <c r="C638" s="1" t="n">
        <v>46079</v>
      </c>
      <c r="D638" t="inlineStr">
        <is>
          <t>VÄSTMANLANDS LÄN</t>
        </is>
      </c>
      <c r="E638" t="inlineStr">
        <is>
          <t>SALA</t>
        </is>
      </c>
      <c r="F638" t="inlineStr">
        <is>
          <t>Bergvik skog öst AB</t>
        </is>
      </c>
      <c r="G638" t="n">
        <v>5.3</v>
      </c>
      <c r="H638" t="n">
        <v>0</v>
      </c>
      <c r="I638" t="n">
        <v>0</v>
      </c>
      <c r="J638" t="n">
        <v>0</v>
      </c>
      <c r="K638" t="n">
        <v>0</v>
      </c>
      <c r="L638" t="n">
        <v>0</v>
      </c>
      <c r="M638" t="n">
        <v>0</v>
      </c>
      <c r="N638" t="n">
        <v>0</v>
      </c>
      <c r="O638" t="n">
        <v>0</v>
      </c>
      <c r="P638" t="n">
        <v>0</v>
      </c>
      <c r="Q638" t="n">
        <v>0</v>
      </c>
      <c r="R638" s="2" t="inlineStr"/>
    </row>
    <row r="639" ht="15" customHeight="1">
      <c r="A639" t="inlineStr">
        <is>
          <t>A 36049-2025</t>
        </is>
      </c>
      <c r="B639" s="1" t="n">
        <v>45866.37065972222</v>
      </c>
      <c r="C639" s="1" t="n">
        <v>46079</v>
      </c>
      <c r="D639" t="inlineStr">
        <is>
          <t>VÄSTMANLANDS LÄN</t>
        </is>
      </c>
      <c r="E639" t="inlineStr">
        <is>
          <t>SALA</t>
        </is>
      </c>
      <c r="F639" t="inlineStr">
        <is>
          <t>Kommuner</t>
        </is>
      </c>
      <c r="G639" t="n">
        <v>1.9</v>
      </c>
      <c r="H639" t="n">
        <v>0</v>
      </c>
      <c r="I639" t="n">
        <v>0</v>
      </c>
      <c r="J639" t="n">
        <v>0</v>
      </c>
      <c r="K639" t="n">
        <v>0</v>
      </c>
      <c r="L639" t="n">
        <v>0</v>
      </c>
      <c r="M639" t="n">
        <v>0</v>
      </c>
      <c r="N639" t="n">
        <v>0</v>
      </c>
      <c r="O639" t="n">
        <v>0</v>
      </c>
      <c r="P639" t="n">
        <v>0</v>
      </c>
      <c r="Q639" t="n">
        <v>0</v>
      </c>
      <c r="R639" s="2" t="inlineStr"/>
    </row>
    <row r="640" ht="15" customHeight="1">
      <c r="A640" t="inlineStr">
        <is>
          <t>A 36031-2025</t>
        </is>
      </c>
      <c r="B640" s="1" t="n">
        <v>45865.46111111111</v>
      </c>
      <c r="C640" s="1" t="n">
        <v>46079</v>
      </c>
      <c r="D640" t="inlineStr">
        <is>
          <t>VÄSTMANLANDS LÄN</t>
        </is>
      </c>
      <c r="E640" t="inlineStr">
        <is>
          <t>SALA</t>
        </is>
      </c>
      <c r="G640" t="n">
        <v>7.2</v>
      </c>
      <c r="H640" t="n">
        <v>0</v>
      </c>
      <c r="I640" t="n">
        <v>0</v>
      </c>
      <c r="J640" t="n">
        <v>0</v>
      </c>
      <c r="K640" t="n">
        <v>0</v>
      </c>
      <c r="L640" t="n">
        <v>0</v>
      </c>
      <c r="M640" t="n">
        <v>0</v>
      </c>
      <c r="N640" t="n">
        <v>0</v>
      </c>
      <c r="O640" t="n">
        <v>0</v>
      </c>
      <c r="P640" t="n">
        <v>0</v>
      </c>
      <c r="Q640" t="n">
        <v>0</v>
      </c>
      <c r="R640" s="2" t="inlineStr"/>
    </row>
    <row r="641" ht="15" customHeight="1">
      <c r="A641" t="inlineStr">
        <is>
          <t>A 36060-2025</t>
        </is>
      </c>
      <c r="B641" s="1" t="n">
        <v>45866.39469907407</v>
      </c>
      <c r="C641" s="1" t="n">
        <v>46079</v>
      </c>
      <c r="D641" t="inlineStr">
        <is>
          <t>VÄSTMANLANDS LÄN</t>
        </is>
      </c>
      <c r="E641" t="inlineStr">
        <is>
          <t>SALA</t>
        </is>
      </c>
      <c r="F641" t="inlineStr">
        <is>
          <t>Kommuner</t>
        </is>
      </c>
      <c r="G641" t="n">
        <v>4.3</v>
      </c>
      <c r="H641" t="n">
        <v>0</v>
      </c>
      <c r="I641" t="n">
        <v>0</v>
      </c>
      <c r="J641" t="n">
        <v>0</v>
      </c>
      <c r="K641" t="n">
        <v>0</v>
      </c>
      <c r="L641" t="n">
        <v>0</v>
      </c>
      <c r="M641" t="n">
        <v>0</v>
      </c>
      <c r="N641" t="n">
        <v>0</v>
      </c>
      <c r="O641" t="n">
        <v>0</v>
      </c>
      <c r="P641" t="n">
        <v>0</v>
      </c>
      <c r="Q641" t="n">
        <v>0</v>
      </c>
      <c r="R641" s="2" t="inlineStr"/>
    </row>
    <row r="642" ht="15" customHeight="1">
      <c r="A642" t="inlineStr">
        <is>
          <t>A 36032-2025</t>
        </is>
      </c>
      <c r="B642" s="1" t="n">
        <v>45865.48740740741</v>
      </c>
      <c r="C642" s="1" t="n">
        <v>46079</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36043-2025</t>
        </is>
      </c>
      <c r="B643" s="1" t="n">
        <v>45866.35333333333</v>
      </c>
      <c r="C643" s="1" t="n">
        <v>46079</v>
      </c>
      <c r="D643" t="inlineStr">
        <is>
          <t>VÄSTMANLANDS LÄN</t>
        </is>
      </c>
      <c r="E643" t="inlineStr">
        <is>
          <t>SALA</t>
        </is>
      </c>
      <c r="F643" t="inlineStr">
        <is>
          <t>Kommuner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36045-2025</t>
        </is>
      </c>
      <c r="B644" s="1" t="n">
        <v>45866.36200231482</v>
      </c>
      <c r="C644" s="1" t="n">
        <v>46079</v>
      </c>
      <c r="D644" t="inlineStr">
        <is>
          <t>VÄSTMANLANDS LÄN</t>
        </is>
      </c>
      <c r="E644" t="inlineStr">
        <is>
          <t>SALA</t>
        </is>
      </c>
      <c r="F644" t="inlineStr">
        <is>
          <t>Kommuner</t>
        </is>
      </c>
      <c r="G644" t="n">
        <v>1.7</v>
      </c>
      <c r="H644" t="n">
        <v>0</v>
      </c>
      <c r="I644" t="n">
        <v>0</v>
      </c>
      <c r="J644" t="n">
        <v>0</v>
      </c>
      <c r="K644" t="n">
        <v>0</v>
      </c>
      <c r="L644" t="n">
        <v>0</v>
      </c>
      <c r="M644" t="n">
        <v>0</v>
      </c>
      <c r="N644" t="n">
        <v>0</v>
      </c>
      <c r="O644" t="n">
        <v>0</v>
      </c>
      <c r="P644" t="n">
        <v>0</v>
      </c>
      <c r="Q644" t="n">
        <v>0</v>
      </c>
      <c r="R644" s="2" t="inlineStr"/>
    </row>
    <row r="645" ht="15" customHeight="1">
      <c r="A645" t="inlineStr">
        <is>
          <t>A 57412-2025</t>
        </is>
      </c>
      <c r="B645" s="1" t="n">
        <v>45980.44883101852</v>
      </c>
      <c r="C645" s="1" t="n">
        <v>46079</v>
      </c>
      <c r="D645" t="inlineStr">
        <is>
          <t>VÄSTMANLANDS LÄN</t>
        </is>
      </c>
      <c r="E645" t="inlineStr">
        <is>
          <t>SALA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57883-2024</t>
        </is>
      </c>
      <c r="B646" s="1" t="n">
        <v>45630</v>
      </c>
      <c r="C646" s="1" t="n">
        <v>46079</v>
      </c>
      <c r="D646" t="inlineStr">
        <is>
          <t>VÄSTMANLANDS LÄN</t>
        </is>
      </c>
      <c r="E646" t="inlineStr">
        <is>
          <t>SALA</t>
        </is>
      </c>
      <c r="G646" t="n">
        <v>5.4</v>
      </c>
      <c r="H646" t="n">
        <v>0</v>
      </c>
      <c r="I646" t="n">
        <v>0</v>
      </c>
      <c r="J646" t="n">
        <v>0</v>
      </c>
      <c r="K646" t="n">
        <v>0</v>
      </c>
      <c r="L646" t="n">
        <v>0</v>
      </c>
      <c r="M646" t="n">
        <v>0</v>
      </c>
      <c r="N646" t="n">
        <v>0</v>
      </c>
      <c r="O646" t="n">
        <v>0</v>
      </c>
      <c r="P646" t="n">
        <v>0</v>
      </c>
      <c r="Q646" t="n">
        <v>0</v>
      </c>
      <c r="R646" s="2" t="inlineStr"/>
    </row>
    <row r="647" ht="15" customHeight="1">
      <c r="A647" t="inlineStr">
        <is>
          <t>A 57414-2025</t>
        </is>
      </c>
      <c r="B647" s="1" t="n">
        <v>45980.45003472222</v>
      </c>
      <c r="C647" s="1" t="n">
        <v>46079</v>
      </c>
      <c r="D647" t="inlineStr">
        <is>
          <t>VÄSTMANLANDS LÄN</t>
        </is>
      </c>
      <c r="E647" t="inlineStr">
        <is>
          <t>SALA</t>
        </is>
      </c>
      <c r="F647" t="inlineStr">
        <is>
          <t>Bergvik skog öst AB</t>
        </is>
      </c>
      <c r="G647" t="n">
        <v>2</v>
      </c>
      <c r="H647" t="n">
        <v>0</v>
      </c>
      <c r="I647" t="n">
        <v>0</v>
      </c>
      <c r="J647" t="n">
        <v>0</v>
      </c>
      <c r="K647" t="n">
        <v>0</v>
      </c>
      <c r="L647" t="n">
        <v>0</v>
      </c>
      <c r="M647" t="n">
        <v>0</v>
      </c>
      <c r="N647" t="n">
        <v>0</v>
      </c>
      <c r="O647" t="n">
        <v>0</v>
      </c>
      <c r="P647" t="n">
        <v>0</v>
      </c>
      <c r="Q647" t="n">
        <v>0</v>
      </c>
      <c r="R647" s="2" t="inlineStr"/>
    </row>
    <row r="648" ht="15" customHeight="1">
      <c r="A648" t="inlineStr">
        <is>
          <t>A 57415-2025</t>
        </is>
      </c>
      <c r="B648" s="1" t="n">
        <v>45980.45099537037</v>
      </c>
      <c r="C648" s="1" t="n">
        <v>46079</v>
      </c>
      <c r="D648" t="inlineStr">
        <is>
          <t>VÄSTMANLANDS LÄN</t>
        </is>
      </c>
      <c r="E648" t="inlineStr">
        <is>
          <t>SALA</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50876-2023</t>
        </is>
      </c>
      <c r="B649" s="1" t="n">
        <v>45211</v>
      </c>
      <c r="C649" s="1" t="n">
        <v>46079</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37624-2024</t>
        </is>
      </c>
      <c r="B650" s="1" t="n">
        <v>45541</v>
      </c>
      <c r="C650" s="1" t="n">
        <v>46079</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17985-2025</t>
        </is>
      </c>
      <c r="B651" s="1" t="n">
        <v>45761</v>
      </c>
      <c r="C651" s="1" t="n">
        <v>46079</v>
      </c>
      <c r="D651" t="inlineStr">
        <is>
          <t>VÄSTMANLANDS LÄN</t>
        </is>
      </c>
      <c r="E651" t="inlineStr">
        <is>
          <t>SALA</t>
        </is>
      </c>
      <c r="G651" t="n">
        <v>12.5</v>
      </c>
      <c r="H651" t="n">
        <v>0</v>
      </c>
      <c r="I651" t="n">
        <v>0</v>
      </c>
      <c r="J651" t="n">
        <v>0</v>
      </c>
      <c r="K651" t="n">
        <v>0</v>
      </c>
      <c r="L651" t="n">
        <v>0</v>
      </c>
      <c r="M651" t="n">
        <v>0</v>
      </c>
      <c r="N651" t="n">
        <v>0</v>
      </c>
      <c r="O651" t="n">
        <v>0</v>
      </c>
      <c r="P651" t="n">
        <v>0</v>
      </c>
      <c r="Q651" t="n">
        <v>0</v>
      </c>
      <c r="R651" s="2" t="inlineStr"/>
    </row>
    <row r="652" ht="15" customHeight="1">
      <c r="A652" t="inlineStr">
        <is>
          <t>A 31869-2025</t>
        </is>
      </c>
      <c r="B652" s="1" t="n">
        <v>45834.64555555556</v>
      </c>
      <c r="C652" s="1" t="n">
        <v>46079</v>
      </c>
      <c r="D652" t="inlineStr">
        <is>
          <t>VÄSTMANLANDS LÄN</t>
        </is>
      </c>
      <c r="E652" t="inlineStr">
        <is>
          <t>SALA</t>
        </is>
      </c>
      <c r="G652" t="n">
        <v>17.5</v>
      </c>
      <c r="H652" t="n">
        <v>0</v>
      </c>
      <c r="I652" t="n">
        <v>0</v>
      </c>
      <c r="J652" t="n">
        <v>0</v>
      </c>
      <c r="K652" t="n">
        <v>0</v>
      </c>
      <c r="L652" t="n">
        <v>0</v>
      </c>
      <c r="M652" t="n">
        <v>0</v>
      </c>
      <c r="N652" t="n">
        <v>0</v>
      </c>
      <c r="O652" t="n">
        <v>0</v>
      </c>
      <c r="P652" t="n">
        <v>0</v>
      </c>
      <c r="Q652" t="n">
        <v>0</v>
      </c>
      <c r="R652" s="2" t="inlineStr"/>
    </row>
    <row r="653" ht="15" customHeight="1">
      <c r="A653" t="inlineStr">
        <is>
          <t>A 40398-2021</t>
        </is>
      </c>
      <c r="B653" s="1" t="n">
        <v>44419</v>
      </c>
      <c r="C653" s="1" t="n">
        <v>46079</v>
      </c>
      <c r="D653" t="inlineStr">
        <is>
          <t>VÄSTMANLANDS LÄN</t>
        </is>
      </c>
      <c r="E653" t="inlineStr">
        <is>
          <t>SALA</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31863-2025</t>
        </is>
      </c>
      <c r="B654" s="1" t="n">
        <v>45834.63303240741</v>
      </c>
      <c r="C654" s="1" t="n">
        <v>46079</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6351-2023</t>
        </is>
      </c>
      <c r="B655" s="1" t="n">
        <v>44965</v>
      </c>
      <c r="C655" s="1" t="n">
        <v>46079</v>
      </c>
      <c r="D655" t="inlineStr">
        <is>
          <t>VÄSTMANLANDS LÄN</t>
        </is>
      </c>
      <c r="E655" t="inlineStr">
        <is>
          <t>SALA</t>
        </is>
      </c>
      <c r="F655" t="inlineStr">
        <is>
          <t>Kommuner</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17766-2025</t>
        </is>
      </c>
      <c r="B656" s="1" t="n">
        <v>45758</v>
      </c>
      <c r="C656" s="1" t="n">
        <v>46079</v>
      </c>
      <c r="D656" t="inlineStr">
        <is>
          <t>VÄSTMANLANDS LÄN</t>
        </is>
      </c>
      <c r="E656" t="inlineStr">
        <is>
          <t>SALA</t>
        </is>
      </c>
      <c r="G656" t="n">
        <v>16.5</v>
      </c>
      <c r="H656" t="n">
        <v>0</v>
      </c>
      <c r="I656" t="n">
        <v>0</v>
      </c>
      <c r="J656" t="n">
        <v>0</v>
      </c>
      <c r="K656" t="n">
        <v>0</v>
      </c>
      <c r="L656" t="n">
        <v>0</v>
      </c>
      <c r="M656" t="n">
        <v>0</v>
      </c>
      <c r="N656" t="n">
        <v>0</v>
      </c>
      <c r="O656" t="n">
        <v>0</v>
      </c>
      <c r="P656" t="n">
        <v>0</v>
      </c>
      <c r="Q656" t="n">
        <v>0</v>
      </c>
      <c r="R656" s="2" t="inlineStr"/>
    </row>
    <row r="657" ht="15" customHeight="1">
      <c r="A657" t="inlineStr">
        <is>
          <t>A 7664-2023</t>
        </is>
      </c>
      <c r="B657" s="1" t="n">
        <v>44972</v>
      </c>
      <c r="C657" s="1" t="n">
        <v>46079</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3546-2025</t>
        </is>
      </c>
      <c r="B658" s="1" t="n">
        <v>45680</v>
      </c>
      <c r="C658" s="1" t="n">
        <v>46079</v>
      </c>
      <c r="D658" t="inlineStr">
        <is>
          <t>VÄSTMANLANDS LÄN</t>
        </is>
      </c>
      <c r="E658" t="inlineStr">
        <is>
          <t>SALA</t>
        </is>
      </c>
      <c r="G658" t="n">
        <v>0.4</v>
      </c>
      <c r="H658" t="n">
        <v>0</v>
      </c>
      <c r="I658" t="n">
        <v>0</v>
      </c>
      <c r="J658" t="n">
        <v>0</v>
      </c>
      <c r="K658" t="n">
        <v>0</v>
      </c>
      <c r="L658" t="n">
        <v>0</v>
      </c>
      <c r="M658" t="n">
        <v>0</v>
      </c>
      <c r="N658" t="n">
        <v>0</v>
      </c>
      <c r="O658" t="n">
        <v>0</v>
      </c>
      <c r="P658" t="n">
        <v>0</v>
      </c>
      <c r="Q658" t="n">
        <v>0</v>
      </c>
      <c r="R658" s="2" t="inlineStr"/>
    </row>
    <row r="659" ht="15" customHeight="1">
      <c r="A659" t="inlineStr">
        <is>
          <t>A 27262-2024</t>
        </is>
      </c>
      <c r="B659" s="1" t="n">
        <v>45471</v>
      </c>
      <c r="C659" s="1" t="n">
        <v>46079</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15584-2021</t>
        </is>
      </c>
      <c r="B660" s="1" t="n">
        <v>44285</v>
      </c>
      <c r="C660" s="1" t="n">
        <v>46079</v>
      </c>
      <c r="D660" t="inlineStr">
        <is>
          <t>VÄSTMANLANDS LÄN</t>
        </is>
      </c>
      <c r="E660" t="inlineStr">
        <is>
          <t>SALA</t>
        </is>
      </c>
      <c r="G660" t="n">
        <v>3.4</v>
      </c>
      <c r="H660" t="n">
        <v>0</v>
      </c>
      <c r="I660" t="n">
        <v>0</v>
      </c>
      <c r="J660" t="n">
        <v>0</v>
      </c>
      <c r="K660" t="n">
        <v>0</v>
      </c>
      <c r="L660" t="n">
        <v>0</v>
      </c>
      <c r="M660" t="n">
        <v>0</v>
      </c>
      <c r="N660" t="n">
        <v>0</v>
      </c>
      <c r="O660" t="n">
        <v>0</v>
      </c>
      <c r="P660" t="n">
        <v>0</v>
      </c>
      <c r="Q660" t="n">
        <v>0</v>
      </c>
      <c r="R660" s="2" t="inlineStr"/>
    </row>
    <row r="661" ht="15" customHeight="1">
      <c r="A661" t="inlineStr">
        <is>
          <t>A 58357-2025</t>
        </is>
      </c>
      <c r="B661" s="1" t="n">
        <v>45985.51518518518</v>
      </c>
      <c r="C661" s="1" t="n">
        <v>46079</v>
      </c>
      <c r="D661" t="inlineStr">
        <is>
          <t>VÄSTMANLANDS LÄN</t>
        </is>
      </c>
      <c r="E661" t="inlineStr">
        <is>
          <t>SALA</t>
        </is>
      </c>
      <c r="G661" t="n">
        <v>3</v>
      </c>
      <c r="H661" t="n">
        <v>0</v>
      </c>
      <c r="I661" t="n">
        <v>0</v>
      </c>
      <c r="J661" t="n">
        <v>0</v>
      </c>
      <c r="K661" t="n">
        <v>0</v>
      </c>
      <c r="L661" t="n">
        <v>0</v>
      </c>
      <c r="M661" t="n">
        <v>0</v>
      </c>
      <c r="N661" t="n">
        <v>0</v>
      </c>
      <c r="O661" t="n">
        <v>0</v>
      </c>
      <c r="P661" t="n">
        <v>0</v>
      </c>
      <c r="Q661" t="n">
        <v>0</v>
      </c>
      <c r="R661" s="2" t="inlineStr"/>
    </row>
    <row r="662" ht="15" customHeight="1">
      <c r="A662" t="inlineStr">
        <is>
          <t>A 55760-2025</t>
        </is>
      </c>
      <c r="B662" s="1" t="n">
        <v>45972</v>
      </c>
      <c r="C662" s="1" t="n">
        <v>46079</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58365-2025</t>
        </is>
      </c>
      <c r="B663" s="1" t="n">
        <v>45985.52288194445</v>
      </c>
      <c r="C663" s="1" t="n">
        <v>46079</v>
      </c>
      <c r="D663" t="inlineStr">
        <is>
          <t>VÄSTMANLANDS LÄN</t>
        </is>
      </c>
      <c r="E663" t="inlineStr">
        <is>
          <t>SALA</t>
        </is>
      </c>
      <c r="G663" t="n">
        <v>3.9</v>
      </c>
      <c r="H663" t="n">
        <v>0</v>
      </c>
      <c r="I663" t="n">
        <v>0</v>
      </c>
      <c r="J663" t="n">
        <v>0</v>
      </c>
      <c r="K663" t="n">
        <v>0</v>
      </c>
      <c r="L663" t="n">
        <v>0</v>
      </c>
      <c r="M663" t="n">
        <v>0</v>
      </c>
      <c r="N663" t="n">
        <v>0</v>
      </c>
      <c r="O663" t="n">
        <v>0</v>
      </c>
      <c r="P663" t="n">
        <v>0</v>
      </c>
      <c r="Q663" t="n">
        <v>0</v>
      </c>
      <c r="R663" s="2" t="inlineStr"/>
    </row>
    <row r="664" ht="15" customHeight="1">
      <c r="A664" t="inlineStr">
        <is>
          <t>A 23119-2022</t>
        </is>
      </c>
      <c r="B664" s="1" t="n">
        <v>44719.56697916667</v>
      </c>
      <c r="C664" s="1" t="n">
        <v>46079</v>
      </c>
      <c r="D664" t="inlineStr">
        <is>
          <t>VÄSTMANLANDS LÄN</t>
        </is>
      </c>
      <c r="E664" t="inlineStr">
        <is>
          <t>SALA</t>
        </is>
      </c>
      <c r="G664" t="n">
        <v>7</v>
      </c>
      <c r="H664" t="n">
        <v>0</v>
      </c>
      <c r="I664" t="n">
        <v>0</v>
      </c>
      <c r="J664" t="n">
        <v>0</v>
      </c>
      <c r="K664" t="n">
        <v>0</v>
      </c>
      <c r="L664" t="n">
        <v>0</v>
      </c>
      <c r="M664" t="n">
        <v>0</v>
      </c>
      <c r="N664" t="n">
        <v>0</v>
      </c>
      <c r="O664" t="n">
        <v>0</v>
      </c>
      <c r="P664" t="n">
        <v>0</v>
      </c>
      <c r="Q664" t="n">
        <v>0</v>
      </c>
      <c r="R664" s="2" t="inlineStr"/>
    </row>
    <row r="665" ht="15" customHeight="1">
      <c r="A665" t="inlineStr">
        <is>
          <t>A 58282-2025</t>
        </is>
      </c>
      <c r="B665" s="1" t="n">
        <v>45985.44309027777</v>
      </c>
      <c r="C665" s="1" t="n">
        <v>46079</v>
      </c>
      <c r="D665" t="inlineStr">
        <is>
          <t>VÄSTMANLANDS LÄN</t>
        </is>
      </c>
      <c r="E665" t="inlineStr">
        <is>
          <t>SALA</t>
        </is>
      </c>
      <c r="G665" t="n">
        <v>8.9</v>
      </c>
      <c r="H665" t="n">
        <v>0</v>
      </c>
      <c r="I665" t="n">
        <v>0</v>
      </c>
      <c r="J665" t="n">
        <v>0</v>
      </c>
      <c r="K665" t="n">
        <v>0</v>
      </c>
      <c r="L665" t="n">
        <v>0</v>
      </c>
      <c r="M665" t="n">
        <v>0</v>
      </c>
      <c r="N665" t="n">
        <v>0</v>
      </c>
      <c r="O665" t="n">
        <v>0</v>
      </c>
      <c r="P665" t="n">
        <v>0</v>
      </c>
      <c r="Q665" t="n">
        <v>0</v>
      </c>
      <c r="R665" s="2" t="inlineStr"/>
    </row>
    <row r="666" ht="15" customHeight="1">
      <c r="A666" t="inlineStr">
        <is>
          <t>A 58359-2025</t>
        </is>
      </c>
      <c r="B666" s="1" t="n">
        <v>45985.51594907408</v>
      </c>
      <c r="C666" s="1" t="n">
        <v>46079</v>
      </c>
      <c r="D666" t="inlineStr">
        <is>
          <t>VÄSTMANLANDS LÄN</t>
        </is>
      </c>
      <c r="E666" t="inlineStr">
        <is>
          <t>SALA</t>
        </is>
      </c>
      <c r="G666" t="n">
        <v>3.7</v>
      </c>
      <c r="H666" t="n">
        <v>0</v>
      </c>
      <c r="I666" t="n">
        <v>0</v>
      </c>
      <c r="J666" t="n">
        <v>0</v>
      </c>
      <c r="K666" t="n">
        <v>0</v>
      </c>
      <c r="L666" t="n">
        <v>0</v>
      </c>
      <c r="M666" t="n">
        <v>0</v>
      </c>
      <c r="N666" t="n">
        <v>0</v>
      </c>
      <c r="O666" t="n">
        <v>0</v>
      </c>
      <c r="P666" t="n">
        <v>0</v>
      </c>
      <c r="Q666" t="n">
        <v>0</v>
      </c>
      <c r="R666" s="2" t="inlineStr"/>
    </row>
    <row r="667" ht="15" customHeight="1">
      <c r="A667" t="inlineStr">
        <is>
          <t>A 58364-2025</t>
        </is>
      </c>
      <c r="B667" s="1" t="n">
        <v>45985.5228125</v>
      </c>
      <c r="C667" s="1" t="n">
        <v>46079</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43751-2021</t>
        </is>
      </c>
      <c r="B668" s="1" t="n">
        <v>44433</v>
      </c>
      <c r="C668" s="1" t="n">
        <v>46079</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59483-2022</t>
        </is>
      </c>
      <c r="B669" s="1" t="n">
        <v>44907.45679398148</v>
      </c>
      <c r="C669" s="1" t="n">
        <v>46079</v>
      </c>
      <c r="D669" t="inlineStr">
        <is>
          <t>VÄSTMANLANDS LÄN</t>
        </is>
      </c>
      <c r="E669" t="inlineStr">
        <is>
          <t>SALA</t>
        </is>
      </c>
      <c r="G669" t="n">
        <v>5.2</v>
      </c>
      <c r="H669" t="n">
        <v>0</v>
      </c>
      <c r="I669" t="n">
        <v>0</v>
      </c>
      <c r="J669" t="n">
        <v>0</v>
      </c>
      <c r="K669" t="n">
        <v>0</v>
      </c>
      <c r="L669" t="n">
        <v>0</v>
      </c>
      <c r="M669" t="n">
        <v>0</v>
      </c>
      <c r="N669" t="n">
        <v>0</v>
      </c>
      <c r="O669" t="n">
        <v>0</v>
      </c>
      <c r="P669" t="n">
        <v>0</v>
      </c>
      <c r="Q669" t="n">
        <v>0</v>
      </c>
      <c r="R669" s="2" t="inlineStr"/>
    </row>
    <row r="670" ht="15" customHeight="1">
      <c r="A670" t="inlineStr">
        <is>
          <t>A 37017-2025</t>
        </is>
      </c>
      <c r="B670" s="1" t="n">
        <v>45874</v>
      </c>
      <c r="C670" s="1" t="n">
        <v>46079</v>
      </c>
      <c r="D670" t="inlineStr">
        <is>
          <t>VÄSTMANLANDS LÄN</t>
        </is>
      </c>
      <c r="E670" t="inlineStr">
        <is>
          <t>SALA</t>
        </is>
      </c>
      <c r="G670" t="n">
        <v>11.1</v>
      </c>
      <c r="H670" t="n">
        <v>0</v>
      </c>
      <c r="I670" t="n">
        <v>0</v>
      </c>
      <c r="J670" t="n">
        <v>0</v>
      </c>
      <c r="K670" t="n">
        <v>0</v>
      </c>
      <c r="L670" t="n">
        <v>0</v>
      </c>
      <c r="M670" t="n">
        <v>0</v>
      </c>
      <c r="N670" t="n">
        <v>0</v>
      </c>
      <c r="O670" t="n">
        <v>0</v>
      </c>
      <c r="P670" t="n">
        <v>0</v>
      </c>
      <c r="Q670" t="n">
        <v>0</v>
      </c>
      <c r="R670" s="2" t="inlineStr"/>
    </row>
    <row r="671" ht="15" customHeight="1">
      <c r="A671" t="inlineStr">
        <is>
          <t>A 51247-2025</t>
        </is>
      </c>
      <c r="B671" s="1" t="n">
        <v>45947.86487268518</v>
      </c>
      <c r="C671" s="1" t="n">
        <v>46079</v>
      </c>
      <c r="D671" t="inlineStr">
        <is>
          <t>VÄSTMANLANDS LÄN</t>
        </is>
      </c>
      <c r="E671" t="inlineStr">
        <is>
          <t>SALA</t>
        </is>
      </c>
      <c r="G671" t="n">
        <v>10.4</v>
      </c>
      <c r="H671" t="n">
        <v>0</v>
      </c>
      <c r="I671" t="n">
        <v>0</v>
      </c>
      <c r="J671" t="n">
        <v>0</v>
      </c>
      <c r="K671" t="n">
        <v>0</v>
      </c>
      <c r="L671" t="n">
        <v>0</v>
      </c>
      <c r="M671" t="n">
        <v>0</v>
      </c>
      <c r="N671" t="n">
        <v>0</v>
      </c>
      <c r="O671" t="n">
        <v>0</v>
      </c>
      <c r="P671" t="n">
        <v>0</v>
      </c>
      <c r="Q671" t="n">
        <v>0</v>
      </c>
      <c r="R671" s="2" t="inlineStr"/>
    </row>
    <row r="672" ht="15" customHeight="1">
      <c r="A672" t="inlineStr">
        <is>
          <t>A 73673-2021</t>
        </is>
      </c>
      <c r="B672" s="1" t="n">
        <v>44552.46501157407</v>
      </c>
      <c r="C672" s="1" t="n">
        <v>46079</v>
      </c>
      <c r="D672" t="inlineStr">
        <is>
          <t>VÄSTMANLANDS LÄN</t>
        </is>
      </c>
      <c r="E672" t="inlineStr">
        <is>
          <t>SALA</t>
        </is>
      </c>
      <c r="G672" t="n">
        <v>11.4</v>
      </c>
      <c r="H672" t="n">
        <v>0</v>
      </c>
      <c r="I672" t="n">
        <v>0</v>
      </c>
      <c r="J672" t="n">
        <v>0</v>
      </c>
      <c r="K672" t="n">
        <v>0</v>
      </c>
      <c r="L672" t="n">
        <v>0</v>
      </c>
      <c r="M672" t="n">
        <v>0</v>
      </c>
      <c r="N672" t="n">
        <v>0</v>
      </c>
      <c r="O672" t="n">
        <v>0</v>
      </c>
      <c r="P672" t="n">
        <v>0</v>
      </c>
      <c r="Q672" t="n">
        <v>0</v>
      </c>
      <c r="R672" s="2" t="inlineStr"/>
    </row>
    <row r="673" ht="15" customHeight="1">
      <c r="A673" t="inlineStr">
        <is>
          <t>A 37103-2025</t>
        </is>
      </c>
      <c r="B673" s="1" t="n">
        <v>45875.47743055555</v>
      </c>
      <c r="C673" s="1" t="n">
        <v>46079</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37246-2025</t>
        </is>
      </c>
      <c r="B674" s="1" t="n">
        <v>45876.39435185185</v>
      </c>
      <c r="C674" s="1" t="n">
        <v>46079</v>
      </c>
      <c r="D674" t="inlineStr">
        <is>
          <t>VÄSTMANLANDS LÄN</t>
        </is>
      </c>
      <c r="E674" t="inlineStr">
        <is>
          <t>SALA</t>
        </is>
      </c>
      <c r="G674" t="n">
        <v>2.3</v>
      </c>
      <c r="H674" t="n">
        <v>0</v>
      </c>
      <c r="I674" t="n">
        <v>0</v>
      </c>
      <c r="J674" t="n">
        <v>0</v>
      </c>
      <c r="K674" t="n">
        <v>0</v>
      </c>
      <c r="L674" t="n">
        <v>0</v>
      </c>
      <c r="M674" t="n">
        <v>0</v>
      </c>
      <c r="N674" t="n">
        <v>0</v>
      </c>
      <c r="O674" t="n">
        <v>0</v>
      </c>
      <c r="P674" t="n">
        <v>0</v>
      </c>
      <c r="Q674" t="n">
        <v>0</v>
      </c>
      <c r="R674" s="2" t="inlineStr"/>
    </row>
    <row r="675" ht="15" customHeight="1">
      <c r="A675" t="inlineStr">
        <is>
          <t>A 4853-2023</t>
        </is>
      </c>
      <c r="B675" s="1" t="n">
        <v>44957.73234953704</v>
      </c>
      <c r="C675" s="1" t="n">
        <v>46079</v>
      </c>
      <c r="D675" t="inlineStr">
        <is>
          <t>VÄSTMANLANDS LÄN</t>
        </is>
      </c>
      <c r="E675" t="inlineStr">
        <is>
          <t>SALA</t>
        </is>
      </c>
      <c r="G675" t="n">
        <v>2.7</v>
      </c>
      <c r="H675" t="n">
        <v>0</v>
      </c>
      <c r="I675" t="n">
        <v>0</v>
      </c>
      <c r="J675" t="n">
        <v>0</v>
      </c>
      <c r="K675" t="n">
        <v>0</v>
      </c>
      <c r="L675" t="n">
        <v>0</v>
      </c>
      <c r="M675" t="n">
        <v>0</v>
      </c>
      <c r="N675" t="n">
        <v>0</v>
      </c>
      <c r="O675" t="n">
        <v>0</v>
      </c>
      <c r="P675" t="n">
        <v>0</v>
      </c>
      <c r="Q675" t="n">
        <v>0</v>
      </c>
      <c r="R675" s="2" t="inlineStr"/>
    </row>
    <row r="676" ht="15" customHeight="1">
      <c r="A676" t="inlineStr">
        <is>
          <t>A 37590-2025</t>
        </is>
      </c>
      <c r="B676" s="1" t="n">
        <v>45880.41138888889</v>
      </c>
      <c r="C676" s="1" t="n">
        <v>46079</v>
      </c>
      <c r="D676" t="inlineStr">
        <is>
          <t>VÄSTMANLANDS LÄN</t>
        </is>
      </c>
      <c r="E676" t="inlineStr">
        <is>
          <t>SALA</t>
        </is>
      </c>
      <c r="G676" t="n">
        <v>2.2</v>
      </c>
      <c r="H676" t="n">
        <v>0</v>
      </c>
      <c r="I676" t="n">
        <v>0</v>
      </c>
      <c r="J676" t="n">
        <v>0</v>
      </c>
      <c r="K676" t="n">
        <v>0</v>
      </c>
      <c r="L676" t="n">
        <v>0</v>
      </c>
      <c r="M676" t="n">
        <v>0</v>
      </c>
      <c r="N676" t="n">
        <v>0</v>
      </c>
      <c r="O676" t="n">
        <v>0</v>
      </c>
      <c r="P676" t="n">
        <v>0</v>
      </c>
      <c r="Q676" t="n">
        <v>0</v>
      </c>
      <c r="R676" s="2" t="inlineStr"/>
    </row>
    <row r="677" ht="15" customHeight="1">
      <c r="A677" t="inlineStr">
        <is>
          <t>A 37593-2025</t>
        </is>
      </c>
      <c r="B677" s="1" t="n">
        <v>45880.41325231481</v>
      </c>
      <c r="C677" s="1" t="n">
        <v>46079</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59817-2025</t>
        </is>
      </c>
      <c r="B678" s="1" t="n">
        <v>45992.63711805556</v>
      </c>
      <c r="C678" s="1" t="n">
        <v>46079</v>
      </c>
      <c r="D678" t="inlineStr">
        <is>
          <t>VÄSTMANLANDS LÄN</t>
        </is>
      </c>
      <c r="E678" t="inlineStr">
        <is>
          <t>SALA</t>
        </is>
      </c>
      <c r="G678" t="n">
        <v>6.9</v>
      </c>
      <c r="H678" t="n">
        <v>0</v>
      </c>
      <c r="I678" t="n">
        <v>0</v>
      </c>
      <c r="J678" t="n">
        <v>0</v>
      </c>
      <c r="K678" t="n">
        <v>0</v>
      </c>
      <c r="L678" t="n">
        <v>0</v>
      </c>
      <c r="M678" t="n">
        <v>0</v>
      </c>
      <c r="N678" t="n">
        <v>0</v>
      </c>
      <c r="O678" t="n">
        <v>0</v>
      </c>
      <c r="P678" t="n">
        <v>0</v>
      </c>
      <c r="Q678" t="n">
        <v>0</v>
      </c>
      <c r="R678" s="2" t="inlineStr"/>
    </row>
    <row r="679" ht="15" customHeight="1">
      <c r="A679" t="inlineStr">
        <is>
          <t>A 1993-2022</t>
        </is>
      </c>
      <c r="B679" s="1" t="n">
        <v>44575</v>
      </c>
      <c r="C679" s="1" t="n">
        <v>46079</v>
      </c>
      <c r="D679" t="inlineStr">
        <is>
          <t>VÄSTMANLANDS LÄN</t>
        </is>
      </c>
      <c r="E679" t="inlineStr">
        <is>
          <t>SALA</t>
        </is>
      </c>
      <c r="G679" t="n">
        <v>1.6</v>
      </c>
      <c r="H679" t="n">
        <v>0</v>
      </c>
      <c r="I679" t="n">
        <v>0</v>
      </c>
      <c r="J679" t="n">
        <v>0</v>
      </c>
      <c r="K679" t="n">
        <v>0</v>
      </c>
      <c r="L679" t="n">
        <v>0</v>
      </c>
      <c r="M679" t="n">
        <v>0</v>
      </c>
      <c r="N679" t="n">
        <v>0</v>
      </c>
      <c r="O679" t="n">
        <v>0</v>
      </c>
      <c r="P679" t="n">
        <v>0</v>
      </c>
      <c r="Q679" t="n">
        <v>0</v>
      </c>
      <c r="R679" s="2" t="inlineStr"/>
    </row>
    <row r="680" ht="15" customHeight="1">
      <c r="A680" t="inlineStr">
        <is>
          <t>A 59390-2025</t>
        </is>
      </c>
      <c r="B680" s="1" t="n">
        <v>45989.4640162037</v>
      </c>
      <c r="C680" s="1" t="n">
        <v>46079</v>
      </c>
      <c r="D680" t="inlineStr">
        <is>
          <t>VÄSTMANLANDS LÄN</t>
        </is>
      </c>
      <c r="E680" t="inlineStr">
        <is>
          <t>SALA</t>
        </is>
      </c>
      <c r="G680" t="n">
        <v>1.8</v>
      </c>
      <c r="H680" t="n">
        <v>0</v>
      </c>
      <c r="I680" t="n">
        <v>0</v>
      </c>
      <c r="J680" t="n">
        <v>0</v>
      </c>
      <c r="K680" t="n">
        <v>0</v>
      </c>
      <c r="L680" t="n">
        <v>0</v>
      </c>
      <c r="M680" t="n">
        <v>0</v>
      </c>
      <c r="N680" t="n">
        <v>0</v>
      </c>
      <c r="O680" t="n">
        <v>0</v>
      </c>
      <c r="P680" t="n">
        <v>0</v>
      </c>
      <c r="Q680" t="n">
        <v>0</v>
      </c>
      <c r="R680" s="2" t="inlineStr"/>
    </row>
    <row r="681" ht="15" customHeight="1">
      <c r="A681" t="inlineStr">
        <is>
          <t>A 59385-2025</t>
        </is>
      </c>
      <c r="B681" s="1" t="n">
        <v>45989.45746527778</v>
      </c>
      <c r="C681" s="1" t="n">
        <v>46079</v>
      </c>
      <c r="D681" t="inlineStr">
        <is>
          <t>VÄSTMANLANDS LÄN</t>
        </is>
      </c>
      <c r="E681" t="inlineStr">
        <is>
          <t>SALA</t>
        </is>
      </c>
      <c r="G681" t="n">
        <v>0.4</v>
      </c>
      <c r="H681" t="n">
        <v>0</v>
      </c>
      <c r="I681" t="n">
        <v>0</v>
      </c>
      <c r="J681" t="n">
        <v>0</v>
      </c>
      <c r="K681" t="n">
        <v>0</v>
      </c>
      <c r="L681" t="n">
        <v>0</v>
      </c>
      <c r="M681" t="n">
        <v>0</v>
      </c>
      <c r="N681" t="n">
        <v>0</v>
      </c>
      <c r="O681" t="n">
        <v>0</v>
      </c>
      <c r="P681" t="n">
        <v>0</v>
      </c>
      <c r="Q681" t="n">
        <v>0</v>
      </c>
      <c r="R681" s="2" t="inlineStr"/>
    </row>
    <row r="682" ht="15" customHeight="1">
      <c r="A682" t="inlineStr">
        <is>
          <t>A 43359-2024</t>
        </is>
      </c>
      <c r="B682" s="1" t="n">
        <v>45568.57724537037</v>
      </c>
      <c r="C682" s="1" t="n">
        <v>46079</v>
      </c>
      <c r="D682" t="inlineStr">
        <is>
          <t>VÄSTMANLANDS LÄN</t>
        </is>
      </c>
      <c r="E682" t="inlineStr">
        <is>
          <t>SALA</t>
        </is>
      </c>
      <c r="G682" t="n">
        <v>1.6</v>
      </c>
      <c r="H682" t="n">
        <v>0</v>
      </c>
      <c r="I682" t="n">
        <v>0</v>
      </c>
      <c r="J682" t="n">
        <v>0</v>
      </c>
      <c r="K682" t="n">
        <v>0</v>
      </c>
      <c r="L682" t="n">
        <v>0</v>
      </c>
      <c r="M682" t="n">
        <v>0</v>
      </c>
      <c r="N682" t="n">
        <v>0</v>
      </c>
      <c r="O682" t="n">
        <v>0</v>
      </c>
      <c r="P682" t="n">
        <v>0</v>
      </c>
      <c r="Q682" t="n">
        <v>0</v>
      </c>
      <c r="R682" s="2" t="inlineStr"/>
    </row>
    <row r="683" ht="15" customHeight="1">
      <c r="A683" t="inlineStr">
        <is>
          <t>A 1793-2023</t>
        </is>
      </c>
      <c r="B683" s="1" t="n">
        <v>44937</v>
      </c>
      <c r="C683" s="1" t="n">
        <v>46079</v>
      </c>
      <c r="D683" t="inlineStr">
        <is>
          <t>VÄSTMANLANDS LÄN</t>
        </is>
      </c>
      <c r="E683" t="inlineStr">
        <is>
          <t>SALA</t>
        </is>
      </c>
      <c r="G683" t="n">
        <v>2.6</v>
      </c>
      <c r="H683" t="n">
        <v>0</v>
      </c>
      <c r="I683" t="n">
        <v>0</v>
      </c>
      <c r="J683" t="n">
        <v>0</v>
      </c>
      <c r="K683" t="n">
        <v>0</v>
      </c>
      <c r="L683" t="n">
        <v>0</v>
      </c>
      <c r="M683" t="n">
        <v>0</v>
      </c>
      <c r="N683" t="n">
        <v>0</v>
      </c>
      <c r="O683" t="n">
        <v>0</v>
      </c>
      <c r="P683" t="n">
        <v>0</v>
      </c>
      <c r="Q683" t="n">
        <v>0</v>
      </c>
      <c r="R683" s="2" t="inlineStr"/>
    </row>
    <row r="684" ht="15" customHeight="1">
      <c r="A684" t="inlineStr">
        <is>
          <t>A 29972-2025</t>
        </is>
      </c>
      <c r="B684" s="1" t="n">
        <v>45826</v>
      </c>
      <c r="C684" s="1" t="n">
        <v>46079</v>
      </c>
      <c r="D684" t="inlineStr">
        <is>
          <t>VÄSTMANLANDS LÄN</t>
        </is>
      </c>
      <c r="E684" t="inlineStr">
        <is>
          <t>SALA</t>
        </is>
      </c>
      <c r="G684" t="n">
        <v>2.7</v>
      </c>
      <c r="H684" t="n">
        <v>0</v>
      </c>
      <c r="I684" t="n">
        <v>0</v>
      </c>
      <c r="J684" t="n">
        <v>0</v>
      </c>
      <c r="K684" t="n">
        <v>0</v>
      </c>
      <c r="L684" t="n">
        <v>0</v>
      </c>
      <c r="M684" t="n">
        <v>0</v>
      </c>
      <c r="N684" t="n">
        <v>0</v>
      </c>
      <c r="O684" t="n">
        <v>0</v>
      </c>
      <c r="P684" t="n">
        <v>0</v>
      </c>
      <c r="Q684" t="n">
        <v>0</v>
      </c>
      <c r="R684" s="2" t="inlineStr"/>
    </row>
    <row r="685" ht="15" customHeight="1">
      <c r="A685" t="inlineStr">
        <is>
          <t>A 60017-2025</t>
        </is>
      </c>
      <c r="B685" s="1" t="n">
        <v>45993.59998842593</v>
      </c>
      <c r="C685" s="1" t="n">
        <v>46079</v>
      </c>
      <c r="D685" t="inlineStr">
        <is>
          <t>VÄSTMANLANDS LÄN</t>
        </is>
      </c>
      <c r="E685" t="inlineStr">
        <is>
          <t>SALA</t>
        </is>
      </c>
      <c r="G685" t="n">
        <v>4.4</v>
      </c>
      <c r="H685" t="n">
        <v>0</v>
      </c>
      <c r="I685" t="n">
        <v>0</v>
      </c>
      <c r="J685" t="n">
        <v>0</v>
      </c>
      <c r="K685" t="n">
        <v>0</v>
      </c>
      <c r="L685" t="n">
        <v>0</v>
      </c>
      <c r="M685" t="n">
        <v>0</v>
      </c>
      <c r="N685" t="n">
        <v>0</v>
      </c>
      <c r="O685" t="n">
        <v>0</v>
      </c>
      <c r="P685" t="n">
        <v>0</v>
      </c>
      <c r="Q685" t="n">
        <v>0</v>
      </c>
      <c r="R685" s="2" t="inlineStr"/>
    </row>
    <row r="686" ht="15" customHeight="1">
      <c r="A686" t="inlineStr">
        <is>
          <t>A 60258-2025</t>
        </is>
      </c>
      <c r="B686" s="1" t="n">
        <v>45994.6064699074</v>
      </c>
      <c r="C686" s="1" t="n">
        <v>46079</v>
      </c>
      <c r="D686" t="inlineStr">
        <is>
          <t>VÄSTMANLANDS LÄN</t>
        </is>
      </c>
      <c r="E686" t="inlineStr">
        <is>
          <t>SALA</t>
        </is>
      </c>
      <c r="G686" t="n">
        <v>2.2</v>
      </c>
      <c r="H686" t="n">
        <v>0</v>
      </c>
      <c r="I686" t="n">
        <v>0</v>
      </c>
      <c r="J686" t="n">
        <v>0</v>
      </c>
      <c r="K686" t="n">
        <v>0</v>
      </c>
      <c r="L686" t="n">
        <v>0</v>
      </c>
      <c r="M686" t="n">
        <v>0</v>
      </c>
      <c r="N686" t="n">
        <v>0</v>
      </c>
      <c r="O686" t="n">
        <v>0</v>
      </c>
      <c r="P686" t="n">
        <v>0</v>
      </c>
      <c r="Q686" t="n">
        <v>0</v>
      </c>
      <c r="R686" s="2" t="inlineStr"/>
    </row>
    <row r="687" ht="15" customHeight="1">
      <c r="A687" t="inlineStr">
        <is>
          <t>A 60241-2025</t>
        </is>
      </c>
      <c r="B687" s="1" t="n">
        <v>45994.58454861111</v>
      </c>
      <c r="C687" s="1" t="n">
        <v>46079</v>
      </c>
      <c r="D687" t="inlineStr">
        <is>
          <t>VÄSTMANLANDS LÄN</t>
        </is>
      </c>
      <c r="E687" t="inlineStr">
        <is>
          <t>SALA</t>
        </is>
      </c>
      <c r="G687" t="n">
        <v>1.6</v>
      </c>
      <c r="H687" t="n">
        <v>0</v>
      </c>
      <c r="I687" t="n">
        <v>0</v>
      </c>
      <c r="J687" t="n">
        <v>0</v>
      </c>
      <c r="K687" t="n">
        <v>0</v>
      </c>
      <c r="L687" t="n">
        <v>0</v>
      </c>
      <c r="M687" t="n">
        <v>0</v>
      </c>
      <c r="N687" t="n">
        <v>0</v>
      </c>
      <c r="O687" t="n">
        <v>0</v>
      </c>
      <c r="P687" t="n">
        <v>0</v>
      </c>
      <c r="Q687" t="n">
        <v>0</v>
      </c>
      <c r="R687" s="2" t="inlineStr"/>
    </row>
    <row r="688" ht="15" customHeight="1">
      <c r="A688" t="inlineStr">
        <is>
          <t>A 59870-2025</t>
        </is>
      </c>
      <c r="B688" s="1" t="n">
        <v>45992.92226851852</v>
      </c>
      <c r="C688" s="1" t="n">
        <v>46079</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60259-2025</t>
        </is>
      </c>
      <c r="B689" s="1" t="n">
        <v>45994.60913194445</v>
      </c>
      <c r="C689" s="1" t="n">
        <v>46079</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60246-2025</t>
        </is>
      </c>
      <c r="B690" s="1" t="n">
        <v>45994.58931712963</v>
      </c>
      <c r="C690" s="1" t="n">
        <v>46079</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60254-2025</t>
        </is>
      </c>
      <c r="B691" s="1" t="n">
        <v>45994.60146990741</v>
      </c>
      <c r="C691" s="1" t="n">
        <v>46079</v>
      </c>
      <c r="D691" t="inlineStr">
        <is>
          <t>VÄSTMANLANDS LÄN</t>
        </is>
      </c>
      <c r="E691" t="inlineStr">
        <is>
          <t>SALA</t>
        </is>
      </c>
      <c r="G691" t="n">
        <v>1.7</v>
      </c>
      <c r="H691" t="n">
        <v>0</v>
      </c>
      <c r="I691" t="n">
        <v>0</v>
      </c>
      <c r="J691" t="n">
        <v>0</v>
      </c>
      <c r="K691" t="n">
        <v>0</v>
      </c>
      <c r="L691" t="n">
        <v>0</v>
      </c>
      <c r="M691" t="n">
        <v>0</v>
      </c>
      <c r="N691" t="n">
        <v>0</v>
      </c>
      <c r="O691" t="n">
        <v>0</v>
      </c>
      <c r="P691" t="n">
        <v>0</v>
      </c>
      <c r="Q691" t="n">
        <v>0</v>
      </c>
      <c r="R691" s="2" t="inlineStr"/>
    </row>
    <row r="692" ht="15" customHeight="1">
      <c r="A692" t="inlineStr">
        <is>
          <t>A 59926-2025</t>
        </is>
      </c>
      <c r="B692" s="1" t="n">
        <v>45993.39221064815</v>
      </c>
      <c r="C692" s="1" t="n">
        <v>46079</v>
      </c>
      <c r="D692" t="inlineStr">
        <is>
          <t>VÄSTMANLANDS LÄN</t>
        </is>
      </c>
      <c r="E692" t="inlineStr">
        <is>
          <t>SALA</t>
        </is>
      </c>
      <c r="G692" t="n">
        <v>7.1</v>
      </c>
      <c r="H692" t="n">
        <v>0</v>
      </c>
      <c r="I692" t="n">
        <v>0</v>
      </c>
      <c r="J692" t="n">
        <v>0</v>
      </c>
      <c r="K692" t="n">
        <v>0</v>
      </c>
      <c r="L692" t="n">
        <v>0</v>
      </c>
      <c r="M692" t="n">
        <v>0</v>
      </c>
      <c r="N692" t="n">
        <v>0</v>
      </c>
      <c r="O692" t="n">
        <v>0</v>
      </c>
      <c r="P692" t="n">
        <v>0</v>
      </c>
      <c r="Q692" t="n">
        <v>0</v>
      </c>
      <c r="R692" s="2" t="inlineStr"/>
    </row>
    <row r="693" ht="15" customHeight="1">
      <c r="A693" t="inlineStr">
        <is>
          <t>A 60629-2025</t>
        </is>
      </c>
      <c r="B693" s="1" t="n">
        <v>45996.41972222222</v>
      </c>
      <c r="C693" s="1" t="n">
        <v>46079</v>
      </c>
      <c r="D693" t="inlineStr">
        <is>
          <t>VÄSTMANLANDS LÄN</t>
        </is>
      </c>
      <c r="E693" t="inlineStr">
        <is>
          <t>SALA</t>
        </is>
      </c>
      <c r="G693" t="n">
        <v>4.3</v>
      </c>
      <c r="H693" t="n">
        <v>0</v>
      </c>
      <c r="I693" t="n">
        <v>0</v>
      </c>
      <c r="J693" t="n">
        <v>0</v>
      </c>
      <c r="K693" t="n">
        <v>0</v>
      </c>
      <c r="L693" t="n">
        <v>0</v>
      </c>
      <c r="M693" t="n">
        <v>0</v>
      </c>
      <c r="N693" t="n">
        <v>0</v>
      </c>
      <c r="O693" t="n">
        <v>0</v>
      </c>
      <c r="P693" t="n">
        <v>0</v>
      </c>
      <c r="Q693" t="n">
        <v>0</v>
      </c>
      <c r="R693" s="2" t="inlineStr"/>
    </row>
    <row r="694" ht="15" customHeight="1">
      <c r="A694" t="inlineStr">
        <is>
          <t>A 42447-2022</t>
        </is>
      </c>
      <c r="B694" s="1" t="n">
        <v>44831</v>
      </c>
      <c r="C694" s="1" t="n">
        <v>46079</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11183-2023</t>
        </is>
      </c>
      <c r="B695" s="1" t="n">
        <v>44992.57782407408</v>
      </c>
      <c r="C695" s="1" t="n">
        <v>46079</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11190-2023</t>
        </is>
      </c>
      <c r="B696" s="1" t="n">
        <v>44992</v>
      </c>
      <c r="C696" s="1" t="n">
        <v>46079</v>
      </c>
      <c r="D696" t="inlineStr">
        <is>
          <t>VÄSTMANLANDS LÄN</t>
        </is>
      </c>
      <c r="E696" t="inlineStr">
        <is>
          <t>SALA</t>
        </is>
      </c>
      <c r="G696" t="n">
        <v>1</v>
      </c>
      <c r="H696" t="n">
        <v>0</v>
      </c>
      <c r="I696" t="n">
        <v>0</v>
      </c>
      <c r="J696" t="n">
        <v>0</v>
      </c>
      <c r="K696" t="n">
        <v>0</v>
      </c>
      <c r="L696" t="n">
        <v>0</v>
      </c>
      <c r="M696" t="n">
        <v>0</v>
      </c>
      <c r="N696" t="n">
        <v>0</v>
      </c>
      <c r="O696" t="n">
        <v>0</v>
      </c>
      <c r="P696" t="n">
        <v>0</v>
      </c>
      <c r="Q696" t="n">
        <v>0</v>
      </c>
      <c r="R696" s="2" t="inlineStr"/>
    </row>
    <row r="697" ht="15" customHeight="1">
      <c r="A697" t="inlineStr">
        <is>
          <t>A 31950-2023</t>
        </is>
      </c>
      <c r="B697" s="1" t="n">
        <v>45107</v>
      </c>
      <c r="C697" s="1" t="n">
        <v>46079</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48710-2024</t>
        </is>
      </c>
      <c r="B698" s="1" t="n">
        <v>45593.53636574074</v>
      </c>
      <c r="C698" s="1" t="n">
        <v>46079</v>
      </c>
      <c r="D698" t="inlineStr">
        <is>
          <t>VÄSTMANLANDS LÄN</t>
        </is>
      </c>
      <c r="E698" t="inlineStr">
        <is>
          <t>SALA</t>
        </is>
      </c>
      <c r="G698" t="n">
        <v>6.5</v>
      </c>
      <c r="H698" t="n">
        <v>0</v>
      </c>
      <c r="I698" t="n">
        <v>0</v>
      </c>
      <c r="J698" t="n">
        <v>0</v>
      </c>
      <c r="K698" t="n">
        <v>0</v>
      </c>
      <c r="L698" t="n">
        <v>0</v>
      </c>
      <c r="M698" t="n">
        <v>0</v>
      </c>
      <c r="N698" t="n">
        <v>0</v>
      </c>
      <c r="O698" t="n">
        <v>0</v>
      </c>
      <c r="P698" t="n">
        <v>0</v>
      </c>
      <c r="Q698" t="n">
        <v>0</v>
      </c>
      <c r="R698" s="2" t="inlineStr"/>
    </row>
    <row r="699" ht="15" customHeight="1">
      <c r="A699" t="inlineStr">
        <is>
          <t>A 23406-2024</t>
        </is>
      </c>
      <c r="B699" s="1" t="n">
        <v>45453.58296296297</v>
      </c>
      <c r="C699" s="1" t="n">
        <v>46079</v>
      </c>
      <c r="D699" t="inlineStr">
        <is>
          <t>VÄSTMANLANDS LÄN</t>
        </is>
      </c>
      <c r="E699" t="inlineStr">
        <is>
          <t>SALA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12246-2023</t>
        </is>
      </c>
      <c r="B700" s="1" t="n">
        <v>44995</v>
      </c>
      <c r="C700" s="1" t="n">
        <v>46079</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48571-2024</t>
        </is>
      </c>
      <c r="B701" s="1" t="n">
        <v>45591</v>
      </c>
      <c r="C701" s="1" t="n">
        <v>46079</v>
      </c>
      <c r="D701" t="inlineStr">
        <is>
          <t>VÄSTMANLANDS LÄN</t>
        </is>
      </c>
      <c r="E701" t="inlineStr">
        <is>
          <t>SALA</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43362-2023</t>
        </is>
      </c>
      <c r="B702" s="1" t="n">
        <v>45183</v>
      </c>
      <c r="C702" s="1" t="n">
        <v>46079</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16767-2024</t>
        </is>
      </c>
      <c r="B703" s="1" t="n">
        <v>45411.38171296296</v>
      </c>
      <c r="C703" s="1" t="n">
        <v>46079</v>
      </c>
      <c r="D703" t="inlineStr">
        <is>
          <t>VÄSTMANLANDS LÄN</t>
        </is>
      </c>
      <c r="E703" t="inlineStr">
        <is>
          <t>SALA</t>
        </is>
      </c>
      <c r="G703" t="n">
        <v>2.5</v>
      </c>
      <c r="H703" t="n">
        <v>0</v>
      </c>
      <c r="I703" t="n">
        <v>0</v>
      </c>
      <c r="J703" t="n">
        <v>0</v>
      </c>
      <c r="K703" t="n">
        <v>0</v>
      </c>
      <c r="L703" t="n">
        <v>0</v>
      </c>
      <c r="M703" t="n">
        <v>0</v>
      </c>
      <c r="N703" t="n">
        <v>0</v>
      </c>
      <c r="O703" t="n">
        <v>0</v>
      </c>
      <c r="P703" t="n">
        <v>0</v>
      </c>
      <c r="Q703" t="n">
        <v>0</v>
      </c>
      <c r="R703" s="2" t="inlineStr"/>
    </row>
    <row r="704" ht="15" customHeight="1">
      <c r="A704" t="inlineStr">
        <is>
          <t>A 31470-2021</t>
        </is>
      </c>
      <c r="B704" s="1" t="n">
        <v>44369</v>
      </c>
      <c r="C704" s="1" t="n">
        <v>46079</v>
      </c>
      <c r="D704" t="inlineStr">
        <is>
          <t>VÄSTMANLANDS LÄN</t>
        </is>
      </c>
      <c r="E704" t="inlineStr">
        <is>
          <t>SALA</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18461-2024</t>
        </is>
      </c>
      <c r="B705" s="1" t="n">
        <v>45425.47435185185</v>
      </c>
      <c r="C705" s="1" t="n">
        <v>46079</v>
      </c>
      <c r="D705" t="inlineStr">
        <is>
          <t>VÄSTMANLANDS LÄN</t>
        </is>
      </c>
      <c r="E705" t="inlineStr">
        <is>
          <t>SALA</t>
        </is>
      </c>
      <c r="G705" t="n">
        <v>1.7</v>
      </c>
      <c r="H705" t="n">
        <v>0</v>
      </c>
      <c r="I705" t="n">
        <v>0</v>
      </c>
      <c r="J705" t="n">
        <v>0</v>
      </c>
      <c r="K705" t="n">
        <v>0</v>
      </c>
      <c r="L705" t="n">
        <v>0</v>
      </c>
      <c r="M705" t="n">
        <v>0</v>
      </c>
      <c r="N705" t="n">
        <v>0</v>
      </c>
      <c r="O705" t="n">
        <v>0</v>
      </c>
      <c r="P705" t="n">
        <v>0</v>
      </c>
      <c r="Q705" t="n">
        <v>0</v>
      </c>
      <c r="R705" s="2" t="inlineStr"/>
    </row>
    <row r="706" ht="15" customHeight="1">
      <c r="A706" t="inlineStr">
        <is>
          <t>A 61522-2025</t>
        </is>
      </c>
      <c r="B706" s="1" t="n">
        <v>46001.68684027778</v>
      </c>
      <c r="C706" s="1" t="n">
        <v>46079</v>
      </c>
      <c r="D706" t="inlineStr">
        <is>
          <t>VÄSTMANLANDS LÄN</t>
        </is>
      </c>
      <c r="E706" t="inlineStr">
        <is>
          <t>SALA</t>
        </is>
      </c>
      <c r="G706" t="n">
        <v>5.7</v>
      </c>
      <c r="H706" t="n">
        <v>0</v>
      </c>
      <c r="I706" t="n">
        <v>0</v>
      </c>
      <c r="J706" t="n">
        <v>0</v>
      </c>
      <c r="K706" t="n">
        <v>0</v>
      </c>
      <c r="L706" t="n">
        <v>0</v>
      </c>
      <c r="M706" t="n">
        <v>0</v>
      </c>
      <c r="N706" t="n">
        <v>0</v>
      </c>
      <c r="O706" t="n">
        <v>0</v>
      </c>
      <c r="P706" t="n">
        <v>0</v>
      </c>
      <c r="Q706" t="n">
        <v>0</v>
      </c>
      <c r="R706" s="2" t="inlineStr"/>
    </row>
    <row r="707" ht="15" customHeight="1">
      <c r="A707" t="inlineStr">
        <is>
          <t>A 29230-2022</t>
        </is>
      </c>
      <c r="B707" s="1" t="n">
        <v>44750</v>
      </c>
      <c r="C707" s="1" t="n">
        <v>46079</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4712-2026</t>
        </is>
      </c>
      <c r="B708" s="1" t="n">
        <v>46048.46082175926</v>
      </c>
      <c r="C708" s="1" t="n">
        <v>46079</v>
      </c>
      <c r="D708" t="inlineStr">
        <is>
          <t>VÄSTMANLANDS LÄN</t>
        </is>
      </c>
      <c r="E708" t="inlineStr">
        <is>
          <t>SALA</t>
        </is>
      </c>
      <c r="G708" t="n">
        <v>4.1</v>
      </c>
      <c r="H708" t="n">
        <v>0</v>
      </c>
      <c r="I708" t="n">
        <v>0</v>
      </c>
      <c r="J708" t="n">
        <v>0</v>
      </c>
      <c r="K708" t="n">
        <v>0</v>
      </c>
      <c r="L708" t="n">
        <v>0</v>
      </c>
      <c r="M708" t="n">
        <v>0</v>
      </c>
      <c r="N708" t="n">
        <v>0</v>
      </c>
      <c r="O708" t="n">
        <v>0</v>
      </c>
      <c r="P708" t="n">
        <v>0</v>
      </c>
      <c r="Q708" t="n">
        <v>0</v>
      </c>
      <c r="R708" s="2" t="inlineStr"/>
    </row>
    <row r="709" ht="15" customHeight="1">
      <c r="A709" t="inlineStr">
        <is>
          <t>A 9335-2022</t>
        </is>
      </c>
      <c r="B709" s="1" t="n">
        <v>44616.56579861111</v>
      </c>
      <c r="C709" s="1" t="n">
        <v>46079</v>
      </c>
      <c r="D709" t="inlineStr">
        <is>
          <t>VÄSTMANLANDS LÄN</t>
        </is>
      </c>
      <c r="E709" t="inlineStr">
        <is>
          <t>SALA</t>
        </is>
      </c>
      <c r="G709" t="n">
        <v>1.5</v>
      </c>
      <c r="H709" t="n">
        <v>0</v>
      </c>
      <c r="I709" t="n">
        <v>0</v>
      </c>
      <c r="J709" t="n">
        <v>0</v>
      </c>
      <c r="K709" t="n">
        <v>0</v>
      </c>
      <c r="L709" t="n">
        <v>0</v>
      </c>
      <c r="M709" t="n">
        <v>0</v>
      </c>
      <c r="N709" t="n">
        <v>0</v>
      </c>
      <c r="O709" t="n">
        <v>0</v>
      </c>
      <c r="P709" t="n">
        <v>0</v>
      </c>
      <c r="Q709" t="n">
        <v>0</v>
      </c>
      <c r="R709" s="2" t="inlineStr"/>
    </row>
    <row r="710" ht="15" customHeight="1">
      <c r="A710" t="inlineStr">
        <is>
          <t>A 4664-2026</t>
        </is>
      </c>
      <c r="B710" s="1" t="n">
        <v>46048.41061342593</v>
      </c>
      <c r="C710" s="1" t="n">
        <v>46079</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4624-2026</t>
        </is>
      </c>
      <c r="B711" s="1" t="n">
        <v>46048.38107638889</v>
      </c>
      <c r="C711" s="1" t="n">
        <v>46079</v>
      </c>
      <c r="D711" t="inlineStr">
        <is>
          <t>VÄSTMANLANDS LÄN</t>
        </is>
      </c>
      <c r="E711" t="inlineStr">
        <is>
          <t>SALA</t>
        </is>
      </c>
      <c r="G711" t="n">
        <v>12.3</v>
      </c>
      <c r="H711" t="n">
        <v>0</v>
      </c>
      <c r="I711" t="n">
        <v>0</v>
      </c>
      <c r="J711" t="n">
        <v>0</v>
      </c>
      <c r="K711" t="n">
        <v>0</v>
      </c>
      <c r="L711" t="n">
        <v>0</v>
      </c>
      <c r="M711" t="n">
        <v>0</v>
      </c>
      <c r="N711" t="n">
        <v>0</v>
      </c>
      <c r="O711" t="n">
        <v>0</v>
      </c>
      <c r="P711" t="n">
        <v>0</v>
      </c>
      <c r="Q711" t="n">
        <v>0</v>
      </c>
      <c r="R711" s="2" t="inlineStr"/>
    </row>
    <row r="712" ht="15" customHeight="1">
      <c r="A712" t="inlineStr">
        <is>
          <t>A 47479-2024</t>
        </is>
      </c>
      <c r="B712" s="1" t="n">
        <v>45587</v>
      </c>
      <c r="C712" s="1" t="n">
        <v>46079</v>
      </c>
      <c r="D712" t="inlineStr">
        <is>
          <t>VÄSTMANLANDS LÄN</t>
        </is>
      </c>
      <c r="E712" t="inlineStr">
        <is>
          <t>SALA</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19065-2022</t>
        </is>
      </c>
      <c r="B713" s="1" t="n">
        <v>44691.44309027777</v>
      </c>
      <c r="C713" s="1" t="n">
        <v>46079</v>
      </c>
      <c r="D713" t="inlineStr">
        <is>
          <t>VÄSTMANLANDS LÄN</t>
        </is>
      </c>
      <c r="E713" t="inlineStr">
        <is>
          <t>SALA</t>
        </is>
      </c>
      <c r="G713" t="n">
        <v>3.4</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46079</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46079</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4681-2026</t>
        </is>
      </c>
      <c r="B716" s="1" t="n">
        <v>46048.43016203704</v>
      </c>
      <c r="C716" s="1" t="n">
        <v>46079</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62523-2025</t>
        </is>
      </c>
      <c r="B717" s="1" t="n">
        <v>46007.61512731481</v>
      </c>
      <c r="C717" s="1" t="n">
        <v>46079</v>
      </c>
      <c r="D717" t="inlineStr">
        <is>
          <t>VÄSTMANLANDS LÄN</t>
        </is>
      </c>
      <c r="E717" t="inlineStr">
        <is>
          <t>SALA</t>
        </is>
      </c>
      <c r="G717" t="n">
        <v>1.5</v>
      </c>
      <c r="H717" t="n">
        <v>0</v>
      </c>
      <c r="I717" t="n">
        <v>0</v>
      </c>
      <c r="J717" t="n">
        <v>0</v>
      </c>
      <c r="K717" t="n">
        <v>0</v>
      </c>
      <c r="L717" t="n">
        <v>0</v>
      </c>
      <c r="M717" t="n">
        <v>0</v>
      </c>
      <c r="N717" t="n">
        <v>0</v>
      </c>
      <c r="O717" t="n">
        <v>0</v>
      </c>
      <c r="P717" t="n">
        <v>0</v>
      </c>
      <c r="Q717" t="n">
        <v>0</v>
      </c>
      <c r="R717" s="2" t="inlineStr"/>
    </row>
    <row r="718" ht="15" customHeight="1">
      <c r="A718" t="inlineStr">
        <is>
          <t>A 5418-2026</t>
        </is>
      </c>
      <c r="B718" s="1" t="n">
        <v>46050.53740740741</v>
      </c>
      <c r="C718" s="1" t="n">
        <v>46079</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5525-2026</t>
        </is>
      </c>
      <c r="B719" s="1" t="n">
        <v>46050.65055555556</v>
      </c>
      <c r="C719" s="1" t="n">
        <v>46079</v>
      </c>
      <c r="D719" t="inlineStr">
        <is>
          <t>VÄSTMANLANDS LÄN</t>
        </is>
      </c>
      <c r="E719" t="inlineStr">
        <is>
          <t>SALA</t>
        </is>
      </c>
      <c r="G719" t="n">
        <v>13.1</v>
      </c>
      <c r="H719" t="n">
        <v>0</v>
      </c>
      <c r="I719" t="n">
        <v>0</v>
      </c>
      <c r="J719" t="n">
        <v>0</v>
      </c>
      <c r="K719" t="n">
        <v>0</v>
      </c>
      <c r="L719" t="n">
        <v>0</v>
      </c>
      <c r="M719" t="n">
        <v>0</v>
      </c>
      <c r="N719" t="n">
        <v>0</v>
      </c>
      <c r="O719" t="n">
        <v>0</v>
      </c>
      <c r="P719" t="n">
        <v>0</v>
      </c>
      <c r="Q719" t="n">
        <v>0</v>
      </c>
      <c r="R719" s="2" t="inlineStr"/>
    </row>
    <row r="720" ht="15" customHeight="1">
      <c r="A720" t="inlineStr">
        <is>
          <t>A 63055-2025</t>
        </is>
      </c>
      <c r="B720" s="1" t="n">
        <v>46009.63619212963</v>
      </c>
      <c r="C720" s="1" t="n">
        <v>46079</v>
      </c>
      <c r="D720" t="inlineStr">
        <is>
          <t>VÄSTMANLANDS LÄN</t>
        </is>
      </c>
      <c r="E720" t="inlineStr">
        <is>
          <t>SALA</t>
        </is>
      </c>
      <c r="G720" t="n">
        <v>0.4</v>
      </c>
      <c r="H720" t="n">
        <v>0</v>
      </c>
      <c r="I720" t="n">
        <v>0</v>
      </c>
      <c r="J720" t="n">
        <v>0</v>
      </c>
      <c r="K720" t="n">
        <v>0</v>
      </c>
      <c r="L720" t="n">
        <v>0</v>
      </c>
      <c r="M720" t="n">
        <v>0</v>
      </c>
      <c r="N720" t="n">
        <v>0</v>
      </c>
      <c r="O720" t="n">
        <v>0</v>
      </c>
      <c r="P720" t="n">
        <v>0</v>
      </c>
      <c r="Q720" t="n">
        <v>0</v>
      </c>
      <c r="R720" s="2" t="inlineStr"/>
    </row>
    <row r="721" ht="15" customHeight="1">
      <c r="A721" t="inlineStr">
        <is>
          <t>A 63353-2025</t>
        </is>
      </c>
      <c r="B721" s="1" t="n">
        <v>46010.66670138889</v>
      </c>
      <c r="C721" s="1" t="n">
        <v>46079</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5894-2026</t>
        </is>
      </c>
      <c r="B722" s="1" t="n">
        <v>46052.42412037037</v>
      </c>
      <c r="C722" s="1" t="n">
        <v>46079</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63051-2025</t>
        </is>
      </c>
      <c r="B723" s="1" t="n">
        <v>46009.63134259259</v>
      </c>
      <c r="C723" s="1" t="n">
        <v>46079</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63046-2025</t>
        </is>
      </c>
      <c r="B724" s="1" t="n">
        <v>46009.62373842593</v>
      </c>
      <c r="C724" s="1" t="n">
        <v>46079</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63269-2025</t>
        </is>
      </c>
      <c r="B725" s="1" t="n">
        <v>46010</v>
      </c>
      <c r="C725" s="1" t="n">
        <v>46079</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17722-2025</t>
        </is>
      </c>
      <c r="B726" s="1" t="n">
        <v>45758</v>
      </c>
      <c r="C726" s="1" t="n">
        <v>46079</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6021-2026</t>
        </is>
      </c>
      <c r="B727" s="1" t="n">
        <v>46050</v>
      </c>
      <c r="C727" s="1" t="n">
        <v>46079</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7327-2026</t>
        </is>
      </c>
      <c r="B728" s="1" t="n">
        <v>46058.68371527778</v>
      </c>
      <c r="C728" s="1" t="n">
        <v>46079</v>
      </c>
      <c r="D728" t="inlineStr">
        <is>
          <t>VÄSTMANLANDS LÄN</t>
        </is>
      </c>
      <c r="E728" t="inlineStr">
        <is>
          <t>SALA</t>
        </is>
      </c>
      <c r="G728" t="n">
        <v>5.8</v>
      </c>
      <c r="H728" t="n">
        <v>0</v>
      </c>
      <c r="I728" t="n">
        <v>0</v>
      </c>
      <c r="J728" t="n">
        <v>0</v>
      </c>
      <c r="K728" t="n">
        <v>0</v>
      </c>
      <c r="L728" t="n">
        <v>0</v>
      </c>
      <c r="M728" t="n">
        <v>0</v>
      </c>
      <c r="N728" t="n">
        <v>0</v>
      </c>
      <c r="O728" t="n">
        <v>0</v>
      </c>
      <c r="P728" t="n">
        <v>0</v>
      </c>
      <c r="Q728" t="n">
        <v>0</v>
      </c>
      <c r="R728" s="2" t="inlineStr"/>
    </row>
    <row r="729" ht="15" customHeight="1">
      <c r="A729" t="inlineStr">
        <is>
          <t>A 7332-2026</t>
        </is>
      </c>
      <c r="B729" s="1" t="n">
        <v>46058.68884259259</v>
      </c>
      <c r="C729" s="1" t="n">
        <v>46079</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7329-2026</t>
        </is>
      </c>
      <c r="B730" s="1" t="n">
        <v>46058.68678240741</v>
      </c>
      <c r="C730" s="1" t="n">
        <v>46079</v>
      </c>
      <c r="D730" t="inlineStr">
        <is>
          <t>VÄSTMANLANDS LÄN</t>
        </is>
      </c>
      <c r="E730" t="inlineStr">
        <is>
          <t>SALA</t>
        </is>
      </c>
      <c r="G730" t="n">
        <v>3.1</v>
      </c>
      <c r="H730" t="n">
        <v>0</v>
      </c>
      <c r="I730" t="n">
        <v>0</v>
      </c>
      <c r="J730" t="n">
        <v>0</v>
      </c>
      <c r="K730" t="n">
        <v>0</v>
      </c>
      <c r="L730" t="n">
        <v>0</v>
      </c>
      <c r="M730" t="n">
        <v>0</v>
      </c>
      <c r="N730" t="n">
        <v>0</v>
      </c>
      <c r="O730" t="n">
        <v>0</v>
      </c>
      <c r="P730" t="n">
        <v>0</v>
      </c>
      <c r="Q730" t="n">
        <v>0</v>
      </c>
      <c r="R730" s="2" t="inlineStr"/>
    </row>
    <row r="731" ht="15" customHeight="1">
      <c r="A731" t="inlineStr">
        <is>
          <t>A 7324-2026</t>
        </is>
      </c>
      <c r="B731" s="1" t="n">
        <v>46058.68023148148</v>
      </c>
      <c r="C731" s="1" t="n">
        <v>46079</v>
      </c>
      <c r="D731" t="inlineStr">
        <is>
          <t>VÄSTMANLANDS LÄN</t>
        </is>
      </c>
      <c r="E731" t="inlineStr">
        <is>
          <t>SALA</t>
        </is>
      </c>
      <c r="G731" t="n">
        <v>0.9</v>
      </c>
      <c r="H731" t="n">
        <v>0</v>
      </c>
      <c r="I731" t="n">
        <v>0</v>
      </c>
      <c r="J731" t="n">
        <v>0</v>
      </c>
      <c r="K731" t="n">
        <v>0</v>
      </c>
      <c r="L731" t="n">
        <v>0</v>
      </c>
      <c r="M731" t="n">
        <v>0</v>
      </c>
      <c r="N731" t="n">
        <v>0</v>
      </c>
      <c r="O731" t="n">
        <v>0</v>
      </c>
      <c r="P731" t="n">
        <v>0</v>
      </c>
      <c r="Q731" t="n">
        <v>0</v>
      </c>
      <c r="R731" s="2" t="inlineStr"/>
    </row>
    <row r="732" ht="15" customHeight="1">
      <c r="A732" t="inlineStr">
        <is>
          <t>A 7584-2026</t>
        </is>
      </c>
      <c r="B732" s="1" t="n">
        <v>46061.81653935185</v>
      </c>
      <c r="C732" s="1" t="n">
        <v>46079</v>
      </c>
      <c r="D732" t="inlineStr">
        <is>
          <t>VÄSTMANLANDS LÄN</t>
        </is>
      </c>
      <c r="E732" t="inlineStr">
        <is>
          <t>SALA</t>
        </is>
      </c>
      <c r="G732" t="n">
        <v>16.7</v>
      </c>
      <c r="H732" t="n">
        <v>0</v>
      </c>
      <c r="I732" t="n">
        <v>0</v>
      </c>
      <c r="J732" t="n">
        <v>0</v>
      </c>
      <c r="K732" t="n">
        <v>0</v>
      </c>
      <c r="L732" t="n">
        <v>0</v>
      </c>
      <c r="M732" t="n">
        <v>0</v>
      </c>
      <c r="N732" t="n">
        <v>0</v>
      </c>
      <c r="O732" t="n">
        <v>0</v>
      </c>
      <c r="P732" t="n">
        <v>0</v>
      </c>
      <c r="Q732" t="n">
        <v>0</v>
      </c>
      <c r="R732" s="2" t="inlineStr"/>
    </row>
    <row r="733" ht="15" customHeight="1">
      <c r="A733" t="inlineStr">
        <is>
          <t>A 7590-2026</t>
        </is>
      </c>
      <c r="B733" s="1" t="n">
        <v>46061.85252314815</v>
      </c>
      <c r="C733" s="1" t="n">
        <v>46079</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7596-2026</t>
        </is>
      </c>
      <c r="B734" s="1" t="n">
        <v>46061.90922453703</v>
      </c>
      <c r="C734" s="1" t="n">
        <v>46079</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7588-2026</t>
        </is>
      </c>
      <c r="B735" s="1" t="n">
        <v>46061.83528935185</v>
      </c>
      <c r="C735" s="1" t="n">
        <v>46079</v>
      </c>
      <c r="D735" t="inlineStr">
        <is>
          <t>VÄSTMANLANDS LÄN</t>
        </is>
      </c>
      <c r="E735" t="inlineStr">
        <is>
          <t>SALA</t>
        </is>
      </c>
      <c r="G735" t="n">
        <v>2.8</v>
      </c>
      <c r="H735" t="n">
        <v>0</v>
      </c>
      <c r="I735" t="n">
        <v>0</v>
      </c>
      <c r="J735" t="n">
        <v>0</v>
      </c>
      <c r="K735" t="n">
        <v>0</v>
      </c>
      <c r="L735" t="n">
        <v>0</v>
      </c>
      <c r="M735" t="n">
        <v>0</v>
      </c>
      <c r="N735" t="n">
        <v>0</v>
      </c>
      <c r="O735" t="n">
        <v>0</v>
      </c>
      <c r="P735" t="n">
        <v>0</v>
      </c>
      <c r="Q735" t="n">
        <v>0</v>
      </c>
      <c r="R735" s="2" t="inlineStr"/>
    </row>
    <row r="736" ht="15" customHeight="1">
      <c r="A736" t="inlineStr">
        <is>
          <t>A 7654-2026</t>
        </is>
      </c>
      <c r="B736" s="1" t="n">
        <v>46062.38828703704</v>
      </c>
      <c r="C736" s="1" t="n">
        <v>46079</v>
      </c>
      <c r="D736" t="inlineStr">
        <is>
          <t>VÄSTMANLANDS LÄN</t>
        </is>
      </c>
      <c r="E736" t="inlineStr">
        <is>
          <t>SALA</t>
        </is>
      </c>
      <c r="G736" t="n">
        <v>4.5</v>
      </c>
      <c r="H736" t="n">
        <v>0</v>
      </c>
      <c r="I736" t="n">
        <v>0</v>
      </c>
      <c r="J736" t="n">
        <v>0</v>
      </c>
      <c r="K736" t="n">
        <v>0</v>
      </c>
      <c r="L736" t="n">
        <v>0</v>
      </c>
      <c r="M736" t="n">
        <v>0</v>
      </c>
      <c r="N736" t="n">
        <v>0</v>
      </c>
      <c r="O736" t="n">
        <v>0</v>
      </c>
      <c r="P736" t="n">
        <v>0</v>
      </c>
      <c r="Q736" t="n">
        <v>0</v>
      </c>
      <c r="R736" s="2" t="inlineStr"/>
    </row>
    <row r="737" ht="15" customHeight="1">
      <c r="A737" t="inlineStr">
        <is>
          <t>A 7498-2026</t>
        </is>
      </c>
      <c r="B737" s="1" t="n">
        <v>46059.55550925926</v>
      </c>
      <c r="C737" s="1" t="n">
        <v>46079</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7676-2026</t>
        </is>
      </c>
      <c r="B738" s="1" t="n">
        <v>46062.42498842593</v>
      </c>
      <c r="C738" s="1" t="n">
        <v>46079</v>
      </c>
      <c r="D738" t="inlineStr">
        <is>
          <t>VÄSTMANLANDS LÄN</t>
        </is>
      </c>
      <c r="E738" t="inlineStr">
        <is>
          <t>SALA</t>
        </is>
      </c>
      <c r="G738" t="n">
        <v>2.1</v>
      </c>
      <c r="H738" t="n">
        <v>0</v>
      </c>
      <c r="I738" t="n">
        <v>0</v>
      </c>
      <c r="J738" t="n">
        <v>0</v>
      </c>
      <c r="K738" t="n">
        <v>0</v>
      </c>
      <c r="L738" t="n">
        <v>0</v>
      </c>
      <c r="M738" t="n">
        <v>0</v>
      </c>
      <c r="N738" t="n">
        <v>0</v>
      </c>
      <c r="O738" t="n">
        <v>0</v>
      </c>
      <c r="P738" t="n">
        <v>0</v>
      </c>
      <c r="Q738" t="n">
        <v>0</v>
      </c>
      <c r="R738" s="2" t="inlineStr"/>
    </row>
    <row r="739" ht="15" customHeight="1">
      <c r="A739" t="inlineStr">
        <is>
          <t>A 63749-2025</t>
        </is>
      </c>
      <c r="B739" s="1" t="n">
        <v>46017.75243055556</v>
      </c>
      <c r="C739" s="1" t="n">
        <v>46079</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4214-2026</t>
        </is>
      </c>
      <c r="B740" s="1" t="n">
        <v>46044.76459490741</v>
      </c>
      <c r="C740" s="1" t="n">
        <v>46079</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63748-2025</t>
        </is>
      </c>
      <c r="B741" s="1" t="n">
        <v>46017.71640046296</v>
      </c>
      <c r="C741" s="1" t="n">
        <v>46079</v>
      </c>
      <c r="D741" t="inlineStr">
        <is>
          <t>VÄSTMANLANDS LÄN</t>
        </is>
      </c>
      <c r="E741" t="inlineStr">
        <is>
          <t>SALA</t>
        </is>
      </c>
      <c r="G741" t="n">
        <v>1.6</v>
      </c>
      <c r="H741" t="n">
        <v>0</v>
      </c>
      <c r="I741" t="n">
        <v>0</v>
      </c>
      <c r="J741" t="n">
        <v>0</v>
      </c>
      <c r="K741" t="n">
        <v>0</v>
      </c>
      <c r="L741" t="n">
        <v>0</v>
      </c>
      <c r="M741" t="n">
        <v>0</v>
      </c>
      <c r="N741" t="n">
        <v>0</v>
      </c>
      <c r="O741" t="n">
        <v>0</v>
      </c>
      <c r="P741" t="n">
        <v>0</v>
      </c>
      <c r="Q741" t="n">
        <v>0</v>
      </c>
      <c r="R741" s="2" t="inlineStr"/>
    </row>
    <row r="742" ht="15" customHeight="1">
      <c r="A742" t="inlineStr">
        <is>
          <t>A 7593-2026</t>
        </is>
      </c>
      <c r="B742" s="1" t="n">
        <v>46061.88057870371</v>
      </c>
      <c r="C742" s="1" t="n">
        <v>46079</v>
      </c>
      <c r="D742" t="inlineStr">
        <is>
          <t>VÄSTMANLANDS LÄN</t>
        </is>
      </c>
      <c r="E742" t="inlineStr">
        <is>
          <t>SALA</t>
        </is>
      </c>
      <c r="G742" t="n">
        <v>7.5</v>
      </c>
      <c r="H742" t="n">
        <v>0</v>
      </c>
      <c r="I742" t="n">
        <v>0</v>
      </c>
      <c r="J742" t="n">
        <v>0</v>
      </c>
      <c r="K742" t="n">
        <v>0</v>
      </c>
      <c r="L742" t="n">
        <v>0</v>
      </c>
      <c r="M742" t="n">
        <v>0</v>
      </c>
      <c r="N742" t="n">
        <v>0</v>
      </c>
      <c r="O742" t="n">
        <v>0</v>
      </c>
      <c r="P742" t="n">
        <v>0</v>
      </c>
      <c r="Q742" t="n">
        <v>0</v>
      </c>
      <c r="R742" s="2" t="inlineStr"/>
    </row>
    <row r="743" ht="15" customHeight="1">
      <c r="A743" t="inlineStr">
        <is>
          <t>A 7597-2026</t>
        </is>
      </c>
      <c r="B743" s="1" t="n">
        <v>46061.91765046296</v>
      </c>
      <c r="C743" s="1" t="n">
        <v>46079</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7595-2026</t>
        </is>
      </c>
      <c r="B744" s="1" t="n">
        <v>46061.90009259259</v>
      </c>
      <c r="C744" s="1" t="n">
        <v>46079</v>
      </c>
      <c r="D744" t="inlineStr">
        <is>
          <t>VÄSTMANLANDS LÄN</t>
        </is>
      </c>
      <c r="E744" t="inlineStr">
        <is>
          <t>SALA</t>
        </is>
      </c>
      <c r="G744" t="n">
        <v>1.2</v>
      </c>
      <c r="H744" t="n">
        <v>0</v>
      </c>
      <c r="I744" t="n">
        <v>0</v>
      </c>
      <c r="J744" t="n">
        <v>0</v>
      </c>
      <c r="K744" t="n">
        <v>0</v>
      </c>
      <c r="L744" t="n">
        <v>0</v>
      </c>
      <c r="M744" t="n">
        <v>0</v>
      </c>
      <c r="N744" t="n">
        <v>0</v>
      </c>
      <c r="O744" t="n">
        <v>0</v>
      </c>
      <c r="P744" t="n">
        <v>0</v>
      </c>
      <c r="Q744" t="n">
        <v>0</v>
      </c>
      <c r="R744" s="2" t="inlineStr"/>
    </row>
    <row r="745" ht="15" customHeight="1">
      <c r="A745" t="inlineStr">
        <is>
          <t>A 7661-2026</t>
        </is>
      </c>
      <c r="B745" s="1" t="n">
        <v>46062.39614583334</v>
      </c>
      <c r="C745" s="1" t="n">
        <v>46079</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7680-2026</t>
        </is>
      </c>
      <c r="B746" s="1" t="n">
        <v>46062.43087962963</v>
      </c>
      <c r="C746" s="1" t="n">
        <v>46079</v>
      </c>
      <c r="D746" t="inlineStr">
        <is>
          <t>VÄSTMANLANDS LÄN</t>
        </is>
      </c>
      <c r="E746" t="inlineStr">
        <is>
          <t>SALA</t>
        </is>
      </c>
      <c r="G746" t="n">
        <v>2.7</v>
      </c>
      <c r="H746" t="n">
        <v>0</v>
      </c>
      <c r="I746" t="n">
        <v>0</v>
      </c>
      <c r="J746" t="n">
        <v>0</v>
      </c>
      <c r="K746" t="n">
        <v>0</v>
      </c>
      <c r="L746" t="n">
        <v>0</v>
      </c>
      <c r="M746" t="n">
        <v>0</v>
      </c>
      <c r="N746" t="n">
        <v>0</v>
      </c>
      <c r="O746" t="n">
        <v>0</v>
      </c>
      <c r="P746" t="n">
        <v>0</v>
      </c>
      <c r="Q746" t="n">
        <v>0</v>
      </c>
      <c r="R746" s="2" t="inlineStr"/>
    </row>
    <row r="747" ht="15" customHeight="1">
      <c r="A747" t="inlineStr">
        <is>
          <t>A 7850-2026</t>
        </is>
      </c>
      <c r="B747" s="1" t="n">
        <v>46062.66236111111</v>
      </c>
      <c r="C747" s="1" t="n">
        <v>46079</v>
      </c>
      <c r="D747" t="inlineStr">
        <is>
          <t>VÄSTMANLANDS LÄN</t>
        </is>
      </c>
      <c r="E747" t="inlineStr">
        <is>
          <t>SALA</t>
        </is>
      </c>
      <c r="G747" t="n">
        <v>2.3</v>
      </c>
      <c r="H747" t="n">
        <v>0</v>
      </c>
      <c r="I747" t="n">
        <v>0</v>
      </c>
      <c r="J747" t="n">
        <v>0</v>
      </c>
      <c r="K747" t="n">
        <v>0</v>
      </c>
      <c r="L747" t="n">
        <v>0</v>
      </c>
      <c r="M747" t="n">
        <v>0</v>
      </c>
      <c r="N747" t="n">
        <v>0</v>
      </c>
      <c r="O747" t="n">
        <v>0</v>
      </c>
      <c r="P747" t="n">
        <v>0</v>
      </c>
      <c r="Q747" t="n">
        <v>0</v>
      </c>
      <c r="R747" s="2" t="inlineStr"/>
    </row>
    <row r="748" ht="15" customHeight="1">
      <c r="A748" t="inlineStr">
        <is>
          <t>A 7611-2026</t>
        </is>
      </c>
      <c r="B748" s="1" t="n">
        <v>46062.32387731481</v>
      </c>
      <c r="C748" s="1" t="n">
        <v>46079</v>
      </c>
      <c r="D748" t="inlineStr">
        <is>
          <t>VÄSTMANLANDS LÄN</t>
        </is>
      </c>
      <c r="E748" t="inlineStr">
        <is>
          <t>SALA</t>
        </is>
      </c>
      <c r="G748" t="n">
        <v>1.9</v>
      </c>
      <c r="H748" t="n">
        <v>0</v>
      </c>
      <c r="I748" t="n">
        <v>0</v>
      </c>
      <c r="J748" t="n">
        <v>0</v>
      </c>
      <c r="K748" t="n">
        <v>0</v>
      </c>
      <c r="L748" t="n">
        <v>0</v>
      </c>
      <c r="M748" t="n">
        <v>0</v>
      </c>
      <c r="N748" t="n">
        <v>0</v>
      </c>
      <c r="O748" t="n">
        <v>0</v>
      </c>
      <c r="P748" t="n">
        <v>0</v>
      </c>
      <c r="Q748" t="n">
        <v>0</v>
      </c>
      <c r="R748" s="2" t="inlineStr"/>
    </row>
    <row r="749" ht="15" customHeight="1">
      <c r="A749" t="inlineStr">
        <is>
          <t>A 4683-2026</t>
        </is>
      </c>
      <c r="B749" s="1" t="n">
        <v>46048.43489583334</v>
      </c>
      <c r="C749" s="1" t="n">
        <v>46079</v>
      </c>
      <c r="D749" t="inlineStr">
        <is>
          <t>VÄSTMANLANDS LÄN</t>
        </is>
      </c>
      <c r="E749" t="inlineStr">
        <is>
          <t>SALA</t>
        </is>
      </c>
      <c r="G749" t="n">
        <v>0.6</v>
      </c>
      <c r="H749" t="n">
        <v>0</v>
      </c>
      <c r="I749" t="n">
        <v>0</v>
      </c>
      <c r="J749" t="n">
        <v>0</v>
      </c>
      <c r="K749" t="n">
        <v>0</v>
      </c>
      <c r="L749" t="n">
        <v>0</v>
      </c>
      <c r="M749" t="n">
        <v>0</v>
      </c>
      <c r="N749" t="n">
        <v>0</v>
      </c>
      <c r="O749" t="n">
        <v>0</v>
      </c>
      <c r="P749" t="n">
        <v>0</v>
      </c>
      <c r="Q749" t="n">
        <v>0</v>
      </c>
      <c r="R749" s="2" t="inlineStr"/>
    </row>
    <row r="750" ht="15" customHeight="1">
      <c r="A750" t="inlineStr">
        <is>
          <t>A 5219-2026</t>
        </is>
      </c>
      <c r="B750" s="1" t="n">
        <v>46049.76225694444</v>
      </c>
      <c r="C750" s="1" t="n">
        <v>46079</v>
      </c>
      <c r="D750" t="inlineStr">
        <is>
          <t>VÄSTMANLANDS LÄN</t>
        </is>
      </c>
      <c r="E750" t="inlineStr">
        <is>
          <t>SALA</t>
        </is>
      </c>
      <c r="G750" t="n">
        <v>1.9</v>
      </c>
      <c r="H750" t="n">
        <v>0</v>
      </c>
      <c r="I750" t="n">
        <v>0</v>
      </c>
      <c r="J750" t="n">
        <v>0</v>
      </c>
      <c r="K750" t="n">
        <v>0</v>
      </c>
      <c r="L750" t="n">
        <v>0</v>
      </c>
      <c r="M750" t="n">
        <v>0</v>
      </c>
      <c r="N750" t="n">
        <v>0</v>
      </c>
      <c r="O750" t="n">
        <v>0</v>
      </c>
      <c r="P750" t="n">
        <v>0</v>
      </c>
      <c r="Q750" t="n">
        <v>0</v>
      </c>
      <c r="R750" s="2" t="inlineStr"/>
    </row>
    <row r="751" ht="15" customHeight="1">
      <c r="A751" t="inlineStr">
        <is>
          <t>A 910-2026</t>
        </is>
      </c>
      <c r="B751" s="1" t="n">
        <v>46030.4771412037</v>
      </c>
      <c r="C751" s="1" t="n">
        <v>46079</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914-2026</t>
        </is>
      </c>
      <c r="B752" s="1" t="n">
        <v>46030.47952546296</v>
      </c>
      <c r="C752" s="1" t="n">
        <v>46079</v>
      </c>
      <c r="D752" t="inlineStr">
        <is>
          <t>VÄSTMANLANDS LÄN</t>
        </is>
      </c>
      <c r="E752" t="inlineStr">
        <is>
          <t>SALA</t>
        </is>
      </c>
      <c r="G752" t="n">
        <v>0.9</v>
      </c>
      <c r="H752" t="n">
        <v>0</v>
      </c>
      <c r="I752" t="n">
        <v>0</v>
      </c>
      <c r="J752" t="n">
        <v>0</v>
      </c>
      <c r="K752" t="n">
        <v>0</v>
      </c>
      <c r="L752" t="n">
        <v>0</v>
      </c>
      <c r="M752" t="n">
        <v>0</v>
      </c>
      <c r="N752" t="n">
        <v>0</v>
      </c>
      <c r="O752" t="n">
        <v>0</v>
      </c>
      <c r="P752" t="n">
        <v>0</v>
      </c>
      <c r="Q752" t="n">
        <v>0</v>
      </c>
      <c r="R752" s="2" t="inlineStr"/>
    </row>
    <row r="753" ht="15" customHeight="1">
      <c r="A753" t="inlineStr">
        <is>
          <t>A 948-2026</t>
        </is>
      </c>
      <c r="B753" s="1" t="n">
        <v>46030.53986111111</v>
      </c>
      <c r="C753" s="1" t="n">
        <v>46079</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10245-2026</t>
        </is>
      </c>
      <c r="B754" s="1" t="n">
        <v>46076.55144675926</v>
      </c>
      <c r="C754" s="1" t="n">
        <v>46079</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10239-2026</t>
        </is>
      </c>
      <c r="B755" s="1" t="n">
        <v>46076.54824074074</v>
      </c>
      <c r="C755" s="1" t="n">
        <v>46079</v>
      </c>
      <c r="D755" t="inlineStr">
        <is>
          <t>VÄSTMANLANDS LÄN</t>
        </is>
      </c>
      <c r="E755" t="inlineStr">
        <is>
          <t>SALA</t>
        </is>
      </c>
      <c r="G755" t="n">
        <v>1.1</v>
      </c>
      <c r="H755" t="n">
        <v>0</v>
      </c>
      <c r="I755" t="n">
        <v>0</v>
      </c>
      <c r="J755" t="n">
        <v>0</v>
      </c>
      <c r="K755" t="n">
        <v>0</v>
      </c>
      <c r="L755" t="n">
        <v>0</v>
      </c>
      <c r="M755" t="n">
        <v>0</v>
      </c>
      <c r="N755" t="n">
        <v>0</v>
      </c>
      <c r="O755" t="n">
        <v>0</v>
      </c>
      <c r="P755" t="n">
        <v>0</v>
      </c>
      <c r="Q755" t="n">
        <v>0</v>
      </c>
      <c r="R755" s="2" t="inlineStr"/>
    </row>
    <row r="756" ht="15" customHeight="1">
      <c r="A756" t="inlineStr">
        <is>
          <t>A 10252-2026</t>
        </is>
      </c>
      <c r="B756" s="1" t="n">
        <v>46076.55700231482</v>
      </c>
      <c r="C756" s="1" t="n">
        <v>46079</v>
      </c>
      <c r="D756" t="inlineStr">
        <is>
          <t>VÄSTMANLANDS LÄN</t>
        </is>
      </c>
      <c r="E756" t="inlineStr">
        <is>
          <t>SALA</t>
        </is>
      </c>
      <c r="G756" t="n">
        <v>1.4</v>
      </c>
      <c r="H756" t="n">
        <v>0</v>
      </c>
      <c r="I756" t="n">
        <v>0</v>
      </c>
      <c r="J756" t="n">
        <v>0</v>
      </c>
      <c r="K756" t="n">
        <v>0</v>
      </c>
      <c r="L756" t="n">
        <v>0</v>
      </c>
      <c r="M756" t="n">
        <v>0</v>
      </c>
      <c r="N756" t="n">
        <v>0</v>
      </c>
      <c r="O756" t="n">
        <v>0</v>
      </c>
      <c r="P756" t="n">
        <v>0</v>
      </c>
      <c r="Q756" t="n">
        <v>0</v>
      </c>
      <c r="R756" s="2" t="inlineStr"/>
    </row>
    <row r="757">
      <c r="A757" t="inlineStr">
        <is>
          <t>A 1705-2026</t>
        </is>
      </c>
      <c r="B757" s="1" t="n">
        <v>46034.59930555556</v>
      </c>
      <c r="C757" s="1" t="n">
        <v>46079</v>
      </c>
      <c r="D757" t="inlineStr">
        <is>
          <t>VÄSTMANLANDS LÄN</t>
        </is>
      </c>
      <c r="E757" t="inlineStr">
        <is>
          <t>SALA</t>
        </is>
      </c>
      <c r="G757" t="n">
        <v>0.4</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2026-02-26T11:14:50Z</dcterms:created>
  <dcterms:modified xmlns:dcterms="http://purl.org/dc/terms/" xmlns:xsi="http://www.w3.org/2001/XMLSchema-instance" xsi:type="dcterms:W3CDTF">2026-02-26T11:14:51Z</dcterms:modified>
</cp:coreProperties>
</file>